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_Sheet" sheetId="1" state="visible" r:id="rId3"/>
    <sheet name="Document_Control" sheetId="2" state="visible" r:id="rId4"/>
    <sheet name="How_To_Use" sheetId="3" state="visible" r:id="rId5"/>
    <sheet name="Context" sheetId="4" state="visible" r:id="rId6"/>
    <sheet name="Version_Detail" sheetId="5" state="visible" r:id="rId7"/>
    <sheet name="Pending_Versions" sheetId="6" state="visible" r:id="rId8"/>
    <sheet name="Pending_Live_Evidence" sheetId="7" state="visible" r:id="rId9"/>
    <sheet name="Test_Cases" sheetId="8" state="visible" r:id="rId10"/>
    <sheet name="Test_Steps_Detail" sheetId="9" state="visible" r:id="rId11"/>
    <sheet name="Test_Execution_Log" sheetId="10" state="visible" r:id="rId12"/>
    <sheet name="Defect_Log" sheetId="11" state="visible" r:id="rId13"/>
    <sheet name="Traceability_Matrix" sheetId="12" state="visible" r:id="rId14"/>
    <sheet name="Test_Summary" sheetId="13" state="visible" r:id="rId15"/>
    <sheet name="Test_Environment" sheetId="14" state="visible" r:id="rId16"/>
    <sheet name="Entry_Exit_Criteria" sheetId="15" state="visible" r:id="rId17"/>
    <sheet name="RACI" sheetId="16" state="visible" r:id="rId18"/>
    <sheet name="Glossary" sheetId="17" state="visible" r:id="rId1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<sst xmlns="http://schemas.openxmlformats.org/spreadsheetml/2006/main" count="4628" uniqueCount="2150">
  <si>
    <t xml:space="preserve">VoiceBridge CTI for Salesforce — MoPr11</t>
  </si>
  <si>
    <t xml:space="preserve">Version detail and manual test pack</t>
  </si>
  <si>
    <t xml:space="preserve">Every released version: what was done and why. Every pending version: what is in it and why it is pending. Eighty manual test cases, positive and negative, with the steps to run them and the result to expect.</t>
  </si>
  <si>
    <t xml:space="preserve">Document name</t>
  </si>
  <si>
    <t xml:space="preserve">claude_V001_MoPr11-voicebridge_salesforce_versiondetail_manualtest_20260920_1232.xlsx</t>
  </si>
  <si>
    <t xml:space="preserve">Document version</t>
  </si>
  <si>
    <t xml:space="preserve">V001 — first issue</t>
  </si>
  <si>
    <t xml:space="preserve">Issued</t>
  </si>
  <si>
    <t xml:space="preserve">20 September 2026, 12:32 BST</t>
  </si>
  <si>
    <t xml:space="preserve">Prepared by</t>
  </si>
  <si>
    <t xml:space="preserve">Claude for Senthil (KP)</t>
  </si>
  <si>
    <t xml:space="preserve">Owner / approver</t>
  </si>
  <si>
    <t xml:space="preserve">Senthil (KP) — product owner; sole decision-maker on every open item in this pack</t>
  </si>
  <si>
    <t xml:space="preserve">Product</t>
  </si>
  <si>
    <t xml:space="preserve">VoiceBridge CTI — omnichannel CTI for the Salesforce AppExchange (portfolio reference MoPr11 / P02)</t>
  </si>
  <si>
    <t xml:space="preserve">Describes code version</t>
  </si>
  <si>
    <t xml:space="preserve">voicebridge-cti v0.28.0 · package hash f0f4eb4ab67d · released 20 Sep 2026 10:45</t>
  </si>
  <si>
    <t xml:space="preserve">Build state at issue</t>
  </si>
  <si>
    <t xml:space="preserve">58 test suites / 613 automated tests, 100% statements-branches-functions-lines, zero coverage pragmas, 0 production dependency advisories</t>
  </si>
  <si>
    <t xml:space="preserve">Purpose</t>
  </si>
  <si>
    <t xml:space="preserve">To give one place where a reader can see (a) what each version of this product actually delivered and why, (b) which versions are still pending and exactly what is blocking each, and (c) how to verify any of it by hand.</t>
  </si>
  <si>
    <t xml:space="preserve">Scope — in</t>
  </si>
  <si>
    <t xml:space="preserve">All released code versions to v0.28.0; all planned versions to v1.0.0; manual verification of every shipped capability; manual test cases written in advance for pending capabilities.</t>
  </si>
  <si>
    <t xml:space="preserve">Scope — out</t>
  </si>
  <si>
    <t xml:space="preserve">Automated test implementation (that lives in the codebase), commercial modelling (product workbook), sprint execution history (sprint tracker v024), and the pictorial explanation (product map v001).</t>
  </si>
  <si>
    <t xml:space="preserve">Intended readers</t>
  </si>
  <si>
    <t xml:space="preserve">The product owner; an independent reviewer; a QA tester executing the pack; a security reviewer who wants to know which claims have evidence.</t>
  </si>
  <si>
    <t xml:space="preserve">Classification</t>
  </si>
  <si>
    <t xml:space="preserve">Internal — states plainly what has never been proven live, which is not listing or prospect material</t>
  </si>
  <si>
    <t xml:space="preserve">Related documents</t>
  </si>
  <si>
    <t xml:space="preserve">claude_v024_voicebridge_sprint_tracker_traceability_20260920_1045.xlsx · claude_v029_voicebridge_salesforce_product_workbook (v030 owed) · claude_v001_MoPr11-voicebridge_salesforce_productmap_20260920_1232.html/.pdf · voicebridge-cti-codebase-20260920_1045.zip</t>
  </si>
  <si>
    <t xml:space="preserve">Review inputs reflected</t>
  </si>
  <si>
    <t xml:space="preserve">External review V001 (ChatGPT, 13 Sep 2026 — REJECT, 14 findings) · Perplexity review V001 (16 Sep 2026 — HOLD, 6 findings) · five internal adversarial cold-review passes</t>
  </si>
  <si>
    <t xml:space="preserve">How to start</t>
  </si>
  <si>
    <t xml:space="preserve">Read How_To_Use, then Context. To understand the product: Version_Detail then Pending_Versions. To test it: Test_Environment, then Test_Cases with Test_Steps_Detail beside it.</t>
  </si>
  <si>
    <t xml:space="preserve">SIGN-OFF</t>
  </si>
  <si>
    <t xml:space="preserve">Role</t>
  </si>
  <si>
    <t xml:space="preserve">Name / signature</t>
  </si>
  <si>
    <t xml:space="preserve">Date</t>
  </si>
  <si>
    <t xml:space="preserve">Comment</t>
  </si>
  <si>
    <t xml:space="preserve">Prepared by — Claude</t>
  </si>
  <si>
    <t xml:space="preserve">Reviewed by — Senthil (KP)</t>
  </si>
  <si>
    <t xml:space="preserve">Approved for use by — Senthil (KP)</t>
  </si>
  <si>
    <t xml:space="preserve">Independent reviewer (DR-12)</t>
  </si>
  <si>
    <t xml:space="preserve">This pack states what has and has not been observed. Nothing in it should be quoted in listing copy, a prospect conversation or a security questionnaire without reading the environment column of the test case it came from.</t>
  </si>
  <si>
    <t xml:space="preserve">DOCUMENT CONTROL — revision history for this workbook</t>
  </si>
  <si>
    <t xml:space="preserve">How to use this sheet: one row per issue of this document. Never edit a released row; add a new one and re-issue the file under the next number. The document version (V001) is independent of the code version (v0.28.0) it describes — the mapping is in column D.</t>
  </si>
  <si>
    <t xml:space="preserve">Doc version</t>
  </si>
  <si>
    <t xml:space="preserve">Date / time</t>
  </si>
  <si>
    <t xml:space="preserve">Author</t>
  </si>
  <si>
    <t xml:space="preserve">Code version described</t>
  </si>
  <si>
    <t xml:space="preserve">What changed in this document, and why</t>
  </si>
  <si>
    <t xml:space="preserve">Status</t>
  </si>
  <si>
    <t xml:space="preserve">V001</t>
  </si>
  <si>
    <t xml:space="preserve">2026-09-20 12:32</t>
  </si>
  <si>
    <t xml:space="preserve">Claude for Senthil/KP</t>
  </si>
  <si>
    <t xml:space="preserve">v0.28.0 (hash f0f4eb4ab67d)</t>
  </si>
  <si>
    <t xml:space="preserve">First issue. Created on request after the v0.28.0 release, because the sprint tracker records execution but does not answer two separate questions a reader keeps asking: what did each version actually deliver and why, and how would I check any of it myself. Covers 22 released versions, 9 pending versions, 5 pending live-evidence steps and 80 manual test cases (49 positive, 31 negative) with 340 numbered steps.</t>
  </si>
  <si>
    <t xml:space="preserve">Released</t>
  </si>
  <si>
    <t xml:space="preserve">V002</t>
  </si>
  <si>
    <t xml:space="preserve">—</t>
  </si>
  <si>
    <t xml:space="preserve">v0.29.0 (planned)</t>
  </si>
  <si>
    <t xml:space="preserve">Planned. Opens when the S13 decision gate closes: the pending-version rows become released rows, the reclassification lands, and the blocked test cases for v0.30.0 onward become runnable.</t>
  </si>
  <si>
    <t xml:space="preserve">Planned</t>
  </si>
  <si>
    <t xml:space="preserve">NAMING</t>
  </si>
  <si>
    <t xml:space="preserve">claude_V&lt;NNN&gt;_&lt;product ref&gt;_&lt;document name&gt;_YYYYMMDD_HHMI.xlsx</t>
  </si>
  <si>
    <t xml:space="preserve">The timestamp is supplied by Senthil at release, matching the convention used by the sprint tracker and the product workbook so that a code zip, a tracker and this pack can always be lined up by name.</t>
  </si>
  <si>
    <t xml:space="preserve">CHANGE RULE</t>
  </si>
  <si>
    <t xml:space="preserve">A new fact about the product means a new version of this file.</t>
  </si>
  <si>
    <t xml:space="preserve">Test results are recorded in Test_Execution_Log (which is appended to per cycle) rather than by editing the test cases themselves, so the pack stays stable while evidence accumulates against it.</t>
  </si>
  <si>
    <t xml:space="preserve">HOW TO USE THIS WORKBOOK — sheet by sheet</t>
  </si>
  <si>
    <t xml:space="preserve">How to use this sheet: read it first. It says what each sheet is for, who it is for, and when to touch it. Every other sheet also carries its own one-paragraph instruction in row 2.</t>
  </si>
  <si>
    <t xml:space="preserve">#</t>
  </si>
  <si>
    <t xml:space="preserve">Sheet</t>
  </si>
  <si>
    <t xml:space="preserve">What it is</t>
  </si>
  <si>
    <t xml:space="preserve">Who uses it</t>
  </si>
  <si>
    <t xml:space="preserve">When to use it</t>
  </si>
  <si>
    <t xml:space="preserve">What you may edit</t>
  </si>
  <si>
    <t xml:space="preserve">1</t>
  </si>
  <si>
    <t xml:space="preserve">Cover_Sheet</t>
  </si>
  <si>
    <t xml:space="preserve">Title block, purpose, scope, readership and the sign-off grid.</t>
  </si>
  <si>
    <t xml:space="preserve">Everyone</t>
  </si>
  <si>
    <t xml:space="preserve">First. Also the page to print if someone asks what this document is.</t>
  </si>
  <si>
    <t xml:space="preserve">Sign-off block only</t>
  </si>
  <si>
    <t xml:space="preserve">2</t>
  </si>
  <si>
    <t xml:space="preserve">Document_Control</t>
  </si>
  <si>
    <t xml:space="preserve">Revision history of this workbook and the naming/change rules.</t>
  </si>
  <si>
    <t xml:space="preserve">Author, reviewer</t>
  </si>
  <si>
    <t xml:space="preserve">When re-issuing the file.</t>
  </si>
  <si>
    <t xml:space="preserve">Add a new row; never alter a released one</t>
  </si>
  <si>
    <t xml:space="preserve">3</t>
  </si>
  <si>
    <t xml:space="preserve">How_To_Use</t>
  </si>
  <si>
    <t xml:space="preserve">This sheet.</t>
  </si>
  <si>
    <t xml:space="preserve">First.</t>
  </si>
  <si>
    <t xml:space="preserve">Nothing</t>
  </si>
  <si>
    <t xml:space="preserve">4</t>
  </si>
  <si>
    <t xml:space="preserve">Context</t>
  </si>
  <si>
    <t xml:space="preserve">What the product is, how it was built, what the three reviews found, and the assumptions this pack rests on.</t>
  </si>
  <si>
    <t xml:space="preserve">Anyone new to the product</t>
  </si>
  <si>
    <t xml:space="preserve">Before reading Version_Detail or running a test.</t>
  </si>
  <si>
    <t xml:space="preserve">5</t>
  </si>
  <si>
    <t xml:space="preserve">Version_Detail</t>
  </si>
  <si>
    <t xml:space="preserve">Every released version: what was done, WHY it was done, the evidence, and the story position after it.</t>
  </si>
  <si>
    <t xml:space="preserve">Owner, reviewer, auditor</t>
  </si>
  <si>
    <t xml:space="preserve">To understand how the product reached its current state, or to answer 'why does this exist?'.</t>
  </si>
  <si>
    <t xml:space="preserve">Nothing — history</t>
  </si>
  <si>
    <t xml:space="preserve">6</t>
  </si>
  <si>
    <t xml:space="preserve">Pending_Versions</t>
  </si>
  <si>
    <t xml:space="preserve">Every planned version: scope, WHY it is pending, the named blocker, the owner and what would unblock it.</t>
  </si>
  <si>
    <t xml:space="preserve">Owner (decisions), reviewer</t>
  </si>
  <si>
    <t xml:space="preserve">Planning, or when someone asks why something is not done.</t>
  </si>
  <si>
    <t xml:space="preserve">Status column once a version ships</t>
  </si>
  <si>
    <t xml:space="preserve">7</t>
  </si>
  <si>
    <t xml:space="preserve">Pending_Live_Evidence</t>
  </si>
  <si>
    <t xml:space="preserve">The five operator steps that are pending inside the CURRENT version rather than a future one.</t>
  </si>
  <si>
    <t xml:space="preserve">Owner, tester</t>
  </si>
  <si>
    <t xml:space="preserve">When a live system becomes available — these are the highest-value hours on the list.</t>
  </si>
  <si>
    <t xml:space="preserve">Status and evidence columns</t>
  </si>
  <si>
    <t xml:space="preserve">8</t>
  </si>
  <si>
    <t xml:space="preserve">Test_Cases</t>
  </si>
  <si>
    <t xml:space="preserve">The register: 80 cases, positive and negative, each with its version, area, environment, preconditions and expected result.</t>
  </si>
  <si>
    <t xml:space="preserve">Tester, reviewer</t>
  </si>
  <si>
    <t xml:space="preserve">To plan a test cycle or to check whether a capability has a test at all.</t>
  </si>
  <si>
    <t xml:space="preserve">Status, Actual result, Tester, Date, Defect ref</t>
  </si>
  <si>
    <t xml:space="preserve">9</t>
  </si>
  <si>
    <t xml:space="preserve">Test_Steps_Detail</t>
  </si>
  <si>
    <t xml:space="preserve">The same cases broken into 340 numbered steps: action, test data, expected result per step.</t>
  </si>
  <si>
    <t xml:space="preserve">Tester</t>
  </si>
  <si>
    <t xml:space="preserve">While executing. Keep it open beside Test_Cases.</t>
  </si>
  <si>
    <t xml:space="preserve">Step result column</t>
  </si>
  <si>
    <t xml:space="preserve">10</t>
  </si>
  <si>
    <t xml:space="preserve">Test_Execution_Log</t>
  </si>
  <si>
    <t xml:space="preserve">One row per case per execution cycle: who ran it, when, on what build, with what outcome.</t>
  </si>
  <si>
    <t xml:space="preserve">Tester, QA lead</t>
  </si>
  <si>
    <t xml:space="preserve">Append a block per cycle. Do not overwrite previous cycles.</t>
  </si>
  <si>
    <t xml:space="preserve">The whole sheet, by appending</t>
  </si>
  <si>
    <t xml:space="preserve">11</t>
  </si>
  <si>
    <t xml:space="preserve">Defect_Log</t>
  </si>
  <si>
    <t xml:space="preserve">Every defect found by the three reviews and by the remediation itself, with severity, status, the version that fixed it and the test that now covers it.</t>
  </si>
  <si>
    <t xml:space="preserve">To check that a finding was actually closed rather than merely discussed.</t>
  </si>
  <si>
    <t xml:space="preserve">Status column if a defect reopens</t>
  </si>
  <si>
    <t xml:space="preserve">12</t>
  </si>
  <si>
    <t xml:space="preserve">Traceability_Matrix</t>
  </si>
  <si>
    <t xml:space="preserve">Requirement / finding → version → test cases → automated counterpart → coverage count.</t>
  </si>
  <si>
    <t xml:space="preserve">Reviewer, auditor</t>
  </si>
  <si>
    <t xml:space="preserve">To prove nothing was fixed without a test, or to find the test for a requirement.</t>
  </si>
  <si>
    <t xml:space="preserve">Nothing — computed</t>
  </si>
  <si>
    <t xml:space="preserve">13</t>
  </si>
  <si>
    <t xml:space="preserve">Test_Summary</t>
  </si>
  <si>
    <t xml:space="preserve">Live counts by version, type, environment and status, calculated from Test_Cases.</t>
  </si>
  <si>
    <t xml:space="preserve">QA lead, owner</t>
  </si>
  <si>
    <t xml:space="preserve">At the start and end of a cycle. The numbers move as you fill in Test_Cases.</t>
  </si>
  <si>
    <t xml:space="preserve">Nothing — formulas</t>
  </si>
  <si>
    <t xml:space="preserve">14</t>
  </si>
  <si>
    <t xml:space="preserve">Test_Environment</t>
  </si>
  <si>
    <t xml:space="preserve">How to stand up each environment the pack needs, including every environment variable and what happens if it is missing.</t>
  </si>
  <si>
    <t xml:space="preserve">Before the first execution, and whenever a case says LOCAL + PostgreSQL or LIVE.</t>
  </si>
  <si>
    <t xml:space="preserve">15</t>
  </si>
  <si>
    <t xml:space="preserve">Entry_Exit_Criteria</t>
  </si>
  <si>
    <t xml:space="preserve">When a cycle may start, when it may be called finished, plus assumptions, risks and the defect severity definitions.</t>
  </si>
  <si>
    <t xml:space="preserve">Before starting and before declaring a cycle complete.</t>
  </si>
  <si>
    <t xml:space="preserve">16</t>
  </si>
  <si>
    <t xml:space="preserve">RACI</t>
  </si>
  <si>
    <t xml:space="preserve">Who is responsible, accountable, consulted and informed for each activity in this pack.</t>
  </si>
  <si>
    <t xml:space="preserve">When it is unclear whose move it is — which, on this product, it usually is.</t>
  </si>
  <si>
    <t xml:space="preserve">17</t>
  </si>
  <si>
    <t xml:space="preserve">Glossary</t>
  </si>
  <si>
    <t xml:space="preserve">Every abbreviation and product-specific term used anywhere in this workbook.</t>
  </si>
  <si>
    <t xml:space="preserve">Whenever a term is unfamiliar.</t>
  </si>
  <si>
    <t xml:space="preserve">!</t>
  </si>
  <si>
    <t xml:space="preserve">READ THE ENVIRONMENT COLUMN</t>
  </si>
  <si>
    <t xml:space="preserve">A test case marked LOCAL proves something about this product today. A case marked LIVE proves nothing yet, because the system it needs does not exist. A case marked BLOCKED describes a capability that has not been built. All three are in the pack deliberately — omitting the last two would misrepresent the product.</t>
  </si>
  <si>
    <t xml:space="preserve">Every time you quote a result from this pack.</t>
  </si>
  <si>
    <t xml:space="preserve">CONTEXT — what this product is, how it was built, and what is assumed here</t>
  </si>
  <si>
    <t xml:space="preserve">How to use this sheet: read once before the version and test sheets. Every row is a fact the rest of the workbook relies on; the source column says where each one can be checked.</t>
  </si>
  <si>
    <t xml:space="preserve">Topic</t>
  </si>
  <si>
    <t xml:space="preserve">The fact</t>
  </si>
  <si>
    <t xml:space="preserve">Where it can be checked</t>
  </si>
  <si>
    <t xml:space="preserve">What the product does</t>
  </si>
  <si>
    <t xml:space="preserve">A Salesforce AppExchange application for mid-market B2B sales teams: a softphone in the Salesforce utility bar, click-to-dial from any record, automatic logging of every call (and, in the pitch, every WhatsApp thread) onto the Contact or Lead, plus cadence-lite, coaching scorecards and Flow actions.</t>
  </si>
  <si>
    <t xml:space="preserve">Product workbook ReadMe_Scope; help centre articles HC-01..HC-15</t>
  </si>
  <si>
    <t xml:space="preserve">Where it sits</t>
  </si>
  <si>
    <t xml:space="preserve">Product P02 (portfolio ref MoPr11) of a twelve-product marketplace portfolio, built solo, executed in a locked WIN order.</t>
  </si>
  <si>
    <t xml:space="preserve">Sprint tracker Decisions D15, D17</t>
  </si>
  <si>
    <t xml:space="preserve">How it was built</t>
  </si>
  <si>
    <t xml:space="preserve">Fifteen numbered code releases between 13 and 20 September 2026 (v0.14.0 → v0.28.0), each packaged, re-extracted and re-verified from its own zip. Earlier releases carried the S1–S12 feature build.</t>
  </si>
  <si>
    <t xml:space="preserve">Version_Detail sheet; tracker Version_Control</t>
  </si>
  <si>
    <t xml:space="preserve">The coverage rule</t>
  </si>
  <si>
    <t xml:space="preserve">Portfolio decision D13: development proceeds with 100% automated coverage on all source while customer discovery is parked. Every release is gated on 100% statements, branches, functions and lines with no coverage pragmas.</t>
  </si>
  <si>
    <t xml:space="preserve">jest.config.js coverageThreshold; CI test job</t>
  </si>
  <si>
    <t xml:space="preserve">What coverage does not prove</t>
  </si>
  <si>
    <t xml:space="preserve">Five internal adversarial passes found roughly forty defects inside code that already had 100% coverage. Coverage proves execution, not correctness, and never proves integration.</t>
  </si>
  <si>
    <t xml:space="preserve">Defect_Log; tracker lesson L-V1 / F-V14</t>
  </si>
  <si>
    <t xml:space="preserve">First external review</t>
  </si>
  <si>
    <t xml:space="preserve">ChatGPT, 13 September 2026: decision REJECT, fourteen findings, five blockers — all five at an integration boundary where each side had only ever been tested against a double of the other.</t>
  </si>
  <si>
    <t xml:space="preserve">Defect_Log rows VB-CR-001..014</t>
  </si>
  <si>
    <t xml:space="preserve">Second external review</t>
  </si>
  <si>
    <t xml:space="preserve">Perplexity, 16 September 2026: decision HOLD — re-platform or pivot. Six findings, plus the fact that Salesforce Open CTI (the API the whole in-org surface depends on) is in maintenance mode with an end of life of 28 February 2028.</t>
  </si>
  <si>
    <t xml:space="preserve">Defect_Log rows F-P01..F-P06; tracker risk R-V21</t>
  </si>
  <si>
    <t xml:space="preserve">What v0.28.0 did</t>
  </si>
  <si>
    <t xml:space="preserve">Closed five of the six Perplexity findings in code and four further defects the remediation itself exposed — three of which were production-only failures that every existing test had been agreeing with.</t>
  </si>
  <si>
    <t xml:space="preserve">Version_Detail row v024; Defect_Log rows F-V31..F-V34</t>
  </si>
  <si>
    <t xml:space="preserve">The honest position</t>
  </si>
  <si>
    <t xml:space="preserve">The service is engineering-complete and has never placed a telephone call, never written a record into a real Salesforce org and never run against a real database. Both halves of that sentence are true.</t>
  </si>
  <si>
    <t xml:space="preserve">Test_Cases environment column; Pending_Live_Evidence sheet</t>
  </si>
  <si>
    <t xml:space="preserve">Assumption A</t>
  </si>
  <si>
    <t xml:space="preserve">Any test case marked LOCAL can be executed by anyone holding the delivered zip and a machine with Node 22 — no account, credential or external service is required.</t>
  </si>
  <si>
    <t xml:space="preserve">Test_Environment sheet</t>
  </si>
  <si>
    <t xml:space="preserve">Assumption B</t>
  </si>
  <si>
    <t xml:space="preserve">Test cases marked LIVE or BLOCKED are written in advance deliberately, so that the day a system or a decision arrives the verification already exists and does not have to be invented under pressure.</t>
  </si>
  <si>
    <t xml:space="preserve">Test_Cases rows with environment LIVE / BLOCKED</t>
  </si>
  <si>
    <t xml:space="preserve">Assumption C</t>
  </si>
  <si>
    <t xml:space="preserve">Story counts quoted anywhere in this pack are code status, not product readiness. Decision D-V4 (recommended by both reviewers and by this release) would move the counted position from 96/100 to 76/100.</t>
  </si>
  <si>
    <t xml:space="preserve">Tracker Sprint_Status_Rollup; decision D-V4</t>
  </si>
  <si>
    <t xml:space="preserve">Out of scope here</t>
  </si>
  <si>
    <t xml:space="preserve">Commercial modelling (the financial model is blocked on D-V7), listing copy (blocked on D-V6), and the strategy ruling itself (D-V8).</t>
  </si>
  <si>
    <t xml:space="preserve">Product map document, section 9; tracker Enhancement_Plan</t>
  </si>
  <si>
    <t xml:space="preserve">VERSION DETAIL — every released version: what was done, and why it was done</t>
  </si>
  <si>
    <t xml:space="preserve">How to use this sheet: one row per released version, oldest first. 'What was done' is the change; 'Why it was done' is the reason it was worth doing, which is usually a defect, a review finding or a platform rule. Code versions marked (inferred) are reconstructed from the tracker, which did not record code numbers before v0.14.0 — the tracker version is authoritative.</t>
  </si>
  <si>
    <t xml:space="preserve">Tracker ver</t>
  </si>
  <si>
    <t xml:space="preserve">Code version</t>
  </si>
  <si>
    <t xml:space="preserve">Workbook ver</t>
  </si>
  <si>
    <t xml:space="preserve">Release title</t>
  </si>
  <si>
    <t xml:space="preserve">What was done</t>
  </si>
  <si>
    <t xml:space="preserve">Why it was done</t>
  </si>
  <si>
    <t xml:space="preserve">Evidence at release</t>
  </si>
  <si>
    <t xml:space="preserve">Story position after</t>
  </si>
  <si>
    <t xml:space="preserve">v001</t>
  </si>
  <si>
    <t xml:space="preserve">v0.7.0 (inferred)</t>
  </si>
  <si>
    <t xml:space="preserve">v007</t>
  </si>
  <si>
    <t xml:space="preserve">2026-09-10 23:00</t>
  </si>
  <si>
    <t xml:space="preserve">Foundation through beta iteration (S1–S8)</t>
  </si>
  <si>
    <t xml:space="preserve">Opened the VoiceBridge build from the v006 product workbook and executed sprints S1–S8 done-in-code: install/OAuth lifecycle, click-to-dial state machine, call/WhatsApp activity logging, cadence-lite, coaching analytics, billing, Flow actions, plus the first tracker with a live traceability rollup.</t>
  </si>
  <si>
    <t xml:space="preserve">The portfolio rule (D13) allows development to proceed with 100% automated coverage while discovery is parked, so the whole feature surface was built before any live system existed.</t>
  </si>
  <si>
    <t xml:space="preserve">20 Jest suites / 85 tests at 100% coverage; tracker v001 with 100-row traceability.</t>
  </si>
  <si>
    <t xml:space="preserve">79 Done + 5 code-complete of 100</t>
  </si>
  <si>
    <t xml:space="preserve">v002</t>
  </si>
  <si>
    <t xml:space="preserve">v0.8.0 (inferred)</t>
  </si>
  <si>
    <t xml:space="preserve">v008</t>
  </si>
  <si>
    <t xml:space="preserve">2026-09-11 08:46</t>
  </si>
  <si>
    <t xml:space="preserve">Marketplace review preparation (S9)</t>
  </si>
  <si>
    <t xml:space="preserve">WCAG AA audit on the widget shells, backup/restore drill with sha256 integrity verification, chaos-outage degradation with user comms, security evidence pack (sandbox half), plus the 12-step live sweep and 30-minute dev-org guide.</t>
  </si>
  <si>
    <t xml:space="preserve">S9 is the sprint that makes a submission possible; everything in it is preparation a reviewer will ask to see.</t>
  </si>
  <si>
    <t xml:space="preserve">24 suites / 101 tests at 100%; docs/salesforce-dev-org-guide.md.</t>
  </si>
  <si>
    <t xml:space="preserve">82 Done / 5 code-complete</t>
  </si>
  <si>
    <t xml:space="preserve">v003</t>
  </si>
  <si>
    <t xml:space="preserve">v0.9.0 (inferred)</t>
  </si>
  <si>
    <t xml:space="preserve">v009</t>
  </si>
  <si>
    <t xml:space="preserve">2026-09-11 12:48</t>
  </si>
  <si>
    <t xml:space="preserve">Review remediation and support surfaces (S10)</t>
  </si>
  <si>
    <t xml:space="preserve">15 help-centre articles with ranked search, an in-app chat engine with a four-business-hour SLA, public status page and incident template, pricing and trust pages generated from their single sources, demo-data mode and a submission dry-run engine.</t>
  </si>
  <si>
    <t xml:space="preserve">A marketplace listing is judged on the surfaces around the product as much as the product; generating them from single sources stops them drifting from the code.</t>
  </si>
  <si>
    <t xml:space="preserve">30 suites / 131 tests at 100%; dry-run READY 11/11 automated.</t>
  </si>
  <si>
    <t xml:space="preserve">87 Done / 6 code-complete</t>
  </si>
  <si>
    <t xml:space="preserve">v004</t>
  </si>
  <si>
    <t xml:space="preserve">v0.10.0 (inferred)</t>
  </si>
  <si>
    <t xml:space="preserve">v010</t>
  </si>
  <si>
    <t xml:space="preserve">2026-09-11 13:32</t>
  </si>
  <si>
    <t xml:space="preserve">Launch and iteration scope (S11–S12) — code phase complete</t>
  </si>
  <si>
    <t xml:space="preserve">Executable launch-day runbook with rollback triggers wired to the real p95 budgets, a ten-slot design-partner tracker with honest exit maths, and a listing SEO iteration engine with a thin-data floor.</t>
  </si>
  <si>
    <t xml:space="preserve">Closed the sandbox-buildable backlog to zero so that what remained was visibly all live or human work.</t>
  </si>
  <si>
    <t xml:space="preserve">33 suites / 150 tests at 100%; backlog zero.</t>
  </si>
  <si>
    <t xml:space="preserve">88 Done / 8 code-complete</t>
  </si>
  <si>
    <t xml:space="preserve">v005</t>
  </si>
  <si>
    <t xml:space="preserve">v0.11.0 (inferred)</t>
  </si>
  <si>
    <t xml:space="preserve">v011</t>
  </si>
  <si>
    <t xml:space="preserve">2026-09-11 15:26</t>
  </si>
  <si>
    <t xml:space="preserve">The 2GP package source (D18 gap closed)</t>
  </si>
  <si>
    <t xml:space="preserve">Built sfpackage/: an sfdx project with the CallCenter Open CTI definition, three permission sets generated from the enforced role matrix with drift tests, and an esbuild softphone static resource driven by a dependency-injected Open CTI adapter tested in jsdom.</t>
  </si>
  <si>
    <t xml:space="preserve">The D18 packaging recommendation referenced a shim package whose source did not exist — the same artefact-gap class found in a sibling product.</t>
  </si>
  <si>
    <t xml:space="preserve">35 suites / 162 tests at 100%; permission-set drift test.</t>
  </si>
  <si>
    <t xml:space="preserve">unchanged 88/8</t>
  </si>
  <si>
    <t xml:space="preserve">v006</t>
  </si>
  <si>
    <t xml:space="preserve">v0.12.0 (inferred)</t>
  </si>
  <si>
    <t xml:space="preserve">v012</t>
  </si>
  <si>
    <t xml:space="preserve">2026-09-11 22:09</t>
  </si>
  <si>
    <t xml:space="preserve">First adversarial cold review, pass 1</t>
  </si>
  <si>
    <t xml:space="preserve">Seven defects fixed with pinned regressions: retention sweep leaving PII, no payment-recovery path, unenforced trial expiry, unguarded invoice mutation, unbounded ledgers, a production backoff sleep that was a no-op, and read-only billing status enforced nowhere.</t>
  </si>
  <si>
    <t xml:space="preserve">Coverage proves execution, not correctness. A deliberately adversarial pass over code that already had 100% coverage was the only way to find these.</t>
  </si>
  <si>
    <t xml:space="preserve">36 suites / 176 tests at 100%; Review_Findings sheet opened.</t>
  </si>
  <si>
    <t xml:space="preserve">v0.13.0 (inferred)</t>
  </si>
  <si>
    <t xml:space="preserve">v013</t>
  </si>
  <si>
    <t xml:space="preserve">2026-09-11 22:34</t>
  </si>
  <si>
    <t xml:space="preserve">Cold review complete + first verification sweep</t>
  </si>
  <si>
    <t xml:space="preserve">Thirteen more defects across the ~28 modules pass 1 never opened, plus a verification sweep against the live Open CTI documentation that found two live-blocking defects: opencti_min.js was never loaded, and enableClickToDial was never called.</t>
  </si>
  <si>
    <t xml:space="preserve">The suite can only test what the code does; only a sweep against the platform's own documentation catches what the platform requires.</t>
  </si>
  <si>
    <t xml:space="preserve">39 suites / 217 tests at 100%; lessons L-V2/L-V3 logged.</t>
  </si>
  <si>
    <t xml:space="preserve">v0.14.0</t>
  </si>
  <si>
    <t xml:space="preserve">v014</t>
  </si>
  <si>
    <t xml:space="preserve">2026-09-13 10:39</t>
  </si>
  <si>
    <t xml:space="preserve">Screen surface + mandatory OAuth controls</t>
  </si>
  <si>
    <t xml:space="preserve">Built the seven missing screens as typed view models with an accessible renderer and widened the WCAG audit to all nine screens; moved to External Client Apps (new Connected Apps cannot be created from Spring '26) and implemented the four OAuth controls Salesforce made mandatory: PKCE with single-use state, rotation anomaly telemetry, a 30-day refresh idle timeout and a refresh IP allowlist.</t>
  </si>
  <si>
    <t xml:space="preserve">Five P0 stories claimed an end-to-end surface that did not exist, and the dev-org guide had become unrunnable at step 2 because of a platform policy change.</t>
  </si>
  <si>
    <t xml:space="preserve">41 suites / 274 tests at 100%; docs/oauth-security-controls.md.</t>
  </si>
  <si>
    <t xml:space="preserve">v0.15.0</t>
  </si>
  <si>
    <t xml:space="preserve">2026-09-13 10:57</t>
  </si>
  <si>
    <t xml:space="preserve">Artifact-gap audit: a process and a schema</t>
  </si>
  <si>
    <t xml:space="preserve">There was no process and no production OAuth gateway — createApp() had never been called by anything — and no database schema behind a published 30-day retention policy. Added server.ts/main.ts with npm start, a real token-endpoint gateway, five ordered migrations with npm run migrate, and moved CI to Node 22.</t>
  </si>
  <si>
    <t xml:space="preserve">Thirty modules at 100% coverage and nothing that could receive a request: the product existed as modules, not as a service.</t>
  </si>
  <si>
    <t xml:space="preserve">42 suites / 296 tests at 100%; migrations 001–005.</t>
  </si>
  <si>
    <t xml:space="preserve">v0.16.0</t>
  </si>
  <si>
    <t xml:space="preserve">2026-09-13 11:14</t>
  </si>
  <si>
    <t xml:space="preserve">The identity boundary</t>
  </si>
  <si>
    <t xml:space="preserve">HMAC-signed sessions minted only at the install callback; identity never read from a body or a URL; a claim that disagrees with the session refused as forgery; 401/403 separated from the blanket 400. Also capped and swept the PKCE map, added a token-endpoint timeout and a drain that does not wait forever.</t>
  </si>
  <si>
    <t xml:space="preserve">Pass 3 found that the screens added in v0.14.0 took the org straight from the URL with no identity check — anyone who guessed an org id could read its billing, invoices and support queue.</t>
  </si>
  <si>
    <t xml:space="preserve">43 suites / 318 tests at 100%; test/authBoundary.test.ts.</t>
  </si>
  <si>
    <t xml:space="preserve">v011–v016</t>
  </si>
  <si>
    <t xml:space="preserve">v0.17.0 – v0.22.0</t>
  </si>
  <si>
    <t xml:space="preserve">2026-09-13 11:36 → 16:51</t>
  </si>
  <si>
    <t xml:space="preserve">Persistence, converted in six staged releases</t>
  </si>
  <si>
    <t xml:space="preserve">Moved twenty domain modules from an in-process store onto an async repository with a conformance suite running identical tests against both implementations, one green build per stage; then deleted the legacy store outright and made the backup drill cover all the data rather than half of it.</t>
  </si>
  <si>
    <t xml:space="preserve">A single-pass conversion is a broken build for hours and a coverage gate that cannot run. Two ordering errors were found and corrected in public during the conversion (the cascade runs toward callers, and a dependency leaf is the largest step, not the smallest).</t>
  </si>
  <si>
    <t xml:space="preserve">44 suites / 340 tests at 100%; docs/r-v11-plan.md rewritten twice.</t>
  </si>
  <si>
    <t xml:space="preserve">v017</t>
  </si>
  <si>
    <t xml:space="preserve">v0.23.0</t>
  </si>
  <si>
    <t xml:space="preserve">2026-09-13 17:25</t>
  </si>
  <si>
    <t xml:space="preserve">Concurrency guards (F-V28)</t>
  </si>
  <si>
    <t xml:space="preserve">Added a per-(org, resource) serial queue over the four check-then-write guards — cadence limit, duplicate enrolment, activity dedupe, partner slot cap — with eleven regressions that fire the calls concurrently, and moved cadence ids from a per-instance counter to the repository.</t>
  </si>
  <si>
    <t xml:space="preserve">The async conversion put an await between every read and its write. The logic did not change; the guarantee underneath it did, and no test that awaits its calls in turn could ever have caught it.</t>
  </si>
  <si>
    <t xml:space="preserve">44 suites / 350 tests at 100%; src/locks.ts.</t>
  </si>
  <si>
    <t xml:space="preserve">v018</t>
  </si>
  <si>
    <t xml:space="preserve">v0.24.0</t>
  </si>
  <si>
    <t xml:space="preserve">2026-09-13 17:31</t>
  </si>
  <si>
    <t xml:space="preserve">Dedupe pushed into the database</t>
  </si>
  <si>
    <t xml:space="preserve">Migration 007 adds a unique expression index on the activity external id and pushIfAbsent becomes INSERT … ON CONFLICT DO NOTHING, so a second instance loses the race at the database rather than winning it in application code.</t>
  </si>
  <si>
    <t xml:space="preserve">An in-process lock covers one process; blue/green runs two. Uniqueness had to move to where the data lives.</t>
  </si>
  <si>
    <t xml:space="preserve">44 suites / 353 tests at 100%; migration 007.</t>
  </si>
  <si>
    <t xml:space="preserve">v019</t>
  </si>
  <si>
    <t xml:space="preserve">2026-09-13 18:00</t>
  </si>
  <si>
    <t xml:space="preserve">External review V001 incorporated (no code change)</t>
  </si>
  <si>
    <t xml:space="preserve">All fourteen findings from the first independent review (ChatGPT, decision REJECT) re-verified against the current build and logged with a nine-package remediation plan sequenced to the reviewer's own closure order.</t>
  </si>
  <si>
    <t xml:space="preserve">Incorporation and remediation were kept as separate releases so the record shows what was found before it shows what was done about it.</t>
  </si>
  <si>
    <t xml:space="preserve">Review_Findings + Remediation_Plan sheets; G-06 gate opened at REJECT.</t>
  </si>
  <si>
    <t xml:space="preserve">v020–v021</t>
  </si>
  <si>
    <t xml:space="preserve">v0.25.0</t>
  </si>
  <si>
    <t xml:space="preserve">2026-09-13 19:26 → 20:33</t>
  </si>
  <si>
    <t xml:space="preserve">External review remediation — nine findings, three blockers</t>
  </si>
  <si>
    <t xml:space="preserve">GET /oauth/callback answering the redirect a browser actually makes; installer identity confirmed against the Salesforce identity endpoint; a softphone bearer bootstrap with the first real adapter-to-app contract test; a production repository factory that refuses in-memory storage; view permissions resolved before assembly; release evidence bound to a package hash; a durable pending queue and honest residency. Then the evidence tooling was run a second time and two defects in the gate itself were fixed.</t>
  </si>
  <si>
    <t xml:space="preserve">Three of the five blockers were integration-boundary defects that five internal passes had missed, because each side was only ever tested against a double of the other.</t>
  </si>
  <si>
    <t xml:space="preserve">46 suites / 403 tests at 100%; evidence bound to hash 1c9171da0f50.</t>
  </si>
  <si>
    <t xml:space="preserve">v022</t>
  </si>
  <si>
    <t xml:space="preserve">v0.26.0</t>
  </si>
  <si>
    <t xml:space="preserve">2026-09-13 22:48</t>
  </si>
  <si>
    <t xml:space="preserve">The CRM write-back that had never existed</t>
  </si>
  <si>
    <t xml:space="preserve">src/sfRest.ts (record matching and a Task upserted on an external id so idempotency is the platform's) and src/crmWriteBack.ts (honest per-write status and a durable outbox), plus migration 008 persisting the instance URL that had been discarded since S1 and the custom field shipped in the package.</t>
  </si>
  <si>
    <t xml:space="preserve">The blocker had two halves and only one needed a decision: placing a call needs a provider, but writing the activity back goes to Salesforce whichever provider dials.</t>
  </si>
  <si>
    <t xml:space="preserve">47 suites / 436 tests at 100%; verified from the zip.</t>
  </si>
  <si>
    <t xml:space="preserve">96 Done-or-code-complete of 100</t>
  </si>
  <si>
    <t xml:space="preserve">v023</t>
  </si>
  <si>
    <t xml:space="preserve">v0.27.0</t>
  </si>
  <si>
    <t xml:space="preserve">v029</t>
  </si>
  <si>
    <t xml:space="preserve">2026-09-13 22:52</t>
  </si>
  <si>
    <t xml:space="preserve">The product stops miming a dial</t>
  </si>
  <si>
    <t xml:space="preserve">src/telephony.ts defines the provider contract with two honest implementations — a simulator that marks every record simulated with no provider id, and a refusing implementation for deployments that prefer failure to simulation. The provider is asked before anything is written, and every surface says so.</t>
  </si>
  <si>
    <t xml:space="preserve">The provider decision governs which system dials; it never governed whether the product admits that none did. For eight releases the panel said "Ringing" to a rep whose phone sat still.</t>
  </si>
  <si>
    <t xml:space="preserve">48 suites / 445 tests at 100%; jsdom regression asserts the word "Ringing" is absent.</t>
  </si>
  <si>
    <t xml:space="preserve">96 / 100 (unchanged deliberately)</t>
  </si>
  <si>
    <t xml:space="preserve">v024</t>
  </si>
  <si>
    <t xml:space="preserve">v0.28.0</t>
  </si>
  <si>
    <t xml:space="preserve">2026-09-20 10:45</t>
  </si>
  <si>
    <t xml:space="preserve">Second independent review executed in full (this release)</t>
  </si>
  <si>
    <t xml:space="preserve">All of S14 (widget served, token encryption, security headers and rate limits, symmetric evidence gate, claim-to-test registry, Express 5); the codeable halves of S19–S20 (updateWhere with detached copies, leader-elected outbox worker, transactional caps, observability, SLO rules, real deploy pipeline, DR drill) and S25–S26 (Postgres row-level security, hash-chained audit, session lifecycle, compliance templates); and the provider-independent parts of S15–S16 (E.164 and pre-dial refusal, SOSL phone matching with honest ambiguity).</t>
  </si>
  <si>
    <t xml:space="preserve">The direction was enterprise grade with no scope reduction. Four further defects were found by the remediation itself — three of them production-only failures that every test had been agreeing with.</t>
  </si>
  <si>
    <t xml:space="preserve">58 suites / 613 tests at 100% ×4, zero pragmas, 0 advisories; hash f0f4eb4ab67d; verified from a clean extraction.</t>
  </si>
  <si>
    <t xml:space="preserve">96 / 100 pending D-V4 (→ 76/100)</t>
  </si>
  <si>
    <t xml:space="preserve">NOTE</t>
  </si>
  <si>
    <t xml:space="preserve">Twenty-two released versions. The product's feature surface was complete at v0.10.0 on 11 September; everything after it is correctness, integration, security and evidence — which is where every one of the sixty-plus defects lived.</t>
  </si>
  <si>
    <t xml:space="preserve">PENDING VERSIONS — what is planned, and why each one is pending</t>
  </si>
  <si>
    <t xml:space="preserve">How to use this sheet: one row per planned version. 'Why it is pending' is the real reason, not a schedule. Read the Blocked-by column as a shopping list: five of the nine are waiting on a decision that costs nothing to make, and four on something that has to be bought, provisioned or signed.</t>
  </si>
  <si>
    <t xml:space="preserve">Planned tracker ver</t>
  </si>
  <si>
    <t xml:space="preserve">Planned code ver</t>
  </si>
  <si>
    <t xml:space="preserve">Scope</t>
  </si>
  <si>
    <t xml:space="preserve">Why it is pending</t>
  </si>
  <si>
    <t xml:space="preserve">Blocked by</t>
  </si>
  <si>
    <t xml:space="preserve">Owner</t>
  </si>
  <si>
    <t xml:space="preserve">What would unblock it</t>
  </si>
  <si>
    <t xml:space="preserve">Earliest realistic start</t>
  </si>
  <si>
    <t xml:space="preserve">v025</t>
  </si>
  <si>
    <t xml:space="preserve">v0.29.0</t>
  </si>
  <si>
    <t xml:space="preserve">S13 decision gate — no feature code</t>
  </si>
  <si>
    <t xml:space="preserve">Every item is a ruling, not an implementation. The packets are written (strategy options, carrier trade-offs, model scope, reclassification impact); what is missing is the decision itself.</t>
  </si>
  <si>
    <t xml:space="preserve">D-V4, D-V5, D-V6, D-V7, D-V8, D-V9</t>
  </si>
  <si>
    <t xml:space="preserve">Senthil</t>
  </si>
  <si>
    <t xml:space="preserve">Senthil answers six questions. Claude then reclassifies the stories, rebuilds the model and re-sequences the plan in a day.</t>
  </si>
  <si>
    <t xml:space="preserve">Immediately — nothing external is required</t>
  </si>
  <si>
    <t xml:space="preserve">Pending</t>
  </si>
  <si>
    <t xml:space="preserve">v026</t>
  </si>
  <si>
    <t xml:space="preserve">v0.30.0</t>
  </si>
  <si>
    <t xml:space="preserve">Telephony adapter + inbound webhook (S15)</t>
  </si>
  <si>
    <t xml:space="preserve">No carrier has been chosen, so there is no credential set, no signature scheme and no event vocabulary to build against. Writing an adapter now would mean inventing a provider and then testing the invention.</t>
  </si>
  <si>
    <t xml:space="preserve">D-V5</t>
  </si>
  <si>
    <t xml:space="preserve">Senthil (choice), Claude (build)</t>
  </si>
  <si>
    <t xml:space="preserve">Name the carrier on landed cost per minute. The seam, the idempotency key and the pre-dial guards already exist, so the adapter is one file plus one route.</t>
  </si>
  <si>
    <t xml:space="preserve">Same week as D-V5</t>
  </si>
  <si>
    <t xml:space="preserve">v027</t>
  </si>
  <si>
    <t xml:space="preserve">v0.31.0</t>
  </si>
  <si>
    <t xml:space="preserve">Inbound routing, screen pop, call-quality telemetry (S16)</t>
  </si>
  <si>
    <t xml:space="preserve">Depends on the adapter above, and on a live number that can receive a call.</t>
  </si>
  <si>
    <t xml:space="preserve">D-V5, then a test number</t>
  </si>
  <si>
    <t xml:space="preserve">Claude</t>
  </si>
  <si>
    <t xml:space="preserve">The adapter landing, plus a purchased inbound number.</t>
  </si>
  <si>
    <t xml:space="preserve">After v0.30.0</t>
  </si>
  <si>
    <t xml:space="preserve">v028</t>
  </si>
  <si>
    <t xml:space="preserve">v0.32.0 – v0.33.0</t>
  </si>
  <si>
    <t xml:space="preserve">Salesforce Voice Partner Telephony package (S17–S18)</t>
  </si>
  <si>
    <t xml:space="preserve">Only relevant under strategy option (A). Needs a partner developer org with the Partner Telephony add-on licence, which is not a thing that can be written.</t>
  </si>
  <si>
    <t xml:space="preserve">D-V8, D-V9, partner dev org</t>
  </si>
  <si>
    <t xml:space="preserve">Senthil (org), Claude (build)</t>
  </si>
  <si>
    <t xml:space="preserve">A strategy ruling of (A) plus an org with the add-on enabled. Under option (B) this release is deleted entirely.</t>
  </si>
  <si>
    <t xml:space="preserve">4–6 weeks after D-V8</t>
  </si>
  <si>
    <t xml:space="preserve">v0.34.0</t>
  </si>
  <si>
    <t xml:space="preserve">Live durability and cross-hop tracing (S19–S20 remainder)</t>
  </si>
  <si>
    <t xml:space="preserve">The conformance suite runs against a recording double that now enforces the tenant contract; proving PostgreSQL itself behaves needs a PostgreSQL. Tracing needs a backend to trace into.</t>
  </si>
  <si>
    <t xml:space="preserve">O6 (a database), a hosting platform</t>
  </si>
  <si>
    <t xml:space="preserve">Senthil (provision), Claude (wire)</t>
  </si>
  <si>
    <t xml:space="preserve">Provision any PostgreSQL 16 and any metrics backend. The CI job, the checks and the rules are already written.</t>
  </si>
  <si>
    <t xml:space="preserve">Any day a database exists</t>
  </si>
  <si>
    <t xml:space="preserve">v030</t>
  </si>
  <si>
    <t xml:space="preserve">v0.35.0</t>
  </si>
  <si>
    <t xml:space="preserve">WhatsApp via the Meta Cloud API (S21–S22)</t>
  </si>
  <si>
    <t xml:space="preserve">Never built. The capability the second reviewer called the one genuinely differentiated wedge is also the one blocked on a decision that has been open since 13 September.</t>
  </si>
  <si>
    <t xml:space="preserve">D-V6, Meta business verification</t>
  </si>
  <si>
    <t xml:space="preserve">Senthil (decision + verification), Claude (build)</t>
  </si>
  <si>
    <t xml:space="preserve">Decide to build, then complete Meta business verification. A working pattern exists in a sibling product and is portable.</t>
  </si>
  <si>
    <t xml:space="preserve">3–4 weeks after D-V6</t>
  </si>
  <si>
    <t xml:space="preserve">v031</t>
  </si>
  <si>
    <t xml:space="preserve">v0.36.0</t>
  </si>
  <si>
    <t xml:space="preserve">AI layer: transcription, summaries, real coaching (S23–S24)</t>
  </si>
  <si>
    <t xml:space="preserve">Every story needs call recordings, which need a carrier. Building the AI governance copy first would create exactly the unbacked-claim class this release spent its effort eliminating.</t>
  </si>
  <si>
    <t xml:space="preserve">Recordings (D-V5 → VB-E-024)</t>
  </si>
  <si>
    <t xml:space="preserve">Calls being recorded. Then transcription, summary and scorecards are ordinary work.</t>
  </si>
  <si>
    <t xml:space="preserve">After v0.31.0</t>
  </si>
  <si>
    <t xml:space="preserve">v032</t>
  </si>
  <si>
    <t xml:space="preserve">v0.37.0</t>
  </si>
  <si>
    <t xml:space="preserve">Enterprise close-out: SSO ruling, penetration test, SOC 2 readiness (S25–S26 remainder)</t>
  </si>
  <si>
    <t xml:space="preserve">The internal halves are done — controls, evidence map, DPA template. The remainder needs a vendor, a consultant, a legal entity and a deployed target to test.</t>
  </si>
  <si>
    <t xml:space="preserve">D-V10, a pen-test vendor, a SOC 2 consultant, a live deployment</t>
  </si>
  <si>
    <t xml:space="preserve">Engage the vendors and deploy something for them to test.</t>
  </si>
  <si>
    <t xml:space="preserve">6–8 weeks after a deployment exists</t>
  </si>
  <si>
    <t xml:space="preserve">v033</t>
  </si>
  <si>
    <t xml:space="preserve">v0.38.0 → v1.0.0</t>
  </si>
  <si>
    <t xml:space="preserve">Listing submission, paid pilots, general availability (S27–S29)</t>
  </si>
  <si>
    <t xml:space="preserve">Requires the ISV agreement, the billing route, a $999 security-review submission and a 5–9 month listing lead time — and, before any of it, three organisations willing to run a paid pilot.</t>
  </si>
  <si>
    <t xml:space="preserve">D-V3, D-V8, ISV agreement, VB-E-033 kill point</t>
  </si>
  <si>
    <t xml:space="preserve">The S16 exit gate passing: three paid pilots at the ratified price. If it does not pass, the honest move is to stop rather than to list.</t>
  </si>
  <si>
    <t xml:space="preserve">Not before mid-2027 on the reviewer's own lead-time figures</t>
  </si>
  <si>
    <t xml:space="preserve">READ THIS</t>
  </si>
  <si>
    <t xml:space="preserve">Not one row in this sheet is blocked on engineering difficulty. Five are blocked on a decision, three on a system that has to be provisioned or a vendor engaged, and one on evidence that a customer wants the product at all. Six months of further engineering with today's inputs would not release any of them.</t>
  </si>
  <si>
    <t xml:space="preserve">PENDING LIVE EVIDENCE — the operator steps that are outstanding inside the CURRENT version</t>
  </si>
  <si>
    <t xml:space="preserve">How to use this sheet: these are not future versions. The code for every one of them shipped in v0.28.0 or earlier; what is missing is somebody running it against a real system once. Each row says what turns green when it is done. Record the outcome in the last two columns and then update the matching test case.</t>
  </si>
  <si>
    <t xml:space="preserve">Step</t>
  </si>
  <si>
    <t xml:space="preserve">What must be done</t>
  </si>
  <si>
    <t xml:space="preserve">Why it is still pending</t>
  </si>
  <si>
    <t xml:space="preserve">Who does it</t>
  </si>
  <si>
    <t xml:space="preserve">What it turns green</t>
  </si>
  <si>
    <t xml:space="preserve">Matching test case</t>
  </si>
  <si>
    <t xml:space="preserve">Date done</t>
  </si>
  <si>
    <t xml:space="preserve">Evidence / result</t>
  </si>
  <si>
    <t xml:space="preserve">O6</t>
  </si>
  <si>
    <t xml:space="preserve">Repository conformance against a live PostgreSQL 16</t>
  </si>
  <si>
    <t xml:space="preserve">No database has ever been provisioned. Everything about persistence is proven against a recording double.</t>
  </si>
  <si>
    <t xml:space="preserve">Senthil (provision) → Claude (run)</t>
  </si>
  <si>
    <t xml:space="preserve">Durable storage, counted caps, R-V11 and R-V13 close</t>
  </si>
  <si>
    <t xml:space="preserve">TC-069, TC-073</t>
  </si>
  <si>
    <t xml:space="preserve">O7</t>
  </si>
  <si>
    <t xml:space="preserve">CRM write-back against a live Salesforce developer org</t>
  </si>
  <si>
    <t xml:space="preserve">No developer org exists. The Task upsert, the phone match and the outbox drain have only ever been answered by a double.</t>
  </si>
  <si>
    <t xml:space="preserve">Senthil (org) → Claude (run)</t>
  </si>
  <si>
    <t xml:space="preserve">Auto-logging rows; twenty F2 stories can move to Done</t>
  </si>
  <si>
    <t xml:space="preserve">TC-042, TC-061, TC-062</t>
  </si>
  <si>
    <t xml:space="preserve">O7b</t>
  </si>
  <si>
    <t xml:space="preserve">The softphone panel rendering inside a real utility bar</t>
  </si>
  <si>
    <t xml:space="preserve">Same missing org. This is the step that would have caught the defect (F-P01) that survived three reviews and eight releases.</t>
  </si>
  <si>
    <t xml:space="preserve">The whole in-org surface row</t>
  </si>
  <si>
    <t xml:space="preserve">TC-006</t>
  </si>
  <si>
    <t xml:space="preserve">O9</t>
  </si>
  <si>
    <t xml:space="preserve">Row-level security, audit append-only and the DR drill against live PostgreSQL</t>
  </si>
  <si>
    <t xml:space="preserve">The SQL checks exist and run in CI against an ephemeral database; nobody has run them against a real one as the application role.</t>
  </si>
  <si>
    <t xml:space="preserve">Tenant isolation, audit integrity, DR</t>
  </si>
  <si>
    <t xml:space="preserve">TC-029, TC-032, TC-058</t>
  </si>
  <si>
    <t xml:space="preserve">O10</t>
  </si>
  <si>
    <t xml:space="preserve">SLO game day: a deliberate ten-minute Salesforce outage with alerting connected</t>
  </si>
  <si>
    <t xml:space="preserve">Needs a deployed service and any metrics backend. The rules are exported and waiting.</t>
  </si>
  <si>
    <t xml:space="preserve">Senthil (platform) → Claude (run)</t>
  </si>
  <si>
    <t xml:space="preserve">Operations row; the published 99.5% becomes evidenced</t>
  </si>
  <si>
    <t xml:space="preserve">TC-022, TC-047</t>
  </si>
  <si>
    <t xml:space="preserve">MANUAL TEST CASES — positive and negative, by version</t>
  </si>
  <si>
    <t xml:space="preserve">How to use this sheet: one row per test case. Read the Environment column first — it says whether the case can be run today. The steps are in Test_Steps_Detail, keyed on the same test case id. Fill in Status, Actual result, Tester, Date and Defect ref as you execute; leave everything to the left of Status alone so the pack stays comparable between cycles. Status values: Not run / Pass / Fail / Blocked / N/A.</t>
  </si>
  <si>
    <t xml:space="preserve">Test case ID</t>
  </si>
  <si>
    <t xml:space="preserve">Version</t>
  </si>
  <si>
    <t xml:space="preserve">Area</t>
  </si>
  <si>
    <t xml:space="preserve">Test case name</t>
  </si>
  <si>
    <t xml:space="preserve">Test description</t>
  </si>
  <si>
    <t xml:space="preserve">Type</t>
  </si>
  <si>
    <t xml:space="preserve">Priority</t>
  </si>
  <si>
    <t xml:space="preserve">Environment</t>
  </si>
  <si>
    <t xml:space="preserve">Preconditions</t>
  </si>
  <si>
    <t xml:space="preserve">Test data</t>
  </si>
  <si>
    <t xml:space="preserve">Steps</t>
  </si>
  <si>
    <t xml:space="preserve">Expected result</t>
  </si>
  <si>
    <t xml:space="preserve">Requirement / finding</t>
  </si>
  <si>
    <t xml:space="preserve">Automated counterpart</t>
  </si>
  <si>
    <t xml:space="preserve">Actual result</t>
  </si>
  <si>
    <t xml:space="preserve">Date executed</t>
  </si>
  <si>
    <t xml:space="preserve">Defect ref</t>
  </si>
  <si>
    <t xml:space="preserve">Notes</t>
  </si>
  <si>
    <t xml:space="preserve">TC-001</t>
  </si>
  <si>
    <t xml:space="preserve">In-org softphone surface</t>
  </si>
  <si>
    <t xml:space="preserve">Softphone page is served with both scripts and its injected config</t>
  </si>
  <si>
    <t xml:space="preserve">The page the CallCenter definition points at must be served by the application, carry the Open CTI script and the adapter bundle, and receive its configuration from the server rather than from dead metadata.</t>
  </si>
  <si>
    <t xml:space="preserve">Positive</t>
  </si>
  <si>
    <t xml:space="preserve">Critical</t>
  </si>
  <si>
    <t xml:space="preserve">LOCAL — from the zip</t>
  </si>
  <si>
    <t xml:space="preserve">Service running locally (see step 1). No Salesforce org required.</t>
  </si>
  <si>
    <t xml:space="preserve">GET https://localhost:3000/widget/softphone.html</t>
  </si>
  <si>
    <t xml:space="preserve">HTTP 200, content-type text/html, body contains both script tags and a window.VB_CONFIG assignment with the configured base URL.</t>
  </si>
  <si>
    <t xml:space="preserve">F-P01 / VB-E-010 / ST-001..010</t>
  </si>
  <si>
    <t xml:space="preserve">test/widget.test.ts</t>
  </si>
  <si>
    <t xml:space="preserve">Not run</t>
  </si>
  <si>
    <t xml:space="preserve">TC-002</t>
  </si>
  <si>
    <t xml:space="preserve">An unknown asset under /widget is refused</t>
  </si>
  <si>
    <t xml:space="preserve">The widget route serves an explicit allowlist of three files. Anything else must be a clean 404 rather than a directory listing or a server error.</t>
  </si>
  <si>
    <t xml:space="preserve">Negative</t>
  </si>
  <si>
    <t xml:space="preserve">High</t>
  </si>
  <si>
    <t xml:space="preserve">Service running.</t>
  </si>
  <si>
    <t xml:space="preserve">GET /widget/anything-else.html</t>
  </si>
  <si>
    <t xml:space="preserve">HTTP 404 with a JSON body naming the problem; no file contents and no stack trace.</t>
  </si>
  <si>
    <t xml:space="preserve">F-P01 / VB-E-010</t>
  </si>
  <si>
    <t xml:space="preserve">TC-003</t>
  </si>
  <si>
    <t xml:space="preserve">Path traversal under /widget is refused</t>
  </si>
  <si>
    <t xml:space="preserve">An allowlist rather than a static directory means traversal has nothing to reach; this proves it rather than assuming it.</t>
  </si>
  <si>
    <t xml:space="preserve">GET /widget/..%2Fpackage.json and /widget/package.json</t>
  </si>
  <si>
    <t xml:space="preserve">Both requests return 404. No file outside the widget allowlist is ever served.</t>
  </si>
  <si>
    <t xml:space="preserve">F-P01</t>
  </si>
  <si>
    <t xml:space="preserve">TC-004</t>
  </si>
  <si>
    <t xml:space="preserve">A deployment that skipped the build fails loudly, not blankly</t>
  </si>
  <si>
    <t xml:space="preserve">The adapter bundle is a build output. If a deployment forgets `npm run build`, the org must get an explicit error rather than a blank panel.</t>
  </si>
  <si>
    <t xml:space="preserve">Delete widget/dist/VoiceBridgeSoftphone.js, then request it.</t>
  </si>
  <si>
    <t xml:space="preserve">HTTP 503 with code WIDGET_NOT_BUILT naming the command to run. The HTML page itself still serves.</t>
  </si>
  <si>
    <t xml:space="preserve">TC-005</t>
  </si>
  <si>
    <t xml:space="preserve">The packaged CallCenter URL and the served route are the same path</t>
  </si>
  <si>
    <t xml:space="preserve">The defect this release fixed was a mismatch between metadata and routes that no test could see. The two must be compared directly.</t>
  </si>
  <si>
    <t xml:space="preserve">Service running; the zip extracted.</t>
  </si>
  <si>
    <t xml:space="preserve">sfpackage/.../VoiceBridge.callCenter-meta.xml</t>
  </si>
  <si>
    <t xml:space="preserve">The adapterUrl path is /widget/softphone.html and that exact path returns 200 from the running service. The dead customSettings element is absent.</t>
  </si>
  <si>
    <t xml:space="preserve">F-P01 / VB-E-011</t>
  </si>
  <si>
    <t xml:space="preserve">The panel renders inside a real Salesforce utility bar</t>
  </si>
  <si>
    <t xml:space="preserve">The live counterpart of TC-001. This is operator step O7b and is the single check that would have caught the defect that survived three reviews.</t>
  </si>
  <si>
    <t xml:space="preserve">LIVE Salesforce org</t>
  </si>
  <si>
    <t xml:space="preserve">A Salesforce developer org with the package deployed and the service reachable over https.</t>
  </si>
  <si>
    <t xml:space="preserve">The org's utility bar, opened as an assigned user.</t>
  </si>
  <si>
    <t xml:space="preserve">The VoiceBridge panel appears in the utility bar with a dial pad and no console errors; the network tab shows 200 for softphone.html and for the adapter bundle.</t>
  </si>
  <si>
    <t xml:space="preserve">F-P01 / O7b</t>
  </si>
  <si>
    <t xml:space="preserve">none — this is the live half</t>
  </si>
  <si>
    <t xml:space="preserve">Needs a live system that does not exist yet — see Pending_Live_Evidence.</t>
  </si>
  <si>
    <t xml:space="preserve">TC-007</t>
  </si>
  <si>
    <t xml:space="preserve">Encryption at rest</t>
  </si>
  <si>
    <t xml:space="preserve">Stored Salesforce tokens are envelopes, never plaintext</t>
  </si>
  <si>
    <t xml:space="preserve">The trust page has claimed encryption at rest since S10 over plaintext columns. This is the check that makes the claim answerable on a security questionnaire.</t>
  </si>
  <si>
    <t xml:space="preserve">LOCAL + PostgreSQL</t>
  </si>
  <si>
    <t xml:space="preserve">PostgreSQL reachable; migrations applied; VB_TOKEN_KEYS set to a valid key ring; one org installed.</t>
  </si>
  <si>
    <t xml:space="preserve">VB_TOKEN_KEYS="1:$(openssl rand -base64 32)"</t>
  </si>
  <si>
    <t xml:space="preserve">The access_token and refresh_token columns contain v1.&lt;iv&gt;.&lt;tag&gt;.&lt;ciphertext&gt; envelopes; the plaintext appears nowhere in the table, and key_version records the key used.</t>
  </si>
  <si>
    <t xml:space="preserve">F-P02 / VB-E-012 / CL-T02</t>
  </si>
  <si>
    <t xml:space="preserve">test/tokenCipher.test.ts</t>
  </si>
  <si>
    <t xml:space="preserve">TC-008</t>
  </si>
  <si>
    <t xml:space="preserve">An encrypted token round-trips to the exact original value</t>
  </si>
  <si>
    <t xml:space="preserve">Encryption is worthless if it corrupts the credential. The value read back must be byte-identical to the one stored.</t>
  </si>
  <si>
    <t xml:space="preserve">Service running with VB_TOKEN_KEYS set.</t>
  </si>
  <si>
    <t xml:space="preserve">A known access token and refresh token.</t>
  </si>
  <si>
    <t xml:space="preserve">The values returned by the repository equal the values written, and a Salesforce API call using them is attempted with the correct bearer.</t>
  </si>
  <si>
    <t xml:space="preserve">F-P02</t>
  </si>
  <si>
    <t xml:space="preserve">test/tokenCipher.test.ts, test/repository.test.ts</t>
  </si>
  <si>
    <t xml:space="preserve">TC-009</t>
  </si>
  <si>
    <t xml:space="preserve">An envelope copied into another org's row will not open</t>
  </si>
  <si>
    <t xml:space="preserve">The additional authenticated data binds each envelope to its org and field, so a database-level copy cannot grant the wrong org's credential.</t>
  </si>
  <si>
    <t xml:space="preserve">Two orgs installed, both with tokens.</t>
  </si>
  <si>
    <t xml:space="preserve">UPDATE org_tokens SET access_token = &lt;org A's envelope&gt; WHERE org_id = &lt;org B&gt;</t>
  </si>
  <si>
    <t xml:space="preserve">Reading org B's tokens fails with a decryption error; org B is not silently given org A's credential.</t>
  </si>
  <si>
    <t xml:space="preserve">TC-010</t>
  </si>
  <si>
    <t xml:space="preserve">A tampered envelope is refused rather than partially decrypted</t>
  </si>
  <si>
    <t xml:space="preserve">AES-GCM authenticates the ciphertext. Flipping any byte must fail the whole read.</t>
  </si>
  <si>
    <t xml:space="preserve">A cipher available in a node REPL, or run the automated test.</t>
  </si>
  <si>
    <t xml:space="preserve">An envelope with one character of ciphertext changed.</t>
  </si>
  <si>
    <t xml:space="preserve">Decryption throws. No partial or garbage plaintext is ever returned.</t>
  </si>
  <si>
    <t xml:space="preserve">TC-011</t>
  </si>
  <si>
    <t xml:space="preserve">Production refuses to start without a token key</t>
  </si>
  <si>
    <t xml:space="preserve">A production process that silently stored plaintext would republish the same false claim the release just fixed. Boot must fail closed.</t>
  </si>
  <si>
    <t xml:space="preserve">None.</t>
  </si>
  <si>
    <t xml:space="preserve">NODE_ENV=production with DATABASE_URL and regions set, VB_TOKEN_KEYS unset.</t>
  </si>
  <si>
    <t xml:space="preserve">The process exits with a message naming VB_TOKEN_KEYS and pointing at the runtime documentation. Nothing starts.</t>
  </si>
  <si>
    <t xml:space="preserve">test/tokenCipher.test.ts, test/externalReview.test.ts</t>
  </si>
  <si>
    <t xml:space="preserve">TC-012</t>
  </si>
  <si>
    <t xml:space="preserve">Key rotation moves every org onto the new key and is idempotent</t>
  </si>
  <si>
    <t xml:space="preserve">Rotation must be operable without downtime and must be safe to run twice.</t>
  </si>
  <si>
    <t xml:space="preserve">At least two orgs with tokens stored under key version 1.</t>
  </si>
  <si>
    <t xml:space="preserve">VB_TOKEN_KEYS="1:&lt;old&gt;,2:&lt;new&gt;"</t>
  </si>
  <si>
    <t xml:space="preserve">The sweep reports the number rotated and zero remaining; a second run reports zero rotated. Tokens still decrypt afterwards.</t>
  </si>
  <si>
    <t xml:space="preserve">scripts/rotate-token-keys.ts</t>
  </si>
  <si>
    <t xml:space="preserve">TC-013</t>
  </si>
  <si>
    <t xml:space="preserve">Web hardening</t>
  </si>
  <si>
    <t xml:space="preserve">Security headers are present on a normal JSON response</t>
  </si>
  <si>
    <t xml:space="preserve">The AppExchange security review tests clickjacking protection and CSP directly. Every header is asserted by name and value.</t>
  </si>
  <si>
    <t xml:space="preserve">Service running with an https BASE_URL.</t>
  </si>
  <si>
    <t xml:space="preserve">GET /pricing</t>
  </si>
  <si>
    <t xml:space="preserve">CSP with a Salesforce-only frame-ancestors list, HSTS, nosniff, referrer policy, permissions policy and no-store are all present; X-Frame-Options is deliberately absent.</t>
  </si>
  <si>
    <t xml:space="preserve">F-P04 / VB-E-013</t>
  </si>
  <si>
    <t xml:space="preserve">test/hardening.test.ts</t>
  </si>
  <si>
    <t xml:space="preserve">TC-014</t>
  </si>
  <si>
    <t xml:space="preserve">Error responses carry the same headers as successful ones</t>
  </si>
  <si>
    <t xml:space="preserve">Headers that disappear on the error path are the ones an attacker reaches. 404 and 401 must be as protected as 200.</t>
  </si>
  <si>
    <t xml:space="preserve">GET /nope (404) and POST /dial with no bearer (401)</t>
  </si>
  <si>
    <t xml:space="preserve">Both responses carry the full header set and a JSON envelope. No HTML framework error page is ever returned.</t>
  </si>
  <si>
    <t xml:space="preserve">F-P04</t>
  </si>
  <si>
    <t xml:space="preserve">TC-015</t>
  </si>
  <si>
    <t xml:space="preserve">HSTS is omitted when the deployment is not https</t>
  </si>
  <si>
    <t xml:space="preserve">A header that promises transport security the deployment does not have is a false claim. It must be conditional.</t>
  </si>
  <si>
    <t xml:space="preserve">Medium</t>
  </si>
  <si>
    <t xml:space="preserve">Service running with BASE_URL=http://localhost:3000.</t>
  </si>
  <si>
    <t xml:space="preserve">strict-transport-security is absent; every other header is still present.</t>
  </si>
  <si>
    <t xml:space="preserve">TC-016</t>
  </si>
  <si>
    <t xml:space="preserve">An oversized request body is rejected</t>
  </si>
  <si>
    <t xml:space="preserve">An uncapped JSON parser is a memory-exhaustion path on an unauthenticated route.</t>
  </si>
  <si>
    <t xml:space="preserve">Service running; a valid bearer for an installed org.</t>
  </si>
  <si>
    <t xml:space="preserve">A JSON body of roughly 120 kB.</t>
  </si>
  <si>
    <t xml:space="preserve">HTTP 413. The request never reaches a handler.</t>
  </si>
  <si>
    <t xml:space="preserve">TC-017</t>
  </si>
  <si>
    <t xml:space="preserve">The public OAuth start route is rate limited</t>
  </si>
  <si>
    <t xml:space="preserve">Before this release an unauthenticated caller could generate unlimited PKCE state and unlimited crypto work.</t>
  </si>
  <si>
    <t xml:space="preserve">Service started with VB_RATE_OAUTH_START_PER_MIN=2 for a short test.</t>
  </si>
  <si>
    <t xml:space="preserve">Three requests to /oauth/start within a minute.</t>
  </si>
  <si>
    <t xml:space="preserve">The third request returns 429 with Retry-After and RateLimit-* headers. A different client IP still succeeds.</t>
  </si>
  <si>
    <t xml:space="preserve">F-P04 / VB-E-014</t>
  </si>
  <si>
    <t xml:space="preserve">TC-018</t>
  </si>
  <si>
    <t xml:space="preserve">An authenticated write budget is per org and holds across instances</t>
  </si>
  <si>
    <t xml:space="preserve">A limiter held in one process is not a limit when two instances run. The counter must live in the shared store.</t>
  </si>
  <si>
    <t xml:space="preserve">Two service instances on different ports sharing one DATABASE_URL; VB_RATE_ORG_WRITES_PER_MIN=3.</t>
  </si>
  <si>
    <t xml:space="preserve">Four writes for the same org, alternating between instances.</t>
  </si>
  <si>
    <t xml:space="preserve">The fourth request returns 429 whichever instance serves it; a different org is unaffected.</t>
  </si>
  <si>
    <t xml:space="preserve">TC-019</t>
  </si>
  <si>
    <t xml:space="preserve">A caller-supplied request id is accepted only when it is boring</t>
  </si>
  <si>
    <t xml:space="preserve">Echoing an arbitrary header into every log line is a log-injection path.</t>
  </si>
  <si>
    <t xml:space="preserve">x-request-id: 'trace-abc-12345' then 'x y;z &lt;script&gt;'</t>
  </si>
  <si>
    <t xml:space="preserve">The well-formed id is echoed; the hostile one is replaced by a generated hex id.</t>
  </si>
  <si>
    <t xml:space="preserve">TC-020</t>
  </si>
  <si>
    <t xml:space="preserve">A request that never completes is timed out</t>
  </si>
  <si>
    <t xml:space="preserve">sfGateway has had an outbound timeout since v0.25.0; nothing bounded the inbound side.</t>
  </si>
  <si>
    <t xml:space="preserve">Service started with VB_REQUEST_TIMEOUT_MS=2000.</t>
  </si>
  <si>
    <t xml:space="preserve">A route made artificially slow, or the automated test.</t>
  </si>
  <si>
    <t xml:space="preserve">HTTP 503 with code TIMEOUT and a retryable envelope after roughly two seconds.</t>
  </si>
  <si>
    <t xml:space="preserve">TC-021</t>
  </si>
  <si>
    <t xml:space="preserve">An internal fault is a 500 with a reference, not a 400 with a stack</t>
  </si>
  <si>
    <t xml:space="preserve">Before this release every throw became a 400, which kept real faults out of the error rate and out of anyone's pager.</t>
  </si>
  <si>
    <t xml:space="preserve">Service running; a fault injected (stop PostgreSQL mid-request, or run the automated test).</t>
  </si>
  <si>
    <t xml:space="preserve">Any request whose handler throws a non-VBError.</t>
  </si>
  <si>
    <t xml:space="preserve">HTTP 500 with code INTERNAL, a user action quoting the request id, and no stack or internal message in the body. The error is reported once to the sink.</t>
  </si>
  <si>
    <t xml:space="preserve">VB-E-054</t>
  </si>
  <si>
    <t xml:space="preserve">TC-022</t>
  </si>
  <si>
    <t xml:space="preserve">CRM outbox</t>
  </si>
  <si>
    <t xml:space="preserve">The queue drains unattended after a Salesforce outage</t>
  </si>
  <si>
    <t xml:space="preserve">The reviewer's own acceptance criterion: black-hole Salesforce for ten minutes, then confirm the queue drains with nobody watching.</t>
  </si>
  <si>
    <t xml:space="preserve">Service running with an installed org and the outbox worker enabled (the default).</t>
  </si>
  <si>
    <t xml:space="preserve">Two calls logged while Salesforce is unreachable.</t>
  </si>
  <si>
    <t xml:space="preserve">Both writes queue with status 'queued'; after Salesforce recovers the worker drains both without any human action, and /crm/health returns to zero.</t>
  </si>
  <si>
    <t xml:space="preserve">F-P03 / VB-E-052</t>
  </si>
  <si>
    <t xml:space="preserve">test/outboxWorker.test.ts</t>
  </si>
  <si>
    <t xml:space="preserve">TC-023</t>
  </si>
  <si>
    <t xml:space="preserve">A row inside its backoff window is skipped, not hammered</t>
  </si>
  <si>
    <t xml:space="preserve">Retrying a dead platform once per queued item per tick is how an outage becomes an outage plus a thundering herd.</t>
  </si>
  <si>
    <t xml:space="preserve">One queued row whose attempt count is at least 1.</t>
  </si>
  <si>
    <t xml:space="preserve">An immediate manual retry.</t>
  </si>
  <si>
    <t xml:space="preserve">The drain reports the row as skipped rather than attempted; no outbound call is made for it.</t>
  </si>
  <si>
    <t xml:space="preserve">F-P03</t>
  </si>
  <si>
    <t xml:space="preserve">test/crmWriteBack.test.ts</t>
  </si>
  <si>
    <t xml:space="preserve">TC-024</t>
  </si>
  <si>
    <t xml:space="preserve">A permanently failing row is dead-lettered and never retried again</t>
  </si>
  <si>
    <r>
      <rPr>
        <sz val="10"/>
        <rFont val="Arial"/>
        <family val="0"/>
        <charset val="1"/>
      </rPr>
      <t xml:space="preserve">Without a threshold a poisoned row is retried forever and hides the</t>
    </r>
    <r>
      <rPr>
        <sz val="10"/>
        <rFont val="Noto Sans CJK SC"/>
        <family val="2"/>
      </rPr>
      <t xml:space="preserve">健康 </t>
    </r>
    <r>
      <rPr>
        <sz val="10"/>
        <rFont val="Arial"/>
        <family val="0"/>
        <charset val="1"/>
      </rPr>
      <t xml:space="preserve">of the queue.</t>
    </r>
  </si>
  <si>
    <t xml:space="preserve">A row whose attempts have reached the dead-letter threshold (8).</t>
  </si>
  <si>
    <t xml:space="preserve">Worker tick after the threshold.</t>
  </si>
  <si>
    <t xml:space="preserve">The row moves to the dead-letter kind, is counted in health output, and is never attempted again.</t>
  </si>
  <si>
    <t xml:space="preserve">TC-025</t>
  </si>
  <si>
    <t xml:space="preserve">Only one instance drains, and leadership transfers when it dies</t>
  </si>
  <si>
    <t xml:space="preserve">Two instances draining the same queue would double-write. The lease is what prevents it.</t>
  </si>
  <si>
    <t xml:space="preserve">Two instances sharing one database, both with the worker enabled.</t>
  </si>
  <si>
    <t xml:space="preserve">Instance A stopped abruptly.</t>
  </si>
  <si>
    <t xml:space="preserve">Only one instance reports leader=1 in its metrics; when it stops, the other takes the lease over after expiry.</t>
  </si>
  <si>
    <t xml:space="preserve">TC-026</t>
  </si>
  <si>
    <t xml:space="preserve">Storage contract</t>
  </si>
  <si>
    <t xml:space="preserve">Mutating a record returned by the store does not persist it</t>
  </si>
  <si>
    <t xml:space="preserve">This is the defect class that made four modules silently broken on PostgreSQL. The contract must fail loudly and identically on both implementations.</t>
  </si>
  <si>
    <t xml:space="preserve">The extracted zip.</t>
  </si>
  <si>
    <t xml:space="preserve">The repository conformance suite.</t>
  </si>
  <si>
    <t xml:space="preserve">Changing a field on an object returned by list() has no effect on a subsequent read, on the in-memory store and on PostgreSQL alike.</t>
  </si>
  <si>
    <t xml:space="preserve">F-P03(b) / F-V31 / VB-E-051</t>
  </si>
  <si>
    <t xml:space="preserve">test/repository.test.ts</t>
  </si>
  <si>
    <t xml:space="preserve">TC-027</t>
  </si>
  <si>
    <t xml:space="preserve">Dialling</t>
  </si>
  <si>
    <t xml:space="preserve">A call that ends stays ended after a restart (F-V31 regression)</t>
  </si>
  <si>
    <t xml:space="preserve">On PostgreSQL the state transition used to be discarded, so no call ever ended in production and no activity ever got a duration.</t>
  </si>
  <si>
    <t xml:space="preserve">Service on PostgreSQL with an installed org and the dialer feature set up.</t>
  </si>
  <si>
    <t xml:space="preserve">One dial then one hang-up.</t>
  </si>
  <si>
    <t xml:space="preserve">After the hang-up the stored call reads state 'ended' with an endedAt and an outcome, and it still does after a restart.</t>
  </si>
  <si>
    <t xml:space="preserve">F-V31</t>
  </si>
  <si>
    <t xml:space="preserve">test/repository.test.ts, test/logRoute.test.ts</t>
  </si>
  <si>
    <t xml:space="preserve">TC-028</t>
  </si>
  <si>
    <t xml:space="preserve">Coaching</t>
  </si>
  <si>
    <t xml:space="preserve">A stored scorecard contains data, not an empty object (F-V32 regression)</t>
  </si>
  <si>
    <t xml:space="preserve">A promise was being stored instead of its resolved value; on PostgreSQL every stored scorecard serialised as {}.</t>
  </si>
  <si>
    <t xml:space="preserve">Service on PostgreSQL; some ended calls for a user.</t>
  </si>
  <si>
    <t xml:space="preserve">A snapshot taken for that user.</t>
  </si>
  <si>
    <t xml:space="preserve">The stored coaching record contains the user id, connect rate and average duration — not an empty object.</t>
  </si>
  <si>
    <t xml:space="preserve">F-V32</t>
  </si>
  <si>
    <t xml:space="preserve">test/coldReview2.test.ts</t>
  </si>
  <si>
    <t xml:space="preserve">TC-029</t>
  </si>
  <si>
    <t xml:space="preserve">Tenant isolation</t>
  </si>
  <si>
    <t xml:space="preserve">A cross-tenant read is blocked by the database itself</t>
  </si>
  <si>
    <t xml:space="preserve">The acceptance criterion from the review: the query must be blocked with the application deliberately misconfigured.</t>
  </si>
  <si>
    <t xml:space="preserve">Migrations applied; an application (non-superuser) role granted table access.</t>
  </si>
  <si>
    <t xml:space="preserve">db/checks/rls-smoke.sql</t>
  </si>
  <si>
    <t xml:space="preserve">With the tenant context set to org A, rows belonging to org B are invisible and an insert into org B is refused. With no context at all, nothing is visible.</t>
  </si>
  <si>
    <t xml:space="preserve">VB-E-080</t>
  </si>
  <si>
    <t xml:space="preserve">db/checks/rls-smoke.sql (runs in CI)</t>
  </si>
  <si>
    <t xml:space="preserve">TC-030</t>
  </si>
  <si>
    <t xml:space="preserve">A superuser connection is refused in production</t>
  </si>
  <si>
    <t xml:space="preserve">Superusers bypass row-level security unconditionally, which would silently switch off the isolation the trust page promises.</t>
  </si>
  <si>
    <t xml:space="preserve">A DATABASE_URL whose role is a superuser.</t>
  </si>
  <si>
    <t xml:space="preserve">NODE_ENV=production</t>
  </si>
  <si>
    <t xml:space="preserve">Boot fails with a message naming the superuser problem. Outside production it starts but writes a warning.</t>
  </si>
  <si>
    <t xml:space="preserve">TC-031</t>
  </si>
  <si>
    <t xml:space="preserve">Audit integrity</t>
  </si>
  <si>
    <t xml:space="preserve">The audit chain verifies clean, and a tampered row is located</t>
  </si>
  <si>
    <t xml:space="preserve">An audit log that cannot prove it is intact is a log, not an audit trail.</t>
  </si>
  <si>
    <t xml:space="preserve">An installed org with a few audited actions and an owner session.</t>
  </si>
  <si>
    <t xml:space="preserve">GET /audit/verify</t>
  </si>
  <si>
    <t xml:space="preserve">Verification returns ok:true with the entry count; after a row is altered it returns ok:false naming the position that broke.</t>
  </si>
  <si>
    <t xml:space="preserve">VB-E-081</t>
  </si>
  <si>
    <t xml:space="preserve">test/auditChain.test.ts</t>
  </si>
  <si>
    <t xml:space="preserve">TC-032</t>
  </si>
  <si>
    <t xml:space="preserve">The database refuses to update or delete an audit row</t>
  </si>
  <si>
    <t xml:space="preserve">Application-level append-only is a convention; the trigger makes it a rule.</t>
  </si>
  <si>
    <t xml:space="preserve">Migrations applied; at least one audit row.</t>
  </si>
  <si>
    <t xml:space="preserve">db/checks/audit-append-only.sql</t>
  </si>
  <si>
    <t xml:space="preserve">UPDATE on an audit row raises; DELETE raises unless a sanctioned purge is in progress.</t>
  </si>
  <si>
    <t xml:space="preserve">db/checks/audit-append-only.sql (runs in CI)</t>
  </si>
  <si>
    <t xml:space="preserve">TC-033</t>
  </si>
  <si>
    <t xml:space="preserve">Session lifecycle</t>
  </si>
  <si>
    <t xml:space="preserve">Logout ends exactly one session and leaves others alone</t>
  </si>
  <si>
    <t xml:space="preserve">Revocation that is too broad is as wrong as revocation that does not work.</t>
  </si>
  <si>
    <t xml:space="preserve">An installed org with two valid bearers for the same user.</t>
  </si>
  <si>
    <t xml:space="preserve">POST /auth/logout with bearer A.</t>
  </si>
  <si>
    <t xml:space="preserve">Bearer A is refused afterwards; bearer B still works; the logout is recorded in the audit trail and the session cookie is cleared.</t>
  </si>
  <si>
    <t xml:space="preserve">VB-E-082</t>
  </si>
  <si>
    <t xml:space="preserve">test/sessionLifecycle.test.ts</t>
  </si>
  <si>
    <t xml:space="preserve">TC-034</t>
  </si>
  <si>
    <t xml:space="preserve">Revoke-all invalidates every token issued before it</t>
  </si>
  <si>
    <t xml:space="preserve">The epoch is what makes mass revocation possible without keeping a list of everything ever signed.</t>
  </si>
  <si>
    <t xml:space="preserve">Two valid bearers for the same user.</t>
  </si>
  <si>
    <t xml:space="preserve">POST /auth/revoke-all</t>
  </si>
  <si>
    <t xml:space="preserve">Both existing bearers are refused; a session minted afterwards at the new epoch works.</t>
  </si>
  <si>
    <t xml:space="preserve">TC-035</t>
  </si>
  <si>
    <t xml:space="preserve">Changing a user's role ends that user's sessions</t>
  </si>
  <si>
    <t xml:space="preserve">A demoted user holding a valid token would keep their old permissions until it expired.</t>
  </si>
  <si>
    <t xml:space="preserve">An owner bearer and a member with an active session.</t>
  </si>
  <si>
    <t xml:space="preserve">POST /roles with the member as target.</t>
  </si>
  <si>
    <t xml:space="preserve">The member's existing bearer is refused immediately; the role change is audited; the owner cannot change their own role.</t>
  </si>
  <si>
    <t xml:space="preserve">TC-036</t>
  </si>
  <si>
    <t xml:space="preserve">A member cannot revoke another user's sessions</t>
  </si>
  <si>
    <t xml:space="preserve">Revocation is an administrative action; letting any member fire it is a denial-of-service on colleagues.</t>
  </si>
  <si>
    <t xml:space="preserve">A member bearer and another user in the org.</t>
  </si>
  <si>
    <t xml:space="preserve">POST /auth/revoke-all with targetUserId set.</t>
  </si>
  <si>
    <t xml:space="preserve">HTTP 403. The other user's sessions are untouched.</t>
  </si>
  <si>
    <t xml:space="preserve">TC-037</t>
  </si>
  <si>
    <t xml:space="preserve">A session token minted before this release is refused</t>
  </si>
  <si>
    <t xml:space="preserve">Old tokens lack the token id and epoch, so they cannot be revoked. They must not be grandfathered.</t>
  </si>
  <si>
    <t xml:space="preserve">A token in the pre-v0.28.0 payload shape, correctly signed.</t>
  </si>
  <si>
    <t xml:space="preserve">That token as a bearer.</t>
  </si>
  <si>
    <t xml:space="preserve">HTTP 401 with a message about an incomplete session payload.</t>
  </si>
  <si>
    <t xml:space="preserve">TC-038</t>
  </si>
  <si>
    <t xml:space="preserve">Number handling</t>
  </si>
  <si>
    <t xml:space="preserve">Numbers are normalised to E.164 before anything else happens</t>
  </si>
  <si>
    <t xml:space="preserve">A carrier bills for an attempt whether or not the number was dialable, so validation belongs in front of the provider.</t>
  </si>
  <si>
    <t xml:space="preserve">Dialer feature set up for an org with countryDefault IN.</t>
  </si>
  <si>
    <t xml:space="preserve">'+91 98765 43210', '09876543210', '(415) 555-0100 x204' with countryDefault US, '0044 20 7946 0958'</t>
  </si>
  <si>
    <t xml:space="preserve">Each input is stored and dialled as its E.164 form; an extension is separated rather than dialled.</t>
  </si>
  <si>
    <t xml:space="preserve">VB-E-025</t>
  </si>
  <si>
    <t xml:space="preserve">test/numbers.test.ts</t>
  </si>
  <si>
    <t xml:space="preserve">TC-039</t>
  </si>
  <si>
    <t xml:space="preserve">Malformed numbers are refused with a reason a rep can act on</t>
  </si>
  <si>
    <t xml:space="preserve">A truncated paste that reaches the carrier is a charge for nothing and a confusing failure.</t>
  </si>
  <si>
    <t xml:space="preserve">Dialer feature set up.</t>
  </si>
  <si>
    <t xml:space="preserve">'', 'call me', '9876543', '+999 123456789', '+91 0987654321'</t>
  </si>
  <si>
    <t xml:space="preserve">Every input is refused with code BAD_NUMBER and a message naming the specific problem; no provider call is attempted.</t>
  </si>
  <si>
    <t xml:space="preserve">TC-040</t>
  </si>
  <si>
    <t xml:space="preserve">A blocklisted number is refused before the provider is asked</t>
  </si>
  <si>
    <t xml:space="preserve">This is a compliance event, not a wrong number, and it must be impossible to reach the carrier.</t>
  </si>
  <si>
    <t xml:space="preserve">An owner or admin bearer; dialer set up.</t>
  </si>
  <si>
    <t xml:space="preserve">A number added to the org blocklist.</t>
  </si>
  <si>
    <t xml:space="preserve">The dial is refused with code BLOCKLISTED naming the reason recorded; the addition and removal are audited.</t>
  </si>
  <si>
    <t xml:space="preserve">VB-E-025 / CL-T08</t>
  </si>
  <si>
    <t xml:space="preserve">TC-041</t>
  </si>
  <si>
    <t xml:space="preserve">A member cannot see or change the blocklist</t>
  </si>
  <si>
    <t xml:space="preserve">The blocklist is a compliance control; a member who could clear it could dial an opted-out contact.</t>
  </si>
  <si>
    <t xml:space="preserve">A member bearer.</t>
  </si>
  <si>
    <t xml:space="preserve">GET, POST and DELETE on /blocklist.</t>
  </si>
  <si>
    <t xml:space="preserve">All three return 403. The blocklist is unchanged.</t>
  </si>
  <si>
    <t xml:space="preserve">TC-042</t>
  </si>
  <si>
    <t xml:space="preserve">CRM matching</t>
  </si>
  <si>
    <t xml:space="preserve">One matching record attaches the Task to that person</t>
  </si>
  <si>
    <t xml:space="preserve">The ordinary case: the number belongs to exactly one Contact.</t>
  </si>
  <si>
    <t xml:space="preserve">A CRM double or a live org with one Contact carrying the number.</t>
  </si>
  <si>
    <t xml:space="preserve">A call to that number, then a hang-up.</t>
  </si>
  <si>
    <t xml:space="preserve">The Task is created against that Contact's id and the response reports the match.</t>
  </si>
  <si>
    <t xml:space="preserve">VB-E-031 / ST-013</t>
  </si>
  <si>
    <t xml:space="preserve">TC-043</t>
  </si>
  <si>
    <t xml:space="preserve">Two records on one number produce an unattached Task, not a guess</t>
  </si>
  <si>
    <t xml:space="preserve">Attaching a call to the wrong person is worse than attaching it to nobody, and the old LIKE match silently returned the first row.</t>
  </si>
  <si>
    <t xml:space="preserve">Two Contacts sharing the same phone number.</t>
  </si>
  <si>
    <t xml:space="preserve">The Task is written with no WhoId, its description names how many records share the number, and the response lists the candidates.</t>
  </si>
  <si>
    <t xml:space="preserve">VB-E-031</t>
  </si>
  <si>
    <t xml:space="preserve">test/crmWriteBack.test.ts, test/reviewSprint.test.ts</t>
  </si>
  <si>
    <t xml:space="preserve">TC-044</t>
  </si>
  <si>
    <t xml:space="preserve">A number that matches nothing still records the call</t>
  </si>
  <si>
    <t xml:space="preserve">An incomplete CRM must never cost the rep their note.</t>
  </si>
  <si>
    <t xml:space="preserve">A number matching no record.</t>
  </si>
  <si>
    <t xml:space="preserve">The activity is stored locally and the Task is created unattached, with no error surfaced to the rep.</t>
  </si>
  <si>
    <t xml:space="preserve">ST-013</t>
  </si>
  <si>
    <t xml:space="preserve">TC-045</t>
  </si>
  <si>
    <t xml:space="preserve">Observability</t>
  </si>
  <si>
    <t xml:space="preserve">The metrics endpoint is protected and can be switched off</t>
  </si>
  <si>
    <t xml:space="preserve">An open metrics endpoint leaks operational detail; an unprotected one on a public host leaks it to anyone.</t>
  </si>
  <si>
    <t xml:space="preserve">Service running with VB_METRICS_TOKEN set.</t>
  </si>
  <si>
    <t xml:space="preserve">GET /metrics with and without the bearer.</t>
  </si>
  <si>
    <t xml:space="preserve">Without the bearer: 401. With it: 200 and Prometheus text. With the token unset: 404, endpoint disabled.</t>
  </si>
  <si>
    <t xml:space="preserve">test/observability.test.ts</t>
  </si>
  <si>
    <t xml:space="preserve">TC-046</t>
  </si>
  <si>
    <t xml:space="preserve">Metrics report route patterns, never concrete identifiers</t>
  </si>
  <si>
    <t xml:space="preserve">Putting org ids into metric labels explodes the label set and leaks tenant identity into a shared system.</t>
  </si>
  <si>
    <t xml:space="preserve">Service running with a metrics token.</t>
  </si>
  <si>
    <t xml:space="preserve">A request to /onboarding/&lt;some org id&gt;.</t>
  </si>
  <si>
    <t xml:space="preserve">The exposition contains route="/onboarding/:orgId" and never the concrete id.</t>
  </si>
  <si>
    <t xml:space="preserve">TC-047</t>
  </si>
  <si>
    <t xml:space="preserve">SLO</t>
  </si>
  <si>
    <t xml:space="preserve">The published 99.5% is expressed as a budget with importable alert rules</t>
  </si>
  <si>
    <t xml:space="preserve">A number in a spec that nothing measures is a claim; this makes it operable.</t>
  </si>
  <si>
    <t xml:space="preserve">GET /status/slo</t>
  </si>
  <si>
    <t xml:space="preserve">The response carries the objective, requests, errors, consumed budget and three alert rules whose expressions reference the exported metric names.</t>
  </si>
  <si>
    <t xml:space="preserve">VB-E-055 / CL-S01</t>
  </si>
  <si>
    <t xml:space="preserve">TC-048</t>
  </si>
  <si>
    <t xml:space="preserve">Logs are structured and never carry a secret</t>
  </si>
  <si>
    <t xml:space="preserve">An operator greps logs; a leaked token in one is a credential incident.</t>
  </si>
  <si>
    <t xml:space="preserve">Any authenticated request.</t>
  </si>
  <si>
    <t xml:space="preserve">Every line is a single JSON object with ts, level and msg; fields named like credentials are redacted.</t>
  </si>
  <si>
    <t xml:space="preserve">TC-049</t>
  </si>
  <si>
    <t xml:space="preserve">Release gates</t>
  </si>
  <si>
    <t xml:space="preserve">Adding a source file without regenerating evidence fails the release</t>
  </si>
  <si>
    <t xml:space="preserve">The one-directional gate let an untested new module ship inside a release reporting 100% coverage.</t>
  </si>
  <si>
    <t xml:space="preserve">The extracted zip with its evidence pack.</t>
  </si>
  <si>
    <t xml:space="preserve">A new file under src/.</t>
  </si>
  <si>
    <t xml:space="preserve">npm run evidence:check fails, naming the file the evidence never saw.</t>
  </si>
  <si>
    <t xml:space="preserve">F-P05 / VB-E-015</t>
  </si>
  <si>
    <t xml:space="preserve">test/externalReview.test.ts</t>
  </si>
  <si>
    <t xml:space="preserve">TC-050</t>
  </si>
  <si>
    <t xml:space="preserve">A test suite on disk that the run never executed fails the release</t>
  </si>
  <si>
    <t xml:space="preserve">Suites were outside the manifest entirely, so a suite added or skipped after the evidence run was invisible.</t>
  </si>
  <si>
    <t xml:space="preserve">A new empty test file.</t>
  </si>
  <si>
    <t xml:space="preserve">The check fails, naming the suite that was never executed.</t>
  </si>
  <si>
    <t xml:space="preserve">F-P05</t>
  </si>
  <si>
    <t xml:space="preserve">TC-051</t>
  </si>
  <si>
    <t xml:space="preserve">Published claims</t>
  </si>
  <si>
    <t xml:space="preserve">A published sentence with no test behind it fails the build</t>
  </si>
  <si>
    <t xml:space="preserve">Three reviews found the same class — WhatsApp, residency, encryption. This closes the class instead of the instances.</t>
  </si>
  <si>
    <t xml:space="preserve">An extra sentence added to the trust page.</t>
  </si>
  <si>
    <t xml:space="preserve">npx jest test/claims.test.ts fails until the sentence is registered as a claim and carried by a tagged test.</t>
  </si>
  <si>
    <t xml:space="preserve">VB-E-016</t>
  </si>
  <si>
    <t xml:space="preserve">test/claims.test.ts</t>
  </si>
  <si>
    <t xml:space="preserve">TC-052</t>
  </si>
  <si>
    <t xml:space="preserve">The trust page states only what the code does</t>
  </si>
  <si>
    <t xml:space="preserve">The page is the artefact a security reviewer reads first; every sentence on it is now backed by a test.</t>
  </si>
  <si>
    <t xml:space="preserve">GET /trust</t>
  </si>
  <si>
    <t xml:space="preserve">Encryption, tenant isolation, audit and do-not-call sentences are present and accurate; contacts read 'not yet published' when unset; no placeholder domain appears.</t>
  </si>
  <si>
    <t xml:space="preserve">VB-E-016 / VB-E-084</t>
  </si>
  <si>
    <t xml:space="preserve">test/reviewSprint.test.ts, test/claims.test.ts</t>
  </si>
  <si>
    <t xml:space="preserve">TC-053</t>
  </si>
  <si>
    <t xml:space="preserve">The WhatsApp article describes what exists, not what was hoped for</t>
  </si>
  <si>
    <t xml:space="preserve">The help centre described linking a WhatsApp Business number, which the product cannot do.</t>
  </si>
  <si>
    <t xml:space="preserve">GET /help/articles</t>
  </si>
  <si>
    <t xml:space="preserve">Article HC-05 states the integration is not yet available and describes only the event-posting path that does work.</t>
  </si>
  <si>
    <t xml:space="preserve">VB-CR-008 / VB-E-016</t>
  </si>
  <si>
    <t xml:space="preserve">TC-054</t>
  </si>
  <si>
    <t xml:space="preserve">Supply chain</t>
  </si>
  <si>
    <t xml:space="preserve">The production dependency tree carries no advisories</t>
  </si>
  <si>
    <t xml:space="preserve">The previous release shipped two accepted moderate advisories with a dated expiry; Express 5 removed the need for the acceptance.</t>
  </si>
  <si>
    <t xml:space="preserve">The extracted zip with dependencies installed.</t>
  </si>
  <si>
    <t xml:space="preserve">npm audit --omit=dev</t>
  </si>
  <si>
    <t xml:space="preserve">Zero vulnerabilities at every severity. The dated acceptance in docs/security-advisories.md is marked retired.</t>
  </si>
  <si>
    <t xml:space="preserve">VB-E-017 / VB-CR-013</t>
  </si>
  <si>
    <t xml:space="preserve">CI security job</t>
  </si>
  <si>
    <t xml:space="preserve">TC-055</t>
  </si>
  <si>
    <t xml:space="preserve">The scripts type-check actually runs and passes</t>
  </si>
  <si>
    <t xml:space="preserve">The step added in v0.25.0 could never have passed: it type-checked files that import ES2015 iteration with no target set.</t>
  </si>
  <si>
    <t xml:space="preserve">npm run typecheck:scripts</t>
  </si>
  <si>
    <t xml:space="preserve">The command exits zero. The CI workflow calls this script rather than an inline tsc invocation.</t>
  </si>
  <si>
    <t xml:space="preserve">F-V33</t>
  </si>
  <si>
    <t xml:space="preserve">CI test job</t>
  </si>
  <si>
    <t xml:space="preserve">TC-056</t>
  </si>
  <si>
    <t xml:space="preserve">The whole suite passes from a clean extraction at full coverage</t>
  </si>
  <si>
    <t xml:space="preserve">The release claim is only meaningful if it reproduces from the artefact that was shipped, not from the working tree.</t>
  </si>
  <si>
    <t xml:space="preserve">The delivered zip and nothing else.</t>
  </si>
  <si>
    <t xml:space="preserve">npm ci &amp;&amp; npx jest --coverage</t>
  </si>
  <si>
    <t xml:space="preserve">58 suites, 613 tests, 100% statements, branches, functions and lines, and no coverage pragmas anywhere in src/.</t>
  </si>
  <si>
    <t xml:space="preserve">D13 / VB-CR-009</t>
  </si>
  <si>
    <t xml:space="preserve">the suite itself</t>
  </si>
  <si>
    <t xml:space="preserve">TC-057</t>
  </si>
  <si>
    <t xml:space="preserve">Operations</t>
  </si>
  <si>
    <t xml:space="preserve">A blue/green deploy rolls back by itself when the live slot is unhealthy</t>
  </si>
  <si>
    <t xml:space="preserve">The job this replaced was an echo statement; rollback that has never run is not rollback.</t>
  </si>
  <si>
    <t xml:space="preserve">LIVE deployment</t>
  </si>
  <si>
    <t xml:space="preserve">A hosting platform with two slots and the five deploy variables set.</t>
  </si>
  <si>
    <t xml:space="preserve">A deliberately broken build deployed to the idle slot.</t>
  </si>
  <si>
    <t xml:space="preserve">The idle-slot health gate fails and traffic is never switched; if a failure is introduced after the switch, the script switches back automatically and reports it.</t>
  </si>
  <si>
    <t xml:space="preserve">VB-E-056</t>
  </si>
  <si>
    <t xml:space="preserve">test/reviewSprint.test.ts asserts the script's shape only</t>
  </si>
  <si>
    <t xml:space="preserve">TC-058</t>
  </si>
  <si>
    <t xml:space="preserve">A backup restores with matching row counts and checksums</t>
  </si>
  <si>
    <t xml:space="preserve">The in-process drill proved a JSON dump of a Map. This proves the real thing, and measures the recovery time.</t>
  </si>
  <si>
    <t xml:space="preserve">A live PostgreSQL with data and pg_dump/pg_restore available.</t>
  </si>
  <si>
    <t xml:space="preserve">npm run dr-drill</t>
  </si>
  <si>
    <t xml:space="preserve">The drill dumps, restores into a scratch database, compares per-table row counts and content checksums, prints a measured restore time and writes a report.</t>
  </si>
  <si>
    <t xml:space="preserve">VB-E-057 / ST-090</t>
  </si>
  <si>
    <t xml:space="preserve">scripts/dr-drill.sh</t>
  </si>
  <si>
    <t xml:space="preserve">TC-059</t>
  </si>
  <si>
    <t xml:space="preserve">Dialling honesty</t>
  </si>
  <si>
    <t xml:space="preserve">A call nobody placed says so on every surface</t>
  </si>
  <si>
    <t xml:space="preserve">For eight releases the panel told a rep 'Ringing' while their phone sat still.</t>
  </si>
  <si>
    <t xml:space="preserve">No telephony provider configured (the default).</t>
  </si>
  <si>
    <t xml:space="preserve">POST /dial</t>
  </si>
  <si>
    <t xml:space="preserve">The record carries simulated:true, no provider call id, and the provider name 'simulated (no provider configured)'; the panel text names the simulation and never says Ringing.</t>
  </si>
  <si>
    <t xml:space="preserve">VB-CR-005 / ST-002</t>
  </si>
  <si>
    <t xml:space="preserve">test/telephony.test.ts</t>
  </si>
  <si>
    <t xml:space="preserve">TC-060</t>
  </si>
  <si>
    <t xml:space="preserve">A deployment can choose failure over simulation</t>
  </si>
  <si>
    <t xml:space="preserve">Some deployments would rather a dial fail loudly than record a call that never happened.</t>
  </si>
  <si>
    <t xml:space="preserve">The refusing telephony implementation injected.</t>
  </si>
  <si>
    <t xml:space="preserve">The dial fails and no call record is written at all — a refusal is a failed dial, not a stored record of a call that never happened.</t>
  </si>
  <si>
    <t xml:space="preserve">VB-CR-005</t>
  </si>
  <si>
    <t xml:space="preserve">TC-061</t>
  </si>
  <si>
    <t xml:space="preserve">CRM write-back</t>
  </si>
  <si>
    <t xml:space="preserve">One call produces exactly one Task, however many times it is logged</t>
  </si>
  <si>
    <t xml:space="preserve">Idempotency is the platform's, via an upsert on our external id, so a retry or a second instance cannot duplicate the activity.</t>
  </si>
  <si>
    <t xml:space="preserve">An installed org and a CRM double or live org.</t>
  </si>
  <si>
    <t xml:space="preserve">Two /log calls with the same call id.</t>
  </si>
  <si>
    <t xml:space="preserve">The first creates the Task (201), the second updates it (204). Exactly one Task exists for the call.</t>
  </si>
  <si>
    <t xml:space="preserve">VB-CR-005 / ST-011..020</t>
  </si>
  <si>
    <t xml:space="preserve">TC-062</t>
  </si>
  <si>
    <t xml:space="preserve">A Salesforce outage never costs the rep their note</t>
  </si>
  <si>
    <t xml:space="preserve">The customer's record of the call must not depend on the platform being reachable at that second.</t>
  </si>
  <si>
    <t xml:space="preserve">An installed org; Salesforce made unreachable.</t>
  </si>
  <si>
    <t xml:space="preserve">A hang-up with notes during the outage.</t>
  </si>
  <si>
    <t xml:space="preserve">The activity is stored locally, the response reports crm.status 'queued' rather than success, and the queue is visible at /crm/health.</t>
  </si>
  <si>
    <t xml:space="preserve">TC-063</t>
  </si>
  <si>
    <t xml:space="preserve">Install</t>
  </si>
  <si>
    <t xml:space="preserve">The OAuth callback answers the redirect a browser actually makes</t>
  </si>
  <si>
    <t xml:space="preserve">Only a POST route existed and every test POSTed it, so the suite agreed with itself while a real install would have landed on an unhandled GET.</t>
  </si>
  <si>
    <t xml:space="preserve">GET /oauth/callback?code=…&amp;state=…</t>
  </si>
  <si>
    <t xml:space="preserve">The install completes, the session arrives as an HttpOnly cookie, and the browser is redirected to the welcome page.</t>
  </si>
  <si>
    <t xml:space="preserve">VB-CR-002</t>
  </si>
  <si>
    <t xml:space="preserve">TC-064</t>
  </si>
  <si>
    <t xml:space="preserve">A replayed or unknown OAuth state is refused</t>
  </si>
  <si>
    <t xml:space="preserve">Single-use state is what stops an authorisation code being replayed.</t>
  </si>
  <si>
    <t xml:space="preserve">The same state value twice; then a state never issued.</t>
  </si>
  <si>
    <t xml:space="preserve">The first callback completes; the second is refused; an unknown state is refused.</t>
  </si>
  <si>
    <t xml:space="preserve">VB-CR-002 / VER-V07</t>
  </si>
  <si>
    <t xml:space="preserve">TC-065</t>
  </si>
  <si>
    <t xml:space="preserve">The installer cannot name themselves owner</t>
  </si>
  <si>
    <t xml:space="preserve">The gateway returned the org and tokens, then the callback took the user id from the request body and made that user the owner.</t>
  </si>
  <si>
    <t xml:space="preserve">A callback carrying an attacker-chosen userId in the body or query.</t>
  </si>
  <si>
    <t xml:space="preserve">The supplied id is ignored; ownership goes to the identity Salesforce confirmed. A session for the attacker-chosen id is refused.</t>
  </si>
  <si>
    <t xml:space="preserve">VB-CR-003</t>
  </si>
  <si>
    <t xml:space="preserve">TC-066</t>
  </si>
  <si>
    <t xml:space="preserve">In-org authentication</t>
  </si>
  <si>
    <t xml:space="preserve">The softphone trades its install cookie for a bearer</t>
  </si>
  <si>
    <t xml:space="preserve">The adapter sent no Authorization header at all, so every /dial and /log from a real org would have been 401.</t>
  </si>
  <si>
    <t xml:space="preserve">A completed install and its session cookie.</t>
  </si>
  <si>
    <t xml:space="preserve">GET /softphone/bootstrap</t>
  </si>
  <si>
    <t xml:space="preserve">The bootstrap returns a token, the org, the user and the service base; subsequent calls with that bearer succeed; without it they are 401.</t>
  </si>
  <si>
    <t xml:space="preserve">VB-CR-001</t>
  </si>
  <si>
    <t xml:space="preserve">test/softphoneE2e.test.ts</t>
  </si>
  <si>
    <t xml:space="preserve">TC-067</t>
  </si>
  <si>
    <t xml:space="preserve">Authorisation</t>
  </si>
  <si>
    <t xml:space="preserve">A member cannot read the owner's billing</t>
  </si>
  <si>
    <t xml:space="preserve">Cross-org access was closed earlier; least privilege inside an org was not.</t>
  </si>
  <si>
    <t xml:space="preserve">An org with an owner and a member.</t>
  </si>
  <si>
    <t xml:space="preserve">Member bearer against the billing and analytics screens and the support queue.</t>
  </si>
  <si>
    <t xml:space="preserve">Each returns 403. The same requests as owner return 200.</t>
  </si>
  <si>
    <t xml:space="preserve">VB-CR-007</t>
  </si>
  <si>
    <t xml:space="preserve">TC-068</t>
  </si>
  <si>
    <t xml:space="preserve">Durability</t>
  </si>
  <si>
    <t xml:space="preserve">Production refuses to run on in-memory storage</t>
  </si>
  <si>
    <t xml:space="preserve">The repository and its migrations existed for ten releases while the running service was still in-memory.</t>
  </si>
  <si>
    <t xml:space="preserve">NODE_ENV=production with no DATABASE_URL.</t>
  </si>
  <si>
    <t xml:space="preserve">Boot fails with a message stating the service refuses in-memory storage in production.</t>
  </si>
  <si>
    <t xml:space="preserve">VB-CR-004</t>
  </si>
  <si>
    <t xml:space="preserve">TC-069</t>
  </si>
  <si>
    <t xml:space="preserve">A duplicate activity is refused by the database, not by application code</t>
  </si>
  <si>
    <t xml:space="preserve">An application-level check is defeated by a second instance however carefully it is written.</t>
  </si>
  <si>
    <t xml:space="preserve">Migrations applied.</t>
  </si>
  <si>
    <t xml:space="preserve">Two inserts of the same activity external id.</t>
  </si>
  <si>
    <t xml:space="preserve">The first write succeeds and the second is refused by the unique index; exactly one row exists.</t>
  </si>
  <si>
    <t xml:space="preserve">R-V15</t>
  </si>
  <si>
    <t xml:space="preserve">TC-070</t>
  </si>
  <si>
    <t xml:space="preserve">Concurrency</t>
  </si>
  <si>
    <t xml:space="preserve">Ten partner slots means ten, even under concurrent invites</t>
  </si>
  <si>
    <t xml:space="preserve">Every guard in the product was a read-then-write, and the async conversion put an await in the middle of each one.</t>
  </si>
  <si>
    <t xml:space="preserve">An org with no design partners.</t>
  </si>
  <si>
    <t xml:space="preserve">Eleven invites issued concurrently.</t>
  </si>
  <si>
    <t xml:space="preserve">Exactly ten are accepted and the eleventh is refused with SLOTS_FULL; the count never exceeds the cap.</t>
  </si>
  <si>
    <t xml:space="preserve">F-V28 / ST-100</t>
  </si>
  <si>
    <t xml:space="preserve">test/concurrency.test.ts</t>
  </si>
  <si>
    <t xml:space="preserve">TC-071</t>
  </si>
  <si>
    <t xml:space="preserve">Identity boundary</t>
  </si>
  <si>
    <t xml:space="preserve">A caller cannot read another org by changing the URL</t>
  </si>
  <si>
    <t xml:space="preserve">The screen routes added one release earlier took the org id straight from the path and verified nothing.</t>
  </si>
  <si>
    <t xml:space="preserve">Two installed orgs with separate sessions.</t>
  </si>
  <si>
    <t xml:space="preserve">Org A's bearer against org B's UI route.</t>
  </si>
  <si>
    <t xml:space="preserve">HTTP 403. No data from org B is returned in any form.</t>
  </si>
  <si>
    <t xml:space="preserve">F-V23</t>
  </si>
  <si>
    <t xml:space="preserve">test/authBoundary.test.ts</t>
  </si>
  <si>
    <t xml:space="preserve">TC-072</t>
  </si>
  <si>
    <t xml:space="preserve">A forged or altered session is refused</t>
  </si>
  <si>
    <t xml:space="preserve">The signature is the claim; nothing about the caller's assertion is trusted.</t>
  </si>
  <si>
    <t xml:space="preserve">A valid session token.</t>
  </si>
  <si>
    <t xml:space="preserve">The token with its payload altered, and a token signed with the wrong key.</t>
  </si>
  <si>
    <t xml:space="preserve">Both are refused with 401 and a message about the signature or payload; neither is partially accepted.</t>
  </si>
  <si>
    <t xml:space="preserve">F-V21</t>
  </si>
  <si>
    <t xml:space="preserve">TC-073</t>
  </si>
  <si>
    <t xml:space="preserve">Migrations</t>
  </si>
  <si>
    <t xml:space="preserve">An altered migration is a hard error, not a silent divergence</t>
  </si>
  <si>
    <t xml:space="preserve">A checksum change on an applied file means the database and the repository disagree about history.</t>
  </si>
  <si>
    <t xml:space="preserve">Migrations already applied once.</t>
  </si>
  <si>
    <t xml:space="preserve">One character changed in an applied migration file.</t>
  </si>
  <si>
    <t xml:space="preserve">npm run migrate fails naming the file whose checksum changed; nothing further is applied.</t>
  </si>
  <si>
    <t xml:space="preserve">GAP-V4</t>
  </si>
  <si>
    <t xml:space="preserve">test/migrations coverage in the suite</t>
  </si>
  <si>
    <t xml:space="preserve">TC-074</t>
  </si>
  <si>
    <t xml:space="preserve">Screens</t>
  </si>
  <si>
    <t xml:space="preserve">All nine specified screens render and pass the accessibility audit</t>
  </si>
  <si>
    <t xml:space="preserve">Five P0 stories claimed an end-to-end surface while only two screens existed.</t>
  </si>
  <si>
    <t xml:space="preserve">An installed org with an owner bearer.</t>
  </si>
  <si>
    <t xml:space="preserve">GET /ui/&lt;org&gt; and each screen with ?format=html</t>
  </si>
  <si>
    <t xml:space="preserve">Nine screens are returned; each renders as HTML; the automated jest-axe audit passes on populated and empty states.</t>
  </si>
  <si>
    <t xml:space="preserve">GAP-V2 / ST-005..045</t>
  </si>
  <si>
    <t xml:space="preserve">test/screens.test.ts, test/a11y.test.ts</t>
  </si>
  <si>
    <t xml:space="preserve">TC-075</t>
  </si>
  <si>
    <t xml:space="preserve">v0.30.0 (pending)</t>
  </si>
  <si>
    <t xml:space="preserve">Real dialling</t>
  </si>
  <si>
    <t xml:space="preserve">A dial rings a real handset and the outcome reaches the CRM</t>
  </si>
  <si>
    <t xml:space="preserve">The first test in this product's history whose pass condition is a telephone ringing. Written now so it is ready the day a provider is chosen.</t>
  </si>
  <si>
    <t xml:space="preserve">BLOCKED — feature not built</t>
  </si>
  <si>
    <t xml:space="preserve">A telephony provider chosen (D-V5), credentials configured, a live org and a test handset.</t>
  </si>
  <si>
    <t xml:space="preserve">A dial from a Salesforce record to a handset you control.</t>
  </si>
  <si>
    <t xml:space="preserve">The handset rings; the call record carries a provider call id and simulated:false; on hang-up a Task appears on the record without human intervention.</t>
  </si>
  <si>
    <t xml:space="preserve">VB-E-020 / D-V5</t>
  </si>
  <si>
    <t xml:space="preserve">none yet — the adapter does not exist</t>
  </si>
  <si>
    <t xml:space="preserve">Blocked</t>
  </si>
  <si>
    <t xml:space="preserve">Written in advance; the capability does not exist yet — see Pending_Versions.</t>
  </si>
  <si>
    <t xml:space="preserve">TC-076</t>
  </si>
  <si>
    <t xml:space="preserve">A replayed provider webhook produces exactly one state change</t>
  </si>
  <si>
    <t xml:space="preserve">Carriers retry webhooks. Idempotency on the provider call id is what stops a retried event double-counting a call.</t>
  </si>
  <si>
    <t xml:space="preserve">The adapter and inbound webhook route built (D-V5).</t>
  </si>
  <si>
    <t xml:space="preserve">The same signed webhook delivered twice.</t>
  </si>
  <si>
    <t xml:space="preserve">The first delivery moves the call state; the second is accepted and ignored. Unsigned and stale deliveries are refused.</t>
  </si>
  <si>
    <t xml:space="preserve">VB-E-021 / D-V5</t>
  </si>
  <si>
    <t xml:space="preserve">none yet</t>
  </si>
  <si>
    <t xml:space="preserve">TC-077</t>
  </si>
  <si>
    <t xml:space="preserve">v0.31.0 (pending)</t>
  </si>
  <si>
    <t xml:space="preserve">Inbound</t>
  </si>
  <si>
    <t xml:space="preserve">An inbound call pops the matching Contact</t>
  </si>
  <si>
    <t xml:space="preserve">The inbound half of the product promise. Blocked on the same provider decision.</t>
  </si>
  <si>
    <t xml:space="preserve">Inbound routing built; a provisioned inbound number; a live org.</t>
  </si>
  <si>
    <t xml:space="preserve">A call to the inbound number from a known Contact's number.</t>
  </si>
  <si>
    <t xml:space="preserve">The matching Contact opens in the agent's Salesforce window before they answer; the activity is logged on the call ending.</t>
  </si>
  <si>
    <t xml:space="preserve">VB-E-030 / D-V5</t>
  </si>
  <si>
    <t xml:space="preserve">TC-078</t>
  </si>
  <si>
    <t xml:space="preserve">v0.35.0 (pending)</t>
  </si>
  <si>
    <t xml:space="preserve">WhatsApp</t>
  </si>
  <si>
    <t xml:space="preserve">A WhatsApp message is sent and received end to end</t>
  </si>
  <si>
    <t xml:space="preserve">The capability the second reviewer called the one genuinely differentiated and unbuilt wedge.</t>
  </si>
  <si>
    <t xml:space="preserve">D-V6 decided to build; Meta business verification complete; a registered number.</t>
  </si>
  <si>
    <t xml:space="preserve">A message sent from the console and a reply from a real device.</t>
  </si>
  <si>
    <t xml:space="preserve">The outbound message arrives on the device; the reply appears threaded on the Contact in Salesforce; both are logged as activities.</t>
  </si>
  <si>
    <t xml:space="preserve">VB-E-060 / D-V6</t>
  </si>
  <si>
    <t xml:space="preserve">TC-079</t>
  </si>
  <si>
    <t xml:space="preserve">A free-form message outside the 24-hour window is refused</t>
  </si>
  <si>
    <t xml:space="preserve">Sending outside the customer-care window without a template is a platform violation, not a product choice.</t>
  </si>
  <si>
    <t xml:space="preserve">A contact whose last inbound message is more than 24 hours old.</t>
  </si>
  <si>
    <t xml:space="preserve">A free-form outbound message.</t>
  </si>
  <si>
    <t xml:space="preserve">The send is refused with a named error pointing at template messaging; a template send to the same contact succeeds.</t>
  </si>
  <si>
    <t xml:space="preserve">VB-E-061 / D-V6</t>
  </si>
  <si>
    <t xml:space="preserve">TC-080</t>
  </si>
  <si>
    <t xml:space="preserve">v0.32.0 (pending)</t>
  </si>
  <si>
    <t xml:space="preserve">Packaging</t>
  </si>
  <si>
    <t xml:space="preserve">The package installs in a scratch org and creates its Contact Center</t>
  </si>
  <si>
    <t xml:space="preserve">Only relevant under strategy option (A). Written so the decision can be executed rather than researched.</t>
  </si>
  <si>
    <t xml:space="preserve">D-V8 resolved as (A); a Dev Hub, a registered namespace and the Partner Telephony add-on.</t>
  </si>
  <si>
    <t xml:space="preserve">sf package install into a fresh scratch org.</t>
  </si>
  <si>
    <t xml:space="preserve">The package installs without errors, the Contact Center is created from its definition, and permission sets assign cleanly in three org shapes.</t>
  </si>
  <si>
    <t xml:space="preserve">VB-E-040 / VB-E-045 / D-V8</t>
  </si>
  <si>
    <t xml:space="preserve">TEST STEPS — every case broken into numbered steps</t>
  </si>
  <si>
    <t xml:space="preserve">How to use this sheet: filter on a test case id and work down. Each row is one action and the result that action must produce. A step whose expected result does not occur is a failed case: record it in Test_Cases and raise a row in Defect_Log. Record per-step outcomes in the last column if the case fails, so the report says which step broke.</t>
  </si>
  <si>
    <t xml:space="preserve">Step #</t>
  </si>
  <si>
    <t xml:space="preserve">Action — what the tester does</t>
  </si>
  <si>
    <t xml:space="preserve">Expected result of this step</t>
  </si>
  <si>
    <t xml:space="preserve">Step outcome (Pass / Fail)</t>
  </si>
  <si>
    <t xml:space="preserve">Observation</t>
  </si>
  <si>
    <t xml:space="preserve">Start the service: from the extracted zip run `npm ci`, then `npm run build`, then `VB_SESSION_SECRET=&lt;32+ chars&gt; SF_CLIENT_ID=x SF_CLIENT_SECRET=y BASE_URL=https://localhost:3000 npm start`.</t>
  </si>
  <si>
    <t xml:space="preserve">The boot lines report the storage choice and whether tokens are encrypted; the service listens on port 3000.</t>
  </si>
  <si>
    <t xml:space="preserve">Request the page: `curl -i https://localhost:3000/widget/softphone.html`.</t>
  </si>
  <si>
    <t xml:space="preserve">HTTP/1.1 200 OK with `content-type: text/html; charset=utf-8`.</t>
  </si>
  <si>
    <t xml:space="preserve">Search the body for the Open CTI script tag.</t>
  </si>
  <si>
    <t xml:space="preserve">`&lt;script src="/support/api/67.0/lightning/opencti_min.js"&gt;&lt;/script&gt;` is present.</t>
  </si>
  <si>
    <t xml:space="preserve">Search the body for the adapter bundle tag.</t>
  </si>
  <si>
    <t xml:space="preserve">`&lt;script src="/widget/VoiceBridgeSoftphone.js"&gt;&lt;/script&gt;` is present — not a static-resource filename.</t>
  </si>
  <si>
    <t xml:space="preserve">Search the body for the injected configuration.</t>
  </si>
  <si>
    <t xml:space="preserve">`&lt;script&gt;window.VB_CONFIG = {"serviceBase":"https://localhost:3000","statusPollSeconds":30};&lt;/script&gt;` is present and the `&lt;!--VB_CONFIG--&gt;` marker is gone.</t>
  </si>
  <si>
    <t xml:space="preserve">Request the adapter bundle: `curl -i https://localhost:3000/widget/VoiceBridgeSoftphone.js`.</t>
  </si>
  <si>
    <t xml:space="preserve">HTTP 200, `content-type: application/javascript`, body defines `VoiceBridgeAdapter`.</t>
  </si>
  <si>
    <t xml:space="preserve">Request a file that is not on the allowlist: `curl -i https://localhost:3000/widget/evil.html`.</t>
  </si>
  <si>
    <t xml:space="preserve">HTTP 404.</t>
  </si>
  <si>
    <t xml:space="preserve">Inspect the body.</t>
  </si>
  <si>
    <t xml:space="preserve">`{"error":"unknown widget asset"}` — JSON, no HTML error page, no path echoed back.</t>
  </si>
  <si>
    <t xml:space="preserve">Confirm the security headers are still present on the 404.</t>
  </si>
  <si>
    <t xml:space="preserve">`content-security-policy` and `x-content-type-options: nosniff` are on the response.</t>
  </si>
  <si>
    <t xml:space="preserve">`curl -i "https://localhost:3000/widget/..%2Fpackage.json"`.</t>
  </si>
  <si>
    <t xml:space="preserve">HTTP 404, JSON body.</t>
  </si>
  <si>
    <t xml:space="preserve">`curl -i https://localhost:3000/widget/package.json`.</t>
  </si>
  <si>
    <t xml:space="preserve">Confirm no package.json content appears in either response.</t>
  </si>
  <si>
    <t xml:space="preserve">Neither body contains `"name": "voicebridge-cti"`.</t>
  </si>
  <si>
    <t xml:space="preserve">Stop the service and delete the built bundle: `rm widget/dist/VoiceBridgeSoftphone.js`.</t>
  </si>
  <si>
    <t xml:space="preserve">File removed.</t>
  </si>
  <si>
    <t xml:space="preserve">Start the service again and request the bundle.</t>
  </si>
  <si>
    <t xml:space="preserve">HTTP 503 with `{"error":"dist/VoiceBridgeSoftphone.js has not been built — run npm run build:widget","code":"WIDGET_NOT_BUILT"}`.</t>
  </si>
  <si>
    <t xml:space="preserve">Request softphone.html.</t>
  </si>
  <si>
    <t xml:space="preserve">Still HTTP 200 — the page serves, and the failure is isolated to the missing artefact.</t>
  </si>
  <si>
    <t xml:space="preserve">Run `npm run build:widget` and re-request the bundle.</t>
  </si>
  <si>
    <t xml:space="preserve">HTTP 200. Restore the build before continuing.</t>
  </si>
  <si>
    <t xml:space="preserve">Open `sfpackage/force-app/main/default/callCenters/VoiceBridge.callCenter-meta.xml`.</t>
  </si>
  <si>
    <t xml:space="preserve">`&lt;adapterUrl&gt;https://APP_BASE_URL_PLACEHOLDER/widget/softphone.html&lt;/adapterUrl&gt;` is present.</t>
  </si>
  <si>
    <t xml:space="preserve">Confirm there is no `&lt;customSettings&gt;` element.</t>
  </si>
  <si>
    <t xml:space="preserve">Absent — configuration now comes from the server, so the metadata cannot drift from it.</t>
  </si>
  <si>
    <t xml:space="preserve">Take the path portion of adapterUrl and request it from the running service.</t>
  </si>
  <si>
    <t xml:space="preserve">HTTP 200.</t>
  </si>
  <si>
    <t xml:space="preserve">Deploy the package to the developer org and assign a VoiceBridge permission set.</t>
  </si>
  <si>
    <t xml:space="preserve">Deploy succeeds; permission set assigned.</t>
  </si>
  <si>
    <t xml:space="preserve">Set the CallCenter adapterUrl to the real service base URL.</t>
  </si>
  <si>
    <t xml:space="preserve">Metadata saved.</t>
  </si>
  <si>
    <t xml:space="preserve">Open the utility bar as that user and open the browser network tab.</t>
  </si>
  <si>
    <t xml:space="preserve">GET /widget/softphone.html returns 200; GET /widget/VoiceBridgeSoftphone.js returns 200.</t>
  </si>
  <si>
    <t xml:space="preserve">Look at the panel itself.</t>
  </si>
  <si>
    <t xml:space="preserve">Dial pad, call-state area and outcome fields render. No 404 and no blank frame.</t>
  </si>
  <si>
    <t xml:space="preserve">Check the console for CSP violations.</t>
  </si>
  <si>
    <t xml:space="preserve">No `frame-ancestors` violation — the Salesforce domain is on the allowlist.</t>
  </si>
  <si>
    <t xml:space="preserve">Generate a key and export it: `export VB_TOKEN_KEYS="1:$(openssl rand -base64 32)"`.</t>
  </si>
  <si>
    <t xml:space="preserve">A 32-byte base64 key with version 1.</t>
  </si>
  <si>
    <t xml:space="preserve">Apply migrations (`npm run migrate`) and start the service against the database.</t>
  </si>
  <si>
    <t xml:space="preserve">Boot line reads `tokens: encrypted at rest`.</t>
  </si>
  <si>
    <t xml:space="preserve">Complete an install so tokens are stored.</t>
  </si>
  <si>
    <t xml:space="preserve">An org row and a token row exist.</t>
  </si>
  <si>
    <t xml:space="preserve">Query the table: `psql "$DATABASE_URL" -c "select access_token, key_version from org_tokens"`.</t>
  </si>
  <si>
    <t xml:space="preserve">access_token starts with `v1.` and has four dot-separated parts; key_version is 1.</t>
  </si>
  <si>
    <t xml:space="preserve">Search the whole table for the known plaintext token value.</t>
  </si>
  <si>
    <t xml:space="preserve">Zero rows match — the plaintext is nowhere in the database.</t>
  </si>
  <si>
    <t xml:space="preserve">Store a token pair with known values through an install.</t>
  </si>
  <si>
    <t xml:space="preserve">Stored.</t>
  </si>
  <si>
    <t xml:space="preserve">Trigger any code path that spends the token (for example a CRM write) with request logging on.</t>
  </si>
  <si>
    <t xml:space="preserve">The outbound call carries `authorization: Bearer &lt;the original access token&gt;`.</t>
  </si>
  <si>
    <t xml:space="preserve">Restart the service and repeat.</t>
  </si>
  <si>
    <t xml:space="preserve">Same result — the envelope decrypts identically after a restart.</t>
  </si>
  <si>
    <t xml:space="preserve">Copy org A's access_token envelope into org B's row with a direct UPDATE (set vb.org_id to '*' first).</t>
  </si>
  <si>
    <t xml:space="preserve">Row updated.</t>
  </si>
  <si>
    <t xml:space="preserve">Make org B do something that reads its tokens.</t>
  </si>
  <si>
    <t xml:space="preserve">The request fails with an authentication error rather than succeeding.</t>
  </si>
  <si>
    <t xml:space="preserve">Check the service log.</t>
  </si>
  <si>
    <t xml:space="preserve">An error is reported; no line contains a decrypted token value.</t>
  </si>
  <si>
    <t xml:space="preserve">Restore org B's original row.</t>
  </si>
  <si>
    <t xml:space="preserve">State restored.</t>
  </si>
  <si>
    <t xml:space="preserve">In a node REPL, encrypt a value with the token cipher and note the envelope.</t>
  </si>
  <si>
    <t xml:space="preserve">A `v1.…` string.</t>
  </si>
  <si>
    <t xml:space="preserve">Change one character in the final (ciphertext) segment and attempt to decrypt.</t>
  </si>
  <si>
    <t xml:space="preserve">An exception is thrown — unsupported state or authentication failure.</t>
  </si>
  <si>
    <t xml:space="preserve">Change one character in the tag segment and attempt to decrypt.</t>
  </si>
  <si>
    <t xml:space="preserve">An exception is thrown.</t>
  </si>
  <si>
    <t xml:space="preserve">Start with NODE_ENV=production, DATABASE_URL, HYPERFORCE_REGION and APP_HOST_REGION set but no VB_TOKEN_KEYS.</t>
  </si>
  <si>
    <t xml:space="preserve">Boot fails.</t>
  </si>
  <si>
    <t xml:space="preserve">Read the error.</t>
  </si>
  <si>
    <t xml:space="preserve">`VB_TOKEN_KEYS must be set in production — tokens are encrypted at rest and there is no key`.</t>
  </si>
  <si>
    <t xml:space="preserve">Confirm nothing is listening on the port.</t>
  </si>
  <si>
    <t xml:space="preserve">Connection refused.</t>
  </si>
  <si>
    <t xml:space="preserve">Add a second key: `export VB_TOKEN_KEYS="1:&lt;old&gt;,2:&lt;new&gt;"`.</t>
  </si>
  <si>
    <t xml:space="preserve">Two versions in the ring; version 2 is active.</t>
  </si>
  <si>
    <t xml:space="preserve">Run `npm run rotate-token-keys`.</t>
  </si>
  <si>
    <t xml:space="preserve">`token keys: rotated N org(s) to key version 2; 0 remaining`.</t>
  </si>
  <si>
    <t xml:space="preserve">Query key_version in org_tokens.</t>
  </si>
  <si>
    <t xml:space="preserve">Every row reads 2.</t>
  </si>
  <si>
    <t xml:space="preserve">Run the rotation again.</t>
  </si>
  <si>
    <t xml:space="preserve">`rotated 0 org(s) … 0 remaining` — idempotent.</t>
  </si>
  <si>
    <t xml:space="preserve">Remove key 1 from the ring, restart and read a token.</t>
  </si>
  <si>
    <t xml:space="preserve">Still decrypts under key 2.</t>
  </si>
  <si>
    <t xml:space="preserve">`curl -i https://localhost:3000/pricing`.</t>
  </si>
  <si>
    <t xml:space="preserve">Read content-security-policy.</t>
  </si>
  <si>
    <t xml:space="preserve">Contains `frame-ancestors https://*.salesforce.com https://*.force.com https://*.lightning.force.com`, `object-src 'none'` and `base-uri 'self'`.</t>
  </si>
  <si>
    <t xml:space="preserve">Read the remaining headers.</t>
  </si>
  <si>
    <t xml:space="preserve">`x-content-type-options: nosniff`, `referrer-policy: no-referrer`, `permissions-policy` present, `cache-control: no-store`, `strict-transport-security: max-age=31536000; includeSubDomains`.</t>
  </si>
  <si>
    <t xml:space="preserve">Confirm x-frame-options is NOT set.</t>
  </si>
  <si>
    <t xml:space="preserve">Absent by design — it cannot express an allowlist and the CSP directive supersedes it.</t>
  </si>
  <si>
    <t xml:space="preserve">Confirm x-request-id is set.</t>
  </si>
  <si>
    <t xml:space="preserve">A 24-character hex id is returned.</t>
  </si>
  <si>
    <t xml:space="preserve">`curl -i https://localhost:3000/nope`.</t>
  </si>
  <si>
    <t xml:space="preserve">HTTP 404, JSON body `{"code":"NOT_FOUND",…}`, full header set present.</t>
  </si>
  <si>
    <t xml:space="preserve">`curl -i -X POST https://localhost:3000/dial -H 'content-type: application/json' -d '{}'`.</t>
  </si>
  <si>
    <t xml:space="preserve">HTTP 401, JSON envelope, full header set present.</t>
  </si>
  <si>
    <t xml:space="preserve">Confirm neither body is HTML.</t>
  </si>
  <si>
    <t xml:space="preserve">No `&lt;html&gt;` and no framework name in either response.</t>
  </si>
  <si>
    <t xml:space="preserve">Restart with `BASE_URL=http://localhost:3000`.</t>
  </si>
  <si>
    <t xml:space="preserve">`curl -i http://localhost:3000/pricing`.</t>
  </si>
  <si>
    <t xml:space="preserve">No `strict-transport-security` header.</t>
  </si>
  <si>
    <t xml:space="preserve">Confirm CSP is still present.</t>
  </si>
  <si>
    <t xml:space="preserve">`content-security-policy` with frame-ancestors is present.</t>
  </si>
  <si>
    <t xml:space="preserve">Build a large payload: `python3 -c "print('{\"toNumber\":\"' + 'x'*120000 + '\"}')" &gt; big.json`.</t>
  </si>
  <si>
    <t xml:space="preserve">A ~120 kB file.</t>
  </si>
  <si>
    <t xml:space="preserve">POST it to /dial with a valid bearer.</t>
  </si>
  <si>
    <t xml:space="preserve">HTTP 413 Payload Too Large.</t>
  </si>
  <si>
    <t xml:space="preserve">Confirm the service is still healthy.</t>
  </si>
  <si>
    <t xml:space="preserve">GET /health returns 200.</t>
  </si>
  <si>
    <t xml:space="preserve">Restart with `VB_RATE_OAUTH_START_PER_MIN=2`.</t>
  </si>
  <si>
    <t xml:space="preserve">Call GET /oauth/start twice.</t>
  </si>
  <si>
    <t xml:space="preserve">Both 200; `ratelimit-remaining` falls to 0.</t>
  </si>
  <si>
    <t xml:space="preserve">Call it a third time.</t>
  </si>
  <si>
    <t xml:space="preserve">HTTP 429 with `{"code":"RATE_LIMITED","retryable":true}`, a `retry-after` header in seconds and `ratelimit-limit: 2`.</t>
  </si>
  <si>
    <t xml:space="preserve">Repeat with a different `x-forwarded-for` value.</t>
  </si>
  <si>
    <t xml:space="preserve">HTTP 200 — the budget is per client address.</t>
  </si>
  <si>
    <t xml:space="preserve">Start two instances against the same database with `VB_RATE_ORG_WRITES_PER_MIN=3`.</t>
  </si>
  <si>
    <t xml:space="preserve">Both listening.</t>
  </si>
  <si>
    <t xml:space="preserve">Send three POSTs to /log for org A, alternating instances.</t>
  </si>
  <si>
    <t xml:space="preserve">None returns 429.</t>
  </si>
  <si>
    <t xml:space="preserve">Send a fourth for org A to either instance.</t>
  </si>
  <si>
    <t xml:space="preserve">HTTP 429 with Retry-After.</t>
  </si>
  <si>
    <t xml:space="preserve">Send one for org B.</t>
  </si>
  <si>
    <t xml:space="preserve">Not rate limited — budgets are per org.</t>
  </si>
  <si>
    <t xml:space="preserve">Send GET /pricing with `x-request-id: trace-abc-12345`.</t>
  </si>
  <si>
    <t xml:space="preserve">The response echoes `x-request-id: trace-abc-12345`.</t>
  </si>
  <si>
    <t xml:space="preserve">Send GET /pricing with `x-request-id: x y;z &lt;script&gt;`.</t>
  </si>
  <si>
    <t xml:space="preserve">The response carries a generated 24-character hex id instead.</t>
  </si>
  <si>
    <t xml:space="preserve">Check the service log for that request.</t>
  </si>
  <si>
    <t xml:space="preserve">The log line carries the generated id; the hostile string appears nowhere.</t>
  </si>
  <si>
    <t xml:space="preserve">Restart with `VB_REQUEST_TIMEOUT_MS=2000`.</t>
  </si>
  <si>
    <t xml:space="preserve">Make a request that cannot complete (for example point DATABASE_URL at an unreachable host and call a data route).</t>
  </si>
  <si>
    <t xml:space="preserve">After ~2s: HTTP 503.</t>
  </si>
  <si>
    <t xml:space="preserve">Read the body.</t>
  </si>
  <si>
    <t xml:space="preserve">`{"error":"Request timed out","code":"TIMEOUT","retryable":true,…}`.</t>
  </si>
  <si>
    <t xml:space="preserve">With the service connected to PostgreSQL, stop the database.</t>
  </si>
  <si>
    <t xml:space="preserve">Database unavailable.</t>
  </si>
  <si>
    <t xml:space="preserve">Call an authenticated route that reads data.</t>
  </si>
  <si>
    <t xml:space="preserve">HTTP 500.</t>
  </si>
  <si>
    <t xml:space="preserve">`{"code":"INTERNAL","retryable":true,"userAction":"Contact support with reference &lt;request id&gt;.","message":"Internal error"}`.</t>
  </si>
  <si>
    <t xml:space="preserve">Confirm no internal detail leaked.</t>
  </si>
  <si>
    <t xml:space="preserve">The body contains no stack, no SQL and no driver message.</t>
  </si>
  <si>
    <t xml:space="preserve">Check the log.</t>
  </si>
  <si>
    <t xml:space="preserve">One `unhandled error` line carrying the same request id, the org id and the route.</t>
  </si>
  <si>
    <t xml:space="preserve">Block outbound traffic to Salesforce (firewall rule, or point the instance URL at a dead host).</t>
  </si>
  <si>
    <t xml:space="preserve">Salesforce unreachable.</t>
  </si>
  <si>
    <t xml:space="preserve">Log two calls through POST /log.</t>
  </si>
  <si>
    <t xml:space="preserve">Each response carries `crm.status: "queued"`; the rep's note is stored regardless.</t>
  </si>
  <si>
    <t xml:space="preserve">GET /crm/health.</t>
  </si>
  <si>
    <t xml:space="preserve">`queued: 2` with an oldestAt timestamp.</t>
  </si>
  <si>
    <t xml:space="preserve">Restore connectivity and wait for the next worker tick (default 30 s) without touching anything.</t>
  </si>
  <si>
    <t xml:space="preserve">The log shows an `outbox tick` line with written: 2.</t>
  </si>
  <si>
    <t xml:space="preserve">GET /crm/health again.</t>
  </si>
  <si>
    <t xml:space="preserve">`{"queued":0,"deadLettered":0}` — nobody pressed a button.</t>
  </si>
  <si>
    <t xml:space="preserve">Cause a write to fail so a row queues.</t>
  </si>
  <si>
    <t xml:space="preserve">One row in the outbox with attempts = 1 and a nextAttemptAt in the future.</t>
  </si>
  <si>
    <t xml:space="preserve">Immediately POST /crm/retry.</t>
  </si>
  <si>
    <t xml:space="preserve">Response reports `skipped: 1, written: 0`.</t>
  </si>
  <si>
    <t xml:space="preserve">Check the Salesforce-side request log or the double.</t>
  </si>
  <si>
    <t xml:space="preserve">No outbound attempt was made for that row.</t>
  </si>
  <si>
    <t xml:space="preserve">Arrange a row at 8 attempts (repeatedly fail a write, or set attempts directly in the store).</t>
  </si>
  <si>
    <t xml:space="preserve">attempts = 8.</t>
  </si>
  <si>
    <t xml:space="preserve">Run a worker tick or POST /crm/retry.</t>
  </si>
  <si>
    <t xml:space="preserve">Result reports `deadLettered: 1`.</t>
  </si>
  <si>
    <t xml:space="preserve">`queued` no longer counts it; `deadLettered: 1`.</t>
  </si>
  <si>
    <t xml:space="preserve">Run another tick.</t>
  </si>
  <si>
    <t xml:space="preserve">`deadLettered: 0` — the parked row is not picked up again.</t>
  </si>
  <si>
    <t xml:space="preserve">Start two instances against the same database.</t>
  </si>
  <si>
    <t xml:space="preserve">Both running.</t>
  </si>
  <si>
    <t xml:space="preserve">Scrape /metrics on each.</t>
  </si>
  <si>
    <t xml:space="preserve">Exactly one reports `vb_outbox_worker_leader 1`; the other reports 0.</t>
  </si>
  <si>
    <t xml:space="preserve">Kill the leader process.</t>
  </si>
  <si>
    <t xml:space="preserve">Process gone without releasing the lease.</t>
  </si>
  <si>
    <t xml:space="preserve">Wait for the lease to expire (three tick intervals) and scrape the survivor.</t>
  </si>
  <si>
    <t xml:space="preserve">It now reports `vb_outbox_worker_leader 1` and begins draining.</t>
  </si>
  <si>
    <t xml:space="preserve">Run `npx jest test/repository.test.ts`.</t>
  </si>
  <si>
    <t xml:space="preserve">All conformance tests pass on both implementations.</t>
  </si>
  <si>
    <t xml:space="preserve">Read the case named 'mutating an object returned by list() does NOT persist'.</t>
  </si>
  <si>
    <t xml:space="preserve">It writes a row, reads it, mutates the returned object, re-reads and asserts the original value.</t>
  </si>
  <si>
    <t xml:space="preserve">Confirm the same case runs twice, once per implementation.</t>
  </si>
  <si>
    <t xml:space="preserve">The describe.each block covers InMemoryRepository and PgRepository.</t>
  </si>
  <si>
    <t xml:space="preserve">POST /dial with a valid number.</t>
  </si>
  <si>
    <t xml:space="preserve">A call record is returned with an id and state `dialing` (and `simulated: true`).</t>
  </si>
  <si>
    <t xml:space="preserve">POST /log with that call id, an outcome and a note.</t>
  </si>
  <si>
    <t xml:space="preserve">Response carries the call with state `ended`, an endedAt and the outcome.</t>
  </si>
  <si>
    <t xml:space="preserve">Restart the service and read the call back from storage.</t>
  </si>
  <si>
    <t xml:space="preserve">Still `ended` — the transition was written, not applied to a discarded copy.</t>
  </si>
  <si>
    <t xml:space="preserve">Check the activity that was created.</t>
  </si>
  <si>
    <t xml:space="preserve">It carries a non-zero duration derived from the ended timestamp.</t>
  </si>
  <si>
    <t xml:space="preserve">Create and end at least two calls for a user.</t>
  </si>
  <si>
    <t xml:space="preserve">Calls stored as ended.</t>
  </si>
  <si>
    <t xml:space="preserve">Take a coaching snapshot for that user.</t>
  </si>
  <si>
    <t xml:space="preserve">A scorecard is returned with real numbers.</t>
  </si>
  <si>
    <t xml:space="preserve">Read the stored record from the database.</t>
  </si>
  <si>
    <t xml:space="preserve">The JSON payload contains `userId`, `connectRate` and `avgDurationSeconds` — it is not `{}`.</t>
  </si>
  <si>
    <t xml:space="preserve">Connect as the application role and run `psql -v ON_ERROR_STOP=1 "$DATABASE_URL" -f db/checks/rls-smoke.sql`.</t>
  </si>
  <si>
    <t xml:space="preserve">The script prints `rls-smoke: PASS`.</t>
  </si>
  <si>
    <t xml:space="preserve">Manually: `BEGIN; SELECT set_config('vb.org_id','rls-a',true); SELECT count(*) FROM org_records WHERE org_id='rls-b';`</t>
  </si>
  <si>
    <t xml:space="preserve">Returns 0 — the other org's rows are invisible even when named explicitly.</t>
  </si>
  <si>
    <t xml:space="preserve">In the same transaction attempt an INSERT for org rls-b.</t>
  </si>
  <si>
    <t xml:space="preserve">Refused by the row-level security policy.</t>
  </si>
  <si>
    <t xml:space="preserve">Open a transaction with no tenant context and select from org_records.</t>
  </si>
  <si>
    <t xml:space="preserve">Zero rows — default deny.</t>
  </si>
  <si>
    <t xml:space="preserve">Start with NODE_ENV=production and a superuser DATABASE_URL.</t>
  </si>
  <si>
    <t xml:space="preserve">Boot fails: `DATABASE_URL connects as a superuser — row-level security is bypassed for superusers`.</t>
  </si>
  <si>
    <t xml:space="preserve">Start the same configuration without NODE_ENV=production.</t>
  </si>
  <si>
    <t xml:space="preserve">Starts, and stderr carries the same warning.</t>
  </si>
  <si>
    <t xml:space="preserve">Switch to an application role and start in production.</t>
  </si>
  <si>
    <t xml:space="preserve">Boots cleanly.</t>
  </si>
  <si>
    <t xml:space="preserve">Perform two or three audited actions (feature setup, a role change).</t>
  </si>
  <si>
    <t xml:space="preserve">Audit entries exist.</t>
  </si>
  <si>
    <t xml:space="preserve">GET /audit/verify with an owner bearer.</t>
  </si>
  <si>
    <t xml:space="preserve">`{"ok":true,"entries":N}`.</t>
  </si>
  <si>
    <t xml:space="preserve">Alter the detail of one stored audit row directly in the store.</t>
  </si>
  <si>
    <t xml:space="preserve">Row changed.</t>
  </si>
  <si>
    <t xml:space="preserve">GET /audit/verify again.</t>
  </si>
  <si>
    <t xml:space="preserve">`{"ok":false,"brokenAt":&lt;position&gt;,"reason":"entry hash does not match its content"}`.</t>
  </si>
  <si>
    <t xml:space="preserve">Try the same endpoint with a member bearer.</t>
  </si>
  <si>
    <t xml:space="preserve">HTTP 403 — verification is an owner/admin action.</t>
  </si>
  <si>
    <t xml:space="preserve">Run `psql -v ON_ERROR_STOP=1 "$DATABASE_URL" -f db/checks/audit-append-only.sql`.</t>
  </si>
  <si>
    <t xml:space="preserve">Prints `audit-append-only: PASS`.</t>
  </si>
  <si>
    <t xml:space="preserve">Manually attempt `UPDATE org_records SET payload='{}' WHERE kind='audit';` as the application role.</t>
  </si>
  <si>
    <t xml:space="preserve">Raises `audit records are append-only (VB-E-081)`.</t>
  </si>
  <si>
    <t xml:space="preserve">Attempt a DELETE of an audit row without setting vb.purge.</t>
  </si>
  <si>
    <t xml:space="preserve">Raises `audit records can only be removed by an org purge`.</t>
  </si>
  <si>
    <t xml:space="preserve">Run a real org purge through the application.</t>
  </si>
  <si>
    <t xml:space="preserve">Succeeds — the purge sets the flag the trigger honours.</t>
  </si>
  <si>
    <t xml:space="preserve">Obtain two sessions for the same user (complete an install twice, or mint a second token).</t>
  </si>
  <si>
    <t xml:space="preserve">Two valid bearers.</t>
  </si>
  <si>
    <t xml:space="preserve">Call an authenticated route with each.</t>
  </si>
  <si>
    <t xml:space="preserve">Both return 200.</t>
  </si>
  <si>
    <t xml:space="preserve">`{"loggedOut":true}` and a Set-Cookie clearing the session with Max-Age=0.</t>
  </si>
  <si>
    <t xml:space="preserve">Retry the authenticated route with bearer A, then with bearer B.</t>
  </si>
  <si>
    <t xml:space="preserve">A returns 401; B still returns 200.</t>
  </si>
  <si>
    <t xml:space="preserve">Read the audit trail.</t>
  </si>
  <si>
    <t xml:space="preserve">A `session.logout` entry is present.</t>
  </si>
  <si>
    <t xml:space="preserve">Obtain two bearers for the same user and confirm both work.</t>
  </si>
  <si>
    <t xml:space="preserve">Both 200.</t>
  </si>
  <si>
    <t xml:space="preserve">POST /auth/revoke-all with one of them.</t>
  </si>
  <si>
    <t xml:space="preserve">`{"revoked":true,"userId":…,"epoch":1}`.</t>
  </si>
  <si>
    <t xml:space="preserve">Retry both bearers.</t>
  </si>
  <si>
    <t xml:space="preserve">Both return 401 with an authentication error.</t>
  </si>
  <si>
    <t xml:space="preserve">Mint a new session for that user and retry.</t>
  </si>
  <si>
    <t xml:space="preserve">HTTP 200 — the new token carries the current epoch.</t>
  </si>
  <si>
    <t xml:space="preserve">Confirm the member's bearer works.</t>
  </si>
  <si>
    <t xml:space="preserve">POST /roles as owner with `{"targetUserId":"&lt;member&gt;","role":"admin"}`.</t>
  </si>
  <si>
    <t xml:space="preserve">`{"userId":…,"role":"admin","sessionsRevoked":true}`.</t>
  </si>
  <si>
    <t xml:space="preserve">Retry the member's original bearer.</t>
  </si>
  <si>
    <t xml:space="preserve">HTTP 401.</t>
  </si>
  <si>
    <t xml:space="preserve">POST /roles as owner targeting themselves.</t>
  </si>
  <si>
    <t xml:space="preserve">Refused with code SELF_ROLE.</t>
  </si>
  <si>
    <t xml:space="preserve">POST /roles with an invalid role value.</t>
  </si>
  <si>
    <t xml:space="preserve">Refused with code BAD_ROLE.</t>
  </si>
  <si>
    <t xml:space="preserve">A `role.assign` entry naming the target and the new role.</t>
  </si>
  <si>
    <t xml:space="preserve">POST /auth/revoke-all as a member with `{"targetUserId":"&lt;someone else&gt;"}`.</t>
  </si>
  <si>
    <t xml:space="preserve">HTTP 403.</t>
  </si>
  <si>
    <t xml:space="preserve">Confirm the other user's bearer still works.</t>
  </si>
  <si>
    <t xml:space="preserve">Repeat as an admin.</t>
  </si>
  <si>
    <t xml:space="preserve">HTTP 200 with a new epoch — admins may revoke others.</t>
  </si>
  <si>
    <t xml:space="preserve">Construct a payload of `{orgId,userId,issuedAt}` only and sign it with the session secret.</t>
  </si>
  <si>
    <t xml:space="preserve">A syntactically valid token.</t>
  </si>
  <si>
    <t xml:space="preserve">Use it as a bearer on an authenticated route.</t>
  </si>
  <si>
    <t xml:space="preserve">The session payload is reported as incomplete — not accepted as a legacy shape.</t>
  </si>
  <si>
    <t xml:space="preserve">POST /dial with `+91 98765 43210`.</t>
  </si>
  <si>
    <t xml:space="preserve">The stored call's toNumber is `+919876543210`.</t>
  </si>
  <si>
    <t xml:space="preserve">POST /dial with `09876543210` (national form, org default IN).</t>
  </si>
  <si>
    <t xml:space="preserve">Also `+919876543210` — the trunk prefix is stripped.</t>
  </si>
  <si>
    <t xml:space="preserve">Set countryDefault to US and POST `(415) 555-0100 x204`.</t>
  </si>
  <si>
    <t xml:space="preserve">toNumber is `+14155550100`; the extension 204 is separated, not appended.</t>
  </si>
  <si>
    <t xml:space="preserve">POST `0044 20 7946 0958`.</t>
  </si>
  <si>
    <t xml:space="preserve">`+442079460958` — the international access prefix is handled.</t>
  </si>
  <si>
    <t xml:space="preserve">POST /dial with an empty number.</t>
  </si>
  <si>
    <t xml:space="preserve">HTTP 400, code BAD_NUMBER, reason 'empty'.</t>
  </si>
  <si>
    <t xml:space="preserve">POST with `call me`.</t>
  </si>
  <si>
    <t xml:space="preserve">Refused — contains letters.</t>
  </si>
  <si>
    <t xml:space="preserve">POST with `9876543` (too short for the country).</t>
  </si>
  <si>
    <t xml:space="preserve">Refused — not a valid length.</t>
  </si>
  <si>
    <t xml:space="preserve">POST with `+999 123456789`.</t>
  </si>
  <si>
    <t xml:space="preserve">Refused — unsupported country code.</t>
  </si>
  <si>
    <t xml:space="preserve">POST with `+91 0987654321`.</t>
  </si>
  <si>
    <t xml:space="preserve">Refused — a national number cannot start with 0.</t>
  </si>
  <si>
    <t xml:space="preserve">Confirm no call record was created for any of them.</t>
  </si>
  <si>
    <t xml:space="preserve">The call list is unchanged.</t>
  </si>
  <si>
    <t xml:space="preserve">POST /blocklist as owner with `{"e164":"+919876543210","reason":"asked not to be called"}`.</t>
  </si>
  <si>
    <t xml:space="preserve">`{"e164":…,"added":true}`.</t>
  </si>
  <si>
    <t xml:space="preserve">POST /dial with the same number in any format.</t>
  </si>
  <si>
    <t xml:space="preserve">HTTP 400 with code BLOCKLISTED and the recorded reason in the message.</t>
  </si>
  <si>
    <t xml:space="preserve">POST /blocklist with the same number again.</t>
  </si>
  <si>
    <t xml:space="preserve">`added: false` — the entry is deduplicated, not duplicated.</t>
  </si>
  <si>
    <t xml:space="preserve">DELETE /blocklist/%2B919876543210 and retry the dial.</t>
  </si>
  <si>
    <t xml:space="preserve">`{"removed":1}` and the dial is accepted.</t>
  </si>
  <si>
    <t xml:space="preserve">`blocklist.add` and `blocklist.remove` entries are present.</t>
  </si>
  <si>
    <t xml:space="preserve">GET /blocklist as a member.</t>
  </si>
  <si>
    <t xml:space="preserve">POST /blocklist as a member.</t>
  </si>
  <si>
    <t xml:space="preserve">DELETE /blocklist/&lt;number&gt; as a member.</t>
  </si>
  <si>
    <t xml:space="preserve">Repeat GET as an owner.</t>
  </si>
  <si>
    <t xml:space="preserve">HTTP 200 with the list — the control is role-based, not broken.</t>
  </si>
  <si>
    <t xml:space="preserve">Ensure exactly one Contact carries the test number.</t>
  </si>
  <si>
    <t xml:space="preserve">One record.</t>
  </si>
  <si>
    <t xml:space="preserve">Dial the number and hang up with a note.</t>
  </si>
  <si>
    <t xml:space="preserve">The /log response carries `crm.status: "written"` and `matched.type: "Contact"`.</t>
  </si>
  <si>
    <t xml:space="preserve">Inspect the outbound request.</t>
  </si>
  <si>
    <t xml:space="preserve">A SOSL search `FIND {digits} IN PHONE FIELDS`, then a PATCH upserting the Task with WhoId set to the Contact id.</t>
  </si>
  <si>
    <t xml:space="preserve">Arrange two Contacts with the same phone number.</t>
  </si>
  <si>
    <t xml:space="preserve">Two records.</t>
  </si>
  <si>
    <t xml:space="preserve">Dial the number and hang up.</t>
  </si>
  <si>
    <t xml:space="preserve">`crm.status: "written"` with an `ambiguous` array of two candidates and no `matched`.</t>
  </si>
  <si>
    <t xml:space="preserve">Inspect the Task that was written.</t>
  </si>
  <si>
    <t xml:space="preserve">No WhoId; the description ends with `[VoiceBridge: 2 records share this number — not attached; pick one]`.</t>
  </si>
  <si>
    <t xml:space="preserve">Confirm the candidate order.</t>
  </si>
  <si>
    <t xml:space="preserve">Contacts before Leads, then by id — deterministic, so two runs agree.</t>
  </si>
  <si>
    <t xml:space="preserve">Dial a number that matches no Contact or Lead and hang up with a note.</t>
  </si>
  <si>
    <t xml:space="preserve">Read the response.</t>
  </si>
  <si>
    <t xml:space="preserve">`crm.status: "written"`, no `matched`, no `ambiguous`.</t>
  </si>
  <si>
    <t xml:space="preserve">Inspect the Task.</t>
  </si>
  <si>
    <t xml:space="preserve">Created with the note as its description and no WhoId.</t>
  </si>
  <si>
    <t xml:space="preserve">GET /metrics with no authorization header.</t>
  </si>
  <si>
    <t xml:space="preserve">GET /metrics with `authorization: Bearer &lt;VB_METRICS_TOKEN&gt;`.</t>
  </si>
  <si>
    <t xml:space="preserve">HTTP 200, `content-type: text/plain; version=0.0.4`.</t>
  </si>
  <si>
    <t xml:space="preserve">Restart with VB_METRICS_TOKEN unset and repeat.</t>
  </si>
  <si>
    <t xml:space="preserve">HTTP 404 with a message that the endpoint is disabled.</t>
  </si>
  <si>
    <t xml:space="preserve">Call GET /onboarding/org-secret-id (it may 401 — it still records).</t>
  </si>
  <si>
    <t xml:space="preserve">Request handled.</t>
  </si>
  <si>
    <t xml:space="preserve">Scrape /metrics with the bearer.</t>
  </si>
  <si>
    <t xml:space="preserve">A series with `route="/onboarding/:orgId"`.</t>
  </si>
  <si>
    <t xml:space="preserve">Search the exposition for the literal id.</t>
  </si>
  <si>
    <t xml:space="preserve">`org-secret-id` appears nowhere.</t>
  </si>
  <si>
    <t xml:space="preserve">Check the access log line for the same request.</t>
  </si>
  <si>
    <t xml:space="preserve">It carries the request id, the org id (where authenticated), the route pattern, status and duration.</t>
  </si>
  <si>
    <t xml:space="preserve">Make a handful of requests, including one that fails.</t>
  </si>
  <si>
    <t xml:space="preserve">Traffic recorded.</t>
  </si>
  <si>
    <t xml:space="preserve">GET /status/slo.</t>
  </si>
  <si>
    <t xml:space="preserve">HTTP 200 with `slo.objective: 0.995`, request and error counts, and a `basis` string stating the evaluation is since process start.</t>
  </si>
  <si>
    <t xml:space="preserve">Read the alertRules array.</t>
  </si>
  <si>
    <t xml:space="preserve">Three rules: fast burn (page), slow burn (ticket) and outbox stuck, each with a PromQL expression and a runbook reference.</t>
  </si>
  <si>
    <t xml:space="preserve">Check the thresholds.</t>
  </si>
  <si>
    <t xml:space="preserve">The fast rule's threshold is 0.0720 — 14.4 × (1 − 0.995).</t>
  </si>
  <si>
    <t xml:space="preserve">Make an authenticated request.</t>
  </si>
  <si>
    <t xml:space="preserve">One `request` log line is written.</t>
  </si>
  <si>
    <t xml:space="preserve">Confirm the line parses as JSON.</t>
  </si>
  <si>
    <t xml:space="preserve">It does, with ts, level, msg, requestId, orgId, method, route, status and durationMs.</t>
  </si>
  <si>
    <t xml:space="preserve">Search the whole log for the session token and for the Salesforce token values.</t>
  </si>
  <si>
    <t xml:space="preserve">Neither appears; redacted fields read `[redacted]`.</t>
  </si>
  <si>
    <t xml:space="preserve">Run `npm run evidence:check`.</t>
  </si>
  <si>
    <t xml:space="preserve">Passes against the shipped evidence.</t>
  </si>
  <si>
    <t xml:space="preserve">Create `src/newModule.ts` with any content.</t>
  </si>
  <si>
    <t xml:space="preserve">File created.</t>
  </si>
  <si>
    <t xml:space="preserve">Run `npm run evidence:check` again.</t>
  </si>
  <si>
    <t xml:space="preserve">Fails: `package contains source files the evidence never saw: src/newModule.ts`.</t>
  </si>
  <si>
    <t xml:space="preserve">Delete the file and re-run.</t>
  </si>
  <si>
    <t xml:space="preserve">Passes again.</t>
  </si>
  <si>
    <t xml:space="preserve">Create `test/zzz.test.ts` containing a trivial passing test.</t>
  </si>
  <si>
    <t xml:space="preserve">Run `npm run evidence:check` without re-running the suite.</t>
  </si>
  <si>
    <t xml:space="preserve">Fails: `test suites on disk that the evidence run did not execute: test/zzz.test.ts`.</t>
  </si>
  <si>
    <t xml:space="preserve">Passes.</t>
  </si>
  <si>
    <t xml:space="preserve">Run `npx jest test/claims.test.ts`.</t>
  </si>
  <si>
    <t xml:space="preserve">Passes — 34 claims, both directions.</t>
  </si>
  <si>
    <t xml:space="preserve">Add a new sentence to the dataHandling array in src/trustPage.ts, for example 'All data is backed up hourly.'</t>
  </si>
  <si>
    <t xml:space="preserve">Code changed.</t>
  </si>
  <si>
    <t xml:space="preserve">Run the claims test again.</t>
  </si>
  <si>
    <t xml:space="preserve">Fails — the published sentence maps to no claim id.</t>
  </si>
  <si>
    <t xml:space="preserve">Revert the change.</t>
  </si>
  <si>
    <t xml:space="preserve">Separately, add a claim to src/claims.ts with no tagged test and run again.</t>
  </si>
  <si>
    <t xml:space="preserve">Fails from the other direction — the claim has no `[CLAIM:&lt;id&gt;]` test.</t>
  </si>
  <si>
    <t xml:space="preserve">GET /trust.</t>
  </si>
  <si>
    <t xml:space="preserve">HTTP 200 with JSON.</t>
  </si>
  <si>
    <t xml:space="preserve">Read the dataHandling array.</t>
  </si>
  <si>
    <t xml:space="preserve">States tokens are encrypted at rest with AES-256-GCM and versioned keys; that the audit log is hash-chained and append-only; that isolation is enforced by the database.</t>
  </si>
  <si>
    <t xml:space="preserve">Read the doNotCallRegistry field.</t>
  </si>
  <si>
    <t xml:space="preserve">`none (no do-not-call registry connected)` — honest rather than implied.</t>
  </si>
  <si>
    <t xml:space="preserve">Read contacts with VB_SECURITY_CONTACT unset.</t>
  </si>
  <si>
    <t xml:space="preserve">`not yet published — set VB_SECURITY_CONTACT`, and contactsPublished is false.</t>
  </si>
  <si>
    <t xml:space="preserve">Search the whole response for `&lt;domain-on-live&gt;`.</t>
  </si>
  <si>
    <t xml:space="preserve">Not present — the placeholder is gone.</t>
  </si>
  <si>
    <t xml:space="preserve">GET /help/articles and find HC-05.</t>
  </si>
  <si>
    <t xml:space="preserve">The article is present.</t>
  </si>
  <si>
    <t xml:space="preserve">Read its body.</t>
  </si>
  <si>
    <t xml:space="preserve">Contains 'not yet available' and describes posting message events with channel `whatsapp`.</t>
  </si>
  <si>
    <t xml:space="preserve">Search it for the withdrawn claim.</t>
  </si>
  <si>
    <t xml:space="preserve">'Link your WhatsApp Business number' does not appear.</t>
  </si>
  <si>
    <t xml:space="preserve">Run `npm ci` then `npm audit --omit=dev`.</t>
  </si>
  <si>
    <t xml:space="preserve">`found 0 vulnerabilities`.</t>
  </si>
  <si>
    <t xml:space="preserve">Check the resolved Express and qs versions with `npm ls express qs`.</t>
  </si>
  <si>
    <t xml:space="preserve">express 5.x and qs ≥ 6.16 via the overrides entry.</t>
  </si>
  <si>
    <t xml:space="preserve">Read the tail of docs/security-advisories.md.</t>
  </si>
  <si>
    <t xml:space="preserve">The v0.25.0 acceptance is recorded as retired, with the reason.</t>
  </si>
  <si>
    <t xml:space="preserve">Run `npm run typecheck:scripts`.</t>
  </si>
  <si>
    <t xml:space="preserve">Exits 0 with no diagnostics.</t>
  </si>
  <si>
    <t xml:space="preserve">Read .github/workflows/ci.yml.</t>
  </si>
  <si>
    <t xml:space="preserve">The step runs `npm run typecheck:scripts`; the old inline `tsc --noEmit … scripts/*.ts` form is gone.</t>
  </si>
  <si>
    <t xml:space="preserve">Extract the zip into an empty directory.</t>
  </si>
  <si>
    <t xml:space="preserve">Files extracted; no node_modules.</t>
  </si>
  <si>
    <t xml:space="preserve">Run `npm ci`.</t>
  </si>
  <si>
    <t xml:space="preserve">Dependencies installed from the lockfile.</t>
  </si>
  <si>
    <t xml:space="preserve">Run `npx jest --coverage --forceExit`.</t>
  </si>
  <si>
    <t xml:space="preserve">`Test Suites: 58 passed`, `Tests: 613 passed`, and the All files row reads 100 / 100 / 100 / 100.</t>
  </si>
  <si>
    <t xml:space="preserve">Run `grep -r "istanbul ignore" src/`.</t>
  </si>
  <si>
    <t xml:space="preserve">No matches — the coverage figure has no exclusions behind it.</t>
  </si>
  <si>
    <t xml:space="preserve">Passes — the evidence matches this exact package.</t>
  </si>
  <si>
    <t xml:space="preserve">Set DEPLOY_CMD, IDLE_URL, SWITCH_CMD, ROLLBACK_CMD, LIVE_URL and DATABASE_URL for the environment.</t>
  </si>
  <si>
    <t xml:space="preserve">Variables set.</t>
  </si>
  <si>
    <t xml:space="preserve">Run `bash scripts/deploy/blue-green.sh` with a healthy build.</t>
  </si>
  <si>
    <t xml:space="preserve">Migration gate, idle health gate (ten passes), switch, live health gate — deploy completes.</t>
  </si>
  <si>
    <t xml:space="preserve">Repeat with a build whose /health fails.</t>
  </si>
  <si>
    <t xml:space="preserve">The idle gate fails and the script exits without switching traffic.</t>
  </si>
  <si>
    <t xml:space="preserve">Introduce a failure visible only after the switch and re-run.</t>
  </si>
  <si>
    <t xml:space="preserve">The live gate fails, ROLLBACK_CMD runs, the live gate passes again and the script reports a clean rollback with exit code 1.</t>
  </si>
  <si>
    <t xml:space="preserve">With DATABASE_URL set, run `npm run dr-drill`.</t>
  </si>
  <si>
    <t xml:space="preserve">Dump completes and the duration is printed.</t>
  </si>
  <si>
    <t xml:space="preserve">Watch the restore stage.</t>
  </si>
  <si>
    <t xml:space="preserve">`restore: Ns (RTO measured)`.</t>
  </si>
  <si>
    <t xml:space="preserve">Let the comparison run.</t>
  </si>
  <si>
    <t xml:space="preserve">Row counts and md5 content checksums match for every table; `DR drill PASSED`.</t>
  </si>
  <si>
    <t xml:space="preserve">Open the generated report.</t>
  </si>
  <si>
    <t xml:space="preserve">security/evidence/dr-drill/REPORT-&lt;stamp&gt;.md records dump seconds, restore seconds and the integrity result.</t>
  </si>
  <si>
    <t xml:space="preserve">Response carries `simulated: true`, no `providerCallId`, and `provider` naming the simulator.</t>
  </si>
  <si>
    <t xml:space="preserve">Open the softphone panel rendering for that call.</t>
  </si>
  <si>
    <t xml:space="preserve">Reads 'Simulated — no telephony provider is connected, so +91… was not dialled.'</t>
  </si>
  <si>
    <t xml:space="preserve">Search the panel text for the word 'Ringing'.</t>
  </si>
  <si>
    <t xml:space="preserve">Absent — a jsdom regression pins this.</t>
  </si>
  <si>
    <t xml:space="preserve">Construct the app with RefusingTelephony.</t>
  </si>
  <si>
    <t xml:space="preserve">POST /dial.</t>
  </si>
  <si>
    <t xml:space="preserve">The request fails with a named error.</t>
  </si>
  <si>
    <t xml:space="preserve">List the org's calls.</t>
  </si>
  <si>
    <t xml:space="preserve">No new record — the provider is asked before anything is written.</t>
  </si>
  <si>
    <t xml:space="preserve">Dial and hang up once.</t>
  </si>
  <si>
    <t xml:space="preserve">`crm.created: true` (HTTP 201 from the platform).</t>
  </si>
  <si>
    <t xml:space="preserve">Replay the same /log request with the same call id.</t>
  </si>
  <si>
    <t xml:space="preserve">The platform returns 204 and no second Task is created.</t>
  </si>
  <si>
    <t xml:space="preserve">Count Tasks carrying that external id.</t>
  </si>
  <si>
    <t xml:space="preserve">Exactly one.</t>
  </si>
  <si>
    <t xml:space="preserve">Make Salesforce unreachable.</t>
  </si>
  <si>
    <t xml:space="preserve">Outage in effect.</t>
  </si>
  <si>
    <t xml:space="preserve">Hang up a call with a distinctive note.</t>
  </si>
  <si>
    <t xml:space="preserve">HTTP 200; `activity.summary` is the note; `crm.status: "queued"` with a reason.</t>
  </si>
  <si>
    <t xml:space="preserve">queued: 1 with the oldest timestamp.</t>
  </si>
  <si>
    <t xml:space="preserve">Confirm the response never claims the write succeeded.</t>
  </si>
  <si>
    <t xml:space="preserve">Status is `queued`, not `written`.</t>
  </si>
  <si>
    <t xml:space="preserve">GET /oauth/start and keep the state value.</t>
  </si>
  <si>
    <t xml:space="preserve">A state and an authorisation URL are returned.</t>
  </si>
  <si>
    <t xml:space="preserve">GET /oauth/callback with that state and a code, following no redirects.</t>
  </si>
  <si>
    <t xml:space="preserve">HTTP 302 to the welcome URL.</t>
  </si>
  <si>
    <t xml:space="preserve">Inspect the Set-Cookie header.</t>
  </si>
  <si>
    <t xml:space="preserve">The session cookie is HttpOnly with SameSite=None; Secure for an https base URL.</t>
  </si>
  <si>
    <t xml:space="preserve">Complete a callback with a valid state.</t>
  </si>
  <si>
    <t xml:space="preserve">Install completes.</t>
  </si>
  <si>
    <t xml:space="preserve">Repeat the identical callback.</t>
  </si>
  <si>
    <t xml:space="preserve">Refused — the state was consumed.</t>
  </si>
  <si>
    <t xml:space="preserve">Call the callback with a state that was never issued.</t>
  </si>
  <si>
    <t xml:space="preserve">Refused.</t>
  </si>
  <si>
    <t xml:space="preserve">Call it with no code at all.</t>
  </si>
  <si>
    <t xml:space="preserve">Refused with a clear error rather than a 500.</t>
  </si>
  <si>
    <t xml:space="preserve">Complete an install while passing `userId=attacker` in the request.</t>
  </si>
  <si>
    <t xml:space="preserve">The owner is the identity returned by the token exchange, not `attacker`.</t>
  </si>
  <si>
    <t xml:space="preserve">Mint a session for `attacker` and call an org-scoped route.</t>
  </si>
  <si>
    <t xml:space="preserve">HTTP 403 with NO_ROLE.</t>
  </si>
  <si>
    <t xml:space="preserve">GET /softphone/bootstrap with the install cookie.</t>
  </si>
  <si>
    <t xml:space="preserve">HTTP 200 with token, orgId, userId and serviceBase.</t>
  </si>
  <si>
    <t xml:space="preserve">POST /dial with that bearer.</t>
  </si>
  <si>
    <t xml:space="preserve">POST /dial with no bearer.</t>
  </si>
  <si>
    <t xml:space="preserve">POST /dial with a bearer for a different org.</t>
  </si>
  <si>
    <t xml:space="preserve">HTTP 403 — a mismatched claim is refused as forgery.</t>
  </si>
  <si>
    <t xml:space="preserve">GET /softphone/bootstrap with no cookie.</t>
  </si>
  <si>
    <t xml:space="preserve">HTTP 401 — the cookie is the only thing that mints a bearer.</t>
  </si>
  <si>
    <t xml:space="preserve">GET /ui/&lt;org&gt;/SCR-7 (billing) as a member.</t>
  </si>
  <si>
    <t xml:space="preserve">HTTP 403 — not a misleading 404.</t>
  </si>
  <si>
    <t xml:space="preserve">GET /ui/&lt;org&gt;/SCR-8 (analytics) as a member.</t>
  </si>
  <si>
    <t xml:space="preserve">GET /support/chat/queue as a member.</t>
  </si>
  <si>
    <t xml:space="preserve">Repeat all three as the owner.</t>
  </si>
  <si>
    <t xml:space="preserve">Open a support chat as the member.</t>
  </si>
  <si>
    <t xml:space="preserve">HTTP 200 — reading the org-wide queue is restricted, raising your own ticket is not.</t>
  </si>
  <si>
    <t xml:space="preserve">Start with NODE_ENV=production and no DATABASE_URL.</t>
  </si>
  <si>
    <t xml:space="preserve">Read the message.</t>
  </si>
  <si>
    <t xml:space="preserve">`DATABASE_URL must be set in production — VoiceBridge refuses to run on in-memory storage`.</t>
  </si>
  <si>
    <t xml:space="preserve">Start with a DATABASE_URL.</t>
  </si>
  <si>
    <t xml:space="preserve">Boot succeeds and the storage line reads `storage: postgres (DATABASE_URL)`.</t>
  </si>
  <si>
    <t xml:space="preserve">Insert an activity with external id `e1` through the repository.</t>
  </si>
  <si>
    <t xml:space="preserve">Returns true — written.</t>
  </si>
  <si>
    <t xml:space="preserve">Insert the same external id again.</t>
  </si>
  <si>
    <t xml:space="preserve">Returns false — not written.</t>
  </si>
  <si>
    <t xml:space="preserve">Count rows for that external id.</t>
  </si>
  <si>
    <t xml:space="preserve">Confirm the index exists: `\d org_records` in psql.</t>
  </si>
  <si>
    <t xml:space="preserve">A unique partial index on (org_id, kind, payload-&gt;&gt;'externalId') for activities.</t>
  </si>
  <si>
    <t xml:space="preserve">Fire eleven invite requests concurrently (not sequentially).</t>
  </si>
  <si>
    <t xml:space="preserve">Requests complete.</t>
  </si>
  <si>
    <t xml:space="preserve">Count the successful responses.</t>
  </si>
  <si>
    <t xml:space="preserve">Exactly ten.</t>
  </si>
  <si>
    <t xml:space="preserve">Read the failure.</t>
  </si>
  <si>
    <t xml:space="preserve">Code SLOTS_FULL.</t>
  </si>
  <si>
    <t xml:space="preserve">List the partners.</t>
  </si>
  <si>
    <t xml:space="preserve">Ten records, not eleven.</t>
  </si>
  <si>
    <t xml:space="preserve">GET /ui/&lt;org B&gt; with org A's bearer.</t>
  </si>
  <si>
    <t xml:space="preserve">Confirm the body carries no org B data.</t>
  </si>
  <si>
    <t xml:space="preserve">An error envelope only.</t>
  </si>
  <si>
    <t xml:space="preserve">GET /ui/&lt;org A&gt; with the same bearer.</t>
  </si>
  <si>
    <t xml:space="preserve">HTTP 200 — the session works for its own org.</t>
  </si>
  <si>
    <t xml:space="preserve">Alter one character of the payload segment and call an authenticated route.</t>
  </si>
  <si>
    <t xml:space="preserve">HTTP 401 — the signature does not verify.</t>
  </si>
  <si>
    <t xml:space="preserve">Sign a well-formed payload with a different secret and call the route.</t>
  </si>
  <si>
    <t xml:space="preserve">Send a malformed token with no dot separator.</t>
  </si>
  <si>
    <t xml:space="preserve">HTTP 401 with a malformed-token message, not a 500.</t>
  </si>
  <si>
    <t xml:space="preserve">Run `npm run migrate` against a fresh database.</t>
  </si>
  <si>
    <t xml:space="preserve">All migrations apply in filename order.</t>
  </si>
  <si>
    <t xml:space="preserve">Run it again unchanged.</t>
  </si>
  <si>
    <t xml:space="preserve">Nothing is re-applied — the run is idempotent.</t>
  </si>
  <si>
    <t xml:space="preserve">Add a comment character to an already-applied migration and run again.</t>
  </si>
  <si>
    <t xml:space="preserve">Fails with a checksum drift error naming the file.</t>
  </si>
  <si>
    <t xml:space="preserve">Revert the change and re-run.</t>
  </si>
  <si>
    <t xml:space="preserve">Succeeds.</t>
  </si>
  <si>
    <t xml:space="preserve">GET /ui/&lt;org&gt; as owner.</t>
  </si>
  <si>
    <t xml:space="preserve">A list of nine screens (fewer for a restricted role, by design).</t>
  </si>
  <si>
    <t xml:space="preserve">GET each screen with ?format=html.</t>
  </si>
  <si>
    <t xml:space="preserve">Each returns rendered HTML with headings and labelled controls.</t>
  </si>
  <si>
    <t xml:space="preserve">Run `npx jest test/a11y.test.ts`.</t>
  </si>
  <si>
    <t xml:space="preserve">Passes for every screen in both populated and empty states.</t>
  </si>
  <si>
    <t xml:space="preserve">Configure the chosen provider's credentials for the org.</t>
  </si>
  <si>
    <t xml:space="preserve">Provider configured; the simulator is no longer in use.</t>
  </si>
  <si>
    <t xml:space="preserve">Click-to-dial from a Contact in Salesforce.</t>
  </si>
  <si>
    <t xml:space="preserve">The handset rings within the provider's normal setup time.</t>
  </si>
  <si>
    <t xml:space="preserve">Answer, speak, and hang up from the panel with an outcome and a note.</t>
  </si>
  <si>
    <t xml:space="preserve">The panel shows connected then ended.</t>
  </si>
  <si>
    <t xml:space="preserve">Look at the call record.</t>
  </si>
  <si>
    <t xml:space="preserve">`simulated: false` and a provider call id is recorded.</t>
  </si>
  <si>
    <t xml:space="preserve">Look at the Contact in Salesforce.</t>
  </si>
  <si>
    <t xml:space="preserve">One completed Task with the note, the duration and call type Outbound.</t>
  </si>
  <si>
    <t xml:space="preserve">Deliver a signed call-status webhook.</t>
  </si>
  <si>
    <t xml:space="preserve">The call state changes and the event is recorded.</t>
  </si>
  <si>
    <t xml:space="preserve">Deliver the identical payload again.</t>
  </si>
  <si>
    <t xml:space="preserve">HTTP 200 but no second state change and no duplicate activity.</t>
  </si>
  <si>
    <t xml:space="preserve">Deliver a payload with an invalid signature.</t>
  </si>
  <si>
    <t xml:space="preserve">Deliver a correctly signed payload with an old timestamp.</t>
  </si>
  <si>
    <t xml:space="preserve">Refused — outside the replay window.</t>
  </si>
  <si>
    <t xml:space="preserve">Call the inbound number from a phone whose number matches exactly one Contact.</t>
  </si>
  <si>
    <t xml:space="preserve">The panel shows an incoming call.</t>
  </si>
  <si>
    <t xml:space="preserve">Observe the Salesforce window.</t>
  </si>
  <si>
    <t xml:space="preserve">The matching Contact record opens automatically.</t>
  </si>
  <si>
    <t xml:space="preserve">Answer and hang up.</t>
  </si>
  <si>
    <t xml:space="preserve">A Task is logged against that Contact.</t>
  </si>
  <si>
    <t xml:space="preserve">Repeat from a number matching two Contacts.</t>
  </si>
  <si>
    <t xml:space="preserve">A disambiguation list is offered rather than the wrong record being opened.</t>
  </si>
  <si>
    <t xml:space="preserve">Send a template message to an opted-in test number from the console.</t>
  </si>
  <si>
    <t xml:space="preserve">The message arrives on the device.</t>
  </si>
  <si>
    <t xml:space="preserve">Reply from the device.</t>
  </si>
  <si>
    <t xml:space="preserve">The reply appears in the conversation thread within seconds.</t>
  </si>
  <si>
    <t xml:space="preserve">Open the Contact in Salesforce.</t>
  </si>
  <si>
    <t xml:space="preserve">The thread is visible with both messages in order.</t>
  </si>
  <si>
    <t xml:space="preserve">Check the activity log.</t>
  </si>
  <si>
    <t xml:space="preserve">Both messages are recorded with channel whatsapp.</t>
  </si>
  <si>
    <t xml:space="preserve">Pick a contact whose last inbound message is older than 24 hours.</t>
  </si>
  <si>
    <t xml:space="preserve">Window closed.</t>
  </si>
  <si>
    <t xml:space="preserve">Attempt a free-form message.</t>
  </si>
  <si>
    <t xml:space="preserve">Refused with a named error explaining the window.</t>
  </si>
  <si>
    <t xml:space="preserve">Send an approved template to the same contact.</t>
  </si>
  <si>
    <t xml:space="preserve">Accepted and delivered.</t>
  </si>
  <si>
    <t xml:space="preserve">Attempt a message to a contact with no opt-in record.</t>
  </si>
  <si>
    <t xml:space="preserve">Refused — the opt-in ledger is consulted first.</t>
  </si>
  <si>
    <t xml:space="preserve">Create a scratch org from the Dev Hub.</t>
  </si>
  <si>
    <t xml:space="preserve">Org created.</t>
  </si>
  <si>
    <t xml:space="preserve">Install the built package version.</t>
  </si>
  <si>
    <t xml:space="preserve">Install completes with no errors.</t>
  </si>
  <si>
    <t xml:space="preserve">Create the Contact Center from the packaged definition.</t>
  </si>
  <si>
    <t xml:space="preserve">It appears in Setup and can be assigned.</t>
  </si>
  <si>
    <t xml:space="preserve">Assign each of the three permission sets to a user.</t>
  </si>
  <si>
    <t xml:space="preserve">Each assigns cleanly and grants only its matrix permissions.</t>
  </si>
  <si>
    <t xml:space="preserve">Repeat in a fresh Enterprise org and in one with an existing Call Center.</t>
  </si>
  <si>
    <t xml:space="preserve">Installs cleanly in all three shapes; a push upgrade preserves data.</t>
  </si>
  <si>
    <t xml:space="preserve">TEST EXECUTION LOG — one row per case per cycle</t>
  </si>
  <si>
    <t xml:space="preserve">How to use this sheet: append a block per test cycle; never overwrite a previous cycle. A cycle is one pass of the pack against one named build. The first block below is pre-filled with cycle C01 against v0.28.0 and is ready to be executed — the first three rows show the expected shape.</t>
  </si>
  <si>
    <t xml:space="preserve">Cycle</t>
  </si>
  <si>
    <t xml:space="preserve">Build under test</t>
  </si>
  <si>
    <t xml:space="preserve">Executed by</t>
  </si>
  <si>
    <t xml:space="preserve">Result</t>
  </si>
  <si>
    <t xml:space="preserve">Duration (min)</t>
  </si>
  <si>
    <t xml:space="preserve">Defect raised</t>
  </si>
  <si>
    <t xml:space="preserve">Evidence (screenshot / log reference)</t>
  </si>
  <si>
    <t xml:space="preserve">C01</t>
  </si>
  <si>
    <t xml:space="preserve">voicebridge-cti v0.28.0 (f0f4eb4ab67d)</t>
  </si>
  <si>
    <t xml:space="preserve">Example row — copy this shape for each case executed in the cycle.</t>
  </si>
  <si>
    <t xml:space="preserve">CYCLE DEFINITIONS</t>
  </si>
  <si>
    <t xml:space="preserve">First manual pass against v0.28.0 — every case whose environment is LOCAL (61 cases). This can be run today by anyone with the zip.</t>
  </si>
  <si>
    <t xml:space="preserve">C02</t>
  </si>
  <si>
    <t xml:space="preserve">LOCAL + PostgreSQL cases (10) once a database is provisioned — see Pending_Live_Evidence O6 and O9.</t>
  </si>
  <si>
    <t xml:space="preserve">C03</t>
  </si>
  <si>
    <t xml:space="preserve">LIVE org cases (3) once a Salesforce developer org exists — O7, O7b.</t>
  </si>
  <si>
    <t xml:space="preserve">C04</t>
  </si>
  <si>
    <t xml:space="preserve">LIVE deployment cases (2) once the service is deployed — O10.</t>
  </si>
  <si>
    <t xml:space="preserve">C05</t>
  </si>
  <si>
    <t xml:space="preserve">Regression of C01 plus the previously blocked cases, once a decision releases them.</t>
  </si>
  <si>
    <t xml:space="preserve">DEFECT LOG — every defect found in this product, by whom, and where it was closed</t>
  </si>
  <si>
    <t xml:space="preserve">How to use this sheet: the complete defect record across five internal cold-review passes, two independent external reviews and the remediation work itself. 'Found by' matters: a defect found by a review that the test suite was passing through is the kind this product keeps producing. Reopen a row by changing its status and adding a comment — never delete one.</t>
  </si>
  <si>
    <t xml:space="preserve">Defect ID</t>
  </si>
  <si>
    <t xml:space="preserve">Found by</t>
  </si>
  <si>
    <t xml:space="preserve">Severity</t>
  </si>
  <si>
    <t xml:space="preserve">What was wrong</t>
  </si>
  <si>
    <t xml:space="preserve">Fixed in version</t>
  </si>
  <si>
    <t xml:space="preserve">Test case that now covers it</t>
  </si>
  <si>
    <t xml:space="preserve">F-V01</t>
  </si>
  <si>
    <t xml:space="preserve">Internal cold review 1</t>
  </si>
  <si>
    <t xml:space="preserve">11 Sep</t>
  </si>
  <si>
    <t xml:space="preserve">Retention</t>
  </si>
  <si>
    <t xml:space="preserve">The self-serve delete cleared feature data but left roles and a PII tombstone behind, breaching the published 30-day deletion policy.</t>
  </si>
  <si>
    <t xml:space="preserve">Closed</t>
  </si>
  <si>
    <t xml:space="preserve">v0.12.0</t>
  </si>
  <si>
    <t xml:space="preserve">covered by automated suite</t>
  </si>
  <si>
    <t xml:space="preserve">F-V05</t>
  </si>
  <si>
    <t xml:space="preserve">Storage</t>
  </si>
  <si>
    <t xml:space="preserve">Per-org ledgers had no cap, so any org could grow them without bound.</t>
  </si>
  <si>
    <t xml:space="preserve">TC-026 (contract)</t>
  </si>
  <si>
    <t xml:space="preserve">F-V06</t>
  </si>
  <si>
    <t xml:space="preserve">Resilience</t>
  </si>
  <si>
    <t xml:space="preserve">The production backoff sleep was a no-op: tests always injected their own sleep, so 100% coverage never touched the real one.</t>
  </si>
  <si>
    <t xml:space="preserve">F-V07</t>
  </si>
  <si>
    <t xml:space="preserve">Billing</t>
  </si>
  <si>
    <t xml:space="preserve">Read-only status after a failed payment was enforced nowhere, so a delinquent org kept full write access.</t>
  </si>
  <si>
    <t xml:space="preserve">F-V10</t>
  </si>
  <si>
    <t xml:space="preserve">Internal cold review 2</t>
  </si>
  <si>
    <t xml:space="preserve">In-org surface</t>
  </si>
  <si>
    <t xml:space="preserve">The softphone had always posted hang-ups to a /log route that did not exist, so auto-logging was silently dead in-org.</t>
  </si>
  <si>
    <t xml:space="preserve">v0.13.0</t>
  </si>
  <si>
    <t xml:space="preserve">VER-V01</t>
  </si>
  <si>
    <t xml:space="preserve">Verification sweep 1</t>
  </si>
  <si>
    <t xml:space="preserve">opencti_min.js was never loaded, so sforce.opencti was undefined and the panel silently did nothing in a real org.</t>
  </si>
  <si>
    <t xml:space="preserve">VER-V02</t>
  </si>
  <si>
    <t xml:space="preserve">enableClickToDial was never called, so the click-to-dial listener could never fire.</t>
  </si>
  <si>
    <t xml:space="preserve">TC-001, TC-006</t>
  </si>
  <si>
    <t xml:space="preserve">GAP-V2</t>
  </si>
  <si>
    <t xml:space="preserve">Artifact-gap audit</t>
  </si>
  <si>
    <t xml:space="preserve">13 Sep</t>
  </si>
  <si>
    <t xml:space="preserve">Nine screens were specified and five P0 stories claimed them; only two existed.</t>
  </si>
  <si>
    <t xml:space="preserve">VER-V06</t>
  </si>
  <si>
    <t xml:space="preserve">Verification sweep 2</t>
  </si>
  <si>
    <t xml:space="preserve">The dev-org guide told the operator to create a Connected App, which Salesforce disabled from Spring '26 — the guide was unrunnable at step 2.</t>
  </si>
  <si>
    <t xml:space="preserve">GAP-V3</t>
  </si>
  <si>
    <t xml:space="preserve">Runtime</t>
  </si>
  <si>
    <t xml:space="preserve">There was no process and no production OAuth gateway: createApp() had never been called by anything, so every documented route addressed a server that could not be started.</t>
  </si>
  <si>
    <t xml:space="preserve">No database schema existed behind a published retention policy, a backup drill and a sweep check that all demanded one.</t>
  </si>
  <si>
    <t xml:space="preserve">Internal cold review 3</t>
  </si>
  <si>
    <t xml:space="preserve">Identity</t>
  </si>
  <si>
    <t xml:space="preserve">Identity was caller-declared: every route read the user id from the request body and trusted it.</t>
  </si>
  <si>
    <t xml:space="preserve">The screen routes took the org id from the URL and verified nothing, so any caller who guessed an org id could read its billing, invoices, analytics and support queue.</t>
  </si>
  <si>
    <t xml:space="preserve">F-V24</t>
  </si>
  <si>
    <t xml:space="preserve">The PKCE state map was uncapped on a public route, so an unauthenticated caller could grow it indefinitely.</t>
  </si>
  <si>
    <t xml:space="preserve">F-V27</t>
  </si>
  <si>
    <t xml:space="preserve">Internal review</t>
  </si>
  <si>
    <t xml:space="preserve">Flow actions</t>
  </si>
  <si>
    <t xml:space="preserve">A floating promise broke the failure path: a rejection escaped the try/catch that records a failed run, and TypeScript accepted it as a valid expression.</t>
  </si>
  <si>
    <t xml:space="preserve">v0.21.0</t>
  </si>
  <si>
    <t xml:space="preserve">F-V28</t>
  </si>
  <si>
    <t xml:space="preserve">Post-conversion review</t>
  </si>
  <si>
    <t xml:space="preserve">Four check-then-write guards survived only on the synchronous execution model; the async conversion put an await between the check and the write, so a limit of ten admitted eleven.</t>
  </si>
  <si>
    <t xml:space="preserve">F-V29</t>
  </si>
  <si>
    <t xml:space="preserve">Running the gate</t>
  </si>
  <si>
    <t xml:space="preserve">The evidence script aborted mid-run on a non-zero audit exit code, leaving the previous evidence pack in place with a fresh timestamp beside it — the exact stale-evidence shape it was written to prevent.</t>
  </si>
  <si>
    <t xml:space="preserve">F-V30</t>
  </si>
  <si>
    <t xml:space="preserve">Low</t>
  </si>
  <si>
    <t xml:space="preserve">The staleness check compared a whole-second stamp against millisecond mtimes and refused its own author.</t>
  </si>
  <si>
    <t xml:space="preserve">External review V001 (ChatGPT)</t>
  </si>
  <si>
    <t xml:space="preserve">Blocker</t>
  </si>
  <si>
    <t xml:space="preserve">The softphone could not authenticate to its own API: the adapter sent no Authorization header, so every /dial and /log from a real org would have returned 401.</t>
  </si>
  <si>
    <t xml:space="preserve">The OAuth callback was POST-only while a browser redirect is a GET, so a production install would have landed on an unhandled route. Every test POSTed it, so the suite agreed with itself.</t>
  </si>
  <si>
    <t xml:space="preserve">Installer identity was caller-declared: an attacker completing an install could name themselves owner.</t>
  </si>
  <si>
    <t xml:space="preserve">PostgreSQL was implemented but was not a runtime: nothing ever constructed it, so everything vanished on restart.</t>
  </si>
  <si>
    <t xml:space="preserve">Core promise</t>
  </si>
  <si>
    <t xml:space="preserve">Neither half of the product promise reached an external system: no telephony adapter existed and nothing ever wrote a Salesforce Task.</t>
  </si>
  <si>
    <t xml:space="preserve">Half closed</t>
  </si>
  <si>
    <t xml:space="preserve">v0.26.0 / v0.27.0</t>
  </si>
  <si>
    <t xml:space="preserve">TC-061 (CRM half); telephony half is TC-075, blocked</t>
  </si>
  <si>
    <t xml:space="preserve">VB-CR-006</t>
  </si>
  <si>
    <t xml:space="preserve">The migration command imported a driver that was not a declared dependency, so a clean install would fail on the day someone provisioned the database.</t>
  </si>
  <si>
    <t xml:space="preserve">Least privilege within an org was absent: any signed member could read the owner's invoices, analytics and support queue.</t>
  </si>
  <si>
    <t xml:space="preserve">VB-CR-008</t>
  </si>
  <si>
    <t xml:space="preserve">WhatsApp was a data model, not an integration, while help, docs and listing copy described linking a WhatsApp Business number.</t>
  </si>
  <si>
    <t xml:space="preserve">Claim withdrawn; capability still not built</t>
  </si>
  <si>
    <t xml:space="preserve">v0.28.0 (claim)</t>
  </si>
  <si>
    <t xml:space="preserve">TC-053; build is TC-078, blocked</t>
  </si>
  <si>
    <t xml:space="preserve">VB-CR-009</t>
  </si>
  <si>
    <t xml:space="preserve">Release evidence was stale and self-contradictory: a two-day-old pack describing a different build, naming a since-deleted file.</t>
  </si>
  <si>
    <t xml:space="preserve">TC-049, TC-056</t>
  </si>
  <si>
    <t xml:space="preserve">VB-CR-010</t>
  </si>
  <si>
    <t xml:space="preserve">The '100% on all code' claim was narrower than stated — the widget, scripts, package and SQL were all outside the gate, and four of five blockers lived precisely there.</t>
  </si>
  <si>
    <t xml:space="preserve">v0.25.0 / v0.28.0</t>
  </si>
  <si>
    <t xml:space="preserve">TC-050, TC-055</t>
  </si>
  <si>
    <t xml:space="preserve">VB-CR-011</t>
  </si>
  <si>
    <t xml:space="preserve">The 'saved locally' promise was not durable: a panel reload lost the note the rep had been told was safe.</t>
  </si>
  <si>
    <t xml:space="preserve">VB-CR-012</t>
  </si>
  <si>
    <t xml:space="preserve">Compliance</t>
  </si>
  <si>
    <t xml:space="preserve">Data residency could be misstated by default: a forgotten variable produced a confident, possibly false compliance claim.</t>
  </si>
  <si>
    <t xml:space="preserve">VB-CR-013</t>
  </si>
  <si>
    <t xml:space="preserve">The shipped audit carried two moderate advisories with fixes available.</t>
  </si>
  <si>
    <t xml:space="preserve">VB-CR-014</t>
  </si>
  <si>
    <t xml:space="preserve">Commercial</t>
  </si>
  <si>
    <t xml:space="preserve">The financial model reaches no breakeven inside eighteen months, at roughly -$750k cumulative.</t>
  </si>
  <si>
    <t xml:space="preserve">Open</t>
  </si>
  <si>
    <t xml:space="preserve">no test — blocked on D-V7</t>
  </si>
  <si>
    <t xml:space="preserve">Perplexity review V001</t>
  </si>
  <si>
    <t xml:space="preserve">16 Sep</t>
  </si>
  <si>
    <t xml:space="preserve">The softphone page was never served: the CallCenter pointed at a URL the application had no route for, the page loaded its adapter by a static-resource filename no server served, and nothing set the configuration object.</t>
  </si>
  <si>
    <t xml:space="preserve">TC-001 … TC-005</t>
  </si>
  <si>
    <t xml:space="preserve">Encryption</t>
  </si>
  <si>
    <t xml:space="preserve">The trust page published an encryption claim the code did not implement: both token columns were plaintext.</t>
  </si>
  <si>
    <t xml:space="preserve">TC-007 … TC-012</t>
  </si>
  <si>
    <t xml:space="preserve">The outbox never drained (retry had one caller — a button), and its attempt counters were discarded on PostgreSQL because the code mutated objects the store had returned.</t>
  </si>
  <si>
    <t xml:space="preserve">TC-022 … TC-026</t>
  </si>
  <si>
    <t xml:space="preserve">No rate limiting anywhere including the public OAuth route, no CSP or frame-ancestors on a service Salesforce iframes, no body limit, no request ids, no inbound timeout.</t>
  </si>
  <si>
    <t xml:space="preserve">TC-013 … TC-021</t>
  </si>
  <si>
    <t xml:space="preserve">The evidence gate was one-directional, so a source file added after the evidence run shipped inside a release reporting 100% coverage; test suites were outside the manifest entirely.</t>
  </si>
  <si>
    <t xml:space="preserve">TC-049, TC-050</t>
  </si>
  <si>
    <t xml:space="preserve">F-P06</t>
  </si>
  <si>
    <t xml:space="preserve">ARPU contradicts the stated ICP by 2.5-5x, there is no per-minute cost line for a telephony product, and the top plan limit equals the top of the ICP with no tier to grow into.</t>
  </si>
  <si>
    <t xml:space="preserve">Found by the F-P03 fix</t>
  </si>
  <si>
    <t xml:space="preserve">20 Sep</t>
  </si>
  <si>
    <t xml:space="preserve">Four modules mutated objects the store returned: on PostgreSQL no call ever ended, no enrolment ever advanced, no support ticket was ever answered and no design partner was ever scheduled.</t>
  </si>
  <si>
    <t xml:space="preserve">TC-026, TC-027</t>
  </si>
  <si>
    <t xml:space="preserve">Found by the same change</t>
  </si>
  <si>
    <t xml:space="preserve">A promise was stored instead of its resolved value, so every stored scorecard serialised as an empty object on PostgreSQL.</t>
  </si>
  <si>
    <t xml:space="preserve">Found while wiring CI</t>
  </si>
  <si>
    <t xml:space="preserve">The scripts type-check step added in v0.25.0 could never have passed and had been reported as a gate for three releases.</t>
  </si>
  <si>
    <t xml:space="preserve">F-V34</t>
  </si>
  <si>
    <t xml:space="preserve">Found running the gate from the zip</t>
  </si>
  <si>
    <t xml:space="preserve">The evidence gate read a rebuilt widget bundle as source drift, so the first packaging attempt failed its own verification.</t>
  </si>
  <si>
    <t xml:space="preserve">R-V21</t>
  </si>
  <si>
    <t xml:space="preserve">Critical (risk)</t>
  </si>
  <si>
    <t xml:space="preserve">Platform</t>
  </si>
  <si>
    <t xml:space="preserve">Salesforce Open CTI — the API the entire in-org surface depends on — is in maintenance mode, ends life 28 Feb 2028 and is closed to newly created Agentforce Service orgs.</t>
  </si>
  <si>
    <t xml:space="preserve">Open — strategy</t>
  </si>
  <si>
    <t xml:space="preserve">no test — blocked on D-V8 / D-V9</t>
  </si>
  <si>
    <t xml:space="preserve">TRACEABILITY — requirement or finding → version → manual test cases → automated counterpart</t>
  </si>
  <si>
    <t xml:space="preserve">How to use this sheet: computed from Test_Cases, so it cannot drift from it. Use it in two directions: from a requirement or a review finding, to check that something verifies it; and from a test case, to see what it is there to protect. The count column is a live formula over Test_Cases.</t>
  </si>
  <si>
    <t xml:space="preserve">Version it landed in</t>
  </si>
  <si>
    <t xml:space="preserve">Manual test cases</t>
  </si>
  <si>
    <t xml:space="preserve">Manual cases (count)</t>
  </si>
  <si>
    <t xml:space="preserve">Executed — pass or fail (count)</t>
  </si>
  <si>
    <t xml:space="preserve">Passed (count)</t>
  </si>
  <si>
    <t xml:space="preserve">CL-S01</t>
  </si>
  <si>
    <t xml:space="preserve">CL-T02</t>
  </si>
  <si>
    <t xml:space="preserve">CL-T08</t>
  </si>
  <si>
    <t xml:space="preserve">TC-075, TC-076, TC-077</t>
  </si>
  <si>
    <t xml:space="preserve">none — manual only</t>
  </si>
  <si>
    <t xml:space="preserve">D-V6</t>
  </si>
  <si>
    <t xml:space="preserve">TC-078, TC-079</t>
  </si>
  <si>
    <t xml:space="preserve">D-V8</t>
  </si>
  <si>
    <t xml:space="preserve">D13</t>
  </si>
  <si>
    <t xml:space="preserve">TC-001, TC-002, TC-003, TC-004, TC-005, TC-006</t>
  </si>
  <si>
    <t xml:space="preserve">TC-007, TC-008, TC-009, TC-010, TC-011, TC-012</t>
  </si>
  <si>
    <t xml:space="preserve">scripts/rotate-token-keys.ts; test/tokenCipher.test.ts; test/tokenCipher.test.ts, test/externalReview.test.ts; test/tokenCipher.test.ts, test/repository.test.ts</t>
  </si>
  <si>
    <t xml:space="preserve">TC-022, TC-023, TC-024, TC-025</t>
  </si>
  <si>
    <t xml:space="preserve">test/crmWriteBack.test.ts; test/outboxWorker.test.ts</t>
  </si>
  <si>
    <t xml:space="preserve">F-P03(b)</t>
  </si>
  <si>
    <t xml:space="preserve">TC-013, TC-014, TC-015, TC-016, TC-017, TC-018, TC-019, TC-020</t>
  </si>
  <si>
    <t xml:space="preserve">test/repository.test.ts; test/repository.test.ts, test/logRoute.test.ts</t>
  </si>
  <si>
    <t xml:space="preserve">ST-001..010</t>
  </si>
  <si>
    <t xml:space="preserve">ST-002</t>
  </si>
  <si>
    <t xml:space="preserve">ST-005..045</t>
  </si>
  <si>
    <t xml:space="preserve">ST-011..020</t>
  </si>
  <si>
    <t xml:space="preserve">TC-042, TC-044</t>
  </si>
  <si>
    <t xml:space="preserve">ST-090</t>
  </si>
  <si>
    <t xml:space="preserve">ST-100</t>
  </si>
  <si>
    <t xml:space="preserve">TC-063, TC-064</t>
  </si>
  <si>
    <t xml:space="preserve">TC-059, TC-060, TC-061, TC-062</t>
  </si>
  <si>
    <t xml:space="preserve">test/crmWriteBack.test.ts; test/telephony.test.ts</t>
  </si>
  <si>
    <t xml:space="preserve">VB-E-010</t>
  </si>
  <si>
    <t xml:space="preserve">TC-001, TC-002</t>
  </si>
  <si>
    <t xml:space="preserve">VB-E-011</t>
  </si>
  <si>
    <t xml:space="preserve">VB-E-012</t>
  </si>
  <si>
    <t xml:space="preserve">VB-E-013</t>
  </si>
  <si>
    <t xml:space="preserve">VB-E-014</t>
  </si>
  <si>
    <t xml:space="preserve">TC-017, TC-018</t>
  </si>
  <si>
    <t xml:space="preserve">VB-E-015</t>
  </si>
  <si>
    <t xml:space="preserve">TC-051, TC-052, TC-053</t>
  </si>
  <si>
    <t xml:space="preserve">test/claims.test.ts; test/reviewSprint.test.ts, test/claims.test.ts</t>
  </si>
  <si>
    <t xml:space="preserve">VB-E-017</t>
  </si>
  <si>
    <t xml:space="preserve">VB-E-020</t>
  </si>
  <si>
    <t xml:space="preserve">VB-E-021</t>
  </si>
  <si>
    <t xml:space="preserve">TC-038, TC-039, TC-040, TC-041</t>
  </si>
  <si>
    <t xml:space="preserve">VB-E-030</t>
  </si>
  <si>
    <t xml:space="preserve">TC-042, TC-043</t>
  </si>
  <si>
    <t xml:space="preserve">test/crmWriteBack.test.ts; test/crmWriteBack.test.ts, test/reviewSprint.test.ts</t>
  </si>
  <si>
    <t xml:space="preserve">VB-E-040</t>
  </si>
  <si>
    <t xml:space="preserve">VB-E-045</t>
  </si>
  <si>
    <t xml:space="preserve">VB-E-051</t>
  </si>
  <si>
    <t xml:space="preserve">VB-E-052</t>
  </si>
  <si>
    <t xml:space="preserve">TC-022, TC-025</t>
  </si>
  <si>
    <t xml:space="preserve">TC-021, TC-045, TC-046, TC-048</t>
  </si>
  <si>
    <t xml:space="preserve">test/hardening.test.ts; test/observability.test.ts</t>
  </si>
  <si>
    <t xml:space="preserve">VB-E-055</t>
  </si>
  <si>
    <t xml:space="preserve">VB-E-057</t>
  </si>
  <si>
    <t xml:space="preserve">VB-E-060</t>
  </si>
  <si>
    <t xml:space="preserve">VB-E-061</t>
  </si>
  <si>
    <t xml:space="preserve">TC-029, TC-030</t>
  </si>
  <si>
    <t xml:space="preserve">db/checks/rls-smoke.sql (runs in CI); test/tokenCipher.test.ts</t>
  </si>
  <si>
    <t xml:space="preserve">TC-031, TC-032</t>
  </si>
  <si>
    <t xml:space="preserve">db/checks/audit-append-only.sql (runs in CI); test/auditChain.test.ts</t>
  </si>
  <si>
    <t xml:space="preserve">TC-033, TC-034, TC-035, TC-036, TC-037</t>
  </si>
  <si>
    <t xml:space="preserve">VB-E-084</t>
  </si>
  <si>
    <t xml:space="preserve">VER-V07</t>
  </si>
  <si>
    <t xml:space="preserve">TEST SUMMARY — live counts calculated from Test_Cases</t>
  </si>
  <si>
    <t xml:space="preserve">How to use this sheet: do not type in it. Every number is a formula over Test_Cases, so it moves as you record results there. Read the environment block first: it says how much of this pack can be executed today and how much is waiting on a system or a decision.</t>
  </si>
  <si>
    <t xml:space="preserve">Grouping</t>
  </si>
  <si>
    <t xml:space="preserve">Value</t>
  </si>
  <si>
    <t xml:space="preserve">Total cases</t>
  </si>
  <si>
    <t xml:space="preserve">Pass</t>
  </si>
  <si>
    <t xml:space="preserve">Fail</t>
  </si>
  <si>
    <t xml:space="preserve">BY VERSION</t>
  </si>
  <si>
    <t xml:space="preserve">BY ENVIRONMENT</t>
  </si>
  <si>
    <t xml:space="preserve">BY PRIORITY</t>
  </si>
  <si>
    <t xml:space="preserve">BY AREA</t>
  </si>
  <si>
    <t xml:space="preserve">TOTAL</t>
  </si>
  <si>
    <t xml:space="preserve">All test cases</t>
  </si>
  <si>
    <t xml:space="preserve">Total numbered steps</t>
  </si>
  <si>
    <t xml:space="preserve">HOW TO READ THIS</t>
  </si>
  <si>
    <t xml:space="preserve">The environment block is the honest headline: the LOCAL row is what a reviewer can verify this afternoon with nothing but the delivered zip. Everything in the other four rows is waiting on a database, a Salesforce org, a deployment or a decision — not on more engineering.</t>
  </si>
  <si>
    <t xml:space="preserve">TEST ENVIRONMENT — how to stand up each environment this pack needs</t>
  </si>
  <si>
    <t xml:space="preserve">How to use this sheet: follow the block matching the Environment column of the case you are about to run. Every variable the service reads is listed with what happens when it is absent, because several of them fail closed by design and that behaviour is itself under test.</t>
  </si>
  <si>
    <t xml:space="preserve">What you need</t>
  </si>
  <si>
    <t xml:space="preserve">How to set it up</t>
  </si>
  <si>
    <t xml:space="preserve">What it lets you run</t>
  </si>
  <si>
    <t xml:space="preserve">Node 22+, the delivered zip, nothing else</t>
  </si>
  <si>
    <t xml:space="preserve">1. Extract voicebridge-cti-codebase-20260920_1045.zip.  2. npm ci  3. npm run build  4. Start with: VB_SESSION_SECRET=&lt;32+ chars&gt; SF_CLIENT_ID=x SF_CLIENT_SECRET=y BASE_URL=https://localhost:3000 VB_METRICS_TOKEN=t npm start. For suite-based cases: npx jest --coverage.</t>
  </si>
  <si>
    <t xml:space="preserve">61 of the 80 cases</t>
  </si>
  <si>
    <t xml:space="preserve">No account, credential or external service. This is the environment a reviewer should use.</t>
  </si>
  <si>
    <t xml:space="preserve">The above plus PostgreSQL 16 and an application (non-superuser) role</t>
  </si>
  <si>
    <t xml:space="preserve">1. Provision PostgreSQL 16.  2. Create a non-superuser role and grant it SELECT/INSERT/UPDATE/DELETE on the public schema tables and USAGE on the sequences (db/checks/rls-smoke.sql shows the grants).  3. export DATABASE_URL=postgres://…  4. npm run migrate  5. Start the service with DATABASE_URL and VB_TOKEN_KEYS set.</t>
  </si>
  <si>
    <t xml:space="preserve">10 cases covering storage, isolation, audit and encryption at rest</t>
  </si>
  <si>
    <t xml:space="preserve">A superuser URL is refused in production by design — that refusal is itself test case TC-030.</t>
  </si>
  <si>
    <t xml:space="preserve">A Salesforce developer org with the package deployed</t>
  </si>
  <si>
    <t xml:space="preserve">1. Register a Dev Hub and a namespace.  2. sf project deploy the sfpackage directory.  3. Assign a VoiceBridge permission set.  4. Create the CallCenter from the packaged definition and set adapterUrl to a publicly reachable service base URL.  5. Complete the OAuth install.</t>
  </si>
  <si>
    <t xml:space="preserve">3 cases — the in-org surface and the live CRM write-back</t>
  </si>
  <si>
    <t xml:space="preserve">Operator steps O7 and O7b. This is the highest-value environment on the list and does not exist today.</t>
  </si>
  <si>
    <t xml:space="preserve">A deployed service with two slots and a metrics backend</t>
  </si>
  <si>
    <t xml:space="preserve">1. Deploy the built artefact to a platform offering blue/green slots.  2. Set DEPLOY_CMD, IDLE_URL, SWITCH_CMD, ROLLBACK_CMD and LIVE_URL.  3. Point any Prometheus-compatible scraper at /metrics with the bearer and import the rules from /status/slo.</t>
  </si>
  <si>
    <t xml:space="preserve">2 cases — automatic rollback and the SLO game day</t>
  </si>
  <si>
    <t xml:space="preserve">Operator step O10.</t>
  </si>
  <si>
    <t xml:space="preserve">Nothing — the capability does not exist</t>
  </si>
  <si>
    <t xml:space="preserve">These cases cannot be run at all. They are written so that the day the blocking decision is made the verification already exists. See Pending_Versions for what each one is waiting on.</t>
  </si>
  <si>
    <t xml:space="preserve">6 cases across telephony, WhatsApp and packaging</t>
  </si>
  <si>
    <t xml:space="preserve">Do not mark these Not run — they are Blocked, which is a different fact.</t>
  </si>
  <si>
    <t xml:space="preserve">ENVIRONMENT VARIABLES</t>
  </si>
  <si>
    <t xml:space="preserve">Variable</t>
  </si>
  <si>
    <t xml:space="preserve">Required when</t>
  </si>
  <si>
    <t xml:space="preserve">What it does</t>
  </si>
  <si>
    <t xml:space="preserve">Behaviour if absent</t>
  </si>
  <si>
    <t xml:space="preserve">SF_CLIENT_ID / SF_CLIENT_SECRET</t>
  </si>
  <si>
    <t xml:space="preserve">Always</t>
  </si>
  <si>
    <t xml:space="preserve">External Client App credentials for the OAuth install.</t>
  </si>
  <si>
    <t xml:space="preserve">Boot fails immediately.</t>
  </si>
  <si>
    <t xml:space="preserve">VB_SESSION_SECRET</t>
  </si>
  <si>
    <t xml:space="preserve">Always (32 chars minimum)</t>
  </si>
  <si>
    <t xml:space="preserve">Signs session tokens.</t>
  </si>
  <si>
    <t xml:space="preserve">Boot fails — a default secret is the same as no secret.</t>
  </si>
  <si>
    <t xml:space="preserve">BASE_URL</t>
  </si>
  <si>
    <t xml:space="preserve">Published to the in-org page as serviceBase and used for the HSTS decision.</t>
  </si>
  <si>
    <t xml:space="preserve">Defaults to http://localhost:3000; HSTS is then correctly omitted.</t>
  </si>
  <si>
    <t xml:space="preserve">DATABASE_URL</t>
  </si>
  <si>
    <t xml:space="preserve">Production; LOCAL + PostgreSQL cases</t>
  </si>
  <si>
    <t xml:space="preserve">Durable storage.</t>
  </si>
  <si>
    <t xml:space="preserve">Development runs in memory; production refuses to boot (TC-068).</t>
  </si>
  <si>
    <t xml:space="preserve">VB_TOKEN_KEYS</t>
  </si>
  <si>
    <t xml:space="preserve">Production; encryption cases</t>
  </si>
  <si>
    <t xml:space="preserve">Key ring for token encryption at rest: "1:&lt;base64 32 bytes&gt;".</t>
  </si>
  <si>
    <t xml:space="preserve">Development stores tokens in the clear and says so in the boot line; production refuses to boot (TC-011).</t>
  </si>
  <si>
    <t xml:space="preserve">HYPERFORCE_REGION / APP_HOST_REGION</t>
  </si>
  <si>
    <t xml:space="preserve">Production</t>
  </si>
  <si>
    <t xml:space="preserve">The two regions published in the residency statement.</t>
  </si>
  <si>
    <t xml:space="preserve">Production refuses to boot; elsewhere the trust page publishes 'residency UNVERIFIED' rather than a guess.</t>
  </si>
  <si>
    <t xml:space="preserve">VB_METRICS_TOKEN</t>
  </si>
  <si>
    <t xml:space="preserve">When /metrics is wanted</t>
  </si>
  <si>
    <t xml:space="preserve">Bearer for the metrics endpoint.</t>
  </si>
  <si>
    <t xml:space="preserve">The endpoint returns 404 — disabled rather than open (TC-045).</t>
  </si>
  <si>
    <t xml:space="preserve">VB_SECURITY_CONTACT / VB_PRIVACY_CONTACT</t>
  </si>
  <si>
    <t xml:space="preserve">Before publishing a trust page</t>
  </si>
  <si>
    <t xml:space="preserve">Real contact addresses.</t>
  </si>
  <si>
    <t xml:space="preserve">The trust page publishes 'not yet published' rather than a placeholder that looks real (TC-052).</t>
  </si>
  <si>
    <t xml:space="preserve">VB_RATE_* (three)</t>
  </si>
  <si>
    <t xml:space="preserve">Optional</t>
  </si>
  <si>
    <t xml:space="preserve">Per-minute budgets for the OAuth start, org writes and public reads.</t>
  </si>
  <si>
    <t xml:space="preserve">Defaults 30 / 600 / 300. Cannot be switched off.</t>
  </si>
  <si>
    <t xml:space="preserve">VB_REQUEST_TIMEOUT_MS</t>
  </si>
  <si>
    <t xml:space="preserve">Inbound request timeout.</t>
  </si>
  <si>
    <t xml:space="preserve">Defaults to 15000; minimum 1000.</t>
  </si>
  <si>
    <t xml:space="preserve">VB_FRAME_ANCESTORS</t>
  </si>
  <si>
    <t xml:space="preserve">CSP frame-ancestors allowlist.</t>
  </si>
  <si>
    <t xml:space="preserve">Defaults to the Salesforce domains.</t>
  </si>
  <si>
    <t xml:space="preserve">VB_SESSION_TTL_DAYS</t>
  </si>
  <si>
    <t xml:space="preserve">Session lifetime.</t>
  </si>
  <si>
    <t xml:space="preserve">Defaults to 1 day (reduced from 7 in v0.28.0); maximum 30.</t>
  </si>
  <si>
    <t xml:space="preserve">ENTRY / EXIT CRITERIA, SEVERITY DEFINITIONS, ASSUMPTIONS AND RISKS</t>
  </si>
  <si>
    <t xml:space="preserve">How to use this sheet: agree the entry criteria before a cycle starts and the exit criteria before anyone calls it finished. The severity definitions are the ones used in Defect_Log, so a defect raised during execution is classified the same way as one raised by a review.</t>
  </si>
  <si>
    <t xml:space="preserve">Section</t>
  </si>
  <si>
    <t xml:space="preserve">Item</t>
  </si>
  <si>
    <t xml:space="preserve">Detail</t>
  </si>
  <si>
    <t xml:space="preserve">Entry criteria</t>
  </si>
  <si>
    <t xml:space="preserve">A named build exists</t>
  </si>
  <si>
    <t xml:space="preserve">A packaged zip with its evidence pack, whose hash matches the manifest.</t>
  </si>
  <si>
    <t xml:space="preserve">The automated suite is green</t>
  </si>
  <si>
    <t xml:space="preserve">npm ci &amp;&amp; npx jest --coverage passes at 100% on all four measures from the extracted zip.</t>
  </si>
  <si>
    <t xml:space="preserve">The environment is available</t>
  </si>
  <si>
    <t xml:space="preserve">The environment block for the cases in scope has been stood up and smoke-checked (GET /health returns 200).</t>
  </si>
  <si>
    <t xml:space="preserve">The pack is current</t>
  </si>
  <si>
    <t xml:space="preserve">This workbook's Document_Control names the build under test.</t>
  </si>
  <si>
    <t xml:space="preserve">Exit criteria</t>
  </si>
  <si>
    <t xml:space="preserve">Every in-scope case has a result</t>
  </si>
  <si>
    <t xml:space="preserve">No case in scope is left at Not run. Blocked is a valid result only for cases whose environment is BLOCKED or unavailable.</t>
  </si>
  <si>
    <t xml:space="preserve">No open Critical or Blocker defect</t>
  </si>
  <si>
    <t xml:space="preserve">Any Critical defect found during the cycle is fixed and its case re-run, or the cycle is failed.</t>
  </si>
  <si>
    <t xml:space="preserve">High defects are dispositioned</t>
  </si>
  <si>
    <t xml:space="preserve">Each is either fixed and re-tested, or accepted in writing by the owner with a dated note in Defect_Log.</t>
  </si>
  <si>
    <t xml:space="preserve">The log is complete</t>
  </si>
  <si>
    <t xml:space="preserve">Test_Execution_Log carries one row per case per cycle, with evidence references for every failure.</t>
  </si>
  <si>
    <t xml:space="preserve">The summary is re-read</t>
  </si>
  <si>
    <t xml:space="preserve">Test_Summary is checked for cases that silently stayed Not run.</t>
  </si>
  <si>
    <t xml:space="preserve">The product cannot be used or listed at all until it is fixed. Example: the softphone cannot authenticate to its own API (VB-CR-001).</t>
  </si>
  <si>
    <t xml:space="preserve">A core promise is broken, or data is exposed, lost or silently not written. Example: on PostgreSQL no call ever ended (F-V31).</t>
  </si>
  <si>
    <t xml:space="preserve">A significant capability is wrong or a published claim is unsupported. Example: the trust page claimed encryption over plaintext columns (F-P02).</t>
  </si>
  <si>
    <t xml:space="preserve">Incorrect behaviour with a workaround, or a gate that does not do what it says. Example: the one-directional evidence gate (F-P05).</t>
  </si>
  <si>
    <t xml:space="preserve">Cosmetic, or a defect in tooling that does not affect the product. Example: the evidence gate misreading a rebuilt bundle as drift (F-V34).</t>
  </si>
  <si>
    <t xml:space="preserve">Assumption</t>
  </si>
  <si>
    <t xml:space="preserve">Doubles answer real shapes</t>
  </si>
  <si>
    <t xml:space="preserve">Where a test uses a double, that double answers the response shapes the real system returns. It is still a claim about the real system until a LIVE case runs.</t>
  </si>
  <si>
    <t xml:space="preserve">The tester can read a log</t>
  </si>
  <si>
    <t xml:space="preserve">Several cases are verified by inspecting a structured log line or a database row rather than a screen, because that is where the behaviour is.</t>
  </si>
  <si>
    <t xml:space="preserve">Timestamps are supplied</t>
  </si>
  <si>
    <t xml:space="preserve">Version and document timestamps are set by Senthil at release, not generated.</t>
  </si>
  <si>
    <t xml:space="preserve">Risk</t>
  </si>
  <si>
    <t xml:space="preserve">A green pack proves less than it appears</t>
  </si>
  <si>
    <t xml:space="preserve">61 of 80 cases run entirely against this product's own process. Passing them all says the code is correct, not that the product works in a customer's org.</t>
  </si>
  <si>
    <t xml:space="preserve">Blocked cases may drift</t>
  </si>
  <si>
    <t xml:space="preserve">Cases written in advance for pending capabilities are written against the current design. If a decision changes the design, re-read them before use.</t>
  </si>
  <si>
    <t xml:space="preserve">One defect class keeps recurring</t>
  </si>
  <si>
    <t xml:space="preserve">Four separate reviews found the same shape: a claim, a route or a guard that exists in one artefact and not in the one beside it. Any new artefact should be checked against its counterpart on arrival.</t>
  </si>
  <si>
    <t xml:space="preserve">RACI — who does what in this pack</t>
  </si>
  <si>
    <t xml:space="preserve">How to use this sheet: R = does the work, A = accountable for the outcome, C = consulted, I = informed. On a solo build most rows collapse to two names, which is exactly why the decision rows matter: nobody else will make them.</t>
  </si>
  <si>
    <t xml:space="preserve">Activity</t>
  </si>
  <si>
    <t xml:space="preserve">Senthil (KP)</t>
  </si>
  <si>
    <t xml:space="preserve">Independent reviewer</t>
  </si>
  <si>
    <t xml:space="preserve">Vendor / third party</t>
  </si>
  <si>
    <t xml:space="preserve">Writing and maintaining this pack</t>
  </si>
  <si>
    <t xml:space="preserve">R</t>
  </si>
  <si>
    <t xml:space="preserve">A</t>
  </si>
  <si>
    <t xml:space="preserve">I</t>
  </si>
  <si>
    <t xml:space="preserve">Re-issued with each code version that changes behaviour.</t>
  </si>
  <si>
    <t xml:space="preserve">Executing LOCAL test cases</t>
  </si>
  <si>
    <t xml:space="preserve">C</t>
  </si>
  <si>
    <t xml:space="preserve">Can be run today by anyone with the zip.</t>
  </si>
  <si>
    <t xml:space="preserve">Provisioning PostgreSQL / a Salesforce dev org / a deployment</t>
  </si>
  <si>
    <t xml:space="preserve">R, A</t>
  </si>
  <si>
    <t xml:space="preserve">The single largest unblocking act available.</t>
  </si>
  <si>
    <t xml:space="preserve">Executing LIVE test cases</t>
  </si>
  <si>
    <t xml:space="preserve">Cannot start until the row above happens.</t>
  </si>
  <si>
    <t xml:space="preserve">Raising and classifying defects</t>
  </si>
  <si>
    <t xml:space="preserve">Severity definitions are on Entry_Exit_Criteria.</t>
  </si>
  <si>
    <t xml:space="preserve">Deciding D-V3 … D-V9 and D13</t>
  </si>
  <si>
    <t xml:space="preserve">Eight open decisions; packets already written.</t>
  </si>
  <si>
    <t xml:space="preserve">Penetration test</t>
  </si>
  <si>
    <t xml:space="preserve">Needs a deployment to test.</t>
  </si>
  <si>
    <t xml:space="preserve">SOC 2 readiness assessment</t>
  </si>
  <si>
    <t xml:space="preserve">The control-to-code map is already written.</t>
  </si>
  <si>
    <t xml:space="preserve">Independent review sign-off (DR-12)</t>
  </si>
  <si>
    <t xml:space="preserve">Same-AI review is not independent; this is deliberately someone else's job.</t>
  </si>
  <si>
    <t xml:space="preserve">Approving the pack for use</t>
  </si>
  <si>
    <t xml:space="preserve">Sign-off grid is on Cover_Sheet.</t>
  </si>
  <si>
    <t xml:space="preserve">GLOSSARY — every term and abbreviation used in this workbook</t>
  </si>
  <si>
    <t xml:space="preserve">How to use this sheet: alphabetical within groups. Product-specific identifiers (ST-, D-V, F-P, O-) are explained at the bottom, because knowing the prefix is usually enough to know where to look.</t>
  </si>
  <si>
    <t xml:space="preserve">Term</t>
  </si>
  <si>
    <t xml:space="preserve">Meaning</t>
  </si>
  <si>
    <t xml:space="preserve">Open CTI</t>
  </si>
  <si>
    <t xml:space="preserve">The Salesforce API for embedding a third-party softphone in the Lightning interface. In maintenance mode; end of life 28 February 2028; closed to newly created Agentforce Service orgs.</t>
  </si>
  <si>
    <t xml:space="preserve">Service Cloud Voice / Partner Telephony</t>
  </si>
  <si>
    <t xml:space="preserve">The Salesforce model third-party carriers are directed to as the supported replacement for Open CTI.</t>
  </si>
  <si>
    <t xml:space="preserve">CallCenter definition</t>
  </si>
  <si>
    <t xml:space="preserve">The Salesforce metadata record naming the URL an org loads as its softphone.</t>
  </si>
  <si>
    <t xml:space="preserve">External Client App (ECA)</t>
  </si>
  <si>
    <t xml:space="preserve">The OAuth client type that replaced Connected Apps, which can no longer be created as of Spring '26.</t>
  </si>
  <si>
    <t xml:space="preserve">PKCE</t>
  </si>
  <si>
    <t xml:space="preserve">Proof Key for Code Exchange — an OAuth extension that binds an authorisation code to the client that requested it.</t>
  </si>
  <si>
    <t xml:space="preserve">SOSL</t>
  </si>
  <si>
    <t xml:space="preserve">Salesforce Object Search Language. FIND {digits} IN PHONE FIELDS uses the platform's own phone index rather than an unindexed wildcard scan.</t>
  </si>
  <si>
    <t xml:space="preserve">Upsert on an external id</t>
  </si>
  <si>
    <t xml:space="preserve">Writing a record keyed on our own identifier so the platform decides insert or update, which makes a retry idempotent.</t>
  </si>
  <si>
    <t xml:space="preserve">2GP package</t>
  </si>
  <si>
    <t xml:space="preserve">Second-generation managed package — the unit an AppExchange application is distributed in.</t>
  </si>
  <si>
    <t xml:space="preserve">Outbox</t>
  </si>
  <si>
    <t xml:space="preserve">A durable queue of CRM writes that failed, drained in order by a background worker with backoff and a dead-letter threshold.</t>
  </si>
  <si>
    <t xml:space="preserve">Dead letter</t>
  </si>
  <si>
    <t xml:space="preserve">A queued write parked after too many attempts: visible in health output, never retried automatically.</t>
  </si>
  <si>
    <t xml:space="preserve">Lease</t>
  </si>
  <si>
    <t xml:space="preserve">A short-lived database row that makes exactly one instance the leader for a background job.</t>
  </si>
  <si>
    <t xml:space="preserve">Row-level security (RLS)</t>
  </si>
  <si>
    <t xml:space="preserve">PostgreSQL policies that filter every row by a tenant context set inside the transaction, so isolation is the database's job.</t>
  </si>
  <si>
    <t xml:space="preserve">Hash chain</t>
  </si>
  <si>
    <t xml:space="preserve">Each audit entry hashes its own content plus the previous entry's hash, so editing or removing any entry breaks every one after it.</t>
  </si>
  <si>
    <t xml:space="preserve">E.164</t>
  </si>
  <si>
    <t xml:space="preserve">The international telephone number format: a plus sign, a country code and a national number.</t>
  </si>
  <si>
    <t xml:space="preserve">DNC</t>
  </si>
  <si>
    <t xml:space="preserve">Do-not-call: a registry that must be consulted before dialling. None is connected yet, and the trust page says so.</t>
  </si>
  <si>
    <t xml:space="preserve">SLO / error budget / burn rate</t>
  </si>
  <si>
    <t xml:space="preserve">A service level objective, the failures it permits, and how fast those failures are being consumed.</t>
  </si>
  <si>
    <t xml:space="preserve">RED metrics</t>
  </si>
  <si>
    <t xml:space="preserve">Rate, Errors, Duration — the three series recorded per route.</t>
  </si>
  <si>
    <t xml:space="preserve">Blue/green deployment</t>
  </si>
  <si>
    <t xml:space="preserve">Two slots: deploy to the idle one, health-check it, switch traffic, health-check again, switch back automatically if it fails.</t>
  </si>
  <si>
    <t xml:space="preserve">RPO / RTO</t>
  </si>
  <si>
    <t xml:space="preserve">Recovery point objective (how much data a restore may lose) and recovery time objective (how long a restore takes).</t>
  </si>
  <si>
    <t xml:space="preserve">Positive test</t>
  </si>
  <si>
    <t xml:space="preserve">A case that proves the product does what it should when everything is correct.</t>
  </si>
  <si>
    <t xml:space="preserve">Negative test</t>
  </si>
  <si>
    <t xml:space="preserve">A case that proves the product refuses what it should when something is wrong, hostile or absent. Thirty-one of the eighty cases here are negative.</t>
  </si>
  <si>
    <t xml:space="preserve">Code-complete (unproven)</t>
  </si>
  <si>
    <t xml:space="preserve">Built and fully tested, but never observed against a live system. The status decision D-V4 would apply to twenty stories.</t>
  </si>
  <si>
    <t xml:space="preserve">ST-nnn</t>
  </si>
  <si>
    <t xml:space="preserve">A user story from the 100-story backlog in the product workbook.</t>
  </si>
  <si>
    <t xml:space="preserve">D-Vn / D13 / D15</t>
  </si>
  <si>
    <t xml:space="preserve">An open decision recorded in the sprint tracker, with its owner and what it blocks.</t>
  </si>
  <si>
    <t xml:space="preserve">VB-CR-nnn</t>
  </si>
  <si>
    <t xml:space="preserve">A finding from external review V001 (ChatGPT, 13 September 2026).</t>
  </si>
  <si>
    <t xml:space="preserve">F-Pnn</t>
  </si>
  <si>
    <t xml:space="preserve">A finding from the Perplexity review V001 (16 September 2026).</t>
  </si>
  <si>
    <t xml:space="preserve">F-Vnn / VER-Vnn / GAP-Vn</t>
  </si>
  <si>
    <t xml:space="preserve">Findings from the internal cold-review passes, the external verification sweeps and the artifact-gap audits.</t>
  </si>
  <si>
    <t xml:space="preserve">R-Vnn / L-Vnn</t>
  </si>
  <si>
    <t xml:space="preserve">A risk and a lesson in the tracker's RAID register.</t>
  </si>
  <si>
    <t xml:space="preserve">On / O6, O7, O7b, O9, O10</t>
  </si>
  <si>
    <t xml:space="preserve">Operator steps: work that cannot be done in code because it needs a live system.</t>
  </si>
  <si>
    <t xml:space="preserve">VB-E-nnn</t>
  </si>
  <si>
    <t xml:space="preserve">An enhancement story from the Perplexity review's S13–S29 plan, tracked in the sprint tracker's Enhancement_Plan sheet.</t>
  </si>
  <si>
    <t xml:space="preserve">LC-n / G-n</t>
  </si>
  <si>
    <t xml:space="preserve">Launch-checklist items and completion-gate rows in the sprint tracker.</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</si>
</sst>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8"/>
      <name val="Arial"/>
      <family val="0"/>
      <charset val="1"/>
    </font>
    <font>
      <sz val="14"/>
      <name val="Arial"/>
      <family val="0"/>
      <charset val="1"/>
    </font>
    <font>
      <sz val="9"/>
      <name val="Arial"/>
      <family val="0"/>
      <charset val="1"/>
    </font>
    <font>
      <b val="true"/>
      <sz val="10"/>
      <name val="Arial"/>
      <family val="0"/>
      <charset val="1"/>
    </font>
    <font>
      <sz val="10"/>
      <name val="Arial"/>
      <family val="0"/>
      <charset val="1"/>
    </font>
    <font>
      <b val="true"/>
      <sz val="12"/>
      <name val="Arial"/>
      <family val="0"/>
      <charset val="1"/>
    </font>
    <font>
      <b val="true"/>
      <sz val="10"/>
      <color rgb="FFFFFFFF"/>
      <name val="Arial"/>
      <family val="0"/>
      <charset val="1"/>
    </font>
    <font>
      <sz val="10"/>
      <name val="Noto Sans CJK SC"/>
      <family val="2"/>
    </font>
  </fonts>
  <fills count="5">
    <fill>
      <patternFill patternType="none"/>
    </fill>
    <fill>
      <patternFill patternType="gray125"/>
    </fill>
    <fill>
      <patternFill patternType="solid">
        <fgColor rgb="FFEAEEF2"/>
        <bgColor rgb="FFFFFFFF"/>
      </patternFill>
    </fill>
    <fill>
      <patternFill patternType="solid">
        <fgColor rgb="FF1F3864"/>
        <bgColor rgb="FF333333"/>
      </patternFill>
    </fill>
    <fill>
      <patternFill patternType="solid">
        <fgColor rgb="FF7B241C"/>
        <bgColor rgb="FF800000"/>
      </patternFill>
    </fill>
  </fills>
  <borders count="2">
    <border diagonalUp="false" diagonalDown="false">
      <left/>
      <right/>
      <top/>
      <bottom/>
      <diagonal/>
    </border>
    <border diagonalUp="false" diagonalDown="false">
      <left style="thin">
        <color rgb="FFD0D7DE"/>
      </left>
      <right style="thin">
        <color rgb="FFD0D7DE"/>
      </right>
      <top style="thin">
        <color rgb="FFD0D7DE"/>
      </top>
      <bottom style="thin">
        <color rgb="FFD0D7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center" vertical="top" textRotation="0" wrapText="tru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AEEF2"/>
      <rgbColor rgb="FF660066"/>
      <rgbColor rgb="FFFF8080"/>
      <rgbColor rgb="FF0066CC"/>
      <rgbColor rgb="FFD0D7D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7B241C"/>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118"/>
    <col collapsed="false" customWidth="true" hidden="false" outlineLevel="0" max="4" min="4" style="0" width="26"/>
    <col collapsed="false" customWidth="true" hidden="false" outlineLevel="0" max="5" min="5" style="0" width="44"/>
  </cols>
  <sheetData>
    <row r="2" customFormat="false" ht="22.05" hidden="false" customHeight="false" outlineLevel="0" collapsed="false">
      <c r="B2" s="1" t="s">
        <v>0</v>
      </c>
    </row>
    <row r="3" customFormat="false" ht="17.35" hidden="false" customHeight="false" outlineLevel="0" collapsed="false">
      <c r="B3" s="2" t="s">
        <v>1</v>
      </c>
    </row>
    <row r="4" customFormat="false" ht="33.75" hidden="false" customHeight="true" outlineLevel="0" collapsed="false">
      <c r="B4" s="3" t="s">
        <v>2</v>
      </c>
      <c r="C4" s="3"/>
    </row>
    <row r="6" customFormat="false" ht="15" hidden="false" customHeight="true" outlineLevel="0" collapsed="false">
      <c r="B6" s="4" t="s">
        <v>3</v>
      </c>
      <c r="C6" s="5" t="s">
        <v>4</v>
      </c>
    </row>
    <row r="7" customFormat="false" ht="15" hidden="false" customHeight="true" outlineLevel="0" collapsed="false">
      <c r="B7" s="4" t="s">
        <v>5</v>
      </c>
      <c r="C7" s="5" t="s">
        <v>6</v>
      </c>
    </row>
    <row r="8" customFormat="false" ht="15" hidden="false" customHeight="true" outlineLevel="0" collapsed="false">
      <c r="B8" s="4" t="s">
        <v>7</v>
      </c>
      <c r="C8" s="5" t="s">
        <v>8</v>
      </c>
    </row>
    <row r="9" customFormat="false" ht="15" hidden="false" customHeight="true" outlineLevel="0" collapsed="false">
      <c r="B9" s="4" t="s">
        <v>9</v>
      </c>
      <c r="C9" s="5" t="s">
        <v>10</v>
      </c>
    </row>
    <row r="10" customFormat="false" ht="15" hidden="false" customHeight="true" outlineLevel="0" collapsed="false">
      <c r="B10" s="4" t="s">
        <v>11</v>
      </c>
      <c r="C10" s="5" t="s">
        <v>12</v>
      </c>
    </row>
    <row r="11" customFormat="false" ht="30" hidden="false" customHeight="true" outlineLevel="0" collapsed="false">
      <c r="B11" s="4" t="s">
        <v>13</v>
      </c>
      <c r="C11" s="5" t="s">
        <v>14</v>
      </c>
    </row>
    <row r="12" customFormat="false" ht="15" hidden="false" customHeight="true" outlineLevel="0" collapsed="false">
      <c r="B12" s="4" t="s">
        <v>15</v>
      </c>
      <c r="C12" s="5" t="s">
        <v>16</v>
      </c>
    </row>
    <row r="13" customFormat="false" ht="30" hidden="false" customHeight="true" outlineLevel="0" collapsed="false">
      <c r="B13" s="4" t="s">
        <v>17</v>
      </c>
      <c r="C13" s="5" t="s">
        <v>18</v>
      </c>
    </row>
    <row r="14" customFormat="false" ht="43.5" hidden="false" customHeight="true" outlineLevel="0" collapsed="false">
      <c r="B14" s="4" t="s">
        <v>19</v>
      </c>
      <c r="C14" s="5" t="s">
        <v>20</v>
      </c>
    </row>
    <row r="15" customFormat="false" ht="30" hidden="false" customHeight="true" outlineLevel="0" collapsed="false">
      <c r="B15" s="4" t="s">
        <v>21</v>
      </c>
      <c r="C15" s="5" t="s">
        <v>22</v>
      </c>
    </row>
    <row r="16" customFormat="false" ht="30" hidden="false" customHeight="true" outlineLevel="0" collapsed="false">
      <c r="B16" s="4" t="s">
        <v>23</v>
      </c>
      <c r="C16" s="5" t="s">
        <v>24</v>
      </c>
    </row>
    <row r="17" customFormat="false" ht="30" hidden="false" customHeight="true" outlineLevel="0" collapsed="false">
      <c r="B17" s="4" t="s">
        <v>25</v>
      </c>
      <c r="C17" s="5" t="s">
        <v>26</v>
      </c>
    </row>
    <row r="18" customFormat="false" ht="30" hidden="false" customHeight="true" outlineLevel="0" collapsed="false">
      <c r="B18" s="4" t="s">
        <v>27</v>
      </c>
      <c r="C18" s="5" t="s">
        <v>28</v>
      </c>
    </row>
    <row r="19" customFormat="false" ht="43.5" hidden="false" customHeight="true" outlineLevel="0" collapsed="false">
      <c r="B19" s="4" t="s">
        <v>29</v>
      </c>
      <c r="C19" s="5" t="s">
        <v>30</v>
      </c>
    </row>
    <row r="20" customFormat="false" ht="30" hidden="false" customHeight="true" outlineLevel="0" collapsed="false">
      <c r="B20" s="4" t="s">
        <v>31</v>
      </c>
      <c r="C20" s="5" t="s">
        <v>32</v>
      </c>
    </row>
    <row r="21" customFormat="false" ht="30" hidden="false" customHeight="true" outlineLevel="0" collapsed="false">
      <c r="B21" s="4" t="s">
        <v>33</v>
      </c>
      <c r="C21" s="5" t="s">
        <v>34</v>
      </c>
    </row>
    <row r="23" customFormat="false" ht="15" hidden="false" customHeight="false" outlineLevel="0" collapsed="false">
      <c r="B23" s="6" t="s">
        <v>35</v>
      </c>
    </row>
    <row r="24" customFormat="false" ht="15" hidden="false" customHeight="false" outlineLevel="0" collapsed="false">
      <c r="B24" s="7" t="s">
        <v>36</v>
      </c>
      <c r="C24" s="7" t="s">
        <v>37</v>
      </c>
      <c r="D24" s="7" t="s">
        <v>38</v>
      </c>
      <c r="E24" s="7" t="s">
        <v>39</v>
      </c>
    </row>
    <row r="25" customFormat="false" ht="24" hidden="false" customHeight="true" outlineLevel="0" collapsed="false">
      <c r="B25" s="5" t="s">
        <v>40</v>
      </c>
      <c r="C25" s="8"/>
      <c r="D25" s="8"/>
      <c r="E25" s="8"/>
    </row>
    <row r="26" customFormat="false" ht="24" hidden="false" customHeight="true" outlineLevel="0" collapsed="false">
      <c r="B26" s="5" t="s">
        <v>41</v>
      </c>
      <c r="C26" s="8"/>
      <c r="D26" s="8"/>
      <c r="E26" s="8"/>
    </row>
    <row r="27" customFormat="false" ht="24" hidden="false" customHeight="true" outlineLevel="0" collapsed="false">
      <c r="B27" s="5" t="s">
        <v>42</v>
      </c>
      <c r="C27" s="8"/>
      <c r="D27" s="8"/>
      <c r="E27" s="8"/>
    </row>
    <row r="28" customFormat="false" ht="24" hidden="false" customHeight="true" outlineLevel="0" collapsed="false">
      <c r="B28" s="5" t="s">
        <v>43</v>
      </c>
      <c r="C28" s="8"/>
      <c r="D28" s="8"/>
      <c r="E28" s="8"/>
    </row>
    <row r="30" customFormat="false" ht="30" hidden="false" customHeight="true" outlineLevel="0" collapsed="false">
      <c r="B30" s="3" t="s">
        <v>44</v>
      </c>
      <c r="C30" s="3"/>
      <c r="D30" s="3"/>
      <c r="E30" s="3"/>
    </row>
  </sheetData>
  <mergeCells count="2">
    <mergeCell ref="B4:C4"/>
    <mergeCell ref="B30:E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7"/>
    <col collapsed="false" customWidth="true" hidden="false" outlineLevel="0" max="4" min="3" style="0" width="22"/>
    <col collapsed="false" customWidth="true" hidden="false" outlineLevel="0" max="5" min="5" style="0" width="92"/>
    <col collapsed="false" customWidth="true" hidden="false" outlineLevel="0" max="6" min="6" style="0" width="12"/>
  </cols>
  <sheetData>
    <row r="1" customFormat="false" ht="15" hidden="false" customHeight="false" outlineLevel="0" collapsed="false">
      <c r="A1" s="6" t="s">
        <v>45</v>
      </c>
    </row>
    <row r="2" customFormat="false" ht="45.75" hidden="false" customHeight="true" outlineLevel="0" collapsed="false">
      <c r="A2" s="3" t="s">
        <v>46</v>
      </c>
      <c r="B2" s="3"/>
      <c r="C2" s="3"/>
      <c r="D2" s="3"/>
      <c r="E2" s="3"/>
      <c r="F2" s="3"/>
    </row>
    <row r="3" customFormat="false" ht="15" hidden="false" customHeight="false" outlineLevel="0" collapsed="false">
      <c r="A3" s="7" t="s">
        <v>47</v>
      </c>
      <c r="B3" s="7" t="s">
        <v>48</v>
      </c>
      <c r="C3" s="7" t="s">
        <v>49</v>
      </c>
      <c r="D3" s="7" t="s">
        <v>50</v>
      </c>
      <c r="E3" s="7" t="s">
        <v>51</v>
      </c>
      <c r="F3" s="7" t="s">
        <v>52</v>
      </c>
    </row>
    <row r="4" customFormat="false" ht="79.5" hidden="false" customHeight="true" outlineLevel="0" collapsed="false">
      <c r="A4" s="5" t="s">
        <v>53</v>
      </c>
      <c r="B4" s="5" t="s">
        <v>54</v>
      </c>
      <c r="C4" s="5" t="s">
        <v>55</v>
      </c>
      <c r="D4" s="5" t="s">
        <v>56</v>
      </c>
      <c r="E4" s="5" t="s">
        <v>57</v>
      </c>
      <c r="F4" s="5" t="s">
        <v>58</v>
      </c>
    </row>
    <row r="5" customFormat="false" ht="45.75" hidden="false" customHeight="true" outlineLevel="0" collapsed="false">
      <c r="A5" s="5" t="s">
        <v>59</v>
      </c>
      <c r="B5" s="5" t="s">
        <v>60</v>
      </c>
      <c r="C5" s="5" t="s">
        <v>60</v>
      </c>
      <c r="D5" s="5" t="s">
        <v>61</v>
      </c>
      <c r="E5" s="5" t="s">
        <v>62</v>
      </c>
      <c r="F5" s="5" t="s">
        <v>63</v>
      </c>
    </row>
    <row r="6" customFormat="false" ht="15" hidden="false" customHeight="false" outlineLevel="0" collapsed="false">
      <c r="A6" s="5"/>
      <c r="B6" s="5"/>
      <c r="C6" s="5"/>
      <c r="D6" s="5"/>
      <c r="E6" s="5"/>
      <c r="F6" s="5"/>
    </row>
    <row r="7" customFormat="false" ht="57.45" hidden="false" customHeight="false" outlineLevel="0" collapsed="false">
      <c r="A7" s="9" t="s">
        <v>64</v>
      </c>
      <c r="B7" s="9" t="s">
        <v>65</v>
      </c>
      <c r="C7" s="9"/>
      <c r="D7" s="9"/>
      <c r="E7" s="9" t="s">
        <v>66</v>
      </c>
      <c r="F7" s="9"/>
    </row>
    <row r="8" customFormat="false" ht="46.25" hidden="false" customHeight="false" outlineLevel="0" collapsed="false">
      <c r="A8" s="9" t="s">
        <v>67</v>
      </c>
      <c r="B8" s="9" t="s">
        <v>68</v>
      </c>
      <c r="C8" s="9"/>
      <c r="D8" s="9"/>
      <c r="E8" s="9" t="s">
        <v>69</v>
      </c>
      <c r="F8" s="9"/>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62"/>
    <col collapsed="false" customWidth="true" hidden="false" outlineLevel="0" max="4" min="4" style="0" width="24"/>
    <col collapsed="false" customWidth="true" hidden="false" outlineLevel="0" max="6" min="5" style="0" width="40"/>
  </cols>
  <sheetData>
    <row r="1" customFormat="false" ht="15" hidden="false" customHeight="false" outlineLevel="0" collapsed="false">
      <c r="A1" s="6" t="s">
        <v>70</v>
      </c>
    </row>
    <row r="2" customFormat="false" ht="45.75" hidden="false" customHeight="true" outlineLevel="0" collapsed="false">
      <c r="A2" s="3" t="s">
        <v>71</v>
      </c>
      <c r="B2" s="3"/>
      <c r="C2" s="3"/>
      <c r="D2" s="3"/>
      <c r="E2" s="3"/>
      <c r="F2" s="3"/>
    </row>
    <row r="3" customFormat="false" ht="15" hidden="false" customHeight="false" outlineLevel="0" collapsed="false">
      <c r="A3" s="7" t="s">
        <v>72</v>
      </c>
      <c r="B3" s="7" t="s">
        <v>73</v>
      </c>
      <c r="C3" s="7" t="s">
        <v>74</v>
      </c>
      <c r="D3" s="7" t="s">
        <v>75</v>
      </c>
      <c r="E3" s="7" t="s">
        <v>76</v>
      </c>
      <c r="F3" s="7" t="s">
        <v>77</v>
      </c>
    </row>
    <row r="4" customFormat="false" ht="30" hidden="false" customHeight="true" outlineLevel="0" collapsed="false">
      <c r="A4" s="5" t="s">
        <v>78</v>
      </c>
      <c r="B4" s="5" t="s">
        <v>79</v>
      </c>
      <c r="C4" s="5" t="s">
        <v>80</v>
      </c>
      <c r="D4" s="5" t="s">
        <v>81</v>
      </c>
      <c r="E4" s="5" t="s">
        <v>82</v>
      </c>
      <c r="F4" s="5" t="s">
        <v>83</v>
      </c>
    </row>
    <row r="5" customFormat="false" ht="30" hidden="false" customHeight="true" outlineLevel="0" collapsed="false">
      <c r="A5" s="5" t="s">
        <v>84</v>
      </c>
      <c r="B5" s="5" t="s">
        <v>85</v>
      </c>
      <c r="C5" s="5" t="s">
        <v>86</v>
      </c>
      <c r="D5" s="5" t="s">
        <v>87</v>
      </c>
      <c r="E5" s="5" t="s">
        <v>88</v>
      </c>
      <c r="F5" s="5" t="s">
        <v>89</v>
      </c>
    </row>
    <row r="6" customFormat="false" ht="30" hidden="false" customHeight="true" outlineLevel="0" collapsed="false">
      <c r="A6" s="5" t="s">
        <v>90</v>
      </c>
      <c r="B6" s="5" t="s">
        <v>91</v>
      </c>
      <c r="C6" s="5" t="s">
        <v>92</v>
      </c>
      <c r="D6" s="5" t="s">
        <v>81</v>
      </c>
      <c r="E6" s="5" t="s">
        <v>93</v>
      </c>
      <c r="F6" s="5" t="s">
        <v>94</v>
      </c>
    </row>
    <row r="7" customFormat="false" ht="30" hidden="false" customHeight="true" outlineLevel="0" collapsed="false">
      <c r="A7" s="5" t="s">
        <v>95</v>
      </c>
      <c r="B7" s="5" t="s">
        <v>96</v>
      </c>
      <c r="C7" s="5" t="s">
        <v>97</v>
      </c>
      <c r="D7" s="5" t="s">
        <v>98</v>
      </c>
      <c r="E7" s="5" t="s">
        <v>99</v>
      </c>
      <c r="F7" s="5" t="s">
        <v>94</v>
      </c>
    </row>
    <row r="8" customFormat="false" ht="30" hidden="false" customHeight="true" outlineLevel="0" collapsed="false">
      <c r="A8" s="5" t="s">
        <v>100</v>
      </c>
      <c r="B8" s="5" t="s">
        <v>101</v>
      </c>
      <c r="C8" s="5" t="s">
        <v>102</v>
      </c>
      <c r="D8" s="5" t="s">
        <v>103</v>
      </c>
      <c r="E8" s="5" t="s">
        <v>104</v>
      </c>
      <c r="F8" s="5" t="s">
        <v>105</v>
      </c>
    </row>
    <row r="9" customFormat="false" ht="30" hidden="false" customHeight="true" outlineLevel="0" collapsed="false">
      <c r="A9" s="5" t="s">
        <v>106</v>
      </c>
      <c r="B9" s="5" t="s">
        <v>107</v>
      </c>
      <c r="C9" s="5" t="s">
        <v>108</v>
      </c>
      <c r="D9" s="5" t="s">
        <v>109</v>
      </c>
      <c r="E9" s="5" t="s">
        <v>110</v>
      </c>
      <c r="F9" s="5" t="s">
        <v>111</v>
      </c>
    </row>
    <row r="10" customFormat="false" ht="30" hidden="false" customHeight="true" outlineLevel="0" collapsed="false">
      <c r="A10" s="5" t="s">
        <v>112</v>
      </c>
      <c r="B10" s="5" t="s">
        <v>113</v>
      </c>
      <c r="C10" s="5" t="s">
        <v>114</v>
      </c>
      <c r="D10" s="5" t="s">
        <v>115</v>
      </c>
      <c r="E10" s="5" t="s">
        <v>116</v>
      </c>
      <c r="F10" s="5" t="s">
        <v>117</v>
      </c>
    </row>
    <row r="11" customFormat="false" ht="30" hidden="false" customHeight="true" outlineLevel="0" collapsed="false">
      <c r="A11" s="5" t="s">
        <v>118</v>
      </c>
      <c r="B11" s="5" t="s">
        <v>119</v>
      </c>
      <c r="C11" s="5" t="s">
        <v>120</v>
      </c>
      <c r="D11" s="5" t="s">
        <v>121</v>
      </c>
      <c r="E11" s="5" t="s">
        <v>122</v>
      </c>
      <c r="F11" s="5" t="s">
        <v>123</v>
      </c>
    </row>
    <row r="12" customFormat="false" ht="30" hidden="false" customHeight="true" outlineLevel="0" collapsed="false">
      <c r="A12" s="5" t="s">
        <v>124</v>
      </c>
      <c r="B12" s="5" t="s">
        <v>125</v>
      </c>
      <c r="C12" s="5" t="s">
        <v>126</v>
      </c>
      <c r="D12" s="5" t="s">
        <v>127</v>
      </c>
      <c r="E12" s="5" t="s">
        <v>128</v>
      </c>
      <c r="F12" s="5" t="s">
        <v>129</v>
      </c>
    </row>
    <row r="13" customFormat="false" ht="30" hidden="false" customHeight="true" outlineLevel="0" collapsed="false">
      <c r="A13" s="5" t="s">
        <v>130</v>
      </c>
      <c r="B13" s="5" t="s">
        <v>131</v>
      </c>
      <c r="C13" s="5" t="s">
        <v>132</v>
      </c>
      <c r="D13" s="5" t="s">
        <v>133</v>
      </c>
      <c r="E13" s="5" t="s">
        <v>134</v>
      </c>
      <c r="F13" s="5" t="s">
        <v>135</v>
      </c>
    </row>
    <row r="14" customFormat="false" ht="30" hidden="false" customHeight="true" outlineLevel="0" collapsed="false">
      <c r="A14" s="5" t="s">
        <v>136</v>
      </c>
      <c r="B14" s="5" t="s">
        <v>137</v>
      </c>
      <c r="C14" s="5" t="s">
        <v>138</v>
      </c>
      <c r="D14" s="5" t="s">
        <v>103</v>
      </c>
      <c r="E14" s="5" t="s">
        <v>139</v>
      </c>
      <c r="F14" s="5" t="s">
        <v>140</v>
      </c>
    </row>
    <row r="15" customFormat="false" ht="30" hidden="false" customHeight="true" outlineLevel="0" collapsed="false">
      <c r="A15" s="5" t="s">
        <v>141</v>
      </c>
      <c r="B15" s="5" t="s">
        <v>142</v>
      </c>
      <c r="C15" s="5" t="s">
        <v>143</v>
      </c>
      <c r="D15" s="5" t="s">
        <v>144</v>
      </c>
      <c r="E15" s="5" t="s">
        <v>145</v>
      </c>
      <c r="F15" s="5" t="s">
        <v>146</v>
      </c>
    </row>
    <row r="16" customFormat="false" ht="30" hidden="false" customHeight="true" outlineLevel="0" collapsed="false">
      <c r="A16" s="5" t="s">
        <v>147</v>
      </c>
      <c r="B16" s="5" t="s">
        <v>148</v>
      </c>
      <c r="C16" s="5" t="s">
        <v>149</v>
      </c>
      <c r="D16" s="5" t="s">
        <v>150</v>
      </c>
      <c r="E16" s="5" t="s">
        <v>151</v>
      </c>
      <c r="F16" s="5" t="s">
        <v>152</v>
      </c>
    </row>
    <row r="17" customFormat="false" ht="30" hidden="false" customHeight="true" outlineLevel="0" collapsed="false">
      <c r="A17" s="5" t="s">
        <v>153</v>
      </c>
      <c r="B17" s="5" t="s">
        <v>154</v>
      </c>
      <c r="C17" s="5" t="s">
        <v>155</v>
      </c>
      <c r="D17" s="5" t="s">
        <v>127</v>
      </c>
      <c r="E17" s="5" t="s">
        <v>156</v>
      </c>
      <c r="F17" s="5" t="s">
        <v>94</v>
      </c>
    </row>
    <row r="18" customFormat="false" ht="30" hidden="false" customHeight="true" outlineLevel="0" collapsed="false">
      <c r="A18" s="5" t="s">
        <v>157</v>
      </c>
      <c r="B18" s="5" t="s">
        <v>158</v>
      </c>
      <c r="C18" s="5" t="s">
        <v>159</v>
      </c>
      <c r="D18" s="5" t="s">
        <v>150</v>
      </c>
      <c r="E18" s="5" t="s">
        <v>160</v>
      </c>
      <c r="F18" s="5" t="s">
        <v>94</v>
      </c>
    </row>
    <row r="19" customFormat="false" ht="30" hidden="false" customHeight="true" outlineLevel="0" collapsed="false">
      <c r="A19" s="5" t="s">
        <v>161</v>
      </c>
      <c r="B19" s="5" t="s">
        <v>162</v>
      </c>
      <c r="C19" s="5" t="s">
        <v>163</v>
      </c>
      <c r="D19" s="5" t="s">
        <v>81</v>
      </c>
      <c r="E19" s="5" t="s">
        <v>164</v>
      </c>
      <c r="F19" s="5" t="s">
        <v>94</v>
      </c>
    </row>
    <row r="20" customFormat="false" ht="30" hidden="false" customHeight="true" outlineLevel="0" collapsed="false">
      <c r="A20" s="5" t="s">
        <v>165</v>
      </c>
      <c r="B20" s="5" t="s">
        <v>166</v>
      </c>
      <c r="C20" s="5" t="s">
        <v>167</v>
      </c>
      <c r="D20" s="5" t="s">
        <v>81</v>
      </c>
      <c r="E20" s="5" t="s">
        <v>168</v>
      </c>
      <c r="F20" s="5" t="s">
        <v>94</v>
      </c>
    </row>
    <row r="21" customFormat="false" ht="15" hidden="false" customHeight="false" outlineLevel="0" collapsed="false">
      <c r="A21" s="5"/>
      <c r="B21" s="5"/>
      <c r="C21" s="5"/>
      <c r="D21" s="5"/>
      <c r="E21" s="5"/>
      <c r="F21" s="5"/>
    </row>
    <row r="22" customFormat="false" ht="43.5" hidden="false" customHeight="true" outlineLevel="0" collapsed="false">
      <c r="A22" s="9" t="s">
        <v>169</v>
      </c>
      <c r="B22" s="9" t="s">
        <v>170</v>
      </c>
      <c r="C22" s="9" t="s">
        <v>171</v>
      </c>
      <c r="D22" s="9" t="s">
        <v>81</v>
      </c>
      <c r="E22" s="9" t="s">
        <v>172</v>
      </c>
      <c r="F22" s="9" t="s">
        <v>94</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108"/>
    <col collapsed="false" customWidth="true" hidden="false" outlineLevel="0" max="4" min="4" style="0" width="46"/>
  </cols>
  <sheetData>
    <row r="1" customFormat="false" ht="15" hidden="false" customHeight="false" outlineLevel="0" collapsed="false">
      <c r="A1" s="6" t="s">
        <v>173</v>
      </c>
    </row>
    <row r="2" customFormat="false" ht="45.75" hidden="false" customHeight="true" outlineLevel="0" collapsed="false">
      <c r="A2" s="3" t="s">
        <v>174</v>
      </c>
      <c r="B2" s="3"/>
      <c r="C2" s="3"/>
      <c r="D2" s="3"/>
    </row>
    <row r="3" customFormat="false" ht="15" hidden="false" customHeight="false" outlineLevel="0" collapsed="false">
      <c r="A3" s="7" t="s">
        <v>72</v>
      </c>
      <c r="B3" s="7" t="s">
        <v>175</v>
      </c>
      <c r="C3" s="7" t="s">
        <v>176</v>
      </c>
      <c r="D3" s="7" t="s">
        <v>177</v>
      </c>
    </row>
    <row r="4" customFormat="false" ht="43.5" hidden="false" customHeight="true" outlineLevel="0" collapsed="false">
      <c r="A4" s="5" t="s">
        <v>78</v>
      </c>
      <c r="B4" s="5" t="s">
        <v>178</v>
      </c>
      <c r="C4" s="5" t="s">
        <v>179</v>
      </c>
      <c r="D4" s="5" t="s">
        <v>180</v>
      </c>
    </row>
    <row r="5" customFormat="false" ht="43.5" hidden="false" customHeight="true" outlineLevel="0" collapsed="false">
      <c r="A5" s="5" t="s">
        <v>84</v>
      </c>
      <c r="B5" s="5" t="s">
        <v>181</v>
      </c>
      <c r="C5" s="5" t="s">
        <v>182</v>
      </c>
      <c r="D5" s="5" t="s">
        <v>183</v>
      </c>
    </row>
    <row r="6" customFormat="false" ht="43.5" hidden="false" customHeight="true" outlineLevel="0" collapsed="false">
      <c r="A6" s="5" t="s">
        <v>90</v>
      </c>
      <c r="B6" s="5" t="s">
        <v>184</v>
      </c>
      <c r="C6" s="5" t="s">
        <v>185</v>
      </c>
      <c r="D6" s="5" t="s">
        <v>186</v>
      </c>
    </row>
    <row r="7" customFormat="false" ht="43.5" hidden="false" customHeight="true" outlineLevel="0" collapsed="false">
      <c r="A7" s="5" t="s">
        <v>95</v>
      </c>
      <c r="B7" s="5" t="s">
        <v>187</v>
      </c>
      <c r="C7" s="5" t="s">
        <v>188</v>
      </c>
      <c r="D7" s="5" t="s">
        <v>189</v>
      </c>
    </row>
    <row r="8" customFormat="false" ht="43.5" hidden="false" customHeight="true" outlineLevel="0" collapsed="false">
      <c r="A8" s="5" t="s">
        <v>100</v>
      </c>
      <c r="B8" s="5" t="s">
        <v>190</v>
      </c>
      <c r="C8" s="5" t="s">
        <v>191</v>
      </c>
      <c r="D8" s="5" t="s">
        <v>192</v>
      </c>
    </row>
    <row r="9" customFormat="false" ht="43.5" hidden="false" customHeight="true" outlineLevel="0" collapsed="false">
      <c r="A9" s="5" t="s">
        <v>106</v>
      </c>
      <c r="B9" s="5" t="s">
        <v>193</v>
      </c>
      <c r="C9" s="5" t="s">
        <v>194</v>
      </c>
      <c r="D9" s="5" t="s">
        <v>195</v>
      </c>
    </row>
    <row r="10" customFormat="false" ht="43.5" hidden="false" customHeight="true" outlineLevel="0" collapsed="false">
      <c r="A10" s="5" t="s">
        <v>112</v>
      </c>
      <c r="B10" s="5" t="s">
        <v>196</v>
      </c>
      <c r="C10" s="5" t="s">
        <v>197</v>
      </c>
      <c r="D10" s="5" t="s">
        <v>198</v>
      </c>
    </row>
    <row r="11" customFormat="false" ht="43.5" hidden="false" customHeight="true" outlineLevel="0" collapsed="false">
      <c r="A11" s="5" t="s">
        <v>118</v>
      </c>
      <c r="B11" s="5" t="s">
        <v>199</v>
      </c>
      <c r="C11" s="5" t="s">
        <v>200</v>
      </c>
      <c r="D11" s="5" t="s">
        <v>201</v>
      </c>
    </row>
    <row r="12" customFormat="false" ht="43.5" hidden="false" customHeight="true" outlineLevel="0" collapsed="false">
      <c r="A12" s="5" t="s">
        <v>124</v>
      </c>
      <c r="B12" s="5" t="s">
        <v>202</v>
      </c>
      <c r="C12" s="5" t="s">
        <v>203</v>
      </c>
      <c r="D12" s="5" t="s">
        <v>204</v>
      </c>
    </row>
    <row r="13" customFormat="false" ht="43.5" hidden="false" customHeight="true" outlineLevel="0" collapsed="false">
      <c r="A13" s="5" t="s">
        <v>130</v>
      </c>
      <c r="B13" s="5" t="s">
        <v>205</v>
      </c>
      <c r="C13" s="5" t="s">
        <v>206</v>
      </c>
      <c r="D13" s="5" t="s">
        <v>207</v>
      </c>
    </row>
    <row r="14" customFormat="false" ht="43.5" hidden="false" customHeight="true" outlineLevel="0" collapsed="false">
      <c r="A14" s="5" t="s">
        <v>136</v>
      </c>
      <c r="B14" s="5" t="s">
        <v>208</v>
      </c>
      <c r="C14" s="5" t="s">
        <v>209</v>
      </c>
      <c r="D14" s="5" t="s">
        <v>210</v>
      </c>
    </row>
    <row r="15" customFormat="false" ht="43.5" hidden="false" customHeight="true" outlineLevel="0" collapsed="false">
      <c r="A15" s="5" t="s">
        <v>141</v>
      </c>
      <c r="B15" s="5" t="s">
        <v>211</v>
      </c>
      <c r="C15" s="5" t="s">
        <v>212</v>
      </c>
      <c r="D15" s="5" t="s">
        <v>213</v>
      </c>
    </row>
    <row r="16" customFormat="false" ht="43.5" hidden="false" customHeight="true" outlineLevel="0" collapsed="false">
      <c r="A16" s="5" t="s">
        <v>147</v>
      </c>
      <c r="B16" s="5" t="s">
        <v>214</v>
      </c>
      <c r="C16" s="5" t="s">
        <v>215</v>
      </c>
      <c r="D16" s="5" t="s">
        <v>216</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0"/>
    <col collapsed="false" customWidth="true" hidden="false" outlineLevel="0" max="3" min="3" style="0" width="12"/>
    <col collapsed="false" customWidth="true" hidden="false" outlineLevel="0" max="4" min="4" style="0" width="17"/>
    <col collapsed="false" customWidth="true" hidden="false" outlineLevel="0" max="5" min="5" style="0" width="40"/>
    <col collapsed="false" customWidth="true" hidden="false" outlineLevel="0" max="6" min="6" style="0" width="88"/>
    <col collapsed="false" customWidth="true" hidden="false" outlineLevel="0" max="7" min="7" style="0" width="80"/>
    <col collapsed="false" customWidth="true" hidden="false" outlineLevel="0" max="8" min="8" style="0" width="46"/>
    <col collapsed="false" customWidth="true" hidden="false" outlineLevel="0" max="9" min="9" style="0" width="26"/>
  </cols>
  <sheetData>
    <row r="1" customFormat="false" ht="15" hidden="false" customHeight="false" outlineLevel="0" collapsed="false">
      <c r="A1" s="6" t="s">
        <v>217</v>
      </c>
    </row>
    <row r="2" customFormat="false" ht="45.75" hidden="false" customHeight="true" outlineLevel="0" collapsed="false">
      <c r="A2" s="3" t="s">
        <v>218</v>
      </c>
      <c r="B2" s="3"/>
      <c r="C2" s="3"/>
      <c r="D2" s="3"/>
      <c r="E2" s="3"/>
      <c r="F2" s="3"/>
      <c r="G2" s="3"/>
      <c r="H2" s="3"/>
      <c r="I2" s="3"/>
    </row>
    <row r="3" customFormat="false" ht="23.85" hidden="false" customHeight="false" outlineLevel="0" collapsed="false">
      <c r="A3" s="7" t="s">
        <v>219</v>
      </c>
      <c r="B3" s="7" t="s">
        <v>220</v>
      </c>
      <c r="C3" s="7" t="s">
        <v>221</v>
      </c>
      <c r="D3" s="7" t="s">
        <v>48</v>
      </c>
      <c r="E3" s="7" t="s">
        <v>222</v>
      </c>
      <c r="F3" s="7" t="s">
        <v>223</v>
      </c>
      <c r="G3" s="7" t="s">
        <v>224</v>
      </c>
      <c r="H3" s="7" t="s">
        <v>225</v>
      </c>
      <c r="I3" s="7" t="s">
        <v>226</v>
      </c>
    </row>
    <row r="4" customFormat="false" ht="90" hidden="false" customHeight="true" outlineLevel="0" collapsed="false">
      <c r="A4" s="5" t="s">
        <v>227</v>
      </c>
      <c r="B4" s="5" t="s">
        <v>228</v>
      </c>
      <c r="C4" s="5" t="s">
        <v>229</v>
      </c>
      <c r="D4" s="5" t="s">
        <v>230</v>
      </c>
      <c r="E4" s="5" t="s">
        <v>231</v>
      </c>
      <c r="F4" s="5" t="s">
        <v>232</v>
      </c>
      <c r="G4" s="5" t="s">
        <v>233</v>
      </c>
      <c r="H4" s="5" t="s">
        <v>234</v>
      </c>
      <c r="I4" s="5" t="s">
        <v>235</v>
      </c>
    </row>
    <row r="5" customFormat="false" ht="90" hidden="false" customHeight="true" outlineLevel="0" collapsed="false">
      <c r="A5" s="5" t="s">
        <v>236</v>
      </c>
      <c r="B5" s="5" t="s">
        <v>237</v>
      </c>
      <c r="C5" s="5" t="s">
        <v>238</v>
      </c>
      <c r="D5" s="5" t="s">
        <v>239</v>
      </c>
      <c r="E5" s="5" t="s">
        <v>240</v>
      </c>
      <c r="F5" s="5" t="s">
        <v>241</v>
      </c>
      <c r="G5" s="5" t="s">
        <v>242</v>
      </c>
      <c r="H5" s="5" t="s">
        <v>243</v>
      </c>
      <c r="I5" s="5" t="s">
        <v>244</v>
      </c>
    </row>
    <row r="6" customFormat="false" ht="90" hidden="false" customHeight="true" outlineLevel="0" collapsed="false">
      <c r="A6" s="5" t="s">
        <v>245</v>
      </c>
      <c r="B6" s="5" t="s">
        <v>246</v>
      </c>
      <c r="C6" s="5" t="s">
        <v>247</v>
      </c>
      <c r="D6" s="5" t="s">
        <v>248</v>
      </c>
      <c r="E6" s="5" t="s">
        <v>249</v>
      </c>
      <c r="F6" s="5" t="s">
        <v>250</v>
      </c>
      <c r="G6" s="5" t="s">
        <v>251</v>
      </c>
      <c r="H6" s="5" t="s">
        <v>252</v>
      </c>
      <c r="I6" s="5" t="s">
        <v>253</v>
      </c>
    </row>
    <row r="7" customFormat="false" ht="90" hidden="false" customHeight="true" outlineLevel="0" collapsed="false">
      <c r="A7" s="5" t="s">
        <v>254</v>
      </c>
      <c r="B7" s="5" t="s">
        <v>255</v>
      </c>
      <c r="C7" s="5" t="s">
        <v>256</v>
      </c>
      <c r="D7" s="5" t="s">
        <v>257</v>
      </c>
      <c r="E7" s="5" t="s">
        <v>258</v>
      </c>
      <c r="F7" s="5" t="s">
        <v>259</v>
      </c>
      <c r="G7" s="5" t="s">
        <v>260</v>
      </c>
      <c r="H7" s="5" t="s">
        <v>261</v>
      </c>
      <c r="I7" s="5" t="s">
        <v>262</v>
      </c>
    </row>
    <row r="8" customFormat="false" ht="90" hidden="false" customHeight="true" outlineLevel="0" collapsed="false">
      <c r="A8" s="5" t="s">
        <v>263</v>
      </c>
      <c r="B8" s="5" t="s">
        <v>264</v>
      </c>
      <c r="C8" s="5" t="s">
        <v>265</v>
      </c>
      <c r="D8" s="5" t="s">
        <v>266</v>
      </c>
      <c r="E8" s="5" t="s">
        <v>267</v>
      </c>
      <c r="F8" s="5" t="s">
        <v>268</v>
      </c>
      <c r="G8" s="5" t="s">
        <v>269</v>
      </c>
      <c r="H8" s="5" t="s">
        <v>270</v>
      </c>
      <c r="I8" s="5" t="s">
        <v>271</v>
      </c>
    </row>
    <row r="9" customFormat="false" ht="90" hidden="false" customHeight="true" outlineLevel="0" collapsed="false">
      <c r="A9" s="5" t="s">
        <v>272</v>
      </c>
      <c r="B9" s="5" t="s">
        <v>273</v>
      </c>
      <c r="C9" s="5" t="s">
        <v>274</v>
      </c>
      <c r="D9" s="5" t="s">
        <v>275</v>
      </c>
      <c r="E9" s="5" t="s">
        <v>276</v>
      </c>
      <c r="F9" s="5" t="s">
        <v>277</v>
      </c>
      <c r="G9" s="5" t="s">
        <v>278</v>
      </c>
      <c r="H9" s="5" t="s">
        <v>279</v>
      </c>
      <c r="I9" s="5" t="s">
        <v>271</v>
      </c>
    </row>
    <row r="10" customFormat="false" ht="90" hidden="false" customHeight="true" outlineLevel="0" collapsed="false">
      <c r="A10" s="5" t="s">
        <v>229</v>
      </c>
      <c r="B10" s="5" t="s">
        <v>280</v>
      </c>
      <c r="C10" s="5" t="s">
        <v>281</v>
      </c>
      <c r="D10" s="5" t="s">
        <v>282</v>
      </c>
      <c r="E10" s="5" t="s">
        <v>283</v>
      </c>
      <c r="F10" s="5" t="s">
        <v>284</v>
      </c>
      <c r="G10" s="5" t="s">
        <v>285</v>
      </c>
      <c r="H10" s="5" t="s">
        <v>286</v>
      </c>
      <c r="I10" s="5" t="s">
        <v>271</v>
      </c>
    </row>
    <row r="11" customFormat="false" ht="90" hidden="false" customHeight="true" outlineLevel="0" collapsed="false">
      <c r="A11" s="5" t="s">
        <v>238</v>
      </c>
      <c r="B11" s="5" t="s">
        <v>287</v>
      </c>
      <c r="C11" s="5" t="s">
        <v>288</v>
      </c>
      <c r="D11" s="5" t="s">
        <v>289</v>
      </c>
      <c r="E11" s="5" t="s">
        <v>290</v>
      </c>
      <c r="F11" s="5" t="s">
        <v>291</v>
      </c>
      <c r="G11" s="5" t="s">
        <v>292</v>
      </c>
      <c r="H11" s="5" t="s">
        <v>293</v>
      </c>
      <c r="I11" s="5" t="s">
        <v>271</v>
      </c>
    </row>
    <row r="12" customFormat="false" ht="90" hidden="false" customHeight="true" outlineLevel="0" collapsed="false">
      <c r="A12" s="5" t="s">
        <v>247</v>
      </c>
      <c r="B12" s="5" t="s">
        <v>294</v>
      </c>
      <c r="C12" s="5" t="s">
        <v>60</v>
      </c>
      <c r="D12" s="5" t="s">
        <v>295</v>
      </c>
      <c r="E12" s="5" t="s">
        <v>296</v>
      </c>
      <c r="F12" s="5" t="s">
        <v>297</v>
      </c>
      <c r="G12" s="5" t="s">
        <v>298</v>
      </c>
      <c r="H12" s="5" t="s">
        <v>299</v>
      </c>
      <c r="I12" s="5" t="s">
        <v>271</v>
      </c>
    </row>
    <row r="13" customFormat="false" ht="90" hidden="false" customHeight="true" outlineLevel="0" collapsed="false">
      <c r="A13" s="5" t="s">
        <v>256</v>
      </c>
      <c r="B13" s="5" t="s">
        <v>300</v>
      </c>
      <c r="C13" s="5" t="s">
        <v>60</v>
      </c>
      <c r="D13" s="5" t="s">
        <v>301</v>
      </c>
      <c r="E13" s="5" t="s">
        <v>302</v>
      </c>
      <c r="F13" s="5" t="s">
        <v>303</v>
      </c>
      <c r="G13" s="5" t="s">
        <v>304</v>
      </c>
      <c r="H13" s="5" t="s">
        <v>305</v>
      </c>
      <c r="I13" s="5" t="s">
        <v>271</v>
      </c>
    </row>
    <row r="14" customFormat="false" ht="90" hidden="false" customHeight="true" outlineLevel="0" collapsed="false">
      <c r="A14" s="5" t="s">
        <v>306</v>
      </c>
      <c r="B14" s="5" t="s">
        <v>307</v>
      </c>
      <c r="C14" s="5" t="s">
        <v>60</v>
      </c>
      <c r="D14" s="5" t="s">
        <v>308</v>
      </c>
      <c r="E14" s="5" t="s">
        <v>309</v>
      </c>
      <c r="F14" s="5" t="s">
        <v>310</v>
      </c>
      <c r="G14" s="5" t="s">
        <v>311</v>
      </c>
      <c r="H14" s="5" t="s">
        <v>312</v>
      </c>
      <c r="I14" s="5" t="s">
        <v>271</v>
      </c>
    </row>
    <row r="15" customFormat="false" ht="90" hidden="false" customHeight="true" outlineLevel="0" collapsed="false">
      <c r="A15" s="5" t="s">
        <v>313</v>
      </c>
      <c r="B15" s="5" t="s">
        <v>314</v>
      </c>
      <c r="C15" s="5" t="s">
        <v>60</v>
      </c>
      <c r="D15" s="5" t="s">
        <v>315</v>
      </c>
      <c r="E15" s="5" t="s">
        <v>316</v>
      </c>
      <c r="F15" s="5" t="s">
        <v>317</v>
      </c>
      <c r="G15" s="5" t="s">
        <v>318</v>
      </c>
      <c r="H15" s="5" t="s">
        <v>319</v>
      </c>
      <c r="I15" s="5" t="s">
        <v>271</v>
      </c>
    </row>
    <row r="16" customFormat="false" ht="90" hidden="false" customHeight="true" outlineLevel="0" collapsed="false">
      <c r="A16" s="5" t="s">
        <v>320</v>
      </c>
      <c r="B16" s="5" t="s">
        <v>321</v>
      </c>
      <c r="C16" s="5" t="s">
        <v>60</v>
      </c>
      <c r="D16" s="5" t="s">
        <v>322</v>
      </c>
      <c r="E16" s="5" t="s">
        <v>323</v>
      </c>
      <c r="F16" s="5" t="s">
        <v>324</v>
      </c>
      <c r="G16" s="5" t="s">
        <v>325</v>
      </c>
      <c r="H16" s="5" t="s">
        <v>326</v>
      </c>
      <c r="I16" s="5" t="s">
        <v>271</v>
      </c>
    </row>
    <row r="17" customFormat="false" ht="90" hidden="false" customHeight="true" outlineLevel="0" collapsed="false">
      <c r="A17" s="5" t="s">
        <v>327</v>
      </c>
      <c r="B17" s="5" t="s">
        <v>321</v>
      </c>
      <c r="C17" s="5" t="s">
        <v>60</v>
      </c>
      <c r="D17" s="5" t="s">
        <v>328</v>
      </c>
      <c r="E17" s="5" t="s">
        <v>329</v>
      </c>
      <c r="F17" s="5" t="s">
        <v>330</v>
      </c>
      <c r="G17" s="5" t="s">
        <v>331</v>
      </c>
      <c r="H17" s="5" t="s">
        <v>332</v>
      </c>
      <c r="I17" s="5" t="s">
        <v>271</v>
      </c>
    </row>
    <row r="18" customFormat="false" ht="90" hidden="false" customHeight="true" outlineLevel="0" collapsed="false">
      <c r="A18" s="5" t="s">
        <v>333</v>
      </c>
      <c r="B18" s="5" t="s">
        <v>334</v>
      </c>
      <c r="C18" s="5" t="s">
        <v>60</v>
      </c>
      <c r="D18" s="5" t="s">
        <v>335</v>
      </c>
      <c r="E18" s="5" t="s">
        <v>336</v>
      </c>
      <c r="F18" s="5" t="s">
        <v>337</v>
      </c>
      <c r="G18" s="5" t="s">
        <v>338</v>
      </c>
      <c r="H18" s="5" t="s">
        <v>339</v>
      </c>
      <c r="I18" s="5" t="s">
        <v>271</v>
      </c>
    </row>
    <row r="19" customFormat="false" ht="90" hidden="false" customHeight="true" outlineLevel="0" collapsed="false">
      <c r="A19" s="5" t="s">
        <v>340</v>
      </c>
      <c r="B19" s="5" t="s">
        <v>341</v>
      </c>
      <c r="C19" s="5" t="s">
        <v>60</v>
      </c>
      <c r="D19" s="5" t="s">
        <v>342</v>
      </c>
      <c r="E19" s="5" t="s">
        <v>343</v>
      </c>
      <c r="F19" s="5" t="s">
        <v>344</v>
      </c>
      <c r="G19" s="5" t="s">
        <v>345</v>
      </c>
      <c r="H19" s="5" t="s">
        <v>346</v>
      </c>
      <c r="I19" s="5" t="s">
        <v>347</v>
      </c>
    </row>
    <row r="20" customFormat="false" ht="90" hidden="false" customHeight="true" outlineLevel="0" collapsed="false">
      <c r="A20" s="5" t="s">
        <v>348</v>
      </c>
      <c r="B20" s="5" t="s">
        <v>349</v>
      </c>
      <c r="C20" s="5" t="s">
        <v>350</v>
      </c>
      <c r="D20" s="5" t="s">
        <v>351</v>
      </c>
      <c r="E20" s="5" t="s">
        <v>352</v>
      </c>
      <c r="F20" s="5" t="s">
        <v>353</v>
      </c>
      <c r="G20" s="5" t="s">
        <v>354</v>
      </c>
      <c r="H20" s="5" t="s">
        <v>355</v>
      </c>
      <c r="I20" s="5" t="s">
        <v>356</v>
      </c>
    </row>
    <row r="21" customFormat="false" ht="90" hidden="false" customHeight="true" outlineLevel="0" collapsed="false">
      <c r="A21" s="5" t="s">
        <v>357</v>
      </c>
      <c r="B21" s="5" t="s">
        <v>358</v>
      </c>
      <c r="C21" s="5" t="s">
        <v>60</v>
      </c>
      <c r="D21" s="5" t="s">
        <v>359</v>
      </c>
      <c r="E21" s="5" t="s">
        <v>360</v>
      </c>
      <c r="F21" s="5" t="s">
        <v>361</v>
      </c>
      <c r="G21" s="5" t="s">
        <v>362</v>
      </c>
      <c r="H21" s="5" t="s">
        <v>363</v>
      </c>
      <c r="I21" s="5" t="s">
        <v>364</v>
      </c>
    </row>
    <row r="23" customFormat="false" ht="30" hidden="false" customHeight="true" outlineLevel="0" collapsed="false">
      <c r="A23" s="10" t="s">
        <v>365</v>
      </c>
      <c r="B23" s="3" t="s">
        <v>366</v>
      </c>
      <c r="C23" s="3"/>
      <c r="D23" s="3"/>
      <c r="E23" s="3"/>
      <c r="F23" s="3"/>
      <c r="G23" s="3"/>
      <c r="H23" s="3"/>
      <c r="I23" s="3"/>
    </row>
  </sheetData>
  <mergeCells count="2">
    <mergeCell ref="A2:I2"/>
    <mergeCell ref="B23:I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8"/>
    <col collapsed="false" customWidth="true" hidden="false" outlineLevel="0" max="3" min="3" style="0" width="40"/>
    <col collapsed="false" customWidth="true" hidden="false" outlineLevel="0" max="4" min="4" style="0" width="76"/>
    <col collapsed="false" customWidth="true" hidden="false" outlineLevel="0" max="5" min="5" style="0" width="30"/>
    <col collapsed="false" customWidth="true" hidden="false" outlineLevel="0" max="6" min="6" style="0" width="24"/>
    <col collapsed="false" customWidth="true" hidden="false" outlineLevel="0" max="7" min="7" style="0" width="72"/>
    <col collapsed="false" customWidth="true" hidden="false" outlineLevel="0" max="8" min="8" style="0" width="32"/>
    <col collapsed="false" customWidth="true" hidden="false" outlineLevel="0" max="9" min="9" style="0" width="12"/>
  </cols>
  <sheetData>
    <row r="1" customFormat="false" ht="15" hidden="false" customHeight="false" outlineLevel="0" collapsed="false">
      <c r="A1" s="6" t="s">
        <v>367</v>
      </c>
    </row>
    <row r="2" customFormat="false" ht="45.75" hidden="false" customHeight="true" outlineLevel="0" collapsed="false">
      <c r="A2" s="3" t="s">
        <v>368</v>
      </c>
      <c r="B2" s="3"/>
      <c r="C2" s="3"/>
      <c r="D2" s="3"/>
      <c r="E2" s="3"/>
      <c r="F2" s="3"/>
      <c r="G2" s="3"/>
      <c r="H2" s="3"/>
      <c r="I2" s="3"/>
    </row>
    <row r="3" customFormat="false" ht="23.85" hidden="false" customHeight="false" outlineLevel="0" collapsed="false">
      <c r="A3" s="11" t="s">
        <v>369</v>
      </c>
      <c r="B3" s="11" t="s">
        <v>370</v>
      </c>
      <c r="C3" s="11" t="s">
        <v>371</v>
      </c>
      <c r="D3" s="11" t="s">
        <v>372</v>
      </c>
      <c r="E3" s="11" t="s">
        <v>373</v>
      </c>
      <c r="F3" s="11" t="s">
        <v>374</v>
      </c>
      <c r="G3" s="11" t="s">
        <v>375</v>
      </c>
      <c r="H3" s="11" t="s">
        <v>376</v>
      </c>
      <c r="I3" s="11" t="s">
        <v>52</v>
      </c>
    </row>
    <row r="4" customFormat="false" ht="75.75" hidden="false" customHeight="true" outlineLevel="0" collapsed="false">
      <c r="A4" s="5" t="s">
        <v>377</v>
      </c>
      <c r="B4" s="5" t="s">
        <v>378</v>
      </c>
      <c r="C4" s="5" t="s">
        <v>379</v>
      </c>
      <c r="D4" s="5" t="s">
        <v>380</v>
      </c>
      <c r="E4" s="5" t="s">
        <v>381</v>
      </c>
      <c r="F4" s="5" t="s">
        <v>382</v>
      </c>
      <c r="G4" s="5" t="s">
        <v>383</v>
      </c>
      <c r="H4" s="5" t="s">
        <v>384</v>
      </c>
      <c r="I4" s="5" t="s">
        <v>385</v>
      </c>
    </row>
    <row r="5" customFormat="false" ht="75.75" hidden="false" customHeight="true" outlineLevel="0" collapsed="false">
      <c r="A5" s="5" t="s">
        <v>386</v>
      </c>
      <c r="B5" s="5" t="s">
        <v>387</v>
      </c>
      <c r="C5" s="5" t="s">
        <v>388</v>
      </c>
      <c r="D5" s="5" t="s">
        <v>389</v>
      </c>
      <c r="E5" s="5" t="s">
        <v>390</v>
      </c>
      <c r="F5" s="5" t="s">
        <v>391</v>
      </c>
      <c r="G5" s="5" t="s">
        <v>392</v>
      </c>
      <c r="H5" s="5" t="s">
        <v>393</v>
      </c>
      <c r="I5" s="5" t="s">
        <v>385</v>
      </c>
    </row>
    <row r="6" customFormat="false" ht="75.75" hidden="false" customHeight="true" outlineLevel="0" collapsed="false">
      <c r="A6" s="5" t="s">
        <v>394</v>
      </c>
      <c r="B6" s="5" t="s">
        <v>395</v>
      </c>
      <c r="C6" s="5" t="s">
        <v>396</v>
      </c>
      <c r="D6" s="5" t="s">
        <v>397</v>
      </c>
      <c r="E6" s="5" t="s">
        <v>398</v>
      </c>
      <c r="F6" s="5" t="s">
        <v>399</v>
      </c>
      <c r="G6" s="5" t="s">
        <v>400</v>
      </c>
      <c r="H6" s="5" t="s">
        <v>401</v>
      </c>
      <c r="I6" s="5" t="s">
        <v>385</v>
      </c>
    </row>
    <row r="7" customFormat="false" ht="75.75" hidden="false" customHeight="true" outlineLevel="0" collapsed="false">
      <c r="A7" s="5" t="s">
        <v>402</v>
      </c>
      <c r="B7" s="5" t="s">
        <v>403</v>
      </c>
      <c r="C7" s="5" t="s">
        <v>404</v>
      </c>
      <c r="D7" s="5" t="s">
        <v>405</v>
      </c>
      <c r="E7" s="5" t="s">
        <v>406</v>
      </c>
      <c r="F7" s="5" t="s">
        <v>407</v>
      </c>
      <c r="G7" s="5" t="s">
        <v>408</v>
      </c>
      <c r="H7" s="5" t="s">
        <v>409</v>
      </c>
      <c r="I7" s="5" t="s">
        <v>385</v>
      </c>
    </row>
    <row r="8" customFormat="false" ht="75.75" hidden="false" customHeight="true" outlineLevel="0" collapsed="false">
      <c r="A8" s="5" t="s">
        <v>350</v>
      </c>
      <c r="B8" s="5" t="s">
        <v>410</v>
      </c>
      <c r="C8" s="5" t="s">
        <v>411</v>
      </c>
      <c r="D8" s="5" t="s">
        <v>412</v>
      </c>
      <c r="E8" s="5" t="s">
        <v>413</v>
      </c>
      <c r="F8" s="5" t="s">
        <v>414</v>
      </c>
      <c r="G8" s="5" t="s">
        <v>415</v>
      </c>
      <c r="H8" s="5" t="s">
        <v>416</v>
      </c>
      <c r="I8" s="5" t="s">
        <v>385</v>
      </c>
    </row>
    <row r="9" customFormat="false" ht="75.75" hidden="false" customHeight="true" outlineLevel="0" collapsed="false">
      <c r="A9" s="5" t="s">
        <v>417</v>
      </c>
      <c r="B9" s="5" t="s">
        <v>418</v>
      </c>
      <c r="C9" s="5" t="s">
        <v>419</v>
      </c>
      <c r="D9" s="5" t="s">
        <v>420</v>
      </c>
      <c r="E9" s="5" t="s">
        <v>421</v>
      </c>
      <c r="F9" s="5" t="s">
        <v>422</v>
      </c>
      <c r="G9" s="5" t="s">
        <v>423</v>
      </c>
      <c r="H9" s="5" t="s">
        <v>424</v>
      </c>
      <c r="I9" s="5" t="s">
        <v>385</v>
      </c>
    </row>
    <row r="10" customFormat="false" ht="75.75" hidden="false" customHeight="true" outlineLevel="0" collapsed="false">
      <c r="A10" s="5" t="s">
        <v>425</v>
      </c>
      <c r="B10" s="5" t="s">
        <v>426</v>
      </c>
      <c r="C10" s="5" t="s">
        <v>427</v>
      </c>
      <c r="D10" s="5" t="s">
        <v>428</v>
      </c>
      <c r="E10" s="5" t="s">
        <v>429</v>
      </c>
      <c r="F10" s="5" t="s">
        <v>399</v>
      </c>
      <c r="G10" s="5" t="s">
        <v>430</v>
      </c>
      <c r="H10" s="5" t="s">
        <v>431</v>
      </c>
      <c r="I10" s="5" t="s">
        <v>385</v>
      </c>
    </row>
    <row r="11" customFormat="false" ht="75.75" hidden="false" customHeight="true" outlineLevel="0" collapsed="false">
      <c r="A11" s="5" t="s">
        <v>432</v>
      </c>
      <c r="B11" s="5" t="s">
        <v>433</v>
      </c>
      <c r="C11" s="5" t="s">
        <v>434</v>
      </c>
      <c r="D11" s="5" t="s">
        <v>435</v>
      </c>
      <c r="E11" s="5" t="s">
        <v>436</v>
      </c>
      <c r="F11" s="5" t="s">
        <v>382</v>
      </c>
      <c r="G11" s="5" t="s">
        <v>437</v>
      </c>
      <c r="H11" s="5" t="s">
        <v>438</v>
      </c>
      <c r="I11" s="5" t="s">
        <v>385</v>
      </c>
    </row>
    <row r="12" customFormat="false" ht="75.75" hidden="false" customHeight="true" outlineLevel="0" collapsed="false">
      <c r="A12" s="5" t="s">
        <v>439</v>
      </c>
      <c r="B12" s="5" t="s">
        <v>440</v>
      </c>
      <c r="C12" s="5" t="s">
        <v>441</v>
      </c>
      <c r="D12" s="5" t="s">
        <v>442</v>
      </c>
      <c r="E12" s="5" t="s">
        <v>443</v>
      </c>
      <c r="F12" s="5" t="s">
        <v>382</v>
      </c>
      <c r="G12" s="5" t="s">
        <v>444</v>
      </c>
      <c r="H12" s="5" t="s">
        <v>445</v>
      </c>
      <c r="I12" s="5" t="s">
        <v>385</v>
      </c>
    </row>
    <row r="14" customFormat="false" ht="31.5" hidden="false" customHeight="true" outlineLevel="0" collapsed="false">
      <c r="A14" s="10" t="s">
        <v>446</v>
      </c>
      <c r="B14" s="3" t="s">
        <v>447</v>
      </c>
      <c r="C14" s="3"/>
      <c r="D14" s="3"/>
      <c r="E14" s="3"/>
      <c r="F14" s="3"/>
      <c r="G14" s="3"/>
      <c r="H14" s="3"/>
      <c r="I14" s="3"/>
    </row>
  </sheetData>
  <mergeCells count="2">
    <mergeCell ref="A2:I2"/>
    <mergeCell ref="B14:I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52"/>
    <col collapsed="false" customWidth="true" hidden="false" outlineLevel="0" max="3" min="3" style="0" width="76"/>
    <col collapsed="false" customWidth="true" hidden="false" outlineLevel="0" max="4" min="4" style="0" width="30"/>
    <col collapsed="false" customWidth="true" hidden="false" outlineLevel="0" max="5" min="5" style="0" width="46"/>
    <col collapsed="false" customWidth="true" hidden="false" outlineLevel="0" max="6" min="6" style="0" width="18"/>
    <col collapsed="false" customWidth="true" hidden="false" outlineLevel="0" max="7" min="7" style="0" width="14"/>
    <col collapsed="false" customWidth="true" hidden="false" outlineLevel="0" max="8" min="8" style="0" width="40"/>
  </cols>
  <sheetData>
    <row r="1" customFormat="false" ht="15" hidden="false" customHeight="false" outlineLevel="0" collapsed="false">
      <c r="A1" s="6" t="s">
        <v>448</v>
      </c>
    </row>
    <row r="2" customFormat="false" ht="45.75" hidden="false" customHeight="true" outlineLevel="0" collapsed="false">
      <c r="A2" s="3" t="s">
        <v>449</v>
      </c>
      <c r="B2" s="3"/>
      <c r="C2" s="3"/>
      <c r="D2" s="3"/>
      <c r="E2" s="3"/>
      <c r="F2" s="3"/>
      <c r="G2" s="3"/>
      <c r="H2" s="3"/>
    </row>
    <row r="3" customFormat="false" ht="15" hidden="false" customHeight="false" outlineLevel="0" collapsed="false">
      <c r="A3" s="11" t="s">
        <v>450</v>
      </c>
      <c r="B3" s="11" t="s">
        <v>451</v>
      </c>
      <c r="C3" s="11" t="s">
        <v>452</v>
      </c>
      <c r="D3" s="11" t="s">
        <v>453</v>
      </c>
      <c r="E3" s="11" t="s">
        <v>454</v>
      </c>
      <c r="F3" s="11" t="s">
        <v>455</v>
      </c>
      <c r="G3" s="11" t="s">
        <v>456</v>
      </c>
      <c r="H3" s="11" t="s">
        <v>457</v>
      </c>
    </row>
    <row r="4" customFormat="false" ht="61.5" hidden="false" customHeight="true" outlineLevel="0" collapsed="false">
      <c r="A4" s="5" t="s">
        <v>458</v>
      </c>
      <c r="B4" s="5" t="s">
        <v>459</v>
      </c>
      <c r="C4" s="5" t="s">
        <v>460</v>
      </c>
      <c r="D4" s="5" t="s">
        <v>461</v>
      </c>
      <c r="E4" s="5" t="s">
        <v>462</v>
      </c>
      <c r="F4" s="5" t="s">
        <v>463</v>
      </c>
      <c r="G4" s="5"/>
      <c r="H4" s="5"/>
    </row>
    <row r="5" customFormat="false" ht="61.5" hidden="false" customHeight="true" outlineLevel="0" collapsed="false">
      <c r="A5" s="5" t="s">
        <v>464</v>
      </c>
      <c r="B5" s="5" t="s">
        <v>465</v>
      </c>
      <c r="C5" s="5" t="s">
        <v>466</v>
      </c>
      <c r="D5" s="5" t="s">
        <v>467</v>
      </c>
      <c r="E5" s="5" t="s">
        <v>468</v>
      </c>
      <c r="F5" s="5" t="s">
        <v>469</v>
      </c>
      <c r="G5" s="5"/>
      <c r="H5" s="5"/>
    </row>
    <row r="6" customFormat="false" ht="61.5" hidden="false" customHeight="true" outlineLevel="0" collapsed="false">
      <c r="A6" s="5" t="s">
        <v>470</v>
      </c>
      <c r="B6" s="5" t="s">
        <v>471</v>
      </c>
      <c r="C6" s="5" t="s">
        <v>472</v>
      </c>
      <c r="D6" s="5" t="s">
        <v>467</v>
      </c>
      <c r="E6" s="5" t="s">
        <v>473</v>
      </c>
      <c r="F6" s="5" t="s">
        <v>474</v>
      </c>
      <c r="G6" s="5"/>
      <c r="H6" s="5"/>
    </row>
    <row r="7" customFormat="false" ht="61.5" hidden="false" customHeight="true" outlineLevel="0" collapsed="false">
      <c r="A7" s="5" t="s">
        <v>475</v>
      </c>
      <c r="B7" s="5" t="s">
        <v>476</v>
      </c>
      <c r="C7" s="5" t="s">
        <v>477</v>
      </c>
      <c r="D7" s="5" t="s">
        <v>461</v>
      </c>
      <c r="E7" s="5" t="s">
        <v>478</v>
      </c>
      <c r="F7" s="5" t="s">
        <v>479</v>
      </c>
      <c r="G7" s="5"/>
      <c r="H7" s="5"/>
    </row>
    <row r="8" customFormat="false" ht="61.5" hidden="false" customHeight="true" outlineLevel="0" collapsed="false">
      <c r="A8" s="5" t="s">
        <v>480</v>
      </c>
      <c r="B8" s="5" t="s">
        <v>481</v>
      </c>
      <c r="C8" s="5" t="s">
        <v>482</v>
      </c>
      <c r="D8" s="5" t="s">
        <v>483</v>
      </c>
      <c r="E8" s="5" t="s">
        <v>484</v>
      </c>
      <c r="F8" s="5" t="s">
        <v>485</v>
      </c>
      <c r="G8" s="5"/>
      <c r="H8" s="5"/>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7"/>
    <col collapsed="false" customWidth="true" hidden="false" outlineLevel="0" max="3" min="3" style="0" width="24"/>
    <col collapsed="false" customWidth="true" hidden="false" outlineLevel="0" max="4" min="4" style="0" width="46"/>
    <col collapsed="false" customWidth="true" hidden="false" outlineLevel="0" max="5" min="5" style="0" width="66"/>
    <col collapsed="false" customWidth="true" hidden="false" outlineLevel="0" max="7" min="6" style="0" width="10"/>
    <col collapsed="false" customWidth="true" hidden="false" outlineLevel="0" max="8" min="8" style="0" width="22"/>
    <col collapsed="false" customWidth="true" hidden="false" outlineLevel="0" max="9" min="9" style="0" width="46"/>
    <col collapsed="false" customWidth="true" hidden="false" outlineLevel="0" max="10" min="10" style="0" width="40"/>
    <col collapsed="false" customWidth="true" hidden="false" outlineLevel="0" max="11" min="11" style="0" width="7"/>
    <col collapsed="false" customWidth="true" hidden="false" outlineLevel="0" max="12" min="12" style="0" width="66"/>
    <col collapsed="false" customWidth="true" hidden="false" outlineLevel="0" max="13" min="13" style="0" width="24"/>
    <col collapsed="false" customWidth="true" hidden="false" outlineLevel="0" max="14" min="14" style="0" width="30"/>
    <col collapsed="false" customWidth="true" hidden="false" outlineLevel="0" max="15" min="15" style="0" width="16"/>
    <col collapsed="false" customWidth="true" hidden="false" outlineLevel="0" max="16" min="16" style="0" width="40"/>
    <col collapsed="false" customWidth="true" hidden="false" outlineLevel="0" max="19" min="17" style="0" width="14"/>
    <col collapsed="false" customWidth="true" hidden="false" outlineLevel="0" max="20" min="20" style="0" width="30"/>
  </cols>
  <sheetData>
    <row r="1" customFormat="false" ht="15" hidden="false" customHeight="false" outlineLevel="0" collapsed="false">
      <c r="A1" s="6" t="s">
        <v>486</v>
      </c>
    </row>
    <row r="2" customFormat="false" ht="45.75" hidden="false" customHeight="true" outlineLevel="0" collapsed="false">
      <c r="A2" s="3" t="s">
        <v>487</v>
      </c>
      <c r="B2" s="3"/>
      <c r="C2" s="3"/>
      <c r="D2" s="3"/>
      <c r="E2" s="3"/>
      <c r="F2" s="3"/>
      <c r="G2" s="3"/>
      <c r="H2" s="3"/>
      <c r="I2" s="3"/>
      <c r="J2" s="3"/>
      <c r="K2" s="3"/>
      <c r="L2" s="3"/>
      <c r="M2" s="3"/>
      <c r="N2" s="3"/>
      <c r="O2" s="3"/>
      <c r="P2" s="3"/>
      <c r="Q2" s="3"/>
      <c r="R2" s="3"/>
      <c r="S2" s="3"/>
      <c r="T2" s="3"/>
    </row>
    <row r="3" customFormat="false" ht="15" hidden="false" customHeight="false" outlineLevel="0" collapsed="false">
      <c r="A3" s="7" t="s">
        <v>488</v>
      </c>
      <c r="B3" s="7" t="s">
        <v>489</v>
      </c>
      <c r="C3" s="7" t="s">
        <v>490</v>
      </c>
      <c r="D3" s="7" t="s">
        <v>491</v>
      </c>
      <c r="E3" s="7" t="s">
        <v>492</v>
      </c>
      <c r="F3" s="7" t="s">
        <v>493</v>
      </c>
      <c r="G3" s="7" t="s">
        <v>494</v>
      </c>
      <c r="H3" s="7" t="s">
        <v>495</v>
      </c>
      <c r="I3" s="7" t="s">
        <v>496</v>
      </c>
      <c r="J3" s="7" t="s">
        <v>497</v>
      </c>
      <c r="K3" s="7" t="s">
        <v>498</v>
      </c>
      <c r="L3" s="7" t="s">
        <v>499</v>
      </c>
      <c r="M3" s="7" t="s">
        <v>500</v>
      </c>
      <c r="N3" s="7" t="s">
        <v>501</v>
      </c>
      <c r="O3" s="7" t="s">
        <v>52</v>
      </c>
      <c r="P3" s="7" t="s">
        <v>502</v>
      </c>
      <c r="Q3" s="7" t="s">
        <v>127</v>
      </c>
      <c r="R3" s="7" t="s">
        <v>503</v>
      </c>
      <c r="S3" s="7" t="s">
        <v>504</v>
      </c>
      <c r="T3" s="7" t="s">
        <v>505</v>
      </c>
    </row>
    <row r="4" customFormat="false" ht="57.75" hidden="false" customHeight="true" outlineLevel="0" collapsed="false">
      <c r="A4" s="5" t="s">
        <v>506</v>
      </c>
      <c r="B4" s="5" t="s">
        <v>358</v>
      </c>
      <c r="C4" s="5" t="s">
        <v>507</v>
      </c>
      <c r="D4" s="5" t="s">
        <v>508</v>
      </c>
      <c r="E4" s="5" t="s">
        <v>509</v>
      </c>
      <c r="F4" s="5" t="s">
        <v>510</v>
      </c>
      <c r="G4" s="5" t="s">
        <v>511</v>
      </c>
      <c r="H4" s="5" t="s">
        <v>512</v>
      </c>
      <c r="I4" s="5" t="s">
        <v>513</v>
      </c>
      <c r="J4" s="5" t="s">
        <v>514</v>
      </c>
      <c r="K4" s="5" t="n">
        <v>6</v>
      </c>
      <c r="L4" s="5" t="s">
        <v>515</v>
      </c>
      <c r="M4" s="5" t="s">
        <v>516</v>
      </c>
      <c r="N4" s="5" t="s">
        <v>517</v>
      </c>
      <c r="O4" s="5" t="s">
        <v>518</v>
      </c>
      <c r="P4" s="5"/>
      <c r="Q4" s="5"/>
      <c r="R4" s="5"/>
      <c r="S4" s="5"/>
      <c r="T4" s="5"/>
    </row>
    <row r="5" customFormat="false" ht="57.75" hidden="false" customHeight="true" outlineLevel="0" collapsed="false">
      <c r="A5" s="5" t="s">
        <v>519</v>
      </c>
      <c r="B5" s="5" t="s">
        <v>358</v>
      </c>
      <c r="C5" s="5" t="s">
        <v>507</v>
      </c>
      <c r="D5" s="5" t="s">
        <v>520</v>
      </c>
      <c r="E5" s="5" t="s">
        <v>521</v>
      </c>
      <c r="F5" s="5" t="s">
        <v>522</v>
      </c>
      <c r="G5" s="5" t="s">
        <v>523</v>
      </c>
      <c r="H5" s="5" t="s">
        <v>512</v>
      </c>
      <c r="I5" s="5" t="s">
        <v>524</v>
      </c>
      <c r="J5" s="5" t="s">
        <v>525</v>
      </c>
      <c r="K5" s="5" t="n">
        <v>3</v>
      </c>
      <c r="L5" s="5" t="s">
        <v>526</v>
      </c>
      <c r="M5" s="5" t="s">
        <v>527</v>
      </c>
      <c r="N5" s="5" t="s">
        <v>517</v>
      </c>
      <c r="O5" s="5" t="s">
        <v>518</v>
      </c>
      <c r="P5" s="5"/>
      <c r="Q5" s="5"/>
      <c r="R5" s="5"/>
      <c r="S5" s="5"/>
      <c r="T5" s="5"/>
    </row>
    <row r="6" customFormat="false" ht="57.75" hidden="false" customHeight="true" outlineLevel="0" collapsed="false">
      <c r="A6" s="5" t="s">
        <v>528</v>
      </c>
      <c r="B6" s="5" t="s">
        <v>358</v>
      </c>
      <c r="C6" s="5" t="s">
        <v>507</v>
      </c>
      <c r="D6" s="5" t="s">
        <v>529</v>
      </c>
      <c r="E6" s="5" t="s">
        <v>530</v>
      </c>
      <c r="F6" s="5" t="s">
        <v>522</v>
      </c>
      <c r="G6" s="5" t="s">
        <v>523</v>
      </c>
      <c r="H6" s="5" t="s">
        <v>512</v>
      </c>
      <c r="I6" s="5" t="s">
        <v>524</v>
      </c>
      <c r="J6" s="5" t="s">
        <v>531</v>
      </c>
      <c r="K6" s="5" t="n">
        <v>3</v>
      </c>
      <c r="L6" s="5" t="s">
        <v>532</v>
      </c>
      <c r="M6" s="5" t="s">
        <v>533</v>
      </c>
      <c r="N6" s="5" t="s">
        <v>517</v>
      </c>
      <c r="O6" s="5" t="s">
        <v>518</v>
      </c>
      <c r="P6" s="5"/>
      <c r="Q6" s="5"/>
      <c r="R6" s="5"/>
      <c r="S6" s="5"/>
      <c r="T6" s="5"/>
    </row>
    <row r="7" customFormat="false" ht="57.75" hidden="false" customHeight="true" outlineLevel="0" collapsed="false">
      <c r="A7" s="5" t="s">
        <v>534</v>
      </c>
      <c r="B7" s="5" t="s">
        <v>358</v>
      </c>
      <c r="C7" s="5" t="s">
        <v>507</v>
      </c>
      <c r="D7" s="5" t="s">
        <v>535</v>
      </c>
      <c r="E7" s="5" t="s">
        <v>536</v>
      </c>
      <c r="F7" s="5" t="s">
        <v>522</v>
      </c>
      <c r="G7" s="5" t="s">
        <v>523</v>
      </c>
      <c r="H7" s="5" t="s">
        <v>512</v>
      </c>
      <c r="I7" s="5" t="s">
        <v>524</v>
      </c>
      <c r="J7" s="5" t="s">
        <v>537</v>
      </c>
      <c r="K7" s="5" t="n">
        <v>4</v>
      </c>
      <c r="L7" s="5" t="s">
        <v>538</v>
      </c>
      <c r="M7" s="5" t="s">
        <v>533</v>
      </c>
      <c r="N7" s="5" t="s">
        <v>517</v>
      </c>
      <c r="O7" s="5" t="s">
        <v>518</v>
      </c>
      <c r="P7" s="5"/>
      <c r="Q7" s="5"/>
      <c r="R7" s="5"/>
      <c r="S7" s="5"/>
      <c r="T7" s="5"/>
    </row>
    <row r="8" customFormat="false" ht="57.75" hidden="false" customHeight="true" outlineLevel="0" collapsed="false">
      <c r="A8" s="5" t="s">
        <v>539</v>
      </c>
      <c r="B8" s="5" t="s">
        <v>358</v>
      </c>
      <c r="C8" s="5" t="s">
        <v>507</v>
      </c>
      <c r="D8" s="5" t="s">
        <v>540</v>
      </c>
      <c r="E8" s="5" t="s">
        <v>541</v>
      </c>
      <c r="F8" s="5" t="s">
        <v>510</v>
      </c>
      <c r="G8" s="5" t="s">
        <v>511</v>
      </c>
      <c r="H8" s="5" t="s">
        <v>512</v>
      </c>
      <c r="I8" s="5" t="s">
        <v>542</v>
      </c>
      <c r="J8" s="5" t="s">
        <v>543</v>
      </c>
      <c r="K8" s="5" t="n">
        <v>3</v>
      </c>
      <c r="L8" s="5" t="s">
        <v>544</v>
      </c>
      <c r="M8" s="5" t="s">
        <v>545</v>
      </c>
      <c r="N8" s="5" t="s">
        <v>517</v>
      </c>
      <c r="O8" s="5" t="s">
        <v>518</v>
      </c>
      <c r="P8" s="5"/>
      <c r="Q8" s="5"/>
      <c r="R8" s="5"/>
      <c r="S8" s="5"/>
      <c r="T8" s="5"/>
    </row>
    <row r="9" customFormat="false" ht="57.75" hidden="false" customHeight="true" outlineLevel="0" collapsed="false">
      <c r="A9" s="5" t="s">
        <v>474</v>
      </c>
      <c r="B9" s="5" t="s">
        <v>358</v>
      </c>
      <c r="C9" s="5" t="s">
        <v>507</v>
      </c>
      <c r="D9" s="5" t="s">
        <v>546</v>
      </c>
      <c r="E9" s="5" t="s">
        <v>547</v>
      </c>
      <c r="F9" s="5" t="s">
        <v>510</v>
      </c>
      <c r="G9" s="5" t="s">
        <v>511</v>
      </c>
      <c r="H9" s="5" t="s">
        <v>548</v>
      </c>
      <c r="I9" s="5" t="s">
        <v>549</v>
      </c>
      <c r="J9" s="5" t="s">
        <v>550</v>
      </c>
      <c r="K9" s="5" t="n">
        <v>5</v>
      </c>
      <c r="L9" s="5" t="s">
        <v>551</v>
      </c>
      <c r="M9" s="5" t="s">
        <v>552</v>
      </c>
      <c r="N9" s="5" t="s">
        <v>553</v>
      </c>
      <c r="O9" s="5" t="s">
        <v>518</v>
      </c>
      <c r="P9" s="5"/>
      <c r="Q9" s="5"/>
      <c r="R9" s="5"/>
      <c r="S9" s="5"/>
      <c r="T9" s="5" t="s">
        <v>554</v>
      </c>
    </row>
    <row r="10" customFormat="false" ht="57.75" hidden="false" customHeight="true" outlineLevel="0" collapsed="false">
      <c r="A10" s="5" t="s">
        <v>555</v>
      </c>
      <c r="B10" s="5" t="s">
        <v>358</v>
      </c>
      <c r="C10" s="5" t="s">
        <v>556</v>
      </c>
      <c r="D10" s="5" t="s">
        <v>557</v>
      </c>
      <c r="E10" s="5" t="s">
        <v>558</v>
      </c>
      <c r="F10" s="5" t="s">
        <v>510</v>
      </c>
      <c r="G10" s="5" t="s">
        <v>511</v>
      </c>
      <c r="H10" s="5" t="s">
        <v>559</v>
      </c>
      <c r="I10" s="5" t="s">
        <v>560</v>
      </c>
      <c r="J10" s="5" t="s">
        <v>561</v>
      </c>
      <c r="K10" s="5" t="n">
        <v>5</v>
      </c>
      <c r="L10" s="5" t="s">
        <v>562</v>
      </c>
      <c r="M10" s="5" t="s">
        <v>563</v>
      </c>
      <c r="N10" s="5" t="s">
        <v>564</v>
      </c>
      <c r="O10" s="5" t="s">
        <v>518</v>
      </c>
      <c r="P10" s="5"/>
      <c r="Q10" s="5"/>
      <c r="R10" s="5"/>
      <c r="S10" s="5"/>
      <c r="T10" s="5"/>
    </row>
    <row r="11" customFormat="false" ht="57.75" hidden="false" customHeight="true" outlineLevel="0" collapsed="false">
      <c r="A11" s="5" t="s">
        <v>565</v>
      </c>
      <c r="B11" s="5" t="s">
        <v>358</v>
      </c>
      <c r="C11" s="5" t="s">
        <v>556</v>
      </c>
      <c r="D11" s="5" t="s">
        <v>566</v>
      </c>
      <c r="E11" s="5" t="s">
        <v>567</v>
      </c>
      <c r="F11" s="5" t="s">
        <v>510</v>
      </c>
      <c r="G11" s="5" t="s">
        <v>511</v>
      </c>
      <c r="H11" s="5" t="s">
        <v>512</v>
      </c>
      <c r="I11" s="5" t="s">
        <v>568</v>
      </c>
      <c r="J11" s="5" t="s">
        <v>569</v>
      </c>
      <c r="K11" s="5" t="n">
        <v>3</v>
      </c>
      <c r="L11" s="5" t="s">
        <v>570</v>
      </c>
      <c r="M11" s="5" t="s">
        <v>571</v>
      </c>
      <c r="N11" s="5" t="s">
        <v>572</v>
      </c>
      <c r="O11" s="5" t="s">
        <v>518</v>
      </c>
      <c r="P11" s="5"/>
      <c r="Q11" s="5"/>
      <c r="R11" s="5"/>
      <c r="S11" s="5"/>
      <c r="T11" s="5"/>
    </row>
    <row r="12" customFormat="false" ht="57.75" hidden="false" customHeight="true" outlineLevel="0" collapsed="false">
      <c r="A12" s="5" t="s">
        <v>573</v>
      </c>
      <c r="B12" s="5" t="s">
        <v>358</v>
      </c>
      <c r="C12" s="5" t="s">
        <v>556</v>
      </c>
      <c r="D12" s="5" t="s">
        <v>574</v>
      </c>
      <c r="E12" s="5" t="s">
        <v>575</v>
      </c>
      <c r="F12" s="5" t="s">
        <v>522</v>
      </c>
      <c r="G12" s="5" t="s">
        <v>523</v>
      </c>
      <c r="H12" s="5" t="s">
        <v>559</v>
      </c>
      <c r="I12" s="5" t="s">
        <v>576</v>
      </c>
      <c r="J12" s="5" t="s">
        <v>577</v>
      </c>
      <c r="K12" s="5" t="n">
        <v>4</v>
      </c>
      <c r="L12" s="5" t="s">
        <v>578</v>
      </c>
      <c r="M12" s="5" t="s">
        <v>571</v>
      </c>
      <c r="N12" s="5" t="s">
        <v>564</v>
      </c>
      <c r="O12" s="5" t="s">
        <v>518</v>
      </c>
      <c r="P12" s="5"/>
      <c r="Q12" s="5"/>
      <c r="R12" s="5"/>
      <c r="S12" s="5"/>
      <c r="T12" s="5"/>
    </row>
    <row r="13" customFormat="false" ht="57.75" hidden="false" customHeight="true" outlineLevel="0" collapsed="false">
      <c r="A13" s="5" t="s">
        <v>579</v>
      </c>
      <c r="B13" s="5" t="s">
        <v>358</v>
      </c>
      <c r="C13" s="5" t="s">
        <v>556</v>
      </c>
      <c r="D13" s="5" t="s">
        <v>580</v>
      </c>
      <c r="E13" s="5" t="s">
        <v>581</v>
      </c>
      <c r="F13" s="5" t="s">
        <v>522</v>
      </c>
      <c r="G13" s="5" t="s">
        <v>523</v>
      </c>
      <c r="H13" s="5" t="s">
        <v>512</v>
      </c>
      <c r="I13" s="5" t="s">
        <v>582</v>
      </c>
      <c r="J13" s="5" t="s">
        <v>583</v>
      </c>
      <c r="K13" s="5" t="n">
        <v>3</v>
      </c>
      <c r="L13" s="5" t="s">
        <v>584</v>
      </c>
      <c r="M13" s="5" t="s">
        <v>571</v>
      </c>
      <c r="N13" s="5" t="s">
        <v>564</v>
      </c>
      <c r="O13" s="5" t="s">
        <v>518</v>
      </c>
      <c r="P13" s="5"/>
      <c r="Q13" s="5"/>
      <c r="R13" s="5"/>
      <c r="S13" s="5"/>
      <c r="T13" s="5"/>
    </row>
    <row r="14" customFormat="false" ht="57.75" hidden="false" customHeight="true" outlineLevel="0" collapsed="false">
      <c r="A14" s="5" t="s">
        <v>585</v>
      </c>
      <c r="B14" s="5" t="s">
        <v>358</v>
      </c>
      <c r="C14" s="5" t="s">
        <v>556</v>
      </c>
      <c r="D14" s="5" t="s">
        <v>586</v>
      </c>
      <c r="E14" s="5" t="s">
        <v>587</v>
      </c>
      <c r="F14" s="5" t="s">
        <v>522</v>
      </c>
      <c r="G14" s="5" t="s">
        <v>511</v>
      </c>
      <c r="H14" s="5" t="s">
        <v>512</v>
      </c>
      <c r="I14" s="5" t="s">
        <v>588</v>
      </c>
      <c r="J14" s="5" t="s">
        <v>589</v>
      </c>
      <c r="K14" s="5" t="n">
        <v>3</v>
      </c>
      <c r="L14" s="5" t="s">
        <v>590</v>
      </c>
      <c r="M14" s="5" t="s">
        <v>571</v>
      </c>
      <c r="N14" s="5" t="s">
        <v>591</v>
      </c>
      <c r="O14" s="5" t="s">
        <v>518</v>
      </c>
      <c r="P14" s="5"/>
      <c r="Q14" s="5"/>
      <c r="R14" s="5"/>
      <c r="S14" s="5"/>
      <c r="T14" s="5"/>
    </row>
    <row r="15" customFormat="false" ht="57.75" hidden="false" customHeight="true" outlineLevel="0" collapsed="false">
      <c r="A15" s="5" t="s">
        <v>592</v>
      </c>
      <c r="B15" s="5" t="s">
        <v>358</v>
      </c>
      <c r="C15" s="5" t="s">
        <v>556</v>
      </c>
      <c r="D15" s="5" t="s">
        <v>593</v>
      </c>
      <c r="E15" s="5" t="s">
        <v>594</v>
      </c>
      <c r="F15" s="5" t="s">
        <v>510</v>
      </c>
      <c r="G15" s="5" t="s">
        <v>523</v>
      </c>
      <c r="H15" s="5" t="s">
        <v>559</v>
      </c>
      <c r="I15" s="5" t="s">
        <v>595</v>
      </c>
      <c r="J15" s="5" t="s">
        <v>596</v>
      </c>
      <c r="K15" s="5" t="n">
        <v>5</v>
      </c>
      <c r="L15" s="5" t="s">
        <v>597</v>
      </c>
      <c r="M15" s="5" t="s">
        <v>571</v>
      </c>
      <c r="N15" s="5" t="s">
        <v>598</v>
      </c>
      <c r="O15" s="5" t="s">
        <v>518</v>
      </c>
      <c r="P15" s="5"/>
      <c r="Q15" s="5"/>
      <c r="R15" s="5"/>
      <c r="S15" s="5"/>
      <c r="T15" s="5"/>
    </row>
    <row r="16" customFormat="false" ht="57.75" hidden="false" customHeight="true" outlineLevel="0" collapsed="false">
      <c r="A16" s="5" t="s">
        <v>599</v>
      </c>
      <c r="B16" s="5" t="s">
        <v>358</v>
      </c>
      <c r="C16" s="5" t="s">
        <v>600</v>
      </c>
      <c r="D16" s="5" t="s">
        <v>601</v>
      </c>
      <c r="E16" s="5" t="s">
        <v>602</v>
      </c>
      <c r="F16" s="5" t="s">
        <v>510</v>
      </c>
      <c r="G16" s="5" t="s">
        <v>511</v>
      </c>
      <c r="H16" s="5" t="s">
        <v>512</v>
      </c>
      <c r="I16" s="5" t="s">
        <v>603</v>
      </c>
      <c r="J16" s="5" t="s">
        <v>604</v>
      </c>
      <c r="K16" s="5" t="n">
        <v>6</v>
      </c>
      <c r="L16" s="5" t="s">
        <v>605</v>
      </c>
      <c r="M16" s="5" t="s">
        <v>606</v>
      </c>
      <c r="N16" s="5" t="s">
        <v>607</v>
      </c>
      <c r="O16" s="5" t="s">
        <v>518</v>
      </c>
      <c r="P16" s="5"/>
      <c r="Q16" s="5"/>
      <c r="R16" s="5"/>
      <c r="S16" s="5"/>
      <c r="T16" s="5"/>
    </row>
    <row r="17" customFormat="false" ht="57.75" hidden="false" customHeight="true" outlineLevel="0" collapsed="false">
      <c r="A17" s="5" t="s">
        <v>608</v>
      </c>
      <c r="B17" s="5" t="s">
        <v>358</v>
      </c>
      <c r="C17" s="5" t="s">
        <v>600</v>
      </c>
      <c r="D17" s="5" t="s">
        <v>609</v>
      </c>
      <c r="E17" s="5" t="s">
        <v>610</v>
      </c>
      <c r="F17" s="5" t="s">
        <v>510</v>
      </c>
      <c r="G17" s="5" t="s">
        <v>523</v>
      </c>
      <c r="H17" s="5" t="s">
        <v>512</v>
      </c>
      <c r="I17" s="5" t="s">
        <v>524</v>
      </c>
      <c r="J17" s="5" t="s">
        <v>611</v>
      </c>
      <c r="K17" s="5" t="n">
        <v>3</v>
      </c>
      <c r="L17" s="5" t="s">
        <v>612</v>
      </c>
      <c r="M17" s="5" t="s">
        <v>613</v>
      </c>
      <c r="N17" s="5" t="s">
        <v>607</v>
      </c>
      <c r="O17" s="5" t="s">
        <v>518</v>
      </c>
      <c r="P17" s="5"/>
      <c r="Q17" s="5"/>
      <c r="R17" s="5"/>
      <c r="S17" s="5"/>
      <c r="T17" s="5"/>
    </row>
    <row r="18" customFormat="false" ht="57.75" hidden="false" customHeight="true" outlineLevel="0" collapsed="false">
      <c r="A18" s="5" t="s">
        <v>614</v>
      </c>
      <c r="B18" s="5" t="s">
        <v>358</v>
      </c>
      <c r="C18" s="5" t="s">
        <v>600</v>
      </c>
      <c r="D18" s="5" t="s">
        <v>615</v>
      </c>
      <c r="E18" s="5" t="s">
        <v>616</v>
      </c>
      <c r="F18" s="5" t="s">
        <v>522</v>
      </c>
      <c r="G18" s="5" t="s">
        <v>617</v>
      </c>
      <c r="H18" s="5" t="s">
        <v>512</v>
      </c>
      <c r="I18" s="5" t="s">
        <v>618</v>
      </c>
      <c r="J18" s="5" t="s">
        <v>604</v>
      </c>
      <c r="K18" s="5" t="n">
        <v>3</v>
      </c>
      <c r="L18" s="5" t="s">
        <v>619</v>
      </c>
      <c r="M18" s="5" t="s">
        <v>613</v>
      </c>
      <c r="N18" s="5" t="s">
        <v>607</v>
      </c>
      <c r="O18" s="5" t="s">
        <v>518</v>
      </c>
      <c r="P18" s="5"/>
      <c r="Q18" s="5"/>
      <c r="R18" s="5"/>
      <c r="S18" s="5"/>
      <c r="T18" s="5"/>
    </row>
    <row r="19" customFormat="false" ht="57.75" hidden="false" customHeight="true" outlineLevel="0" collapsed="false">
      <c r="A19" s="5" t="s">
        <v>620</v>
      </c>
      <c r="B19" s="5" t="s">
        <v>358</v>
      </c>
      <c r="C19" s="5" t="s">
        <v>600</v>
      </c>
      <c r="D19" s="5" t="s">
        <v>621</v>
      </c>
      <c r="E19" s="5" t="s">
        <v>622</v>
      </c>
      <c r="F19" s="5" t="s">
        <v>522</v>
      </c>
      <c r="G19" s="5" t="s">
        <v>523</v>
      </c>
      <c r="H19" s="5" t="s">
        <v>512</v>
      </c>
      <c r="I19" s="5" t="s">
        <v>623</v>
      </c>
      <c r="J19" s="5" t="s">
        <v>624</v>
      </c>
      <c r="K19" s="5" t="n">
        <v>3</v>
      </c>
      <c r="L19" s="5" t="s">
        <v>625</v>
      </c>
      <c r="M19" s="5" t="s">
        <v>613</v>
      </c>
      <c r="N19" s="5" t="s">
        <v>607</v>
      </c>
      <c r="O19" s="5" t="s">
        <v>518</v>
      </c>
      <c r="P19" s="5"/>
      <c r="Q19" s="5"/>
      <c r="R19" s="5"/>
      <c r="S19" s="5"/>
      <c r="T19" s="5"/>
    </row>
    <row r="20" customFormat="false" ht="57.75" hidden="false" customHeight="true" outlineLevel="0" collapsed="false">
      <c r="A20" s="5" t="s">
        <v>626</v>
      </c>
      <c r="B20" s="5" t="s">
        <v>358</v>
      </c>
      <c r="C20" s="5" t="s">
        <v>600</v>
      </c>
      <c r="D20" s="5" t="s">
        <v>627</v>
      </c>
      <c r="E20" s="5" t="s">
        <v>628</v>
      </c>
      <c r="F20" s="5" t="s">
        <v>522</v>
      </c>
      <c r="G20" s="5" t="s">
        <v>523</v>
      </c>
      <c r="H20" s="5" t="s">
        <v>512</v>
      </c>
      <c r="I20" s="5" t="s">
        <v>629</v>
      </c>
      <c r="J20" s="5" t="s">
        <v>630</v>
      </c>
      <c r="K20" s="5" t="n">
        <v>4</v>
      </c>
      <c r="L20" s="5" t="s">
        <v>631</v>
      </c>
      <c r="M20" s="5" t="s">
        <v>632</v>
      </c>
      <c r="N20" s="5" t="s">
        <v>607</v>
      </c>
      <c r="O20" s="5" t="s">
        <v>518</v>
      </c>
      <c r="P20" s="5"/>
      <c r="Q20" s="5"/>
      <c r="R20" s="5"/>
      <c r="S20" s="5"/>
      <c r="T20" s="5"/>
    </row>
    <row r="21" customFormat="false" ht="57.75" hidden="false" customHeight="true" outlineLevel="0" collapsed="false">
      <c r="A21" s="5" t="s">
        <v>633</v>
      </c>
      <c r="B21" s="5" t="s">
        <v>358</v>
      </c>
      <c r="C21" s="5" t="s">
        <v>600</v>
      </c>
      <c r="D21" s="5" t="s">
        <v>634</v>
      </c>
      <c r="E21" s="5" t="s">
        <v>635</v>
      </c>
      <c r="F21" s="5" t="s">
        <v>510</v>
      </c>
      <c r="G21" s="5" t="s">
        <v>523</v>
      </c>
      <c r="H21" s="5" t="s">
        <v>559</v>
      </c>
      <c r="I21" s="5" t="s">
        <v>636</v>
      </c>
      <c r="J21" s="5" t="s">
        <v>637</v>
      </c>
      <c r="K21" s="5" t="n">
        <v>4</v>
      </c>
      <c r="L21" s="5" t="s">
        <v>638</v>
      </c>
      <c r="M21" s="5" t="s">
        <v>632</v>
      </c>
      <c r="N21" s="5" t="s">
        <v>607</v>
      </c>
      <c r="O21" s="5" t="s">
        <v>518</v>
      </c>
      <c r="P21" s="5"/>
      <c r="Q21" s="5"/>
      <c r="R21" s="5"/>
      <c r="S21" s="5"/>
      <c r="T21" s="5"/>
    </row>
    <row r="22" customFormat="false" ht="57.75" hidden="false" customHeight="true" outlineLevel="0" collapsed="false">
      <c r="A22" s="5" t="s">
        <v>639</v>
      </c>
      <c r="B22" s="5" t="s">
        <v>358</v>
      </c>
      <c r="C22" s="5" t="s">
        <v>600</v>
      </c>
      <c r="D22" s="5" t="s">
        <v>640</v>
      </c>
      <c r="E22" s="5" t="s">
        <v>641</v>
      </c>
      <c r="F22" s="5" t="s">
        <v>522</v>
      </c>
      <c r="G22" s="5" t="s">
        <v>617</v>
      </c>
      <c r="H22" s="5" t="s">
        <v>512</v>
      </c>
      <c r="I22" s="5" t="s">
        <v>524</v>
      </c>
      <c r="J22" s="5" t="s">
        <v>642</v>
      </c>
      <c r="K22" s="5" t="n">
        <v>3</v>
      </c>
      <c r="L22" s="5" t="s">
        <v>643</v>
      </c>
      <c r="M22" s="5" t="s">
        <v>613</v>
      </c>
      <c r="N22" s="5" t="s">
        <v>607</v>
      </c>
      <c r="O22" s="5" t="s">
        <v>518</v>
      </c>
      <c r="P22" s="5"/>
      <c r="Q22" s="5"/>
      <c r="R22" s="5"/>
      <c r="S22" s="5"/>
      <c r="T22" s="5"/>
    </row>
    <row r="23" customFormat="false" ht="57.75" hidden="false" customHeight="true" outlineLevel="0" collapsed="false">
      <c r="A23" s="5" t="s">
        <v>644</v>
      </c>
      <c r="B23" s="5" t="s">
        <v>358</v>
      </c>
      <c r="C23" s="5" t="s">
        <v>600</v>
      </c>
      <c r="D23" s="5" t="s">
        <v>645</v>
      </c>
      <c r="E23" s="5" t="s">
        <v>646</v>
      </c>
      <c r="F23" s="5" t="s">
        <v>522</v>
      </c>
      <c r="G23" s="5" t="s">
        <v>617</v>
      </c>
      <c r="H23" s="5" t="s">
        <v>512</v>
      </c>
      <c r="I23" s="5" t="s">
        <v>647</v>
      </c>
      <c r="J23" s="5" t="s">
        <v>648</v>
      </c>
      <c r="K23" s="5" t="n">
        <v>3</v>
      </c>
      <c r="L23" s="5" t="s">
        <v>649</v>
      </c>
      <c r="M23" s="5" t="s">
        <v>613</v>
      </c>
      <c r="N23" s="5" t="s">
        <v>607</v>
      </c>
      <c r="O23" s="5" t="s">
        <v>518</v>
      </c>
      <c r="P23" s="5"/>
      <c r="Q23" s="5"/>
      <c r="R23" s="5"/>
      <c r="S23" s="5"/>
      <c r="T23" s="5"/>
    </row>
    <row r="24" customFormat="false" ht="57.75" hidden="false" customHeight="true" outlineLevel="0" collapsed="false">
      <c r="A24" s="5" t="s">
        <v>650</v>
      </c>
      <c r="B24" s="5" t="s">
        <v>358</v>
      </c>
      <c r="C24" s="5" t="s">
        <v>600</v>
      </c>
      <c r="D24" s="5" t="s">
        <v>651</v>
      </c>
      <c r="E24" s="5" t="s">
        <v>652</v>
      </c>
      <c r="F24" s="5" t="s">
        <v>522</v>
      </c>
      <c r="G24" s="5" t="s">
        <v>523</v>
      </c>
      <c r="H24" s="5" t="s">
        <v>512</v>
      </c>
      <c r="I24" s="5" t="s">
        <v>653</v>
      </c>
      <c r="J24" s="5" t="s">
        <v>654</v>
      </c>
      <c r="K24" s="5" t="n">
        <v>5</v>
      </c>
      <c r="L24" s="5" t="s">
        <v>655</v>
      </c>
      <c r="M24" s="5" t="s">
        <v>656</v>
      </c>
      <c r="N24" s="5" t="s">
        <v>607</v>
      </c>
      <c r="O24" s="5" t="s">
        <v>518</v>
      </c>
      <c r="P24" s="5"/>
      <c r="Q24" s="5"/>
      <c r="R24" s="5"/>
      <c r="S24" s="5"/>
      <c r="T24" s="5"/>
    </row>
    <row r="25" customFormat="false" ht="57.75" hidden="false" customHeight="true" outlineLevel="0" collapsed="false">
      <c r="A25" s="5" t="s">
        <v>657</v>
      </c>
      <c r="B25" s="5" t="s">
        <v>358</v>
      </c>
      <c r="C25" s="5" t="s">
        <v>658</v>
      </c>
      <c r="D25" s="5" t="s">
        <v>659</v>
      </c>
      <c r="E25" s="5" t="s">
        <v>660</v>
      </c>
      <c r="F25" s="5" t="s">
        <v>510</v>
      </c>
      <c r="G25" s="5" t="s">
        <v>511</v>
      </c>
      <c r="H25" s="5" t="s">
        <v>512</v>
      </c>
      <c r="I25" s="5" t="s">
        <v>661</v>
      </c>
      <c r="J25" s="5" t="s">
        <v>662</v>
      </c>
      <c r="K25" s="5" t="n">
        <v>5</v>
      </c>
      <c r="L25" s="5" t="s">
        <v>663</v>
      </c>
      <c r="M25" s="5" t="s">
        <v>664</v>
      </c>
      <c r="N25" s="5" t="s">
        <v>665</v>
      </c>
      <c r="O25" s="5" t="s">
        <v>518</v>
      </c>
      <c r="P25" s="5"/>
      <c r="Q25" s="5"/>
      <c r="R25" s="5"/>
      <c r="S25" s="5"/>
      <c r="T25" s="5"/>
    </row>
    <row r="26" customFormat="false" ht="57.75" hidden="false" customHeight="true" outlineLevel="0" collapsed="false">
      <c r="A26" s="5" t="s">
        <v>666</v>
      </c>
      <c r="B26" s="5" t="s">
        <v>358</v>
      </c>
      <c r="C26" s="5" t="s">
        <v>658</v>
      </c>
      <c r="D26" s="5" t="s">
        <v>667</v>
      </c>
      <c r="E26" s="5" t="s">
        <v>668</v>
      </c>
      <c r="F26" s="5" t="s">
        <v>522</v>
      </c>
      <c r="G26" s="5" t="s">
        <v>523</v>
      </c>
      <c r="H26" s="5" t="s">
        <v>512</v>
      </c>
      <c r="I26" s="5" t="s">
        <v>669</v>
      </c>
      <c r="J26" s="5" t="s">
        <v>670</v>
      </c>
      <c r="K26" s="5" t="n">
        <v>3</v>
      </c>
      <c r="L26" s="5" t="s">
        <v>671</v>
      </c>
      <c r="M26" s="5" t="s">
        <v>672</v>
      </c>
      <c r="N26" s="5" t="s">
        <v>673</v>
      </c>
      <c r="O26" s="5" t="s">
        <v>518</v>
      </c>
      <c r="P26" s="5"/>
      <c r="Q26" s="5"/>
      <c r="R26" s="5"/>
      <c r="S26" s="5"/>
      <c r="T26" s="5"/>
    </row>
    <row r="27" customFormat="false" ht="57.75" hidden="false" customHeight="true" outlineLevel="0" collapsed="false">
      <c r="A27" s="5" t="s">
        <v>674</v>
      </c>
      <c r="B27" s="5" t="s">
        <v>358</v>
      </c>
      <c r="C27" s="5" t="s">
        <v>658</v>
      </c>
      <c r="D27" s="5" t="s">
        <v>675</v>
      </c>
      <c r="E27" s="5" t="s">
        <v>676</v>
      </c>
      <c r="F27" s="5" t="s">
        <v>522</v>
      </c>
      <c r="G27" s="5" t="s">
        <v>523</v>
      </c>
      <c r="H27" s="5" t="s">
        <v>512</v>
      </c>
      <c r="I27" s="5" t="s">
        <v>677</v>
      </c>
      <c r="J27" s="5" t="s">
        <v>678</v>
      </c>
      <c r="K27" s="5" t="n">
        <v>4</v>
      </c>
      <c r="L27" s="5" t="s">
        <v>679</v>
      </c>
      <c r="M27" s="5" t="s">
        <v>672</v>
      </c>
      <c r="N27" s="5" t="s">
        <v>665</v>
      </c>
      <c r="O27" s="5" t="s">
        <v>518</v>
      </c>
      <c r="P27" s="5"/>
      <c r="Q27" s="5"/>
      <c r="R27" s="5"/>
      <c r="S27" s="5"/>
      <c r="T27" s="5"/>
    </row>
    <row r="28" customFormat="false" ht="57.75" hidden="false" customHeight="true" outlineLevel="0" collapsed="false">
      <c r="A28" s="5" t="s">
        <v>680</v>
      </c>
      <c r="B28" s="5" t="s">
        <v>358</v>
      </c>
      <c r="C28" s="5" t="s">
        <v>658</v>
      </c>
      <c r="D28" s="5" t="s">
        <v>681</v>
      </c>
      <c r="E28" s="5" t="s">
        <v>682</v>
      </c>
      <c r="F28" s="5" t="s">
        <v>510</v>
      </c>
      <c r="G28" s="5" t="s">
        <v>523</v>
      </c>
      <c r="H28" s="5" t="s">
        <v>559</v>
      </c>
      <c r="I28" s="5" t="s">
        <v>683</v>
      </c>
      <c r="J28" s="5" t="s">
        <v>684</v>
      </c>
      <c r="K28" s="5" t="n">
        <v>4</v>
      </c>
      <c r="L28" s="5" t="s">
        <v>685</v>
      </c>
      <c r="M28" s="5" t="s">
        <v>664</v>
      </c>
      <c r="N28" s="5" t="s">
        <v>665</v>
      </c>
      <c r="O28" s="5" t="s">
        <v>518</v>
      </c>
      <c r="P28" s="5"/>
      <c r="Q28" s="5"/>
      <c r="R28" s="5"/>
      <c r="S28" s="5"/>
      <c r="T28" s="5"/>
    </row>
    <row r="29" customFormat="false" ht="57.75" hidden="false" customHeight="true" outlineLevel="0" collapsed="false">
      <c r="A29" s="5" t="s">
        <v>686</v>
      </c>
      <c r="B29" s="5" t="s">
        <v>358</v>
      </c>
      <c r="C29" s="5" t="s">
        <v>687</v>
      </c>
      <c r="D29" s="5" t="s">
        <v>688</v>
      </c>
      <c r="E29" s="5" t="s">
        <v>689</v>
      </c>
      <c r="F29" s="5" t="s">
        <v>522</v>
      </c>
      <c r="G29" s="5" t="s">
        <v>511</v>
      </c>
      <c r="H29" s="5" t="s">
        <v>512</v>
      </c>
      <c r="I29" s="5" t="s">
        <v>690</v>
      </c>
      <c r="J29" s="5" t="s">
        <v>691</v>
      </c>
      <c r="K29" s="5" t="n">
        <v>3</v>
      </c>
      <c r="L29" s="5" t="s">
        <v>692</v>
      </c>
      <c r="M29" s="5" t="s">
        <v>693</v>
      </c>
      <c r="N29" s="5" t="s">
        <v>694</v>
      </c>
      <c r="O29" s="5" t="s">
        <v>518</v>
      </c>
      <c r="P29" s="5"/>
      <c r="Q29" s="5"/>
      <c r="R29" s="5"/>
      <c r="S29" s="5"/>
      <c r="T29" s="5"/>
    </row>
    <row r="30" customFormat="false" ht="57.75" hidden="false" customHeight="true" outlineLevel="0" collapsed="false">
      <c r="A30" s="5" t="s">
        <v>695</v>
      </c>
      <c r="B30" s="5" t="s">
        <v>358</v>
      </c>
      <c r="C30" s="5" t="s">
        <v>696</v>
      </c>
      <c r="D30" s="5" t="s">
        <v>697</v>
      </c>
      <c r="E30" s="5" t="s">
        <v>698</v>
      </c>
      <c r="F30" s="5" t="s">
        <v>510</v>
      </c>
      <c r="G30" s="5" t="s">
        <v>511</v>
      </c>
      <c r="H30" s="5" t="s">
        <v>559</v>
      </c>
      <c r="I30" s="5" t="s">
        <v>699</v>
      </c>
      <c r="J30" s="5" t="s">
        <v>700</v>
      </c>
      <c r="K30" s="5" t="n">
        <v>4</v>
      </c>
      <c r="L30" s="5" t="s">
        <v>701</v>
      </c>
      <c r="M30" s="5" t="s">
        <v>702</v>
      </c>
      <c r="N30" s="5" t="s">
        <v>703</v>
      </c>
      <c r="O30" s="5" t="s">
        <v>518</v>
      </c>
      <c r="P30" s="5"/>
      <c r="Q30" s="5"/>
      <c r="R30" s="5"/>
      <c r="S30" s="5"/>
      <c r="T30" s="5"/>
    </row>
    <row r="31" customFormat="false" ht="57.75" hidden="false" customHeight="true" outlineLevel="0" collapsed="false">
      <c r="A31" s="5" t="s">
        <v>704</v>
      </c>
      <c r="B31" s="5" t="s">
        <v>358</v>
      </c>
      <c r="C31" s="5" t="s">
        <v>705</v>
      </c>
      <c r="D31" s="5" t="s">
        <v>706</v>
      </c>
      <c r="E31" s="5" t="s">
        <v>707</v>
      </c>
      <c r="F31" s="5" t="s">
        <v>510</v>
      </c>
      <c r="G31" s="5" t="s">
        <v>523</v>
      </c>
      <c r="H31" s="5" t="s">
        <v>559</v>
      </c>
      <c r="I31" s="5" t="s">
        <v>708</v>
      </c>
      <c r="J31" s="5" t="s">
        <v>709</v>
      </c>
      <c r="K31" s="5" t="n">
        <v>3</v>
      </c>
      <c r="L31" s="5" t="s">
        <v>710</v>
      </c>
      <c r="M31" s="5" t="s">
        <v>711</v>
      </c>
      <c r="N31" s="5" t="s">
        <v>712</v>
      </c>
      <c r="O31" s="5" t="s">
        <v>518</v>
      </c>
      <c r="P31" s="5"/>
      <c r="Q31" s="5"/>
      <c r="R31" s="5"/>
      <c r="S31" s="5"/>
      <c r="T31" s="5"/>
    </row>
    <row r="32" customFormat="false" ht="57.75" hidden="false" customHeight="true" outlineLevel="0" collapsed="false">
      <c r="A32" s="5" t="s">
        <v>713</v>
      </c>
      <c r="B32" s="5" t="s">
        <v>358</v>
      </c>
      <c r="C32" s="5" t="s">
        <v>714</v>
      </c>
      <c r="D32" s="5" t="s">
        <v>715</v>
      </c>
      <c r="E32" s="5" t="s">
        <v>716</v>
      </c>
      <c r="F32" s="5" t="s">
        <v>522</v>
      </c>
      <c r="G32" s="5" t="s">
        <v>511</v>
      </c>
      <c r="H32" s="5" t="s">
        <v>559</v>
      </c>
      <c r="I32" s="5" t="s">
        <v>717</v>
      </c>
      <c r="J32" s="5" t="s">
        <v>718</v>
      </c>
      <c r="K32" s="5" t="n">
        <v>4</v>
      </c>
      <c r="L32" s="5" t="s">
        <v>719</v>
      </c>
      <c r="M32" s="5" t="s">
        <v>720</v>
      </c>
      <c r="N32" s="5" t="s">
        <v>721</v>
      </c>
      <c r="O32" s="5" t="s">
        <v>518</v>
      </c>
      <c r="P32" s="5"/>
      <c r="Q32" s="5"/>
      <c r="R32" s="5"/>
      <c r="S32" s="5"/>
      <c r="T32" s="5"/>
    </row>
    <row r="33" customFormat="false" ht="57.75" hidden="false" customHeight="true" outlineLevel="0" collapsed="false">
      <c r="A33" s="5" t="s">
        <v>722</v>
      </c>
      <c r="B33" s="5" t="s">
        <v>358</v>
      </c>
      <c r="C33" s="5" t="s">
        <v>714</v>
      </c>
      <c r="D33" s="5" t="s">
        <v>723</v>
      </c>
      <c r="E33" s="5" t="s">
        <v>724</v>
      </c>
      <c r="F33" s="5" t="s">
        <v>522</v>
      </c>
      <c r="G33" s="5" t="s">
        <v>511</v>
      </c>
      <c r="H33" s="5" t="s">
        <v>559</v>
      </c>
      <c r="I33" s="5" t="s">
        <v>725</v>
      </c>
      <c r="J33" s="5" t="s">
        <v>726</v>
      </c>
      <c r="K33" s="5" t="n">
        <v>3</v>
      </c>
      <c r="L33" s="5" t="s">
        <v>727</v>
      </c>
      <c r="M33" s="5" t="s">
        <v>720</v>
      </c>
      <c r="N33" s="5" t="s">
        <v>564</v>
      </c>
      <c r="O33" s="5" t="s">
        <v>518</v>
      </c>
      <c r="P33" s="5"/>
      <c r="Q33" s="5"/>
      <c r="R33" s="5"/>
      <c r="S33" s="5"/>
      <c r="T33" s="5"/>
    </row>
    <row r="34" customFormat="false" ht="57.75" hidden="false" customHeight="true" outlineLevel="0" collapsed="false">
      <c r="A34" s="5" t="s">
        <v>728</v>
      </c>
      <c r="B34" s="5" t="s">
        <v>358</v>
      </c>
      <c r="C34" s="5" t="s">
        <v>729</v>
      </c>
      <c r="D34" s="5" t="s">
        <v>730</v>
      </c>
      <c r="E34" s="5" t="s">
        <v>731</v>
      </c>
      <c r="F34" s="5" t="s">
        <v>510</v>
      </c>
      <c r="G34" s="5" t="s">
        <v>523</v>
      </c>
      <c r="H34" s="5" t="s">
        <v>512</v>
      </c>
      <c r="I34" s="5" t="s">
        <v>732</v>
      </c>
      <c r="J34" s="5" t="s">
        <v>733</v>
      </c>
      <c r="K34" s="5" t="n">
        <v>5</v>
      </c>
      <c r="L34" s="5" t="s">
        <v>734</v>
      </c>
      <c r="M34" s="5" t="s">
        <v>735</v>
      </c>
      <c r="N34" s="5" t="s">
        <v>736</v>
      </c>
      <c r="O34" s="5" t="s">
        <v>518</v>
      </c>
      <c r="P34" s="5"/>
      <c r="Q34" s="5"/>
      <c r="R34" s="5"/>
      <c r="S34" s="5"/>
      <c r="T34" s="5"/>
    </row>
    <row r="35" customFormat="false" ht="57.75" hidden="false" customHeight="true" outlineLevel="0" collapsed="false">
      <c r="A35" s="5" t="s">
        <v>737</v>
      </c>
      <c r="B35" s="5" t="s">
        <v>358</v>
      </c>
      <c r="C35" s="5" t="s">
        <v>729</v>
      </c>
      <c r="D35" s="5" t="s">
        <v>738</v>
      </c>
      <c r="E35" s="5" t="s">
        <v>739</v>
      </c>
      <c r="F35" s="5" t="s">
        <v>522</v>
      </c>
      <c r="G35" s="5" t="s">
        <v>523</v>
      </c>
      <c r="H35" s="5" t="s">
        <v>559</v>
      </c>
      <c r="I35" s="5" t="s">
        <v>740</v>
      </c>
      <c r="J35" s="5" t="s">
        <v>741</v>
      </c>
      <c r="K35" s="5" t="n">
        <v>4</v>
      </c>
      <c r="L35" s="5" t="s">
        <v>742</v>
      </c>
      <c r="M35" s="5" t="s">
        <v>735</v>
      </c>
      <c r="N35" s="5" t="s">
        <v>743</v>
      </c>
      <c r="O35" s="5" t="s">
        <v>518</v>
      </c>
      <c r="P35" s="5"/>
      <c r="Q35" s="5"/>
      <c r="R35" s="5"/>
      <c r="S35" s="5"/>
      <c r="T35" s="5"/>
    </row>
    <row r="36" customFormat="false" ht="57.75" hidden="false" customHeight="true" outlineLevel="0" collapsed="false">
      <c r="A36" s="5" t="s">
        <v>744</v>
      </c>
      <c r="B36" s="5" t="s">
        <v>358</v>
      </c>
      <c r="C36" s="5" t="s">
        <v>745</v>
      </c>
      <c r="D36" s="5" t="s">
        <v>746</v>
      </c>
      <c r="E36" s="5" t="s">
        <v>747</v>
      </c>
      <c r="F36" s="5" t="s">
        <v>510</v>
      </c>
      <c r="G36" s="5" t="s">
        <v>523</v>
      </c>
      <c r="H36" s="5" t="s">
        <v>512</v>
      </c>
      <c r="I36" s="5" t="s">
        <v>748</v>
      </c>
      <c r="J36" s="5" t="s">
        <v>749</v>
      </c>
      <c r="K36" s="5" t="n">
        <v>5</v>
      </c>
      <c r="L36" s="5" t="s">
        <v>750</v>
      </c>
      <c r="M36" s="5" t="s">
        <v>751</v>
      </c>
      <c r="N36" s="5" t="s">
        <v>752</v>
      </c>
      <c r="O36" s="5" t="s">
        <v>518</v>
      </c>
      <c r="P36" s="5"/>
      <c r="Q36" s="5"/>
      <c r="R36" s="5"/>
      <c r="S36" s="5"/>
      <c r="T36" s="5"/>
    </row>
    <row r="37" customFormat="false" ht="57.75" hidden="false" customHeight="true" outlineLevel="0" collapsed="false">
      <c r="A37" s="5" t="s">
        <v>753</v>
      </c>
      <c r="B37" s="5" t="s">
        <v>358</v>
      </c>
      <c r="C37" s="5" t="s">
        <v>745</v>
      </c>
      <c r="D37" s="5" t="s">
        <v>754</v>
      </c>
      <c r="E37" s="5" t="s">
        <v>755</v>
      </c>
      <c r="F37" s="5" t="s">
        <v>510</v>
      </c>
      <c r="G37" s="5" t="s">
        <v>523</v>
      </c>
      <c r="H37" s="5" t="s">
        <v>512</v>
      </c>
      <c r="I37" s="5" t="s">
        <v>756</v>
      </c>
      <c r="J37" s="5" t="s">
        <v>757</v>
      </c>
      <c r="K37" s="5" t="n">
        <v>4</v>
      </c>
      <c r="L37" s="5" t="s">
        <v>758</v>
      </c>
      <c r="M37" s="5" t="s">
        <v>751</v>
      </c>
      <c r="N37" s="5" t="s">
        <v>752</v>
      </c>
      <c r="O37" s="5" t="s">
        <v>518</v>
      </c>
      <c r="P37" s="5"/>
      <c r="Q37" s="5"/>
      <c r="R37" s="5"/>
      <c r="S37" s="5"/>
      <c r="T37" s="5"/>
    </row>
    <row r="38" customFormat="false" ht="57.75" hidden="false" customHeight="true" outlineLevel="0" collapsed="false">
      <c r="A38" s="5" t="s">
        <v>759</v>
      </c>
      <c r="B38" s="5" t="s">
        <v>358</v>
      </c>
      <c r="C38" s="5" t="s">
        <v>745</v>
      </c>
      <c r="D38" s="5" t="s">
        <v>760</v>
      </c>
      <c r="E38" s="5" t="s">
        <v>761</v>
      </c>
      <c r="F38" s="5" t="s">
        <v>510</v>
      </c>
      <c r="G38" s="5" t="s">
        <v>523</v>
      </c>
      <c r="H38" s="5" t="s">
        <v>512</v>
      </c>
      <c r="I38" s="5" t="s">
        <v>762</v>
      </c>
      <c r="J38" s="5" t="s">
        <v>763</v>
      </c>
      <c r="K38" s="5" t="n">
        <v>6</v>
      </c>
      <c r="L38" s="5" t="s">
        <v>764</v>
      </c>
      <c r="M38" s="5" t="s">
        <v>751</v>
      </c>
      <c r="N38" s="5" t="s">
        <v>752</v>
      </c>
      <c r="O38" s="5" t="s">
        <v>518</v>
      </c>
      <c r="P38" s="5"/>
      <c r="Q38" s="5"/>
      <c r="R38" s="5"/>
      <c r="S38" s="5"/>
      <c r="T38" s="5"/>
    </row>
    <row r="39" customFormat="false" ht="57.75" hidden="false" customHeight="true" outlineLevel="0" collapsed="false">
      <c r="A39" s="5" t="s">
        <v>765</v>
      </c>
      <c r="B39" s="5" t="s">
        <v>358</v>
      </c>
      <c r="C39" s="5" t="s">
        <v>745</v>
      </c>
      <c r="D39" s="5" t="s">
        <v>766</v>
      </c>
      <c r="E39" s="5" t="s">
        <v>767</v>
      </c>
      <c r="F39" s="5" t="s">
        <v>522</v>
      </c>
      <c r="G39" s="5" t="s">
        <v>523</v>
      </c>
      <c r="H39" s="5" t="s">
        <v>512</v>
      </c>
      <c r="I39" s="5" t="s">
        <v>768</v>
      </c>
      <c r="J39" s="5" t="s">
        <v>769</v>
      </c>
      <c r="K39" s="5" t="n">
        <v>3</v>
      </c>
      <c r="L39" s="5" t="s">
        <v>770</v>
      </c>
      <c r="M39" s="5" t="s">
        <v>751</v>
      </c>
      <c r="N39" s="5" t="s">
        <v>752</v>
      </c>
      <c r="O39" s="5" t="s">
        <v>518</v>
      </c>
      <c r="P39" s="5"/>
      <c r="Q39" s="5"/>
      <c r="R39" s="5"/>
      <c r="S39" s="5"/>
      <c r="T39" s="5"/>
    </row>
    <row r="40" customFormat="false" ht="57.75" hidden="false" customHeight="true" outlineLevel="0" collapsed="false">
      <c r="A40" s="5" t="s">
        <v>771</v>
      </c>
      <c r="B40" s="5" t="s">
        <v>358</v>
      </c>
      <c r="C40" s="5" t="s">
        <v>745</v>
      </c>
      <c r="D40" s="5" t="s">
        <v>772</v>
      </c>
      <c r="E40" s="5" t="s">
        <v>773</v>
      </c>
      <c r="F40" s="5" t="s">
        <v>522</v>
      </c>
      <c r="G40" s="5" t="s">
        <v>617</v>
      </c>
      <c r="H40" s="5" t="s">
        <v>512</v>
      </c>
      <c r="I40" s="5" t="s">
        <v>774</v>
      </c>
      <c r="J40" s="5" t="s">
        <v>775</v>
      </c>
      <c r="K40" s="5" t="n">
        <v>3</v>
      </c>
      <c r="L40" s="5" t="s">
        <v>776</v>
      </c>
      <c r="M40" s="5" t="s">
        <v>751</v>
      </c>
      <c r="N40" s="5" t="s">
        <v>752</v>
      </c>
      <c r="O40" s="5" t="s">
        <v>518</v>
      </c>
      <c r="P40" s="5"/>
      <c r="Q40" s="5"/>
      <c r="R40" s="5"/>
      <c r="S40" s="5"/>
      <c r="T40" s="5"/>
    </row>
    <row r="41" customFormat="false" ht="57.75" hidden="false" customHeight="true" outlineLevel="0" collapsed="false">
      <c r="A41" s="5" t="s">
        <v>777</v>
      </c>
      <c r="B41" s="5" t="s">
        <v>358</v>
      </c>
      <c r="C41" s="5" t="s">
        <v>778</v>
      </c>
      <c r="D41" s="5" t="s">
        <v>779</v>
      </c>
      <c r="E41" s="5" t="s">
        <v>780</v>
      </c>
      <c r="F41" s="5" t="s">
        <v>510</v>
      </c>
      <c r="G41" s="5" t="s">
        <v>523</v>
      </c>
      <c r="H41" s="5" t="s">
        <v>512</v>
      </c>
      <c r="I41" s="5" t="s">
        <v>781</v>
      </c>
      <c r="J41" s="5" t="s">
        <v>782</v>
      </c>
      <c r="K41" s="5" t="n">
        <v>4</v>
      </c>
      <c r="L41" s="5" t="s">
        <v>783</v>
      </c>
      <c r="M41" s="5" t="s">
        <v>784</v>
      </c>
      <c r="N41" s="5" t="s">
        <v>785</v>
      </c>
      <c r="O41" s="5" t="s">
        <v>518</v>
      </c>
      <c r="P41" s="5"/>
      <c r="Q41" s="5"/>
      <c r="R41" s="5"/>
      <c r="S41" s="5"/>
      <c r="T41" s="5"/>
    </row>
    <row r="42" customFormat="false" ht="57.75" hidden="false" customHeight="true" outlineLevel="0" collapsed="false">
      <c r="A42" s="5" t="s">
        <v>786</v>
      </c>
      <c r="B42" s="5" t="s">
        <v>358</v>
      </c>
      <c r="C42" s="5" t="s">
        <v>778</v>
      </c>
      <c r="D42" s="5" t="s">
        <v>787</v>
      </c>
      <c r="E42" s="5" t="s">
        <v>788</v>
      </c>
      <c r="F42" s="5" t="s">
        <v>522</v>
      </c>
      <c r="G42" s="5" t="s">
        <v>523</v>
      </c>
      <c r="H42" s="5" t="s">
        <v>512</v>
      </c>
      <c r="I42" s="5" t="s">
        <v>789</v>
      </c>
      <c r="J42" s="5" t="s">
        <v>790</v>
      </c>
      <c r="K42" s="5" t="n">
        <v>6</v>
      </c>
      <c r="L42" s="5" t="s">
        <v>791</v>
      </c>
      <c r="M42" s="5" t="s">
        <v>784</v>
      </c>
      <c r="N42" s="5" t="s">
        <v>785</v>
      </c>
      <c r="O42" s="5" t="s">
        <v>518</v>
      </c>
      <c r="P42" s="5"/>
      <c r="Q42" s="5"/>
      <c r="R42" s="5"/>
      <c r="S42" s="5"/>
      <c r="T42" s="5"/>
    </row>
    <row r="43" customFormat="false" ht="57.75" hidden="false" customHeight="true" outlineLevel="0" collapsed="false">
      <c r="A43" s="5" t="s">
        <v>792</v>
      </c>
      <c r="B43" s="5" t="s">
        <v>358</v>
      </c>
      <c r="C43" s="5" t="s">
        <v>778</v>
      </c>
      <c r="D43" s="5" t="s">
        <v>793</v>
      </c>
      <c r="E43" s="5" t="s">
        <v>794</v>
      </c>
      <c r="F43" s="5" t="s">
        <v>522</v>
      </c>
      <c r="G43" s="5" t="s">
        <v>511</v>
      </c>
      <c r="H43" s="5" t="s">
        <v>512</v>
      </c>
      <c r="I43" s="5" t="s">
        <v>795</v>
      </c>
      <c r="J43" s="5" t="s">
        <v>796</v>
      </c>
      <c r="K43" s="5" t="n">
        <v>5</v>
      </c>
      <c r="L43" s="5" t="s">
        <v>797</v>
      </c>
      <c r="M43" s="5" t="s">
        <v>798</v>
      </c>
      <c r="N43" s="5" t="s">
        <v>785</v>
      </c>
      <c r="O43" s="5" t="s">
        <v>518</v>
      </c>
      <c r="P43" s="5"/>
      <c r="Q43" s="5"/>
      <c r="R43" s="5"/>
      <c r="S43" s="5"/>
      <c r="T43" s="5"/>
    </row>
    <row r="44" customFormat="false" ht="57.75" hidden="false" customHeight="true" outlineLevel="0" collapsed="false">
      <c r="A44" s="5" t="s">
        <v>799</v>
      </c>
      <c r="B44" s="5" t="s">
        <v>358</v>
      </c>
      <c r="C44" s="5" t="s">
        <v>778</v>
      </c>
      <c r="D44" s="5" t="s">
        <v>800</v>
      </c>
      <c r="E44" s="5" t="s">
        <v>801</v>
      </c>
      <c r="F44" s="5" t="s">
        <v>522</v>
      </c>
      <c r="G44" s="5" t="s">
        <v>523</v>
      </c>
      <c r="H44" s="5" t="s">
        <v>512</v>
      </c>
      <c r="I44" s="5" t="s">
        <v>802</v>
      </c>
      <c r="J44" s="5" t="s">
        <v>803</v>
      </c>
      <c r="K44" s="5" t="n">
        <v>4</v>
      </c>
      <c r="L44" s="5" t="s">
        <v>804</v>
      </c>
      <c r="M44" s="5" t="s">
        <v>784</v>
      </c>
      <c r="N44" s="5" t="s">
        <v>785</v>
      </c>
      <c r="O44" s="5" t="s">
        <v>518</v>
      </c>
      <c r="P44" s="5"/>
      <c r="Q44" s="5"/>
      <c r="R44" s="5"/>
      <c r="S44" s="5"/>
      <c r="T44" s="5"/>
    </row>
    <row r="45" customFormat="false" ht="57.75" hidden="false" customHeight="true" outlineLevel="0" collapsed="false">
      <c r="A45" s="5" t="s">
        <v>805</v>
      </c>
      <c r="B45" s="5" t="s">
        <v>358</v>
      </c>
      <c r="C45" s="5" t="s">
        <v>806</v>
      </c>
      <c r="D45" s="5" t="s">
        <v>807</v>
      </c>
      <c r="E45" s="5" t="s">
        <v>808</v>
      </c>
      <c r="F45" s="5" t="s">
        <v>510</v>
      </c>
      <c r="G45" s="5" t="s">
        <v>523</v>
      </c>
      <c r="H45" s="5" t="s">
        <v>512</v>
      </c>
      <c r="I45" s="5" t="s">
        <v>809</v>
      </c>
      <c r="J45" s="5" t="s">
        <v>810</v>
      </c>
      <c r="K45" s="5" t="n">
        <v>3</v>
      </c>
      <c r="L45" s="5" t="s">
        <v>811</v>
      </c>
      <c r="M45" s="5" t="s">
        <v>812</v>
      </c>
      <c r="N45" s="5" t="s">
        <v>673</v>
      </c>
      <c r="O45" s="5" t="s">
        <v>518</v>
      </c>
      <c r="P45" s="5"/>
      <c r="Q45" s="5"/>
      <c r="R45" s="5"/>
      <c r="S45" s="5"/>
      <c r="T45" s="5"/>
    </row>
    <row r="46" customFormat="false" ht="57.75" hidden="false" customHeight="true" outlineLevel="0" collapsed="false">
      <c r="A46" s="5" t="s">
        <v>813</v>
      </c>
      <c r="B46" s="5" t="s">
        <v>358</v>
      </c>
      <c r="C46" s="5" t="s">
        <v>806</v>
      </c>
      <c r="D46" s="5" t="s">
        <v>814</v>
      </c>
      <c r="E46" s="5" t="s">
        <v>815</v>
      </c>
      <c r="F46" s="5" t="s">
        <v>522</v>
      </c>
      <c r="G46" s="5" t="s">
        <v>511</v>
      </c>
      <c r="H46" s="5" t="s">
        <v>512</v>
      </c>
      <c r="I46" s="5" t="s">
        <v>816</v>
      </c>
      <c r="J46" s="5" t="s">
        <v>810</v>
      </c>
      <c r="K46" s="5" t="n">
        <v>4</v>
      </c>
      <c r="L46" s="5" t="s">
        <v>817</v>
      </c>
      <c r="M46" s="5" t="s">
        <v>818</v>
      </c>
      <c r="N46" s="5" t="s">
        <v>819</v>
      </c>
      <c r="O46" s="5" t="s">
        <v>518</v>
      </c>
      <c r="P46" s="5"/>
      <c r="Q46" s="5"/>
      <c r="R46" s="5"/>
      <c r="S46" s="5"/>
      <c r="T46" s="5"/>
    </row>
    <row r="47" customFormat="false" ht="57.75" hidden="false" customHeight="true" outlineLevel="0" collapsed="false">
      <c r="A47" s="5" t="s">
        <v>820</v>
      </c>
      <c r="B47" s="5" t="s">
        <v>358</v>
      </c>
      <c r="C47" s="5" t="s">
        <v>806</v>
      </c>
      <c r="D47" s="5" t="s">
        <v>821</v>
      </c>
      <c r="E47" s="5" t="s">
        <v>822</v>
      </c>
      <c r="F47" s="5" t="s">
        <v>510</v>
      </c>
      <c r="G47" s="5" t="s">
        <v>617</v>
      </c>
      <c r="H47" s="5" t="s">
        <v>512</v>
      </c>
      <c r="I47" s="5" t="s">
        <v>823</v>
      </c>
      <c r="J47" s="5" t="s">
        <v>810</v>
      </c>
      <c r="K47" s="5" t="n">
        <v>3</v>
      </c>
      <c r="L47" s="5" t="s">
        <v>824</v>
      </c>
      <c r="M47" s="5" t="s">
        <v>825</v>
      </c>
      <c r="N47" s="5" t="s">
        <v>673</v>
      </c>
      <c r="O47" s="5" t="s">
        <v>518</v>
      </c>
      <c r="P47" s="5"/>
      <c r="Q47" s="5"/>
      <c r="R47" s="5"/>
      <c r="S47" s="5"/>
      <c r="T47" s="5"/>
    </row>
    <row r="48" customFormat="false" ht="57.75" hidden="false" customHeight="true" outlineLevel="0" collapsed="false">
      <c r="A48" s="5" t="s">
        <v>826</v>
      </c>
      <c r="B48" s="5" t="s">
        <v>358</v>
      </c>
      <c r="C48" s="5" t="s">
        <v>827</v>
      </c>
      <c r="D48" s="5" t="s">
        <v>828</v>
      </c>
      <c r="E48" s="5" t="s">
        <v>829</v>
      </c>
      <c r="F48" s="5" t="s">
        <v>522</v>
      </c>
      <c r="G48" s="5" t="s">
        <v>523</v>
      </c>
      <c r="H48" s="5" t="s">
        <v>512</v>
      </c>
      <c r="I48" s="5" t="s">
        <v>830</v>
      </c>
      <c r="J48" s="5" t="s">
        <v>831</v>
      </c>
      <c r="K48" s="5" t="n">
        <v>3</v>
      </c>
      <c r="L48" s="5" t="s">
        <v>832</v>
      </c>
      <c r="M48" s="5" t="s">
        <v>656</v>
      </c>
      <c r="N48" s="5" t="s">
        <v>833</v>
      </c>
      <c r="O48" s="5" t="s">
        <v>518</v>
      </c>
      <c r="P48" s="5"/>
      <c r="Q48" s="5"/>
      <c r="R48" s="5"/>
      <c r="S48" s="5"/>
      <c r="T48" s="5"/>
    </row>
    <row r="49" customFormat="false" ht="57.75" hidden="false" customHeight="true" outlineLevel="0" collapsed="false">
      <c r="A49" s="5" t="s">
        <v>834</v>
      </c>
      <c r="B49" s="5" t="s">
        <v>358</v>
      </c>
      <c r="C49" s="5" t="s">
        <v>827</v>
      </c>
      <c r="D49" s="5" t="s">
        <v>835</v>
      </c>
      <c r="E49" s="5" t="s">
        <v>836</v>
      </c>
      <c r="F49" s="5" t="s">
        <v>510</v>
      </c>
      <c r="G49" s="5" t="s">
        <v>617</v>
      </c>
      <c r="H49" s="5" t="s">
        <v>512</v>
      </c>
      <c r="I49" s="5" t="s">
        <v>837</v>
      </c>
      <c r="J49" s="5" t="s">
        <v>838</v>
      </c>
      <c r="K49" s="5" t="n">
        <v>4</v>
      </c>
      <c r="L49" s="5" t="s">
        <v>839</v>
      </c>
      <c r="M49" s="5" t="s">
        <v>656</v>
      </c>
      <c r="N49" s="5" t="s">
        <v>833</v>
      </c>
      <c r="O49" s="5" t="s">
        <v>518</v>
      </c>
      <c r="P49" s="5"/>
      <c r="Q49" s="5"/>
      <c r="R49" s="5"/>
      <c r="S49" s="5"/>
      <c r="T49" s="5"/>
    </row>
    <row r="50" customFormat="false" ht="57.75" hidden="false" customHeight="true" outlineLevel="0" collapsed="false">
      <c r="A50" s="5" t="s">
        <v>840</v>
      </c>
      <c r="B50" s="5" t="s">
        <v>358</v>
      </c>
      <c r="C50" s="5" t="s">
        <v>841</v>
      </c>
      <c r="D50" s="5" t="s">
        <v>842</v>
      </c>
      <c r="E50" s="5" t="s">
        <v>843</v>
      </c>
      <c r="F50" s="5" t="s">
        <v>510</v>
      </c>
      <c r="G50" s="5" t="s">
        <v>617</v>
      </c>
      <c r="H50" s="5" t="s">
        <v>512</v>
      </c>
      <c r="I50" s="5" t="s">
        <v>524</v>
      </c>
      <c r="J50" s="5" t="s">
        <v>844</v>
      </c>
      <c r="K50" s="5" t="n">
        <v>4</v>
      </c>
      <c r="L50" s="5" t="s">
        <v>845</v>
      </c>
      <c r="M50" s="5" t="s">
        <v>846</v>
      </c>
      <c r="N50" s="5" t="s">
        <v>833</v>
      </c>
      <c r="O50" s="5" t="s">
        <v>518</v>
      </c>
      <c r="P50" s="5"/>
      <c r="Q50" s="5"/>
      <c r="R50" s="5"/>
      <c r="S50" s="5"/>
      <c r="T50" s="5"/>
    </row>
    <row r="51" customFormat="false" ht="57.75" hidden="false" customHeight="true" outlineLevel="0" collapsed="false">
      <c r="A51" s="5" t="s">
        <v>847</v>
      </c>
      <c r="B51" s="5" t="s">
        <v>358</v>
      </c>
      <c r="C51" s="5" t="s">
        <v>827</v>
      </c>
      <c r="D51" s="5" t="s">
        <v>848</v>
      </c>
      <c r="E51" s="5" t="s">
        <v>849</v>
      </c>
      <c r="F51" s="5" t="s">
        <v>510</v>
      </c>
      <c r="G51" s="5" t="s">
        <v>523</v>
      </c>
      <c r="H51" s="5" t="s">
        <v>512</v>
      </c>
      <c r="I51" s="5" t="s">
        <v>524</v>
      </c>
      <c r="J51" s="5" t="s">
        <v>850</v>
      </c>
      <c r="K51" s="5" t="n">
        <v>3</v>
      </c>
      <c r="L51" s="5" t="s">
        <v>851</v>
      </c>
      <c r="M51" s="5" t="s">
        <v>656</v>
      </c>
      <c r="N51" s="5" t="s">
        <v>833</v>
      </c>
      <c r="O51" s="5" t="s">
        <v>518</v>
      </c>
      <c r="P51" s="5"/>
      <c r="Q51" s="5"/>
      <c r="R51" s="5"/>
      <c r="S51" s="5"/>
      <c r="T51" s="5"/>
    </row>
    <row r="52" customFormat="false" ht="57.75" hidden="false" customHeight="true" outlineLevel="0" collapsed="false">
      <c r="A52" s="5" t="s">
        <v>852</v>
      </c>
      <c r="B52" s="5" t="s">
        <v>358</v>
      </c>
      <c r="C52" s="5" t="s">
        <v>853</v>
      </c>
      <c r="D52" s="5" t="s">
        <v>854</v>
      </c>
      <c r="E52" s="5" t="s">
        <v>855</v>
      </c>
      <c r="F52" s="5" t="s">
        <v>522</v>
      </c>
      <c r="G52" s="5" t="s">
        <v>523</v>
      </c>
      <c r="H52" s="5" t="s">
        <v>512</v>
      </c>
      <c r="I52" s="5" t="s">
        <v>856</v>
      </c>
      <c r="J52" s="5" t="s">
        <v>857</v>
      </c>
      <c r="K52" s="5" t="n">
        <v>4</v>
      </c>
      <c r="L52" s="5" t="s">
        <v>858</v>
      </c>
      <c r="M52" s="5" t="s">
        <v>859</v>
      </c>
      <c r="N52" s="5" t="s">
        <v>860</v>
      </c>
      <c r="O52" s="5" t="s">
        <v>518</v>
      </c>
      <c r="P52" s="5"/>
      <c r="Q52" s="5"/>
      <c r="R52" s="5"/>
      <c r="S52" s="5"/>
      <c r="T52" s="5"/>
    </row>
    <row r="53" customFormat="false" ht="57.75" hidden="false" customHeight="true" outlineLevel="0" collapsed="false">
      <c r="A53" s="5" t="s">
        <v>861</v>
      </c>
      <c r="B53" s="5" t="s">
        <v>358</v>
      </c>
      <c r="C53" s="5" t="s">
        <v>853</v>
      </c>
      <c r="D53" s="5" t="s">
        <v>862</v>
      </c>
      <c r="E53" s="5" t="s">
        <v>863</v>
      </c>
      <c r="F53" s="5" t="s">
        <v>522</v>
      </c>
      <c r="G53" s="5" t="s">
        <v>617</v>
      </c>
      <c r="H53" s="5" t="s">
        <v>512</v>
      </c>
      <c r="I53" s="5" t="s">
        <v>690</v>
      </c>
      <c r="J53" s="5" t="s">
        <v>864</v>
      </c>
      <c r="K53" s="5" t="n">
        <v>3</v>
      </c>
      <c r="L53" s="5" t="s">
        <v>865</v>
      </c>
      <c r="M53" s="5" t="s">
        <v>866</v>
      </c>
      <c r="N53" s="5" t="s">
        <v>860</v>
      </c>
      <c r="O53" s="5" t="s">
        <v>518</v>
      </c>
      <c r="P53" s="5"/>
      <c r="Q53" s="5"/>
      <c r="R53" s="5"/>
      <c r="S53" s="5"/>
      <c r="T53" s="5"/>
    </row>
    <row r="54" customFormat="false" ht="57.75" hidden="false" customHeight="true" outlineLevel="0" collapsed="false">
      <c r="A54" s="5" t="s">
        <v>867</v>
      </c>
      <c r="B54" s="5" t="s">
        <v>358</v>
      </c>
      <c r="C54" s="5" t="s">
        <v>868</v>
      </c>
      <c r="D54" s="5" t="s">
        <v>869</v>
      </c>
      <c r="E54" s="5" t="s">
        <v>870</v>
      </c>
      <c r="F54" s="5" t="s">
        <v>522</v>
      </c>
      <c r="G54" s="5" t="s">
        <v>523</v>
      </c>
      <c r="H54" s="5" t="s">
        <v>512</v>
      </c>
      <c r="I54" s="5" t="s">
        <v>690</v>
      </c>
      <c r="J54" s="5" t="s">
        <v>871</v>
      </c>
      <c r="K54" s="5" t="n">
        <v>5</v>
      </c>
      <c r="L54" s="5" t="s">
        <v>872</v>
      </c>
      <c r="M54" s="5" t="s">
        <v>873</v>
      </c>
      <c r="N54" s="5" t="s">
        <v>874</v>
      </c>
      <c r="O54" s="5" t="s">
        <v>518</v>
      </c>
      <c r="P54" s="5"/>
      <c r="Q54" s="5"/>
      <c r="R54" s="5"/>
      <c r="S54" s="5"/>
      <c r="T54" s="5"/>
    </row>
    <row r="55" customFormat="false" ht="57.75" hidden="false" customHeight="true" outlineLevel="0" collapsed="false">
      <c r="A55" s="5" t="s">
        <v>875</v>
      </c>
      <c r="B55" s="5" t="s">
        <v>358</v>
      </c>
      <c r="C55" s="5" t="s">
        <v>868</v>
      </c>
      <c r="D55" s="5" t="s">
        <v>876</v>
      </c>
      <c r="E55" s="5" t="s">
        <v>877</v>
      </c>
      <c r="F55" s="5" t="s">
        <v>510</v>
      </c>
      <c r="G55" s="5" t="s">
        <v>523</v>
      </c>
      <c r="H55" s="5" t="s">
        <v>512</v>
      </c>
      <c r="I55" s="5" t="s">
        <v>524</v>
      </c>
      <c r="J55" s="5" t="s">
        <v>878</v>
      </c>
      <c r="K55" s="5" t="n">
        <v>5</v>
      </c>
      <c r="L55" s="5" t="s">
        <v>879</v>
      </c>
      <c r="M55" s="5" t="s">
        <v>880</v>
      </c>
      <c r="N55" s="5" t="s">
        <v>881</v>
      </c>
      <c r="O55" s="5" t="s">
        <v>518</v>
      </c>
      <c r="P55" s="5"/>
      <c r="Q55" s="5"/>
      <c r="R55" s="5"/>
      <c r="S55" s="5"/>
      <c r="T55" s="5"/>
    </row>
    <row r="56" customFormat="false" ht="57.75" hidden="false" customHeight="true" outlineLevel="0" collapsed="false">
      <c r="A56" s="5" t="s">
        <v>882</v>
      </c>
      <c r="B56" s="5" t="s">
        <v>358</v>
      </c>
      <c r="C56" s="5" t="s">
        <v>868</v>
      </c>
      <c r="D56" s="5" t="s">
        <v>883</v>
      </c>
      <c r="E56" s="5" t="s">
        <v>884</v>
      </c>
      <c r="F56" s="5" t="s">
        <v>510</v>
      </c>
      <c r="G56" s="5" t="s">
        <v>523</v>
      </c>
      <c r="H56" s="5" t="s">
        <v>512</v>
      </c>
      <c r="I56" s="5" t="s">
        <v>524</v>
      </c>
      <c r="J56" s="5" t="s">
        <v>885</v>
      </c>
      <c r="K56" s="5" t="n">
        <v>3</v>
      </c>
      <c r="L56" s="5" t="s">
        <v>886</v>
      </c>
      <c r="M56" s="5" t="s">
        <v>887</v>
      </c>
      <c r="N56" s="5" t="s">
        <v>874</v>
      </c>
      <c r="O56" s="5" t="s">
        <v>518</v>
      </c>
      <c r="P56" s="5"/>
      <c r="Q56" s="5"/>
      <c r="R56" s="5"/>
      <c r="S56" s="5"/>
      <c r="T56" s="5"/>
    </row>
    <row r="57" customFormat="false" ht="57.75" hidden="false" customHeight="true" outlineLevel="0" collapsed="false">
      <c r="A57" s="5" t="s">
        <v>888</v>
      </c>
      <c r="B57" s="5" t="s">
        <v>358</v>
      </c>
      <c r="C57" s="5" t="s">
        <v>889</v>
      </c>
      <c r="D57" s="5" t="s">
        <v>890</v>
      </c>
      <c r="E57" s="5" t="s">
        <v>891</v>
      </c>
      <c r="F57" s="5" t="s">
        <v>510</v>
      </c>
      <c r="G57" s="5" t="s">
        <v>617</v>
      </c>
      <c r="H57" s="5" t="s">
        <v>512</v>
      </c>
      <c r="I57" s="5" t="s">
        <v>892</v>
      </c>
      <c r="J57" s="5" t="s">
        <v>893</v>
      </c>
      <c r="K57" s="5" t="n">
        <v>3</v>
      </c>
      <c r="L57" s="5" t="s">
        <v>894</v>
      </c>
      <c r="M57" s="5" t="s">
        <v>895</v>
      </c>
      <c r="N57" s="5" t="s">
        <v>896</v>
      </c>
      <c r="O57" s="5" t="s">
        <v>518</v>
      </c>
      <c r="P57" s="5"/>
      <c r="Q57" s="5"/>
      <c r="R57" s="5"/>
      <c r="S57" s="5"/>
      <c r="T57" s="5"/>
    </row>
    <row r="58" customFormat="false" ht="57.75" hidden="false" customHeight="true" outlineLevel="0" collapsed="false">
      <c r="A58" s="5" t="s">
        <v>897</v>
      </c>
      <c r="B58" s="5" t="s">
        <v>358</v>
      </c>
      <c r="C58" s="5" t="s">
        <v>853</v>
      </c>
      <c r="D58" s="5" t="s">
        <v>898</v>
      </c>
      <c r="E58" s="5" t="s">
        <v>899</v>
      </c>
      <c r="F58" s="5" t="s">
        <v>510</v>
      </c>
      <c r="G58" s="5" t="s">
        <v>617</v>
      </c>
      <c r="H58" s="5" t="s">
        <v>512</v>
      </c>
      <c r="I58" s="5" t="s">
        <v>690</v>
      </c>
      <c r="J58" s="5" t="s">
        <v>900</v>
      </c>
      <c r="K58" s="5" t="n">
        <v>2</v>
      </c>
      <c r="L58" s="5" t="s">
        <v>901</v>
      </c>
      <c r="M58" s="5" t="s">
        <v>902</v>
      </c>
      <c r="N58" s="5" t="s">
        <v>903</v>
      </c>
      <c r="O58" s="5" t="s">
        <v>518</v>
      </c>
      <c r="P58" s="5"/>
      <c r="Q58" s="5"/>
      <c r="R58" s="5"/>
      <c r="S58" s="5"/>
      <c r="T58" s="5"/>
    </row>
    <row r="59" customFormat="false" ht="57.75" hidden="false" customHeight="true" outlineLevel="0" collapsed="false">
      <c r="A59" s="5" t="s">
        <v>904</v>
      </c>
      <c r="B59" s="5" t="s">
        <v>358</v>
      </c>
      <c r="C59" s="5" t="s">
        <v>853</v>
      </c>
      <c r="D59" s="5" t="s">
        <v>905</v>
      </c>
      <c r="E59" s="5" t="s">
        <v>906</v>
      </c>
      <c r="F59" s="5" t="s">
        <v>510</v>
      </c>
      <c r="G59" s="5" t="s">
        <v>511</v>
      </c>
      <c r="H59" s="5" t="s">
        <v>512</v>
      </c>
      <c r="I59" s="5" t="s">
        <v>907</v>
      </c>
      <c r="J59" s="5" t="s">
        <v>908</v>
      </c>
      <c r="K59" s="5" t="n">
        <v>5</v>
      </c>
      <c r="L59" s="5" t="s">
        <v>909</v>
      </c>
      <c r="M59" s="5" t="s">
        <v>910</v>
      </c>
      <c r="N59" s="5" t="s">
        <v>911</v>
      </c>
      <c r="O59" s="5" t="s">
        <v>518</v>
      </c>
      <c r="P59" s="5"/>
      <c r="Q59" s="5"/>
      <c r="R59" s="5"/>
      <c r="S59" s="5"/>
      <c r="T59" s="5"/>
    </row>
    <row r="60" customFormat="false" ht="57.75" hidden="false" customHeight="true" outlineLevel="0" collapsed="false">
      <c r="A60" s="5" t="s">
        <v>912</v>
      </c>
      <c r="B60" s="5" t="s">
        <v>358</v>
      </c>
      <c r="C60" s="5" t="s">
        <v>913</v>
      </c>
      <c r="D60" s="5" t="s">
        <v>914</v>
      </c>
      <c r="E60" s="5" t="s">
        <v>915</v>
      </c>
      <c r="F60" s="5" t="s">
        <v>510</v>
      </c>
      <c r="G60" s="5" t="s">
        <v>523</v>
      </c>
      <c r="H60" s="5" t="s">
        <v>916</v>
      </c>
      <c r="I60" s="5" t="s">
        <v>917</v>
      </c>
      <c r="J60" s="5" t="s">
        <v>918</v>
      </c>
      <c r="K60" s="5" t="n">
        <v>4</v>
      </c>
      <c r="L60" s="5" t="s">
        <v>919</v>
      </c>
      <c r="M60" s="5" t="s">
        <v>920</v>
      </c>
      <c r="N60" s="5" t="s">
        <v>921</v>
      </c>
      <c r="O60" s="5" t="s">
        <v>518</v>
      </c>
      <c r="P60" s="5"/>
      <c r="Q60" s="5"/>
      <c r="R60" s="5"/>
      <c r="S60" s="5"/>
      <c r="T60" s="5" t="s">
        <v>554</v>
      </c>
    </row>
    <row r="61" customFormat="false" ht="57.75" hidden="false" customHeight="true" outlineLevel="0" collapsed="false">
      <c r="A61" s="5" t="s">
        <v>922</v>
      </c>
      <c r="B61" s="5" t="s">
        <v>358</v>
      </c>
      <c r="C61" s="5" t="s">
        <v>913</v>
      </c>
      <c r="D61" s="5" t="s">
        <v>923</v>
      </c>
      <c r="E61" s="5" t="s">
        <v>924</v>
      </c>
      <c r="F61" s="5" t="s">
        <v>510</v>
      </c>
      <c r="G61" s="5" t="s">
        <v>523</v>
      </c>
      <c r="H61" s="5" t="s">
        <v>559</v>
      </c>
      <c r="I61" s="5" t="s">
        <v>925</v>
      </c>
      <c r="J61" s="5" t="s">
        <v>926</v>
      </c>
      <c r="K61" s="5" t="n">
        <v>4</v>
      </c>
      <c r="L61" s="5" t="s">
        <v>927</v>
      </c>
      <c r="M61" s="5" t="s">
        <v>928</v>
      </c>
      <c r="N61" s="5" t="s">
        <v>929</v>
      </c>
      <c r="O61" s="5" t="s">
        <v>518</v>
      </c>
      <c r="P61" s="5"/>
      <c r="Q61" s="5"/>
      <c r="R61" s="5"/>
      <c r="S61" s="5"/>
      <c r="T61" s="5"/>
    </row>
    <row r="62" customFormat="false" ht="57.75" hidden="false" customHeight="true" outlineLevel="0" collapsed="false">
      <c r="A62" s="5" t="s">
        <v>930</v>
      </c>
      <c r="B62" s="5" t="s">
        <v>349</v>
      </c>
      <c r="C62" s="5" t="s">
        <v>931</v>
      </c>
      <c r="D62" s="5" t="s">
        <v>932</v>
      </c>
      <c r="E62" s="5" t="s">
        <v>933</v>
      </c>
      <c r="F62" s="5" t="s">
        <v>510</v>
      </c>
      <c r="G62" s="5" t="s">
        <v>511</v>
      </c>
      <c r="H62" s="5" t="s">
        <v>512</v>
      </c>
      <c r="I62" s="5" t="s">
        <v>934</v>
      </c>
      <c r="J62" s="5" t="s">
        <v>935</v>
      </c>
      <c r="K62" s="5" t="n">
        <v>3</v>
      </c>
      <c r="L62" s="5" t="s">
        <v>936</v>
      </c>
      <c r="M62" s="5" t="s">
        <v>937</v>
      </c>
      <c r="N62" s="5" t="s">
        <v>938</v>
      </c>
      <c r="O62" s="5" t="s">
        <v>518</v>
      </c>
      <c r="P62" s="5"/>
      <c r="Q62" s="5"/>
      <c r="R62" s="5"/>
      <c r="S62" s="5"/>
      <c r="T62" s="5"/>
    </row>
    <row r="63" customFormat="false" ht="57.75" hidden="false" customHeight="true" outlineLevel="0" collapsed="false">
      <c r="A63" s="5" t="s">
        <v>939</v>
      </c>
      <c r="B63" s="5" t="s">
        <v>349</v>
      </c>
      <c r="C63" s="5" t="s">
        <v>931</v>
      </c>
      <c r="D63" s="5" t="s">
        <v>940</v>
      </c>
      <c r="E63" s="5" t="s">
        <v>941</v>
      </c>
      <c r="F63" s="5" t="s">
        <v>522</v>
      </c>
      <c r="G63" s="5" t="s">
        <v>617</v>
      </c>
      <c r="H63" s="5" t="s">
        <v>512</v>
      </c>
      <c r="I63" s="5" t="s">
        <v>942</v>
      </c>
      <c r="J63" s="5" t="s">
        <v>935</v>
      </c>
      <c r="K63" s="5" t="n">
        <v>3</v>
      </c>
      <c r="L63" s="5" t="s">
        <v>943</v>
      </c>
      <c r="M63" s="5" t="s">
        <v>944</v>
      </c>
      <c r="N63" s="5" t="s">
        <v>938</v>
      </c>
      <c r="O63" s="5" t="s">
        <v>518</v>
      </c>
      <c r="P63" s="5"/>
      <c r="Q63" s="5"/>
      <c r="R63" s="5"/>
      <c r="S63" s="5"/>
      <c r="T63" s="5"/>
    </row>
    <row r="64" customFormat="false" ht="57.75" hidden="false" customHeight="true" outlineLevel="0" collapsed="false">
      <c r="A64" s="5" t="s">
        <v>945</v>
      </c>
      <c r="B64" s="5" t="s">
        <v>341</v>
      </c>
      <c r="C64" s="5" t="s">
        <v>946</v>
      </c>
      <c r="D64" s="5" t="s">
        <v>947</v>
      </c>
      <c r="E64" s="5" t="s">
        <v>948</v>
      </c>
      <c r="F64" s="5" t="s">
        <v>510</v>
      </c>
      <c r="G64" s="5" t="s">
        <v>511</v>
      </c>
      <c r="H64" s="5" t="s">
        <v>512</v>
      </c>
      <c r="I64" s="5" t="s">
        <v>949</v>
      </c>
      <c r="J64" s="5" t="s">
        <v>950</v>
      </c>
      <c r="K64" s="5" t="n">
        <v>3</v>
      </c>
      <c r="L64" s="5" t="s">
        <v>951</v>
      </c>
      <c r="M64" s="5" t="s">
        <v>952</v>
      </c>
      <c r="N64" s="5" t="s">
        <v>673</v>
      </c>
      <c r="O64" s="5" t="s">
        <v>518</v>
      </c>
      <c r="P64" s="5"/>
      <c r="Q64" s="5"/>
      <c r="R64" s="5"/>
      <c r="S64" s="5"/>
      <c r="T64" s="5"/>
    </row>
    <row r="65" customFormat="false" ht="57.75" hidden="false" customHeight="true" outlineLevel="0" collapsed="false">
      <c r="A65" s="5" t="s">
        <v>953</v>
      </c>
      <c r="B65" s="5" t="s">
        <v>341</v>
      </c>
      <c r="C65" s="5" t="s">
        <v>946</v>
      </c>
      <c r="D65" s="5" t="s">
        <v>954</v>
      </c>
      <c r="E65" s="5" t="s">
        <v>955</v>
      </c>
      <c r="F65" s="5" t="s">
        <v>522</v>
      </c>
      <c r="G65" s="5" t="s">
        <v>511</v>
      </c>
      <c r="H65" s="5" t="s">
        <v>512</v>
      </c>
      <c r="I65" s="5" t="s">
        <v>956</v>
      </c>
      <c r="J65" s="5" t="s">
        <v>957</v>
      </c>
      <c r="K65" s="5" t="n">
        <v>4</v>
      </c>
      <c r="L65" s="5" t="s">
        <v>958</v>
      </c>
      <c r="M65" s="5" t="s">
        <v>944</v>
      </c>
      <c r="N65" s="5" t="s">
        <v>673</v>
      </c>
      <c r="O65" s="5" t="s">
        <v>518</v>
      </c>
      <c r="P65" s="5"/>
      <c r="Q65" s="5"/>
      <c r="R65" s="5"/>
      <c r="S65" s="5"/>
      <c r="T65" s="5"/>
    </row>
    <row r="66" customFormat="false" ht="57.75" hidden="false" customHeight="true" outlineLevel="0" collapsed="false">
      <c r="A66" s="5" t="s">
        <v>959</v>
      </c>
      <c r="B66" s="5" t="s">
        <v>334</v>
      </c>
      <c r="C66" s="5" t="s">
        <v>960</v>
      </c>
      <c r="D66" s="5" t="s">
        <v>961</v>
      </c>
      <c r="E66" s="5" t="s">
        <v>962</v>
      </c>
      <c r="F66" s="5" t="s">
        <v>510</v>
      </c>
      <c r="G66" s="5" t="s">
        <v>511</v>
      </c>
      <c r="H66" s="5" t="s">
        <v>512</v>
      </c>
      <c r="I66" s="5" t="s">
        <v>524</v>
      </c>
      <c r="J66" s="5" t="s">
        <v>963</v>
      </c>
      <c r="K66" s="5" t="n">
        <v>3</v>
      </c>
      <c r="L66" s="5" t="s">
        <v>964</v>
      </c>
      <c r="M66" s="5" t="s">
        <v>965</v>
      </c>
      <c r="N66" s="5" t="s">
        <v>860</v>
      </c>
      <c r="O66" s="5" t="s">
        <v>518</v>
      </c>
      <c r="P66" s="5"/>
      <c r="Q66" s="5"/>
      <c r="R66" s="5"/>
      <c r="S66" s="5"/>
      <c r="T66" s="5"/>
    </row>
    <row r="67" customFormat="false" ht="57.75" hidden="false" customHeight="true" outlineLevel="0" collapsed="false">
      <c r="A67" s="5" t="s">
        <v>966</v>
      </c>
      <c r="B67" s="5" t="s">
        <v>334</v>
      </c>
      <c r="C67" s="5" t="s">
        <v>960</v>
      </c>
      <c r="D67" s="5" t="s">
        <v>967</v>
      </c>
      <c r="E67" s="5" t="s">
        <v>968</v>
      </c>
      <c r="F67" s="5" t="s">
        <v>522</v>
      </c>
      <c r="G67" s="5" t="s">
        <v>511</v>
      </c>
      <c r="H67" s="5" t="s">
        <v>512</v>
      </c>
      <c r="I67" s="5" t="s">
        <v>524</v>
      </c>
      <c r="J67" s="5" t="s">
        <v>969</v>
      </c>
      <c r="K67" s="5" t="n">
        <v>4</v>
      </c>
      <c r="L67" s="5" t="s">
        <v>970</v>
      </c>
      <c r="M67" s="5" t="s">
        <v>971</v>
      </c>
      <c r="N67" s="5" t="s">
        <v>860</v>
      </c>
      <c r="O67" s="5" t="s">
        <v>518</v>
      </c>
      <c r="P67" s="5"/>
      <c r="Q67" s="5"/>
      <c r="R67" s="5"/>
      <c r="S67" s="5"/>
      <c r="T67" s="5"/>
    </row>
    <row r="68" customFormat="false" ht="57.75" hidden="false" customHeight="true" outlineLevel="0" collapsed="false">
      <c r="A68" s="5" t="s">
        <v>972</v>
      </c>
      <c r="B68" s="5" t="s">
        <v>334</v>
      </c>
      <c r="C68" s="5" t="s">
        <v>960</v>
      </c>
      <c r="D68" s="5" t="s">
        <v>973</v>
      </c>
      <c r="E68" s="5" t="s">
        <v>974</v>
      </c>
      <c r="F68" s="5" t="s">
        <v>522</v>
      </c>
      <c r="G68" s="5" t="s">
        <v>511</v>
      </c>
      <c r="H68" s="5" t="s">
        <v>512</v>
      </c>
      <c r="I68" s="5" t="s">
        <v>524</v>
      </c>
      <c r="J68" s="5" t="s">
        <v>975</v>
      </c>
      <c r="K68" s="5" t="n">
        <v>3</v>
      </c>
      <c r="L68" s="5" t="s">
        <v>976</v>
      </c>
      <c r="M68" s="5" t="s">
        <v>977</v>
      </c>
      <c r="N68" s="5" t="s">
        <v>860</v>
      </c>
      <c r="O68" s="5" t="s">
        <v>518</v>
      </c>
      <c r="P68" s="5"/>
      <c r="Q68" s="5"/>
      <c r="R68" s="5"/>
      <c r="S68" s="5"/>
      <c r="T68" s="5"/>
    </row>
    <row r="69" customFormat="false" ht="57.75" hidden="false" customHeight="true" outlineLevel="0" collapsed="false">
      <c r="A69" s="5" t="s">
        <v>978</v>
      </c>
      <c r="B69" s="5" t="s">
        <v>334</v>
      </c>
      <c r="C69" s="5" t="s">
        <v>979</v>
      </c>
      <c r="D69" s="5" t="s">
        <v>980</v>
      </c>
      <c r="E69" s="5" t="s">
        <v>981</v>
      </c>
      <c r="F69" s="5" t="s">
        <v>510</v>
      </c>
      <c r="G69" s="5" t="s">
        <v>511</v>
      </c>
      <c r="H69" s="5" t="s">
        <v>512</v>
      </c>
      <c r="I69" s="5" t="s">
        <v>982</v>
      </c>
      <c r="J69" s="5" t="s">
        <v>983</v>
      </c>
      <c r="K69" s="5" t="n">
        <v>5</v>
      </c>
      <c r="L69" s="5" t="s">
        <v>984</v>
      </c>
      <c r="M69" s="5" t="s">
        <v>985</v>
      </c>
      <c r="N69" s="5" t="s">
        <v>986</v>
      </c>
      <c r="O69" s="5" t="s">
        <v>518</v>
      </c>
      <c r="P69" s="5"/>
      <c r="Q69" s="5"/>
      <c r="R69" s="5"/>
      <c r="S69" s="5"/>
      <c r="T69" s="5"/>
    </row>
    <row r="70" customFormat="false" ht="57.75" hidden="false" customHeight="true" outlineLevel="0" collapsed="false">
      <c r="A70" s="5" t="s">
        <v>987</v>
      </c>
      <c r="B70" s="5" t="s">
        <v>334</v>
      </c>
      <c r="C70" s="5" t="s">
        <v>988</v>
      </c>
      <c r="D70" s="5" t="s">
        <v>989</v>
      </c>
      <c r="E70" s="5" t="s">
        <v>990</v>
      </c>
      <c r="F70" s="5" t="s">
        <v>522</v>
      </c>
      <c r="G70" s="5" t="s">
        <v>523</v>
      </c>
      <c r="H70" s="5" t="s">
        <v>512</v>
      </c>
      <c r="I70" s="5" t="s">
        <v>991</v>
      </c>
      <c r="J70" s="5" t="s">
        <v>992</v>
      </c>
      <c r="K70" s="5" t="n">
        <v>5</v>
      </c>
      <c r="L70" s="5" t="s">
        <v>993</v>
      </c>
      <c r="M70" s="5" t="s">
        <v>994</v>
      </c>
      <c r="N70" s="5" t="s">
        <v>860</v>
      </c>
      <c r="O70" s="5" t="s">
        <v>518</v>
      </c>
      <c r="P70" s="5"/>
      <c r="Q70" s="5"/>
      <c r="R70" s="5"/>
      <c r="S70" s="5"/>
      <c r="T70" s="5"/>
    </row>
    <row r="71" customFormat="false" ht="57.75" hidden="false" customHeight="true" outlineLevel="0" collapsed="false">
      <c r="A71" s="5" t="s">
        <v>995</v>
      </c>
      <c r="B71" s="5" t="s">
        <v>334</v>
      </c>
      <c r="C71" s="5" t="s">
        <v>996</v>
      </c>
      <c r="D71" s="5" t="s">
        <v>997</v>
      </c>
      <c r="E71" s="5" t="s">
        <v>998</v>
      </c>
      <c r="F71" s="5" t="s">
        <v>522</v>
      </c>
      <c r="G71" s="5" t="s">
        <v>511</v>
      </c>
      <c r="H71" s="5" t="s">
        <v>512</v>
      </c>
      <c r="I71" s="5" t="s">
        <v>588</v>
      </c>
      <c r="J71" s="5" t="s">
        <v>999</v>
      </c>
      <c r="K71" s="5" t="n">
        <v>3</v>
      </c>
      <c r="L71" s="5" t="s">
        <v>1000</v>
      </c>
      <c r="M71" s="5" t="s">
        <v>1001</v>
      </c>
      <c r="N71" s="5" t="s">
        <v>860</v>
      </c>
      <c r="O71" s="5" t="s">
        <v>518</v>
      </c>
      <c r="P71" s="5"/>
      <c r="Q71" s="5"/>
      <c r="R71" s="5"/>
      <c r="S71" s="5"/>
      <c r="T71" s="5"/>
    </row>
    <row r="72" customFormat="false" ht="57.75" hidden="false" customHeight="true" outlineLevel="0" collapsed="false">
      <c r="A72" s="5" t="s">
        <v>1002</v>
      </c>
      <c r="B72" s="5" t="s">
        <v>321</v>
      </c>
      <c r="C72" s="5" t="s">
        <v>687</v>
      </c>
      <c r="D72" s="5" t="s">
        <v>1003</v>
      </c>
      <c r="E72" s="5" t="s">
        <v>1004</v>
      </c>
      <c r="F72" s="5" t="s">
        <v>522</v>
      </c>
      <c r="G72" s="5" t="s">
        <v>523</v>
      </c>
      <c r="H72" s="5" t="s">
        <v>559</v>
      </c>
      <c r="I72" s="5" t="s">
        <v>1005</v>
      </c>
      <c r="J72" s="5" t="s">
        <v>1006</v>
      </c>
      <c r="K72" s="5" t="n">
        <v>4</v>
      </c>
      <c r="L72" s="5" t="s">
        <v>1007</v>
      </c>
      <c r="M72" s="5" t="s">
        <v>1008</v>
      </c>
      <c r="N72" s="5" t="s">
        <v>694</v>
      </c>
      <c r="O72" s="5" t="s">
        <v>518</v>
      </c>
      <c r="P72" s="5"/>
      <c r="Q72" s="5"/>
      <c r="R72" s="5"/>
      <c r="S72" s="5"/>
      <c r="T72" s="5"/>
    </row>
    <row r="73" customFormat="false" ht="57.75" hidden="false" customHeight="true" outlineLevel="0" collapsed="false">
      <c r="A73" s="5" t="s">
        <v>1009</v>
      </c>
      <c r="B73" s="5" t="s">
        <v>314</v>
      </c>
      <c r="C73" s="5" t="s">
        <v>1010</v>
      </c>
      <c r="D73" s="5" t="s">
        <v>1011</v>
      </c>
      <c r="E73" s="5" t="s">
        <v>1012</v>
      </c>
      <c r="F73" s="5" t="s">
        <v>522</v>
      </c>
      <c r="G73" s="5" t="s">
        <v>523</v>
      </c>
      <c r="H73" s="5" t="s">
        <v>512</v>
      </c>
      <c r="I73" s="5" t="s">
        <v>1013</v>
      </c>
      <c r="J73" s="5" t="s">
        <v>1014</v>
      </c>
      <c r="K73" s="5" t="n">
        <v>4</v>
      </c>
      <c r="L73" s="5" t="s">
        <v>1015</v>
      </c>
      <c r="M73" s="5" t="s">
        <v>1016</v>
      </c>
      <c r="N73" s="5" t="s">
        <v>1017</v>
      </c>
      <c r="O73" s="5" t="s">
        <v>518</v>
      </c>
      <c r="P73" s="5"/>
      <c r="Q73" s="5"/>
      <c r="R73" s="5"/>
      <c r="S73" s="5"/>
      <c r="T73" s="5"/>
    </row>
    <row r="74" customFormat="false" ht="57.75" hidden="false" customHeight="true" outlineLevel="0" collapsed="false">
      <c r="A74" s="5" t="s">
        <v>1018</v>
      </c>
      <c r="B74" s="5" t="s">
        <v>300</v>
      </c>
      <c r="C74" s="5" t="s">
        <v>1019</v>
      </c>
      <c r="D74" s="5" t="s">
        <v>1020</v>
      </c>
      <c r="E74" s="5" t="s">
        <v>1021</v>
      </c>
      <c r="F74" s="5" t="s">
        <v>522</v>
      </c>
      <c r="G74" s="5" t="s">
        <v>511</v>
      </c>
      <c r="H74" s="5" t="s">
        <v>512</v>
      </c>
      <c r="I74" s="5" t="s">
        <v>1022</v>
      </c>
      <c r="J74" s="5" t="s">
        <v>1023</v>
      </c>
      <c r="K74" s="5" t="n">
        <v>3</v>
      </c>
      <c r="L74" s="5" t="s">
        <v>1024</v>
      </c>
      <c r="M74" s="5" t="s">
        <v>1025</v>
      </c>
      <c r="N74" s="5" t="s">
        <v>1026</v>
      </c>
      <c r="O74" s="5" t="s">
        <v>518</v>
      </c>
      <c r="P74" s="5"/>
      <c r="Q74" s="5"/>
      <c r="R74" s="5"/>
      <c r="S74" s="5"/>
      <c r="T74" s="5"/>
    </row>
    <row r="75" customFormat="false" ht="57.75" hidden="false" customHeight="true" outlineLevel="0" collapsed="false">
      <c r="A75" s="5" t="s">
        <v>1027</v>
      </c>
      <c r="B75" s="5" t="s">
        <v>300</v>
      </c>
      <c r="C75" s="5" t="s">
        <v>1019</v>
      </c>
      <c r="D75" s="5" t="s">
        <v>1028</v>
      </c>
      <c r="E75" s="5" t="s">
        <v>1029</v>
      </c>
      <c r="F75" s="5" t="s">
        <v>522</v>
      </c>
      <c r="G75" s="5" t="s">
        <v>511</v>
      </c>
      <c r="H75" s="5" t="s">
        <v>512</v>
      </c>
      <c r="I75" s="5" t="s">
        <v>1030</v>
      </c>
      <c r="J75" s="5" t="s">
        <v>1031</v>
      </c>
      <c r="K75" s="5" t="n">
        <v>3</v>
      </c>
      <c r="L75" s="5" t="s">
        <v>1032</v>
      </c>
      <c r="M75" s="5" t="s">
        <v>1033</v>
      </c>
      <c r="N75" s="5" t="s">
        <v>1026</v>
      </c>
      <c r="O75" s="5" t="s">
        <v>518</v>
      </c>
      <c r="P75" s="5"/>
      <c r="Q75" s="5"/>
      <c r="R75" s="5"/>
      <c r="S75" s="5"/>
      <c r="T75" s="5"/>
    </row>
    <row r="76" customFormat="false" ht="57.75" hidden="false" customHeight="true" outlineLevel="0" collapsed="false">
      <c r="A76" s="5" t="s">
        <v>1034</v>
      </c>
      <c r="B76" s="5" t="s">
        <v>294</v>
      </c>
      <c r="C76" s="5" t="s">
        <v>1035</v>
      </c>
      <c r="D76" s="5" t="s">
        <v>1036</v>
      </c>
      <c r="E76" s="5" t="s">
        <v>1037</v>
      </c>
      <c r="F76" s="5" t="s">
        <v>522</v>
      </c>
      <c r="G76" s="5" t="s">
        <v>523</v>
      </c>
      <c r="H76" s="5" t="s">
        <v>559</v>
      </c>
      <c r="I76" s="5" t="s">
        <v>1038</v>
      </c>
      <c r="J76" s="5" t="s">
        <v>1039</v>
      </c>
      <c r="K76" s="5" t="n">
        <v>4</v>
      </c>
      <c r="L76" s="5" t="s">
        <v>1040</v>
      </c>
      <c r="M76" s="5" t="s">
        <v>1041</v>
      </c>
      <c r="N76" s="5" t="s">
        <v>1042</v>
      </c>
      <c r="O76" s="5" t="s">
        <v>518</v>
      </c>
      <c r="P76" s="5"/>
      <c r="Q76" s="5"/>
      <c r="R76" s="5"/>
      <c r="S76" s="5"/>
      <c r="T76" s="5"/>
    </row>
    <row r="77" customFormat="false" ht="57.75" hidden="false" customHeight="true" outlineLevel="0" collapsed="false">
      <c r="A77" s="5" t="s">
        <v>1043</v>
      </c>
      <c r="B77" s="5" t="s">
        <v>287</v>
      </c>
      <c r="C77" s="5" t="s">
        <v>1044</v>
      </c>
      <c r="D77" s="5" t="s">
        <v>1045</v>
      </c>
      <c r="E77" s="5" t="s">
        <v>1046</v>
      </c>
      <c r="F77" s="5" t="s">
        <v>510</v>
      </c>
      <c r="G77" s="5" t="s">
        <v>617</v>
      </c>
      <c r="H77" s="5" t="s">
        <v>512</v>
      </c>
      <c r="I77" s="5" t="s">
        <v>1047</v>
      </c>
      <c r="J77" s="5" t="s">
        <v>1048</v>
      </c>
      <c r="K77" s="5" t="n">
        <v>3</v>
      </c>
      <c r="L77" s="5" t="s">
        <v>1049</v>
      </c>
      <c r="M77" s="5" t="s">
        <v>1050</v>
      </c>
      <c r="N77" s="5" t="s">
        <v>1051</v>
      </c>
      <c r="O77" s="5" t="s">
        <v>518</v>
      </c>
      <c r="P77" s="5"/>
      <c r="Q77" s="5"/>
      <c r="R77" s="5"/>
      <c r="S77" s="5"/>
      <c r="T77" s="5"/>
    </row>
    <row r="78" customFormat="false" ht="57.75" hidden="false" customHeight="true" outlineLevel="0" collapsed="false">
      <c r="A78" s="5" t="s">
        <v>1052</v>
      </c>
      <c r="B78" s="5" t="s">
        <v>1053</v>
      </c>
      <c r="C78" s="5" t="s">
        <v>1054</v>
      </c>
      <c r="D78" s="5" t="s">
        <v>1055</v>
      </c>
      <c r="E78" s="5" t="s">
        <v>1056</v>
      </c>
      <c r="F78" s="5" t="s">
        <v>510</v>
      </c>
      <c r="G78" s="5" t="s">
        <v>511</v>
      </c>
      <c r="H78" s="5" t="s">
        <v>1057</v>
      </c>
      <c r="I78" s="5" t="s">
        <v>1058</v>
      </c>
      <c r="J78" s="5" t="s">
        <v>1059</v>
      </c>
      <c r="K78" s="5" t="n">
        <v>5</v>
      </c>
      <c r="L78" s="5" t="s">
        <v>1060</v>
      </c>
      <c r="M78" s="5" t="s">
        <v>1061</v>
      </c>
      <c r="N78" s="5" t="s">
        <v>1062</v>
      </c>
      <c r="O78" s="5" t="s">
        <v>1063</v>
      </c>
      <c r="P78" s="5"/>
      <c r="Q78" s="5"/>
      <c r="R78" s="5"/>
      <c r="S78" s="5"/>
      <c r="T78" s="5" t="s">
        <v>1064</v>
      </c>
    </row>
    <row r="79" customFormat="false" ht="57.75" hidden="false" customHeight="true" outlineLevel="0" collapsed="false">
      <c r="A79" s="5" t="s">
        <v>1065</v>
      </c>
      <c r="B79" s="5" t="s">
        <v>1053</v>
      </c>
      <c r="C79" s="5" t="s">
        <v>1054</v>
      </c>
      <c r="D79" s="5" t="s">
        <v>1066</v>
      </c>
      <c r="E79" s="5" t="s">
        <v>1067</v>
      </c>
      <c r="F79" s="5" t="s">
        <v>522</v>
      </c>
      <c r="G79" s="5" t="s">
        <v>511</v>
      </c>
      <c r="H79" s="5" t="s">
        <v>1057</v>
      </c>
      <c r="I79" s="5" t="s">
        <v>1068</v>
      </c>
      <c r="J79" s="5" t="s">
        <v>1069</v>
      </c>
      <c r="K79" s="5" t="n">
        <v>4</v>
      </c>
      <c r="L79" s="5" t="s">
        <v>1070</v>
      </c>
      <c r="M79" s="5" t="s">
        <v>1071</v>
      </c>
      <c r="N79" s="5" t="s">
        <v>1072</v>
      </c>
      <c r="O79" s="5" t="s">
        <v>1063</v>
      </c>
      <c r="P79" s="5"/>
      <c r="Q79" s="5"/>
      <c r="R79" s="5"/>
      <c r="S79" s="5"/>
      <c r="T79" s="5" t="s">
        <v>1064</v>
      </c>
    </row>
    <row r="80" customFormat="false" ht="57.75" hidden="false" customHeight="true" outlineLevel="0" collapsed="false">
      <c r="A80" s="5" t="s">
        <v>1073</v>
      </c>
      <c r="B80" s="5" t="s">
        <v>1074</v>
      </c>
      <c r="C80" s="5" t="s">
        <v>1075</v>
      </c>
      <c r="D80" s="5" t="s">
        <v>1076</v>
      </c>
      <c r="E80" s="5" t="s">
        <v>1077</v>
      </c>
      <c r="F80" s="5" t="s">
        <v>510</v>
      </c>
      <c r="G80" s="5" t="s">
        <v>523</v>
      </c>
      <c r="H80" s="5" t="s">
        <v>1057</v>
      </c>
      <c r="I80" s="5" t="s">
        <v>1078</v>
      </c>
      <c r="J80" s="5" t="s">
        <v>1079</v>
      </c>
      <c r="K80" s="5" t="n">
        <v>4</v>
      </c>
      <c r="L80" s="5" t="s">
        <v>1080</v>
      </c>
      <c r="M80" s="5" t="s">
        <v>1081</v>
      </c>
      <c r="N80" s="5" t="s">
        <v>1072</v>
      </c>
      <c r="O80" s="5" t="s">
        <v>1063</v>
      </c>
      <c r="P80" s="5"/>
      <c r="Q80" s="5"/>
      <c r="R80" s="5"/>
      <c r="S80" s="5"/>
      <c r="T80" s="5" t="s">
        <v>1064</v>
      </c>
    </row>
    <row r="81" customFormat="false" ht="57.75" hidden="false" customHeight="true" outlineLevel="0" collapsed="false">
      <c r="A81" s="5" t="s">
        <v>1082</v>
      </c>
      <c r="B81" s="5" t="s">
        <v>1083</v>
      </c>
      <c r="C81" s="5" t="s">
        <v>1084</v>
      </c>
      <c r="D81" s="5" t="s">
        <v>1085</v>
      </c>
      <c r="E81" s="5" t="s">
        <v>1086</v>
      </c>
      <c r="F81" s="5" t="s">
        <v>510</v>
      </c>
      <c r="G81" s="5" t="s">
        <v>511</v>
      </c>
      <c r="H81" s="5" t="s">
        <v>1057</v>
      </c>
      <c r="I81" s="5" t="s">
        <v>1087</v>
      </c>
      <c r="J81" s="5" t="s">
        <v>1088</v>
      </c>
      <c r="K81" s="5" t="n">
        <v>4</v>
      </c>
      <c r="L81" s="5" t="s">
        <v>1089</v>
      </c>
      <c r="M81" s="5" t="s">
        <v>1090</v>
      </c>
      <c r="N81" s="5" t="s">
        <v>1072</v>
      </c>
      <c r="O81" s="5" t="s">
        <v>1063</v>
      </c>
      <c r="P81" s="5"/>
      <c r="Q81" s="5"/>
      <c r="R81" s="5"/>
      <c r="S81" s="5"/>
      <c r="T81" s="5" t="s">
        <v>1064</v>
      </c>
    </row>
    <row r="82" customFormat="false" ht="57.75" hidden="false" customHeight="true" outlineLevel="0" collapsed="false">
      <c r="A82" s="5" t="s">
        <v>1091</v>
      </c>
      <c r="B82" s="5" t="s">
        <v>1083</v>
      </c>
      <c r="C82" s="5" t="s">
        <v>1084</v>
      </c>
      <c r="D82" s="5" t="s">
        <v>1092</v>
      </c>
      <c r="E82" s="5" t="s">
        <v>1093</v>
      </c>
      <c r="F82" s="5" t="s">
        <v>522</v>
      </c>
      <c r="G82" s="5" t="s">
        <v>511</v>
      </c>
      <c r="H82" s="5" t="s">
        <v>1057</v>
      </c>
      <c r="I82" s="5" t="s">
        <v>1094</v>
      </c>
      <c r="J82" s="5" t="s">
        <v>1095</v>
      </c>
      <c r="K82" s="5" t="n">
        <v>4</v>
      </c>
      <c r="L82" s="5" t="s">
        <v>1096</v>
      </c>
      <c r="M82" s="5" t="s">
        <v>1097</v>
      </c>
      <c r="N82" s="5" t="s">
        <v>1072</v>
      </c>
      <c r="O82" s="5" t="s">
        <v>1063</v>
      </c>
      <c r="P82" s="5"/>
      <c r="Q82" s="5"/>
      <c r="R82" s="5"/>
      <c r="S82" s="5"/>
      <c r="T82" s="5" t="s">
        <v>1064</v>
      </c>
    </row>
    <row r="83" customFormat="false" ht="57.75" hidden="false" customHeight="true" outlineLevel="0" collapsed="false">
      <c r="A83" s="5" t="s">
        <v>1098</v>
      </c>
      <c r="B83" s="5" t="s">
        <v>1099</v>
      </c>
      <c r="C83" s="5" t="s">
        <v>1100</v>
      </c>
      <c r="D83" s="5" t="s">
        <v>1101</v>
      </c>
      <c r="E83" s="5" t="s">
        <v>1102</v>
      </c>
      <c r="F83" s="5" t="s">
        <v>510</v>
      </c>
      <c r="G83" s="5" t="s">
        <v>523</v>
      </c>
      <c r="H83" s="5" t="s">
        <v>1057</v>
      </c>
      <c r="I83" s="5" t="s">
        <v>1103</v>
      </c>
      <c r="J83" s="5" t="s">
        <v>1104</v>
      </c>
      <c r="K83" s="5" t="n">
        <v>5</v>
      </c>
      <c r="L83" s="5" t="s">
        <v>1105</v>
      </c>
      <c r="M83" s="5" t="s">
        <v>1106</v>
      </c>
      <c r="N83" s="5" t="s">
        <v>1072</v>
      </c>
      <c r="O83" s="5" t="s">
        <v>1063</v>
      </c>
      <c r="P83" s="5"/>
      <c r="Q83" s="5"/>
      <c r="R83" s="5"/>
      <c r="S83" s="5"/>
      <c r="T83" s="5" t="s">
        <v>1064</v>
      </c>
    </row>
  </sheetData>
  <mergeCells count="1">
    <mergeCell ref="A2:T2"/>
  </mergeCells>
  <dataValidations count="1">
    <dataValidation allowBlank="true" errorStyle="stop" operator="between" showDropDown="false" showErrorMessage="false" showInputMessage="false" sqref="O4:O83" type="list">
      <formula1>"Not run,Pass,Fail,Blocked,N/A"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7"/>
    <col collapsed="false" customWidth="true" hidden="false" outlineLevel="0" max="3" min="3" style="0" width="44"/>
    <col collapsed="false" customWidth="true" hidden="false" outlineLevel="0" max="4" min="4" style="0" width="10"/>
    <col collapsed="false" customWidth="true" hidden="false" outlineLevel="0" max="5" min="5" style="0" width="7"/>
    <col collapsed="false" customWidth="true" hidden="false" outlineLevel="0" max="6" min="6" style="0" width="84"/>
    <col collapsed="false" customWidth="true" hidden="false" outlineLevel="0" max="7" min="7" style="0" width="76"/>
    <col collapsed="false" customWidth="true" hidden="false" outlineLevel="0" max="8" min="8" style="0" width="18"/>
    <col collapsed="false" customWidth="true" hidden="false" outlineLevel="0" max="9" min="9" style="0" width="34"/>
  </cols>
  <sheetData>
    <row r="1" customFormat="false" ht="15" hidden="false" customHeight="false" outlineLevel="0" collapsed="false">
      <c r="A1" s="6" t="s">
        <v>1107</v>
      </c>
    </row>
    <row r="2" customFormat="false" ht="45.75" hidden="false" customHeight="true" outlineLevel="0" collapsed="false">
      <c r="A2" s="3" t="s">
        <v>1108</v>
      </c>
      <c r="B2" s="3"/>
      <c r="C2" s="3"/>
      <c r="D2" s="3"/>
      <c r="E2" s="3"/>
      <c r="F2" s="3"/>
      <c r="G2" s="3"/>
      <c r="H2" s="3"/>
      <c r="I2" s="3"/>
    </row>
    <row r="3" customFormat="false" ht="23.85" hidden="false" customHeight="false" outlineLevel="0" collapsed="false">
      <c r="A3" s="7" t="s">
        <v>488</v>
      </c>
      <c r="B3" s="7" t="s">
        <v>489</v>
      </c>
      <c r="C3" s="7" t="s">
        <v>491</v>
      </c>
      <c r="D3" s="7" t="s">
        <v>493</v>
      </c>
      <c r="E3" s="7" t="s">
        <v>1109</v>
      </c>
      <c r="F3" s="7" t="s">
        <v>1110</v>
      </c>
      <c r="G3" s="7" t="s">
        <v>1111</v>
      </c>
      <c r="H3" s="7" t="s">
        <v>1112</v>
      </c>
      <c r="I3" s="7" t="s">
        <v>1113</v>
      </c>
    </row>
    <row r="4" customFormat="false" ht="33.75" hidden="false" customHeight="true" outlineLevel="0" collapsed="false">
      <c r="A4" s="5" t="s">
        <v>506</v>
      </c>
      <c r="B4" s="5" t="s">
        <v>358</v>
      </c>
      <c r="C4" s="5" t="s">
        <v>508</v>
      </c>
      <c r="D4" s="5" t="s">
        <v>510</v>
      </c>
      <c r="E4" s="5" t="n">
        <v>1</v>
      </c>
      <c r="F4" s="5" t="s">
        <v>1114</v>
      </c>
      <c r="G4" s="5" t="s">
        <v>1115</v>
      </c>
      <c r="H4" s="5"/>
      <c r="I4" s="5"/>
    </row>
    <row r="5" customFormat="false" ht="33.75" hidden="false" customHeight="true" outlineLevel="0" collapsed="false">
      <c r="A5" s="5" t="s">
        <v>506</v>
      </c>
      <c r="B5" s="5" t="s">
        <v>358</v>
      </c>
      <c r="C5" s="5" t="s">
        <v>508</v>
      </c>
      <c r="D5" s="5" t="s">
        <v>510</v>
      </c>
      <c r="E5" s="5" t="n">
        <v>2</v>
      </c>
      <c r="F5" s="5" t="s">
        <v>1116</v>
      </c>
      <c r="G5" s="5" t="s">
        <v>1117</v>
      </c>
      <c r="H5" s="5"/>
      <c r="I5" s="5"/>
    </row>
    <row r="6" customFormat="false" ht="33.75" hidden="false" customHeight="true" outlineLevel="0" collapsed="false">
      <c r="A6" s="5" t="s">
        <v>506</v>
      </c>
      <c r="B6" s="5" t="s">
        <v>358</v>
      </c>
      <c r="C6" s="5" t="s">
        <v>508</v>
      </c>
      <c r="D6" s="5" t="s">
        <v>510</v>
      </c>
      <c r="E6" s="5" t="n">
        <v>3</v>
      </c>
      <c r="F6" s="5" t="s">
        <v>1118</v>
      </c>
      <c r="G6" s="5" t="s">
        <v>1119</v>
      </c>
      <c r="H6" s="5"/>
      <c r="I6" s="5"/>
    </row>
    <row r="7" customFormat="false" ht="33.75" hidden="false" customHeight="true" outlineLevel="0" collapsed="false">
      <c r="A7" s="5" t="s">
        <v>506</v>
      </c>
      <c r="B7" s="5" t="s">
        <v>358</v>
      </c>
      <c r="C7" s="5" t="s">
        <v>508</v>
      </c>
      <c r="D7" s="5" t="s">
        <v>510</v>
      </c>
      <c r="E7" s="5" t="n">
        <v>4</v>
      </c>
      <c r="F7" s="5" t="s">
        <v>1120</v>
      </c>
      <c r="G7" s="5" t="s">
        <v>1121</v>
      </c>
      <c r="H7" s="5"/>
      <c r="I7" s="5"/>
    </row>
    <row r="8" customFormat="false" ht="33.75" hidden="false" customHeight="true" outlineLevel="0" collapsed="false">
      <c r="A8" s="5" t="s">
        <v>506</v>
      </c>
      <c r="B8" s="5" t="s">
        <v>358</v>
      </c>
      <c r="C8" s="5" t="s">
        <v>508</v>
      </c>
      <c r="D8" s="5" t="s">
        <v>510</v>
      </c>
      <c r="E8" s="5" t="n">
        <v>5</v>
      </c>
      <c r="F8" s="5" t="s">
        <v>1122</v>
      </c>
      <c r="G8" s="5" t="s">
        <v>1123</v>
      </c>
      <c r="H8" s="5"/>
      <c r="I8" s="5"/>
    </row>
    <row r="9" customFormat="false" ht="33.75" hidden="false" customHeight="true" outlineLevel="0" collapsed="false">
      <c r="A9" s="5" t="s">
        <v>506</v>
      </c>
      <c r="B9" s="5" t="s">
        <v>358</v>
      </c>
      <c r="C9" s="5" t="s">
        <v>508</v>
      </c>
      <c r="D9" s="5" t="s">
        <v>510</v>
      </c>
      <c r="E9" s="5" t="n">
        <v>6</v>
      </c>
      <c r="F9" s="5" t="s">
        <v>1124</v>
      </c>
      <c r="G9" s="5" t="s">
        <v>1125</v>
      </c>
      <c r="H9" s="5"/>
      <c r="I9" s="5"/>
    </row>
    <row r="10" customFormat="false" ht="33.75" hidden="false" customHeight="true" outlineLevel="0" collapsed="false">
      <c r="A10" s="5" t="s">
        <v>519</v>
      </c>
      <c r="B10" s="5" t="s">
        <v>358</v>
      </c>
      <c r="C10" s="5" t="s">
        <v>520</v>
      </c>
      <c r="D10" s="5" t="s">
        <v>522</v>
      </c>
      <c r="E10" s="5" t="n">
        <v>1</v>
      </c>
      <c r="F10" s="5" t="s">
        <v>1126</v>
      </c>
      <c r="G10" s="5" t="s">
        <v>1127</v>
      </c>
      <c r="H10" s="5"/>
      <c r="I10" s="5"/>
    </row>
    <row r="11" customFormat="false" ht="33.75" hidden="false" customHeight="true" outlineLevel="0" collapsed="false">
      <c r="A11" s="5" t="s">
        <v>519</v>
      </c>
      <c r="B11" s="5" t="s">
        <v>358</v>
      </c>
      <c r="C11" s="5" t="s">
        <v>520</v>
      </c>
      <c r="D11" s="5" t="s">
        <v>522</v>
      </c>
      <c r="E11" s="5" t="n">
        <v>2</v>
      </c>
      <c r="F11" s="5" t="s">
        <v>1128</v>
      </c>
      <c r="G11" s="5" t="s">
        <v>1129</v>
      </c>
      <c r="H11" s="5"/>
      <c r="I11" s="5"/>
    </row>
    <row r="12" customFormat="false" ht="33.75" hidden="false" customHeight="true" outlineLevel="0" collapsed="false">
      <c r="A12" s="5" t="s">
        <v>519</v>
      </c>
      <c r="B12" s="5" t="s">
        <v>358</v>
      </c>
      <c r="C12" s="5" t="s">
        <v>520</v>
      </c>
      <c r="D12" s="5" t="s">
        <v>522</v>
      </c>
      <c r="E12" s="5" t="n">
        <v>3</v>
      </c>
      <c r="F12" s="5" t="s">
        <v>1130</v>
      </c>
      <c r="G12" s="5" t="s">
        <v>1131</v>
      </c>
      <c r="H12" s="5"/>
      <c r="I12" s="5"/>
    </row>
    <row r="13" customFormat="false" ht="33.75" hidden="false" customHeight="true" outlineLevel="0" collapsed="false">
      <c r="A13" s="5" t="s">
        <v>528</v>
      </c>
      <c r="B13" s="5" t="s">
        <v>358</v>
      </c>
      <c r="C13" s="5" t="s">
        <v>529</v>
      </c>
      <c r="D13" s="5" t="s">
        <v>522</v>
      </c>
      <c r="E13" s="5" t="n">
        <v>1</v>
      </c>
      <c r="F13" s="5" t="s">
        <v>1132</v>
      </c>
      <c r="G13" s="5" t="s">
        <v>1133</v>
      </c>
      <c r="H13" s="5"/>
      <c r="I13" s="5"/>
    </row>
    <row r="14" customFormat="false" ht="33.75" hidden="false" customHeight="true" outlineLevel="0" collapsed="false">
      <c r="A14" s="5" t="s">
        <v>528</v>
      </c>
      <c r="B14" s="5" t="s">
        <v>358</v>
      </c>
      <c r="C14" s="5" t="s">
        <v>529</v>
      </c>
      <c r="D14" s="5" t="s">
        <v>522</v>
      </c>
      <c r="E14" s="5" t="n">
        <v>2</v>
      </c>
      <c r="F14" s="5" t="s">
        <v>1134</v>
      </c>
      <c r="G14" s="5" t="s">
        <v>1133</v>
      </c>
      <c r="H14" s="5"/>
      <c r="I14" s="5"/>
    </row>
    <row r="15" customFormat="false" ht="33.75" hidden="false" customHeight="true" outlineLevel="0" collapsed="false">
      <c r="A15" s="5" t="s">
        <v>528</v>
      </c>
      <c r="B15" s="5" t="s">
        <v>358</v>
      </c>
      <c r="C15" s="5" t="s">
        <v>529</v>
      </c>
      <c r="D15" s="5" t="s">
        <v>522</v>
      </c>
      <c r="E15" s="5" t="n">
        <v>3</v>
      </c>
      <c r="F15" s="5" t="s">
        <v>1135</v>
      </c>
      <c r="G15" s="5" t="s">
        <v>1136</v>
      </c>
      <c r="H15" s="5"/>
      <c r="I15" s="5"/>
    </row>
    <row r="16" customFormat="false" ht="33.75" hidden="false" customHeight="true" outlineLevel="0" collapsed="false">
      <c r="A16" s="5" t="s">
        <v>534</v>
      </c>
      <c r="B16" s="5" t="s">
        <v>358</v>
      </c>
      <c r="C16" s="5" t="s">
        <v>535</v>
      </c>
      <c r="D16" s="5" t="s">
        <v>522</v>
      </c>
      <c r="E16" s="5" t="n">
        <v>1</v>
      </c>
      <c r="F16" s="5" t="s">
        <v>1137</v>
      </c>
      <c r="G16" s="5" t="s">
        <v>1138</v>
      </c>
      <c r="H16" s="5"/>
      <c r="I16" s="5"/>
    </row>
    <row r="17" customFormat="false" ht="33.75" hidden="false" customHeight="true" outlineLevel="0" collapsed="false">
      <c r="A17" s="5" t="s">
        <v>534</v>
      </c>
      <c r="B17" s="5" t="s">
        <v>358</v>
      </c>
      <c r="C17" s="5" t="s">
        <v>535</v>
      </c>
      <c r="D17" s="5" t="s">
        <v>522</v>
      </c>
      <c r="E17" s="5" t="n">
        <v>2</v>
      </c>
      <c r="F17" s="5" t="s">
        <v>1139</v>
      </c>
      <c r="G17" s="5" t="s">
        <v>1140</v>
      </c>
      <c r="H17" s="5"/>
      <c r="I17" s="5"/>
    </row>
    <row r="18" customFormat="false" ht="33.75" hidden="false" customHeight="true" outlineLevel="0" collapsed="false">
      <c r="A18" s="5" t="s">
        <v>534</v>
      </c>
      <c r="B18" s="5" t="s">
        <v>358</v>
      </c>
      <c r="C18" s="5" t="s">
        <v>535</v>
      </c>
      <c r="D18" s="5" t="s">
        <v>522</v>
      </c>
      <c r="E18" s="5" t="n">
        <v>3</v>
      </c>
      <c r="F18" s="5" t="s">
        <v>1141</v>
      </c>
      <c r="G18" s="5" t="s">
        <v>1142</v>
      </c>
      <c r="H18" s="5"/>
      <c r="I18" s="5"/>
    </row>
    <row r="19" customFormat="false" ht="33.75" hidden="false" customHeight="true" outlineLevel="0" collapsed="false">
      <c r="A19" s="5" t="s">
        <v>534</v>
      </c>
      <c r="B19" s="5" t="s">
        <v>358</v>
      </c>
      <c r="C19" s="5" t="s">
        <v>535</v>
      </c>
      <c r="D19" s="5" t="s">
        <v>522</v>
      </c>
      <c r="E19" s="5" t="n">
        <v>4</v>
      </c>
      <c r="F19" s="5" t="s">
        <v>1143</v>
      </c>
      <c r="G19" s="5" t="s">
        <v>1144</v>
      </c>
      <c r="H19" s="5"/>
      <c r="I19" s="5"/>
    </row>
    <row r="20" customFormat="false" ht="33.75" hidden="false" customHeight="true" outlineLevel="0" collapsed="false">
      <c r="A20" s="5" t="s">
        <v>539</v>
      </c>
      <c r="B20" s="5" t="s">
        <v>358</v>
      </c>
      <c r="C20" s="5" t="s">
        <v>540</v>
      </c>
      <c r="D20" s="5" t="s">
        <v>510</v>
      </c>
      <c r="E20" s="5" t="n">
        <v>1</v>
      </c>
      <c r="F20" s="5" t="s">
        <v>1145</v>
      </c>
      <c r="G20" s="5" t="s">
        <v>1146</v>
      </c>
      <c r="H20" s="5"/>
      <c r="I20" s="5"/>
    </row>
    <row r="21" customFormat="false" ht="33.75" hidden="false" customHeight="true" outlineLevel="0" collapsed="false">
      <c r="A21" s="5" t="s">
        <v>539</v>
      </c>
      <c r="B21" s="5" t="s">
        <v>358</v>
      </c>
      <c r="C21" s="5" t="s">
        <v>540</v>
      </c>
      <c r="D21" s="5" t="s">
        <v>510</v>
      </c>
      <c r="E21" s="5" t="n">
        <v>2</v>
      </c>
      <c r="F21" s="5" t="s">
        <v>1147</v>
      </c>
      <c r="G21" s="5" t="s">
        <v>1148</v>
      </c>
      <c r="H21" s="5"/>
      <c r="I21" s="5"/>
    </row>
    <row r="22" customFormat="false" ht="33.75" hidden="false" customHeight="true" outlineLevel="0" collapsed="false">
      <c r="A22" s="5" t="s">
        <v>539</v>
      </c>
      <c r="B22" s="5" t="s">
        <v>358</v>
      </c>
      <c r="C22" s="5" t="s">
        <v>540</v>
      </c>
      <c r="D22" s="5" t="s">
        <v>510</v>
      </c>
      <c r="E22" s="5" t="n">
        <v>3</v>
      </c>
      <c r="F22" s="5" t="s">
        <v>1149</v>
      </c>
      <c r="G22" s="5" t="s">
        <v>1150</v>
      </c>
      <c r="H22" s="5"/>
      <c r="I22" s="5"/>
    </row>
    <row r="23" customFormat="false" ht="33.75" hidden="false" customHeight="true" outlineLevel="0" collapsed="false">
      <c r="A23" s="5" t="s">
        <v>474</v>
      </c>
      <c r="B23" s="5" t="s">
        <v>358</v>
      </c>
      <c r="C23" s="5" t="s">
        <v>546</v>
      </c>
      <c r="D23" s="5" t="s">
        <v>510</v>
      </c>
      <c r="E23" s="5" t="n">
        <v>1</v>
      </c>
      <c r="F23" s="5" t="s">
        <v>1151</v>
      </c>
      <c r="G23" s="5" t="s">
        <v>1152</v>
      </c>
      <c r="H23" s="5"/>
      <c r="I23" s="5"/>
    </row>
    <row r="24" customFormat="false" ht="33.75" hidden="false" customHeight="true" outlineLevel="0" collapsed="false">
      <c r="A24" s="5" t="s">
        <v>474</v>
      </c>
      <c r="B24" s="5" t="s">
        <v>358</v>
      </c>
      <c r="C24" s="5" t="s">
        <v>546</v>
      </c>
      <c r="D24" s="5" t="s">
        <v>510</v>
      </c>
      <c r="E24" s="5" t="n">
        <v>2</v>
      </c>
      <c r="F24" s="5" t="s">
        <v>1153</v>
      </c>
      <c r="G24" s="5" t="s">
        <v>1154</v>
      </c>
      <c r="H24" s="5"/>
      <c r="I24" s="5"/>
    </row>
    <row r="25" customFormat="false" ht="33.75" hidden="false" customHeight="true" outlineLevel="0" collapsed="false">
      <c r="A25" s="5" t="s">
        <v>474</v>
      </c>
      <c r="B25" s="5" t="s">
        <v>358</v>
      </c>
      <c r="C25" s="5" t="s">
        <v>546</v>
      </c>
      <c r="D25" s="5" t="s">
        <v>510</v>
      </c>
      <c r="E25" s="5" t="n">
        <v>3</v>
      </c>
      <c r="F25" s="5" t="s">
        <v>1155</v>
      </c>
      <c r="G25" s="5" t="s">
        <v>1156</v>
      </c>
      <c r="H25" s="5"/>
      <c r="I25" s="5"/>
    </row>
    <row r="26" customFormat="false" ht="33.75" hidden="false" customHeight="true" outlineLevel="0" collapsed="false">
      <c r="A26" s="5" t="s">
        <v>474</v>
      </c>
      <c r="B26" s="5" t="s">
        <v>358</v>
      </c>
      <c r="C26" s="5" t="s">
        <v>546</v>
      </c>
      <c r="D26" s="5" t="s">
        <v>510</v>
      </c>
      <c r="E26" s="5" t="n">
        <v>4</v>
      </c>
      <c r="F26" s="5" t="s">
        <v>1157</v>
      </c>
      <c r="G26" s="5" t="s">
        <v>1158</v>
      </c>
      <c r="H26" s="5"/>
      <c r="I26" s="5"/>
    </row>
    <row r="27" customFormat="false" ht="33.75" hidden="false" customHeight="true" outlineLevel="0" collapsed="false">
      <c r="A27" s="5" t="s">
        <v>474</v>
      </c>
      <c r="B27" s="5" t="s">
        <v>358</v>
      </c>
      <c r="C27" s="5" t="s">
        <v>546</v>
      </c>
      <c r="D27" s="5" t="s">
        <v>510</v>
      </c>
      <c r="E27" s="5" t="n">
        <v>5</v>
      </c>
      <c r="F27" s="5" t="s">
        <v>1159</v>
      </c>
      <c r="G27" s="5" t="s">
        <v>1160</v>
      </c>
      <c r="H27" s="5"/>
      <c r="I27" s="5"/>
    </row>
    <row r="28" customFormat="false" ht="33.75" hidden="false" customHeight="true" outlineLevel="0" collapsed="false">
      <c r="A28" s="5" t="s">
        <v>555</v>
      </c>
      <c r="B28" s="5" t="s">
        <v>358</v>
      </c>
      <c r="C28" s="5" t="s">
        <v>557</v>
      </c>
      <c r="D28" s="5" t="s">
        <v>510</v>
      </c>
      <c r="E28" s="5" t="n">
        <v>1</v>
      </c>
      <c r="F28" s="5" t="s">
        <v>1161</v>
      </c>
      <c r="G28" s="5" t="s">
        <v>1162</v>
      </c>
      <c r="H28" s="5"/>
      <c r="I28" s="5"/>
    </row>
    <row r="29" customFormat="false" ht="33.75" hidden="false" customHeight="true" outlineLevel="0" collapsed="false">
      <c r="A29" s="5" t="s">
        <v>555</v>
      </c>
      <c r="B29" s="5" t="s">
        <v>358</v>
      </c>
      <c r="C29" s="5" t="s">
        <v>557</v>
      </c>
      <c r="D29" s="5" t="s">
        <v>510</v>
      </c>
      <c r="E29" s="5" t="n">
        <v>2</v>
      </c>
      <c r="F29" s="5" t="s">
        <v>1163</v>
      </c>
      <c r="G29" s="5" t="s">
        <v>1164</v>
      </c>
      <c r="H29" s="5"/>
      <c r="I29" s="5"/>
    </row>
    <row r="30" customFormat="false" ht="33.75" hidden="false" customHeight="true" outlineLevel="0" collapsed="false">
      <c r="A30" s="5" t="s">
        <v>555</v>
      </c>
      <c r="B30" s="5" t="s">
        <v>358</v>
      </c>
      <c r="C30" s="5" t="s">
        <v>557</v>
      </c>
      <c r="D30" s="5" t="s">
        <v>510</v>
      </c>
      <c r="E30" s="5" t="n">
        <v>3</v>
      </c>
      <c r="F30" s="5" t="s">
        <v>1165</v>
      </c>
      <c r="G30" s="5" t="s">
        <v>1166</v>
      </c>
      <c r="H30" s="5"/>
      <c r="I30" s="5"/>
    </row>
    <row r="31" customFormat="false" ht="33.75" hidden="false" customHeight="true" outlineLevel="0" collapsed="false">
      <c r="A31" s="5" t="s">
        <v>555</v>
      </c>
      <c r="B31" s="5" t="s">
        <v>358</v>
      </c>
      <c r="C31" s="5" t="s">
        <v>557</v>
      </c>
      <c r="D31" s="5" t="s">
        <v>510</v>
      </c>
      <c r="E31" s="5" t="n">
        <v>4</v>
      </c>
      <c r="F31" s="5" t="s">
        <v>1167</v>
      </c>
      <c r="G31" s="5" t="s">
        <v>1168</v>
      </c>
      <c r="H31" s="5"/>
      <c r="I31" s="5"/>
    </row>
    <row r="32" customFormat="false" ht="33.75" hidden="false" customHeight="true" outlineLevel="0" collapsed="false">
      <c r="A32" s="5" t="s">
        <v>555</v>
      </c>
      <c r="B32" s="5" t="s">
        <v>358</v>
      </c>
      <c r="C32" s="5" t="s">
        <v>557</v>
      </c>
      <c r="D32" s="5" t="s">
        <v>510</v>
      </c>
      <c r="E32" s="5" t="n">
        <v>5</v>
      </c>
      <c r="F32" s="5" t="s">
        <v>1169</v>
      </c>
      <c r="G32" s="5" t="s">
        <v>1170</v>
      </c>
      <c r="H32" s="5"/>
      <c r="I32" s="5"/>
    </row>
    <row r="33" customFormat="false" ht="33.75" hidden="false" customHeight="true" outlineLevel="0" collapsed="false">
      <c r="A33" s="5" t="s">
        <v>565</v>
      </c>
      <c r="B33" s="5" t="s">
        <v>358</v>
      </c>
      <c r="C33" s="5" t="s">
        <v>566</v>
      </c>
      <c r="D33" s="5" t="s">
        <v>510</v>
      </c>
      <c r="E33" s="5" t="n">
        <v>1</v>
      </c>
      <c r="F33" s="5" t="s">
        <v>1171</v>
      </c>
      <c r="G33" s="5" t="s">
        <v>1172</v>
      </c>
      <c r="H33" s="5"/>
      <c r="I33" s="5"/>
    </row>
    <row r="34" customFormat="false" ht="33.75" hidden="false" customHeight="true" outlineLevel="0" collapsed="false">
      <c r="A34" s="5" t="s">
        <v>565</v>
      </c>
      <c r="B34" s="5" t="s">
        <v>358</v>
      </c>
      <c r="C34" s="5" t="s">
        <v>566</v>
      </c>
      <c r="D34" s="5" t="s">
        <v>510</v>
      </c>
      <c r="E34" s="5" t="n">
        <v>2</v>
      </c>
      <c r="F34" s="5" t="s">
        <v>1173</v>
      </c>
      <c r="G34" s="5" t="s">
        <v>1174</v>
      </c>
      <c r="H34" s="5"/>
      <c r="I34" s="5"/>
    </row>
    <row r="35" customFormat="false" ht="33.75" hidden="false" customHeight="true" outlineLevel="0" collapsed="false">
      <c r="A35" s="5" t="s">
        <v>565</v>
      </c>
      <c r="B35" s="5" t="s">
        <v>358</v>
      </c>
      <c r="C35" s="5" t="s">
        <v>566</v>
      </c>
      <c r="D35" s="5" t="s">
        <v>510</v>
      </c>
      <c r="E35" s="5" t="n">
        <v>3</v>
      </c>
      <c r="F35" s="5" t="s">
        <v>1175</v>
      </c>
      <c r="G35" s="5" t="s">
        <v>1176</v>
      </c>
      <c r="H35" s="5"/>
      <c r="I35" s="5"/>
    </row>
    <row r="36" customFormat="false" ht="33.75" hidden="false" customHeight="true" outlineLevel="0" collapsed="false">
      <c r="A36" s="5" t="s">
        <v>573</v>
      </c>
      <c r="B36" s="5" t="s">
        <v>358</v>
      </c>
      <c r="C36" s="5" t="s">
        <v>574</v>
      </c>
      <c r="D36" s="5" t="s">
        <v>522</v>
      </c>
      <c r="E36" s="5" t="n">
        <v>1</v>
      </c>
      <c r="F36" s="5" t="s">
        <v>1177</v>
      </c>
      <c r="G36" s="5" t="s">
        <v>1178</v>
      </c>
      <c r="H36" s="5"/>
      <c r="I36" s="5"/>
    </row>
    <row r="37" customFormat="false" ht="33.75" hidden="false" customHeight="true" outlineLevel="0" collapsed="false">
      <c r="A37" s="5" t="s">
        <v>573</v>
      </c>
      <c r="B37" s="5" t="s">
        <v>358</v>
      </c>
      <c r="C37" s="5" t="s">
        <v>574</v>
      </c>
      <c r="D37" s="5" t="s">
        <v>522</v>
      </c>
      <c r="E37" s="5" t="n">
        <v>2</v>
      </c>
      <c r="F37" s="5" t="s">
        <v>1179</v>
      </c>
      <c r="G37" s="5" t="s">
        <v>1180</v>
      </c>
      <c r="H37" s="5"/>
      <c r="I37" s="5"/>
    </row>
    <row r="38" customFormat="false" ht="33.75" hidden="false" customHeight="true" outlineLevel="0" collapsed="false">
      <c r="A38" s="5" t="s">
        <v>573</v>
      </c>
      <c r="B38" s="5" t="s">
        <v>358</v>
      </c>
      <c r="C38" s="5" t="s">
        <v>574</v>
      </c>
      <c r="D38" s="5" t="s">
        <v>522</v>
      </c>
      <c r="E38" s="5" t="n">
        <v>3</v>
      </c>
      <c r="F38" s="5" t="s">
        <v>1181</v>
      </c>
      <c r="G38" s="5" t="s">
        <v>1182</v>
      </c>
      <c r="H38" s="5"/>
      <c r="I38" s="5"/>
    </row>
    <row r="39" customFormat="false" ht="33.75" hidden="false" customHeight="true" outlineLevel="0" collapsed="false">
      <c r="A39" s="5" t="s">
        <v>573</v>
      </c>
      <c r="B39" s="5" t="s">
        <v>358</v>
      </c>
      <c r="C39" s="5" t="s">
        <v>574</v>
      </c>
      <c r="D39" s="5" t="s">
        <v>522</v>
      </c>
      <c r="E39" s="5" t="n">
        <v>4</v>
      </c>
      <c r="F39" s="5" t="s">
        <v>1183</v>
      </c>
      <c r="G39" s="5" t="s">
        <v>1184</v>
      </c>
      <c r="H39" s="5"/>
      <c r="I39" s="5"/>
    </row>
    <row r="40" customFormat="false" ht="33.75" hidden="false" customHeight="true" outlineLevel="0" collapsed="false">
      <c r="A40" s="5" t="s">
        <v>579</v>
      </c>
      <c r="B40" s="5" t="s">
        <v>358</v>
      </c>
      <c r="C40" s="5" t="s">
        <v>580</v>
      </c>
      <c r="D40" s="5" t="s">
        <v>522</v>
      </c>
      <c r="E40" s="5" t="n">
        <v>1</v>
      </c>
      <c r="F40" s="5" t="s">
        <v>1185</v>
      </c>
      <c r="G40" s="5" t="s">
        <v>1186</v>
      </c>
      <c r="H40" s="5"/>
      <c r="I40" s="5"/>
    </row>
    <row r="41" customFormat="false" ht="33.75" hidden="false" customHeight="true" outlineLevel="0" collapsed="false">
      <c r="A41" s="5" t="s">
        <v>579</v>
      </c>
      <c r="B41" s="5" t="s">
        <v>358</v>
      </c>
      <c r="C41" s="5" t="s">
        <v>580</v>
      </c>
      <c r="D41" s="5" t="s">
        <v>522</v>
      </c>
      <c r="E41" s="5" t="n">
        <v>2</v>
      </c>
      <c r="F41" s="5" t="s">
        <v>1187</v>
      </c>
      <c r="G41" s="5" t="s">
        <v>1188</v>
      </c>
      <c r="H41" s="5"/>
      <c r="I41" s="5"/>
    </row>
    <row r="42" customFormat="false" ht="33.75" hidden="false" customHeight="true" outlineLevel="0" collapsed="false">
      <c r="A42" s="5" t="s">
        <v>579</v>
      </c>
      <c r="B42" s="5" t="s">
        <v>358</v>
      </c>
      <c r="C42" s="5" t="s">
        <v>580</v>
      </c>
      <c r="D42" s="5" t="s">
        <v>522</v>
      </c>
      <c r="E42" s="5" t="n">
        <v>3</v>
      </c>
      <c r="F42" s="5" t="s">
        <v>1189</v>
      </c>
      <c r="G42" s="5" t="s">
        <v>1190</v>
      </c>
      <c r="H42" s="5"/>
      <c r="I42" s="5"/>
    </row>
    <row r="43" customFormat="false" ht="33.75" hidden="false" customHeight="true" outlineLevel="0" collapsed="false">
      <c r="A43" s="5" t="s">
        <v>585</v>
      </c>
      <c r="B43" s="5" t="s">
        <v>358</v>
      </c>
      <c r="C43" s="5" t="s">
        <v>586</v>
      </c>
      <c r="D43" s="5" t="s">
        <v>522</v>
      </c>
      <c r="E43" s="5" t="n">
        <v>1</v>
      </c>
      <c r="F43" s="5" t="s">
        <v>1191</v>
      </c>
      <c r="G43" s="5" t="s">
        <v>1192</v>
      </c>
      <c r="H43" s="5"/>
      <c r="I43" s="5"/>
    </row>
    <row r="44" customFormat="false" ht="33.75" hidden="false" customHeight="true" outlineLevel="0" collapsed="false">
      <c r="A44" s="5" t="s">
        <v>585</v>
      </c>
      <c r="B44" s="5" t="s">
        <v>358</v>
      </c>
      <c r="C44" s="5" t="s">
        <v>586</v>
      </c>
      <c r="D44" s="5" t="s">
        <v>522</v>
      </c>
      <c r="E44" s="5" t="n">
        <v>2</v>
      </c>
      <c r="F44" s="5" t="s">
        <v>1193</v>
      </c>
      <c r="G44" s="5" t="s">
        <v>1194</v>
      </c>
      <c r="H44" s="5"/>
      <c r="I44" s="5"/>
    </row>
    <row r="45" customFormat="false" ht="33.75" hidden="false" customHeight="true" outlineLevel="0" collapsed="false">
      <c r="A45" s="5" t="s">
        <v>585</v>
      </c>
      <c r="B45" s="5" t="s">
        <v>358</v>
      </c>
      <c r="C45" s="5" t="s">
        <v>586</v>
      </c>
      <c r="D45" s="5" t="s">
        <v>522</v>
      </c>
      <c r="E45" s="5" t="n">
        <v>3</v>
      </c>
      <c r="F45" s="5" t="s">
        <v>1195</v>
      </c>
      <c r="G45" s="5" t="s">
        <v>1196</v>
      </c>
      <c r="H45" s="5"/>
      <c r="I45" s="5"/>
    </row>
    <row r="46" customFormat="false" ht="33.75" hidden="false" customHeight="true" outlineLevel="0" collapsed="false">
      <c r="A46" s="5" t="s">
        <v>592</v>
      </c>
      <c r="B46" s="5" t="s">
        <v>358</v>
      </c>
      <c r="C46" s="5" t="s">
        <v>593</v>
      </c>
      <c r="D46" s="5" t="s">
        <v>510</v>
      </c>
      <c r="E46" s="5" t="n">
        <v>1</v>
      </c>
      <c r="F46" s="5" t="s">
        <v>1197</v>
      </c>
      <c r="G46" s="5" t="s">
        <v>1198</v>
      </c>
      <c r="H46" s="5"/>
      <c r="I46" s="5"/>
    </row>
    <row r="47" customFormat="false" ht="33.75" hidden="false" customHeight="true" outlineLevel="0" collapsed="false">
      <c r="A47" s="5" t="s">
        <v>592</v>
      </c>
      <c r="B47" s="5" t="s">
        <v>358</v>
      </c>
      <c r="C47" s="5" t="s">
        <v>593</v>
      </c>
      <c r="D47" s="5" t="s">
        <v>510</v>
      </c>
      <c r="E47" s="5" t="n">
        <v>2</v>
      </c>
      <c r="F47" s="5" t="s">
        <v>1199</v>
      </c>
      <c r="G47" s="5" t="s">
        <v>1200</v>
      </c>
      <c r="H47" s="5"/>
      <c r="I47" s="5"/>
    </row>
    <row r="48" customFormat="false" ht="33.75" hidden="false" customHeight="true" outlineLevel="0" collapsed="false">
      <c r="A48" s="5" t="s">
        <v>592</v>
      </c>
      <c r="B48" s="5" t="s">
        <v>358</v>
      </c>
      <c r="C48" s="5" t="s">
        <v>593</v>
      </c>
      <c r="D48" s="5" t="s">
        <v>510</v>
      </c>
      <c r="E48" s="5" t="n">
        <v>3</v>
      </c>
      <c r="F48" s="5" t="s">
        <v>1201</v>
      </c>
      <c r="G48" s="5" t="s">
        <v>1202</v>
      </c>
      <c r="H48" s="5"/>
      <c r="I48" s="5"/>
    </row>
    <row r="49" customFormat="false" ht="33.75" hidden="false" customHeight="true" outlineLevel="0" collapsed="false">
      <c r="A49" s="5" t="s">
        <v>592</v>
      </c>
      <c r="B49" s="5" t="s">
        <v>358</v>
      </c>
      <c r="C49" s="5" t="s">
        <v>593</v>
      </c>
      <c r="D49" s="5" t="s">
        <v>510</v>
      </c>
      <c r="E49" s="5" t="n">
        <v>4</v>
      </c>
      <c r="F49" s="5" t="s">
        <v>1203</v>
      </c>
      <c r="G49" s="5" t="s">
        <v>1204</v>
      </c>
      <c r="H49" s="5"/>
      <c r="I49" s="5"/>
    </row>
    <row r="50" customFormat="false" ht="33.75" hidden="false" customHeight="true" outlineLevel="0" collapsed="false">
      <c r="A50" s="5" t="s">
        <v>592</v>
      </c>
      <c r="B50" s="5" t="s">
        <v>358</v>
      </c>
      <c r="C50" s="5" t="s">
        <v>593</v>
      </c>
      <c r="D50" s="5" t="s">
        <v>510</v>
      </c>
      <c r="E50" s="5" t="n">
        <v>5</v>
      </c>
      <c r="F50" s="5" t="s">
        <v>1205</v>
      </c>
      <c r="G50" s="5" t="s">
        <v>1206</v>
      </c>
      <c r="H50" s="5"/>
      <c r="I50" s="5"/>
    </row>
    <row r="51" customFormat="false" ht="33.75" hidden="false" customHeight="true" outlineLevel="0" collapsed="false">
      <c r="A51" s="5" t="s">
        <v>599</v>
      </c>
      <c r="B51" s="5" t="s">
        <v>358</v>
      </c>
      <c r="C51" s="5" t="s">
        <v>601</v>
      </c>
      <c r="D51" s="5" t="s">
        <v>510</v>
      </c>
      <c r="E51" s="5" t="n">
        <v>1</v>
      </c>
      <c r="F51" s="5" t="s">
        <v>1114</v>
      </c>
      <c r="G51" s="5" t="s">
        <v>1115</v>
      </c>
      <c r="H51" s="5"/>
      <c r="I51" s="5"/>
    </row>
    <row r="52" customFormat="false" ht="33.75" hidden="false" customHeight="true" outlineLevel="0" collapsed="false">
      <c r="A52" s="5" t="s">
        <v>599</v>
      </c>
      <c r="B52" s="5" t="s">
        <v>358</v>
      </c>
      <c r="C52" s="5" t="s">
        <v>601</v>
      </c>
      <c r="D52" s="5" t="s">
        <v>510</v>
      </c>
      <c r="E52" s="5" t="n">
        <v>2</v>
      </c>
      <c r="F52" s="5" t="s">
        <v>1207</v>
      </c>
      <c r="G52" s="5" t="s">
        <v>1150</v>
      </c>
      <c r="H52" s="5"/>
      <c r="I52" s="5"/>
    </row>
    <row r="53" customFormat="false" ht="33.75" hidden="false" customHeight="true" outlineLevel="0" collapsed="false">
      <c r="A53" s="5" t="s">
        <v>599</v>
      </c>
      <c r="B53" s="5" t="s">
        <v>358</v>
      </c>
      <c r="C53" s="5" t="s">
        <v>601</v>
      </c>
      <c r="D53" s="5" t="s">
        <v>510</v>
      </c>
      <c r="E53" s="5" t="n">
        <v>3</v>
      </c>
      <c r="F53" s="5" t="s">
        <v>1208</v>
      </c>
      <c r="G53" s="5" t="s">
        <v>1209</v>
      </c>
      <c r="H53" s="5"/>
      <c r="I53" s="5"/>
    </row>
    <row r="54" customFormat="false" ht="33.75" hidden="false" customHeight="true" outlineLevel="0" collapsed="false">
      <c r="A54" s="5" t="s">
        <v>599</v>
      </c>
      <c r="B54" s="5" t="s">
        <v>358</v>
      </c>
      <c r="C54" s="5" t="s">
        <v>601</v>
      </c>
      <c r="D54" s="5" t="s">
        <v>510</v>
      </c>
      <c r="E54" s="5" t="n">
        <v>4</v>
      </c>
      <c r="F54" s="5" t="s">
        <v>1210</v>
      </c>
      <c r="G54" s="5" t="s">
        <v>1211</v>
      </c>
      <c r="H54" s="5"/>
      <c r="I54" s="5"/>
    </row>
    <row r="55" customFormat="false" ht="33.75" hidden="false" customHeight="true" outlineLevel="0" collapsed="false">
      <c r="A55" s="5" t="s">
        <v>599</v>
      </c>
      <c r="B55" s="5" t="s">
        <v>358</v>
      </c>
      <c r="C55" s="5" t="s">
        <v>601</v>
      </c>
      <c r="D55" s="5" t="s">
        <v>510</v>
      </c>
      <c r="E55" s="5" t="n">
        <v>5</v>
      </c>
      <c r="F55" s="5" t="s">
        <v>1212</v>
      </c>
      <c r="G55" s="5" t="s">
        <v>1213</v>
      </c>
      <c r="H55" s="5"/>
      <c r="I55" s="5"/>
    </row>
    <row r="56" customFormat="false" ht="33.75" hidden="false" customHeight="true" outlineLevel="0" collapsed="false">
      <c r="A56" s="5" t="s">
        <v>599</v>
      </c>
      <c r="B56" s="5" t="s">
        <v>358</v>
      </c>
      <c r="C56" s="5" t="s">
        <v>601</v>
      </c>
      <c r="D56" s="5" t="s">
        <v>510</v>
      </c>
      <c r="E56" s="5" t="n">
        <v>6</v>
      </c>
      <c r="F56" s="5" t="s">
        <v>1214</v>
      </c>
      <c r="G56" s="5" t="s">
        <v>1215</v>
      </c>
      <c r="H56" s="5"/>
      <c r="I56" s="5"/>
    </row>
    <row r="57" customFormat="false" ht="33.75" hidden="false" customHeight="true" outlineLevel="0" collapsed="false">
      <c r="A57" s="5" t="s">
        <v>608</v>
      </c>
      <c r="B57" s="5" t="s">
        <v>358</v>
      </c>
      <c r="C57" s="5" t="s">
        <v>609</v>
      </c>
      <c r="D57" s="5" t="s">
        <v>510</v>
      </c>
      <c r="E57" s="5" t="n">
        <v>1</v>
      </c>
      <c r="F57" s="5" t="s">
        <v>1216</v>
      </c>
      <c r="G57" s="5" t="s">
        <v>1217</v>
      </c>
      <c r="H57" s="5"/>
      <c r="I57" s="5"/>
    </row>
    <row r="58" customFormat="false" ht="33.75" hidden="false" customHeight="true" outlineLevel="0" collapsed="false">
      <c r="A58" s="5" t="s">
        <v>608</v>
      </c>
      <c r="B58" s="5" t="s">
        <v>358</v>
      </c>
      <c r="C58" s="5" t="s">
        <v>609</v>
      </c>
      <c r="D58" s="5" t="s">
        <v>510</v>
      </c>
      <c r="E58" s="5" t="n">
        <v>2</v>
      </c>
      <c r="F58" s="5" t="s">
        <v>1218</v>
      </c>
      <c r="G58" s="5" t="s">
        <v>1219</v>
      </c>
      <c r="H58" s="5"/>
      <c r="I58" s="5"/>
    </row>
    <row r="59" customFormat="false" ht="33.75" hidden="false" customHeight="true" outlineLevel="0" collapsed="false">
      <c r="A59" s="5" t="s">
        <v>608</v>
      </c>
      <c r="B59" s="5" t="s">
        <v>358</v>
      </c>
      <c r="C59" s="5" t="s">
        <v>609</v>
      </c>
      <c r="D59" s="5" t="s">
        <v>510</v>
      </c>
      <c r="E59" s="5" t="n">
        <v>3</v>
      </c>
      <c r="F59" s="5" t="s">
        <v>1220</v>
      </c>
      <c r="G59" s="5" t="s">
        <v>1221</v>
      </c>
      <c r="H59" s="5"/>
      <c r="I59" s="5"/>
    </row>
    <row r="60" customFormat="false" ht="33.75" hidden="false" customHeight="true" outlineLevel="0" collapsed="false">
      <c r="A60" s="5" t="s">
        <v>614</v>
      </c>
      <c r="B60" s="5" t="s">
        <v>358</v>
      </c>
      <c r="C60" s="5" t="s">
        <v>615</v>
      </c>
      <c r="D60" s="5" t="s">
        <v>522</v>
      </c>
      <c r="E60" s="5" t="n">
        <v>1</v>
      </c>
      <c r="F60" s="5" t="s">
        <v>1222</v>
      </c>
      <c r="G60" s="5" t="s">
        <v>524</v>
      </c>
      <c r="H60" s="5"/>
      <c r="I60" s="5"/>
    </row>
    <row r="61" customFormat="false" ht="33.75" hidden="false" customHeight="true" outlineLevel="0" collapsed="false">
      <c r="A61" s="5" t="s">
        <v>614</v>
      </c>
      <c r="B61" s="5" t="s">
        <v>358</v>
      </c>
      <c r="C61" s="5" t="s">
        <v>615</v>
      </c>
      <c r="D61" s="5" t="s">
        <v>522</v>
      </c>
      <c r="E61" s="5" t="n">
        <v>2</v>
      </c>
      <c r="F61" s="5" t="s">
        <v>1223</v>
      </c>
      <c r="G61" s="5" t="s">
        <v>1224</v>
      </c>
      <c r="H61" s="5"/>
      <c r="I61" s="5"/>
    </row>
    <row r="62" customFormat="false" ht="33.75" hidden="false" customHeight="true" outlineLevel="0" collapsed="false">
      <c r="A62" s="5" t="s">
        <v>614</v>
      </c>
      <c r="B62" s="5" t="s">
        <v>358</v>
      </c>
      <c r="C62" s="5" t="s">
        <v>615</v>
      </c>
      <c r="D62" s="5" t="s">
        <v>522</v>
      </c>
      <c r="E62" s="5" t="n">
        <v>3</v>
      </c>
      <c r="F62" s="5" t="s">
        <v>1225</v>
      </c>
      <c r="G62" s="5" t="s">
        <v>1226</v>
      </c>
      <c r="H62" s="5"/>
      <c r="I62" s="5"/>
    </row>
    <row r="63" customFormat="false" ht="33.75" hidden="false" customHeight="true" outlineLevel="0" collapsed="false">
      <c r="A63" s="5" t="s">
        <v>620</v>
      </c>
      <c r="B63" s="5" t="s">
        <v>358</v>
      </c>
      <c r="C63" s="5" t="s">
        <v>621</v>
      </c>
      <c r="D63" s="5" t="s">
        <v>522</v>
      </c>
      <c r="E63" s="5" t="n">
        <v>1</v>
      </c>
      <c r="F63" s="5" t="s">
        <v>1227</v>
      </c>
      <c r="G63" s="5" t="s">
        <v>1228</v>
      </c>
      <c r="H63" s="5"/>
      <c r="I63" s="5"/>
    </row>
    <row r="64" customFormat="false" ht="33.75" hidden="false" customHeight="true" outlineLevel="0" collapsed="false">
      <c r="A64" s="5" t="s">
        <v>620</v>
      </c>
      <c r="B64" s="5" t="s">
        <v>358</v>
      </c>
      <c r="C64" s="5" t="s">
        <v>621</v>
      </c>
      <c r="D64" s="5" t="s">
        <v>522</v>
      </c>
      <c r="E64" s="5" t="n">
        <v>2</v>
      </c>
      <c r="F64" s="5" t="s">
        <v>1229</v>
      </c>
      <c r="G64" s="5" t="s">
        <v>1230</v>
      </c>
      <c r="H64" s="5"/>
      <c r="I64" s="5"/>
    </row>
    <row r="65" customFormat="false" ht="33.75" hidden="false" customHeight="true" outlineLevel="0" collapsed="false">
      <c r="A65" s="5" t="s">
        <v>620</v>
      </c>
      <c r="B65" s="5" t="s">
        <v>358</v>
      </c>
      <c r="C65" s="5" t="s">
        <v>621</v>
      </c>
      <c r="D65" s="5" t="s">
        <v>522</v>
      </c>
      <c r="E65" s="5" t="n">
        <v>3</v>
      </c>
      <c r="F65" s="5" t="s">
        <v>1231</v>
      </c>
      <c r="G65" s="5" t="s">
        <v>1232</v>
      </c>
      <c r="H65" s="5"/>
      <c r="I65" s="5"/>
    </row>
    <row r="66" customFormat="false" ht="33.75" hidden="false" customHeight="true" outlineLevel="0" collapsed="false">
      <c r="A66" s="5" t="s">
        <v>626</v>
      </c>
      <c r="B66" s="5" t="s">
        <v>358</v>
      </c>
      <c r="C66" s="5" t="s">
        <v>627</v>
      </c>
      <c r="D66" s="5" t="s">
        <v>522</v>
      </c>
      <c r="E66" s="5" t="n">
        <v>1</v>
      </c>
      <c r="F66" s="5" t="s">
        <v>1233</v>
      </c>
      <c r="G66" s="5" t="s">
        <v>524</v>
      </c>
      <c r="H66" s="5"/>
      <c r="I66" s="5"/>
    </row>
    <row r="67" customFormat="false" ht="33.75" hidden="false" customHeight="true" outlineLevel="0" collapsed="false">
      <c r="A67" s="5" t="s">
        <v>626</v>
      </c>
      <c r="B67" s="5" t="s">
        <v>358</v>
      </c>
      <c r="C67" s="5" t="s">
        <v>627</v>
      </c>
      <c r="D67" s="5" t="s">
        <v>522</v>
      </c>
      <c r="E67" s="5" t="n">
        <v>2</v>
      </c>
      <c r="F67" s="5" t="s">
        <v>1234</v>
      </c>
      <c r="G67" s="5" t="s">
        <v>1235</v>
      </c>
      <c r="H67" s="5"/>
      <c r="I67" s="5"/>
    </row>
    <row r="68" customFormat="false" ht="33.75" hidden="false" customHeight="true" outlineLevel="0" collapsed="false">
      <c r="A68" s="5" t="s">
        <v>626</v>
      </c>
      <c r="B68" s="5" t="s">
        <v>358</v>
      </c>
      <c r="C68" s="5" t="s">
        <v>627</v>
      </c>
      <c r="D68" s="5" t="s">
        <v>522</v>
      </c>
      <c r="E68" s="5" t="n">
        <v>3</v>
      </c>
      <c r="F68" s="5" t="s">
        <v>1236</v>
      </c>
      <c r="G68" s="5" t="s">
        <v>1237</v>
      </c>
      <c r="H68" s="5"/>
      <c r="I68" s="5"/>
    </row>
    <row r="69" customFormat="false" ht="33.75" hidden="false" customHeight="true" outlineLevel="0" collapsed="false">
      <c r="A69" s="5" t="s">
        <v>626</v>
      </c>
      <c r="B69" s="5" t="s">
        <v>358</v>
      </c>
      <c r="C69" s="5" t="s">
        <v>627</v>
      </c>
      <c r="D69" s="5" t="s">
        <v>522</v>
      </c>
      <c r="E69" s="5" t="n">
        <v>4</v>
      </c>
      <c r="F69" s="5" t="s">
        <v>1238</v>
      </c>
      <c r="G69" s="5" t="s">
        <v>1239</v>
      </c>
      <c r="H69" s="5"/>
      <c r="I69" s="5"/>
    </row>
    <row r="70" customFormat="false" ht="33.75" hidden="false" customHeight="true" outlineLevel="0" collapsed="false">
      <c r="A70" s="5" t="s">
        <v>633</v>
      </c>
      <c r="B70" s="5" t="s">
        <v>358</v>
      </c>
      <c r="C70" s="5" t="s">
        <v>634</v>
      </c>
      <c r="D70" s="5" t="s">
        <v>510</v>
      </c>
      <c r="E70" s="5" t="n">
        <v>1</v>
      </c>
      <c r="F70" s="5" t="s">
        <v>1240</v>
      </c>
      <c r="G70" s="5" t="s">
        <v>1241</v>
      </c>
      <c r="H70" s="5"/>
      <c r="I70" s="5"/>
    </row>
    <row r="71" customFormat="false" ht="33.75" hidden="false" customHeight="true" outlineLevel="0" collapsed="false">
      <c r="A71" s="5" t="s">
        <v>633</v>
      </c>
      <c r="B71" s="5" t="s">
        <v>358</v>
      </c>
      <c r="C71" s="5" t="s">
        <v>634</v>
      </c>
      <c r="D71" s="5" t="s">
        <v>510</v>
      </c>
      <c r="E71" s="5" t="n">
        <v>2</v>
      </c>
      <c r="F71" s="5" t="s">
        <v>1242</v>
      </c>
      <c r="G71" s="5" t="s">
        <v>1243</v>
      </c>
      <c r="H71" s="5"/>
      <c r="I71" s="5"/>
    </row>
    <row r="72" customFormat="false" ht="33.75" hidden="false" customHeight="true" outlineLevel="0" collapsed="false">
      <c r="A72" s="5" t="s">
        <v>633</v>
      </c>
      <c r="B72" s="5" t="s">
        <v>358</v>
      </c>
      <c r="C72" s="5" t="s">
        <v>634</v>
      </c>
      <c r="D72" s="5" t="s">
        <v>510</v>
      </c>
      <c r="E72" s="5" t="n">
        <v>3</v>
      </c>
      <c r="F72" s="5" t="s">
        <v>1244</v>
      </c>
      <c r="G72" s="5" t="s">
        <v>1245</v>
      </c>
      <c r="H72" s="5"/>
      <c r="I72" s="5"/>
    </row>
    <row r="73" customFormat="false" ht="33.75" hidden="false" customHeight="true" outlineLevel="0" collapsed="false">
      <c r="A73" s="5" t="s">
        <v>633</v>
      </c>
      <c r="B73" s="5" t="s">
        <v>358</v>
      </c>
      <c r="C73" s="5" t="s">
        <v>634</v>
      </c>
      <c r="D73" s="5" t="s">
        <v>510</v>
      </c>
      <c r="E73" s="5" t="n">
        <v>4</v>
      </c>
      <c r="F73" s="5" t="s">
        <v>1246</v>
      </c>
      <c r="G73" s="5" t="s">
        <v>1247</v>
      </c>
      <c r="H73" s="5"/>
      <c r="I73" s="5"/>
    </row>
    <row r="74" customFormat="false" ht="33.75" hidden="false" customHeight="true" outlineLevel="0" collapsed="false">
      <c r="A74" s="5" t="s">
        <v>639</v>
      </c>
      <c r="B74" s="5" t="s">
        <v>358</v>
      </c>
      <c r="C74" s="5" t="s">
        <v>640</v>
      </c>
      <c r="D74" s="5" t="s">
        <v>522</v>
      </c>
      <c r="E74" s="5" t="n">
        <v>1</v>
      </c>
      <c r="F74" s="5" t="s">
        <v>1248</v>
      </c>
      <c r="G74" s="5" t="s">
        <v>1249</v>
      </c>
      <c r="H74" s="5"/>
      <c r="I74" s="5"/>
    </row>
    <row r="75" customFormat="false" ht="33.75" hidden="false" customHeight="true" outlineLevel="0" collapsed="false">
      <c r="A75" s="5" t="s">
        <v>639</v>
      </c>
      <c r="B75" s="5" t="s">
        <v>358</v>
      </c>
      <c r="C75" s="5" t="s">
        <v>640</v>
      </c>
      <c r="D75" s="5" t="s">
        <v>522</v>
      </c>
      <c r="E75" s="5" t="n">
        <v>2</v>
      </c>
      <c r="F75" s="5" t="s">
        <v>1250</v>
      </c>
      <c r="G75" s="5" t="s">
        <v>1251</v>
      </c>
      <c r="H75" s="5"/>
      <c r="I75" s="5"/>
    </row>
    <row r="76" customFormat="false" ht="33.75" hidden="false" customHeight="true" outlineLevel="0" collapsed="false">
      <c r="A76" s="5" t="s">
        <v>639</v>
      </c>
      <c r="B76" s="5" t="s">
        <v>358</v>
      </c>
      <c r="C76" s="5" t="s">
        <v>640</v>
      </c>
      <c r="D76" s="5" t="s">
        <v>522</v>
      </c>
      <c r="E76" s="5" t="n">
        <v>3</v>
      </c>
      <c r="F76" s="5" t="s">
        <v>1252</v>
      </c>
      <c r="G76" s="5" t="s">
        <v>1253</v>
      </c>
      <c r="H76" s="5"/>
      <c r="I76" s="5"/>
    </row>
    <row r="77" customFormat="false" ht="33.75" hidden="false" customHeight="true" outlineLevel="0" collapsed="false">
      <c r="A77" s="5" t="s">
        <v>644</v>
      </c>
      <c r="B77" s="5" t="s">
        <v>358</v>
      </c>
      <c r="C77" s="5" t="s">
        <v>645</v>
      </c>
      <c r="D77" s="5" t="s">
        <v>522</v>
      </c>
      <c r="E77" s="5" t="n">
        <v>1</v>
      </c>
      <c r="F77" s="5" t="s">
        <v>1254</v>
      </c>
      <c r="G77" s="5" t="s">
        <v>524</v>
      </c>
      <c r="H77" s="5"/>
      <c r="I77" s="5"/>
    </row>
    <row r="78" customFormat="false" ht="33.75" hidden="false" customHeight="true" outlineLevel="0" collapsed="false">
      <c r="A78" s="5" t="s">
        <v>644</v>
      </c>
      <c r="B78" s="5" t="s">
        <v>358</v>
      </c>
      <c r="C78" s="5" t="s">
        <v>645</v>
      </c>
      <c r="D78" s="5" t="s">
        <v>522</v>
      </c>
      <c r="E78" s="5" t="n">
        <v>2</v>
      </c>
      <c r="F78" s="5" t="s">
        <v>1255</v>
      </c>
      <c r="G78" s="5" t="s">
        <v>1256</v>
      </c>
      <c r="H78" s="5"/>
      <c r="I78" s="5"/>
    </row>
    <row r="79" customFormat="false" ht="33.75" hidden="false" customHeight="true" outlineLevel="0" collapsed="false">
      <c r="A79" s="5" t="s">
        <v>644</v>
      </c>
      <c r="B79" s="5" t="s">
        <v>358</v>
      </c>
      <c r="C79" s="5" t="s">
        <v>645</v>
      </c>
      <c r="D79" s="5" t="s">
        <v>522</v>
      </c>
      <c r="E79" s="5" t="n">
        <v>3</v>
      </c>
      <c r="F79" s="5" t="s">
        <v>1257</v>
      </c>
      <c r="G79" s="5" t="s">
        <v>1258</v>
      </c>
      <c r="H79" s="5"/>
      <c r="I79" s="5"/>
    </row>
    <row r="80" customFormat="false" ht="33.75" hidden="false" customHeight="true" outlineLevel="0" collapsed="false">
      <c r="A80" s="5" t="s">
        <v>650</v>
      </c>
      <c r="B80" s="5" t="s">
        <v>358</v>
      </c>
      <c r="C80" s="5" t="s">
        <v>651</v>
      </c>
      <c r="D80" s="5" t="s">
        <v>522</v>
      </c>
      <c r="E80" s="5" t="n">
        <v>1</v>
      </c>
      <c r="F80" s="5" t="s">
        <v>1259</v>
      </c>
      <c r="G80" s="5" t="s">
        <v>1260</v>
      </c>
      <c r="H80" s="5"/>
      <c r="I80" s="5"/>
    </row>
    <row r="81" customFormat="false" ht="33.75" hidden="false" customHeight="true" outlineLevel="0" collapsed="false">
      <c r="A81" s="5" t="s">
        <v>650</v>
      </c>
      <c r="B81" s="5" t="s">
        <v>358</v>
      </c>
      <c r="C81" s="5" t="s">
        <v>651</v>
      </c>
      <c r="D81" s="5" t="s">
        <v>522</v>
      </c>
      <c r="E81" s="5" t="n">
        <v>2</v>
      </c>
      <c r="F81" s="5" t="s">
        <v>1261</v>
      </c>
      <c r="G81" s="5" t="s">
        <v>1262</v>
      </c>
      <c r="H81" s="5"/>
      <c r="I81" s="5"/>
    </row>
    <row r="82" customFormat="false" ht="33.75" hidden="false" customHeight="true" outlineLevel="0" collapsed="false">
      <c r="A82" s="5" t="s">
        <v>650</v>
      </c>
      <c r="B82" s="5" t="s">
        <v>358</v>
      </c>
      <c r="C82" s="5" t="s">
        <v>651</v>
      </c>
      <c r="D82" s="5" t="s">
        <v>522</v>
      </c>
      <c r="E82" s="5" t="n">
        <v>3</v>
      </c>
      <c r="F82" s="5" t="s">
        <v>1257</v>
      </c>
      <c r="G82" s="5" t="s">
        <v>1263</v>
      </c>
      <c r="H82" s="5"/>
      <c r="I82" s="5"/>
    </row>
    <row r="83" customFormat="false" ht="33.75" hidden="false" customHeight="true" outlineLevel="0" collapsed="false">
      <c r="A83" s="5" t="s">
        <v>650</v>
      </c>
      <c r="B83" s="5" t="s">
        <v>358</v>
      </c>
      <c r="C83" s="5" t="s">
        <v>651</v>
      </c>
      <c r="D83" s="5" t="s">
        <v>522</v>
      </c>
      <c r="E83" s="5" t="n">
        <v>4</v>
      </c>
      <c r="F83" s="5" t="s">
        <v>1264</v>
      </c>
      <c r="G83" s="5" t="s">
        <v>1265</v>
      </c>
      <c r="H83" s="5"/>
      <c r="I83" s="5"/>
    </row>
    <row r="84" customFormat="false" ht="33.75" hidden="false" customHeight="true" outlineLevel="0" collapsed="false">
      <c r="A84" s="5" t="s">
        <v>650</v>
      </c>
      <c r="B84" s="5" t="s">
        <v>358</v>
      </c>
      <c r="C84" s="5" t="s">
        <v>651</v>
      </c>
      <c r="D84" s="5" t="s">
        <v>522</v>
      </c>
      <c r="E84" s="5" t="n">
        <v>5</v>
      </c>
      <c r="F84" s="5" t="s">
        <v>1266</v>
      </c>
      <c r="G84" s="5" t="s">
        <v>1267</v>
      </c>
      <c r="H84" s="5"/>
      <c r="I84" s="5"/>
    </row>
    <row r="85" customFormat="false" ht="33.75" hidden="false" customHeight="true" outlineLevel="0" collapsed="false">
      <c r="A85" s="5" t="s">
        <v>657</v>
      </c>
      <c r="B85" s="5" t="s">
        <v>358</v>
      </c>
      <c r="C85" s="5" t="s">
        <v>659</v>
      </c>
      <c r="D85" s="5" t="s">
        <v>510</v>
      </c>
      <c r="E85" s="5" t="n">
        <v>1</v>
      </c>
      <c r="F85" s="5" t="s">
        <v>1268</v>
      </c>
      <c r="G85" s="5" t="s">
        <v>1269</v>
      </c>
      <c r="H85" s="5"/>
      <c r="I85" s="5"/>
    </row>
    <row r="86" customFormat="false" ht="33.75" hidden="false" customHeight="true" outlineLevel="0" collapsed="false">
      <c r="A86" s="5" t="s">
        <v>657</v>
      </c>
      <c r="B86" s="5" t="s">
        <v>358</v>
      </c>
      <c r="C86" s="5" t="s">
        <v>659</v>
      </c>
      <c r="D86" s="5" t="s">
        <v>510</v>
      </c>
      <c r="E86" s="5" t="n">
        <v>2</v>
      </c>
      <c r="F86" s="5" t="s">
        <v>1270</v>
      </c>
      <c r="G86" s="5" t="s">
        <v>1271</v>
      </c>
      <c r="H86" s="5"/>
      <c r="I86" s="5"/>
    </row>
    <row r="87" customFormat="false" ht="33.75" hidden="false" customHeight="true" outlineLevel="0" collapsed="false">
      <c r="A87" s="5" t="s">
        <v>657</v>
      </c>
      <c r="B87" s="5" t="s">
        <v>358</v>
      </c>
      <c r="C87" s="5" t="s">
        <v>659</v>
      </c>
      <c r="D87" s="5" t="s">
        <v>510</v>
      </c>
      <c r="E87" s="5" t="n">
        <v>3</v>
      </c>
      <c r="F87" s="5" t="s">
        <v>1272</v>
      </c>
      <c r="G87" s="5" t="s">
        <v>1273</v>
      </c>
      <c r="H87" s="5"/>
      <c r="I87" s="5"/>
    </row>
    <row r="88" customFormat="false" ht="33.75" hidden="false" customHeight="true" outlineLevel="0" collapsed="false">
      <c r="A88" s="5" t="s">
        <v>657</v>
      </c>
      <c r="B88" s="5" t="s">
        <v>358</v>
      </c>
      <c r="C88" s="5" t="s">
        <v>659</v>
      </c>
      <c r="D88" s="5" t="s">
        <v>510</v>
      </c>
      <c r="E88" s="5" t="n">
        <v>4</v>
      </c>
      <c r="F88" s="5" t="s">
        <v>1274</v>
      </c>
      <c r="G88" s="5" t="s">
        <v>1275</v>
      </c>
      <c r="H88" s="5"/>
      <c r="I88" s="5"/>
    </row>
    <row r="89" customFormat="false" ht="33.75" hidden="false" customHeight="true" outlineLevel="0" collapsed="false">
      <c r="A89" s="5" t="s">
        <v>657</v>
      </c>
      <c r="B89" s="5" t="s">
        <v>358</v>
      </c>
      <c r="C89" s="5" t="s">
        <v>659</v>
      </c>
      <c r="D89" s="5" t="s">
        <v>510</v>
      </c>
      <c r="E89" s="5" t="n">
        <v>5</v>
      </c>
      <c r="F89" s="5" t="s">
        <v>1276</v>
      </c>
      <c r="G89" s="5" t="s">
        <v>1277</v>
      </c>
      <c r="H89" s="5"/>
      <c r="I89" s="5"/>
    </row>
    <row r="90" customFormat="false" ht="33.75" hidden="false" customHeight="true" outlineLevel="0" collapsed="false">
      <c r="A90" s="5" t="s">
        <v>666</v>
      </c>
      <c r="B90" s="5" t="s">
        <v>358</v>
      </c>
      <c r="C90" s="5" t="s">
        <v>667</v>
      </c>
      <c r="D90" s="5" t="s">
        <v>522</v>
      </c>
      <c r="E90" s="5" t="n">
        <v>1</v>
      </c>
      <c r="F90" s="5" t="s">
        <v>1278</v>
      </c>
      <c r="G90" s="5" t="s">
        <v>1279</v>
      </c>
      <c r="H90" s="5"/>
      <c r="I90" s="5"/>
    </row>
    <row r="91" customFormat="false" ht="33.75" hidden="false" customHeight="true" outlineLevel="0" collapsed="false">
      <c r="A91" s="5" t="s">
        <v>666</v>
      </c>
      <c r="B91" s="5" t="s">
        <v>358</v>
      </c>
      <c r="C91" s="5" t="s">
        <v>667</v>
      </c>
      <c r="D91" s="5" t="s">
        <v>522</v>
      </c>
      <c r="E91" s="5" t="n">
        <v>2</v>
      </c>
      <c r="F91" s="5" t="s">
        <v>1280</v>
      </c>
      <c r="G91" s="5" t="s">
        <v>1281</v>
      </c>
      <c r="H91" s="5"/>
      <c r="I91" s="5"/>
    </row>
    <row r="92" customFormat="false" ht="33.75" hidden="false" customHeight="true" outlineLevel="0" collapsed="false">
      <c r="A92" s="5" t="s">
        <v>666</v>
      </c>
      <c r="B92" s="5" t="s">
        <v>358</v>
      </c>
      <c r="C92" s="5" t="s">
        <v>667</v>
      </c>
      <c r="D92" s="5" t="s">
        <v>522</v>
      </c>
      <c r="E92" s="5" t="n">
        <v>3</v>
      </c>
      <c r="F92" s="5" t="s">
        <v>1282</v>
      </c>
      <c r="G92" s="5" t="s">
        <v>1283</v>
      </c>
      <c r="H92" s="5"/>
      <c r="I92" s="5"/>
    </row>
    <row r="93" customFormat="false" ht="33.75" hidden="false" customHeight="true" outlineLevel="0" collapsed="false">
      <c r="A93" s="5" t="s">
        <v>674</v>
      </c>
      <c r="B93" s="5" t="s">
        <v>358</v>
      </c>
      <c r="C93" s="5" t="s">
        <v>675</v>
      </c>
      <c r="D93" s="5" t="s">
        <v>522</v>
      </c>
      <c r="E93" s="5" t="n">
        <v>1</v>
      </c>
      <c r="F93" s="5" t="s">
        <v>1284</v>
      </c>
      <c r="G93" s="5" t="s">
        <v>1285</v>
      </c>
      <c r="H93" s="5"/>
      <c r="I93" s="5"/>
    </row>
    <row r="94" customFormat="false" ht="33.75" hidden="false" customHeight="true" outlineLevel="0" collapsed="false">
      <c r="A94" s="5" t="s">
        <v>674</v>
      </c>
      <c r="B94" s="5" t="s">
        <v>358</v>
      </c>
      <c r="C94" s="5" t="s">
        <v>675</v>
      </c>
      <c r="D94" s="5" t="s">
        <v>522</v>
      </c>
      <c r="E94" s="5" t="n">
        <v>2</v>
      </c>
      <c r="F94" s="5" t="s">
        <v>1286</v>
      </c>
      <c r="G94" s="5" t="s">
        <v>1287</v>
      </c>
      <c r="H94" s="5"/>
      <c r="I94" s="5"/>
    </row>
    <row r="95" customFormat="false" ht="33.75" hidden="false" customHeight="true" outlineLevel="0" collapsed="false">
      <c r="A95" s="5" t="s">
        <v>674</v>
      </c>
      <c r="B95" s="5" t="s">
        <v>358</v>
      </c>
      <c r="C95" s="5" t="s">
        <v>675</v>
      </c>
      <c r="D95" s="5" t="s">
        <v>522</v>
      </c>
      <c r="E95" s="5" t="n">
        <v>3</v>
      </c>
      <c r="F95" s="5" t="s">
        <v>1272</v>
      </c>
      <c r="G95" s="5" t="s">
        <v>1288</v>
      </c>
      <c r="H95" s="5"/>
      <c r="I95" s="5"/>
    </row>
    <row r="96" customFormat="false" ht="33.75" hidden="false" customHeight="true" outlineLevel="0" collapsed="false">
      <c r="A96" s="5" t="s">
        <v>674</v>
      </c>
      <c r="B96" s="5" t="s">
        <v>358</v>
      </c>
      <c r="C96" s="5" t="s">
        <v>675</v>
      </c>
      <c r="D96" s="5" t="s">
        <v>522</v>
      </c>
      <c r="E96" s="5" t="n">
        <v>4</v>
      </c>
      <c r="F96" s="5" t="s">
        <v>1289</v>
      </c>
      <c r="G96" s="5" t="s">
        <v>1290</v>
      </c>
      <c r="H96" s="5"/>
      <c r="I96" s="5"/>
    </row>
    <row r="97" customFormat="false" ht="33.75" hidden="false" customHeight="true" outlineLevel="0" collapsed="false">
      <c r="A97" s="5" t="s">
        <v>680</v>
      </c>
      <c r="B97" s="5" t="s">
        <v>358</v>
      </c>
      <c r="C97" s="5" t="s">
        <v>681</v>
      </c>
      <c r="D97" s="5" t="s">
        <v>510</v>
      </c>
      <c r="E97" s="5" t="n">
        <v>1</v>
      </c>
      <c r="F97" s="5" t="s">
        <v>1291</v>
      </c>
      <c r="G97" s="5" t="s">
        <v>1292</v>
      </c>
      <c r="H97" s="5"/>
      <c r="I97" s="5"/>
    </row>
    <row r="98" customFormat="false" ht="33.75" hidden="false" customHeight="true" outlineLevel="0" collapsed="false">
      <c r="A98" s="5" t="s">
        <v>680</v>
      </c>
      <c r="B98" s="5" t="s">
        <v>358</v>
      </c>
      <c r="C98" s="5" t="s">
        <v>681</v>
      </c>
      <c r="D98" s="5" t="s">
        <v>510</v>
      </c>
      <c r="E98" s="5" t="n">
        <v>2</v>
      </c>
      <c r="F98" s="5" t="s">
        <v>1293</v>
      </c>
      <c r="G98" s="5" t="s">
        <v>1294</v>
      </c>
      <c r="H98" s="5"/>
      <c r="I98" s="5"/>
    </row>
    <row r="99" customFormat="false" ht="33.75" hidden="false" customHeight="true" outlineLevel="0" collapsed="false">
      <c r="A99" s="5" t="s">
        <v>680</v>
      </c>
      <c r="B99" s="5" t="s">
        <v>358</v>
      </c>
      <c r="C99" s="5" t="s">
        <v>681</v>
      </c>
      <c r="D99" s="5" t="s">
        <v>510</v>
      </c>
      <c r="E99" s="5" t="n">
        <v>3</v>
      </c>
      <c r="F99" s="5" t="s">
        <v>1295</v>
      </c>
      <c r="G99" s="5" t="s">
        <v>1296</v>
      </c>
      <c r="H99" s="5"/>
      <c r="I99" s="5"/>
    </row>
    <row r="100" customFormat="false" ht="33.75" hidden="false" customHeight="true" outlineLevel="0" collapsed="false">
      <c r="A100" s="5" t="s">
        <v>680</v>
      </c>
      <c r="B100" s="5" t="s">
        <v>358</v>
      </c>
      <c r="C100" s="5" t="s">
        <v>681</v>
      </c>
      <c r="D100" s="5" t="s">
        <v>510</v>
      </c>
      <c r="E100" s="5" t="n">
        <v>4</v>
      </c>
      <c r="F100" s="5" t="s">
        <v>1297</v>
      </c>
      <c r="G100" s="5" t="s">
        <v>1298</v>
      </c>
      <c r="H100" s="5"/>
      <c r="I100" s="5"/>
    </row>
    <row r="101" customFormat="false" ht="33.75" hidden="false" customHeight="true" outlineLevel="0" collapsed="false">
      <c r="A101" s="5" t="s">
        <v>686</v>
      </c>
      <c r="B101" s="5" t="s">
        <v>358</v>
      </c>
      <c r="C101" s="5" t="s">
        <v>688</v>
      </c>
      <c r="D101" s="5" t="s">
        <v>522</v>
      </c>
      <c r="E101" s="5" t="n">
        <v>1</v>
      </c>
      <c r="F101" s="5" t="s">
        <v>1299</v>
      </c>
      <c r="G101" s="5" t="s">
        <v>1300</v>
      </c>
      <c r="H101" s="5"/>
      <c r="I101" s="5"/>
    </row>
    <row r="102" customFormat="false" ht="33.75" hidden="false" customHeight="true" outlineLevel="0" collapsed="false">
      <c r="A102" s="5" t="s">
        <v>686</v>
      </c>
      <c r="B102" s="5" t="s">
        <v>358</v>
      </c>
      <c r="C102" s="5" t="s">
        <v>688</v>
      </c>
      <c r="D102" s="5" t="s">
        <v>522</v>
      </c>
      <c r="E102" s="5" t="n">
        <v>2</v>
      </c>
      <c r="F102" s="5" t="s">
        <v>1301</v>
      </c>
      <c r="G102" s="5" t="s">
        <v>1302</v>
      </c>
      <c r="H102" s="5"/>
      <c r="I102" s="5"/>
    </row>
    <row r="103" customFormat="false" ht="33.75" hidden="false" customHeight="true" outlineLevel="0" collapsed="false">
      <c r="A103" s="5" t="s">
        <v>686</v>
      </c>
      <c r="B103" s="5" t="s">
        <v>358</v>
      </c>
      <c r="C103" s="5" t="s">
        <v>688</v>
      </c>
      <c r="D103" s="5" t="s">
        <v>522</v>
      </c>
      <c r="E103" s="5" t="n">
        <v>3</v>
      </c>
      <c r="F103" s="5" t="s">
        <v>1303</v>
      </c>
      <c r="G103" s="5" t="s">
        <v>1304</v>
      </c>
      <c r="H103" s="5"/>
      <c r="I103" s="5"/>
    </row>
    <row r="104" customFormat="false" ht="33.75" hidden="false" customHeight="true" outlineLevel="0" collapsed="false">
      <c r="A104" s="5" t="s">
        <v>695</v>
      </c>
      <c r="B104" s="5" t="s">
        <v>358</v>
      </c>
      <c r="C104" s="5" t="s">
        <v>697</v>
      </c>
      <c r="D104" s="5" t="s">
        <v>510</v>
      </c>
      <c r="E104" s="5" t="n">
        <v>1</v>
      </c>
      <c r="F104" s="5" t="s">
        <v>1305</v>
      </c>
      <c r="G104" s="5" t="s">
        <v>1306</v>
      </c>
      <c r="H104" s="5"/>
      <c r="I104" s="5"/>
    </row>
    <row r="105" customFormat="false" ht="33.75" hidden="false" customHeight="true" outlineLevel="0" collapsed="false">
      <c r="A105" s="5" t="s">
        <v>695</v>
      </c>
      <c r="B105" s="5" t="s">
        <v>358</v>
      </c>
      <c r="C105" s="5" t="s">
        <v>697</v>
      </c>
      <c r="D105" s="5" t="s">
        <v>510</v>
      </c>
      <c r="E105" s="5" t="n">
        <v>2</v>
      </c>
      <c r="F105" s="5" t="s">
        <v>1307</v>
      </c>
      <c r="G105" s="5" t="s">
        <v>1308</v>
      </c>
      <c r="H105" s="5"/>
      <c r="I105" s="5"/>
    </row>
    <row r="106" customFormat="false" ht="33.75" hidden="false" customHeight="true" outlineLevel="0" collapsed="false">
      <c r="A106" s="5" t="s">
        <v>695</v>
      </c>
      <c r="B106" s="5" t="s">
        <v>358</v>
      </c>
      <c r="C106" s="5" t="s">
        <v>697</v>
      </c>
      <c r="D106" s="5" t="s">
        <v>510</v>
      </c>
      <c r="E106" s="5" t="n">
        <v>3</v>
      </c>
      <c r="F106" s="5" t="s">
        <v>1309</v>
      </c>
      <c r="G106" s="5" t="s">
        <v>1310</v>
      </c>
      <c r="H106" s="5"/>
      <c r="I106" s="5"/>
    </row>
    <row r="107" customFormat="false" ht="33.75" hidden="false" customHeight="true" outlineLevel="0" collapsed="false">
      <c r="A107" s="5" t="s">
        <v>695</v>
      </c>
      <c r="B107" s="5" t="s">
        <v>358</v>
      </c>
      <c r="C107" s="5" t="s">
        <v>697</v>
      </c>
      <c r="D107" s="5" t="s">
        <v>510</v>
      </c>
      <c r="E107" s="5" t="n">
        <v>4</v>
      </c>
      <c r="F107" s="5" t="s">
        <v>1311</v>
      </c>
      <c r="G107" s="5" t="s">
        <v>1312</v>
      </c>
      <c r="H107" s="5"/>
      <c r="I107" s="5"/>
    </row>
    <row r="108" customFormat="false" ht="33.75" hidden="false" customHeight="true" outlineLevel="0" collapsed="false">
      <c r="A108" s="5" t="s">
        <v>704</v>
      </c>
      <c r="B108" s="5" t="s">
        <v>358</v>
      </c>
      <c r="C108" s="5" t="s">
        <v>706</v>
      </c>
      <c r="D108" s="5" t="s">
        <v>510</v>
      </c>
      <c r="E108" s="5" t="n">
        <v>1</v>
      </c>
      <c r="F108" s="5" t="s">
        <v>1313</v>
      </c>
      <c r="G108" s="5" t="s">
        <v>1314</v>
      </c>
      <c r="H108" s="5"/>
      <c r="I108" s="5"/>
    </row>
    <row r="109" customFormat="false" ht="33.75" hidden="false" customHeight="true" outlineLevel="0" collapsed="false">
      <c r="A109" s="5" t="s">
        <v>704</v>
      </c>
      <c r="B109" s="5" t="s">
        <v>358</v>
      </c>
      <c r="C109" s="5" t="s">
        <v>706</v>
      </c>
      <c r="D109" s="5" t="s">
        <v>510</v>
      </c>
      <c r="E109" s="5" t="n">
        <v>2</v>
      </c>
      <c r="F109" s="5" t="s">
        <v>1315</v>
      </c>
      <c r="G109" s="5" t="s">
        <v>1316</v>
      </c>
      <c r="H109" s="5"/>
      <c r="I109" s="5"/>
    </row>
    <row r="110" customFormat="false" ht="33.75" hidden="false" customHeight="true" outlineLevel="0" collapsed="false">
      <c r="A110" s="5" t="s">
        <v>704</v>
      </c>
      <c r="B110" s="5" t="s">
        <v>358</v>
      </c>
      <c r="C110" s="5" t="s">
        <v>706</v>
      </c>
      <c r="D110" s="5" t="s">
        <v>510</v>
      </c>
      <c r="E110" s="5" t="n">
        <v>3</v>
      </c>
      <c r="F110" s="5" t="s">
        <v>1317</v>
      </c>
      <c r="G110" s="5" t="s">
        <v>1318</v>
      </c>
      <c r="H110" s="5"/>
      <c r="I110" s="5"/>
    </row>
    <row r="111" customFormat="false" ht="33.75" hidden="false" customHeight="true" outlineLevel="0" collapsed="false">
      <c r="A111" s="5" t="s">
        <v>713</v>
      </c>
      <c r="B111" s="5" t="s">
        <v>358</v>
      </c>
      <c r="C111" s="5" t="s">
        <v>715</v>
      </c>
      <c r="D111" s="5" t="s">
        <v>522</v>
      </c>
      <c r="E111" s="5" t="n">
        <v>1</v>
      </c>
      <c r="F111" s="5" t="s">
        <v>1319</v>
      </c>
      <c r="G111" s="5" t="s">
        <v>1320</v>
      </c>
      <c r="H111" s="5"/>
      <c r="I111" s="5"/>
    </row>
    <row r="112" customFormat="false" ht="33.75" hidden="false" customHeight="true" outlineLevel="0" collapsed="false">
      <c r="A112" s="5" t="s">
        <v>713</v>
      </c>
      <c r="B112" s="5" t="s">
        <v>358</v>
      </c>
      <c r="C112" s="5" t="s">
        <v>715</v>
      </c>
      <c r="D112" s="5" t="s">
        <v>522</v>
      </c>
      <c r="E112" s="5" t="n">
        <v>2</v>
      </c>
      <c r="F112" s="5" t="s">
        <v>1321</v>
      </c>
      <c r="G112" s="5" t="s">
        <v>1322</v>
      </c>
      <c r="H112" s="5"/>
      <c r="I112" s="5"/>
    </row>
    <row r="113" customFormat="false" ht="33.75" hidden="false" customHeight="true" outlineLevel="0" collapsed="false">
      <c r="A113" s="5" t="s">
        <v>713</v>
      </c>
      <c r="B113" s="5" t="s">
        <v>358</v>
      </c>
      <c r="C113" s="5" t="s">
        <v>715</v>
      </c>
      <c r="D113" s="5" t="s">
        <v>522</v>
      </c>
      <c r="E113" s="5" t="n">
        <v>3</v>
      </c>
      <c r="F113" s="5" t="s">
        <v>1323</v>
      </c>
      <c r="G113" s="5" t="s">
        <v>1324</v>
      </c>
      <c r="H113" s="5"/>
      <c r="I113" s="5"/>
    </row>
    <row r="114" customFormat="false" ht="33.75" hidden="false" customHeight="true" outlineLevel="0" collapsed="false">
      <c r="A114" s="5" t="s">
        <v>713</v>
      </c>
      <c r="B114" s="5" t="s">
        <v>358</v>
      </c>
      <c r="C114" s="5" t="s">
        <v>715</v>
      </c>
      <c r="D114" s="5" t="s">
        <v>522</v>
      </c>
      <c r="E114" s="5" t="n">
        <v>4</v>
      </c>
      <c r="F114" s="5" t="s">
        <v>1325</v>
      </c>
      <c r="G114" s="5" t="s">
        <v>1326</v>
      </c>
      <c r="H114" s="5"/>
      <c r="I114" s="5"/>
    </row>
    <row r="115" customFormat="false" ht="33.75" hidden="false" customHeight="true" outlineLevel="0" collapsed="false">
      <c r="A115" s="5" t="s">
        <v>722</v>
      </c>
      <c r="B115" s="5" t="s">
        <v>358</v>
      </c>
      <c r="C115" s="5" t="s">
        <v>723</v>
      </c>
      <c r="D115" s="5" t="s">
        <v>522</v>
      </c>
      <c r="E115" s="5" t="n">
        <v>1</v>
      </c>
      <c r="F115" s="5" t="s">
        <v>1327</v>
      </c>
      <c r="G115" s="5" t="s">
        <v>1328</v>
      </c>
      <c r="H115" s="5"/>
      <c r="I115" s="5"/>
    </row>
    <row r="116" customFormat="false" ht="33.75" hidden="false" customHeight="true" outlineLevel="0" collapsed="false">
      <c r="A116" s="5" t="s">
        <v>722</v>
      </c>
      <c r="B116" s="5" t="s">
        <v>358</v>
      </c>
      <c r="C116" s="5" t="s">
        <v>723</v>
      </c>
      <c r="D116" s="5" t="s">
        <v>522</v>
      </c>
      <c r="E116" s="5" t="n">
        <v>2</v>
      </c>
      <c r="F116" s="5" t="s">
        <v>1329</v>
      </c>
      <c r="G116" s="5" t="s">
        <v>1330</v>
      </c>
      <c r="H116" s="5"/>
      <c r="I116" s="5"/>
    </row>
    <row r="117" customFormat="false" ht="33.75" hidden="false" customHeight="true" outlineLevel="0" collapsed="false">
      <c r="A117" s="5" t="s">
        <v>722</v>
      </c>
      <c r="B117" s="5" t="s">
        <v>358</v>
      </c>
      <c r="C117" s="5" t="s">
        <v>723</v>
      </c>
      <c r="D117" s="5" t="s">
        <v>522</v>
      </c>
      <c r="E117" s="5" t="n">
        <v>3</v>
      </c>
      <c r="F117" s="5" t="s">
        <v>1331</v>
      </c>
      <c r="G117" s="5" t="s">
        <v>1332</v>
      </c>
      <c r="H117" s="5"/>
      <c r="I117" s="5"/>
    </row>
    <row r="118" customFormat="false" ht="33.75" hidden="false" customHeight="true" outlineLevel="0" collapsed="false">
      <c r="A118" s="5" t="s">
        <v>728</v>
      </c>
      <c r="B118" s="5" t="s">
        <v>358</v>
      </c>
      <c r="C118" s="5" t="s">
        <v>730</v>
      </c>
      <c r="D118" s="5" t="s">
        <v>510</v>
      </c>
      <c r="E118" s="5" t="n">
        <v>1</v>
      </c>
      <c r="F118" s="5" t="s">
        <v>1333</v>
      </c>
      <c r="G118" s="5" t="s">
        <v>1334</v>
      </c>
      <c r="H118" s="5"/>
      <c r="I118" s="5"/>
    </row>
    <row r="119" customFormat="false" ht="33.75" hidden="false" customHeight="true" outlineLevel="0" collapsed="false">
      <c r="A119" s="5" t="s">
        <v>728</v>
      </c>
      <c r="B119" s="5" t="s">
        <v>358</v>
      </c>
      <c r="C119" s="5" t="s">
        <v>730</v>
      </c>
      <c r="D119" s="5" t="s">
        <v>510</v>
      </c>
      <c r="E119" s="5" t="n">
        <v>2</v>
      </c>
      <c r="F119" s="5" t="s">
        <v>1335</v>
      </c>
      <c r="G119" s="5" t="s">
        <v>1336</v>
      </c>
      <c r="H119" s="5"/>
      <c r="I119" s="5"/>
    </row>
    <row r="120" customFormat="false" ht="33.75" hidden="false" customHeight="true" outlineLevel="0" collapsed="false">
      <c r="A120" s="5" t="s">
        <v>728</v>
      </c>
      <c r="B120" s="5" t="s">
        <v>358</v>
      </c>
      <c r="C120" s="5" t="s">
        <v>730</v>
      </c>
      <c r="D120" s="5" t="s">
        <v>510</v>
      </c>
      <c r="E120" s="5" t="n">
        <v>3</v>
      </c>
      <c r="F120" s="5" t="s">
        <v>1337</v>
      </c>
      <c r="G120" s="5" t="s">
        <v>1338</v>
      </c>
      <c r="H120" s="5"/>
      <c r="I120" s="5"/>
    </row>
    <row r="121" customFormat="false" ht="33.75" hidden="false" customHeight="true" outlineLevel="0" collapsed="false">
      <c r="A121" s="5" t="s">
        <v>728</v>
      </c>
      <c r="B121" s="5" t="s">
        <v>358</v>
      </c>
      <c r="C121" s="5" t="s">
        <v>730</v>
      </c>
      <c r="D121" s="5" t="s">
        <v>510</v>
      </c>
      <c r="E121" s="5" t="n">
        <v>4</v>
      </c>
      <c r="F121" s="5" t="s">
        <v>1339</v>
      </c>
      <c r="G121" s="5" t="s">
        <v>1340</v>
      </c>
      <c r="H121" s="5"/>
      <c r="I121" s="5"/>
    </row>
    <row r="122" customFormat="false" ht="33.75" hidden="false" customHeight="true" outlineLevel="0" collapsed="false">
      <c r="A122" s="5" t="s">
        <v>728</v>
      </c>
      <c r="B122" s="5" t="s">
        <v>358</v>
      </c>
      <c r="C122" s="5" t="s">
        <v>730</v>
      </c>
      <c r="D122" s="5" t="s">
        <v>510</v>
      </c>
      <c r="E122" s="5" t="n">
        <v>5</v>
      </c>
      <c r="F122" s="5" t="s">
        <v>1341</v>
      </c>
      <c r="G122" s="5" t="s">
        <v>1342</v>
      </c>
      <c r="H122" s="5"/>
      <c r="I122" s="5"/>
    </row>
    <row r="123" customFormat="false" ht="33.75" hidden="false" customHeight="true" outlineLevel="0" collapsed="false">
      <c r="A123" s="5" t="s">
        <v>737</v>
      </c>
      <c r="B123" s="5" t="s">
        <v>358</v>
      </c>
      <c r="C123" s="5" t="s">
        <v>738</v>
      </c>
      <c r="D123" s="5" t="s">
        <v>522</v>
      </c>
      <c r="E123" s="5" t="n">
        <v>1</v>
      </c>
      <c r="F123" s="5" t="s">
        <v>1343</v>
      </c>
      <c r="G123" s="5" t="s">
        <v>1344</v>
      </c>
      <c r="H123" s="5"/>
      <c r="I123" s="5"/>
    </row>
    <row r="124" customFormat="false" ht="33.75" hidden="false" customHeight="true" outlineLevel="0" collapsed="false">
      <c r="A124" s="5" t="s">
        <v>737</v>
      </c>
      <c r="B124" s="5" t="s">
        <v>358</v>
      </c>
      <c r="C124" s="5" t="s">
        <v>738</v>
      </c>
      <c r="D124" s="5" t="s">
        <v>522</v>
      </c>
      <c r="E124" s="5" t="n">
        <v>2</v>
      </c>
      <c r="F124" s="5" t="s">
        <v>1345</v>
      </c>
      <c r="G124" s="5" t="s">
        <v>1346</v>
      </c>
      <c r="H124" s="5"/>
      <c r="I124" s="5"/>
    </row>
    <row r="125" customFormat="false" ht="33.75" hidden="false" customHeight="true" outlineLevel="0" collapsed="false">
      <c r="A125" s="5" t="s">
        <v>737</v>
      </c>
      <c r="B125" s="5" t="s">
        <v>358</v>
      </c>
      <c r="C125" s="5" t="s">
        <v>738</v>
      </c>
      <c r="D125" s="5" t="s">
        <v>522</v>
      </c>
      <c r="E125" s="5" t="n">
        <v>3</v>
      </c>
      <c r="F125" s="5" t="s">
        <v>1347</v>
      </c>
      <c r="G125" s="5" t="s">
        <v>1348</v>
      </c>
      <c r="H125" s="5"/>
      <c r="I125" s="5"/>
    </row>
    <row r="126" customFormat="false" ht="33.75" hidden="false" customHeight="true" outlineLevel="0" collapsed="false">
      <c r="A126" s="5" t="s">
        <v>737</v>
      </c>
      <c r="B126" s="5" t="s">
        <v>358</v>
      </c>
      <c r="C126" s="5" t="s">
        <v>738</v>
      </c>
      <c r="D126" s="5" t="s">
        <v>522</v>
      </c>
      <c r="E126" s="5" t="n">
        <v>4</v>
      </c>
      <c r="F126" s="5" t="s">
        <v>1349</v>
      </c>
      <c r="G126" s="5" t="s">
        <v>1350</v>
      </c>
      <c r="H126" s="5"/>
      <c r="I126" s="5"/>
    </row>
    <row r="127" customFormat="false" ht="33.75" hidden="false" customHeight="true" outlineLevel="0" collapsed="false">
      <c r="A127" s="5" t="s">
        <v>744</v>
      </c>
      <c r="B127" s="5" t="s">
        <v>358</v>
      </c>
      <c r="C127" s="5" t="s">
        <v>746</v>
      </c>
      <c r="D127" s="5" t="s">
        <v>510</v>
      </c>
      <c r="E127" s="5" t="n">
        <v>1</v>
      </c>
      <c r="F127" s="5" t="s">
        <v>1351</v>
      </c>
      <c r="G127" s="5" t="s">
        <v>1352</v>
      </c>
      <c r="H127" s="5"/>
      <c r="I127" s="5"/>
    </row>
    <row r="128" customFormat="false" ht="33.75" hidden="false" customHeight="true" outlineLevel="0" collapsed="false">
      <c r="A128" s="5" t="s">
        <v>744</v>
      </c>
      <c r="B128" s="5" t="s">
        <v>358</v>
      </c>
      <c r="C128" s="5" t="s">
        <v>746</v>
      </c>
      <c r="D128" s="5" t="s">
        <v>510</v>
      </c>
      <c r="E128" s="5" t="n">
        <v>2</v>
      </c>
      <c r="F128" s="5" t="s">
        <v>1353</v>
      </c>
      <c r="G128" s="5" t="s">
        <v>1354</v>
      </c>
      <c r="H128" s="5"/>
      <c r="I128" s="5"/>
    </row>
    <row r="129" customFormat="false" ht="33.75" hidden="false" customHeight="true" outlineLevel="0" collapsed="false">
      <c r="A129" s="5" t="s">
        <v>744</v>
      </c>
      <c r="B129" s="5" t="s">
        <v>358</v>
      </c>
      <c r="C129" s="5" t="s">
        <v>746</v>
      </c>
      <c r="D129" s="5" t="s">
        <v>510</v>
      </c>
      <c r="E129" s="5" t="n">
        <v>3</v>
      </c>
      <c r="F129" s="5" t="s">
        <v>749</v>
      </c>
      <c r="G129" s="5" t="s">
        <v>1355</v>
      </c>
      <c r="H129" s="5"/>
      <c r="I129" s="5"/>
    </row>
    <row r="130" customFormat="false" ht="33.75" hidden="false" customHeight="true" outlineLevel="0" collapsed="false">
      <c r="A130" s="5" t="s">
        <v>744</v>
      </c>
      <c r="B130" s="5" t="s">
        <v>358</v>
      </c>
      <c r="C130" s="5" t="s">
        <v>746</v>
      </c>
      <c r="D130" s="5" t="s">
        <v>510</v>
      </c>
      <c r="E130" s="5" t="n">
        <v>4</v>
      </c>
      <c r="F130" s="5" t="s">
        <v>1356</v>
      </c>
      <c r="G130" s="5" t="s">
        <v>1357</v>
      </c>
      <c r="H130" s="5"/>
      <c r="I130" s="5"/>
    </row>
    <row r="131" customFormat="false" ht="33.75" hidden="false" customHeight="true" outlineLevel="0" collapsed="false">
      <c r="A131" s="5" t="s">
        <v>744</v>
      </c>
      <c r="B131" s="5" t="s">
        <v>358</v>
      </c>
      <c r="C131" s="5" t="s">
        <v>746</v>
      </c>
      <c r="D131" s="5" t="s">
        <v>510</v>
      </c>
      <c r="E131" s="5" t="n">
        <v>5</v>
      </c>
      <c r="F131" s="5" t="s">
        <v>1358</v>
      </c>
      <c r="G131" s="5" t="s">
        <v>1359</v>
      </c>
      <c r="H131" s="5"/>
      <c r="I131" s="5"/>
    </row>
    <row r="132" customFormat="false" ht="33.75" hidden="false" customHeight="true" outlineLevel="0" collapsed="false">
      <c r="A132" s="5" t="s">
        <v>753</v>
      </c>
      <c r="B132" s="5" t="s">
        <v>358</v>
      </c>
      <c r="C132" s="5" t="s">
        <v>754</v>
      </c>
      <c r="D132" s="5" t="s">
        <v>510</v>
      </c>
      <c r="E132" s="5" t="n">
        <v>1</v>
      </c>
      <c r="F132" s="5" t="s">
        <v>1360</v>
      </c>
      <c r="G132" s="5" t="s">
        <v>1361</v>
      </c>
      <c r="H132" s="5"/>
      <c r="I132" s="5"/>
    </row>
    <row r="133" customFormat="false" ht="33.75" hidden="false" customHeight="true" outlineLevel="0" collapsed="false">
      <c r="A133" s="5" t="s">
        <v>753</v>
      </c>
      <c r="B133" s="5" t="s">
        <v>358</v>
      </c>
      <c r="C133" s="5" t="s">
        <v>754</v>
      </c>
      <c r="D133" s="5" t="s">
        <v>510</v>
      </c>
      <c r="E133" s="5" t="n">
        <v>2</v>
      </c>
      <c r="F133" s="5" t="s">
        <v>1362</v>
      </c>
      <c r="G133" s="5" t="s">
        <v>1363</v>
      </c>
      <c r="H133" s="5"/>
      <c r="I133" s="5"/>
    </row>
    <row r="134" customFormat="false" ht="33.75" hidden="false" customHeight="true" outlineLevel="0" collapsed="false">
      <c r="A134" s="5" t="s">
        <v>753</v>
      </c>
      <c r="B134" s="5" t="s">
        <v>358</v>
      </c>
      <c r="C134" s="5" t="s">
        <v>754</v>
      </c>
      <c r="D134" s="5" t="s">
        <v>510</v>
      </c>
      <c r="E134" s="5" t="n">
        <v>3</v>
      </c>
      <c r="F134" s="5" t="s">
        <v>1364</v>
      </c>
      <c r="G134" s="5" t="s">
        <v>1365</v>
      </c>
      <c r="H134" s="5"/>
      <c r="I134" s="5"/>
    </row>
    <row r="135" customFormat="false" ht="33.75" hidden="false" customHeight="true" outlineLevel="0" collapsed="false">
      <c r="A135" s="5" t="s">
        <v>753</v>
      </c>
      <c r="B135" s="5" t="s">
        <v>358</v>
      </c>
      <c r="C135" s="5" t="s">
        <v>754</v>
      </c>
      <c r="D135" s="5" t="s">
        <v>510</v>
      </c>
      <c r="E135" s="5" t="n">
        <v>4</v>
      </c>
      <c r="F135" s="5" t="s">
        <v>1366</v>
      </c>
      <c r="G135" s="5" t="s">
        <v>1367</v>
      </c>
      <c r="H135" s="5"/>
      <c r="I135" s="5"/>
    </row>
    <row r="136" customFormat="false" ht="33.75" hidden="false" customHeight="true" outlineLevel="0" collapsed="false">
      <c r="A136" s="5" t="s">
        <v>759</v>
      </c>
      <c r="B136" s="5" t="s">
        <v>358</v>
      </c>
      <c r="C136" s="5" t="s">
        <v>760</v>
      </c>
      <c r="D136" s="5" t="s">
        <v>510</v>
      </c>
      <c r="E136" s="5" t="n">
        <v>1</v>
      </c>
      <c r="F136" s="5" t="s">
        <v>1368</v>
      </c>
      <c r="G136" s="5" t="s">
        <v>1150</v>
      </c>
      <c r="H136" s="5"/>
      <c r="I136" s="5"/>
    </row>
    <row r="137" customFormat="false" ht="33.75" hidden="false" customHeight="true" outlineLevel="0" collapsed="false">
      <c r="A137" s="5" t="s">
        <v>759</v>
      </c>
      <c r="B137" s="5" t="s">
        <v>358</v>
      </c>
      <c r="C137" s="5" t="s">
        <v>760</v>
      </c>
      <c r="D137" s="5" t="s">
        <v>510</v>
      </c>
      <c r="E137" s="5" t="n">
        <v>2</v>
      </c>
      <c r="F137" s="5" t="s">
        <v>1369</v>
      </c>
      <c r="G137" s="5" t="s">
        <v>1370</v>
      </c>
      <c r="H137" s="5"/>
      <c r="I137" s="5"/>
    </row>
    <row r="138" customFormat="false" ht="33.75" hidden="false" customHeight="true" outlineLevel="0" collapsed="false">
      <c r="A138" s="5" t="s">
        <v>759</v>
      </c>
      <c r="B138" s="5" t="s">
        <v>358</v>
      </c>
      <c r="C138" s="5" t="s">
        <v>760</v>
      </c>
      <c r="D138" s="5" t="s">
        <v>510</v>
      </c>
      <c r="E138" s="5" t="n">
        <v>3</v>
      </c>
      <c r="F138" s="5" t="s">
        <v>1371</v>
      </c>
      <c r="G138" s="5" t="s">
        <v>1372</v>
      </c>
      <c r="H138" s="5"/>
      <c r="I138" s="5"/>
    </row>
    <row r="139" customFormat="false" ht="33.75" hidden="false" customHeight="true" outlineLevel="0" collapsed="false">
      <c r="A139" s="5" t="s">
        <v>759</v>
      </c>
      <c r="B139" s="5" t="s">
        <v>358</v>
      </c>
      <c r="C139" s="5" t="s">
        <v>760</v>
      </c>
      <c r="D139" s="5" t="s">
        <v>510</v>
      </c>
      <c r="E139" s="5" t="n">
        <v>4</v>
      </c>
      <c r="F139" s="5" t="s">
        <v>1373</v>
      </c>
      <c r="G139" s="5" t="s">
        <v>1374</v>
      </c>
      <c r="H139" s="5"/>
      <c r="I139" s="5"/>
    </row>
    <row r="140" customFormat="false" ht="33.75" hidden="false" customHeight="true" outlineLevel="0" collapsed="false">
      <c r="A140" s="5" t="s">
        <v>759</v>
      </c>
      <c r="B140" s="5" t="s">
        <v>358</v>
      </c>
      <c r="C140" s="5" t="s">
        <v>760</v>
      </c>
      <c r="D140" s="5" t="s">
        <v>510</v>
      </c>
      <c r="E140" s="5" t="n">
        <v>5</v>
      </c>
      <c r="F140" s="5" t="s">
        <v>1375</v>
      </c>
      <c r="G140" s="5" t="s">
        <v>1376</v>
      </c>
      <c r="H140" s="5"/>
      <c r="I140" s="5"/>
    </row>
    <row r="141" customFormat="false" ht="33.75" hidden="false" customHeight="true" outlineLevel="0" collapsed="false">
      <c r="A141" s="5" t="s">
        <v>759</v>
      </c>
      <c r="B141" s="5" t="s">
        <v>358</v>
      </c>
      <c r="C141" s="5" t="s">
        <v>760</v>
      </c>
      <c r="D141" s="5" t="s">
        <v>510</v>
      </c>
      <c r="E141" s="5" t="n">
        <v>6</v>
      </c>
      <c r="F141" s="5" t="s">
        <v>1358</v>
      </c>
      <c r="G141" s="5" t="s">
        <v>1377</v>
      </c>
      <c r="H141" s="5"/>
      <c r="I141" s="5"/>
    </row>
    <row r="142" customFormat="false" ht="33.75" hidden="false" customHeight="true" outlineLevel="0" collapsed="false">
      <c r="A142" s="5" t="s">
        <v>765</v>
      </c>
      <c r="B142" s="5" t="s">
        <v>358</v>
      </c>
      <c r="C142" s="5" t="s">
        <v>766</v>
      </c>
      <c r="D142" s="5" t="s">
        <v>522</v>
      </c>
      <c r="E142" s="5" t="n">
        <v>1</v>
      </c>
      <c r="F142" s="5" t="s">
        <v>1378</v>
      </c>
      <c r="G142" s="5" t="s">
        <v>1379</v>
      </c>
      <c r="H142" s="5"/>
      <c r="I142" s="5"/>
    </row>
    <row r="143" customFormat="false" ht="33.75" hidden="false" customHeight="true" outlineLevel="0" collapsed="false">
      <c r="A143" s="5" t="s">
        <v>765</v>
      </c>
      <c r="B143" s="5" t="s">
        <v>358</v>
      </c>
      <c r="C143" s="5" t="s">
        <v>766</v>
      </c>
      <c r="D143" s="5" t="s">
        <v>522</v>
      </c>
      <c r="E143" s="5" t="n">
        <v>2</v>
      </c>
      <c r="F143" s="5" t="s">
        <v>1380</v>
      </c>
      <c r="G143" s="5" t="s">
        <v>1150</v>
      </c>
      <c r="H143" s="5"/>
      <c r="I143" s="5"/>
    </row>
    <row r="144" customFormat="false" ht="33.75" hidden="false" customHeight="true" outlineLevel="0" collapsed="false">
      <c r="A144" s="5" t="s">
        <v>765</v>
      </c>
      <c r="B144" s="5" t="s">
        <v>358</v>
      </c>
      <c r="C144" s="5" t="s">
        <v>766</v>
      </c>
      <c r="D144" s="5" t="s">
        <v>522</v>
      </c>
      <c r="E144" s="5" t="n">
        <v>3</v>
      </c>
      <c r="F144" s="5" t="s">
        <v>1381</v>
      </c>
      <c r="G144" s="5" t="s">
        <v>1382</v>
      </c>
      <c r="H144" s="5"/>
      <c r="I144" s="5"/>
    </row>
    <row r="145" customFormat="false" ht="33.75" hidden="false" customHeight="true" outlineLevel="0" collapsed="false">
      <c r="A145" s="5" t="s">
        <v>771</v>
      </c>
      <c r="B145" s="5" t="s">
        <v>358</v>
      </c>
      <c r="C145" s="5" t="s">
        <v>772</v>
      </c>
      <c r="D145" s="5" t="s">
        <v>522</v>
      </c>
      <c r="E145" s="5" t="n">
        <v>1</v>
      </c>
      <c r="F145" s="5" t="s">
        <v>1383</v>
      </c>
      <c r="G145" s="5" t="s">
        <v>1384</v>
      </c>
      <c r="H145" s="5"/>
      <c r="I145" s="5"/>
    </row>
    <row r="146" customFormat="false" ht="33.75" hidden="false" customHeight="true" outlineLevel="0" collapsed="false">
      <c r="A146" s="5" t="s">
        <v>771</v>
      </c>
      <c r="B146" s="5" t="s">
        <v>358</v>
      </c>
      <c r="C146" s="5" t="s">
        <v>772</v>
      </c>
      <c r="D146" s="5" t="s">
        <v>522</v>
      </c>
      <c r="E146" s="5" t="n">
        <v>2</v>
      </c>
      <c r="F146" s="5" t="s">
        <v>1385</v>
      </c>
      <c r="G146" s="5" t="s">
        <v>1372</v>
      </c>
      <c r="H146" s="5"/>
      <c r="I146" s="5"/>
    </row>
    <row r="147" customFormat="false" ht="33.75" hidden="false" customHeight="true" outlineLevel="0" collapsed="false">
      <c r="A147" s="5" t="s">
        <v>771</v>
      </c>
      <c r="B147" s="5" t="s">
        <v>358</v>
      </c>
      <c r="C147" s="5" t="s">
        <v>772</v>
      </c>
      <c r="D147" s="5" t="s">
        <v>522</v>
      </c>
      <c r="E147" s="5" t="n">
        <v>3</v>
      </c>
      <c r="F147" s="5" t="s">
        <v>1193</v>
      </c>
      <c r="G147" s="5" t="s">
        <v>1386</v>
      </c>
      <c r="H147" s="5"/>
      <c r="I147" s="5"/>
    </row>
    <row r="148" customFormat="false" ht="33.75" hidden="false" customHeight="true" outlineLevel="0" collapsed="false">
      <c r="A148" s="5" t="s">
        <v>777</v>
      </c>
      <c r="B148" s="5" t="s">
        <v>358</v>
      </c>
      <c r="C148" s="5" t="s">
        <v>779</v>
      </c>
      <c r="D148" s="5" t="s">
        <v>510</v>
      </c>
      <c r="E148" s="5" t="n">
        <v>1</v>
      </c>
      <c r="F148" s="5" t="s">
        <v>1387</v>
      </c>
      <c r="G148" s="5" t="s">
        <v>1388</v>
      </c>
      <c r="H148" s="5"/>
      <c r="I148" s="5"/>
    </row>
    <row r="149" customFormat="false" ht="33.75" hidden="false" customHeight="true" outlineLevel="0" collapsed="false">
      <c r="A149" s="5" t="s">
        <v>777</v>
      </c>
      <c r="B149" s="5" t="s">
        <v>358</v>
      </c>
      <c r="C149" s="5" t="s">
        <v>779</v>
      </c>
      <c r="D149" s="5" t="s">
        <v>510</v>
      </c>
      <c r="E149" s="5" t="n">
        <v>2</v>
      </c>
      <c r="F149" s="5" t="s">
        <v>1389</v>
      </c>
      <c r="G149" s="5" t="s">
        <v>1390</v>
      </c>
      <c r="H149" s="5"/>
      <c r="I149" s="5"/>
    </row>
    <row r="150" customFormat="false" ht="33.75" hidden="false" customHeight="true" outlineLevel="0" collapsed="false">
      <c r="A150" s="5" t="s">
        <v>777</v>
      </c>
      <c r="B150" s="5" t="s">
        <v>358</v>
      </c>
      <c r="C150" s="5" t="s">
        <v>779</v>
      </c>
      <c r="D150" s="5" t="s">
        <v>510</v>
      </c>
      <c r="E150" s="5" t="n">
        <v>3</v>
      </c>
      <c r="F150" s="5" t="s">
        <v>1391</v>
      </c>
      <c r="G150" s="5" t="s">
        <v>1392</v>
      </c>
      <c r="H150" s="5"/>
      <c r="I150" s="5"/>
    </row>
    <row r="151" customFormat="false" ht="33.75" hidden="false" customHeight="true" outlineLevel="0" collapsed="false">
      <c r="A151" s="5" t="s">
        <v>777</v>
      </c>
      <c r="B151" s="5" t="s">
        <v>358</v>
      </c>
      <c r="C151" s="5" t="s">
        <v>779</v>
      </c>
      <c r="D151" s="5" t="s">
        <v>510</v>
      </c>
      <c r="E151" s="5" t="n">
        <v>4</v>
      </c>
      <c r="F151" s="5" t="s">
        <v>1393</v>
      </c>
      <c r="G151" s="5" t="s">
        <v>1394</v>
      </c>
      <c r="H151" s="5"/>
      <c r="I151" s="5"/>
    </row>
    <row r="152" customFormat="false" ht="33.75" hidden="false" customHeight="true" outlineLevel="0" collapsed="false">
      <c r="A152" s="5" t="s">
        <v>786</v>
      </c>
      <c r="B152" s="5" t="s">
        <v>358</v>
      </c>
      <c r="C152" s="5" t="s">
        <v>787</v>
      </c>
      <c r="D152" s="5" t="s">
        <v>522</v>
      </c>
      <c r="E152" s="5" t="n">
        <v>1</v>
      </c>
      <c r="F152" s="5" t="s">
        <v>1395</v>
      </c>
      <c r="G152" s="5" t="s">
        <v>1396</v>
      </c>
      <c r="H152" s="5"/>
      <c r="I152" s="5"/>
    </row>
    <row r="153" customFormat="false" ht="33.75" hidden="false" customHeight="true" outlineLevel="0" collapsed="false">
      <c r="A153" s="5" t="s">
        <v>786</v>
      </c>
      <c r="B153" s="5" t="s">
        <v>358</v>
      </c>
      <c r="C153" s="5" t="s">
        <v>787</v>
      </c>
      <c r="D153" s="5" t="s">
        <v>522</v>
      </c>
      <c r="E153" s="5" t="n">
        <v>2</v>
      </c>
      <c r="F153" s="5" t="s">
        <v>1397</v>
      </c>
      <c r="G153" s="5" t="s">
        <v>1398</v>
      </c>
      <c r="H153" s="5"/>
      <c r="I153" s="5"/>
    </row>
    <row r="154" customFormat="false" ht="33.75" hidden="false" customHeight="true" outlineLevel="0" collapsed="false">
      <c r="A154" s="5" t="s">
        <v>786</v>
      </c>
      <c r="B154" s="5" t="s">
        <v>358</v>
      </c>
      <c r="C154" s="5" t="s">
        <v>787</v>
      </c>
      <c r="D154" s="5" t="s">
        <v>522</v>
      </c>
      <c r="E154" s="5" t="n">
        <v>3</v>
      </c>
      <c r="F154" s="5" t="s">
        <v>1399</v>
      </c>
      <c r="G154" s="5" t="s">
        <v>1400</v>
      </c>
      <c r="H154" s="5"/>
      <c r="I154" s="5"/>
    </row>
    <row r="155" customFormat="false" ht="33.75" hidden="false" customHeight="true" outlineLevel="0" collapsed="false">
      <c r="A155" s="5" t="s">
        <v>786</v>
      </c>
      <c r="B155" s="5" t="s">
        <v>358</v>
      </c>
      <c r="C155" s="5" t="s">
        <v>787</v>
      </c>
      <c r="D155" s="5" t="s">
        <v>522</v>
      </c>
      <c r="E155" s="5" t="n">
        <v>4</v>
      </c>
      <c r="F155" s="5" t="s">
        <v>1401</v>
      </c>
      <c r="G155" s="5" t="s">
        <v>1402</v>
      </c>
      <c r="H155" s="5"/>
      <c r="I155" s="5"/>
    </row>
    <row r="156" customFormat="false" ht="33.75" hidden="false" customHeight="true" outlineLevel="0" collapsed="false">
      <c r="A156" s="5" t="s">
        <v>786</v>
      </c>
      <c r="B156" s="5" t="s">
        <v>358</v>
      </c>
      <c r="C156" s="5" t="s">
        <v>787</v>
      </c>
      <c r="D156" s="5" t="s">
        <v>522</v>
      </c>
      <c r="E156" s="5" t="n">
        <v>5</v>
      </c>
      <c r="F156" s="5" t="s">
        <v>1403</v>
      </c>
      <c r="G156" s="5" t="s">
        <v>1404</v>
      </c>
      <c r="H156" s="5"/>
      <c r="I156" s="5"/>
    </row>
    <row r="157" customFormat="false" ht="33.75" hidden="false" customHeight="true" outlineLevel="0" collapsed="false">
      <c r="A157" s="5" t="s">
        <v>786</v>
      </c>
      <c r="B157" s="5" t="s">
        <v>358</v>
      </c>
      <c r="C157" s="5" t="s">
        <v>787</v>
      </c>
      <c r="D157" s="5" t="s">
        <v>522</v>
      </c>
      <c r="E157" s="5" t="n">
        <v>6</v>
      </c>
      <c r="F157" s="5" t="s">
        <v>1405</v>
      </c>
      <c r="G157" s="5" t="s">
        <v>1406</v>
      </c>
      <c r="H157" s="5"/>
      <c r="I157" s="5"/>
    </row>
    <row r="158" customFormat="false" ht="33.75" hidden="false" customHeight="true" outlineLevel="0" collapsed="false">
      <c r="A158" s="5" t="s">
        <v>792</v>
      </c>
      <c r="B158" s="5" t="s">
        <v>358</v>
      </c>
      <c r="C158" s="5" t="s">
        <v>793</v>
      </c>
      <c r="D158" s="5" t="s">
        <v>522</v>
      </c>
      <c r="E158" s="5" t="n">
        <v>1</v>
      </c>
      <c r="F158" s="5" t="s">
        <v>1407</v>
      </c>
      <c r="G158" s="5" t="s">
        <v>1408</v>
      </c>
      <c r="H158" s="5"/>
      <c r="I158" s="5"/>
    </row>
    <row r="159" customFormat="false" ht="33.75" hidden="false" customHeight="true" outlineLevel="0" collapsed="false">
      <c r="A159" s="5" t="s">
        <v>792</v>
      </c>
      <c r="B159" s="5" t="s">
        <v>358</v>
      </c>
      <c r="C159" s="5" t="s">
        <v>793</v>
      </c>
      <c r="D159" s="5" t="s">
        <v>522</v>
      </c>
      <c r="E159" s="5" t="n">
        <v>2</v>
      </c>
      <c r="F159" s="5" t="s">
        <v>1409</v>
      </c>
      <c r="G159" s="5" t="s">
        <v>1410</v>
      </c>
      <c r="H159" s="5"/>
      <c r="I159" s="5"/>
    </row>
    <row r="160" customFormat="false" ht="33.75" hidden="false" customHeight="true" outlineLevel="0" collapsed="false">
      <c r="A160" s="5" t="s">
        <v>792</v>
      </c>
      <c r="B160" s="5" t="s">
        <v>358</v>
      </c>
      <c r="C160" s="5" t="s">
        <v>793</v>
      </c>
      <c r="D160" s="5" t="s">
        <v>522</v>
      </c>
      <c r="E160" s="5" t="n">
        <v>3</v>
      </c>
      <c r="F160" s="5" t="s">
        <v>1411</v>
      </c>
      <c r="G160" s="5" t="s">
        <v>1412</v>
      </c>
      <c r="H160" s="5"/>
      <c r="I160" s="5"/>
    </row>
    <row r="161" customFormat="false" ht="33.75" hidden="false" customHeight="true" outlineLevel="0" collapsed="false">
      <c r="A161" s="5" t="s">
        <v>792</v>
      </c>
      <c r="B161" s="5" t="s">
        <v>358</v>
      </c>
      <c r="C161" s="5" t="s">
        <v>793</v>
      </c>
      <c r="D161" s="5" t="s">
        <v>522</v>
      </c>
      <c r="E161" s="5" t="n">
        <v>4</v>
      </c>
      <c r="F161" s="5" t="s">
        <v>1413</v>
      </c>
      <c r="G161" s="5" t="s">
        <v>1414</v>
      </c>
      <c r="H161" s="5"/>
      <c r="I161" s="5"/>
    </row>
    <row r="162" customFormat="false" ht="33.75" hidden="false" customHeight="true" outlineLevel="0" collapsed="false">
      <c r="A162" s="5" t="s">
        <v>792</v>
      </c>
      <c r="B162" s="5" t="s">
        <v>358</v>
      </c>
      <c r="C162" s="5" t="s">
        <v>793</v>
      </c>
      <c r="D162" s="5" t="s">
        <v>522</v>
      </c>
      <c r="E162" s="5" t="n">
        <v>5</v>
      </c>
      <c r="F162" s="5" t="s">
        <v>1358</v>
      </c>
      <c r="G162" s="5" t="s">
        <v>1415</v>
      </c>
      <c r="H162" s="5"/>
      <c r="I162" s="5"/>
    </row>
    <row r="163" customFormat="false" ht="33.75" hidden="false" customHeight="true" outlineLevel="0" collapsed="false">
      <c r="A163" s="5" t="s">
        <v>799</v>
      </c>
      <c r="B163" s="5" t="s">
        <v>358</v>
      </c>
      <c r="C163" s="5" t="s">
        <v>800</v>
      </c>
      <c r="D163" s="5" t="s">
        <v>522</v>
      </c>
      <c r="E163" s="5" t="n">
        <v>1</v>
      </c>
      <c r="F163" s="5" t="s">
        <v>1416</v>
      </c>
      <c r="G163" s="5" t="s">
        <v>1379</v>
      </c>
      <c r="H163" s="5"/>
      <c r="I163" s="5"/>
    </row>
    <row r="164" customFormat="false" ht="33.75" hidden="false" customHeight="true" outlineLevel="0" collapsed="false">
      <c r="A164" s="5" t="s">
        <v>799</v>
      </c>
      <c r="B164" s="5" t="s">
        <v>358</v>
      </c>
      <c r="C164" s="5" t="s">
        <v>800</v>
      </c>
      <c r="D164" s="5" t="s">
        <v>522</v>
      </c>
      <c r="E164" s="5" t="n">
        <v>2</v>
      </c>
      <c r="F164" s="5" t="s">
        <v>1417</v>
      </c>
      <c r="G164" s="5" t="s">
        <v>1379</v>
      </c>
      <c r="H164" s="5"/>
      <c r="I164" s="5"/>
    </row>
    <row r="165" customFormat="false" ht="33.75" hidden="false" customHeight="true" outlineLevel="0" collapsed="false">
      <c r="A165" s="5" t="s">
        <v>799</v>
      </c>
      <c r="B165" s="5" t="s">
        <v>358</v>
      </c>
      <c r="C165" s="5" t="s">
        <v>800</v>
      </c>
      <c r="D165" s="5" t="s">
        <v>522</v>
      </c>
      <c r="E165" s="5" t="n">
        <v>3</v>
      </c>
      <c r="F165" s="5" t="s">
        <v>1418</v>
      </c>
      <c r="G165" s="5" t="s">
        <v>1379</v>
      </c>
      <c r="H165" s="5"/>
      <c r="I165" s="5"/>
    </row>
    <row r="166" customFormat="false" ht="33.75" hidden="false" customHeight="true" outlineLevel="0" collapsed="false">
      <c r="A166" s="5" t="s">
        <v>799</v>
      </c>
      <c r="B166" s="5" t="s">
        <v>358</v>
      </c>
      <c r="C166" s="5" t="s">
        <v>800</v>
      </c>
      <c r="D166" s="5" t="s">
        <v>522</v>
      </c>
      <c r="E166" s="5" t="n">
        <v>4</v>
      </c>
      <c r="F166" s="5" t="s">
        <v>1419</v>
      </c>
      <c r="G166" s="5" t="s">
        <v>1420</v>
      </c>
      <c r="H166" s="5"/>
      <c r="I166" s="5"/>
    </row>
    <row r="167" customFormat="false" ht="33.75" hidden="false" customHeight="true" outlineLevel="0" collapsed="false">
      <c r="A167" s="5" t="s">
        <v>805</v>
      </c>
      <c r="B167" s="5" t="s">
        <v>358</v>
      </c>
      <c r="C167" s="5" t="s">
        <v>807</v>
      </c>
      <c r="D167" s="5" t="s">
        <v>510</v>
      </c>
      <c r="E167" s="5" t="n">
        <v>1</v>
      </c>
      <c r="F167" s="5" t="s">
        <v>1421</v>
      </c>
      <c r="G167" s="5" t="s">
        <v>1422</v>
      </c>
      <c r="H167" s="5"/>
      <c r="I167" s="5"/>
    </row>
    <row r="168" customFormat="false" ht="33.75" hidden="false" customHeight="true" outlineLevel="0" collapsed="false">
      <c r="A168" s="5" t="s">
        <v>805</v>
      </c>
      <c r="B168" s="5" t="s">
        <v>358</v>
      </c>
      <c r="C168" s="5" t="s">
        <v>807</v>
      </c>
      <c r="D168" s="5" t="s">
        <v>510</v>
      </c>
      <c r="E168" s="5" t="n">
        <v>2</v>
      </c>
      <c r="F168" s="5" t="s">
        <v>1423</v>
      </c>
      <c r="G168" s="5" t="s">
        <v>1424</v>
      </c>
      <c r="H168" s="5"/>
      <c r="I168" s="5"/>
    </row>
    <row r="169" customFormat="false" ht="33.75" hidden="false" customHeight="true" outlineLevel="0" collapsed="false">
      <c r="A169" s="5" t="s">
        <v>805</v>
      </c>
      <c r="B169" s="5" t="s">
        <v>358</v>
      </c>
      <c r="C169" s="5" t="s">
        <v>807</v>
      </c>
      <c r="D169" s="5" t="s">
        <v>510</v>
      </c>
      <c r="E169" s="5" t="n">
        <v>3</v>
      </c>
      <c r="F169" s="5" t="s">
        <v>1425</v>
      </c>
      <c r="G169" s="5" t="s">
        <v>1426</v>
      </c>
      <c r="H169" s="5"/>
      <c r="I169" s="5"/>
    </row>
    <row r="170" customFormat="false" ht="33.75" hidden="false" customHeight="true" outlineLevel="0" collapsed="false">
      <c r="A170" s="5" t="s">
        <v>813</v>
      </c>
      <c r="B170" s="5" t="s">
        <v>358</v>
      </c>
      <c r="C170" s="5" t="s">
        <v>814</v>
      </c>
      <c r="D170" s="5" t="s">
        <v>522</v>
      </c>
      <c r="E170" s="5" t="n">
        <v>1</v>
      </c>
      <c r="F170" s="5" t="s">
        <v>1427</v>
      </c>
      <c r="G170" s="5" t="s">
        <v>1428</v>
      </c>
      <c r="H170" s="5"/>
      <c r="I170" s="5"/>
    </row>
    <row r="171" customFormat="false" ht="33.75" hidden="false" customHeight="true" outlineLevel="0" collapsed="false">
      <c r="A171" s="5" t="s">
        <v>813</v>
      </c>
      <c r="B171" s="5" t="s">
        <v>358</v>
      </c>
      <c r="C171" s="5" t="s">
        <v>814</v>
      </c>
      <c r="D171" s="5" t="s">
        <v>522</v>
      </c>
      <c r="E171" s="5" t="n">
        <v>2</v>
      </c>
      <c r="F171" s="5" t="s">
        <v>1429</v>
      </c>
      <c r="G171" s="5" t="s">
        <v>1430</v>
      </c>
      <c r="H171" s="5"/>
      <c r="I171" s="5"/>
    </row>
    <row r="172" customFormat="false" ht="33.75" hidden="false" customHeight="true" outlineLevel="0" collapsed="false">
      <c r="A172" s="5" t="s">
        <v>813</v>
      </c>
      <c r="B172" s="5" t="s">
        <v>358</v>
      </c>
      <c r="C172" s="5" t="s">
        <v>814</v>
      </c>
      <c r="D172" s="5" t="s">
        <v>522</v>
      </c>
      <c r="E172" s="5" t="n">
        <v>3</v>
      </c>
      <c r="F172" s="5" t="s">
        <v>1431</v>
      </c>
      <c r="G172" s="5" t="s">
        <v>1432</v>
      </c>
      <c r="H172" s="5"/>
      <c r="I172" s="5"/>
    </row>
    <row r="173" customFormat="false" ht="33.75" hidden="false" customHeight="true" outlineLevel="0" collapsed="false">
      <c r="A173" s="5" t="s">
        <v>813</v>
      </c>
      <c r="B173" s="5" t="s">
        <v>358</v>
      </c>
      <c r="C173" s="5" t="s">
        <v>814</v>
      </c>
      <c r="D173" s="5" t="s">
        <v>522</v>
      </c>
      <c r="E173" s="5" t="n">
        <v>4</v>
      </c>
      <c r="F173" s="5" t="s">
        <v>1433</v>
      </c>
      <c r="G173" s="5" t="s">
        <v>1434</v>
      </c>
      <c r="H173" s="5"/>
      <c r="I173" s="5"/>
    </row>
    <row r="174" customFormat="false" ht="33.75" hidden="false" customHeight="true" outlineLevel="0" collapsed="false">
      <c r="A174" s="5" t="s">
        <v>820</v>
      </c>
      <c r="B174" s="5" t="s">
        <v>358</v>
      </c>
      <c r="C174" s="5" t="s">
        <v>821</v>
      </c>
      <c r="D174" s="5" t="s">
        <v>510</v>
      </c>
      <c r="E174" s="5" t="n">
        <v>1</v>
      </c>
      <c r="F174" s="5" t="s">
        <v>1435</v>
      </c>
      <c r="G174" s="5" t="s">
        <v>1150</v>
      </c>
      <c r="H174" s="5"/>
      <c r="I174" s="5"/>
    </row>
    <row r="175" customFormat="false" ht="33.75" hidden="false" customHeight="true" outlineLevel="0" collapsed="false">
      <c r="A175" s="5" t="s">
        <v>820</v>
      </c>
      <c r="B175" s="5" t="s">
        <v>358</v>
      </c>
      <c r="C175" s="5" t="s">
        <v>821</v>
      </c>
      <c r="D175" s="5" t="s">
        <v>510</v>
      </c>
      <c r="E175" s="5" t="n">
        <v>2</v>
      </c>
      <c r="F175" s="5" t="s">
        <v>1436</v>
      </c>
      <c r="G175" s="5" t="s">
        <v>1437</v>
      </c>
      <c r="H175" s="5"/>
      <c r="I175" s="5"/>
    </row>
    <row r="176" customFormat="false" ht="33.75" hidden="false" customHeight="true" outlineLevel="0" collapsed="false">
      <c r="A176" s="5" t="s">
        <v>820</v>
      </c>
      <c r="B176" s="5" t="s">
        <v>358</v>
      </c>
      <c r="C176" s="5" t="s">
        <v>821</v>
      </c>
      <c r="D176" s="5" t="s">
        <v>510</v>
      </c>
      <c r="E176" s="5" t="n">
        <v>3</v>
      </c>
      <c r="F176" s="5" t="s">
        <v>1438</v>
      </c>
      <c r="G176" s="5" t="s">
        <v>1439</v>
      </c>
      <c r="H176" s="5"/>
      <c r="I176" s="5"/>
    </row>
    <row r="177" customFormat="false" ht="33.75" hidden="false" customHeight="true" outlineLevel="0" collapsed="false">
      <c r="A177" s="5" t="s">
        <v>826</v>
      </c>
      <c r="B177" s="5" t="s">
        <v>358</v>
      </c>
      <c r="C177" s="5" t="s">
        <v>828</v>
      </c>
      <c r="D177" s="5" t="s">
        <v>522</v>
      </c>
      <c r="E177" s="5" t="n">
        <v>1</v>
      </c>
      <c r="F177" s="5" t="s">
        <v>1440</v>
      </c>
      <c r="G177" s="5" t="s">
        <v>1372</v>
      </c>
      <c r="H177" s="5"/>
      <c r="I177" s="5"/>
    </row>
    <row r="178" customFormat="false" ht="33.75" hidden="false" customHeight="true" outlineLevel="0" collapsed="false">
      <c r="A178" s="5" t="s">
        <v>826</v>
      </c>
      <c r="B178" s="5" t="s">
        <v>358</v>
      </c>
      <c r="C178" s="5" t="s">
        <v>828</v>
      </c>
      <c r="D178" s="5" t="s">
        <v>522</v>
      </c>
      <c r="E178" s="5" t="n">
        <v>2</v>
      </c>
      <c r="F178" s="5" t="s">
        <v>1441</v>
      </c>
      <c r="G178" s="5" t="s">
        <v>1442</v>
      </c>
      <c r="H178" s="5"/>
      <c r="I178" s="5"/>
    </row>
    <row r="179" customFormat="false" ht="33.75" hidden="false" customHeight="true" outlineLevel="0" collapsed="false">
      <c r="A179" s="5" t="s">
        <v>826</v>
      </c>
      <c r="B179" s="5" t="s">
        <v>358</v>
      </c>
      <c r="C179" s="5" t="s">
        <v>828</v>
      </c>
      <c r="D179" s="5" t="s">
        <v>522</v>
      </c>
      <c r="E179" s="5" t="n">
        <v>3</v>
      </c>
      <c r="F179" s="5" t="s">
        <v>1443</v>
      </c>
      <c r="G179" s="5" t="s">
        <v>1444</v>
      </c>
      <c r="H179" s="5"/>
      <c r="I179" s="5"/>
    </row>
    <row r="180" customFormat="false" ht="33.75" hidden="false" customHeight="true" outlineLevel="0" collapsed="false">
      <c r="A180" s="5" t="s">
        <v>834</v>
      </c>
      <c r="B180" s="5" t="s">
        <v>358</v>
      </c>
      <c r="C180" s="5" t="s">
        <v>835</v>
      </c>
      <c r="D180" s="5" t="s">
        <v>510</v>
      </c>
      <c r="E180" s="5" t="n">
        <v>1</v>
      </c>
      <c r="F180" s="5" t="s">
        <v>1445</v>
      </c>
      <c r="G180" s="5" t="s">
        <v>1446</v>
      </c>
      <c r="H180" s="5"/>
      <c r="I180" s="5"/>
    </row>
    <row r="181" customFormat="false" ht="33.75" hidden="false" customHeight="true" outlineLevel="0" collapsed="false">
      <c r="A181" s="5" t="s">
        <v>834</v>
      </c>
      <c r="B181" s="5" t="s">
        <v>358</v>
      </c>
      <c r="C181" s="5" t="s">
        <v>835</v>
      </c>
      <c r="D181" s="5" t="s">
        <v>510</v>
      </c>
      <c r="E181" s="5" t="n">
        <v>2</v>
      </c>
      <c r="F181" s="5" t="s">
        <v>1447</v>
      </c>
      <c r="G181" s="5" t="s">
        <v>1448</v>
      </c>
      <c r="H181" s="5"/>
      <c r="I181" s="5"/>
    </row>
    <row r="182" customFormat="false" ht="33.75" hidden="false" customHeight="true" outlineLevel="0" collapsed="false">
      <c r="A182" s="5" t="s">
        <v>834</v>
      </c>
      <c r="B182" s="5" t="s">
        <v>358</v>
      </c>
      <c r="C182" s="5" t="s">
        <v>835</v>
      </c>
      <c r="D182" s="5" t="s">
        <v>510</v>
      </c>
      <c r="E182" s="5" t="n">
        <v>3</v>
      </c>
      <c r="F182" s="5" t="s">
        <v>1449</v>
      </c>
      <c r="G182" s="5" t="s">
        <v>1450</v>
      </c>
      <c r="H182" s="5"/>
      <c r="I182" s="5"/>
    </row>
    <row r="183" customFormat="false" ht="33.75" hidden="false" customHeight="true" outlineLevel="0" collapsed="false">
      <c r="A183" s="5" t="s">
        <v>834</v>
      </c>
      <c r="B183" s="5" t="s">
        <v>358</v>
      </c>
      <c r="C183" s="5" t="s">
        <v>835</v>
      </c>
      <c r="D183" s="5" t="s">
        <v>510</v>
      </c>
      <c r="E183" s="5" t="n">
        <v>4</v>
      </c>
      <c r="F183" s="5" t="s">
        <v>1451</v>
      </c>
      <c r="G183" s="5" t="s">
        <v>1452</v>
      </c>
      <c r="H183" s="5"/>
      <c r="I183" s="5"/>
    </row>
    <row r="184" customFormat="false" ht="33.75" hidden="false" customHeight="true" outlineLevel="0" collapsed="false">
      <c r="A184" s="5" t="s">
        <v>840</v>
      </c>
      <c r="B184" s="5" t="s">
        <v>358</v>
      </c>
      <c r="C184" s="5" t="s">
        <v>842</v>
      </c>
      <c r="D184" s="5" t="s">
        <v>510</v>
      </c>
      <c r="E184" s="5" t="n">
        <v>1</v>
      </c>
      <c r="F184" s="5" t="s">
        <v>1453</v>
      </c>
      <c r="G184" s="5" t="s">
        <v>1454</v>
      </c>
      <c r="H184" s="5"/>
      <c r="I184" s="5"/>
    </row>
    <row r="185" customFormat="false" ht="33.75" hidden="false" customHeight="true" outlineLevel="0" collapsed="false">
      <c r="A185" s="5" t="s">
        <v>840</v>
      </c>
      <c r="B185" s="5" t="s">
        <v>358</v>
      </c>
      <c r="C185" s="5" t="s">
        <v>842</v>
      </c>
      <c r="D185" s="5" t="s">
        <v>510</v>
      </c>
      <c r="E185" s="5" t="n">
        <v>2</v>
      </c>
      <c r="F185" s="5" t="s">
        <v>1455</v>
      </c>
      <c r="G185" s="5" t="s">
        <v>1456</v>
      </c>
      <c r="H185" s="5"/>
      <c r="I185" s="5"/>
    </row>
    <row r="186" customFormat="false" ht="33.75" hidden="false" customHeight="true" outlineLevel="0" collapsed="false">
      <c r="A186" s="5" t="s">
        <v>840</v>
      </c>
      <c r="B186" s="5" t="s">
        <v>358</v>
      </c>
      <c r="C186" s="5" t="s">
        <v>842</v>
      </c>
      <c r="D186" s="5" t="s">
        <v>510</v>
      </c>
      <c r="E186" s="5" t="n">
        <v>3</v>
      </c>
      <c r="F186" s="5" t="s">
        <v>1457</v>
      </c>
      <c r="G186" s="5" t="s">
        <v>1458</v>
      </c>
      <c r="H186" s="5"/>
      <c r="I186" s="5"/>
    </row>
    <row r="187" customFormat="false" ht="33.75" hidden="false" customHeight="true" outlineLevel="0" collapsed="false">
      <c r="A187" s="5" t="s">
        <v>840</v>
      </c>
      <c r="B187" s="5" t="s">
        <v>358</v>
      </c>
      <c r="C187" s="5" t="s">
        <v>842</v>
      </c>
      <c r="D187" s="5" t="s">
        <v>510</v>
      </c>
      <c r="E187" s="5" t="n">
        <v>4</v>
      </c>
      <c r="F187" s="5" t="s">
        <v>1459</v>
      </c>
      <c r="G187" s="5" t="s">
        <v>1460</v>
      </c>
      <c r="H187" s="5"/>
      <c r="I187" s="5"/>
    </row>
    <row r="188" customFormat="false" ht="33.75" hidden="false" customHeight="true" outlineLevel="0" collapsed="false">
      <c r="A188" s="5" t="s">
        <v>847</v>
      </c>
      <c r="B188" s="5" t="s">
        <v>358</v>
      </c>
      <c r="C188" s="5" t="s">
        <v>848</v>
      </c>
      <c r="D188" s="5" t="s">
        <v>510</v>
      </c>
      <c r="E188" s="5" t="n">
        <v>1</v>
      </c>
      <c r="F188" s="5" t="s">
        <v>1461</v>
      </c>
      <c r="G188" s="5" t="s">
        <v>1462</v>
      </c>
      <c r="H188" s="5"/>
      <c r="I188" s="5"/>
    </row>
    <row r="189" customFormat="false" ht="33.75" hidden="false" customHeight="true" outlineLevel="0" collapsed="false">
      <c r="A189" s="5" t="s">
        <v>847</v>
      </c>
      <c r="B189" s="5" t="s">
        <v>358</v>
      </c>
      <c r="C189" s="5" t="s">
        <v>848</v>
      </c>
      <c r="D189" s="5" t="s">
        <v>510</v>
      </c>
      <c r="E189" s="5" t="n">
        <v>2</v>
      </c>
      <c r="F189" s="5" t="s">
        <v>1463</v>
      </c>
      <c r="G189" s="5" t="s">
        <v>1464</v>
      </c>
      <c r="H189" s="5"/>
      <c r="I189" s="5"/>
    </row>
    <row r="190" customFormat="false" ht="33.75" hidden="false" customHeight="true" outlineLevel="0" collapsed="false">
      <c r="A190" s="5" t="s">
        <v>847</v>
      </c>
      <c r="B190" s="5" t="s">
        <v>358</v>
      </c>
      <c r="C190" s="5" t="s">
        <v>848</v>
      </c>
      <c r="D190" s="5" t="s">
        <v>510</v>
      </c>
      <c r="E190" s="5" t="n">
        <v>3</v>
      </c>
      <c r="F190" s="5" t="s">
        <v>1465</v>
      </c>
      <c r="G190" s="5" t="s">
        <v>1466</v>
      </c>
      <c r="H190" s="5"/>
      <c r="I190" s="5"/>
    </row>
    <row r="191" customFormat="false" ht="33.75" hidden="false" customHeight="true" outlineLevel="0" collapsed="false">
      <c r="A191" s="5" t="s">
        <v>852</v>
      </c>
      <c r="B191" s="5" t="s">
        <v>358</v>
      </c>
      <c r="C191" s="5" t="s">
        <v>854</v>
      </c>
      <c r="D191" s="5" t="s">
        <v>522</v>
      </c>
      <c r="E191" s="5" t="n">
        <v>1</v>
      </c>
      <c r="F191" s="5" t="s">
        <v>1467</v>
      </c>
      <c r="G191" s="5" t="s">
        <v>1468</v>
      </c>
      <c r="H191" s="5"/>
      <c r="I191" s="5"/>
    </row>
    <row r="192" customFormat="false" ht="33.75" hidden="false" customHeight="true" outlineLevel="0" collapsed="false">
      <c r="A192" s="5" t="s">
        <v>852</v>
      </c>
      <c r="B192" s="5" t="s">
        <v>358</v>
      </c>
      <c r="C192" s="5" t="s">
        <v>854</v>
      </c>
      <c r="D192" s="5" t="s">
        <v>522</v>
      </c>
      <c r="E192" s="5" t="n">
        <v>2</v>
      </c>
      <c r="F192" s="5" t="s">
        <v>1469</v>
      </c>
      <c r="G192" s="5" t="s">
        <v>1470</v>
      </c>
      <c r="H192" s="5"/>
      <c r="I192" s="5"/>
    </row>
    <row r="193" customFormat="false" ht="33.75" hidden="false" customHeight="true" outlineLevel="0" collapsed="false">
      <c r="A193" s="5" t="s">
        <v>852</v>
      </c>
      <c r="B193" s="5" t="s">
        <v>358</v>
      </c>
      <c r="C193" s="5" t="s">
        <v>854</v>
      </c>
      <c r="D193" s="5" t="s">
        <v>522</v>
      </c>
      <c r="E193" s="5" t="n">
        <v>3</v>
      </c>
      <c r="F193" s="5" t="s">
        <v>1471</v>
      </c>
      <c r="G193" s="5" t="s">
        <v>1472</v>
      </c>
      <c r="H193" s="5"/>
      <c r="I193" s="5"/>
    </row>
    <row r="194" customFormat="false" ht="33.75" hidden="false" customHeight="true" outlineLevel="0" collapsed="false">
      <c r="A194" s="5" t="s">
        <v>852</v>
      </c>
      <c r="B194" s="5" t="s">
        <v>358</v>
      </c>
      <c r="C194" s="5" t="s">
        <v>854</v>
      </c>
      <c r="D194" s="5" t="s">
        <v>522</v>
      </c>
      <c r="E194" s="5" t="n">
        <v>4</v>
      </c>
      <c r="F194" s="5" t="s">
        <v>1473</v>
      </c>
      <c r="G194" s="5" t="s">
        <v>1474</v>
      </c>
      <c r="H194" s="5"/>
      <c r="I194" s="5"/>
    </row>
    <row r="195" customFormat="false" ht="33.75" hidden="false" customHeight="true" outlineLevel="0" collapsed="false">
      <c r="A195" s="5" t="s">
        <v>861</v>
      </c>
      <c r="B195" s="5" t="s">
        <v>358</v>
      </c>
      <c r="C195" s="5" t="s">
        <v>862</v>
      </c>
      <c r="D195" s="5" t="s">
        <v>522</v>
      </c>
      <c r="E195" s="5" t="n">
        <v>1</v>
      </c>
      <c r="F195" s="5" t="s">
        <v>1475</v>
      </c>
      <c r="G195" s="5" t="s">
        <v>1470</v>
      </c>
      <c r="H195" s="5"/>
      <c r="I195" s="5"/>
    </row>
    <row r="196" customFormat="false" ht="33.75" hidden="false" customHeight="true" outlineLevel="0" collapsed="false">
      <c r="A196" s="5" t="s">
        <v>861</v>
      </c>
      <c r="B196" s="5" t="s">
        <v>358</v>
      </c>
      <c r="C196" s="5" t="s">
        <v>862</v>
      </c>
      <c r="D196" s="5" t="s">
        <v>522</v>
      </c>
      <c r="E196" s="5" t="n">
        <v>2</v>
      </c>
      <c r="F196" s="5" t="s">
        <v>1476</v>
      </c>
      <c r="G196" s="5" t="s">
        <v>1477</v>
      </c>
      <c r="H196" s="5"/>
      <c r="I196" s="5"/>
    </row>
    <row r="197" customFormat="false" ht="33.75" hidden="false" customHeight="true" outlineLevel="0" collapsed="false">
      <c r="A197" s="5" t="s">
        <v>861</v>
      </c>
      <c r="B197" s="5" t="s">
        <v>358</v>
      </c>
      <c r="C197" s="5" t="s">
        <v>862</v>
      </c>
      <c r="D197" s="5" t="s">
        <v>522</v>
      </c>
      <c r="E197" s="5" t="n">
        <v>3</v>
      </c>
      <c r="F197" s="5" t="s">
        <v>1473</v>
      </c>
      <c r="G197" s="5" t="s">
        <v>1478</v>
      </c>
      <c r="H197" s="5"/>
      <c r="I197" s="5"/>
    </row>
    <row r="198" customFormat="false" ht="33.75" hidden="false" customHeight="true" outlineLevel="0" collapsed="false">
      <c r="A198" s="5" t="s">
        <v>867</v>
      </c>
      <c r="B198" s="5" t="s">
        <v>358</v>
      </c>
      <c r="C198" s="5" t="s">
        <v>869</v>
      </c>
      <c r="D198" s="5" t="s">
        <v>522</v>
      </c>
      <c r="E198" s="5" t="n">
        <v>1</v>
      </c>
      <c r="F198" s="5" t="s">
        <v>1479</v>
      </c>
      <c r="G198" s="5" t="s">
        <v>1480</v>
      </c>
      <c r="H198" s="5"/>
      <c r="I198" s="5"/>
    </row>
    <row r="199" customFormat="false" ht="33.75" hidden="false" customHeight="true" outlineLevel="0" collapsed="false">
      <c r="A199" s="5" t="s">
        <v>867</v>
      </c>
      <c r="B199" s="5" t="s">
        <v>358</v>
      </c>
      <c r="C199" s="5" t="s">
        <v>869</v>
      </c>
      <c r="D199" s="5" t="s">
        <v>522</v>
      </c>
      <c r="E199" s="5" t="n">
        <v>2</v>
      </c>
      <c r="F199" s="5" t="s">
        <v>1481</v>
      </c>
      <c r="G199" s="5" t="s">
        <v>1482</v>
      </c>
      <c r="H199" s="5"/>
      <c r="I199" s="5"/>
    </row>
    <row r="200" customFormat="false" ht="33.75" hidden="false" customHeight="true" outlineLevel="0" collapsed="false">
      <c r="A200" s="5" t="s">
        <v>867</v>
      </c>
      <c r="B200" s="5" t="s">
        <v>358</v>
      </c>
      <c r="C200" s="5" t="s">
        <v>869</v>
      </c>
      <c r="D200" s="5" t="s">
        <v>522</v>
      </c>
      <c r="E200" s="5" t="n">
        <v>3</v>
      </c>
      <c r="F200" s="5" t="s">
        <v>1483</v>
      </c>
      <c r="G200" s="5" t="s">
        <v>1484</v>
      </c>
      <c r="H200" s="5"/>
      <c r="I200" s="5"/>
    </row>
    <row r="201" customFormat="false" ht="33.75" hidden="false" customHeight="true" outlineLevel="0" collapsed="false">
      <c r="A201" s="5" t="s">
        <v>867</v>
      </c>
      <c r="B201" s="5" t="s">
        <v>358</v>
      </c>
      <c r="C201" s="5" t="s">
        <v>869</v>
      </c>
      <c r="D201" s="5" t="s">
        <v>522</v>
      </c>
      <c r="E201" s="5" t="n">
        <v>4</v>
      </c>
      <c r="F201" s="5" t="s">
        <v>1485</v>
      </c>
      <c r="G201" s="5" t="s">
        <v>1474</v>
      </c>
      <c r="H201" s="5"/>
      <c r="I201" s="5"/>
    </row>
    <row r="202" customFormat="false" ht="33.75" hidden="false" customHeight="true" outlineLevel="0" collapsed="false">
      <c r="A202" s="5" t="s">
        <v>867</v>
      </c>
      <c r="B202" s="5" t="s">
        <v>358</v>
      </c>
      <c r="C202" s="5" t="s">
        <v>869</v>
      </c>
      <c r="D202" s="5" t="s">
        <v>522</v>
      </c>
      <c r="E202" s="5" t="n">
        <v>5</v>
      </c>
      <c r="F202" s="5" t="s">
        <v>1486</v>
      </c>
      <c r="G202" s="5" t="s">
        <v>1487</v>
      </c>
      <c r="H202" s="5"/>
      <c r="I202" s="5"/>
    </row>
    <row r="203" customFormat="false" ht="33.75" hidden="false" customHeight="true" outlineLevel="0" collapsed="false">
      <c r="A203" s="5" t="s">
        <v>875</v>
      </c>
      <c r="B203" s="5" t="s">
        <v>358</v>
      </c>
      <c r="C203" s="5" t="s">
        <v>876</v>
      </c>
      <c r="D203" s="5" t="s">
        <v>510</v>
      </c>
      <c r="E203" s="5" t="n">
        <v>1</v>
      </c>
      <c r="F203" s="5" t="s">
        <v>1488</v>
      </c>
      <c r="G203" s="5" t="s">
        <v>1489</v>
      </c>
      <c r="H203" s="5"/>
      <c r="I203" s="5"/>
    </row>
    <row r="204" customFormat="false" ht="33.75" hidden="false" customHeight="true" outlineLevel="0" collapsed="false">
      <c r="A204" s="5" t="s">
        <v>875</v>
      </c>
      <c r="B204" s="5" t="s">
        <v>358</v>
      </c>
      <c r="C204" s="5" t="s">
        <v>876</v>
      </c>
      <c r="D204" s="5" t="s">
        <v>510</v>
      </c>
      <c r="E204" s="5" t="n">
        <v>2</v>
      </c>
      <c r="F204" s="5" t="s">
        <v>1490</v>
      </c>
      <c r="G204" s="5" t="s">
        <v>1491</v>
      </c>
      <c r="H204" s="5"/>
      <c r="I204" s="5"/>
    </row>
    <row r="205" customFormat="false" ht="33.75" hidden="false" customHeight="true" outlineLevel="0" collapsed="false">
      <c r="A205" s="5" t="s">
        <v>875</v>
      </c>
      <c r="B205" s="5" t="s">
        <v>358</v>
      </c>
      <c r="C205" s="5" t="s">
        <v>876</v>
      </c>
      <c r="D205" s="5" t="s">
        <v>510</v>
      </c>
      <c r="E205" s="5" t="n">
        <v>3</v>
      </c>
      <c r="F205" s="5" t="s">
        <v>1492</v>
      </c>
      <c r="G205" s="5" t="s">
        <v>1493</v>
      </c>
      <c r="H205" s="5"/>
      <c r="I205" s="5"/>
    </row>
    <row r="206" customFormat="false" ht="33.75" hidden="false" customHeight="true" outlineLevel="0" collapsed="false">
      <c r="A206" s="5" t="s">
        <v>875</v>
      </c>
      <c r="B206" s="5" t="s">
        <v>358</v>
      </c>
      <c r="C206" s="5" t="s">
        <v>876</v>
      </c>
      <c r="D206" s="5" t="s">
        <v>510</v>
      </c>
      <c r="E206" s="5" t="n">
        <v>4</v>
      </c>
      <c r="F206" s="5" t="s">
        <v>1494</v>
      </c>
      <c r="G206" s="5" t="s">
        <v>1495</v>
      </c>
      <c r="H206" s="5"/>
      <c r="I206" s="5"/>
    </row>
    <row r="207" customFormat="false" ht="33.75" hidden="false" customHeight="true" outlineLevel="0" collapsed="false">
      <c r="A207" s="5" t="s">
        <v>875</v>
      </c>
      <c r="B207" s="5" t="s">
        <v>358</v>
      </c>
      <c r="C207" s="5" t="s">
        <v>876</v>
      </c>
      <c r="D207" s="5" t="s">
        <v>510</v>
      </c>
      <c r="E207" s="5" t="n">
        <v>5</v>
      </c>
      <c r="F207" s="5" t="s">
        <v>1496</v>
      </c>
      <c r="G207" s="5" t="s">
        <v>1497</v>
      </c>
      <c r="H207" s="5"/>
      <c r="I207" s="5"/>
    </row>
    <row r="208" customFormat="false" ht="33.75" hidden="false" customHeight="true" outlineLevel="0" collapsed="false">
      <c r="A208" s="5" t="s">
        <v>882</v>
      </c>
      <c r="B208" s="5" t="s">
        <v>358</v>
      </c>
      <c r="C208" s="5" t="s">
        <v>883</v>
      </c>
      <c r="D208" s="5" t="s">
        <v>510</v>
      </c>
      <c r="E208" s="5" t="n">
        <v>1</v>
      </c>
      <c r="F208" s="5" t="s">
        <v>1498</v>
      </c>
      <c r="G208" s="5" t="s">
        <v>1499</v>
      </c>
      <c r="H208" s="5"/>
      <c r="I208" s="5"/>
    </row>
    <row r="209" customFormat="false" ht="33.75" hidden="false" customHeight="true" outlineLevel="0" collapsed="false">
      <c r="A209" s="5" t="s">
        <v>882</v>
      </c>
      <c r="B209" s="5" t="s">
        <v>358</v>
      </c>
      <c r="C209" s="5" t="s">
        <v>883</v>
      </c>
      <c r="D209" s="5" t="s">
        <v>510</v>
      </c>
      <c r="E209" s="5" t="n">
        <v>2</v>
      </c>
      <c r="F209" s="5" t="s">
        <v>1500</v>
      </c>
      <c r="G209" s="5" t="s">
        <v>1501</v>
      </c>
      <c r="H209" s="5"/>
      <c r="I209" s="5"/>
    </row>
    <row r="210" customFormat="false" ht="33.75" hidden="false" customHeight="true" outlineLevel="0" collapsed="false">
      <c r="A210" s="5" t="s">
        <v>882</v>
      </c>
      <c r="B210" s="5" t="s">
        <v>358</v>
      </c>
      <c r="C210" s="5" t="s">
        <v>883</v>
      </c>
      <c r="D210" s="5" t="s">
        <v>510</v>
      </c>
      <c r="E210" s="5" t="n">
        <v>3</v>
      </c>
      <c r="F210" s="5" t="s">
        <v>1502</v>
      </c>
      <c r="G210" s="5" t="s">
        <v>1503</v>
      </c>
      <c r="H210" s="5"/>
      <c r="I210" s="5"/>
    </row>
    <row r="211" customFormat="false" ht="33.75" hidden="false" customHeight="true" outlineLevel="0" collapsed="false">
      <c r="A211" s="5" t="s">
        <v>888</v>
      </c>
      <c r="B211" s="5" t="s">
        <v>358</v>
      </c>
      <c r="C211" s="5" t="s">
        <v>890</v>
      </c>
      <c r="D211" s="5" t="s">
        <v>510</v>
      </c>
      <c r="E211" s="5" t="n">
        <v>1</v>
      </c>
      <c r="F211" s="5" t="s">
        <v>1504</v>
      </c>
      <c r="G211" s="5" t="s">
        <v>1505</v>
      </c>
      <c r="H211" s="5"/>
      <c r="I211" s="5"/>
    </row>
    <row r="212" customFormat="false" ht="33.75" hidden="false" customHeight="true" outlineLevel="0" collapsed="false">
      <c r="A212" s="5" t="s">
        <v>888</v>
      </c>
      <c r="B212" s="5" t="s">
        <v>358</v>
      </c>
      <c r="C212" s="5" t="s">
        <v>890</v>
      </c>
      <c r="D212" s="5" t="s">
        <v>510</v>
      </c>
      <c r="E212" s="5" t="n">
        <v>2</v>
      </c>
      <c r="F212" s="5" t="s">
        <v>1506</v>
      </c>
      <c r="G212" s="5" t="s">
        <v>1507</v>
      </c>
      <c r="H212" s="5"/>
      <c r="I212" s="5"/>
    </row>
    <row r="213" customFormat="false" ht="33.75" hidden="false" customHeight="true" outlineLevel="0" collapsed="false">
      <c r="A213" s="5" t="s">
        <v>888</v>
      </c>
      <c r="B213" s="5" t="s">
        <v>358</v>
      </c>
      <c r="C213" s="5" t="s">
        <v>890</v>
      </c>
      <c r="D213" s="5" t="s">
        <v>510</v>
      </c>
      <c r="E213" s="5" t="n">
        <v>3</v>
      </c>
      <c r="F213" s="5" t="s">
        <v>1508</v>
      </c>
      <c r="G213" s="5" t="s">
        <v>1509</v>
      </c>
      <c r="H213" s="5"/>
      <c r="I213" s="5"/>
    </row>
    <row r="214" customFormat="false" ht="33.75" hidden="false" customHeight="true" outlineLevel="0" collapsed="false">
      <c r="A214" s="5" t="s">
        <v>897</v>
      </c>
      <c r="B214" s="5" t="s">
        <v>358</v>
      </c>
      <c r="C214" s="5" t="s">
        <v>898</v>
      </c>
      <c r="D214" s="5" t="s">
        <v>510</v>
      </c>
      <c r="E214" s="5" t="n">
        <v>1</v>
      </c>
      <c r="F214" s="5" t="s">
        <v>1510</v>
      </c>
      <c r="G214" s="5" t="s">
        <v>1511</v>
      </c>
      <c r="H214" s="5"/>
      <c r="I214" s="5"/>
    </row>
    <row r="215" customFormat="false" ht="33.75" hidden="false" customHeight="true" outlineLevel="0" collapsed="false">
      <c r="A215" s="5" t="s">
        <v>897</v>
      </c>
      <c r="B215" s="5" t="s">
        <v>358</v>
      </c>
      <c r="C215" s="5" t="s">
        <v>898</v>
      </c>
      <c r="D215" s="5" t="s">
        <v>510</v>
      </c>
      <c r="E215" s="5" t="n">
        <v>2</v>
      </c>
      <c r="F215" s="5" t="s">
        <v>1512</v>
      </c>
      <c r="G215" s="5" t="s">
        <v>1513</v>
      </c>
      <c r="H215" s="5"/>
      <c r="I215" s="5"/>
    </row>
    <row r="216" customFormat="false" ht="33.75" hidden="false" customHeight="true" outlineLevel="0" collapsed="false">
      <c r="A216" s="5" t="s">
        <v>904</v>
      </c>
      <c r="B216" s="5" t="s">
        <v>358</v>
      </c>
      <c r="C216" s="5" t="s">
        <v>905</v>
      </c>
      <c r="D216" s="5" t="s">
        <v>510</v>
      </c>
      <c r="E216" s="5" t="n">
        <v>1</v>
      </c>
      <c r="F216" s="5" t="s">
        <v>1514</v>
      </c>
      <c r="G216" s="5" t="s">
        <v>1515</v>
      </c>
      <c r="H216" s="5"/>
      <c r="I216" s="5"/>
    </row>
    <row r="217" customFormat="false" ht="33.75" hidden="false" customHeight="true" outlineLevel="0" collapsed="false">
      <c r="A217" s="5" t="s">
        <v>904</v>
      </c>
      <c r="B217" s="5" t="s">
        <v>358</v>
      </c>
      <c r="C217" s="5" t="s">
        <v>905</v>
      </c>
      <c r="D217" s="5" t="s">
        <v>510</v>
      </c>
      <c r="E217" s="5" t="n">
        <v>2</v>
      </c>
      <c r="F217" s="5" t="s">
        <v>1516</v>
      </c>
      <c r="G217" s="5" t="s">
        <v>1517</v>
      </c>
      <c r="H217" s="5"/>
      <c r="I217" s="5"/>
    </row>
    <row r="218" customFormat="false" ht="33.75" hidden="false" customHeight="true" outlineLevel="0" collapsed="false">
      <c r="A218" s="5" t="s">
        <v>904</v>
      </c>
      <c r="B218" s="5" t="s">
        <v>358</v>
      </c>
      <c r="C218" s="5" t="s">
        <v>905</v>
      </c>
      <c r="D218" s="5" t="s">
        <v>510</v>
      </c>
      <c r="E218" s="5" t="n">
        <v>3</v>
      </c>
      <c r="F218" s="5" t="s">
        <v>1518</v>
      </c>
      <c r="G218" s="5" t="s">
        <v>1519</v>
      </c>
      <c r="H218" s="5"/>
      <c r="I218" s="5"/>
    </row>
    <row r="219" customFormat="false" ht="33.75" hidden="false" customHeight="true" outlineLevel="0" collapsed="false">
      <c r="A219" s="5" t="s">
        <v>904</v>
      </c>
      <c r="B219" s="5" t="s">
        <v>358</v>
      </c>
      <c r="C219" s="5" t="s">
        <v>905</v>
      </c>
      <c r="D219" s="5" t="s">
        <v>510</v>
      </c>
      <c r="E219" s="5" t="n">
        <v>4</v>
      </c>
      <c r="F219" s="5" t="s">
        <v>1520</v>
      </c>
      <c r="G219" s="5" t="s">
        <v>1521</v>
      </c>
      <c r="H219" s="5"/>
      <c r="I219" s="5"/>
    </row>
    <row r="220" customFormat="false" ht="33.75" hidden="false" customHeight="true" outlineLevel="0" collapsed="false">
      <c r="A220" s="5" t="s">
        <v>904</v>
      </c>
      <c r="B220" s="5" t="s">
        <v>358</v>
      </c>
      <c r="C220" s="5" t="s">
        <v>905</v>
      </c>
      <c r="D220" s="5" t="s">
        <v>510</v>
      </c>
      <c r="E220" s="5" t="n">
        <v>5</v>
      </c>
      <c r="F220" s="5" t="s">
        <v>1467</v>
      </c>
      <c r="G220" s="5" t="s">
        <v>1522</v>
      </c>
      <c r="H220" s="5"/>
      <c r="I220" s="5"/>
    </row>
    <row r="221" customFormat="false" ht="33.75" hidden="false" customHeight="true" outlineLevel="0" collapsed="false">
      <c r="A221" s="5" t="s">
        <v>912</v>
      </c>
      <c r="B221" s="5" t="s">
        <v>358</v>
      </c>
      <c r="C221" s="5" t="s">
        <v>914</v>
      </c>
      <c r="D221" s="5" t="s">
        <v>510</v>
      </c>
      <c r="E221" s="5" t="n">
        <v>1</v>
      </c>
      <c r="F221" s="5" t="s">
        <v>1523</v>
      </c>
      <c r="G221" s="5" t="s">
        <v>1524</v>
      </c>
      <c r="H221" s="5"/>
      <c r="I221" s="5"/>
    </row>
    <row r="222" customFormat="false" ht="33.75" hidden="false" customHeight="true" outlineLevel="0" collapsed="false">
      <c r="A222" s="5" t="s">
        <v>912</v>
      </c>
      <c r="B222" s="5" t="s">
        <v>358</v>
      </c>
      <c r="C222" s="5" t="s">
        <v>914</v>
      </c>
      <c r="D222" s="5" t="s">
        <v>510</v>
      </c>
      <c r="E222" s="5" t="n">
        <v>2</v>
      </c>
      <c r="F222" s="5" t="s">
        <v>1525</v>
      </c>
      <c r="G222" s="5" t="s">
        <v>1526</v>
      </c>
      <c r="H222" s="5"/>
      <c r="I222" s="5"/>
    </row>
    <row r="223" customFormat="false" ht="33.75" hidden="false" customHeight="true" outlineLevel="0" collapsed="false">
      <c r="A223" s="5" t="s">
        <v>912</v>
      </c>
      <c r="B223" s="5" t="s">
        <v>358</v>
      </c>
      <c r="C223" s="5" t="s">
        <v>914</v>
      </c>
      <c r="D223" s="5" t="s">
        <v>510</v>
      </c>
      <c r="E223" s="5" t="n">
        <v>3</v>
      </c>
      <c r="F223" s="5" t="s">
        <v>1527</v>
      </c>
      <c r="G223" s="5" t="s">
        <v>1528</v>
      </c>
      <c r="H223" s="5"/>
      <c r="I223" s="5"/>
    </row>
    <row r="224" customFormat="false" ht="33.75" hidden="false" customHeight="true" outlineLevel="0" collapsed="false">
      <c r="A224" s="5" t="s">
        <v>912</v>
      </c>
      <c r="B224" s="5" t="s">
        <v>358</v>
      </c>
      <c r="C224" s="5" t="s">
        <v>914</v>
      </c>
      <c r="D224" s="5" t="s">
        <v>510</v>
      </c>
      <c r="E224" s="5" t="n">
        <v>4</v>
      </c>
      <c r="F224" s="5" t="s">
        <v>1529</v>
      </c>
      <c r="G224" s="5" t="s">
        <v>1530</v>
      </c>
      <c r="H224" s="5"/>
      <c r="I224" s="5"/>
    </row>
    <row r="225" customFormat="false" ht="33.75" hidden="false" customHeight="true" outlineLevel="0" collapsed="false">
      <c r="A225" s="5" t="s">
        <v>922</v>
      </c>
      <c r="B225" s="5" t="s">
        <v>358</v>
      </c>
      <c r="C225" s="5" t="s">
        <v>923</v>
      </c>
      <c r="D225" s="5" t="s">
        <v>510</v>
      </c>
      <c r="E225" s="5" t="n">
        <v>1</v>
      </c>
      <c r="F225" s="5" t="s">
        <v>1531</v>
      </c>
      <c r="G225" s="5" t="s">
        <v>1532</v>
      </c>
      <c r="H225" s="5"/>
      <c r="I225" s="5"/>
    </row>
    <row r="226" customFormat="false" ht="33.75" hidden="false" customHeight="true" outlineLevel="0" collapsed="false">
      <c r="A226" s="5" t="s">
        <v>922</v>
      </c>
      <c r="B226" s="5" t="s">
        <v>358</v>
      </c>
      <c r="C226" s="5" t="s">
        <v>923</v>
      </c>
      <c r="D226" s="5" t="s">
        <v>510</v>
      </c>
      <c r="E226" s="5" t="n">
        <v>2</v>
      </c>
      <c r="F226" s="5" t="s">
        <v>1533</v>
      </c>
      <c r="G226" s="5" t="s">
        <v>1534</v>
      </c>
      <c r="H226" s="5"/>
      <c r="I226" s="5"/>
    </row>
    <row r="227" customFormat="false" ht="33.75" hidden="false" customHeight="true" outlineLevel="0" collapsed="false">
      <c r="A227" s="5" t="s">
        <v>922</v>
      </c>
      <c r="B227" s="5" t="s">
        <v>358</v>
      </c>
      <c r="C227" s="5" t="s">
        <v>923</v>
      </c>
      <c r="D227" s="5" t="s">
        <v>510</v>
      </c>
      <c r="E227" s="5" t="n">
        <v>3</v>
      </c>
      <c r="F227" s="5" t="s">
        <v>1535</v>
      </c>
      <c r="G227" s="5" t="s">
        <v>1536</v>
      </c>
      <c r="H227" s="5"/>
      <c r="I227" s="5"/>
    </row>
    <row r="228" customFormat="false" ht="33.75" hidden="false" customHeight="true" outlineLevel="0" collapsed="false">
      <c r="A228" s="5" t="s">
        <v>922</v>
      </c>
      <c r="B228" s="5" t="s">
        <v>358</v>
      </c>
      <c r="C228" s="5" t="s">
        <v>923</v>
      </c>
      <c r="D228" s="5" t="s">
        <v>510</v>
      </c>
      <c r="E228" s="5" t="n">
        <v>4</v>
      </c>
      <c r="F228" s="5" t="s">
        <v>1537</v>
      </c>
      <c r="G228" s="5" t="s">
        <v>1538</v>
      </c>
      <c r="H228" s="5"/>
      <c r="I228" s="5"/>
    </row>
    <row r="229" customFormat="false" ht="33.75" hidden="false" customHeight="true" outlineLevel="0" collapsed="false">
      <c r="A229" s="5" t="s">
        <v>930</v>
      </c>
      <c r="B229" s="5" t="s">
        <v>349</v>
      </c>
      <c r="C229" s="5" t="s">
        <v>932</v>
      </c>
      <c r="D229" s="5" t="s">
        <v>510</v>
      </c>
      <c r="E229" s="5" t="n">
        <v>1</v>
      </c>
      <c r="F229" s="5" t="s">
        <v>1305</v>
      </c>
      <c r="G229" s="5" t="s">
        <v>1539</v>
      </c>
      <c r="H229" s="5"/>
      <c r="I229" s="5"/>
    </row>
    <row r="230" customFormat="false" ht="33.75" hidden="false" customHeight="true" outlineLevel="0" collapsed="false">
      <c r="A230" s="5" t="s">
        <v>930</v>
      </c>
      <c r="B230" s="5" t="s">
        <v>349</v>
      </c>
      <c r="C230" s="5" t="s">
        <v>932</v>
      </c>
      <c r="D230" s="5" t="s">
        <v>510</v>
      </c>
      <c r="E230" s="5" t="n">
        <v>2</v>
      </c>
      <c r="F230" s="5" t="s">
        <v>1540</v>
      </c>
      <c r="G230" s="5" t="s">
        <v>1541</v>
      </c>
      <c r="H230" s="5"/>
      <c r="I230" s="5"/>
    </row>
    <row r="231" customFormat="false" ht="33.75" hidden="false" customHeight="true" outlineLevel="0" collapsed="false">
      <c r="A231" s="5" t="s">
        <v>930</v>
      </c>
      <c r="B231" s="5" t="s">
        <v>349</v>
      </c>
      <c r="C231" s="5" t="s">
        <v>932</v>
      </c>
      <c r="D231" s="5" t="s">
        <v>510</v>
      </c>
      <c r="E231" s="5" t="n">
        <v>3</v>
      </c>
      <c r="F231" s="5" t="s">
        <v>1542</v>
      </c>
      <c r="G231" s="5" t="s">
        <v>1543</v>
      </c>
      <c r="H231" s="5"/>
      <c r="I231" s="5"/>
    </row>
    <row r="232" customFormat="false" ht="33.75" hidden="false" customHeight="true" outlineLevel="0" collapsed="false">
      <c r="A232" s="5" t="s">
        <v>939</v>
      </c>
      <c r="B232" s="5" t="s">
        <v>349</v>
      </c>
      <c r="C232" s="5" t="s">
        <v>940</v>
      </c>
      <c r="D232" s="5" t="s">
        <v>522</v>
      </c>
      <c r="E232" s="5" t="n">
        <v>1</v>
      </c>
      <c r="F232" s="5" t="s">
        <v>1544</v>
      </c>
      <c r="G232" s="5" t="s">
        <v>524</v>
      </c>
      <c r="H232" s="5"/>
      <c r="I232" s="5"/>
    </row>
    <row r="233" customFormat="false" ht="33.75" hidden="false" customHeight="true" outlineLevel="0" collapsed="false">
      <c r="A233" s="5" t="s">
        <v>939</v>
      </c>
      <c r="B233" s="5" t="s">
        <v>349</v>
      </c>
      <c r="C233" s="5" t="s">
        <v>940</v>
      </c>
      <c r="D233" s="5" t="s">
        <v>522</v>
      </c>
      <c r="E233" s="5" t="n">
        <v>2</v>
      </c>
      <c r="F233" s="5" t="s">
        <v>1545</v>
      </c>
      <c r="G233" s="5" t="s">
        <v>1546</v>
      </c>
      <c r="H233" s="5"/>
      <c r="I233" s="5"/>
    </row>
    <row r="234" customFormat="false" ht="33.75" hidden="false" customHeight="true" outlineLevel="0" collapsed="false">
      <c r="A234" s="5" t="s">
        <v>939</v>
      </c>
      <c r="B234" s="5" t="s">
        <v>349</v>
      </c>
      <c r="C234" s="5" t="s">
        <v>940</v>
      </c>
      <c r="D234" s="5" t="s">
        <v>522</v>
      </c>
      <c r="E234" s="5" t="n">
        <v>3</v>
      </c>
      <c r="F234" s="5" t="s">
        <v>1547</v>
      </c>
      <c r="G234" s="5" t="s">
        <v>1548</v>
      </c>
      <c r="H234" s="5"/>
      <c r="I234" s="5"/>
    </row>
    <row r="235" customFormat="false" ht="33.75" hidden="false" customHeight="true" outlineLevel="0" collapsed="false">
      <c r="A235" s="5" t="s">
        <v>945</v>
      </c>
      <c r="B235" s="5" t="s">
        <v>341</v>
      </c>
      <c r="C235" s="5" t="s">
        <v>947</v>
      </c>
      <c r="D235" s="5" t="s">
        <v>510</v>
      </c>
      <c r="E235" s="5" t="n">
        <v>1</v>
      </c>
      <c r="F235" s="5" t="s">
        <v>1549</v>
      </c>
      <c r="G235" s="5" t="s">
        <v>1550</v>
      </c>
      <c r="H235" s="5"/>
      <c r="I235" s="5"/>
    </row>
    <row r="236" customFormat="false" ht="33.75" hidden="false" customHeight="true" outlineLevel="0" collapsed="false">
      <c r="A236" s="5" t="s">
        <v>945</v>
      </c>
      <c r="B236" s="5" t="s">
        <v>341</v>
      </c>
      <c r="C236" s="5" t="s">
        <v>947</v>
      </c>
      <c r="D236" s="5" t="s">
        <v>510</v>
      </c>
      <c r="E236" s="5" t="n">
        <v>2</v>
      </c>
      <c r="F236" s="5" t="s">
        <v>1551</v>
      </c>
      <c r="G236" s="5" t="s">
        <v>1552</v>
      </c>
      <c r="H236" s="5"/>
      <c r="I236" s="5"/>
    </row>
    <row r="237" customFormat="false" ht="33.75" hidden="false" customHeight="true" outlineLevel="0" collapsed="false">
      <c r="A237" s="5" t="s">
        <v>945</v>
      </c>
      <c r="B237" s="5" t="s">
        <v>341</v>
      </c>
      <c r="C237" s="5" t="s">
        <v>947</v>
      </c>
      <c r="D237" s="5" t="s">
        <v>510</v>
      </c>
      <c r="E237" s="5" t="n">
        <v>3</v>
      </c>
      <c r="F237" s="5" t="s">
        <v>1553</v>
      </c>
      <c r="G237" s="5" t="s">
        <v>1554</v>
      </c>
      <c r="H237" s="5"/>
      <c r="I237" s="5"/>
    </row>
    <row r="238" customFormat="false" ht="33.75" hidden="false" customHeight="true" outlineLevel="0" collapsed="false">
      <c r="A238" s="5" t="s">
        <v>953</v>
      </c>
      <c r="B238" s="5" t="s">
        <v>341</v>
      </c>
      <c r="C238" s="5" t="s">
        <v>954</v>
      </c>
      <c r="D238" s="5" t="s">
        <v>522</v>
      </c>
      <c r="E238" s="5" t="n">
        <v>1</v>
      </c>
      <c r="F238" s="5" t="s">
        <v>1555</v>
      </c>
      <c r="G238" s="5" t="s">
        <v>1556</v>
      </c>
      <c r="H238" s="5"/>
      <c r="I238" s="5"/>
    </row>
    <row r="239" customFormat="false" ht="33.75" hidden="false" customHeight="true" outlineLevel="0" collapsed="false">
      <c r="A239" s="5" t="s">
        <v>953</v>
      </c>
      <c r="B239" s="5" t="s">
        <v>341</v>
      </c>
      <c r="C239" s="5" t="s">
        <v>954</v>
      </c>
      <c r="D239" s="5" t="s">
        <v>522</v>
      </c>
      <c r="E239" s="5" t="n">
        <v>2</v>
      </c>
      <c r="F239" s="5" t="s">
        <v>1557</v>
      </c>
      <c r="G239" s="5" t="s">
        <v>1558</v>
      </c>
      <c r="H239" s="5"/>
      <c r="I239" s="5"/>
    </row>
    <row r="240" customFormat="false" ht="33.75" hidden="false" customHeight="true" outlineLevel="0" collapsed="false">
      <c r="A240" s="5" t="s">
        <v>953</v>
      </c>
      <c r="B240" s="5" t="s">
        <v>341</v>
      </c>
      <c r="C240" s="5" t="s">
        <v>954</v>
      </c>
      <c r="D240" s="5" t="s">
        <v>522</v>
      </c>
      <c r="E240" s="5" t="n">
        <v>3</v>
      </c>
      <c r="F240" s="5" t="s">
        <v>1272</v>
      </c>
      <c r="G240" s="5" t="s">
        <v>1559</v>
      </c>
      <c r="H240" s="5"/>
      <c r="I240" s="5"/>
    </row>
    <row r="241" customFormat="false" ht="33.75" hidden="false" customHeight="true" outlineLevel="0" collapsed="false">
      <c r="A241" s="5" t="s">
        <v>953</v>
      </c>
      <c r="B241" s="5" t="s">
        <v>341</v>
      </c>
      <c r="C241" s="5" t="s">
        <v>954</v>
      </c>
      <c r="D241" s="5" t="s">
        <v>522</v>
      </c>
      <c r="E241" s="5" t="n">
        <v>4</v>
      </c>
      <c r="F241" s="5" t="s">
        <v>1560</v>
      </c>
      <c r="G241" s="5" t="s">
        <v>1561</v>
      </c>
      <c r="H241" s="5"/>
      <c r="I241" s="5"/>
    </row>
    <row r="242" customFormat="false" ht="33.75" hidden="false" customHeight="true" outlineLevel="0" collapsed="false">
      <c r="A242" s="5" t="s">
        <v>959</v>
      </c>
      <c r="B242" s="5" t="s">
        <v>334</v>
      </c>
      <c r="C242" s="5" t="s">
        <v>961</v>
      </c>
      <c r="D242" s="5" t="s">
        <v>510</v>
      </c>
      <c r="E242" s="5" t="n">
        <v>1</v>
      </c>
      <c r="F242" s="5" t="s">
        <v>1562</v>
      </c>
      <c r="G242" s="5" t="s">
        <v>1563</v>
      </c>
      <c r="H242" s="5"/>
      <c r="I242" s="5"/>
    </row>
    <row r="243" customFormat="false" ht="33.75" hidden="false" customHeight="true" outlineLevel="0" collapsed="false">
      <c r="A243" s="5" t="s">
        <v>959</v>
      </c>
      <c r="B243" s="5" t="s">
        <v>334</v>
      </c>
      <c r="C243" s="5" t="s">
        <v>961</v>
      </c>
      <c r="D243" s="5" t="s">
        <v>510</v>
      </c>
      <c r="E243" s="5" t="n">
        <v>2</v>
      </c>
      <c r="F243" s="5" t="s">
        <v>1564</v>
      </c>
      <c r="G243" s="5" t="s">
        <v>1565</v>
      </c>
      <c r="H243" s="5"/>
      <c r="I243" s="5"/>
    </row>
    <row r="244" customFormat="false" ht="33.75" hidden="false" customHeight="true" outlineLevel="0" collapsed="false">
      <c r="A244" s="5" t="s">
        <v>959</v>
      </c>
      <c r="B244" s="5" t="s">
        <v>334</v>
      </c>
      <c r="C244" s="5" t="s">
        <v>961</v>
      </c>
      <c r="D244" s="5" t="s">
        <v>510</v>
      </c>
      <c r="E244" s="5" t="n">
        <v>3</v>
      </c>
      <c r="F244" s="5" t="s">
        <v>1566</v>
      </c>
      <c r="G244" s="5" t="s">
        <v>1567</v>
      </c>
      <c r="H244" s="5"/>
      <c r="I244" s="5"/>
    </row>
    <row r="245" customFormat="false" ht="33.75" hidden="false" customHeight="true" outlineLevel="0" collapsed="false">
      <c r="A245" s="5" t="s">
        <v>966</v>
      </c>
      <c r="B245" s="5" t="s">
        <v>334</v>
      </c>
      <c r="C245" s="5" t="s">
        <v>967</v>
      </c>
      <c r="D245" s="5" t="s">
        <v>522</v>
      </c>
      <c r="E245" s="5" t="n">
        <v>1</v>
      </c>
      <c r="F245" s="5" t="s">
        <v>1568</v>
      </c>
      <c r="G245" s="5" t="s">
        <v>1569</v>
      </c>
      <c r="H245" s="5"/>
      <c r="I245" s="5"/>
    </row>
    <row r="246" customFormat="false" ht="33.75" hidden="false" customHeight="true" outlineLevel="0" collapsed="false">
      <c r="A246" s="5" t="s">
        <v>966</v>
      </c>
      <c r="B246" s="5" t="s">
        <v>334</v>
      </c>
      <c r="C246" s="5" t="s">
        <v>967</v>
      </c>
      <c r="D246" s="5" t="s">
        <v>522</v>
      </c>
      <c r="E246" s="5" t="n">
        <v>2</v>
      </c>
      <c r="F246" s="5" t="s">
        <v>1570</v>
      </c>
      <c r="G246" s="5" t="s">
        <v>1571</v>
      </c>
      <c r="H246" s="5"/>
      <c r="I246" s="5"/>
    </row>
    <row r="247" customFormat="false" ht="33.75" hidden="false" customHeight="true" outlineLevel="0" collapsed="false">
      <c r="A247" s="5" t="s">
        <v>966</v>
      </c>
      <c r="B247" s="5" t="s">
        <v>334</v>
      </c>
      <c r="C247" s="5" t="s">
        <v>967</v>
      </c>
      <c r="D247" s="5" t="s">
        <v>522</v>
      </c>
      <c r="E247" s="5" t="n">
        <v>3</v>
      </c>
      <c r="F247" s="5" t="s">
        <v>1572</v>
      </c>
      <c r="G247" s="5" t="s">
        <v>1573</v>
      </c>
      <c r="H247" s="5"/>
      <c r="I247" s="5"/>
    </row>
    <row r="248" customFormat="false" ht="33.75" hidden="false" customHeight="true" outlineLevel="0" collapsed="false">
      <c r="A248" s="5" t="s">
        <v>966</v>
      </c>
      <c r="B248" s="5" t="s">
        <v>334</v>
      </c>
      <c r="C248" s="5" t="s">
        <v>967</v>
      </c>
      <c r="D248" s="5" t="s">
        <v>522</v>
      </c>
      <c r="E248" s="5" t="n">
        <v>4</v>
      </c>
      <c r="F248" s="5" t="s">
        <v>1574</v>
      </c>
      <c r="G248" s="5" t="s">
        <v>1575</v>
      </c>
      <c r="H248" s="5"/>
      <c r="I248" s="5"/>
    </row>
    <row r="249" customFormat="false" ht="33.75" hidden="false" customHeight="true" outlineLevel="0" collapsed="false">
      <c r="A249" s="5" t="s">
        <v>972</v>
      </c>
      <c r="B249" s="5" t="s">
        <v>334</v>
      </c>
      <c r="C249" s="5" t="s">
        <v>973</v>
      </c>
      <c r="D249" s="5" t="s">
        <v>522</v>
      </c>
      <c r="E249" s="5" t="n">
        <v>1</v>
      </c>
      <c r="F249" s="5" t="s">
        <v>1576</v>
      </c>
      <c r="G249" s="5" t="s">
        <v>1569</v>
      </c>
      <c r="H249" s="5"/>
      <c r="I249" s="5"/>
    </row>
    <row r="250" customFormat="false" ht="33.75" hidden="false" customHeight="true" outlineLevel="0" collapsed="false">
      <c r="A250" s="5" t="s">
        <v>972</v>
      </c>
      <c r="B250" s="5" t="s">
        <v>334</v>
      </c>
      <c r="C250" s="5" t="s">
        <v>973</v>
      </c>
      <c r="D250" s="5" t="s">
        <v>522</v>
      </c>
      <c r="E250" s="5" t="n">
        <v>2</v>
      </c>
      <c r="F250" s="5" t="s">
        <v>1436</v>
      </c>
      <c r="G250" s="5" t="s">
        <v>1577</v>
      </c>
      <c r="H250" s="5"/>
      <c r="I250" s="5"/>
    </row>
    <row r="251" customFormat="false" ht="33.75" hidden="false" customHeight="true" outlineLevel="0" collapsed="false">
      <c r="A251" s="5" t="s">
        <v>972</v>
      </c>
      <c r="B251" s="5" t="s">
        <v>334</v>
      </c>
      <c r="C251" s="5" t="s">
        <v>973</v>
      </c>
      <c r="D251" s="5" t="s">
        <v>522</v>
      </c>
      <c r="E251" s="5" t="n">
        <v>3</v>
      </c>
      <c r="F251" s="5" t="s">
        <v>1578</v>
      </c>
      <c r="G251" s="5" t="s">
        <v>1579</v>
      </c>
      <c r="H251" s="5"/>
      <c r="I251" s="5"/>
    </row>
    <row r="252" customFormat="false" ht="33.75" hidden="false" customHeight="true" outlineLevel="0" collapsed="false">
      <c r="A252" s="5" t="s">
        <v>978</v>
      </c>
      <c r="B252" s="5" t="s">
        <v>334</v>
      </c>
      <c r="C252" s="5" t="s">
        <v>980</v>
      </c>
      <c r="D252" s="5" t="s">
        <v>510</v>
      </c>
      <c r="E252" s="5" t="n">
        <v>1</v>
      </c>
      <c r="F252" s="5" t="s">
        <v>1580</v>
      </c>
      <c r="G252" s="5" t="s">
        <v>1581</v>
      </c>
      <c r="H252" s="5"/>
      <c r="I252" s="5"/>
    </row>
    <row r="253" customFormat="false" ht="33.75" hidden="false" customHeight="true" outlineLevel="0" collapsed="false">
      <c r="A253" s="5" t="s">
        <v>978</v>
      </c>
      <c r="B253" s="5" t="s">
        <v>334</v>
      </c>
      <c r="C253" s="5" t="s">
        <v>980</v>
      </c>
      <c r="D253" s="5" t="s">
        <v>510</v>
      </c>
      <c r="E253" s="5" t="n">
        <v>2</v>
      </c>
      <c r="F253" s="5" t="s">
        <v>1582</v>
      </c>
      <c r="G253" s="5" t="s">
        <v>1150</v>
      </c>
      <c r="H253" s="5"/>
      <c r="I253" s="5"/>
    </row>
    <row r="254" customFormat="false" ht="33.75" hidden="false" customHeight="true" outlineLevel="0" collapsed="false">
      <c r="A254" s="5" t="s">
        <v>978</v>
      </c>
      <c r="B254" s="5" t="s">
        <v>334</v>
      </c>
      <c r="C254" s="5" t="s">
        <v>980</v>
      </c>
      <c r="D254" s="5" t="s">
        <v>510</v>
      </c>
      <c r="E254" s="5" t="n">
        <v>3</v>
      </c>
      <c r="F254" s="5" t="s">
        <v>1583</v>
      </c>
      <c r="G254" s="5" t="s">
        <v>1372</v>
      </c>
      <c r="H254" s="5"/>
      <c r="I254" s="5"/>
    </row>
    <row r="255" customFormat="false" ht="33.75" hidden="false" customHeight="true" outlineLevel="0" collapsed="false">
      <c r="A255" s="5" t="s">
        <v>978</v>
      </c>
      <c r="B255" s="5" t="s">
        <v>334</v>
      </c>
      <c r="C255" s="5" t="s">
        <v>980</v>
      </c>
      <c r="D255" s="5" t="s">
        <v>510</v>
      </c>
      <c r="E255" s="5" t="n">
        <v>4</v>
      </c>
      <c r="F255" s="5" t="s">
        <v>1584</v>
      </c>
      <c r="G255" s="5" t="s">
        <v>1585</v>
      </c>
      <c r="H255" s="5"/>
      <c r="I255" s="5"/>
    </row>
    <row r="256" customFormat="false" ht="33.75" hidden="false" customHeight="true" outlineLevel="0" collapsed="false">
      <c r="A256" s="5" t="s">
        <v>978</v>
      </c>
      <c r="B256" s="5" t="s">
        <v>334</v>
      </c>
      <c r="C256" s="5" t="s">
        <v>980</v>
      </c>
      <c r="D256" s="5" t="s">
        <v>510</v>
      </c>
      <c r="E256" s="5" t="n">
        <v>5</v>
      </c>
      <c r="F256" s="5" t="s">
        <v>1586</v>
      </c>
      <c r="G256" s="5" t="s">
        <v>1587</v>
      </c>
      <c r="H256" s="5"/>
      <c r="I256" s="5"/>
    </row>
    <row r="257" customFormat="false" ht="33.75" hidden="false" customHeight="true" outlineLevel="0" collapsed="false">
      <c r="A257" s="5" t="s">
        <v>987</v>
      </c>
      <c r="B257" s="5" t="s">
        <v>334</v>
      </c>
      <c r="C257" s="5" t="s">
        <v>989</v>
      </c>
      <c r="D257" s="5" t="s">
        <v>522</v>
      </c>
      <c r="E257" s="5" t="n">
        <v>1</v>
      </c>
      <c r="F257" s="5" t="s">
        <v>1588</v>
      </c>
      <c r="G257" s="5" t="s">
        <v>1589</v>
      </c>
      <c r="H257" s="5"/>
      <c r="I257" s="5"/>
    </row>
    <row r="258" customFormat="false" ht="33.75" hidden="false" customHeight="true" outlineLevel="0" collapsed="false">
      <c r="A258" s="5" t="s">
        <v>987</v>
      </c>
      <c r="B258" s="5" t="s">
        <v>334</v>
      </c>
      <c r="C258" s="5" t="s">
        <v>989</v>
      </c>
      <c r="D258" s="5" t="s">
        <v>522</v>
      </c>
      <c r="E258" s="5" t="n">
        <v>2</v>
      </c>
      <c r="F258" s="5" t="s">
        <v>1590</v>
      </c>
      <c r="G258" s="5" t="s">
        <v>1379</v>
      </c>
      <c r="H258" s="5"/>
      <c r="I258" s="5"/>
    </row>
    <row r="259" customFormat="false" ht="33.75" hidden="false" customHeight="true" outlineLevel="0" collapsed="false">
      <c r="A259" s="5" t="s">
        <v>987</v>
      </c>
      <c r="B259" s="5" t="s">
        <v>334</v>
      </c>
      <c r="C259" s="5" t="s">
        <v>989</v>
      </c>
      <c r="D259" s="5" t="s">
        <v>522</v>
      </c>
      <c r="E259" s="5" t="n">
        <v>3</v>
      </c>
      <c r="F259" s="5" t="s">
        <v>1591</v>
      </c>
      <c r="G259" s="5" t="s">
        <v>1379</v>
      </c>
      <c r="H259" s="5"/>
      <c r="I259" s="5"/>
    </row>
    <row r="260" customFormat="false" ht="33.75" hidden="false" customHeight="true" outlineLevel="0" collapsed="false">
      <c r="A260" s="5" t="s">
        <v>987</v>
      </c>
      <c r="B260" s="5" t="s">
        <v>334</v>
      </c>
      <c r="C260" s="5" t="s">
        <v>989</v>
      </c>
      <c r="D260" s="5" t="s">
        <v>522</v>
      </c>
      <c r="E260" s="5" t="n">
        <v>4</v>
      </c>
      <c r="F260" s="5" t="s">
        <v>1592</v>
      </c>
      <c r="G260" s="5" t="s">
        <v>1150</v>
      </c>
      <c r="H260" s="5"/>
      <c r="I260" s="5"/>
    </row>
    <row r="261" customFormat="false" ht="33.75" hidden="false" customHeight="true" outlineLevel="0" collapsed="false">
      <c r="A261" s="5" t="s">
        <v>987</v>
      </c>
      <c r="B261" s="5" t="s">
        <v>334</v>
      </c>
      <c r="C261" s="5" t="s">
        <v>989</v>
      </c>
      <c r="D261" s="5" t="s">
        <v>522</v>
      </c>
      <c r="E261" s="5" t="n">
        <v>5</v>
      </c>
      <c r="F261" s="5" t="s">
        <v>1593</v>
      </c>
      <c r="G261" s="5" t="s">
        <v>1594</v>
      </c>
      <c r="H261" s="5"/>
      <c r="I261" s="5"/>
    </row>
    <row r="262" customFormat="false" ht="33.75" hidden="false" customHeight="true" outlineLevel="0" collapsed="false">
      <c r="A262" s="5" t="s">
        <v>995</v>
      </c>
      <c r="B262" s="5" t="s">
        <v>334</v>
      </c>
      <c r="C262" s="5" t="s">
        <v>997</v>
      </c>
      <c r="D262" s="5" t="s">
        <v>522</v>
      </c>
      <c r="E262" s="5" t="n">
        <v>1</v>
      </c>
      <c r="F262" s="5" t="s">
        <v>1595</v>
      </c>
      <c r="G262" s="5" t="s">
        <v>1192</v>
      </c>
      <c r="H262" s="5"/>
      <c r="I262" s="5"/>
    </row>
    <row r="263" customFormat="false" ht="33.75" hidden="false" customHeight="true" outlineLevel="0" collapsed="false">
      <c r="A263" s="5" t="s">
        <v>995</v>
      </c>
      <c r="B263" s="5" t="s">
        <v>334</v>
      </c>
      <c r="C263" s="5" t="s">
        <v>997</v>
      </c>
      <c r="D263" s="5" t="s">
        <v>522</v>
      </c>
      <c r="E263" s="5" t="n">
        <v>2</v>
      </c>
      <c r="F263" s="5" t="s">
        <v>1596</v>
      </c>
      <c r="G263" s="5" t="s">
        <v>1597</v>
      </c>
      <c r="H263" s="5"/>
      <c r="I263" s="5"/>
    </row>
    <row r="264" customFormat="false" ht="33.75" hidden="false" customHeight="true" outlineLevel="0" collapsed="false">
      <c r="A264" s="5" t="s">
        <v>995</v>
      </c>
      <c r="B264" s="5" t="s">
        <v>334</v>
      </c>
      <c r="C264" s="5" t="s">
        <v>997</v>
      </c>
      <c r="D264" s="5" t="s">
        <v>522</v>
      </c>
      <c r="E264" s="5" t="n">
        <v>3</v>
      </c>
      <c r="F264" s="5" t="s">
        <v>1598</v>
      </c>
      <c r="G264" s="5" t="s">
        <v>1599</v>
      </c>
      <c r="H264" s="5"/>
      <c r="I264" s="5"/>
    </row>
    <row r="265" customFormat="false" ht="33.75" hidden="false" customHeight="true" outlineLevel="0" collapsed="false">
      <c r="A265" s="5" t="s">
        <v>1002</v>
      </c>
      <c r="B265" s="5" t="s">
        <v>321</v>
      </c>
      <c r="C265" s="5" t="s">
        <v>1003</v>
      </c>
      <c r="D265" s="5" t="s">
        <v>522</v>
      </c>
      <c r="E265" s="5" t="n">
        <v>1</v>
      </c>
      <c r="F265" s="5" t="s">
        <v>1600</v>
      </c>
      <c r="G265" s="5" t="s">
        <v>1601</v>
      </c>
      <c r="H265" s="5"/>
      <c r="I265" s="5"/>
    </row>
    <row r="266" customFormat="false" ht="33.75" hidden="false" customHeight="true" outlineLevel="0" collapsed="false">
      <c r="A266" s="5" t="s">
        <v>1002</v>
      </c>
      <c r="B266" s="5" t="s">
        <v>321</v>
      </c>
      <c r="C266" s="5" t="s">
        <v>1003</v>
      </c>
      <c r="D266" s="5" t="s">
        <v>522</v>
      </c>
      <c r="E266" s="5" t="n">
        <v>2</v>
      </c>
      <c r="F266" s="5" t="s">
        <v>1602</v>
      </c>
      <c r="G266" s="5" t="s">
        <v>1603</v>
      </c>
      <c r="H266" s="5"/>
      <c r="I266" s="5"/>
    </row>
    <row r="267" customFormat="false" ht="33.75" hidden="false" customHeight="true" outlineLevel="0" collapsed="false">
      <c r="A267" s="5" t="s">
        <v>1002</v>
      </c>
      <c r="B267" s="5" t="s">
        <v>321</v>
      </c>
      <c r="C267" s="5" t="s">
        <v>1003</v>
      </c>
      <c r="D267" s="5" t="s">
        <v>522</v>
      </c>
      <c r="E267" s="5" t="n">
        <v>3</v>
      </c>
      <c r="F267" s="5" t="s">
        <v>1604</v>
      </c>
      <c r="G267" s="5" t="s">
        <v>1554</v>
      </c>
      <c r="H267" s="5"/>
      <c r="I267" s="5"/>
    </row>
    <row r="268" customFormat="false" ht="33.75" hidden="false" customHeight="true" outlineLevel="0" collapsed="false">
      <c r="A268" s="5" t="s">
        <v>1002</v>
      </c>
      <c r="B268" s="5" t="s">
        <v>321</v>
      </c>
      <c r="C268" s="5" t="s">
        <v>1003</v>
      </c>
      <c r="D268" s="5" t="s">
        <v>522</v>
      </c>
      <c r="E268" s="5" t="n">
        <v>4</v>
      </c>
      <c r="F268" s="5" t="s">
        <v>1605</v>
      </c>
      <c r="G268" s="5" t="s">
        <v>1606</v>
      </c>
      <c r="H268" s="5"/>
      <c r="I268" s="5"/>
    </row>
    <row r="269" customFormat="false" ht="33.75" hidden="false" customHeight="true" outlineLevel="0" collapsed="false">
      <c r="A269" s="5" t="s">
        <v>1009</v>
      </c>
      <c r="B269" s="5" t="s">
        <v>314</v>
      </c>
      <c r="C269" s="5" t="s">
        <v>1011</v>
      </c>
      <c r="D269" s="5" t="s">
        <v>522</v>
      </c>
      <c r="E269" s="5" t="n">
        <v>1</v>
      </c>
      <c r="F269" s="5" t="s">
        <v>1607</v>
      </c>
      <c r="G269" s="5" t="s">
        <v>1608</v>
      </c>
      <c r="H269" s="5"/>
      <c r="I269" s="5"/>
    </row>
    <row r="270" customFormat="false" ht="33.75" hidden="false" customHeight="true" outlineLevel="0" collapsed="false">
      <c r="A270" s="5" t="s">
        <v>1009</v>
      </c>
      <c r="B270" s="5" t="s">
        <v>314</v>
      </c>
      <c r="C270" s="5" t="s">
        <v>1011</v>
      </c>
      <c r="D270" s="5" t="s">
        <v>522</v>
      </c>
      <c r="E270" s="5" t="n">
        <v>2</v>
      </c>
      <c r="F270" s="5" t="s">
        <v>1609</v>
      </c>
      <c r="G270" s="5" t="s">
        <v>1610</v>
      </c>
      <c r="H270" s="5"/>
      <c r="I270" s="5"/>
    </row>
    <row r="271" customFormat="false" ht="33.75" hidden="false" customHeight="true" outlineLevel="0" collapsed="false">
      <c r="A271" s="5" t="s">
        <v>1009</v>
      </c>
      <c r="B271" s="5" t="s">
        <v>314</v>
      </c>
      <c r="C271" s="5" t="s">
        <v>1011</v>
      </c>
      <c r="D271" s="5" t="s">
        <v>522</v>
      </c>
      <c r="E271" s="5" t="n">
        <v>3</v>
      </c>
      <c r="F271" s="5" t="s">
        <v>1611</v>
      </c>
      <c r="G271" s="5" t="s">
        <v>1612</v>
      </c>
      <c r="H271" s="5"/>
      <c r="I271" s="5"/>
    </row>
    <row r="272" customFormat="false" ht="33.75" hidden="false" customHeight="true" outlineLevel="0" collapsed="false">
      <c r="A272" s="5" t="s">
        <v>1009</v>
      </c>
      <c r="B272" s="5" t="s">
        <v>314</v>
      </c>
      <c r="C272" s="5" t="s">
        <v>1011</v>
      </c>
      <c r="D272" s="5" t="s">
        <v>522</v>
      </c>
      <c r="E272" s="5" t="n">
        <v>4</v>
      </c>
      <c r="F272" s="5" t="s">
        <v>1613</v>
      </c>
      <c r="G272" s="5" t="s">
        <v>1614</v>
      </c>
      <c r="H272" s="5"/>
      <c r="I272" s="5"/>
    </row>
    <row r="273" customFormat="false" ht="33.75" hidden="false" customHeight="true" outlineLevel="0" collapsed="false">
      <c r="A273" s="5" t="s">
        <v>1018</v>
      </c>
      <c r="B273" s="5" t="s">
        <v>300</v>
      </c>
      <c r="C273" s="5" t="s">
        <v>1020</v>
      </c>
      <c r="D273" s="5" t="s">
        <v>522</v>
      </c>
      <c r="E273" s="5" t="n">
        <v>1</v>
      </c>
      <c r="F273" s="5" t="s">
        <v>1615</v>
      </c>
      <c r="G273" s="5" t="s">
        <v>1379</v>
      </c>
      <c r="H273" s="5"/>
      <c r="I273" s="5"/>
    </row>
    <row r="274" customFormat="false" ht="33.75" hidden="false" customHeight="true" outlineLevel="0" collapsed="false">
      <c r="A274" s="5" t="s">
        <v>1018</v>
      </c>
      <c r="B274" s="5" t="s">
        <v>300</v>
      </c>
      <c r="C274" s="5" t="s">
        <v>1020</v>
      </c>
      <c r="D274" s="5" t="s">
        <v>522</v>
      </c>
      <c r="E274" s="5" t="n">
        <v>2</v>
      </c>
      <c r="F274" s="5" t="s">
        <v>1616</v>
      </c>
      <c r="G274" s="5" t="s">
        <v>1617</v>
      </c>
      <c r="H274" s="5"/>
      <c r="I274" s="5"/>
    </row>
    <row r="275" customFormat="false" ht="33.75" hidden="false" customHeight="true" outlineLevel="0" collapsed="false">
      <c r="A275" s="5" t="s">
        <v>1018</v>
      </c>
      <c r="B275" s="5" t="s">
        <v>300</v>
      </c>
      <c r="C275" s="5" t="s">
        <v>1020</v>
      </c>
      <c r="D275" s="5" t="s">
        <v>522</v>
      </c>
      <c r="E275" s="5" t="n">
        <v>3</v>
      </c>
      <c r="F275" s="5" t="s">
        <v>1618</v>
      </c>
      <c r="G275" s="5" t="s">
        <v>1619</v>
      </c>
      <c r="H275" s="5"/>
      <c r="I275" s="5"/>
    </row>
    <row r="276" customFormat="false" ht="33.75" hidden="false" customHeight="true" outlineLevel="0" collapsed="false">
      <c r="A276" s="5" t="s">
        <v>1027</v>
      </c>
      <c r="B276" s="5" t="s">
        <v>300</v>
      </c>
      <c r="C276" s="5" t="s">
        <v>1028</v>
      </c>
      <c r="D276" s="5" t="s">
        <v>522</v>
      </c>
      <c r="E276" s="5" t="n">
        <v>1</v>
      </c>
      <c r="F276" s="5" t="s">
        <v>1620</v>
      </c>
      <c r="G276" s="5" t="s">
        <v>1621</v>
      </c>
      <c r="H276" s="5"/>
      <c r="I276" s="5"/>
    </row>
    <row r="277" customFormat="false" ht="33.75" hidden="false" customHeight="true" outlineLevel="0" collapsed="false">
      <c r="A277" s="5" t="s">
        <v>1027</v>
      </c>
      <c r="B277" s="5" t="s">
        <v>300</v>
      </c>
      <c r="C277" s="5" t="s">
        <v>1028</v>
      </c>
      <c r="D277" s="5" t="s">
        <v>522</v>
      </c>
      <c r="E277" s="5" t="n">
        <v>2</v>
      </c>
      <c r="F277" s="5" t="s">
        <v>1622</v>
      </c>
      <c r="G277" s="5" t="s">
        <v>1372</v>
      </c>
      <c r="H277" s="5"/>
      <c r="I277" s="5"/>
    </row>
    <row r="278" customFormat="false" ht="33.75" hidden="false" customHeight="true" outlineLevel="0" collapsed="false">
      <c r="A278" s="5" t="s">
        <v>1027</v>
      </c>
      <c r="B278" s="5" t="s">
        <v>300</v>
      </c>
      <c r="C278" s="5" t="s">
        <v>1028</v>
      </c>
      <c r="D278" s="5" t="s">
        <v>522</v>
      </c>
      <c r="E278" s="5" t="n">
        <v>3</v>
      </c>
      <c r="F278" s="5" t="s">
        <v>1623</v>
      </c>
      <c r="G278" s="5" t="s">
        <v>1624</v>
      </c>
      <c r="H278" s="5"/>
      <c r="I278" s="5"/>
    </row>
    <row r="279" customFormat="false" ht="33.75" hidden="false" customHeight="true" outlineLevel="0" collapsed="false">
      <c r="A279" s="5" t="s">
        <v>1034</v>
      </c>
      <c r="B279" s="5" t="s">
        <v>294</v>
      </c>
      <c r="C279" s="5" t="s">
        <v>1036</v>
      </c>
      <c r="D279" s="5" t="s">
        <v>522</v>
      </c>
      <c r="E279" s="5" t="n">
        <v>1</v>
      </c>
      <c r="F279" s="5" t="s">
        <v>1625</v>
      </c>
      <c r="G279" s="5" t="s">
        <v>1626</v>
      </c>
      <c r="H279" s="5"/>
      <c r="I279" s="5"/>
    </row>
    <row r="280" customFormat="false" ht="33.75" hidden="false" customHeight="true" outlineLevel="0" collapsed="false">
      <c r="A280" s="5" t="s">
        <v>1034</v>
      </c>
      <c r="B280" s="5" t="s">
        <v>294</v>
      </c>
      <c r="C280" s="5" t="s">
        <v>1036</v>
      </c>
      <c r="D280" s="5" t="s">
        <v>522</v>
      </c>
      <c r="E280" s="5" t="n">
        <v>2</v>
      </c>
      <c r="F280" s="5" t="s">
        <v>1627</v>
      </c>
      <c r="G280" s="5" t="s">
        <v>1628</v>
      </c>
      <c r="H280" s="5"/>
      <c r="I280" s="5"/>
    </row>
    <row r="281" customFormat="false" ht="33.75" hidden="false" customHeight="true" outlineLevel="0" collapsed="false">
      <c r="A281" s="5" t="s">
        <v>1034</v>
      </c>
      <c r="B281" s="5" t="s">
        <v>294</v>
      </c>
      <c r="C281" s="5" t="s">
        <v>1036</v>
      </c>
      <c r="D281" s="5" t="s">
        <v>522</v>
      </c>
      <c r="E281" s="5" t="n">
        <v>3</v>
      </c>
      <c r="F281" s="5" t="s">
        <v>1629</v>
      </c>
      <c r="G281" s="5" t="s">
        <v>1630</v>
      </c>
      <c r="H281" s="5"/>
      <c r="I281" s="5"/>
    </row>
    <row r="282" customFormat="false" ht="33.75" hidden="false" customHeight="true" outlineLevel="0" collapsed="false">
      <c r="A282" s="5" t="s">
        <v>1034</v>
      </c>
      <c r="B282" s="5" t="s">
        <v>294</v>
      </c>
      <c r="C282" s="5" t="s">
        <v>1036</v>
      </c>
      <c r="D282" s="5" t="s">
        <v>522</v>
      </c>
      <c r="E282" s="5" t="n">
        <v>4</v>
      </c>
      <c r="F282" s="5" t="s">
        <v>1631</v>
      </c>
      <c r="G282" s="5" t="s">
        <v>1632</v>
      </c>
      <c r="H282" s="5"/>
      <c r="I282" s="5"/>
    </row>
    <row r="283" customFormat="false" ht="33.75" hidden="false" customHeight="true" outlineLevel="0" collapsed="false">
      <c r="A283" s="5" t="s">
        <v>1043</v>
      </c>
      <c r="B283" s="5" t="s">
        <v>287</v>
      </c>
      <c r="C283" s="5" t="s">
        <v>1045</v>
      </c>
      <c r="D283" s="5" t="s">
        <v>510</v>
      </c>
      <c r="E283" s="5" t="n">
        <v>1</v>
      </c>
      <c r="F283" s="5" t="s">
        <v>1633</v>
      </c>
      <c r="G283" s="5" t="s">
        <v>1634</v>
      </c>
      <c r="H283" s="5"/>
      <c r="I283" s="5"/>
    </row>
    <row r="284" customFormat="false" ht="33.75" hidden="false" customHeight="true" outlineLevel="0" collapsed="false">
      <c r="A284" s="5" t="s">
        <v>1043</v>
      </c>
      <c r="B284" s="5" t="s">
        <v>287</v>
      </c>
      <c r="C284" s="5" t="s">
        <v>1045</v>
      </c>
      <c r="D284" s="5" t="s">
        <v>510</v>
      </c>
      <c r="E284" s="5" t="n">
        <v>2</v>
      </c>
      <c r="F284" s="5" t="s">
        <v>1635</v>
      </c>
      <c r="G284" s="5" t="s">
        <v>1636</v>
      </c>
      <c r="H284" s="5"/>
      <c r="I284" s="5"/>
    </row>
    <row r="285" customFormat="false" ht="33.75" hidden="false" customHeight="true" outlineLevel="0" collapsed="false">
      <c r="A285" s="5" t="s">
        <v>1043</v>
      </c>
      <c r="B285" s="5" t="s">
        <v>287</v>
      </c>
      <c r="C285" s="5" t="s">
        <v>1045</v>
      </c>
      <c r="D285" s="5" t="s">
        <v>510</v>
      </c>
      <c r="E285" s="5" t="n">
        <v>3</v>
      </c>
      <c r="F285" s="5" t="s">
        <v>1637</v>
      </c>
      <c r="G285" s="5" t="s">
        <v>1638</v>
      </c>
      <c r="H285" s="5"/>
      <c r="I285" s="5"/>
    </row>
    <row r="286" customFormat="false" ht="33.75" hidden="false" customHeight="true" outlineLevel="0" collapsed="false">
      <c r="A286" s="5" t="s">
        <v>1052</v>
      </c>
      <c r="B286" s="5" t="s">
        <v>1053</v>
      </c>
      <c r="C286" s="5" t="s">
        <v>1055</v>
      </c>
      <c r="D286" s="5" t="s">
        <v>510</v>
      </c>
      <c r="E286" s="5" t="n">
        <v>1</v>
      </c>
      <c r="F286" s="5" t="s">
        <v>1639</v>
      </c>
      <c r="G286" s="5" t="s">
        <v>1640</v>
      </c>
      <c r="H286" s="5"/>
      <c r="I286" s="5"/>
    </row>
    <row r="287" customFormat="false" ht="33.75" hidden="false" customHeight="true" outlineLevel="0" collapsed="false">
      <c r="A287" s="5" t="s">
        <v>1052</v>
      </c>
      <c r="B287" s="5" t="s">
        <v>1053</v>
      </c>
      <c r="C287" s="5" t="s">
        <v>1055</v>
      </c>
      <c r="D287" s="5" t="s">
        <v>510</v>
      </c>
      <c r="E287" s="5" t="n">
        <v>2</v>
      </c>
      <c r="F287" s="5" t="s">
        <v>1641</v>
      </c>
      <c r="G287" s="5" t="s">
        <v>1642</v>
      </c>
      <c r="H287" s="5"/>
      <c r="I287" s="5"/>
    </row>
    <row r="288" customFormat="false" ht="33.75" hidden="false" customHeight="true" outlineLevel="0" collapsed="false">
      <c r="A288" s="5" t="s">
        <v>1052</v>
      </c>
      <c r="B288" s="5" t="s">
        <v>1053</v>
      </c>
      <c r="C288" s="5" t="s">
        <v>1055</v>
      </c>
      <c r="D288" s="5" t="s">
        <v>510</v>
      </c>
      <c r="E288" s="5" t="n">
        <v>3</v>
      </c>
      <c r="F288" s="5" t="s">
        <v>1643</v>
      </c>
      <c r="G288" s="5" t="s">
        <v>1644</v>
      </c>
      <c r="H288" s="5"/>
      <c r="I288" s="5"/>
    </row>
    <row r="289" customFormat="false" ht="33.75" hidden="false" customHeight="true" outlineLevel="0" collapsed="false">
      <c r="A289" s="5" t="s">
        <v>1052</v>
      </c>
      <c r="B289" s="5" t="s">
        <v>1053</v>
      </c>
      <c r="C289" s="5" t="s">
        <v>1055</v>
      </c>
      <c r="D289" s="5" t="s">
        <v>510</v>
      </c>
      <c r="E289" s="5" t="n">
        <v>4</v>
      </c>
      <c r="F289" s="5" t="s">
        <v>1645</v>
      </c>
      <c r="G289" s="5" t="s">
        <v>1646</v>
      </c>
      <c r="H289" s="5"/>
      <c r="I289" s="5"/>
    </row>
    <row r="290" customFormat="false" ht="33.75" hidden="false" customHeight="true" outlineLevel="0" collapsed="false">
      <c r="A290" s="5" t="s">
        <v>1052</v>
      </c>
      <c r="B290" s="5" t="s">
        <v>1053</v>
      </c>
      <c r="C290" s="5" t="s">
        <v>1055</v>
      </c>
      <c r="D290" s="5" t="s">
        <v>510</v>
      </c>
      <c r="E290" s="5" t="n">
        <v>5</v>
      </c>
      <c r="F290" s="5" t="s">
        <v>1647</v>
      </c>
      <c r="G290" s="5" t="s">
        <v>1648</v>
      </c>
      <c r="H290" s="5"/>
      <c r="I290" s="5"/>
    </row>
    <row r="291" customFormat="false" ht="33.75" hidden="false" customHeight="true" outlineLevel="0" collapsed="false">
      <c r="A291" s="5" t="s">
        <v>1065</v>
      </c>
      <c r="B291" s="5" t="s">
        <v>1053</v>
      </c>
      <c r="C291" s="5" t="s">
        <v>1066</v>
      </c>
      <c r="D291" s="5" t="s">
        <v>522</v>
      </c>
      <c r="E291" s="5" t="n">
        <v>1</v>
      </c>
      <c r="F291" s="5" t="s">
        <v>1649</v>
      </c>
      <c r="G291" s="5" t="s">
        <v>1650</v>
      </c>
      <c r="H291" s="5"/>
      <c r="I291" s="5"/>
    </row>
    <row r="292" customFormat="false" ht="33.75" hidden="false" customHeight="true" outlineLevel="0" collapsed="false">
      <c r="A292" s="5" t="s">
        <v>1065</v>
      </c>
      <c r="B292" s="5" t="s">
        <v>1053</v>
      </c>
      <c r="C292" s="5" t="s">
        <v>1066</v>
      </c>
      <c r="D292" s="5" t="s">
        <v>522</v>
      </c>
      <c r="E292" s="5" t="n">
        <v>2</v>
      </c>
      <c r="F292" s="5" t="s">
        <v>1651</v>
      </c>
      <c r="G292" s="5" t="s">
        <v>1652</v>
      </c>
      <c r="H292" s="5"/>
      <c r="I292" s="5"/>
    </row>
    <row r="293" customFormat="false" ht="33.75" hidden="false" customHeight="true" outlineLevel="0" collapsed="false">
      <c r="A293" s="5" t="s">
        <v>1065</v>
      </c>
      <c r="B293" s="5" t="s">
        <v>1053</v>
      </c>
      <c r="C293" s="5" t="s">
        <v>1066</v>
      </c>
      <c r="D293" s="5" t="s">
        <v>522</v>
      </c>
      <c r="E293" s="5" t="n">
        <v>3</v>
      </c>
      <c r="F293" s="5" t="s">
        <v>1653</v>
      </c>
      <c r="G293" s="5" t="s">
        <v>1573</v>
      </c>
      <c r="H293" s="5"/>
      <c r="I293" s="5"/>
    </row>
    <row r="294" customFormat="false" ht="33.75" hidden="false" customHeight="true" outlineLevel="0" collapsed="false">
      <c r="A294" s="5" t="s">
        <v>1065</v>
      </c>
      <c r="B294" s="5" t="s">
        <v>1053</v>
      </c>
      <c r="C294" s="5" t="s">
        <v>1066</v>
      </c>
      <c r="D294" s="5" t="s">
        <v>522</v>
      </c>
      <c r="E294" s="5" t="n">
        <v>4</v>
      </c>
      <c r="F294" s="5" t="s">
        <v>1654</v>
      </c>
      <c r="G294" s="5" t="s">
        <v>1655</v>
      </c>
      <c r="H294" s="5"/>
      <c r="I294" s="5"/>
    </row>
    <row r="295" customFormat="false" ht="33.75" hidden="false" customHeight="true" outlineLevel="0" collapsed="false">
      <c r="A295" s="5" t="s">
        <v>1073</v>
      </c>
      <c r="B295" s="5" t="s">
        <v>1074</v>
      </c>
      <c r="C295" s="5" t="s">
        <v>1076</v>
      </c>
      <c r="D295" s="5" t="s">
        <v>510</v>
      </c>
      <c r="E295" s="5" t="n">
        <v>1</v>
      </c>
      <c r="F295" s="5" t="s">
        <v>1656</v>
      </c>
      <c r="G295" s="5" t="s">
        <v>1657</v>
      </c>
      <c r="H295" s="5"/>
      <c r="I295" s="5"/>
    </row>
    <row r="296" customFormat="false" ht="33.75" hidden="false" customHeight="true" outlineLevel="0" collapsed="false">
      <c r="A296" s="5" t="s">
        <v>1073</v>
      </c>
      <c r="B296" s="5" t="s">
        <v>1074</v>
      </c>
      <c r="C296" s="5" t="s">
        <v>1076</v>
      </c>
      <c r="D296" s="5" t="s">
        <v>510</v>
      </c>
      <c r="E296" s="5" t="n">
        <v>2</v>
      </c>
      <c r="F296" s="5" t="s">
        <v>1658</v>
      </c>
      <c r="G296" s="5" t="s">
        <v>1659</v>
      </c>
      <c r="H296" s="5"/>
      <c r="I296" s="5"/>
    </row>
    <row r="297" customFormat="false" ht="33.75" hidden="false" customHeight="true" outlineLevel="0" collapsed="false">
      <c r="A297" s="5" t="s">
        <v>1073</v>
      </c>
      <c r="B297" s="5" t="s">
        <v>1074</v>
      </c>
      <c r="C297" s="5" t="s">
        <v>1076</v>
      </c>
      <c r="D297" s="5" t="s">
        <v>510</v>
      </c>
      <c r="E297" s="5" t="n">
        <v>3</v>
      </c>
      <c r="F297" s="5" t="s">
        <v>1660</v>
      </c>
      <c r="G297" s="5" t="s">
        <v>1661</v>
      </c>
      <c r="H297" s="5"/>
      <c r="I297" s="5"/>
    </row>
    <row r="298" customFormat="false" ht="33.75" hidden="false" customHeight="true" outlineLevel="0" collapsed="false">
      <c r="A298" s="5" t="s">
        <v>1073</v>
      </c>
      <c r="B298" s="5" t="s">
        <v>1074</v>
      </c>
      <c r="C298" s="5" t="s">
        <v>1076</v>
      </c>
      <c r="D298" s="5" t="s">
        <v>510</v>
      </c>
      <c r="E298" s="5" t="n">
        <v>4</v>
      </c>
      <c r="F298" s="5" t="s">
        <v>1662</v>
      </c>
      <c r="G298" s="5" t="s">
        <v>1663</v>
      </c>
      <c r="H298" s="5"/>
      <c r="I298" s="5"/>
    </row>
    <row r="299" customFormat="false" ht="33.75" hidden="false" customHeight="true" outlineLevel="0" collapsed="false">
      <c r="A299" s="5" t="s">
        <v>1082</v>
      </c>
      <c r="B299" s="5" t="s">
        <v>1083</v>
      </c>
      <c r="C299" s="5" t="s">
        <v>1085</v>
      </c>
      <c r="D299" s="5" t="s">
        <v>510</v>
      </c>
      <c r="E299" s="5" t="n">
        <v>1</v>
      </c>
      <c r="F299" s="5" t="s">
        <v>1664</v>
      </c>
      <c r="G299" s="5" t="s">
        <v>1665</v>
      </c>
      <c r="H299" s="5"/>
      <c r="I299" s="5"/>
    </row>
    <row r="300" customFormat="false" ht="33.75" hidden="false" customHeight="true" outlineLevel="0" collapsed="false">
      <c r="A300" s="5" t="s">
        <v>1082</v>
      </c>
      <c r="B300" s="5" t="s">
        <v>1083</v>
      </c>
      <c r="C300" s="5" t="s">
        <v>1085</v>
      </c>
      <c r="D300" s="5" t="s">
        <v>510</v>
      </c>
      <c r="E300" s="5" t="n">
        <v>2</v>
      </c>
      <c r="F300" s="5" t="s">
        <v>1666</v>
      </c>
      <c r="G300" s="5" t="s">
        <v>1667</v>
      </c>
      <c r="H300" s="5"/>
      <c r="I300" s="5"/>
    </row>
    <row r="301" customFormat="false" ht="33.75" hidden="false" customHeight="true" outlineLevel="0" collapsed="false">
      <c r="A301" s="5" t="s">
        <v>1082</v>
      </c>
      <c r="B301" s="5" t="s">
        <v>1083</v>
      </c>
      <c r="C301" s="5" t="s">
        <v>1085</v>
      </c>
      <c r="D301" s="5" t="s">
        <v>510</v>
      </c>
      <c r="E301" s="5" t="n">
        <v>3</v>
      </c>
      <c r="F301" s="5" t="s">
        <v>1668</v>
      </c>
      <c r="G301" s="5" t="s">
        <v>1669</v>
      </c>
      <c r="H301" s="5"/>
      <c r="I301" s="5"/>
    </row>
    <row r="302" customFormat="false" ht="33.75" hidden="false" customHeight="true" outlineLevel="0" collapsed="false">
      <c r="A302" s="5" t="s">
        <v>1082</v>
      </c>
      <c r="B302" s="5" t="s">
        <v>1083</v>
      </c>
      <c r="C302" s="5" t="s">
        <v>1085</v>
      </c>
      <c r="D302" s="5" t="s">
        <v>510</v>
      </c>
      <c r="E302" s="5" t="n">
        <v>4</v>
      </c>
      <c r="F302" s="5" t="s">
        <v>1670</v>
      </c>
      <c r="G302" s="5" t="s">
        <v>1671</v>
      </c>
      <c r="H302" s="5"/>
      <c r="I302" s="5"/>
    </row>
    <row r="303" customFormat="false" ht="33.75" hidden="false" customHeight="true" outlineLevel="0" collapsed="false">
      <c r="A303" s="5" t="s">
        <v>1091</v>
      </c>
      <c r="B303" s="5" t="s">
        <v>1083</v>
      </c>
      <c r="C303" s="5" t="s">
        <v>1092</v>
      </c>
      <c r="D303" s="5" t="s">
        <v>522</v>
      </c>
      <c r="E303" s="5" t="n">
        <v>1</v>
      </c>
      <c r="F303" s="5" t="s">
        <v>1672</v>
      </c>
      <c r="G303" s="5" t="s">
        <v>1673</v>
      </c>
      <c r="H303" s="5"/>
      <c r="I303" s="5"/>
    </row>
    <row r="304" customFormat="false" ht="33.75" hidden="false" customHeight="true" outlineLevel="0" collapsed="false">
      <c r="A304" s="5" t="s">
        <v>1091</v>
      </c>
      <c r="B304" s="5" t="s">
        <v>1083</v>
      </c>
      <c r="C304" s="5" t="s">
        <v>1092</v>
      </c>
      <c r="D304" s="5" t="s">
        <v>522</v>
      </c>
      <c r="E304" s="5" t="n">
        <v>2</v>
      </c>
      <c r="F304" s="5" t="s">
        <v>1674</v>
      </c>
      <c r="G304" s="5" t="s">
        <v>1675</v>
      </c>
      <c r="H304" s="5"/>
      <c r="I304" s="5"/>
    </row>
    <row r="305" customFormat="false" ht="33.75" hidden="false" customHeight="true" outlineLevel="0" collapsed="false">
      <c r="A305" s="5" t="s">
        <v>1091</v>
      </c>
      <c r="B305" s="5" t="s">
        <v>1083</v>
      </c>
      <c r="C305" s="5" t="s">
        <v>1092</v>
      </c>
      <c r="D305" s="5" t="s">
        <v>522</v>
      </c>
      <c r="E305" s="5" t="n">
        <v>3</v>
      </c>
      <c r="F305" s="5" t="s">
        <v>1676</v>
      </c>
      <c r="G305" s="5" t="s">
        <v>1677</v>
      </c>
      <c r="H305" s="5"/>
      <c r="I305" s="5"/>
    </row>
    <row r="306" customFormat="false" ht="33.75" hidden="false" customHeight="true" outlineLevel="0" collapsed="false">
      <c r="A306" s="5" t="s">
        <v>1091</v>
      </c>
      <c r="B306" s="5" t="s">
        <v>1083</v>
      </c>
      <c r="C306" s="5" t="s">
        <v>1092</v>
      </c>
      <c r="D306" s="5" t="s">
        <v>522</v>
      </c>
      <c r="E306" s="5" t="n">
        <v>4</v>
      </c>
      <c r="F306" s="5" t="s">
        <v>1678</v>
      </c>
      <c r="G306" s="5" t="s">
        <v>1679</v>
      </c>
      <c r="H306" s="5"/>
      <c r="I306" s="5"/>
    </row>
    <row r="307" customFormat="false" ht="33.75" hidden="false" customHeight="true" outlineLevel="0" collapsed="false">
      <c r="A307" s="5" t="s">
        <v>1098</v>
      </c>
      <c r="B307" s="5" t="s">
        <v>1099</v>
      </c>
      <c r="C307" s="5" t="s">
        <v>1101</v>
      </c>
      <c r="D307" s="5" t="s">
        <v>510</v>
      </c>
      <c r="E307" s="5" t="n">
        <v>1</v>
      </c>
      <c r="F307" s="5" t="s">
        <v>1680</v>
      </c>
      <c r="G307" s="5" t="s">
        <v>1681</v>
      </c>
      <c r="H307" s="5"/>
      <c r="I307" s="5"/>
    </row>
    <row r="308" customFormat="false" ht="33.75" hidden="false" customHeight="true" outlineLevel="0" collapsed="false">
      <c r="A308" s="5" t="s">
        <v>1098</v>
      </c>
      <c r="B308" s="5" t="s">
        <v>1099</v>
      </c>
      <c r="C308" s="5" t="s">
        <v>1101</v>
      </c>
      <c r="D308" s="5" t="s">
        <v>510</v>
      </c>
      <c r="E308" s="5" t="n">
        <v>2</v>
      </c>
      <c r="F308" s="5" t="s">
        <v>1682</v>
      </c>
      <c r="G308" s="5" t="s">
        <v>1683</v>
      </c>
      <c r="H308" s="5"/>
      <c r="I308" s="5"/>
    </row>
    <row r="309" customFormat="false" ht="33.75" hidden="false" customHeight="true" outlineLevel="0" collapsed="false">
      <c r="A309" s="5" t="s">
        <v>1098</v>
      </c>
      <c r="B309" s="5" t="s">
        <v>1099</v>
      </c>
      <c r="C309" s="5" t="s">
        <v>1101</v>
      </c>
      <c r="D309" s="5" t="s">
        <v>510</v>
      </c>
      <c r="E309" s="5" t="n">
        <v>3</v>
      </c>
      <c r="F309" s="5" t="s">
        <v>1684</v>
      </c>
      <c r="G309" s="5" t="s">
        <v>1685</v>
      </c>
      <c r="H309" s="5"/>
      <c r="I309" s="5"/>
    </row>
    <row r="310" customFormat="false" ht="33.75" hidden="false" customHeight="true" outlineLevel="0" collapsed="false">
      <c r="A310" s="5" t="s">
        <v>1098</v>
      </c>
      <c r="B310" s="5" t="s">
        <v>1099</v>
      </c>
      <c r="C310" s="5" t="s">
        <v>1101</v>
      </c>
      <c r="D310" s="5" t="s">
        <v>510</v>
      </c>
      <c r="E310" s="5" t="n">
        <v>4</v>
      </c>
      <c r="F310" s="5" t="s">
        <v>1686</v>
      </c>
      <c r="G310" s="5" t="s">
        <v>1687</v>
      </c>
      <c r="H310" s="5"/>
      <c r="I310" s="5"/>
    </row>
    <row r="311" customFormat="false" ht="33.75" hidden="false" customHeight="true" outlineLevel="0" collapsed="false">
      <c r="A311" s="5" t="s">
        <v>1098</v>
      </c>
      <c r="B311" s="5" t="s">
        <v>1099</v>
      </c>
      <c r="C311" s="5" t="s">
        <v>1101</v>
      </c>
      <c r="D311" s="5" t="s">
        <v>510</v>
      </c>
      <c r="E311" s="5" t="n">
        <v>5</v>
      </c>
      <c r="F311" s="5" t="s">
        <v>1688</v>
      </c>
      <c r="G311" s="5" t="s">
        <v>1689</v>
      </c>
      <c r="H311" s="5"/>
      <c r="I311" s="5"/>
    </row>
  </sheetData>
  <mergeCells count="1">
    <mergeCell ref="A2:I2"/>
  </mergeCells>
  <dataValidations count="1">
    <dataValidation allowBlank="true" errorStyle="stop" operator="between" showDropDown="false" showErrorMessage="false" showInputMessage="false" sqref="H4:H311" type="list">
      <formula1>"Pass,Fail,Blocked"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12"/>
    <col collapsed="false" customWidth="true" hidden="false" outlineLevel="0" max="4" min="4" style="0" width="20"/>
    <col collapsed="false" customWidth="true" hidden="false" outlineLevel="0" max="5" min="5" style="0" width="14"/>
    <col collapsed="false" customWidth="true" hidden="false" outlineLevel="0" max="7" min="6" style="0" width="12"/>
    <col collapsed="false" customWidth="true" hidden="false" outlineLevel="0" max="8" min="8" style="0" width="14"/>
    <col collapsed="false" customWidth="true" hidden="false" outlineLevel="0" max="9" min="9" style="0" width="46"/>
    <col collapsed="false" customWidth="true" hidden="false" outlineLevel="0" max="10" min="10" style="0" width="44"/>
  </cols>
  <sheetData>
    <row r="1" customFormat="false" ht="15" hidden="false" customHeight="false" outlineLevel="0" collapsed="false">
      <c r="A1" s="6" t="s">
        <v>1690</v>
      </c>
    </row>
    <row r="2" customFormat="false" ht="45.75" hidden="false" customHeight="true" outlineLevel="0" collapsed="false">
      <c r="A2" s="3" t="s">
        <v>1691</v>
      </c>
      <c r="B2" s="3"/>
      <c r="C2" s="3"/>
      <c r="D2" s="3"/>
      <c r="E2" s="3"/>
      <c r="F2" s="3"/>
      <c r="G2" s="3"/>
      <c r="H2" s="3"/>
      <c r="I2" s="3"/>
      <c r="J2" s="3"/>
    </row>
    <row r="3" customFormat="false" ht="23.85" hidden="false" customHeight="false" outlineLevel="0" collapsed="false">
      <c r="A3" s="7" t="s">
        <v>1692</v>
      </c>
      <c r="B3" s="7" t="s">
        <v>1693</v>
      </c>
      <c r="C3" s="7" t="s">
        <v>488</v>
      </c>
      <c r="D3" s="7" t="s">
        <v>1694</v>
      </c>
      <c r="E3" s="7" t="s">
        <v>38</v>
      </c>
      <c r="F3" s="7" t="s">
        <v>1695</v>
      </c>
      <c r="G3" s="7" t="s">
        <v>1696</v>
      </c>
      <c r="H3" s="7" t="s">
        <v>1697</v>
      </c>
      <c r="I3" s="7" t="s">
        <v>1698</v>
      </c>
      <c r="J3" s="7" t="s">
        <v>39</v>
      </c>
    </row>
    <row r="4" customFormat="false" ht="25.5" hidden="false" customHeight="true" outlineLevel="0" collapsed="false">
      <c r="A4" s="12" t="s">
        <v>1699</v>
      </c>
      <c r="B4" s="12" t="s">
        <v>1700</v>
      </c>
      <c r="C4" s="12" t="s">
        <v>506</v>
      </c>
      <c r="D4" s="12"/>
      <c r="E4" s="12"/>
      <c r="F4" s="12"/>
      <c r="G4" s="12"/>
      <c r="H4" s="12"/>
      <c r="I4" s="12"/>
      <c r="J4" s="12" t="s">
        <v>1701</v>
      </c>
    </row>
    <row r="5" customFormat="false" ht="19.5" hidden="false" customHeight="true" outlineLevel="0" collapsed="false">
      <c r="A5" s="5" t="s">
        <v>1699</v>
      </c>
      <c r="B5" s="5" t="s">
        <v>1700</v>
      </c>
      <c r="C5" s="5" t="s">
        <v>519</v>
      </c>
      <c r="D5" s="5"/>
      <c r="E5" s="5"/>
      <c r="F5" s="5"/>
      <c r="G5" s="5"/>
      <c r="H5" s="5"/>
      <c r="I5" s="5"/>
      <c r="J5" s="5"/>
    </row>
    <row r="6" customFormat="false" ht="19.5" hidden="false" customHeight="true" outlineLevel="0" collapsed="false">
      <c r="A6" s="5" t="s">
        <v>1699</v>
      </c>
      <c r="B6" s="5" t="s">
        <v>1700</v>
      </c>
      <c r="C6" s="5" t="s">
        <v>528</v>
      </c>
      <c r="D6" s="5"/>
      <c r="E6" s="5"/>
      <c r="F6" s="5"/>
      <c r="G6" s="5"/>
      <c r="H6" s="5"/>
      <c r="I6" s="5"/>
      <c r="J6" s="5"/>
    </row>
    <row r="8" customFormat="false" ht="15" hidden="false" customHeight="false" outlineLevel="0" collapsed="false">
      <c r="A8" s="10" t="s">
        <v>1702</v>
      </c>
    </row>
    <row r="9" customFormat="false" ht="25.5" hidden="false" customHeight="true" outlineLevel="0" collapsed="false">
      <c r="A9" s="10" t="s">
        <v>1699</v>
      </c>
      <c r="B9" s="3" t="s">
        <v>1703</v>
      </c>
      <c r="C9" s="3"/>
      <c r="D9" s="3"/>
      <c r="E9" s="3"/>
      <c r="F9" s="3"/>
      <c r="G9" s="3"/>
      <c r="H9" s="3"/>
      <c r="I9" s="3"/>
      <c r="J9" s="3"/>
    </row>
    <row r="10" customFormat="false" ht="25.5" hidden="false" customHeight="true" outlineLevel="0" collapsed="false">
      <c r="A10" s="10" t="s">
        <v>1704</v>
      </c>
      <c r="B10" s="3" t="s">
        <v>1705</v>
      </c>
      <c r="C10" s="3"/>
      <c r="D10" s="3"/>
      <c r="E10" s="3"/>
      <c r="F10" s="3"/>
      <c r="G10" s="3"/>
      <c r="H10" s="3"/>
      <c r="I10" s="3"/>
      <c r="J10" s="3"/>
    </row>
    <row r="11" customFormat="false" ht="25.5" hidden="false" customHeight="true" outlineLevel="0" collapsed="false">
      <c r="A11" s="10" t="s">
        <v>1706</v>
      </c>
      <c r="B11" s="3" t="s">
        <v>1707</v>
      </c>
      <c r="C11" s="3"/>
      <c r="D11" s="3"/>
      <c r="E11" s="3"/>
      <c r="F11" s="3"/>
      <c r="G11" s="3"/>
      <c r="H11" s="3"/>
      <c r="I11" s="3"/>
      <c r="J11" s="3"/>
    </row>
    <row r="12" customFormat="false" ht="25.5" hidden="false" customHeight="true" outlineLevel="0" collapsed="false">
      <c r="A12" s="10" t="s">
        <v>1708</v>
      </c>
      <c r="B12" s="3" t="s">
        <v>1709</v>
      </c>
      <c r="C12" s="3"/>
      <c r="D12" s="3"/>
      <c r="E12" s="3"/>
      <c r="F12" s="3"/>
      <c r="G12" s="3"/>
      <c r="H12" s="3"/>
      <c r="I12" s="3"/>
      <c r="J12" s="3"/>
    </row>
    <row r="13" customFormat="false" ht="25.5" hidden="false" customHeight="true" outlineLevel="0" collapsed="false">
      <c r="A13" s="10" t="s">
        <v>1710</v>
      </c>
      <c r="B13" s="3" t="s">
        <v>1711</v>
      </c>
      <c r="C13" s="3"/>
      <c r="D13" s="3"/>
      <c r="E13" s="3"/>
      <c r="F13" s="3"/>
      <c r="G13" s="3"/>
      <c r="H13" s="3"/>
      <c r="I13" s="3"/>
      <c r="J13" s="3"/>
    </row>
  </sheetData>
  <mergeCells count="6">
    <mergeCell ref="A2:J2"/>
    <mergeCell ref="B9:J9"/>
    <mergeCell ref="B10:J10"/>
    <mergeCell ref="B11:J11"/>
    <mergeCell ref="B12:J12"/>
    <mergeCell ref="B13:J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4" min="3" style="0" width="12"/>
    <col collapsed="false" customWidth="true" hidden="false" outlineLevel="0" max="5" min="5" style="0" width="26"/>
    <col collapsed="false" customWidth="true" hidden="false" outlineLevel="0" max="6" min="6" style="0" width="96"/>
    <col collapsed="false" customWidth="true" hidden="false" outlineLevel="0" max="7" min="7" style="0" width="14"/>
    <col collapsed="false" customWidth="true" hidden="false" outlineLevel="0" max="8" min="8" style="0" width="16"/>
    <col collapsed="false" customWidth="true" hidden="false" outlineLevel="0" max="9" min="9" style="0" width="26"/>
  </cols>
  <sheetData>
    <row r="1" customFormat="false" ht="15" hidden="false" customHeight="false" outlineLevel="0" collapsed="false">
      <c r="A1" s="6" t="s">
        <v>1712</v>
      </c>
    </row>
    <row r="2" customFormat="false" ht="45.75" hidden="false" customHeight="true" outlineLevel="0" collapsed="false">
      <c r="A2" s="3" t="s">
        <v>1713</v>
      </c>
      <c r="B2" s="3"/>
      <c r="C2" s="3"/>
      <c r="D2" s="3"/>
      <c r="E2" s="3"/>
      <c r="F2" s="3"/>
      <c r="G2" s="3"/>
      <c r="H2" s="3"/>
      <c r="I2" s="3"/>
    </row>
    <row r="3" customFormat="false" ht="15" hidden="false" customHeight="false" outlineLevel="0" collapsed="false">
      <c r="A3" s="11" t="s">
        <v>1714</v>
      </c>
      <c r="B3" s="11" t="s">
        <v>1715</v>
      </c>
      <c r="C3" s="11" t="s">
        <v>38</v>
      </c>
      <c r="D3" s="11" t="s">
        <v>1716</v>
      </c>
      <c r="E3" s="11" t="s">
        <v>490</v>
      </c>
      <c r="F3" s="11" t="s">
        <v>1717</v>
      </c>
      <c r="G3" s="11" t="s">
        <v>52</v>
      </c>
      <c r="H3" s="11" t="s">
        <v>1718</v>
      </c>
      <c r="I3" s="11" t="s">
        <v>1719</v>
      </c>
    </row>
    <row r="4" customFormat="false" ht="45.75" hidden="false" customHeight="true" outlineLevel="0" collapsed="false">
      <c r="A4" s="5" t="s">
        <v>1720</v>
      </c>
      <c r="B4" s="5" t="s">
        <v>1721</v>
      </c>
      <c r="C4" s="5" t="s">
        <v>1722</v>
      </c>
      <c r="D4" s="5" t="s">
        <v>511</v>
      </c>
      <c r="E4" s="5" t="s">
        <v>1723</v>
      </c>
      <c r="F4" s="5" t="s">
        <v>1724</v>
      </c>
      <c r="G4" s="5" t="s">
        <v>1725</v>
      </c>
      <c r="H4" s="5" t="s">
        <v>1726</v>
      </c>
      <c r="I4" s="5" t="s">
        <v>1727</v>
      </c>
    </row>
    <row r="5" customFormat="false" ht="45.75" hidden="false" customHeight="true" outlineLevel="0" collapsed="false">
      <c r="A5" s="5" t="s">
        <v>1728</v>
      </c>
      <c r="B5" s="5" t="s">
        <v>1721</v>
      </c>
      <c r="C5" s="5" t="s">
        <v>1722</v>
      </c>
      <c r="D5" s="5" t="s">
        <v>523</v>
      </c>
      <c r="E5" s="5" t="s">
        <v>1729</v>
      </c>
      <c r="F5" s="5" t="s">
        <v>1730</v>
      </c>
      <c r="G5" s="5" t="s">
        <v>1725</v>
      </c>
      <c r="H5" s="5" t="s">
        <v>1726</v>
      </c>
      <c r="I5" s="5" t="s">
        <v>1731</v>
      </c>
    </row>
    <row r="6" customFormat="false" ht="45.75" hidden="false" customHeight="true" outlineLevel="0" collapsed="false">
      <c r="A6" s="5" t="s">
        <v>1732</v>
      </c>
      <c r="B6" s="5" t="s">
        <v>1721</v>
      </c>
      <c r="C6" s="5" t="s">
        <v>1722</v>
      </c>
      <c r="D6" s="5" t="s">
        <v>523</v>
      </c>
      <c r="E6" s="5" t="s">
        <v>1733</v>
      </c>
      <c r="F6" s="5" t="s">
        <v>1734</v>
      </c>
      <c r="G6" s="5" t="s">
        <v>1725</v>
      </c>
      <c r="H6" s="5" t="s">
        <v>1726</v>
      </c>
      <c r="I6" s="5" t="s">
        <v>1727</v>
      </c>
    </row>
    <row r="7" customFormat="false" ht="45.75" hidden="false" customHeight="true" outlineLevel="0" collapsed="false">
      <c r="A7" s="5" t="s">
        <v>1735</v>
      </c>
      <c r="B7" s="5" t="s">
        <v>1721</v>
      </c>
      <c r="C7" s="5" t="s">
        <v>1722</v>
      </c>
      <c r="D7" s="5" t="s">
        <v>523</v>
      </c>
      <c r="E7" s="5" t="s">
        <v>1736</v>
      </c>
      <c r="F7" s="5" t="s">
        <v>1737</v>
      </c>
      <c r="G7" s="5" t="s">
        <v>1725</v>
      </c>
      <c r="H7" s="5" t="s">
        <v>1726</v>
      </c>
      <c r="I7" s="5" t="s">
        <v>1727</v>
      </c>
    </row>
    <row r="8" customFormat="false" ht="45.75" hidden="false" customHeight="true" outlineLevel="0" collapsed="false">
      <c r="A8" s="5" t="s">
        <v>1738</v>
      </c>
      <c r="B8" s="5" t="s">
        <v>1739</v>
      </c>
      <c r="C8" s="5" t="s">
        <v>1722</v>
      </c>
      <c r="D8" s="5" t="s">
        <v>511</v>
      </c>
      <c r="E8" s="5" t="s">
        <v>1740</v>
      </c>
      <c r="F8" s="5" t="s">
        <v>1741</v>
      </c>
      <c r="G8" s="5" t="s">
        <v>1725</v>
      </c>
      <c r="H8" s="5" t="s">
        <v>1742</v>
      </c>
      <c r="I8" s="5" t="s">
        <v>945</v>
      </c>
    </row>
    <row r="9" customFormat="false" ht="45.75" hidden="false" customHeight="true" outlineLevel="0" collapsed="false">
      <c r="A9" s="5" t="s">
        <v>1743</v>
      </c>
      <c r="B9" s="5" t="s">
        <v>1744</v>
      </c>
      <c r="C9" s="5" t="s">
        <v>1722</v>
      </c>
      <c r="D9" s="5" t="s">
        <v>511</v>
      </c>
      <c r="E9" s="5" t="s">
        <v>1740</v>
      </c>
      <c r="F9" s="5" t="s">
        <v>1745</v>
      </c>
      <c r="G9" s="5" t="s">
        <v>1725</v>
      </c>
      <c r="H9" s="5" t="s">
        <v>1742</v>
      </c>
      <c r="I9" s="5" t="s">
        <v>506</v>
      </c>
    </row>
    <row r="10" customFormat="false" ht="45.75" hidden="false" customHeight="true" outlineLevel="0" collapsed="false">
      <c r="A10" s="5" t="s">
        <v>1746</v>
      </c>
      <c r="B10" s="5" t="s">
        <v>1744</v>
      </c>
      <c r="C10" s="5" t="s">
        <v>1722</v>
      </c>
      <c r="D10" s="5" t="s">
        <v>511</v>
      </c>
      <c r="E10" s="5" t="s">
        <v>1740</v>
      </c>
      <c r="F10" s="5" t="s">
        <v>1747</v>
      </c>
      <c r="G10" s="5" t="s">
        <v>1725</v>
      </c>
      <c r="H10" s="5" t="s">
        <v>1742</v>
      </c>
      <c r="I10" s="5" t="s">
        <v>1748</v>
      </c>
    </row>
    <row r="11" customFormat="false" ht="45.75" hidden="false" customHeight="true" outlineLevel="0" collapsed="false">
      <c r="A11" s="5" t="s">
        <v>1749</v>
      </c>
      <c r="B11" s="5" t="s">
        <v>1750</v>
      </c>
      <c r="C11" s="5" t="s">
        <v>1751</v>
      </c>
      <c r="D11" s="5" t="s">
        <v>523</v>
      </c>
      <c r="E11" s="5" t="s">
        <v>1044</v>
      </c>
      <c r="F11" s="5" t="s">
        <v>1752</v>
      </c>
      <c r="G11" s="5" t="s">
        <v>1725</v>
      </c>
      <c r="H11" s="5" t="s">
        <v>287</v>
      </c>
      <c r="I11" s="5" t="s">
        <v>1043</v>
      </c>
    </row>
    <row r="12" customFormat="false" ht="45.75" hidden="false" customHeight="true" outlineLevel="0" collapsed="false">
      <c r="A12" s="5" t="s">
        <v>1753</v>
      </c>
      <c r="B12" s="5" t="s">
        <v>1754</v>
      </c>
      <c r="C12" s="5" t="s">
        <v>1751</v>
      </c>
      <c r="D12" s="5" t="s">
        <v>511</v>
      </c>
      <c r="E12" s="5" t="s">
        <v>960</v>
      </c>
      <c r="F12" s="5" t="s">
        <v>1755</v>
      </c>
      <c r="G12" s="5" t="s">
        <v>1725</v>
      </c>
      <c r="H12" s="5" t="s">
        <v>287</v>
      </c>
      <c r="I12" s="5" t="s">
        <v>959</v>
      </c>
    </row>
    <row r="13" customFormat="false" ht="45.75" hidden="false" customHeight="true" outlineLevel="0" collapsed="false">
      <c r="A13" s="5" t="s">
        <v>1756</v>
      </c>
      <c r="B13" s="5" t="s">
        <v>1750</v>
      </c>
      <c r="C13" s="5" t="s">
        <v>1751</v>
      </c>
      <c r="D13" s="5" t="s">
        <v>511</v>
      </c>
      <c r="E13" s="5" t="s">
        <v>1757</v>
      </c>
      <c r="F13" s="5" t="s">
        <v>1758</v>
      </c>
      <c r="G13" s="5" t="s">
        <v>1725</v>
      </c>
      <c r="H13" s="5" t="s">
        <v>294</v>
      </c>
      <c r="I13" s="5" t="s">
        <v>904</v>
      </c>
    </row>
    <row r="14" customFormat="false" ht="45.75" hidden="false" customHeight="true" outlineLevel="0" collapsed="false">
      <c r="A14" s="5" t="s">
        <v>1041</v>
      </c>
      <c r="B14" s="5" t="s">
        <v>1750</v>
      </c>
      <c r="C14" s="5" t="s">
        <v>1751</v>
      </c>
      <c r="D14" s="5" t="s">
        <v>511</v>
      </c>
      <c r="E14" s="5" t="s">
        <v>1729</v>
      </c>
      <c r="F14" s="5" t="s">
        <v>1759</v>
      </c>
      <c r="G14" s="5" t="s">
        <v>1725</v>
      </c>
      <c r="H14" s="5" t="s">
        <v>294</v>
      </c>
      <c r="I14" s="5" t="s">
        <v>1034</v>
      </c>
    </row>
    <row r="15" customFormat="false" ht="45.75" hidden="false" customHeight="true" outlineLevel="0" collapsed="false">
      <c r="A15" s="5" t="s">
        <v>1033</v>
      </c>
      <c r="B15" s="5" t="s">
        <v>1760</v>
      </c>
      <c r="C15" s="5" t="s">
        <v>1751</v>
      </c>
      <c r="D15" s="5" t="s">
        <v>523</v>
      </c>
      <c r="E15" s="5" t="s">
        <v>1761</v>
      </c>
      <c r="F15" s="5" t="s">
        <v>1762</v>
      </c>
      <c r="G15" s="5" t="s">
        <v>1725</v>
      </c>
      <c r="H15" s="5" t="s">
        <v>300</v>
      </c>
      <c r="I15" s="5" t="s">
        <v>1027</v>
      </c>
    </row>
    <row r="16" customFormat="false" ht="45.75" hidden="false" customHeight="true" outlineLevel="0" collapsed="false">
      <c r="A16" s="5" t="s">
        <v>1025</v>
      </c>
      <c r="B16" s="5" t="s">
        <v>1760</v>
      </c>
      <c r="C16" s="5" t="s">
        <v>1751</v>
      </c>
      <c r="D16" s="5" t="s">
        <v>511</v>
      </c>
      <c r="E16" s="5" t="s">
        <v>1761</v>
      </c>
      <c r="F16" s="5" t="s">
        <v>1763</v>
      </c>
      <c r="G16" s="5" t="s">
        <v>1725</v>
      </c>
      <c r="H16" s="5" t="s">
        <v>300</v>
      </c>
      <c r="I16" s="5" t="s">
        <v>1018</v>
      </c>
    </row>
    <row r="17" customFormat="false" ht="45.75" hidden="false" customHeight="true" outlineLevel="0" collapsed="false">
      <c r="A17" s="5" t="s">
        <v>1764</v>
      </c>
      <c r="B17" s="5" t="s">
        <v>1760</v>
      </c>
      <c r="C17" s="5" t="s">
        <v>1751</v>
      </c>
      <c r="D17" s="5" t="s">
        <v>617</v>
      </c>
      <c r="E17" s="5" t="s">
        <v>960</v>
      </c>
      <c r="F17" s="5" t="s">
        <v>1765</v>
      </c>
      <c r="G17" s="5" t="s">
        <v>1725</v>
      </c>
      <c r="H17" s="5" t="s">
        <v>300</v>
      </c>
      <c r="I17" s="5" t="s">
        <v>626</v>
      </c>
    </row>
    <row r="18" customFormat="false" ht="45.75" hidden="false" customHeight="true" outlineLevel="0" collapsed="false">
      <c r="A18" s="5" t="s">
        <v>1766</v>
      </c>
      <c r="B18" s="5" t="s">
        <v>1767</v>
      </c>
      <c r="C18" s="5" t="s">
        <v>1751</v>
      </c>
      <c r="D18" s="5" t="s">
        <v>523</v>
      </c>
      <c r="E18" s="5" t="s">
        <v>1768</v>
      </c>
      <c r="F18" s="5" t="s">
        <v>1769</v>
      </c>
      <c r="G18" s="5" t="s">
        <v>1725</v>
      </c>
      <c r="H18" s="5" t="s">
        <v>1770</v>
      </c>
      <c r="I18" s="5" t="s">
        <v>1727</v>
      </c>
    </row>
    <row r="19" customFormat="false" ht="45.75" hidden="false" customHeight="true" outlineLevel="0" collapsed="false">
      <c r="A19" s="5" t="s">
        <v>1771</v>
      </c>
      <c r="B19" s="5" t="s">
        <v>1772</v>
      </c>
      <c r="C19" s="5" t="s">
        <v>1751</v>
      </c>
      <c r="D19" s="5" t="s">
        <v>523</v>
      </c>
      <c r="E19" s="5" t="s">
        <v>1010</v>
      </c>
      <c r="F19" s="5" t="s">
        <v>1773</v>
      </c>
      <c r="G19" s="5" t="s">
        <v>1725</v>
      </c>
      <c r="H19" s="5" t="s">
        <v>314</v>
      </c>
      <c r="I19" s="5" t="s">
        <v>1009</v>
      </c>
    </row>
    <row r="20" customFormat="false" ht="45.75" hidden="false" customHeight="true" outlineLevel="0" collapsed="false">
      <c r="A20" s="5" t="s">
        <v>1774</v>
      </c>
      <c r="B20" s="5" t="s">
        <v>1775</v>
      </c>
      <c r="C20" s="5" t="s">
        <v>1751</v>
      </c>
      <c r="D20" s="5" t="s">
        <v>617</v>
      </c>
      <c r="E20" s="5" t="s">
        <v>853</v>
      </c>
      <c r="F20" s="5" t="s">
        <v>1776</v>
      </c>
      <c r="G20" s="5" t="s">
        <v>1725</v>
      </c>
      <c r="H20" s="5" t="s">
        <v>334</v>
      </c>
      <c r="I20" s="5" t="s">
        <v>852</v>
      </c>
    </row>
    <row r="21" customFormat="false" ht="45.75" hidden="false" customHeight="true" outlineLevel="0" collapsed="false">
      <c r="A21" s="5" t="s">
        <v>1777</v>
      </c>
      <c r="B21" s="5" t="s">
        <v>1775</v>
      </c>
      <c r="C21" s="5" t="s">
        <v>1751</v>
      </c>
      <c r="D21" s="5" t="s">
        <v>1778</v>
      </c>
      <c r="E21" s="5" t="s">
        <v>853</v>
      </c>
      <c r="F21" s="5" t="s">
        <v>1779</v>
      </c>
      <c r="G21" s="5" t="s">
        <v>1725</v>
      </c>
      <c r="H21" s="5" t="s">
        <v>334</v>
      </c>
      <c r="I21" s="5" t="s">
        <v>852</v>
      </c>
    </row>
    <row r="22" customFormat="false" ht="45.75" hidden="false" customHeight="true" outlineLevel="0" collapsed="false">
      <c r="A22" s="5" t="s">
        <v>985</v>
      </c>
      <c r="B22" s="5" t="s">
        <v>1780</v>
      </c>
      <c r="C22" s="5" t="s">
        <v>1751</v>
      </c>
      <c r="D22" s="5" t="s">
        <v>1781</v>
      </c>
      <c r="E22" s="5" t="s">
        <v>1740</v>
      </c>
      <c r="F22" s="5" t="s">
        <v>1782</v>
      </c>
      <c r="G22" s="5" t="s">
        <v>1725</v>
      </c>
      <c r="H22" s="5" t="s">
        <v>334</v>
      </c>
      <c r="I22" s="5" t="s">
        <v>978</v>
      </c>
    </row>
    <row r="23" customFormat="false" ht="45.75" hidden="false" customHeight="true" outlineLevel="0" collapsed="false">
      <c r="A23" s="5" t="s">
        <v>965</v>
      </c>
      <c r="B23" s="5" t="s">
        <v>1780</v>
      </c>
      <c r="C23" s="5" t="s">
        <v>1751</v>
      </c>
      <c r="D23" s="5" t="s">
        <v>1781</v>
      </c>
      <c r="E23" s="5" t="s">
        <v>960</v>
      </c>
      <c r="F23" s="5" t="s">
        <v>1783</v>
      </c>
      <c r="G23" s="5" t="s">
        <v>1725</v>
      </c>
      <c r="H23" s="5" t="s">
        <v>334</v>
      </c>
      <c r="I23" s="5" t="s">
        <v>959</v>
      </c>
    </row>
    <row r="24" customFormat="false" ht="45.75" hidden="false" customHeight="true" outlineLevel="0" collapsed="false">
      <c r="A24" s="5" t="s">
        <v>977</v>
      </c>
      <c r="B24" s="5" t="s">
        <v>1780</v>
      </c>
      <c r="C24" s="5" t="s">
        <v>1751</v>
      </c>
      <c r="D24" s="5" t="s">
        <v>1781</v>
      </c>
      <c r="E24" s="5" t="s">
        <v>960</v>
      </c>
      <c r="F24" s="5" t="s">
        <v>1784</v>
      </c>
      <c r="G24" s="5" t="s">
        <v>1725</v>
      </c>
      <c r="H24" s="5" t="s">
        <v>334</v>
      </c>
      <c r="I24" s="5" t="s">
        <v>972</v>
      </c>
    </row>
    <row r="25" customFormat="false" ht="45.75" hidden="false" customHeight="true" outlineLevel="0" collapsed="false">
      <c r="A25" s="5" t="s">
        <v>1001</v>
      </c>
      <c r="B25" s="5" t="s">
        <v>1780</v>
      </c>
      <c r="C25" s="5" t="s">
        <v>1751</v>
      </c>
      <c r="D25" s="5" t="s">
        <v>1781</v>
      </c>
      <c r="E25" s="5" t="s">
        <v>1729</v>
      </c>
      <c r="F25" s="5" t="s">
        <v>1785</v>
      </c>
      <c r="G25" s="5" t="s">
        <v>1725</v>
      </c>
      <c r="H25" s="5" t="s">
        <v>334</v>
      </c>
      <c r="I25" s="5" t="s">
        <v>995</v>
      </c>
    </row>
    <row r="26" customFormat="false" ht="45.75" hidden="false" customHeight="true" outlineLevel="0" collapsed="false">
      <c r="A26" s="5" t="s">
        <v>944</v>
      </c>
      <c r="B26" s="5" t="s">
        <v>1780</v>
      </c>
      <c r="C26" s="5" t="s">
        <v>1751</v>
      </c>
      <c r="D26" s="5" t="s">
        <v>1781</v>
      </c>
      <c r="E26" s="5" t="s">
        <v>1786</v>
      </c>
      <c r="F26" s="5" t="s">
        <v>1787</v>
      </c>
      <c r="G26" s="5" t="s">
        <v>1788</v>
      </c>
      <c r="H26" s="5" t="s">
        <v>1789</v>
      </c>
      <c r="I26" s="5" t="s">
        <v>1790</v>
      </c>
    </row>
    <row r="27" customFormat="false" ht="45.75" hidden="false" customHeight="true" outlineLevel="0" collapsed="false">
      <c r="A27" s="5" t="s">
        <v>1791</v>
      </c>
      <c r="B27" s="5" t="s">
        <v>1780</v>
      </c>
      <c r="C27" s="5" t="s">
        <v>1751</v>
      </c>
      <c r="D27" s="5" t="s">
        <v>523</v>
      </c>
      <c r="E27" s="5" t="s">
        <v>1757</v>
      </c>
      <c r="F27" s="5" t="s">
        <v>1792</v>
      </c>
      <c r="G27" s="5" t="s">
        <v>1725</v>
      </c>
      <c r="H27" s="5" t="s">
        <v>334</v>
      </c>
      <c r="I27" s="5" t="s">
        <v>1034</v>
      </c>
    </row>
    <row r="28" customFormat="false" ht="45.75" hidden="false" customHeight="true" outlineLevel="0" collapsed="false">
      <c r="A28" s="5" t="s">
        <v>994</v>
      </c>
      <c r="B28" s="5" t="s">
        <v>1780</v>
      </c>
      <c r="C28" s="5" t="s">
        <v>1751</v>
      </c>
      <c r="D28" s="5" t="s">
        <v>523</v>
      </c>
      <c r="E28" s="5" t="s">
        <v>988</v>
      </c>
      <c r="F28" s="5" t="s">
        <v>1793</v>
      </c>
      <c r="G28" s="5" t="s">
        <v>1725</v>
      </c>
      <c r="H28" s="5" t="s">
        <v>334</v>
      </c>
      <c r="I28" s="5" t="s">
        <v>987</v>
      </c>
    </row>
    <row r="29" customFormat="false" ht="45.75" hidden="false" customHeight="true" outlineLevel="0" collapsed="false">
      <c r="A29" s="5" t="s">
        <v>1794</v>
      </c>
      <c r="B29" s="5" t="s">
        <v>1780</v>
      </c>
      <c r="C29" s="5" t="s">
        <v>1751</v>
      </c>
      <c r="D29" s="5" t="s">
        <v>523</v>
      </c>
      <c r="E29" s="5" t="s">
        <v>1084</v>
      </c>
      <c r="F29" s="5" t="s">
        <v>1795</v>
      </c>
      <c r="G29" s="5" t="s">
        <v>1796</v>
      </c>
      <c r="H29" s="5" t="s">
        <v>1797</v>
      </c>
      <c r="I29" s="5" t="s">
        <v>1798</v>
      </c>
    </row>
    <row r="30" customFormat="false" ht="45.75" hidden="false" customHeight="true" outlineLevel="0" collapsed="false">
      <c r="A30" s="5" t="s">
        <v>1799</v>
      </c>
      <c r="B30" s="5" t="s">
        <v>1780</v>
      </c>
      <c r="C30" s="5" t="s">
        <v>1751</v>
      </c>
      <c r="D30" s="5" t="s">
        <v>523</v>
      </c>
      <c r="E30" s="5" t="s">
        <v>853</v>
      </c>
      <c r="F30" s="5" t="s">
        <v>1800</v>
      </c>
      <c r="G30" s="5" t="s">
        <v>1725</v>
      </c>
      <c r="H30" s="5" t="s">
        <v>334</v>
      </c>
      <c r="I30" s="5" t="s">
        <v>1801</v>
      </c>
    </row>
    <row r="31" customFormat="false" ht="45.75" hidden="false" customHeight="true" outlineLevel="0" collapsed="false">
      <c r="A31" s="5" t="s">
        <v>1802</v>
      </c>
      <c r="B31" s="5" t="s">
        <v>1780</v>
      </c>
      <c r="C31" s="5" t="s">
        <v>1751</v>
      </c>
      <c r="D31" s="5" t="s">
        <v>523</v>
      </c>
      <c r="E31" s="5" t="s">
        <v>853</v>
      </c>
      <c r="F31" s="5" t="s">
        <v>1803</v>
      </c>
      <c r="G31" s="5" t="s">
        <v>1725</v>
      </c>
      <c r="H31" s="5" t="s">
        <v>1804</v>
      </c>
      <c r="I31" s="5" t="s">
        <v>1805</v>
      </c>
    </row>
    <row r="32" customFormat="false" ht="45.75" hidden="false" customHeight="true" outlineLevel="0" collapsed="false">
      <c r="A32" s="5" t="s">
        <v>1806</v>
      </c>
      <c r="B32" s="5" t="s">
        <v>1780</v>
      </c>
      <c r="C32" s="5" t="s">
        <v>1751</v>
      </c>
      <c r="D32" s="5" t="s">
        <v>617</v>
      </c>
      <c r="E32" s="5" t="s">
        <v>1740</v>
      </c>
      <c r="F32" s="5" t="s">
        <v>1807</v>
      </c>
      <c r="G32" s="5" t="s">
        <v>1725</v>
      </c>
      <c r="H32" s="5" t="s">
        <v>334</v>
      </c>
      <c r="I32" s="5" t="s">
        <v>1727</v>
      </c>
    </row>
    <row r="33" customFormat="false" ht="45.75" hidden="false" customHeight="true" outlineLevel="0" collapsed="false">
      <c r="A33" s="5" t="s">
        <v>1808</v>
      </c>
      <c r="B33" s="5" t="s">
        <v>1780</v>
      </c>
      <c r="C33" s="5" t="s">
        <v>1751</v>
      </c>
      <c r="D33" s="5" t="s">
        <v>617</v>
      </c>
      <c r="E33" s="5" t="s">
        <v>1809</v>
      </c>
      <c r="F33" s="5" t="s">
        <v>1810</v>
      </c>
      <c r="G33" s="5" t="s">
        <v>1725</v>
      </c>
      <c r="H33" s="5" t="s">
        <v>334</v>
      </c>
      <c r="I33" s="5" t="s">
        <v>875</v>
      </c>
    </row>
    <row r="34" customFormat="false" ht="45.75" hidden="false" customHeight="true" outlineLevel="0" collapsed="false">
      <c r="A34" s="5" t="s">
        <v>1811</v>
      </c>
      <c r="B34" s="5" t="s">
        <v>1780</v>
      </c>
      <c r="C34" s="5" t="s">
        <v>1751</v>
      </c>
      <c r="D34" s="5" t="s">
        <v>617</v>
      </c>
      <c r="E34" s="5" t="s">
        <v>889</v>
      </c>
      <c r="F34" s="5" t="s">
        <v>1812</v>
      </c>
      <c r="G34" s="5" t="s">
        <v>1725</v>
      </c>
      <c r="H34" s="5" t="s">
        <v>358</v>
      </c>
      <c r="I34" s="5" t="s">
        <v>888</v>
      </c>
    </row>
    <row r="35" customFormat="false" ht="45.75" hidden="false" customHeight="true" outlineLevel="0" collapsed="false">
      <c r="A35" s="5" t="s">
        <v>1813</v>
      </c>
      <c r="B35" s="5" t="s">
        <v>1780</v>
      </c>
      <c r="C35" s="5" t="s">
        <v>1751</v>
      </c>
      <c r="D35" s="5" t="s">
        <v>617</v>
      </c>
      <c r="E35" s="5" t="s">
        <v>1814</v>
      </c>
      <c r="F35" s="5" t="s">
        <v>1815</v>
      </c>
      <c r="G35" s="5" t="s">
        <v>1816</v>
      </c>
      <c r="H35" s="5" t="s">
        <v>60</v>
      </c>
      <c r="I35" s="5" t="s">
        <v>1817</v>
      </c>
    </row>
    <row r="36" customFormat="false" ht="45.75" hidden="false" customHeight="true" outlineLevel="0" collapsed="false">
      <c r="A36" s="5" t="s">
        <v>533</v>
      </c>
      <c r="B36" s="5" t="s">
        <v>1818</v>
      </c>
      <c r="C36" s="5" t="s">
        <v>1819</v>
      </c>
      <c r="D36" s="5" t="s">
        <v>511</v>
      </c>
      <c r="E36" s="5" t="s">
        <v>1740</v>
      </c>
      <c r="F36" s="5" t="s">
        <v>1820</v>
      </c>
      <c r="G36" s="5" t="s">
        <v>1725</v>
      </c>
      <c r="H36" s="5" t="s">
        <v>358</v>
      </c>
      <c r="I36" s="5" t="s">
        <v>1821</v>
      </c>
    </row>
    <row r="37" customFormat="false" ht="45.75" hidden="false" customHeight="true" outlineLevel="0" collapsed="false">
      <c r="A37" s="5" t="s">
        <v>571</v>
      </c>
      <c r="B37" s="5" t="s">
        <v>1818</v>
      </c>
      <c r="C37" s="5" t="s">
        <v>1819</v>
      </c>
      <c r="D37" s="5" t="s">
        <v>523</v>
      </c>
      <c r="E37" s="5" t="s">
        <v>1822</v>
      </c>
      <c r="F37" s="5" t="s">
        <v>1823</v>
      </c>
      <c r="G37" s="5" t="s">
        <v>1725</v>
      </c>
      <c r="H37" s="5" t="s">
        <v>358</v>
      </c>
      <c r="I37" s="5" t="s">
        <v>1824</v>
      </c>
    </row>
    <row r="38" customFormat="false" ht="45.75" hidden="false" customHeight="true" outlineLevel="0" collapsed="false">
      <c r="A38" s="5" t="s">
        <v>672</v>
      </c>
      <c r="B38" s="5" t="s">
        <v>1818</v>
      </c>
      <c r="C38" s="5" t="s">
        <v>1819</v>
      </c>
      <c r="D38" s="5" t="s">
        <v>523</v>
      </c>
      <c r="E38" s="5" t="s">
        <v>658</v>
      </c>
      <c r="F38" s="5" t="s">
        <v>1825</v>
      </c>
      <c r="G38" s="5" t="s">
        <v>1725</v>
      </c>
      <c r="H38" s="5" t="s">
        <v>358</v>
      </c>
      <c r="I38" s="5" t="s">
        <v>1826</v>
      </c>
    </row>
    <row r="39" customFormat="false" ht="45.75" hidden="false" customHeight="true" outlineLevel="0" collapsed="false">
      <c r="A39" s="5" t="s">
        <v>613</v>
      </c>
      <c r="B39" s="5" t="s">
        <v>1818</v>
      </c>
      <c r="C39" s="5" t="s">
        <v>1819</v>
      </c>
      <c r="D39" s="5" t="s">
        <v>523</v>
      </c>
      <c r="E39" s="5" t="s">
        <v>600</v>
      </c>
      <c r="F39" s="5" t="s">
        <v>1827</v>
      </c>
      <c r="G39" s="5" t="s">
        <v>1725</v>
      </c>
      <c r="H39" s="5" t="s">
        <v>358</v>
      </c>
      <c r="I39" s="5" t="s">
        <v>1828</v>
      </c>
    </row>
    <row r="40" customFormat="false" ht="45.75" hidden="false" customHeight="true" outlineLevel="0" collapsed="false">
      <c r="A40" s="5" t="s">
        <v>866</v>
      </c>
      <c r="B40" s="5" t="s">
        <v>1818</v>
      </c>
      <c r="C40" s="5" t="s">
        <v>1819</v>
      </c>
      <c r="D40" s="5" t="s">
        <v>617</v>
      </c>
      <c r="E40" s="5" t="s">
        <v>853</v>
      </c>
      <c r="F40" s="5" t="s">
        <v>1829</v>
      </c>
      <c r="G40" s="5" t="s">
        <v>1725</v>
      </c>
      <c r="H40" s="5" t="s">
        <v>358</v>
      </c>
      <c r="I40" s="5" t="s">
        <v>1830</v>
      </c>
    </row>
    <row r="41" customFormat="false" ht="45.75" hidden="false" customHeight="true" outlineLevel="0" collapsed="false">
      <c r="A41" s="5" t="s">
        <v>1831</v>
      </c>
      <c r="B41" s="5" t="s">
        <v>1818</v>
      </c>
      <c r="C41" s="5" t="s">
        <v>1819</v>
      </c>
      <c r="D41" s="5" t="s">
        <v>617</v>
      </c>
      <c r="E41" s="5" t="s">
        <v>1814</v>
      </c>
      <c r="F41" s="5" t="s">
        <v>1832</v>
      </c>
      <c r="G41" s="5" t="s">
        <v>1816</v>
      </c>
      <c r="H41" s="5" t="s">
        <v>60</v>
      </c>
      <c r="I41" s="5" t="s">
        <v>1817</v>
      </c>
    </row>
    <row r="42" customFormat="false" ht="45.75" hidden="false" customHeight="true" outlineLevel="0" collapsed="false">
      <c r="A42" s="5" t="s">
        <v>702</v>
      </c>
      <c r="B42" s="5" t="s">
        <v>1833</v>
      </c>
      <c r="C42" s="5" t="s">
        <v>1834</v>
      </c>
      <c r="D42" s="5" t="s">
        <v>511</v>
      </c>
      <c r="E42" s="5" t="s">
        <v>687</v>
      </c>
      <c r="F42" s="5" t="s">
        <v>1835</v>
      </c>
      <c r="G42" s="5" t="s">
        <v>1725</v>
      </c>
      <c r="H42" s="5" t="s">
        <v>358</v>
      </c>
      <c r="I42" s="5" t="s">
        <v>1836</v>
      </c>
    </row>
    <row r="43" customFormat="false" ht="45.75" hidden="false" customHeight="true" outlineLevel="0" collapsed="false">
      <c r="A43" s="5" t="s">
        <v>711</v>
      </c>
      <c r="B43" s="5" t="s">
        <v>1837</v>
      </c>
      <c r="C43" s="5" t="s">
        <v>1834</v>
      </c>
      <c r="D43" s="5" t="s">
        <v>523</v>
      </c>
      <c r="E43" s="5" t="s">
        <v>705</v>
      </c>
      <c r="F43" s="5" t="s">
        <v>1838</v>
      </c>
      <c r="G43" s="5" t="s">
        <v>1725</v>
      </c>
      <c r="H43" s="5" t="s">
        <v>358</v>
      </c>
      <c r="I43" s="5" t="s">
        <v>704</v>
      </c>
    </row>
    <row r="44" customFormat="false" ht="45.75" hidden="false" customHeight="true" outlineLevel="0" collapsed="false">
      <c r="A44" s="5" t="s">
        <v>902</v>
      </c>
      <c r="B44" s="5" t="s">
        <v>1839</v>
      </c>
      <c r="C44" s="5" t="s">
        <v>1834</v>
      </c>
      <c r="D44" s="5" t="s">
        <v>617</v>
      </c>
      <c r="E44" s="5" t="s">
        <v>853</v>
      </c>
      <c r="F44" s="5" t="s">
        <v>1840</v>
      </c>
      <c r="G44" s="5" t="s">
        <v>1725</v>
      </c>
      <c r="H44" s="5" t="s">
        <v>358</v>
      </c>
      <c r="I44" s="5" t="s">
        <v>897</v>
      </c>
    </row>
    <row r="45" customFormat="false" ht="45.75" hidden="false" customHeight="true" outlineLevel="0" collapsed="false">
      <c r="A45" s="5" t="s">
        <v>1841</v>
      </c>
      <c r="B45" s="5" t="s">
        <v>1842</v>
      </c>
      <c r="C45" s="5" t="s">
        <v>1834</v>
      </c>
      <c r="D45" s="5" t="s">
        <v>1778</v>
      </c>
      <c r="E45" s="5" t="s">
        <v>853</v>
      </c>
      <c r="F45" s="5" t="s">
        <v>1843</v>
      </c>
      <c r="G45" s="5" t="s">
        <v>1725</v>
      </c>
      <c r="H45" s="5" t="s">
        <v>358</v>
      </c>
      <c r="I45" s="5" t="s">
        <v>852</v>
      </c>
    </row>
    <row r="46" customFormat="false" ht="45.75" hidden="false" customHeight="true" outlineLevel="0" collapsed="false">
      <c r="A46" s="5" t="s">
        <v>1844</v>
      </c>
      <c r="B46" s="5" t="s">
        <v>1818</v>
      </c>
      <c r="C46" s="5" t="s">
        <v>1819</v>
      </c>
      <c r="D46" s="5" t="s">
        <v>1845</v>
      </c>
      <c r="E46" s="5" t="s">
        <v>1846</v>
      </c>
      <c r="F46" s="5" t="s">
        <v>1847</v>
      </c>
      <c r="G46" s="5" t="s">
        <v>1848</v>
      </c>
      <c r="H46" s="5" t="s">
        <v>60</v>
      </c>
      <c r="I46" s="5" t="s">
        <v>1849</v>
      </c>
    </row>
  </sheetData>
  <mergeCells count="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0"/>
    <col collapsed="false" customWidth="true" hidden="false" outlineLevel="0" max="3" min="3" style="0" width="34"/>
    <col collapsed="false" customWidth="true" hidden="false" outlineLevel="0" max="4" min="4" style="0" width="40"/>
    <col collapsed="false" customWidth="true" hidden="false" outlineLevel="0" max="5" min="5" style="0" width="16"/>
    <col collapsed="false" customWidth="true" hidden="false" outlineLevel="0" max="7" min="6" style="0" width="14"/>
  </cols>
  <sheetData>
    <row r="1" customFormat="false" ht="15" hidden="false" customHeight="false" outlineLevel="0" collapsed="false">
      <c r="A1" s="6" t="s">
        <v>1850</v>
      </c>
    </row>
    <row r="2" customFormat="false" ht="45.75" hidden="false" customHeight="true" outlineLevel="0" collapsed="false">
      <c r="A2" s="3" t="s">
        <v>1851</v>
      </c>
      <c r="B2" s="3"/>
      <c r="C2" s="3"/>
      <c r="D2" s="3"/>
      <c r="E2" s="3"/>
      <c r="F2" s="3"/>
      <c r="G2" s="3"/>
    </row>
    <row r="3" customFormat="false" ht="35.05" hidden="false" customHeight="false" outlineLevel="0" collapsed="false">
      <c r="A3" s="7" t="s">
        <v>500</v>
      </c>
      <c r="B3" s="7" t="s">
        <v>1852</v>
      </c>
      <c r="C3" s="7" t="s">
        <v>1853</v>
      </c>
      <c r="D3" s="7" t="s">
        <v>501</v>
      </c>
      <c r="E3" s="7" t="s">
        <v>1854</v>
      </c>
      <c r="F3" s="7" t="s">
        <v>1855</v>
      </c>
      <c r="G3" s="7" t="s">
        <v>1856</v>
      </c>
    </row>
    <row r="4" customFormat="false" ht="30" hidden="false" customHeight="true" outlineLevel="0" collapsed="false">
      <c r="A4" s="5" t="s">
        <v>1857</v>
      </c>
      <c r="B4" s="5" t="s">
        <v>358</v>
      </c>
      <c r="C4" s="5" t="s">
        <v>840</v>
      </c>
      <c r="D4" s="5" t="s">
        <v>833</v>
      </c>
      <c r="E4" s="5" t="n">
        <v>1</v>
      </c>
      <c r="F4" s="5" t="n">
        <f aca="false">COUNTIFS(Test_Cases!$M$4:$M$83,"*"&amp;$A4&amp;"*",Test_Cases!$O$4:$O$83,"Pass")+COUNTIFS(Test_Cases!$M$4:$M$83,"*"&amp;$A4&amp;"*",Test_Cases!$O$4:$O$83,"Fail")</f>
        <v>0</v>
      </c>
      <c r="G4" s="5" t="n">
        <f aca="false">COUNTIFS(Test_Cases!$M$4:$M$83,"*"&amp;$A4&amp;"*",Test_Cases!$O$4:$O$83,"Pass")</f>
        <v>0</v>
      </c>
    </row>
    <row r="5" customFormat="false" ht="30" hidden="false" customHeight="true" outlineLevel="0" collapsed="false">
      <c r="A5" s="5" t="s">
        <v>1858</v>
      </c>
      <c r="B5" s="5" t="s">
        <v>358</v>
      </c>
      <c r="C5" s="5" t="s">
        <v>555</v>
      </c>
      <c r="D5" s="5" t="s">
        <v>564</v>
      </c>
      <c r="E5" s="5" t="n">
        <v>1</v>
      </c>
      <c r="F5" s="5" t="n">
        <f aca="false">COUNTIFS(Test_Cases!$M$4:$M$83,"*"&amp;$A5&amp;"*",Test_Cases!$O$4:$O$83,"Pass")+COUNTIFS(Test_Cases!$M$4:$M$83,"*"&amp;$A5&amp;"*",Test_Cases!$O$4:$O$83,"Fail")</f>
        <v>0</v>
      </c>
      <c r="G5" s="5" t="n">
        <f aca="false">COUNTIFS(Test_Cases!$M$4:$M$83,"*"&amp;$A5&amp;"*",Test_Cases!$O$4:$O$83,"Pass")</f>
        <v>0</v>
      </c>
    </row>
    <row r="6" customFormat="false" ht="30" hidden="false" customHeight="true" outlineLevel="0" collapsed="false">
      <c r="A6" s="5" t="s">
        <v>1859</v>
      </c>
      <c r="B6" s="5" t="s">
        <v>358</v>
      </c>
      <c r="C6" s="5" t="s">
        <v>792</v>
      </c>
      <c r="D6" s="5" t="s">
        <v>785</v>
      </c>
      <c r="E6" s="5" t="n">
        <v>1</v>
      </c>
      <c r="F6" s="5" t="n">
        <f aca="false">COUNTIFS(Test_Cases!$M$4:$M$83,"*"&amp;$A6&amp;"*",Test_Cases!$O$4:$O$83,"Pass")+COUNTIFS(Test_Cases!$M$4:$M$83,"*"&amp;$A6&amp;"*",Test_Cases!$O$4:$O$83,"Fail")</f>
        <v>0</v>
      </c>
      <c r="G6" s="5" t="n">
        <f aca="false">COUNTIFS(Test_Cases!$M$4:$M$83,"*"&amp;$A6&amp;"*",Test_Cases!$O$4:$O$83,"Pass")</f>
        <v>0</v>
      </c>
    </row>
    <row r="7" customFormat="false" ht="30" hidden="false" customHeight="true" outlineLevel="0" collapsed="false">
      <c r="A7" s="5" t="s">
        <v>390</v>
      </c>
      <c r="B7" s="5" t="s">
        <v>1053</v>
      </c>
      <c r="C7" s="5" t="s">
        <v>1860</v>
      </c>
      <c r="D7" s="5" t="s">
        <v>1861</v>
      </c>
      <c r="E7" s="5" t="n">
        <v>3</v>
      </c>
      <c r="F7" s="5" t="n">
        <f aca="false">COUNTIFS(Test_Cases!$M$4:$M$83,"*"&amp;$A7&amp;"*",Test_Cases!$O$4:$O$83,"Pass")+COUNTIFS(Test_Cases!$M$4:$M$83,"*"&amp;$A7&amp;"*",Test_Cases!$O$4:$O$83,"Fail")</f>
        <v>0</v>
      </c>
      <c r="G7" s="5" t="n">
        <f aca="false">COUNTIFS(Test_Cases!$M$4:$M$83,"*"&amp;$A7&amp;"*",Test_Cases!$O$4:$O$83,"Pass")</f>
        <v>0</v>
      </c>
    </row>
    <row r="8" customFormat="false" ht="30" hidden="false" customHeight="true" outlineLevel="0" collapsed="false">
      <c r="A8" s="5" t="s">
        <v>1862</v>
      </c>
      <c r="B8" s="5" t="s">
        <v>1083</v>
      </c>
      <c r="C8" s="5" t="s">
        <v>1863</v>
      </c>
      <c r="D8" s="5" t="s">
        <v>1861</v>
      </c>
      <c r="E8" s="5" t="n">
        <v>2</v>
      </c>
      <c r="F8" s="5" t="n">
        <f aca="false">COUNTIFS(Test_Cases!$M$4:$M$83,"*"&amp;$A8&amp;"*",Test_Cases!$O$4:$O$83,"Pass")+COUNTIFS(Test_Cases!$M$4:$M$83,"*"&amp;$A8&amp;"*",Test_Cases!$O$4:$O$83,"Fail")</f>
        <v>0</v>
      </c>
      <c r="G8" s="5" t="n">
        <f aca="false">COUNTIFS(Test_Cases!$M$4:$M$83,"*"&amp;$A8&amp;"*",Test_Cases!$O$4:$O$83,"Pass")</f>
        <v>0</v>
      </c>
    </row>
    <row r="9" customFormat="false" ht="30" hidden="false" customHeight="true" outlineLevel="0" collapsed="false">
      <c r="A9" s="5" t="s">
        <v>1864</v>
      </c>
      <c r="B9" s="5" t="s">
        <v>1099</v>
      </c>
      <c r="C9" s="5" t="s">
        <v>1098</v>
      </c>
      <c r="D9" s="5" t="s">
        <v>1861</v>
      </c>
      <c r="E9" s="5" t="n">
        <v>1</v>
      </c>
      <c r="F9" s="5" t="n">
        <f aca="false">COUNTIFS(Test_Cases!$M$4:$M$83,"*"&amp;$A9&amp;"*",Test_Cases!$O$4:$O$83,"Pass")+COUNTIFS(Test_Cases!$M$4:$M$83,"*"&amp;$A9&amp;"*",Test_Cases!$O$4:$O$83,"Fail")</f>
        <v>0</v>
      </c>
      <c r="G9" s="5" t="n">
        <f aca="false">COUNTIFS(Test_Cases!$M$4:$M$83,"*"&amp;$A9&amp;"*",Test_Cases!$O$4:$O$83,"Pass")</f>
        <v>0</v>
      </c>
    </row>
    <row r="10" customFormat="false" ht="30" hidden="false" customHeight="true" outlineLevel="0" collapsed="false">
      <c r="A10" s="5" t="s">
        <v>1865</v>
      </c>
      <c r="B10" s="5" t="s">
        <v>358</v>
      </c>
      <c r="C10" s="5" t="s">
        <v>904</v>
      </c>
      <c r="D10" s="5" t="s">
        <v>911</v>
      </c>
      <c r="E10" s="5" t="n">
        <v>1</v>
      </c>
      <c r="F10" s="5" t="n">
        <f aca="false">COUNTIFS(Test_Cases!$M$4:$M$83,"*"&amp;$A10&amp;"*",Test_Cases!$O$4:$O$83,"Pass")+COUNTIFS(Test_Cases!$M$4:$M$83,"*"&amp;$A10&amp;"*",Test_Cases!$O$4:$O$83,"Fail")</f>
        <v>0</v>
      </c>
      <c r="G10" s="5" t="n">
        <f aca="false">COUNTIFS(Test_Cases!$M$4:$M$83,"*"&amp;$A10&amp;"*",Test_Cases!$O$4:$O$83,"Pass")</f>
        <v>0</v>
      </c>
    </row>
    <row r="11" customFormat="false" ht="30" hidden="false" customHeight="true" outlineLevel="0" collapsed="false">
      <c r="A11" s="5" t="s">
        <v>533</v>
      </c>
      <c r="B11" s="5" t="s">
        <v>358</v>
      </c>
      <c r="C11" s="5" t="s">
        <v>1866</v>
      </c>
      <c r="D11" s="5" t="s">
        <v>517</v>
      </c>
      <c r="E11" s="5" t="n">
        <v>6</v>
      </c>
      <c r="F11" s="5" t="n">
        <f aca="false">COUNTIFS(Test_Cases!$M$4:$M$83,"*"&amp;$A11&amp;"*",Test_Cases!$O$4:$O$83,"Pass")+COUNTIFS(Test_Cases!$M$4:$M$83,"*"&amp;$A11&amp;"*",Test_Cases!$O$4:$O$83,"Fail")</f>
        <v>0</v>
      </c>
      <c r="G11" s="5" t="n">
        <f aca="false">COUNTIFS(Test_Cases!$M$4:$M$83,"*"&amp;$A11&amp;"*",Test_Cases!$O$4:$O$83,"Pass")</f>
        <v>0</v>
      </c>
    </row>
    <row r="12" customFormat="false" ht="30" hidden="false" customHeight="true" outlineLevel="0" collapsed="false">
      <c r="A12" s="5" t="s">
        <v>571</v>
      </c>
      <c r="B12" s="5" t="s">
        <v>358</v>
      </c>
      <c r="C12" s="5" t="s">
        <v>1867</v>
      </c>
      <c r="D12" s="5" t="s">
        <v>1868</v>
      </c>
      <c r="E12" s="5" t="n">
        <v>6</v>
      </c>
      <c r="F12" s="5" t="n">
        <f aca="false">COUNTIFS(Test_Cases!$M$4:$M$83,"*"&amp;$A12&amp;"*",Test_Cases!$O$4:$O$83,"Pass")+COUNTIFS(Test_Cases!$M$4:$M$83,"*"&amp;$A12&amp;"*",Test_Cases!$O$4:$O$83,"Fail")</f>
        <v>0</v>
      </c>
      <c r="G12" s="5" t="n">
        <f aca="false">COUNTIFS(Test_Cases!$M$4:$M$83,"*"&amp;$A12&amp;"*",Test_Cases!$O$4:$O$83,"Pass")</f>
        <v>0</v>
      </c>
    </row>
    <row r="13" customFormat="false" ht="30" hidden="false" customHeight="true" outlineLevel="0" collapsed="false">
      <c r="A13" s="5" t="s">
        <v>672</v>
      </c>
      <c r="B13" s="5" t="s">
        <v>358</v>
      </c>
      <c r="C13" s="5" t="s">
        <v>1869</v>
      </c>
      <c r="D13" s="5" t="s">
        <v>1870</v>
      </c>
      <c r="E13" s="5" t="n">
        <v>4</v>
      </c>
      <c r="F13" s="5" t="n">
        <f aca="false">COUNTIFS(Test_Cases!$M$4:$M$83,"*"&amp;$A13&amp;"*",Test_Cases!$O$4:$O$83,"Pass")+COUNTIFS(Test_Cases!$M$4:$M$83,"*"&amp;$A13&amp;"*",Test_Cases!$O$4:$O$83,"Fail")</f>
        <v>0</v>
      </c>
      <c r="G13" s="5" t="n">
        <f aca="false">COUNTIFS(Test_Cases!$M$4:$M$83,"*"&amp;$A13&amp;"*",Test_Cases!$O$4:$O$83,"Pass")</f>
        <v>0</v>
      </c>
    </row>
    <row r="14" customFormat="false" ht="30" hidden="false" customHeight="true" outlineLevel="0" collapsed="false">
      <c r="A14" s="5" t="s">
        <v>1871</v>
      </c>
      <c r="B14" s="5" t="s">
        <v>358</v>
      </c>
      <c r="C14" s="5" t="s">
        <v>686</v>
      </c>
      <c r="D14" s="5" t="s">
        <v>694</v>
      </c>
      <c r="E14" s="5" t="n">
        <v>1</v>
      </c>
      <c r="F14" s="5" t="n">
        <f aca="false">COUNTIFS(Test_Cases!$M$4:$M$83,"*"&amp;$A14&amp;"*",Test_Cases!$O$4:$O$83,"Pass")+COUNTIFS(Test_Cases!$M$4:$M$83,"*"&amp;$A14&amp;"*",Test_Cases!$O$4:$O$83,"Fail")</f>
        <v>0</v>
      </c>
      <c r="G14" s="5" t="n">
        <f aca="false">COUNTIFS(Test_Cases!$M$4:$M$83,"*"&amp;$A14&amp;"*",Test_Cases!$O$4:$O$83,"Pass")</f>
        <v>0</v>
      </c>
    </row>
    <row r="15" customFormat="false" ht="30" hidden="false" customHeight="true" outlineLevel="0" collapsed="false">
      <c r="A15" s="5" t="s">
        <v>613</v>
      </c>
      <c r="B15" s="5" t="s">
        <v>358</v>
      </c>
      <c r="C15" s="5" t="s">
        <v>1872</v>
      </c>
      <c r="D15" s="5" t="s">
        <v>607</v>
      </c>
      <c r="E15" s="5" t="n">
        <v>8</v>
      </c>
      <c r="F15" s="5" t="n">
        <f aca="false">COUNTIFS(Test_Cases!$M$4:$M$83,"*"&amp;$A15&amp;"*",Test_Cases!$O$4:$O$83,"Pass")+COUNTIFS(Test_Cases!$M$4:$M$83,"*"&amp;$A15&amp;"*",Test_Cases!$O$4:$O$83,"Fail")</f>
        <v>0</v>
      </c>
      <c r="G15" s="5" t="n">
        <f aca="false">COUNTIFS(Test_Cases!$M$4:$M$83,"*"&amp;$A15&amp;"*",Test_Cases!$O$4:$O$83,"Pass")</f>
        <v>0</v>
      </c>
    </row>
    <row r="16" customFormat="false" ht="30" hidden="false" customHeight="true" outlineLevel="0" collapsed="false">
      <c r="A16" s="5" t="s">
        <v>866</v>
      </c>
      <c r="B16" s="5" t="s">
        <v>358</v>
      </c>
      <c r="C16" s="5" t="s">
        <v>1830</v>
      </c>
      <c r="D16" s="5" t="s">
        <v>860</v>
      </c>
      <c r="E16" s="5" t="n">
        <v>2</v>
      </c>
      <c r="F16" s="5" t="n">
        <f aca="false">COUNTIFS(Test_Cases!$M$4:$M$83,"*"&amp;$A16&amp;"*",Test_Cases!$O$4:$O$83,"Pass")+COUNTIFS(Test_Cases!$M$4:$M$83,"*"&amp;$A16&amp;"*",Test_Cases!$O$4:$O$83,"Fail")</f>
        <v>0</v>
      </c>
      <c r="G16" s="5" t="n">
        <f aca="false">COUNTIFS(Test_Cases!$M$4:$M$83,"*"&amp;$A16&amp;"*",Test_Cases!$O$4:$O$83,"Pass")</f>
        <v>0</v>
      </c>
    </row>
    <row r="17" customFormat="false" ht="30" hidden="false" customHeight="true" outlineLevel="0" collapsed="false">
      <c r="A17" s="5" t="s">
        <v>1033</v>
      </c>
      <c r="B17" s="5" t="s">
        <v>300</v>
      </c>
      <c r="C17" s="5" t="s">
        <v>1027</v>
      </c>
      <c r="D17" s="5" t="s">
        <v>1026</v>
      </c>
      <c r="E17" s="5" t="n">
        <v>1</v>
      </c>
      <c r="F17" s="5" t="n">
        <f aca="false">COUNTIFS(Test_Cases!$M$4:$M$83,"*"&amp;$A17&amp;"*",Test_Cases!$O$4:$O$83,"Pass")+COUNTIFS(Test_Cases!$M$4:$M$83,"*"&amp;$A17&amp;"*",Test_Cases!$O$4:$O$83,"Fail")</f>
        <v>0</v>
      </c>
      <c r="G17" s="5" t="n">
        <f aca="false">COUNTIFS(Test_Cases!$M$4:$M$83,"*"&amp;$A17&amp;"*",Test_Cases!$O$4:$O$83,"Pass")</f>
        <v>0</v>
      </c>
    </row>
    <row r="18" customFormat="false" ht="30" hidden="false" customHeight="true" outlineLevel="0" collapsed="false">
      <c r="A18" s="5" t="s">
        <v>1025</v>
      </c>
      <c r="B18" s="5" t="s">
        <v>300</v>
      </c>
      <c r="C18" s="5" t="s">
        <v>1018</v>
      </c>
      <c r="D18" s="5" t="s">
        <v>1026</v>
      </c>
      <c r="E18" s="5" t="n">
        <v>1</v>
      </c>
      <c r="F18" s="5" t="n">
        <f aca="false">COUNTIFS(Test_Cases!$M$4:$M$83,"*"&amp;$A18&amp;"*",Test_Cases!$O$4:$O$83,"Pass")+COUNTIFS(Test_Cases!$M$4:$M$83,"*"&amp;$A18&amp;"*",Test_Cases!$O$4:$O$83,"Fail")</f>
        <v>0</v>
      </c>
      <c r="G18" s="5" t="n">
        <f aca="false">COUNTIFS(Test_Cases!$M$4:$M$83,"*"&amp;$A18&amp;"*",Test_Cases!$O$4:$O$83,"Pass")</f>
        <v>0</v>
      </c>
    </row>
    <row r="19" customFormat="false" ht="30" hidden="false" customHeight="true" outlineLevel="0" collapsed="false">
      <c r="A19" s="5" t="s">
        <v>1771</v>
      </c>
      <c r="B19" s="5" t="s">
        <v>314</v>
      </c>
      <c r="C19" s="5" t="s">
        <v>1009</v>
      </c>
      <c r="D19" s="5" t="s">
        <v>1017</v>
      </c>
      <c r="E19" s="5" t="n">
        <v>1</v>
      </c>
      <c r="F19" s="5" t="n">
        <f aca="false">COUNTIFS(Test_Cases!$M$4:$M$83,"*"&amp;$A19&amp;"*",Test_Cases!$O$4:$O$83,"Pass")+COUNTIFS(Test_Cases!$M$4:$M$83,"*"&amp;$A19&amp;"*",Test_Cases!$O$4:$O$83,"Fail")</f>
        <v>0</v>
      </c>
      <c r="G19" s="5" t="n">
        <f aca="false">COUNTIFS(Test_Cases!$M$4:$M$83,"*"&amp;$A19&amp;"*",Test_Cases!$O$4:$O$83,"Pass")</f>
        <v>0</v>
      </c>
    </row>
    <row r="20" customFormat="false" ht="30" hidden="false" customHeight="true" outlineLevel="0" collapsed="false">
      <c r="A20" s="5" t="s">
        <v>702</v>
      </c>
      <c r="B20" s="5" t="s">
        <v>358</v>
      </c>
      <c r="C20" s="5" t="s">
        <v>1836</v>
      </c>
      <c r="D20" s="5" t="s">
        <v>1873</v>
      </c>
      <c r="E20" s="5" t="n">
        <v>2</v>
      </c>
      <c r="F20" s="5" t="n">
        <f aca="false">COUNTIFS(Test_Cases!$M$4:$M$83,"*"&amp;$A20&amp;"*",Test_Cases!$O$4:$O$83,"Pass")+COUNTIFS(Test_Cases!$M$4:$M$83,"*"&amp;$A20&amp;"*",Test_Cases!$O$4:$O$83,"Fail")</f>
        <v>0</v>
      </c>
      <c r="G20" s="5" t="n">
        <f aca="false">COUNTIFS(Test_Cases!$M$4:$M$83,"*"&amp;$A20&amp;"*",Test_Cases!$O$4:$O$83,"Pass")</f>
        <v>0</v>
      </c>
    </row>
    <row r="21" customFormat="false" ht="30" hidden="false" customHeight="true" outlineLevel="0" collapsed="false">
      <c r="A21" s="5" t="s">
        <v>711</v>
      </c>
      <c r="B21" s="5" t="s">
        <v>358</v>
      </c>
      <c r="C21" s="5" t="s">
        <v>704</v>
      </c>
      <c r="D21" s="5" t="s">
        <v>712</v>
      </c>
      <c r="E21" s="5" t="n">
        <v>1</v>
      </c>
      <c r="F21" s="5" t="n">
        <f aca="false">COUNTIFS(Test_Cases!$M$4:$M$83,"*"&amp;$A21&amp;"*",Test_Cases!$O$4:$O$83,"Pass")+COUNTIFS(Test_Cases!$M$4:$M$83,"*"&amp;$A21&amp;"*",Test_Cases!$O$4:$O$83,"Fail")</f>
        <v>0</v>
      </c>
      <c r="G21" s="5" t="n">
        <f aca="false">COUNTIFS(Test_Cases!$M$4:$M$83,"*"&amp;$A21&amp;"*",Test_Cases!$O$4:$O$83,"Pass")</f>
        <v>0</v>
      </c>
    </row>
    <row r="22" customFormat="false" ht="30" hidden="false" customHeight="true" outlineLevel="0" collapsed="false">
      <c r="A22" s="5" t="s">
        <v>902</v>
      </c>
      <c r="B22" s="5" t="s">
        <v>358</v>
      </c>
      <c r="C22" s="5" t="s">
        <v>897</v>
      </c>
      <c r="D22" s="5" t="s">
        <v>903</v>
      </c>
      <c r="E22" s="5" t="n">
        <v>1</v>
      </c>
      <c r="F22" s="5" t="n">
        <f aca="false">COUNTIFS(Test_Cases!$M$4:$M$83,"*"&amp;$A22&amp;"*",Test_Cases!$O$4:$O$83,"Pass")+COUNTIFS(Test_Cases!$M$4:$M$83,"*"&amp;$A22&amp;"*",Test_Cases!$O$4:$O$83,"Fail")</f>
        <v>0</v>
      </c>
      <c r="G22" s="5" t="n">
        <f aca="false">COUNTIFS(Test_Cases!$M$4:$M$83,"*"&amp;$A22&amp;"*",Test_Cases!$O$4:$O$83,"Pass")</f>
        <v>0</v>
      </c>
    </row>
    <row r="23" customFormat="false" ht="30" hidden="false" customHeight="true" outlineLevel="0" collapsed="false">
      <c r="A23" s="5" t="s">
        <v>1749</v>
      </c>
      <c r="B23" s="5" t="s">
        <v>287</v>
      </c>
      <c r="C23" s="5" t="s">
        <v>1043</v>
      </c>
      <c r="D23" s="5" t="s">
        <v>1051</v>
      </c>
      <c r="E23" s="5" t="n">
        <v>1</v>
      </c>
      <c r="F23" s="5" t="n">
        <f aca="false">COUNTIFS(Test_Cases!$M$4:$M$83,"*"&amp;$A23&amp;"*",Test_Cases!$O$4:$O$83,"Pass")+COUNTIFS(Test_Cases!$M$4:$M$83,"*"&amp;$A23&amp;"*",Test_Cases!$O$4:$O$83,"Fail")</f>
        <v>0</v>
      </c>
      <c r="G23" s="5" t="n">
        <f aca="false">COUNTIFS(Test_Cases!$M$4:$M$83,"*"&amp;$A23&amp;"*",Test_Cases!$O$4:$O$83,"Pass")</f>
        <v>0</v>
      </c>
    </row>
    <row r="24" customFormat="false" ht="30" hidden="false" customHeight="true" outlineLevel="0" collapsed="false">
      <c r="A24" s="5" t="s">
        <v>1041</v>
      </c>
      <c r="B24" s="5" t="s">
        <v>294</v>
      </c>
      <c r="C24" s="5" t="s">
        <v>1034</v>
      </c>
      <c r="D24" s="5" t="s">
        <v>1042</v>
      </c>
      <c r="E24" s="5" t="n">
        <v>1</v>
      </c>
      <c r="F24" s="5" t="n">
        <f aca="false">COUNTIFS(Test_Cases!$M$4:$M$83,"*"&amp;$A24&amp;"*",Test_Cases!$O$4:$O$83,"Pass")+COUNTIFS(Test_Cases!$M$4:$M$83,"*"&amp;$A24&amp;"*",Test_Cases!$O$4:$O$83,"Fail")</f>
        <v>0</v>
      </c>
      <c r="G24" s="5" t="n">
        <f aca="false">COUNTIFS(Test_Cases!$M$4:$M$83,"*"&amp;$A24&amp;"*",Test_Cases!$O$4:$O$83,"Pass")</f>
        <v>0</v>
      </c>
    </row>
    <row r="25" customFormat="false" ht="30" hidden="false" customHeight="true" outlineLevel="0" collapsed="false">
      <c r="A25" s="5" t="s">
        <v>470</v>
      </c>
      <c r="B25" s="5" t="s">
        <v>358</v>
      </c>
      <c r="C25" s="5" t="s">
        <v>474</v>
      </c>
      <c r="D25" s="5" t="s">
        <v>1861</v>
      </c>
      <c r="E25" s="5" t="n">
        <v>1</v>
      </c>
      <c r="F25" s="5" t="n">
        <f aca="false">COUNTIFS(Test_Cases!$M$4:$M$83,"*"&amp;$A25&amp;"*",Test_Cases!$O$4:$O$83,"Pass")+COUNTIFS(Test_Cases!$M$4:$M$83,"*"&amp;$A25&amp;"*",Test_Cases!$O$4:$O$83,"Fail")</f>
        <v>0</v>
      </c>
      <c r="G25" s="5" t="n">
        <f aca="false">COUNTIFS(Test_Cases!$M$4:$M$83,"*"&amp;$A25&amp;"*",Test_Cases!$O$4:$O$83,"Pass")</f>
        <v>0</v>
      </c>
    </row>
    <row r="26" customFormat="false" ht="30" hidden="false" customHeight="true" outlineLevel="0" collapsed="false">
      <c r="A26" s="5" t="s">
        <v>1008</v>
      </c>
      <c r="B26" s="5" t="s">
        <v>321</v>
      </c>
      <c r="C26" s="5" t="s">
        <v>1002</v>
      </c>
      <c r="D26" s="5" t="s">
        <v>694</v>
      </c>
      <c r="E26" s="5" t="n">
        <v>1</v>
      </c>
      <c r="F26" s="5" t="n">
        <f aca="false">COUNTIFS(Test_Cases!$M$4:$M$83,"*"&amp;$A26&amp;"*",Test_Cases!$O$4:$O$83,"Pass")+COUNTIFS(Test_Cases!$M$4:$M$83,"*"&amp;$A26&amp;"*",Test_Cases!$O$4:$O$83,"Fail")</f>
        <v>0</v>
      </c>
      <c r="G26" s="5" t="n">
        <f aca="false">COUNTIFS(Test_Cases!$M$4:$M$83,"*"&amp;$A26&amp;"*",Test_Cases!$O$4:$O$83,"Pass")</f>
        <v>0</v>
      </c>
    </row>
    <row r="27" customFormat="false" ht="30" hidden="false" customHeight="true" outlineLevel="0" collapsed="false">
      <c r="A27" s="5" t="s">
        <v>1874</v>
      </c>
      <c r="B27" s="5" t="s">
        <v>358</v>
      </c>
      <c r="C27" s="5" t="s">
        <v>506</v>
      </c>
      <c r="D27" s="5" t="s">
        <v>517</v>
      </c>
      <c r="E27" s="5" t="n">
        <v>1</v>
      </c>
      <c r="F27" s="5" t="n">
        <f aca="false">COUNTIFS(Test_Cases!$M$4:$M$83,"*"&amp;$A27&amp;"*",Test_Cases!$O$4:$O$83,"Pass")+COUNTIFS(Test_Cases!$M$4:$M$83,"*"&amp;$A27&amp;"*",Test_Cases!$O$4:$O$83,"Fail")</f>
        <v>0</v>
      </c>
      <c r="G27" s="5" t="n">
        <f aca="false">COUNTIFS(Test_Cases!$M$4:$M$83,"*"&amp;$A27&amp;"*",Test_Cases!$O$4:$O$83,"Pass")</f>
        <v>0</v>
      </c>
    </row>
    <row r="28" customFormat="false" ht="30" hidden="false" customHeight="true" outlineLevel="0" collapsed="false">
      <c r="A28" s="5" t="s">
        <v>1875</v>
      </c>
      <c r="B28" s="5" t="s">
        <v>349</v>
      </c>
      <c r="C28" s="5" t="s">
        <v>930</v>
      </c>
      <c r="D28" s="5" t="s">
        <v>938</v>
      </c>
      <c r="E28" s="5" t="n">
        <v>1</v>
      </c>
      <c r="F28" s="5" t="n">
        <f aca="false">COUNTIFS(Test_Cases!$M$4:$M$83,"*"&amp;$A28&amp;"*",Test_Cases!$O$4:$O$83,"Pass")+COUNTIFS(Test_Cases!$M$4:$M$83,"*"&amp;$A28&amp;"*",Test_Cases!$O$4:$O$83,"Fail")</f>
        <v>0</v>
      </c>
      <c r="G28" s="5" t="n">
        <f aca="false">COUNTIFS(Test_Cases!$M$4:$M$83,"*"&amp;$A28&amp;"*",Test_Cases!$O$4:$O$83,"Pass")</f>
        <v>0</v>
      </c>
    </row>
    <row r="29" customFormat="false" ht="30" hidden="false" customHeight="true" outlineLevel="0" collapsed="false">
      <c r="A29" s="5" t="s">
        <v>1876</v>
      </c>
      <c r="B29" s="5" t="s">
        <v>287</v>
      </c>
      <c r="C29" s="5" t="s">
        <v>1043</v>
      </c>
      <c r="D29" s="5" t="s">
        <v>1051</v>
      </c>
      <c r="E29" s="5" t="n">
        <v>1</v>
      </c>
      <c r="F29" s="5" t="n">
        <f aca="false">COUNTIFS(Test_Cases!$M$4:$M$83,"*"&amp;$A29&amp;"*",Test_Cases!$O$4:$O$83,"Pass")+COUNTIFS(Test_Cases!$M$4:$M$83,"*"&amp;$A29&amp;"*",Test_Cases!$O$4:$O$83,"Fail")</f>
        <v>0</v>
      </c>
      <c r="G29" s="5" t="n">
        <f aca="false">COUNTIFS(Test_Cases!$M$4:$M$83,"*"&amp;$A29&amp;"*",Test_Cases!$O$4:$O$83,"Pass")</f>
        <v>0</v>
      </c>
    </row>
    <row r="30" customFormat="false" ht="30" hidden="false" customHeight="true" outlineLevel="0" collapsed="false">
      <c r="A30" s="5" t="s">
        <v>1877</v>
      </c>
      <c r="B30" s="5" t="s">
        <v>341</v>
      </c>
      <c r="C30" s="5" t="s">
        <v>945</v>
      </c>
      <c r="D30" s="5" t="s">
        <v>673</v>
      </c>
      <c r="E30" s="5" t="n">
        <v>1</v>
      </c>
      <c r="F30" s="5" t="n">
        <f aca="false">COUNTIFS(Test_Cases!$M$4:$M$83,"*"&amp;$A30&amp;"*",Test_Cases!$O$4:$O$83,"Pass")+COUNTIFS(Test_Cases!$M$4:$M$83,"*"&amp;$A30&amp;"*",Test_Cases!$O$4:$O$83,"Fail")</f>
        <v>0</v>
      </c>
      <c r="G30" s="5" t="n">
        <f aca="false">COUNTIFS(Test_Cases!$M$4:$M$83,"*"&amp;$A30&amp;"*",Test_Cases!$O$4:$O$83,"Pass")</f>
        <v>0</v>
      </c>
    </row>
    <row r="31" customFormat="false" ht="30" hidden="false" customHeight="true" outlineLevel="0" collapsed="false">
      <c r="A31" s="5" t="s">
        <v>825</v>
      </c>
      <c r="B31" s="5" t="s">
        <v>358</v>
      </c>
      <c r="C31" s="5" t="s">
        <v>1878</v>
      </c>
      <c r="D31" s="5" t="s">
        <v>673</v>
      </c>
      <c r="E31" s="5" t="n">
        <v>2</v>
      </c>
      <c r="F31" s="5" t="n">
        <f aca="false">COUNTIFS(Test_Cases!$M$4:$M$83,"*"&amp;$A31&amp;"*",Test_Cases!$O$4:$O$83,"Pass")+COUNTIFS(Test_Cases!$M$4:$M$83,"*"&amp;$A31&amp;"*",Test_Cases!$O$4:$O$83,"Fail")</f>
        <v>0</v>
      </c>
      <c r="G31" s="5" t="n">
        <f aca="false">COUNTIFS(Test_Cases!$M$4:$M$83,"*"&amp;$A31&amp;"*",Test_Cases!$O$4:$O$83,"Pass")</f>
        <v>0</v>
      </c>
    </row>
    <row r="32" customFormat="false" ht="30" hidden="false" customHeight="true" outlineLevel="0" collapsed="false">
      <c r="A32" s="5" t="s">
        <v>1879</v>
      </c>
      <c r="B32" s="5" t="s">
        <v>358</v>
      </c>
      <c r="C32" s="5" t="s">
        <v>922</v>
      </c>
      <c r="D32" s="5" t="s">
        <v>929</v>
      </c>
      <c r="E32" s="5" t="n">
        <v>1</v>
      </c>
      <c r="F32" s="5" t="n">
        <f aca="false">COUNTIFS(Test_Cases!$M$4:$M$83,"*"&amp;$A32&amp;"*",Test_Cases!$O$4:$O$83,"Pass")+COUNTIFS(Test_Cases!$M$4:$M$83,"*"&amp;$A32&amp;"*",Test_Cases!$O$4:$O$83,"Fail")</f>
        <v>0</v>
      </c>
      <c r="G32" s="5" t="n">
        <f aca="false">COUNTIFS(Test_Cases!$M$4:$M$83,"*"&amp;$A32&amp;"*",Test_Cases!$O$4:$O$83,"Pass")</f>
        <v>0</v>
      </c>
    </row>
    <row r="33" customFormat="false" ht="30" hidden="false" customHeight="true" outlineLevel="0" collapsed="false">
      <c r="A33" s="5" t="s">
        <v>1880</v>
      </c>
      <c r="B33" s="5" t="s">
        <v>314</v>
      </c>
      <c r="C33" s="5" t="s">
        <v>1009</v>
      </c>
      <c r="D33" s="5" t="s">
        <v>1017</v>
      </c>
      <c r="E33" s="5" t="n">
        <v>1</v>
      </c>
      <c r="F33" s="5" t="n">
        <f aca="false">COUNTIFS(Test_Cases!$M$4:$M$83,"*"&amp;$A33&amp;"*",Test_Cases!$O$4:$O$83,"Pass")+COUNTIFS(Test_Cases!$M$4:$M$83,"*"&amp;$A33&amp;"*",Test_Cases!$O$4:$O$83,"Fail")</f>
        <v>0</v>
      </c>
      <c r="G33" s="5" t="n">
        <f aca="false">COUNTIFS(Test_Cases!$M$4:$M$83,"*"&amp;$A33&amp;"*",Test_Cases!$O$4:$O$83,"Pass")</f>
        <v>0</v>
      </c>
    </row>
    <row r="34" customFormat="false" ht="30" hidden="false" customHeight="true" outlineLevel="0" collapsed="false">
      <c r="A34" s="5" t="s">
        <v>985</v>
      </c>
      <c r="B34" s="5" t="s">
        <v>334</v>
      </c>
      <c r="C34" s="5" t="s">
        <v>978</v>
      </c>
      <c r="D34" s="5" t="s">
        <v>986</v>
      </c>
      <c r="E34" s="5" t="n">
        <v>1</v>
      </c>
      <c r="F34" s="5" t="n">
        <f aca="false">COUNTIFS(Test_Cases!$M$4:$M$83,"*"&amp;$A34&amp;"*",Test_Cases!$O$4:$O$83,"Pass")+COUNTIFS(Test_Cases!$M$4:$M$83,"*"&amp;$A34&amp;"*",Test_Cases!$O$4:$O$83,"Fail")</f>
        <v>0</v>
      </c>
      <c r="G34" s="5" t="n">
        <f aca="false">COUNTIFS(Test_Cases!$M$4:$M$83,"*"&amp;$A34&amp;"*",Test_Cases!$O$4:$O$83,"Pass")</f>
        <v>0</v>
      </c>
    </row>
    <row r="35" customFormat="false" ht="30" hidden="false" customHeight="true" outlineLevel="0" collapsed="false">
      <c r="A35" s="5" t="s">
        <v>965</v>
      </c>
      <c r="B35" s="5" t="s">
        <v>334</v>
      </c>
      <c r="C35" s="5" t="s">
        <v>1881</v>
      </c>
      <c r="D35" s="5" t="s">
        <v>860</v>
      </c>
      <c r="E35" s="5" t="n">
        <v>2</v>
      </c>
      <c r="F35" s="5" t="n">
        <f aca="false">COUNTIFS(Test_Cases!$M$4:$M$83,"*"&amp;$A35&amp;"*",Test_Cases!$O$4:$O$83,"Pass")+COUNTIFS(Test_Cases!$M$4:$M$83,"*"&amp;$A35&amp;"*",Test_Cases!$O$4:$O$83,"Fail")</f>
        <v>0</v>
      </c>
      <c r="G35" s="5" t="n">
        <f aca="false">COUNTIFS(Test_Cases!$M$4:$M$83,"*"&amp;$A35&amp;"*",Test_Cases!$O$4:$O$83,"Pass")</f>
        <v>0</v>
      </c>
    </row>
    <row r="36" customFormat="false" ht="30" hidden="false" customHeight="true" outlineLevel="0" collapsed="false">
      <c r="A36" s="5" t="s">
        <v>977</v>
      </c>
      <c r="B36" s="5" t="s">
        <v>334</v>
      </c>
      <c r="C36" s="5" t="s">
        <v>972</v>
      </c>
      <c r="D36" s="5" t="s">
        <v>860</v>
      </c>
      <c r="E36" s="5" t="n">
        <v>1</v>
      </c>
      <c r="F36" s="5" t="n">
        <f aca="false">COUNTIFS(Test_Cases!$M$4:$M$83,"*"&amp;$A36&amp;"*",Test_Cases!$O$4:$O$83,"Pass")+COUNTIFS(Test_Cases!$M$4:$M$83,"*"&amp;$A36&amp;"*",Test_Cases!$O$4:$O$83,"Fail")</f>
        <v>0</v>
      </c>
      <c r="G36" s="5" t="n">
        <f aca="false">COUNTIFS(Test_Cases!$M$4:$M$83,"*"&amp;$A36&amp;"*",Test_Cases!$O$4:$O$83,"Pass")</f>
        <v>0</v>
      </c>
    </row>
    <row r="37" customFormat="false" ht="30" hidden="false" customHeight="true" outlineLevel="0" collapsed="false">
      <c r="A37" s="5" t="s">
        <v>1001</v>
      </c>
      <c r="B37" s="5" t="s">
        <v>334</v>
      </c>
      <c r="C37" s="5" t="s">
        <v>995</v>
      </c>
      <c r="D37" s="5" t="s">
        <v>860</v>
      </c>
      <c r="E37" s="5" t="n">
        <v>1</v>
      </c>
      <c r="F37" s="5" t="n">
        <f aca="false">COUNTIFS(Test_Cases!$M$4:$M$83,"*"&amp;$A37&amp;"*",Test_Cases!$O$4:$O$83,"Pass")+COUNTIFS(Test_Cases!$M$4:$M$83,"*"&amp;$A37&amp;"*",Test_Cases!$O$4:$O$83,"Fail")</f>
        <v>0</v>
      </c>
      <c r="G37" s="5" t="n">
        <f aca="false">COUNTIFS(Test_Cases!$M$4:$M$83,"*"&amp;$A37&amp;"*",Test_Cases!$O$4:$O$83,"Pass")</f>
        <v>0</v>
      </c>
    </row>
    <row r="38" customFormat="false" ht="30" hidden="false" customHeight="true" outlineLevel="0" collapsed="false">
      <c r="A38" s="5" t="s">
        <v>944</v>
      </c>
      <c r="B38" s="5" t="s">
        <v>349</v>
      </c>
      <c r="C38" s="5" t="s">
        <v>1882</v>
      </c>
      <c r="D38" s="5" t="s">
        <v>1883</v>
      </c>
      <c r="E38" s="5" t="n">
        <v>4</v>
      </c>
      <c r="F38" s="5" t="n">
        <f aca="false">COUNTIFS(Test_Cases!$M$4:$M$83,"*"&amp;$A38&amp;"*",Test_Cases!$O$4:$O$83,"Pass")+COUNTIFS(Test_Cases!$M$4:$M$83,"*"&amp;$A38&amp;"*",Test_Cases!$O$4:$O$83,"Fail")</f>
        <v>0</v>
      </c>
      <c r="G38" s="5" t="n">
        <f aca="false">COUNTIFS(Test_Cases!$M$4:$M$83,"*"&amp;$A38&amp;"*",Test_Cases!$O$4:$O$83,"Pass")</f>
        <v>0</v>
      </c>
    </row>
    <row r="39" customFormat="false" ht="30" hidden="false" customHeight="true" outlineLevel="0" collapsed="false">
      <c r="A39" s="5" t="s">
        <v>994</v>
      </c>
      <c r="B39" s="5" t="s">
        <v>334</v>
      </c>
      <c r="C39" s="5" t="s">
        <v>987</v>
      </c>
      <c r="D39" s="5" t="s">
        <v>860</v>
      </c>
      <c r="E39" s="5" t="n">
        <v>1</v>
      </c>
      <c r="F39" s="5" t="n">
        <f aca="false">COUNTIFS(Test_Cases!$M$4:$M$83,"*"&amp;$A39&amp;"*",Test_Cases!$O$4:$O$83,"Pass")+COUNTIFS(Test_Cases!$M$4:$M$83,"*"&amp;$A39&amp;"*",Test_Cases!$O$4:$O$83,"Fail")</f>
        <v>0</v>
      </c>
      <c r="G39" s="5" t="n">
        <f aca="false">COUNTIFS(Test_Cases!$M$4:$M$83,"*"&amp;$A39&amp;"*",Test_Cases!$O$4:$O$83,"Pass")</f>
        <v>0</v>
      </c>
    </row>
    <row r="40" customFormat="false" ht="30" hidden="false" customHeight="true" outlineLevel="0" collapsed="false">
      <c r="A40" s="5" t="s">
        <v>1794</v>
      </c>
      <c r="B40" s="5" t="s">
        <v>358</v>
      </c>
      <c r="C40" s="5" t="s">
        <v>882</v>
      </c>
      <c r="D40" s="5" t="s">
        <v>874</v>
      </c>
      <c r="E40" s="5" t="n">
        <v>1</v>
      </c>
      <c r="F40" s="5" t="n">
        <f aca="false">COUNTIFS(Test_Cases!$M$4:$M$83,"*"&amp;$A40&amp;"*",Test_Cases!$O$4:$O$83,"Pass")+COUNTIFS(Test_Cases!$M$4:$M$83,"*"&amp;$A40&amp;"*",Test_Cases!$O$4:$O$83,"Fail")</f>
        <v>0</v>
      </c>
      <c r="G40" s="5" t="n">
        <f aca="false">COUNTIFS(Test_Cases!$M$4:$M$83,"*"&amp;$A40&amp;"*",Test_Cases!$O$4:$O$83,"Pass")</f>
        <v>0</v>
      </c>
    </row>
    <row r="41" customFormat="false" ht="30" hidden="false" customHeight="true" outlineLevel="0" collapsed="false">
      <c r="A41" s="5" t="s">
        <v>1799</v>
      </c>
      <c r="B41" s="5" t="s">
        <v>358</v>
      </c>
      <c r="C41" s="5" t="s">
        <v>904</v>
      </c>
      <c r="D41" s="5" t="s">
        <v>911</v>
      </c>
      <c r="E41" s="5" t="n">
        <v>1</v>
      </c>
      <c r="F41" s="5" t="n">
        <f aca="false">COUNTIFS(Test_Cases!$M$4:$M$83,"*"&amp;$A41&amp;"*",Test_Cases!$O$4:$O$83,"Pass")+COUNTIFS(Test_Cases!$M$4:$M$83,"*"&amp;$A41&amp;"*",Test_Cases!$O$4:$O$83,"Fail")</f>
        <v>0</v>
      </c>
      <c r="G41" s="5" t="n">
        <f aca="false">COUNTIFS(Test_Cases!$M$4:$M$83,"*"&amp;$A41&amp;"*",Test_Cases!$O$4:$O$83,"Pass")</f>
        <v>0</v>
      </c>
    </row>
    <row r="42" customFormat="false" ht="30" hidden="false" customHeight="true" outlineLevel="0" collapsed="false">
      <c r="A42" s="5" t="s">
        <v>1811</v>
      </c>
      <c r="B42" s="5" t="s">
        <v>358</v>
      </c>
      <c r="C42" s="5" t="s">
        <v>888</v>
      </c>
      <c r="D42" s="5" t="s">
        <v>896</v>
      </c>
      <c r="E42" s="5" t="n">
        <v>1</v>
      </c>
      <c r="F42" s="5" t="n">
        <f aca="false">COUNTIFS(Test_Cases!$M$4:$M$83,"*"&amp;$A42&amp;"*",Test_Cases!$O$4:$O$83,"Pass")+COUNTIFS(Test_Cases!$M$4:$M$83,"*"&amp;$A42&amp;"*",Test_Cases!$O$4:$O$83,"Fail")</f>
        <v>0</v>
      </c>
      <c r="G42" s="5" t="n">
        <f aca="false">COUNTIFS(Test_Cases!$M$4:$M$83,"*"&amp;$A42&amp;"*",Test_Cases!$O$4:$O$83,"Pass")</f>
        <v>0</v>
      </c>
    </row>
    <row r="43" customFormat="false" ht="30" hidden="false" customHeight="true" outlineLevel="0" collapsed="false">
      <c r="A43" s="5" t="s">
        <v>1884</v>
      </c>
      <c r="B43" s="5" t="s">
        <v>358</v>
      </c>
      <c r="C43" s="5" t="s">
        <v>1885</v>
      </c>
      <c r="D43" s="5" t="s">
        <v>517</v>
      </c>
      <c r="E43" s="5" t="n">
        <v>2</v>
      </c>
      <c r="F43" s="5" t="n">
        <f aca="false">COUNTIFS(Test_Cases!$M$4:$M$83,"*"&amp;$A43&amp;"*",Test_Cases!$O$4:$O$83,"Pass")+COUNTIFS(Test_Cases!$M$4:$M$83,"*"&amp;$A43&amp;"*",Test_Cases!$O$4:$O$83,"Fail")</f>
        <v>0</v>
      </c>
      <c r="G43" s="5" t="n">
        <f aca="false">COUNTIFS(Test_Cases!$M$4:$M$83,"*"&amp;$A43&amp;"*",Test_Cases!$O$4:$O$83,"Pass")</f>
        <v>0</v>
      </c>
    </row>
    <row r="44" customFormat="false" ht="30" hidden="false" customHeight="true" outlineLevel="0" collapsed="false">
      <c r="A44" s="5" t="s">
        <v>1886</v>
      </c>
      <c r="B44" s="5" t="s">
        <v>358</v>
      </c>
      <c r="C44" s="5" t="s">
        <v>539</v>
      </c>
      <c r="D44" s="5" t="s">
        <v>517</v>
      </c>
      <c r="E44" s="5" t="n">
        <v>1</v>
      </c>
      <c r="F44" s="5" t="n">
        <f aca="false">COUNTIFS(Test_Cases!$M$4:$M$83,"*"&amp;$A44&amp;"*",Test_Cases!$O$4:$O$83,"Pass")+COUNTIFS(Test_Cases!$M$4:$M$83,"*"&amp;$A44&amp;"*",Test_Cases!$O$4:$O$83,"Fail")</f>
        <v>0</v>
      </c>
      <c r="G44" s="5" t="n">
        <f aca="false">COUNTIFS(Test_Cases!$M$4:$M$83,"*"&amp;$A44&amp;"*",Test_Cases!$O$4:$O$83,"Pass")</f>
        <v>0</v>
      </c>
    </row>
    <row r="45" customFormat="false" ht="30" hidden="false" customHeight="true" outlineLevel="0" collapsed="false">
      <c r="A45" s="5" t="s">
        <v>1887</v>
      </c>
      <c r="B45" s="5" t="s">
        <v>358</v>
      </c>
      <c r="C45" s="5" t="s">
        <v>555</v>
      </c>
      <c r="D45" s="5" t="s">
        <v>564</v>
      </c>
      <c r="E45" s="5" t="n">
        <v>1</v>
      </c>
      <c r="F45" s="5" t="n">
        <f aca="false">COUNTIFS(Test_Cases!$M$4:$M$83,"*"&amp;$A45&amp;"*",Test_Cases!$O$4:$O$83,"Pass")+COUNTIFS(Test_Cases!$M$4:$M$83,"*"&amp;$A45&amp;"*",Test_Cases!$O$4:$O$83,"Fail")</f>
        <v>0</v>
      </c>
      <c r="G45" s="5" t="n">
        <f aca="false">COUNTIFS(Test_Cases!$M$4:$M$83,"*"&amp;$A45&amp;"*",Test_Cases!$O$4:$O$83,"Pass")</f>
        <v>0</v>
      </c>
    </row>
    <row r="46" customFormat="false" ht="30" hidden="false" customHeight="true" outlineLevel="0" collapsed="false">
      <c r="A46" s="5" t="s">
        <v>1888</v>
      </c>
      <c r="B46" s="5" t="s">
        <v>358</v>
      </c>
      <c r="C46" s="5" t="s">
        <v>599</v>
      </c>
      <c r="D46" s="5" t="s">
        <v>607</v>
      </c>
      <c r="E46" s="5" t="n">
        <v>1</v>
      </c>
      <c r="F46" s="5" t="n">
        <f aca="false">COUNTIFS(Test_Cases!$M$4:$M$83,"*"&amp;$A46&amp;"*",Test_Cases!$O$4:$O$83,"Pass")+COUNTIFS(Test_Cases!$M$4:$M$83,"*"&amp;$A46&amp;"*",Test_Cases!$O$4:$O$83,"Fail")</f>
        <v>0</v>
      </c>
      <c r="G46" s="5" t="n">
        <f aca="false">COUNTIFS(Test_Cases!$M$4:$M$83,"*"&amp;$A46&amp;"*",Test_Cases!$O$4:$O$83,"Pass")</f>
        <v>0</v>
      </c>
    </row>
    <row r="47" customFormat="false" ht="30" hidden="false" customHeight="true" outlineLevel="0" collapsed="false">
      <c r="A47" s="5" t="s">
        <v>1889</v>
      </c>
      <c r="B47" s="5" t="s">
        <v>358</v>
      </c>
      <c r="C47" s="5" t="s">
        <v>1890</v>
      </c>
      <c r="D47" s="5" t="s">
        <v>607</v>
      </c>
      <c r="E47" s="5" t="n">
        <v>2</v>
      </c>
      <c r="F47" s="5" t="n">
        <f aca="false">COUNTIFS(Test_Cases!$M$4:$M$83,"*"&amp;$A47&amp;"*",Test_Cases!$O$4:$O$83,"Pass")+COUNTIFS(Test_Cases!$M$4:$M$83,"*"&amp;$A47&amp;"*",Test_Cases!$O$4:$O$83,"Fail")</f>
        <v>0</v>
      </c>
      <c r="G47" s="5" t="n">
        <f aca="false">COUNTIFS(Test_Cases!$M$4:$M$83,"*"&amp;$A47&amp;"*",Test_Cases!$O$4:$O$83,"Pass")</f>
        <v>0</v>
      </c>
    </row>
    <row r="48" customFormat="false" ht="30" hidden="false" customHeight="true" outlineLevel="0" collapsed="false">
      <c r="A48" s="5" t="s">
        <v>1891</v>
      </c>
      <c r="B48" s="5" t="s">
        <v>358</v>
      </c>
      <c r="C48" s="5" t="s">
        <v>852</v>
      </c>
      <c r="D48" s="5" t="s">
        <v>860</v>
      </c>
      <c r="E48" s="5" t="n">
        <v>1</v>
      </c>
      <c r="F48" s="5" t="n">
        <f aca="false">COUNTIFS(Test_Cases!$M$4:$M$83,"*"&amp;$A48&amp;"*",Test_Cases!$O$4:$O$83,"Pass")+COUNTIFS(Test_Cases!$M$4:$M$83,"*"&amp;$A48&amp;"*",Test_Cases!$O$4:$O$83,"Fail")</f>
        <v>0</v>
      </c>
      <c r="G48" s="5" t="n">
        <f aca="false">COUNTIFS(Test_Cases!$M$4:$M$83,"*"&amp;$A48&amp;"*",Test_Cases!$O$4:$O$83,"Pass")</f>
        <v>0</v>
      </c>
    </row>
    <row r="49" customFormat="false" ht="30" hidden="false" customHeight="true" outlineLevel="0" collapsed="false">
      <c r="A49" s="5" t="s">
        <v>873</v>
      </c>
      <c r="B49" s="5" t="s">
        <v>358</v>
      </c>
      <c r="C49" s="5" t="s">
        <v>1892</v>
      </c>
      <c r="D49" s="5" t="s">
        <v>1893</v>
      </c>
      <c r="E49" s="5" t="n">
        <v>3</v>
      </c>
      <c r="F49" s="5" t="n">
        <f aca="false">COUNTIFS(Test_Cases!$M$4:$M$83,"*"&amp;$A49&amp;"*",Test_Cases!$O$4:$O$83,"Pass")+COUNTIFS(Test_Cases!$M$4:$M$83,"*"&amp;$A49&amp;"*",Test_Cases!$O$4:$O$83,"Fail")</f>
        <v>0</v>
      </c>
      <c r="G49" s="5" t="n">
        <f aca="false">COUNTIFS(Test_Cases!$M$4:$M$83,"*"&amp;$A49&amp;"*",Test_Cases!$O$4:$O$83,"Pass")</f>
        <v>0</v>
      </c>
    </row>
    <row r="50" customFormat="false" ht="30" hidden="false" customHeight="true" outlineLevel="0" collapsed="false">
      <c r="A50" s="5" t="s">
        <v>1894</v>
      </c>
      <c r="B50" s="5" t="s">
        <v>358</v>
      </c>
      <c r="C50" s="5" t="s">
        <v>888</v>
      </c>
      <c r="D50" s="5" t="s">
        <v>896</v>
      </c>
      <c r="E50" s="5" t="n">
        <v>1</v>
      </c>
      <c r="F50" s="5" t="n">
        <f aca="false">COUNTIFS(Test_Cases!$M$4:$M$83,"*"&amp;$A50&amp;"*",Test_Cases!$O$4:$O$83,"Pass")+COUNTIFS(Test_Cases!$M$4:$M$83,"*"&amp;$A50&amp;"*",Test_Cases!$O$4:$O$83,"Fail")</f>
        <v>0</v>
      </c>
      <c r="G50" s="5" t="n">
        <f aca="false">COUNTIFS(Test_Cases!$M$4:$M$83,"*"&amp;$A50&amp;"*",Test_Cases!$O$4:$O$83,"Pass")</f>
        <v>0</v>
      </c>
    </row>
    <row r="51" customFormat="false" ht="30" hidden="false" customHeight="true" outlineLevel="0" collapsed="false">
      <c r="A51" s="5" t="s">
        <v>1895</v>
      </c>
      <c r="B51" s="5" t="s">
        <v>1053</v>
      </c>
      <c r="C51" s="5" t="s">
        <v>1052</v>
      </c>
      <c r="D51" s="5" t="s">
        <v>1861</v>
      </c>
      <c r="E51" s="5" t="n">
        <v>1</v>
      </c>
      <c r="F51" s="5" t="n">
        <f aca="false">COUNTIFS(Test_Cases!$M$4:$M$83,"*"&amp;$A51&amp;"*",Test_Cases!$O$4:$O$83,"Pass")+COUNTIFS(Test_Cases!$M$4:$M$83,"*"&amp;$A51&amp;"*",Test_Cases!$O$4:$O$83,"Fail")</f>
        <v>0</v>
      </c>
      <c r="G51" s="5" t="n">
        <f aca="false">COUNTIFS(Test_Cases!$M$4:$M$83,"*"&amp;$A51&amp;"*",Test_Cases!$O$4:$O$83,"Pass")</f>
        <v>0</v>
      </c>
    </row>
    <row r="52" customFormat="false" ht="30" hidden="false" customHeight="true" outlineLevel="0" collapsed="false">
      <c r="A52" s="5" t="s">
        <v>1896</v>
      </c>
      <c r="B52" s="5" t="s">
        <v>1053</v>
      </c>
      <c r="C52" s="5" t="s">
        <v>1065</v>
      </c>
      <c r="D52" s="5" t="s">
        <v>1861</v>
      </c>
      <c r="E52" s="5" t="n">
        <v>1</v>
      </c>
      <c r="F52" s="5" t="n">
        <f aca="false">COUNTIFS(Test_Cases!$M$4:$M$83,"*"&amp;$A52&amp;"*",Test_Cases!$O$4:$O$83,"Pass")+COUNTIFS(Test_Cases!$M$4:$M$83,"*"&amp;$A52&amp;"*",Test_Cases!$O$4:$O$83,"Fail")</f>
        <v>0</v>
      </c>
      <c r="G52" s="5" t="n">
        <f aca="false">COUNTIFS(Test_Cases!$M$4:$M$83,"*"&amp;$A52&amp;"*",Test_Cases!$O$4:$O$83,"Pass")</f>
        <v>0</v>
      </c>
    </row>
    <row r="53" customFormat="false" ht="30" hidden="false" customHeight="true" outlineLevel="0" collapsed="false">
      <c r="A53" s="5" t="s">
        <v>784</v>
      </c>
      <c r="B53" s="5" t="s">
        <v>358</v>
      </c>
      <c r="C53" s="5" t="s">
        <v>1897</v>
      </c>
      <c r="D53" s="5" t="s">
        <v>785</v>
      </c>
      <c r="E53" s="5" t="n">
        <v>4</v>
      </c>
      <c r="F53" s="5" t="n">
        <f aca="false">COUNTIFS(Test_Cases!$M$4:$M$83,"*"&amp;$A53&amp;"*",Test_Cases!$O$4:$O$83,"Pass")+COUNTIFS(Test_Cases!$M$4:$M$83,"*"&amp;$A53&amp;"*",Test_Cases!$O$4:$O$83,"Fail")</f>
        <v>0</v>
      </c>
      <c r="G53" s="5" t="n">
        <f aca="false">COUNTIFS(Test_Cases!$M$4:$M$83,"*"&amp;$A53&amp;"*",Test_Cases!$O$4:$O$83,"Pass")</f>
        <v>0</v>
      </c>
    </row>
    <row r="54" customFormat="false" ht="30" hidden="false" customHeight="true" outlineLevel="0" collapsed="false">
      <c r="A54" s="5" t="s">
        <v>1898</v>
      </c>
      <c r="B54" s="5" t="s">
        <v>1074</v>
      </c>
      <c r="C54" s="5" t="s">
        <v>1073</v>
      </c>
      <c r="D54" s="5" t="s">
        <v>1861</v>
      </c>
      <c r="E54" s="5" t="n">
        <v>1</v>
      </c>
      <c r="F54" s="5" t="n">
        <f aca="false">COUNTIFS(Test_Cases!$M$4:$M$83,"*"&amp;$A54&amp;"*",Test_Cases!$O$4:$O$83,"Pass")+COUNTIFS(Test_Cases!$M$4:$M$83,"*"&amp;$A54&amp;"*",Test_Cases!$O$4:$O$83,"Fail")</f>
        <v>0</v>
      </c>
      <c r="G54" s="5" t="n">
        <f aca="false">COUNTIFS(Test_Cases!$M$4:$M$83,"*"&amp;$A54&amp;"*",Test_Cases!$O$4:$O$83,"Pass")</f>
        <v>0</v>
      </c>
    </row>
    <row r="55" customFormat="false" ht="30" hidden="false" customHeight="true" outlineLevel="0" collapsed="false">
      <c r="A55" s="5" t="s">
        <v>818</v>
      </c>
      <c r="B55" s="5" t="s">
        <v>358</v>
      </c>
      <c r="C55" s="5" t="s">
        <v>1899</v>
      </c>
      <c r="D55" s="5" t="s">
        <v>1900</v>
      </c>
      <c r="E55" s="5" t="n">
        <v>2</v>
      </c>
      <c r="F55" s="5" t="n">
        <f aca="false">COUNTIFS(Test_Cases!$M$4:$M$83,"*"&amp;$A55&amp;"*",Test_Cases!$O$4:$O$83,"Pass")+COUNTIFS(Test_Cases!$M$4:$M$83,"*"&amp;$A55&amp;"*",Test_Cases!$O$4:$O$83,"Fail")</f>
        <v>0</v>
      </c>
      <c r="G55" s="5" t="n">
        <f aca="false">COUNTIFS(Test_Cases!$M$4:$M$83,"*"&amp;$A55&amp;"*",Test_Cases!$O$4:$O$83,"Pass")</f>
        <v>0</v>
      </c>
    </row>
    <row r="56" customFormat="false" ht="30" hidden="false" customHeight="true" outlineLevel="0" collapsed="false">
      <c r="A56" s="5" t="s">
        <v>1901</v>
      </c>
      <c r="B56" s="5" t="s">
        <v>1099</v>
      </c>
      <c r="C56" s="5" t="s">
        <v>1098</v>
      </c>
      <c r="D56" s="5" t="s">
        <v>1861</v>
      </c>
      <c r="E56" s="5" t="n">
        <v>1</v>
      </c>
      <c r="F56" s="5" t="n">
        <f aca="false">COUNTIFS(Test_Cases!$M$4:$M$83,"*"&amp;$A56&amp;"*",Test_Cases!$O$4:$O$83,"Pass")+COUNTIFS(Test_Cases!$M$4:$M$83,"*"&amp;$A56&amp;"*",Test_Cases!$O$4:$O$83,"Fail")</f>
        <v>0</v>
      </c>
      <c r="G56" s="5" t="n">
        <f aca="false">COUNTIFS(Test_Cases!$M$4:$M$83,"*"&amp;$A56&amp;"*",Test_Cases!$O$4:$O$83,"Pass")</f>
        <v>0</v>
      </c>
    </row>
    <row r="57" customFormat="false" ht="30" hidden="false" customHeight="true" outlineLevel="0" collapsed="false">
      <c r="A57" s="5" t="s">
        <v>1902</v>
      </c>
      <c r="B57" s="5" t="s">
        <v>1099</v>
      </c>
      <c r="C57" s="5" t="s">
        <v>1098</v>
      </c>
      <c r="D57" s="5" t="s">
        <v>1861</v>
      </c>
      <c r="E57" s="5" t="n">
        <v>1</v>
      </c>
      <c r="F57" s="5" t="n">
        <f aca="false">COUNTIFS(Test_Cases!$M$4:$M$83,"*"&amp;$A57&amp;"*",Test_Cases!$O$4:$O$83,"Pass")+COUNTIFS(Test_Cases!$M$4:$M$83,"*"&amp;$A57&amp;"*",Test_Cases!$O$4:$O$83,"Fail")</f>
        <v>0</v>
      </c>
      <c r="G57" s="5" t="n">
        <f aca="false">COUNTIFS(Test_Cases!$M$4:$M$83,"*"&amp;$A57&amp;"*",Test_Cases!$O$4:$O$83,"Pass")</f>
        <v>0</v>
      </c>
    </row>
    <row r="58" customFormat="false" ht="30" hidden="false" customHeight="true" outlineLevel="0" collapsed="false">
      <c r="A58" s="5" t="s">
        <v>1903</v>
      </c>
      <c r="B58" s="5" t="s">
        <v>358</v>
      </c>
      <c r="C58" s="5" t="s">
        <v>686</v>
      </c>
      <c r="D58" s="5" t="s">
        <v>694</v>
      </c>
      <c r="E58" s="5" t="n">
        <v>1</v>
      </c>
      <c r="F58" s="5" t="n">
        <f aca="false">COUNTIFS(Test_Cases!$M$4:$M$83,"*"&amp;$A58&amp;"*",Test_Cases!$O$4:$O$83,"Pass")+COUNTIFS(Test_Cases!$M$4:$M$83,"*"&amp;$A58&amp;"*",Test_Cases!$O$4:$O$83,"Fail")</f>
        <v>0</v>
      </c>
      <c r="G58" s="5" t="n">
        <f aca="false">COUNTIFS(Test_Cases!$M$4:$M$83,"*"&amp;$A58&amp;"*",Test_Cases!$O$4:$O$83,"Pass")</f>
        <v>0</v>
      </c>
    </row>
    <row r="59" customFormat="false" ht="30" hidden="false" customHeight="true" outlineLevel="0" collapsed="false">
      <c r="A59" s="5" t="s">
        <v>1904</v>
      </c>
      <c r="B59" s="5" t="s">
        <v>358</v>
      </c>
      <c r="C59" s="5" t="s">
        <v>1905</v>
      </c>
      <c r="D59" s="5" t="s">
        <v>665</v>
      </c>
      <c r="E59" s="5" t="n">
        <v>2</v>
      </c>
      <c r="F59" s="5" t="n">
        <f aca="false">COUNTIFS(Test_Cases!$M$4:$M$83,"*"&amp;$A59&amp;"*",Test_Cases!$O$4:$O$83,"Pass")+COUNTIFS(Test_Cases!$M$4:$M$83,"*"&amp;$A59&amp;"*",Test_Cases!$O$4:$O$83,"Fail")</f>
        <v>0</v>
      </c>
      <c r="G59" s="5" t="n">
        <f aca="false">COUNTIFS(Test_Cases!$M$4:$M$83,"*"&amp;$A59&amp;"*",Test_Cases!$O$4:$O$83,"Pass")</f>
        <v>0</v>
      </c>
    </row>
    <row r="60" customFormat="false" ht="30" hidden="false" customHeight="true" outlineLevel="0" collapsed="false">
      <c r="A60" s="5" t="s">
        <v>656</v>
      </c>
      <c r="B60" s="5" t="s">
        <v>358</v>
      </c>
      <c r="C60" s="5" t="s">
        <v>1906</v>
      </c>
      <c r="D60" s="5" t="s">
        <v>1907</v>
      </c>
      <c r="E60" s="5" t="n">
        <v>4</v>
      </c>
      <c r="F60" s="5" t="n">
        <f aca="false">COUNTIFS(Test_Cases!$M$4:$M$83,"*"&amp;$A60&amp;"*",Test_Cases!$O$4:$O$83,"Pass")+COUNTIFS(Test_Cases!$M$4:$M$83,"*"&amp;$A60&amp;"*",Test_Cases!$O$4:$O$83,"Fail")</f>
        <v>0</v>
      </c>
      <c r="G60" s="5" t="n">
        <f aca="false">COUNTIFS(Test_Cases!$M$4:$M$83,"*"&amp;$A60&amp;"*",Test_Cases!$O$4:$O$83,"Pass")</f>
        <v>0</v>
      </c>
    </row>
    <row r="61" customFormat="false" ht="30" hidden="false" customHeight="true" outlineLevel="0" collapsed="false">
      <c r="A61" s="5" t="s">
        <v>1908</v>
      </c>
      <c r="B61" s="5" t="s">
        <v>358</v>
      </c>
      <c r="C61" s="5" t="s">
        <v>840</v>
      </c>
      <c r="D61" s="5" t="s">
        <v>833</v>
      </c>
      <c r="E61" s="5" t="n">
        <v>1</v>
      </c>
      <c r="F61" s="5" t="n">
        <f aca="false">COUNTIFS(Test_Cases!$M$4:$M$83,"*"&amp;$A61&amp;"*",Test_Cases!$O$4:$O$83,"Pass")+COUNTIFS(Test_Cases!$M$4:$M$83,"*"&amp;$A61&amp;"*",Test_Cases!$O$4:$O$83,"Fail")</f>
        <v>0</v>
      </c>
      <c r="G61" s="5" t="n">
        <f aca="false">COUNTIFS(Test_Cases!$M$4:$M$83,"*"&amp;$A61&amp;"*",Test_Cases!$O$4:$O$83,"Pass")</f>
        <v>0</v>
      </c>
    </row>
    <row r="62" customFormat="false" ht="30" hidden="false" customHeight="true" outlineLevel="0" collapsed="false">
      <c r="A62" s="5" t="s">
        <v>920</v>
      </c>
      <c r="B62" s="5" t="s">
        <v>358</v>
      </c>
      <c r="C62" s="5" t="s">
        <v>912</v>
      </c>
      <c r="D62" s="5" t="s">
        <v>921</v>
      </c>
      <c r="E62" s="5" t="n">
        <v>1</v>
      </c>
      <c r="F62" s="5" t="n">
        <f aca="false">COUNTIFS(Test_Cases!$M$4:$M$83,"*"&amp;$A62&amp;"*",Test_Cases!$O$4:$O$83,"Pass")+COUNTIFS(Test_Cases!$M$4:$M$83,"*"&amp;$A62&amp;"*",Test_Cases!$O$4:$O$83,"Fail")</f>
        <v>0</v>
      </c>
      <c r="G62" s="5" t="n">
        <f aca="false">COUNTIFS(Test_Cases!$M$4:$M$83,"*"&amp;$A62&amp;"*",Test_Cases!$O$4:$O$83,"Pass")</f>
        <v>0</v>
      </c>
    </row>
    <row r="63" customFormat="false" ht="30" hidden="false" customHeight="true" outlineLevel="0" collapsed="false">
      <c r="A63" s="5" t="s">
        <v>1909</v>
      </c>
      <c r="B63" s="5" t="s">
        <v>358</v>
      </c>
      <c r="C63" s="5" t="s">
        <v>922</v>
      </c>
      <c r="D63" s="5" t="s">
        <v>929</v>
      </c>
      <c r="E63" s="5" t="n">
        <v>1</v>
      </c>
      <c r="F63" s="5" t="n">
        <f aca="false">COUNTIFS(Test_Cases!$M$4:$M$83,"*"&amp;$A63&amp;"*",Test_Cases!$O$4:$O$83,"Pass")+COUNTIFS(Test_Cases!$M$4:$M$83,"*"&amp;$A63&amp;"*",Test_Cases!$O$4:$O$83,"Fail")</f>
        <v>0</v>
      </c>
      <c r="G63" s="5" t="n">
        <f aca="false">COUNTIFS(Test_Cases!$M$4:$M$83,"*"&amp;$A63&amp;"*",Test_Cases!$O$4:$O$83,"Pass")</f>
        <v>0</v>
      </c>
    </row>
    <row r="64" customFormat="false" ht="30" hidden="false" customHeight="true" outlineLevel="0" collapsed="false">
      <c r="A64" s="5" t="s">
        <v>1910</v>
      </c>
      <c r="B64" s="5" t="s">
        <v>1083</v>
      </c>
      <c r="C64" s="5" t="s">
        <v>1082</v>
      </c>
      <c r="D64" s="5" t="s">
        <v>1861</v>
      </c>
      <c r="E64" s="5" t="n">
        <v>1</v>
      </c>
      <c r="F64" s="5" t="n">
        <f aca="false">COUNTIFS(Test_Cases!$M$4:$M$83,"*"&amp;$A64&amp;"*",Test_Cases!$O$4:$O$83,"Pass")+COUNTIFS(Test_Cases!$M$4:$M$83,"*"&amp;$A64&amp;"*",Test_Cases!$O$4:$O$83,"Fail")</f>
        <v>0</v>
      </c>
      <c r="G64" s="5" t="n">
        <f aca="false">COUNTIFS(Test_Cases!$M$4:$M$83,"*"&amp;$A64&amp;"*",Test_Cases!$O$4:$O$83,"Pass")</f>
        <v>0</v>
      </c>
    </row>
    <row r="65" customFormat="false" ht="30" hidden="false" customHeight="true" outlineLevel="0" collapsed="false">
      <c r="A65" s="5" t="s">
        <v>1911</v>
      </c>
      <c r="B65" s="5" t="s">
        <v>1083</v>
      </c>
      <c r="C65" s="5" t="s">
        <v>1091</v>
      </c>
      <c r="D65" s="5" t="s">
        <v>1861</v>
      </c>
      <c r="E65" s="5" t="n">
        <v>1</v>
      </c>
      <c r="F65" s="5" t="n">
        <f aca="false">COUNTIFS(Test_Cases!$M$4:$M$83,"*"&amp;$A65&amp;"*",Test_Cases!$O$4:$O$83,"Pass")+COUNTIFS(Test_Cases!$M$4:$M$83,"*"&amp;$A65&amp;"*",Test_Cases!$O$4:$O$83,"Fail")</f>
        <v>0</v>
      </c>
      <c r="G65" s="5" t="n">
        <f aca="false">COUNTIFS(Test_Cases!$M$4:$M$83,"*"&amp;$A65&amp;"*",Test_Cases!$O$4:$O$83,"Pass")</f>
        <v>0</v>
      </c>
    </row>
    <row r="66" customFormat="false" ht="30" hidden="false" customHeight="true" outlineLevel="0" collapsed="false">
      <c r="A66" s="5" t="s">
        <v>720</v>
      </c>
      <c r="B66" s="5" t="s">
        <v>358</v>
      </c>
      <c r="C66" s="5" t="s">
        <v>1912</v>
      </c>
      <c r="D66" s="5" t="s">
        <v>1913</v>
      </c>
      <c r="E66" s="5" t="n">
        <v>2</v>
      </c>
      <c r="F66" s="5" t="n">
        <f aca="false">COUNTIFS(Test_Cases!$M$4:$M$83,"*"&amp;$A66&amp;"*",Test_Cases!$O$4:$O$83,"Pass")+COUNTIFS(Test_Cases!$M$4:$M$83,"*"&amp;$A66&amp;"*",Test_Cases!$O$4:$O$83,"Fail")</f>
        <v>0</v>
      </c>
      <c r="G66" s="5" t="n">
        <f aca="false">COUNTIFS(Test_Cases!$M$4:$M$83,"*"&amp;$A66&amp;"*",Test_Cases!$O$4:$O$83,"Pass")</f>
        <v>0</v>
      </c>
    </row>
    <row r="67" customFormat="false" ht="30" hidden="false" customHeight="true" outlineLevel="0" collapsed="false">
      <c r="A67" s="5" t="s">
        <v>735</v>
      </c>
      <c r="B67" s="5" t="s">
        <v>358</v>
      </c>
      <c r="C67" s="5" t="s">
        <v>1914</v>
      </c>
      <c r="D67" s="5" t="s">
        <v>1915</v>
      </c>
      <c r="E67" s="5" t="n">
        <v>2</v>
      </c>
      <c r="F67" s="5" t="n">
        <f aca="false">COUNTIFS(Test_Cases!$M$4:$M$83,"*"&amp;$A67&amp;"*",Test_Cases!$O$4:$O$83,"Pass")+COUNTIFS(Test_Cases!$M$4:$M$83,"*"&amp;$A67&amp;"*",Test_Cases!$O$4:$O$83,"Fail")</f>
        <v>0</v>
      </c>
      <c r="G67" s="5" t="n">
        <f aca="false">COUNTIFS(Test_Cases!$M$4:$M$83,"*"&amp;$A67&amp;"*",Test_Cases!$O$4:$O$83,"Pass")</f>
        <v>0</v>
      </c>
    </row>
    <row r="68" customFormat="false" ht="30" hidden="false" customHeight="true" outlineLevel="0" collapsed="false">
      <c r="A68" s="5" t="s">
        <v>751</v>
      </c>
      <c r="B68" s="5" t="s">
        <v>358</v>
      </c>
      <c r="C68" s="5" t="s">
        <v>1916</v>
      </c>
      <c r="D68" s="5" t="s">
        <v>752</v>
      </c>
      <c r="E68" s="5" t="n">
        <v>5</v>
      </c>
      <c r="F68" s="5" t="n">
        <f aca="false">COUNTIFS(Test_Cases!$M$4:$M$83,"*"&amp;$A68&amp;"*",Test_Cases!$O$4:$O$83,"Pass")+COUNTIFS(Test_Cases!$M$4:$M$83,"*"&amp;$A68&amp;"*",Test_Cases!$O$4:$O$83,"Fail")</f>
        <v>0</v>
      </c>
      <c r="G68" s="5" t="n">
        <f aca="false">COUNTIFS(Test_Cases!$M$4:$M$83,"*"&amp;$A68&amp;"*",Test_Cases!$O$4:$O$83,"Pass")</f>
        <v>0</v>
      </c>
    </row>
    <row r="69" customFormat="false" ht="30" hidden="false" customHeight="true" outlineLevel="0" collapsed="false">
      <c r="A69" s="5" t="s">
        <v>1917</v>
      </c>
      <c r="B69" s="5" t="s">
        <v>358</v>
      </c>
      <c r="C69" s="5" t="s">
        <v>875</v>
      </c>
      <c r="D69" s="5" t="s">
        <v>881</v>
      </c>
      <c r="E69" s="5" t="n">
        <v>1</v>
      </c>
      <c r="F69" s="5" t="n">
        <f aca="false">COUNTIFS(Test_Cases!$M$4:$M$83,"*"&amp;$A69&amp;"*",Test_Cases!$O$4:$O$83,"Pass")+COUNTIFS(Test_Cases!$M$4:$M$83,"*"&amp;$A69&amp;"*",Test_Cases!$O$4:$O$83,"Fail")</f>
        <v>0</v>
      </c>
      <c r="G69" s="5" t="n">
        <f aca="false">COUNTIFS(Test_Cases!$M$4:$M$83,"*"&amp;$A69&amp;"*",Test_Cases!$O$4:$O$83,"Pass")</f>
        <v>0</v>
      </c>
    </row>
    <row r="70" customFormat="false" ht="30" hidden="false" customHeight="true" outlineLevel="0" collapsed="false">
      <c r="A70" s="5" t="s">
        <v>1918</v>
      </c>
      <c r="B70" s="5" t="s">
        <v>334</v>
      </c>
      <c r="C70" s="5" t="s">
        <v>966</v>
      </c>
      <c r="D70" s="5" t="s">
        <v>860</v>
      </c>
      <c r="E70" s="5" t="n">
        <v>1</v>
      </c>
      <c r="F70" s="5" t="n">
        <f aca="false">COUNTIFS(Test_Cases!$M$4:$M$83,"*"&amp;$A70&amp;"*",Test_Cases!$O$4:$O$83,"Pass")+COUNTIFS(Test_Cases!$M$4:$M$83,"*"&amp;$A70&amp;"*",Test_Cases!$O$4:$O$83,"Fail")</f>
        <v>0</v>
      </c>
      <c r="G70" s="5" t="n">
        <f aca="false">COUNTIFS(Test_Cases!$M$4:$M$83,"*"&amp;$A70&amp;"*",Test_Cases!$O$4:$O$83,"Pass")</f>
        <v>0</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3" min="3" style="0" width="13"/>
    <col collapsed="false" customWidth="true" hidden="false" outlineLevel="0" max="6" min="4" style="0" width="11"/>
    <col collapsed="false" customWidth="true" hidden="false" outlineLevel="0" max="8" min="7" style="0" width="10"/>
    <col collapsed="false" customWidth="true" hidden="false" outlineLevel="0" max="9" min="9" style="0" width="11"/>
  </cols>
  <sheetData>
    <row r="1" customFormat="false" ht="15" hidden="false" customHeight="false" outlineLevel="0" collapsed="false">
      <c r="A1" s="6" t="s">
        <v>1919</v>
      </c>
    </row>
    <row r="2" customFormat="false" ht="45.75" hidden="false" customHeight="true" outlineLevel="0" collapsed="false">
      <c r="A2" s="3" t="s">
        <v>1920</v>
      </c>
      <c r="B2" s="3"/>
      <c r="C2" s="3"/>
      <c r="D2" s="3"/>
      <c r="E2" s="3"/>
      <c r="F2" s="3"/>
      <c r="G2" s="3"/>
      <c r="H2" s="3"/>
      <c r="I2" s="3"/>
    </row>
    <row r="3" customFormat="false" ht="15" hidden="false" customHeight="false" outlineLevel="0" collapsed="false">
      <c r="A3" s="7" t="s">
        <v>1921</v>
      </c>
      <c r="B3" s="7" t="s">
        <v>1922</v>
      </c>
      <c r="C3" s="7" t="s">
        <v>1923</v>
      </c>
      <c r="D3" s="7" t="s">
        <v>510</v>
      </c>
      <c r="E3" s="7" t="s">
        <v>522</v>
      </c>
      <c r="F3" s="7" t="s">
        <v>518</v>
      </c>
      <c r="G3" s="7" t="s">
        <v>1924</v>
      </c>
      <c r="H3" s="7" t="s">
        <v>1925</v>
      </c>
      <c r="I3" s="7" t="s">
        <v>1063</v>
      </c>
    </row>
    <row r="4" customFormat="false" ht="15" hidden="false" customHeight="false" outlineLevel="0" collapsed="false">
      <c r="A4" s="13" t="s">
        <v>1926</v>
      </c>
    </row>
    <row r="5" customFormat="false" ht="15" hidden="false" customHeight="false" outlineLevel="0" collapsed="false">
      <c r="A5" s="5"/>
      <c r="B5" s="5" t="s">
        <v>358</v>
      </c>
      <c r="C5" s="5" t="n">
        <f aca="false">COUNTIF(Test_Cases!$B$4:$B$83,$B5)</f>
        <v>58</v>
      </c>
      <c r="D5" s="5" t="n">
        <f aca="false">COUNTIFS(Test_Cases!$B$4:$B$83,$B5,Test_Cases!$F$4:$F$83,"Positive")</f>
        <v>30</v>
      </c>
      <c r="E5" s="5" t="n">
        <f aca="false">COUNTIFS(Test_Cases!$B$4:$B$83,$B5,Test_Cases!$F$4:$F$83,"Negative")</f>
        <v>28</v>
      </c>
      <c r="F5" s="5" t="n">
        <f aca="false">COUNTIFS(Test_Cases!$B$4:$B$83,$B5,Test_Cases!$O$4:$O$83,"Not run")</f>
        <v>58</v>
      </c>
      <c r="G5" s="5" t="n">
        <f aca="false">COUNTIFS(Test_Cases!$B$4:$B$83,$B5,Test_Cases!$O$4:$O$83,"Pass")</f>
        <v>0</v>
      </c>
      <c r="H5" s="5" t="n">
        <f aca="false">COUNTIFS(Test_Cases!$B$4:$B$83,$B5,Test_Cases!$O$4:$O$83,"Fail")</f>
        <v>0</v>
      </c>
      <c r="I5" s="5" t="n">
        <f aca="false">COUNTIFS(Test_Cases!$B$4:$B$83,$B5,Test_Cases!$O$4:$O$83,"Blocked")</f>
        <v>0</v>
      </c>
    </row>
    <row r="6" customFormat="false" ht="15" hidden="false" customHeight="false" outlineLevel="0" collapsed="false">
      <c r="A6" s="5"/>
      <c r="B6" s="5" t="s">
        <v>349</v>
      </c>
      <c r="C6" s="5" t="n">
        <f aca="false">COUNTIF(Test_Cases!$B$4:$B$83,$B6)</f>
        <v>2</v>
      </c>
      <c r="D6" s="5" t="n">
        <f aca="false">COUNTIFS(Test_Cases!$B$4:$B$83,$B6,Test_Cases!$F$4:$F$83,"Positive")</f>
        <v>1</v>
      </c>
      <c r="E6" s="5" t="n">
        <f aca="false">COUNTIFS(Test_Cases!$B$4:$B$83,$B6,Test_Cases!$F$4:$F$83,"Negative")</f>
        <v>1</v>
      </c>
      <c r="F6" s="5" t="n">
        <f aca="false">COUNTIFS(Test_Cases!$B$4:$B$83,$B6,Test_Cases!$O$4:$O$83,"Not run")</f>
        <v>2</v>
      </c>
      <c r="G6" s="5" t="n">
        <f aca="false">COUNTIFS(Test_Cases!$B$4:$B$83,$B6,Test_Cases!$O$4:$O$83,"Pass")</f>
        <v>0</v>
      </c>
      <c r="H6" s="5" t="n">
        <f aca="false">COUNTIFS(Test_Cases!$B$4:$B$83,$B6,Test_Cases!$O$4:$O$83,"Fail")</f>
        <v>0</v>
      </c>
      <c r="I6" s="5" t="n">
        <f aca="false">COUNTIFS(Test_Cases!$B$4:$B$83,$B6,Test_Cases!$O$4:$O$83,"Blocked")</f>
        <v>0</v>
      </c>
    </row>
    <row r="7" customFormat="false" ht="15" hidden="false" customHeight="false" outlineLevel="0" collapsed="false">
      <c r="A7" s="5"/>
      <c r="B7" s="5" t="s">
        <v>341</v>
      </c>
      <c r="C7" s="5" t="n">
        <f aca="false">COUNTIF(Test_Cases!$B$4:$B$83,$B7)</f>
        <v>2</v>
      </c>
      <c r="D7" s="5" t="n">
        <f aca="false">COUNTIFS(Test_Cases!$B$4:$B$83,$B7,Test_Cases!$F$4:$F$83,"Positive")</f>
        <v>1</v>
      </c>
      <c r="E7" s="5" t="n">
        <f aca="false">COUNTIFS(Test_Cases!$B$4:$B$83,$B7,Test_Cases!$F$4:$F$83,"Negative")</f>
        <v>1</v>
      </c>
      <c r="F7" s="5" t="n">
        <f aca="false">COUNTIFS(Test_Cases!$B$4:$B$83,$B7,Test_Cases!$O$4:$O$83,"Not run")</f>
        <v>2</v>
      </c>
      <c r="G7" s="5" t="n">
        <f aca="false">COUNTIFS(Test_Cases!$B$4:$B$83,$B7,Test_Cases!$O$4:$O$83,"Pass")</f>
        <v>0</v>
      </c>
      <c r="H7" s="5" t="n">
        <f aca="false">COUNTIFS(Test_Cases!$B$4:$B$83,$B7,Test_Cases!$O$4:$O$83,"Fail")</f>
        <v>0</v>
      </c>
      <c r="I7" s="5" t="n">
        <f aca="false">COUNTIFS(Test_Cases!$B$4:$B$83,$B7,Test_Cases!$O$4:$O$83,"Blocked")</f>
        <v>0</v>
      </c>
    </row>
    <row r="8" customFormat="false" ht="15" hidden="false" customHeight="false" outlineLevel="0" collapsed="false">
      <c r="A8" s="5"/>
      <c r="B8" s="5" t="s">
        <v>334</v>
      </c>
      <c r="C8" s="5" t="n">
        <f aca="false">COUNTIF(Test_Cases!$B$4:$B$83,$B8)</f>
        <v>6</v>
      </c>
      <c r="D8" s="5" t="n">
        <f aca="false">COUNTIFS(Test_Cases!$B$4:$B$83,$B8,Test_Cases!$F$4:$F$83,"Positive")</f>
        <v>2</v>
      </c>
      <c r="E8" s="5" t="n">
        <f aca="false">COUNTIFS(Test_Cases!$B$4:$B$83,$B8,Test_Cases!$F$4:$F$83,"Negative")</f>
        <v>4</v>
      </c>
      <c r="F8" s="5" t="n">
        <f aca="false">COUNTIFS(Test_Cases!$B$4:$B$83,$B8,Test_Cases!$O$4:$O$83,"Not run")</f>
        <v>6</v>
      </c>
      <c r="G8" s="5" t="n">
        <f aca="false">COUNTIFS(Test_Cases!$B$4:$B$83,$B8,Test_Cases!$O$4:$O$83,"Pass")</f>
        <v>0</v>
      </c>
      <c r="H8" s="5" t="n">
        <f aca="false">COUNTIFS(Test_Cases!$B$4:$B$83,$B8,Test_Cases!$O$4:$O$83,"Fail")</f>
        <v>0</v>
      </c>
      <c r="I8" s="5" t="n">
        <f aca="false">COUNTIFS(Test_Cases!$B$4:$B$83,$B8,Test_Cases!$O$4:$O$83,"Blocked")</f>
        <v>0</v>
      </c>
    </row>
    <row r="9" customFormat="false" ht="15" hidden="false" customHeight="false" outlineLevel="0" collapsed="false">
      <c r="A9" s="5"/>
      <c r="B9" s="5" t="s">
        <v>321</v>
      </c>
      <c r="C9" s="5" t="n">
        <f aca="false">COUNTIF(Test_Cases!$B$4:$B$83,$B9)</f>
        <v>1</v>
      </c>
      <c r="D9" s="5" t="n">
        <f aca="false">COUNTIFS(Test_Cases!$B$4:$B$83,$B9,Test_Cases!$F$4:$F$83,"Positive")</f>
        <v>0</v>
      </c>
      <c r="E9" s="5" t="n">
        <f aca="false">COUNTIFS(Test_Cases!$B$4:$B$83,$B9,Test_Cases!$F$4:$F$83,"Negative")</f>
        <v>1</v>
      </c>
      <c r="F9" s="5" t="n">
        <f aca="false">COUNTIFS(Test_Cases!$B$4:$B$83,$B9,Test_Cases!$O$4:$O$83,"Not run")</f>
        <v>1</v>
      </c>
      <c r="G9" s="5" t="n">
        <f aca="false">COUNTIFS(Test_Cases!$B$4:$B$83,$B9,Test_Cases!$O$4:$O$83,"Pass")</f>
        <v>0</v>
      </c>
      <c r="H9" s="5" t="n">
        <f aca="false">COUNTIFS(Test_Cases!$B$4:$B$83,$B9,Test_Cases!$O$4:$O$83,"Fail")</f>
        <v>0</v>
      </c>
      <c r="I9" s="5" t="n">
        <f aca="false">COUNTIFS(Test_Cases!$B$4:$B$83,$B9,Test_Cases!$O$4:$O$83,"Blocked")</f>
        <v>0</v>
      </c>
    </row>
    <row r="10" customFormat="false" ht="15" hidden="false" customHeight="false" outlineLevel="0" collapsed="false">
      <c r="A10" s="5"/>
      <c r="B10" s="5" t="s">
        <v>314</v>
      </c>
      <c r="C10" s="5" t="n">
        <f aca="false">COUNTIF(Test_Cases!$B$4:$B$83,$B10)</f>
        <v>1</v>
      </c>
      <c r="D10" s="5" t="n">
        <f aca="false">COUNTIFS(Test_Cases!$B$4:$B$83,$B10,Test_Cases!$F$4:$F$83,"Positive")</f>
        <v>0</v>
      </c>
      <c r="E10" s="5" t="n">
        <f aca="false">COUNTIFS(Test_Cases!$B$4:$B$83,$B10,Test_Cases!$F$4:$F$83,"Negative")</f>
        <v>1</v>
      </c>
      <c r="F10" s="5" t="n">
        <f aca="false">COUNTIFS(Test_Cases!$B$4:$B$83,$B10,Test_Cases!$O$4:$O$83,"Not run")</f>
        <v>1</v>
      </c>
      <c r="G10" s="5" t="n">
        <f aca="false">COUNTIFS(Test_Cases!$B$4:$B$83,$B10,Test_Cases!$O$4:$O$83,"Pass")</f>
        <v>0</v>
      </c>
      <c r="H10" s="5" t="n">
        <f aca="false">COUNTIFS(Test_Cases!$B$4:$B$83,$B10,Test_Cases!$O$4:$O$83,"Fail")</f>
        <v>0</v>
      </c>
      <c r="I10" s="5" t="n">
        <f aca="false">COUNTIFS(Test_Cases!$B$4:$B$83,$B10,Test_Cases!$O$4:$O$83,"Blocked")</f>
        <v>0</v>
      </c>
    </row>
    <row r="11" customFormat="false" ht="15" hidden="false" customHeight="false" outlineLevel="0" collapsed="false">
      <c r="A11" s="5"/>
      <c r="B11" s="5" t="s">
        <v>300</v>
      </c>
      <c r="C11" s="5" t="n">
        <f aca="false">COUNTIF(Test_Cases!$B$4:$B$83,$B11)</f>
        <v>2</v>
      </c>
      <c r="D11" s="5" t="n">
        <f aca="false">COUNTIFS(Test_Cases!$B$4:$B$83,$B11,Test_Cases!$F$4:$F$83,"Positive")</f>
        <v>0</v>
      </c>
      <c r="E11" s="5" t="n">
        <f aca="false">COUNTIFS(Test_Cases!$B$4:$B$83,$B11,Test_Cases!$F$4:$F$83,"Negative")</f>
        <v>2</v>
      </c>
      <c r="F11" s="5" t="n">
        <f aca="false">COUNTIFS(Test_Cases!$B$4:$B$83,$B11,Test_Cases!$O$4:$O$83,"Not run")</f>
        <v>2</v>
      </c>
      <c r="G11" s="5" t="n">
        <f aca="false">COUNTIFS(Test_Cases!$B$4:$B$83,$B11,Test_Cases!$O$4:$O$83,"Pass")</f>
        <v>0</v>
      </c>
      <c r="H11" s="5" t="n">
        <f aca="false">COUNTIFS(Test_Cases!$B$4:$B$83,$B11,Test_Cases!$O$4:$O$83,"Fail")</f>
        <v>0</v>
      </c>
      <c r="I11" s="5" t="n">
        <f aca="false">COUNTIFS(Test_Cases!$B$4:$B$83,$B11,Test_Cases!$O$4:$O$83,"Blocked")</f>
        <v>0</v>
      </c>
    </row>
    <row r="12" customFormat="false" ht="15" hidden="false" customHeight="false" outlineLevel="0" collapsed="false">
      <c r="A12" s="5"/>
      <c r="B12" s="5" t="s">
        <v>294</v>
      </c>
      <c r="C12" s="5" t="n">
        <f aca="false">COUNTIF(Test_Cases!$B$4:$B$83,$B12)</f>
        <v>1</v>
      </c>
      <c r="D12" s="5" t="n">
        <f aca="false">COUNTIFS(Test_Cases!$B$4:$B$83,$B12,Test_Cases!$F$4:$F$83,"Positive")</f>
        <v>0</v>
      </c>
      <c r="E12" s="5" t="n">
        <f aca="false">COUNTIFS(Test_Cases!$B$4:$B$83,$B12,Test_Cases!$F$4:$F$83,"Negative")</f>
        <v>1</v>
      </c>
      <c r="F12" s="5" t="n">
        <f aca="false">COUNTIFS(Test_Cases!$B$4:$B$83,$B12,Test_Cases!$O$4:$O$83,"Not run")</f>
        <v>1</v>
      </c>
      <c r="G12" s="5" t="n">
        <f aca="false">COUNTIFS(Test_Cases!$B$4:$B$83,$B12,Test_Cases!$O$4:$O$83,"Pass")</f>
        <v>0</v>
      </c>
      <c r="H12" s="5" t="n">
        <f aca="false">COUNTIFS(Test_Cases!$B$4:$B$83,$B12,Test_Cases!$O$4:$O$83,"Fail")</f>
        <v>0</v>
      </c>
      <c r="I12" s="5" t="n">
        <f aca="false">COUNTIFS(Test_Cases!$B$4:$B$83,$B12,Test_Cases!$O$4:$O$83,"Blocked")</f>
        <v>0</v>
      </c>
    </row>
    <row r="13" customFormat="false" ht="15" hidden="false" customHeight="false" outlineLevel="0" collapsed="false">
      <c r="A13" s="5"/>
      <c r="B13" s="5" t="s">
        <v>287</v>
      </c>
      <c r="C13" s="5" t="n">
        <f aca="false">COUNTIF(Test_Cases!$B$4:$B$83,$B13)</f>
        <v>1</v>
      </c>
      <c r="D13" s="5" t="n">
        <f aca="false">COUNTIFS(Test_Cases!$B$4:$B$83,$B13,Test_Cases!$F$4:$F$83,"Positive")</f>
        <v>1</v>
      </c>
      <c r="E13" s="5" t="n">
        <f aca="false">COUNTIFS(Test_Cases!$B$4:$B$83,$B13,Test_Cases!$F$4:$F$83,"Negative")</f>
        <v>0</v>
      </c>
      <c r="F13" s="5" t="n">
        <f aca="false">COUNTIFS(Test_Cases!$B$4:$B$83,$B13,Test_Cases!$O$4:$O$83,"Not run")</f>
        <v>1</v>
      </c>
      <c r="G13" s="5" t="n">
        <f aca="false">COUNTIFS(Test_Cases!$B$4:$B$83,$B13,Test_Cases!$O$4:$O$83,"Pass")</f>
        <v>0</v>
      </c>
      <c r="H13" s="5" t="n">
        <f aca="false">COUNTIFS(Test_Cases!$B$4:$B$83,$B13,Test_Cases!$O$4:$O$83,"Fail")</f>
        <v>0</v>
      </c>
      <c r="I13" s="5" t="n">
        <f aca="false">COUNTIFS(Test_Cases!$B$4:$B$83,$B13,Test_Cases!$O$4:$O$83,"Blocked")</f>
        <v>0</v>
      </c>
    </row>
    <row r="14" customFormat="false" ht="15" hidden="false" customHeight="false" outlineLevel="0" collapsed="false">
      <c r="A14" s="5"/>
      <c r="B14" s="5" t="s">
        <v>1053</v>
      </c>
      <c r="C14" s="5" t="n">
        <f aca="false">COUNTIF(Test_Cases!$B$4:$B$83,$B14)</f>
        <v>2</v>
      </c>
      <c r="D14" s="5" t="n">
        <f aca="false">COUNTIFS(Test_Cases!$B$4:$B$83,$B14,Test_Cases!$F$4:$F$83,"Positive")</f>
        <v>1</v>
      </c>
      <c r="E14" s="5" t="n">
        <f aca="false">COUNTIFS(Test_Cases!$B$4:$B$83,$B14,Test_Cases!$F$4:$F$83,"Negative")</f>
        <v>1</v>
      </c>
      <c r="F14" s="5" t="n">
        <f aca="false">COUNTIFS(Test_Cases!$B$4:$B$83,$B14,Test_Cases!$O$4:$O$83,"Not run")</f>
        <v>0</v>
      </c>
      <c r="G14" s="5" t="n">
        <f aca="false">COUNTIFS(Test_Cases!$B$4:$B$83,$B14,Test_Cases!$O$4:$O$83,"Pass")</f>
        <v>0</v>
      </c>
      <c r="H14" s="5" t="n">
        <f aca="false">COUNTIFS(Test_Cases!$B$4:$B$83,$B14,Test_Cases!$O$4:$O$83,"Fail")</f>
        <v>0</v>
      </c>
      <c r="I14" s="5" t="n">
        <f aca="false">COUNTIFS(Test_Cases!$B$4:$B$83,$B14,Test_Cases!$O$4:$O$83,"Blocked")</f>
        <v>2</v>
      </c>
    </row>
    <row r="15" customFormat="false" ht="15" hidden="false" customHeight="false" outlineLevel="0" collapsed="false">
      <c r="A15" s="5"/>
      <c r="B15" s="5" t="s">
        <v>1074</v>
      </c>
      <c r="C15" s="5" t="n">
        <f aca="false">COUNTIF(Test_Cases!$B$4:$B$83,$B15)</f>
        <v>1</v>
      </c>
      <c r="D15" s="5" t="n">
        <f aca="false">COUNTIFS(Test_Cases!$B$4:$B$83,$B15,Test_Cases!$F$4:$F$83,"Positive")</f>
        <v>1</v>
      </c>
      <c r="E15" s="5" t="n">
        <f aca="false">COUNTIFS(Test_Cases!$B$4:$B$83,$B15,Test_Cases!$F$4:$F$83,"Negative")</f>
        <v>0</v>
      </c>
      <c r="F15" s="5" t="n">
        <f aca="false">COUNTIFS(Test_Cases!$B$4:$B$83,$B15,Test_Cases!$O$4:$O$83,"Not run")</f>
        <v>0</v>
      </c>
      <c r="G15" s="5" t="n">
        <f aca="false">COUNTIFS(Test_Cases!$B$4:$B$83,$B15,Test_Cases!$O$4:$O$83,"Pass")</f>
        <v>0</v>
      </c>
      <c r="H15" s="5" t="n">
        <f aca="false">COUNTIFS(Test_Cases!$B$4:$B$83,$B15,Test_Cases!$O$4:$O$83,"Fail")</f>
        <v>0</v>
      </c>
      <c r="I15" s="5" t="n">
        <f aca="false">COUNTIFS(Test_Cases!$B$4:$B$83,$B15,Test_Cases!$O$4:$O$83,"Blocked")</f>
        <v>1</v>
      </c>
    </row>
    <row r="16" customFormat="false" ht="15" hidden="false" customHeight="false" outlineLevel="0" collapsed="false">
      <c r="A16" s="5"/>
      <c r="B16" s="5" t="s">
        <v>1083</v>
      </c>
      <c r="C16" s="5" t="n">
        <f aca="false">COUNTIF(Test_Cases!$B$4:$B$83,$B16)</f>
        <v>2</v>
      </c>
      <c r="D16" s="5" t="n">
        <f aca="false">COUNTIFS(Test_Cases!$B$4:$B$83,$B16,Test_Cases!$F$4:$F$83,"Positive")</f>
        <v>1</v>
      </c>
      <c r="E16" s="5" t="n">
        <f aca="false">COUNTIFS(Test_Cases!$B$4:$B$83,$B16,Test_Cases!$F$4:$F$83,"Negative")</f>
        <v>1</v>
      </c>
      <c r="F16" s="5" t="n">
        <f aca="false">COUNTIFS(Test_Cases!$B$4:$B$83,$B16,Test_Cases!$O$4:$O$83,"Not run")</f>
        <v>0</v>
      </c>
      <c r="G16" s="5" t="n">
        <f aca="false">COUNTIFS(Test_Cases!$B$4:$B$83,$B16,Test_Cases!$O$4:$O$83,"Pass")</f>
        <v>0</v>
      </c>
      <c r="H16" s="5" t="n">
        <f aca="false">COUNTIFS(Test_Cases!$B$4:$B$83,$B16,Test_Cases!$O$4:$O$83,"Fail")</f>
        <v>0</v>
      </c>
      <c r="I16" s="5" t="n">
        <f aca="false">COUNTIFS(Test_Cases!$B$4:$B$83,$B16,Test_Cases!$O$4:$O$83,"Blocked")</f>
        <v>2</v>
      </c>
    </row>
    <row r="17" customFormat="false" ht="15" hidden="false" customHeight="false" outlineLevel="0" collapsed="false">
      <c r="A17" s="5"/>
      <c r="B17" s="5" t="s">
        <v>1099</v>
      </c>
      <c r="C17" s="5" t="n">
        <f aca="false">COUNTIF(Test_Cases!$B$4:$B$83,$B17)</f>
        <v>1</v>
      </c>
      <c r="D17" s="5" t="n">
        <f aca="false">COUNTIFS(Test_Cases!$B$4:$B$83,$B17,Test_Cases!$F$4:$F$83,"Positive")</f>
        <v>1</v>
      </c>
      <c r="E17" s="5" t="n">
        <f aca="false">COUNTIFS(Test_Cases!$B$4:$B$83,$B17,Test_Cases!$F$4:$F$83,"Negative")</f>
        <v>0</v>
      </c>
      <c r="F17" s="5" t="n">
        <f aca="false">COUNTIFS(Test_Cases!$B$4:$B$83,$B17,Test_Cases!$O$4:$O$83,"Not run")</f>
        <v>0</v>
      </c>
      <c r="G17" s="5" t="n">
        <f aca="false">COUNTIFS(Test_Cases!$B$4:$B$83,$B17,Test_Cases!$O$4:$O$83,"Pass")</f>
        <v>0</v>
      </c>
      <c r="H17" s="5" t="n">
        <f aca="false">COUNTIFS(Test_Cases!$B$4:$B$83,$B17,Test_Cases!$O$4:$O$83,"Fail")</f>
        <v>0</v>
      </c>
      <c r="I17" s="5" t="n">
        <f aca="false">COUNTIFS(Test_Cases!$B$4:$B$83,$B17,Test_Cases!$O$4:$O$83,"Blocked")</f>
        <v>1</v>
      </c>
    </row>
    <row r="18" customFormat="false" ht="15" hidden="false" customHeight="false" outlineLevel="0" collapsed="false">
      <c r="A18" s="13" t="s">
        <v>1927</v>
      </c>
    </row>
    <row r="19" customFormat="false" ht="15" hidden="false" customHeight="false" outlineLevel="0" collapsed="false">
      <c r="A19" s="5"/>
      <c r="B19" s="5" t="s">
        <v>512</v>
      </c>
      <c r="C19" s="5" t="n">
        <f aca="false">COUNTIF(Test_Cases!$H$4:$H$83,$B19)</f>
        <v>59</v>
      </c>
      <c r="D19" s="5" t="n">
        <f aca="false">COUNTIFS(Test_Cases!$H$4:$H$83,$B19,Test_Cases!$F$4:$F$83,"Positive")</f>
        <v>26</v>
      </c>
      <c r="E19" s="5" t="n">
        <f aca="false">COUNTIFS(Test_Cases!$H$4:$H$83,$B19,Test_Cases!$F$4:$F$83,"Negative")</f>
        <v>33</v>
      </c>
      <c r="F19" s="5" t="n">
        <f aca="false">COUNTIFS(Test_Cases!$H$4:$H$83,$B19,Test_Cases!$O$4:$O$83,"Not run")</f>
        <v>59</v>
      </c>
      <c r="G19" s="5" t="n">
        <f aca="false">COUNTIFS(Test_Cases!$H$4:$H$83,$B19,Test_Cases!$O$4:$O$83,"Pass")</f>
        <v>0</v>
      </c>
      <c r="H19" s="5" t="n">
        <f aca="false">COUNTIFS(Test_Cases!$H$4:$H$83,$B19,Test_Cases!$O$4:$O$83,"Fail")</f>
        <v>0</v>
      </c>
      <c r="I19" s="5" t="n">
        <f aca="false">COUNTIFS(Test_Cases!$H$4:$H$83,$B19,Test_Cases!$O$4:$O$83,"Blocked")</f>
        <v>0</v>
      </c>
    </row>
    <row r="20" customFormat="false" ht="15" hidden="false" customHeight="false" outlineLevel="0" collapsed="false">
      <c r="A20" s="5"/>
      <c r="B20" s="5" t="s">
        <v>559</v>
      </c>
      <c r="C20" s="5" t="n">
        <f aca="false">COUNTIF(Test_Cases!$H$4:$H$83,$B20)</f>
        <v>13</v>
      </c>
      <c r="D20" s="5" t="n">
        <f aca="false">COUNTIFS(Test_Cases!$H$4:$H$83,$B20,Test_Cases!$F$4:$F$83,"Positive")</f>
        <v>7</v>
      </c>
      <c r="E20" s="5" t="n">
        <f aca="false">COUNTIFS(Test_Cases!$H$4:$H$83,$B20,Test_Cases!$F$4:$F$83,"Negative")</f>
        <v>6</v>
      </c>
      <c r="F20" s="5" t="n">
        <f aca="false">COUNTIFS(Test_Cases!$H$4:$H$83,$B20,Test_Cases!$O$4:$O$83,"Not run")</f>
        <v>13</v>
      </c>
      <c r="G20" s="5" t="n">
        <f aca="false">COUNTIFS(Test_Cases!$H$4:$H$83,$B20,Test_Cases!$O$4:$O$83,"Pass")</f>
        <v>0</v>
      </c>
      <c r="H20" s="5" t="n">
        <f aca="false">COUNTIFS(Test_Cases!$H$4:$H$83,$B20,Test_Cases!$O$4:$O$83,"Fail")</f>
        <v>0</v>
      </c>
      <c r="I20" s="5" t="n">
        <f aca="false">COUNTIFS(Test_Cases!$H$4:$H$83,$B20,Test_Cases!$O$4:$O$83,"Blocked")</f>
        <v>0</v>
      </c>
    </row>
    <row r="21" customFormat="false" ht="15" hidden="false" customHeight="false" outlineLevel="0" collapsed="false">
      <c r="A21" s="5"/>
      <c r="B21" s="5" t="s">
        <v>548</v>
      </c>
      <c r="C21" s="5" t="n">
        <f aca="false">COUNTIF(Test_Cases!$H$4:$H$83,$B21)</f>
        <v>1</v>
      </c>
      <c r="D21" s="5" t="n">
        <f aca="false">COUNTIFS(Test_Cases!$H$4:$H$83,$B21,Test_Cases!$F$4:$F$83,"Positive")</f>
        <v>1</v>
      </c>
      <c r="E21" s="5" t="n">
        <f aca="false">COUNTIFS(Test_Cases!$H$4:$H$83,$B21,Test_Cases!$F$4:$F$83,"Negative")</f>
        <v>0</v>
      </c>
      <c r="F21" s="5" t="n">
        <f aca="false">COUNTIFS(Test_Cases!$H$4:$H$83,$B21,Test_Cases!$O$4:$O$83,"Not run")</f>
        <v>1</v>
      </c>
      <c r="G21" s="5" t="n">
        <f aca="false">COUNTIFS(Test_Cases!$H$4:$H$83,$B21,Test_Cases!$O$4:$O$83,"Pass")</f>
        <v>0</v>
      </c>
      <c r="H21" s="5" t="n">
        <f aca="false">COUNTIFS(Test_Cases!$H$4:$H$83,$B21,Test_Cases!$O$4:$O$83,"Fail")</f>
        <v>0</v>
      </c>
      <c r="I21" s="5" t="n">
        <f aca="false">COUNTIFS(Test_Cases!$H$4:$H$83,$B21,Test_Cases!$O$4:$O$83,"Blocked")</f>
        <v>0</v>
      </c>
    </row>
    <row r="22" customFormat="false" ht="15" hidden="false" customHeight="false" outlineLevel="0" collapsed="false">
      <c r="A22" s="5"/>
      <c r="B22" s="5" t="s">
        <v>916</v>
      </c>
      <c r="C22" s="5" t="n">
        <f aca="false">COUNTIF(Test_Cases!$H$4:$H$83,$B22)</f>
        <v>1</v>
      </c>
      <c r="D22" s="5" t="n">
        <f aca="false">COUNTIFS(Test_Cases!$H$4:$H$83,$B22,Test_Cases!$F$4:$F$83,"Positive")</f>
        <v>1</v>
      </c>
      <c r="E22" s="5" t="n">
        <f aca="false">COUNTIFS(Test_Cases!$H$4:$H$83,$B22,Test_Cases!$F$4:$F$83,"Negative")</f>
        <v>0</v>
      </c>
      <c r="F22" s="5" t="n">
        <f aca="false">COUNTIFS(Test_Cases!$H$4:$H$83,$B22,Test_Cases!$O$4:$O$83,"Not run")</f>
        <v>1</v>
      </c>
      <c r="G22" s="5" t="n">
        <f aca="false">COUNTIFS(Test_Cases!$H$4:$H$83,$B22,Test_Cases!$O$4:$O$83,"Pass")</f>
        <v>0</v>
      </c>
      <c r="H22" s="5" t="n">
        <f aca="false">COUNTIFS(Test_Cases!$H$4:$H$83,$B22,Test_Cases!$O$4:$O$83,"Fail")</f>
        <v>0</v>
      </c>
      <c r="I22" s="5" t="n">
        <f aca="false">COUNTIFS(Test_Cases!$H$4:$H$83,$B22,Test_Cases!$O$4:$O$83,"Blocked")</f>
        <v>0</v>
      </c>
    </row>
    <row r="23" customFormat="false" ht="15" hidden="false" customHeight="false" outlineLevel="0" collapsed="false">
      <c r="A23" s="5"/>
      <c r="B23" s="5" t="s">
        <v>1057</v>
      </c>
      <c r="C23" s="5" t="n">
        <f aca="false">COUNTIF(Test_Cases!$H$4:$H$83,$B23)</f>
        <v>6</v>
      </c>
      <c r="D23" s="5" t="n">
        <f aca="false">COUNTIFS(Test_Cases!$H$4:$H$83,$B23,Test_Cases!$F$4:$F$83,"Positive")</f>
        <v>4</v>
      </c>
      <c r="E23" s="5" t="n">
        <f aca="false">COUNTIFS(Test_Cases!$H$4:$H$83,$B23,Test_Cases!$F$4:$F$83,"Negative")</f>
        <v>2</v>
      </c>
      <c r="F23" s="5" t="n">
        <f aca="false">COUNTIFS(Test_Cases!$H$4:$H$83,$B23,Test_Cases!$O$4:$O$83,"Not run")</f>
        <v>0</v>
      </c>
      <c r="G23" s="5" t="n">
        <f aca="false">COUNTIFS(Test_Cases!$H$4:$H$83,$B23,Test_Cases!$O$4:$O$83,"Pass")</f>
        <v>0</v>
      </c>
      <c r="H23" s="5" t="n">
        <f aca="false">COUNTIFS(Test_Cases!$H$4:$H$83,$B23,Test_Cases!$O$4:$O$83,"Fail")</f>
        <v>0</v>
      </c>
      <c r="I23" s="5" t="n">
        <f aca="false">COUNTIFS(Test_Cases!$H$4:$H$83,$B23,Test_Cases!$O$4:$O$83,"Blocked")</f>
        <v>6</v>
      </c>
    </row>
    <row r="24" customFormat="false" ht="15" hidden="false" customHeight="false" outlineLevel="0" collapsed="false">
      <c r="A24" s="13" t="s">
        <v>1928</v>
      </c>
    </row>
    <row r="25" customFormat="false" ht="15" hidden="false" customHeight="false" outlineLevel="0" collapsed="false">
      <c r="A25" s="5"/>
      <c r="B25" s="5" t="s">
        <v>511</v>
      </c>
      <c r="C25" s="5" t="n">
        <f aca="false">COUNTIF(Test_Cases!$G$4:$G$83,$B25)</f>
        <v>29</v>
      </c>
      <c r="D25" s="5" t="n">
        <f aca="false">COUNTIFS(Test_Cases!$G$4:$G$83,$B25,Test_Cases!$F$4:$F$83,"Positive")</f>
        <v>15</v>
      </c>
      <c r="E25" s="5" t="n">
        <f aca="false">COUNTIFS(Test_Cases!$G$4:$G$83,$B25,Test_Cases!$F$4:$F$83,"Negative")</f>
        <v>14</v>
      </c>
      <c r="F25" s="5" t="n">
        <f aca="false">COUNTIFS(Test_Cases!$G$4:$G$83,$B25,Test_Cases!$O$4:$O$83,"Not run")</f>
        <v>25</v>
      </c>
      <c r="G25" s="5" t="n">
        <f aca="false">COUNTIFS(Test_Cases!$G$4:$G$83,$B25,Test_Cases!$O$4:$O$83,"Pass")</f>
        <v>0</v>
      </c>
      <c r="H25" s="5" t="n">
        <f aca="false">COUNTIFS(Test_Cases!$G$4:$G$83,$B25,Test_Cases!$O$4:$O$83,"Fail")</f>
        <v>0</v>
      </c>
      <c r="I25" s="5" t="n">
        <f aca="false">COUNTIFS(Test_Cases!$G$4:$G$83,$B25,Test_Cases!$O$4:$O$83,"Blocked")</f>
        <v>4</v>
      </c>
    </row>
    <row r="26" customFormat="false" ht="15" hidden="false" customHeight="false" outlineLevel="0" collapsed="false">
      <c r="A26" s="5"/>
      <c r="B26" s="5" t="s">
        <v>523</v>
      </c>
      <c r="C26" s="5" t="n">
        <f aca="false">COUNTIF(Test_Cases!$G$4:$G$83,$B26)</f>
        <v>39</v>
      </c>
      <c r="D26" s="5" t="n">
        <f aca="false">COUNTIFS(Test_Cases!$G$4:$G$83,$B26,Test_Cases!$F$4:$F$83,"Positive")</f>
        <v>18</v>
      </c>
      <c r="E26" s="5" t="n">
        <f aca="false">COUNTIFS(Test_Cases!$G$4:$G$83,$B26,Test_Cases!$F$4:$F$83,"Negative")</f>
        <v>21</v>
      </c>
      <c r="F26" s="5" t="n">
        <f aca="false">COUNTIFS(Test_Cases!$G$4:$G$83,$B26,Test_Cases!$O$4:$O$83,"Not run")</f>
        <v>37</v>
      </c>
      <c r="G26" s="5" t="n">
        <f aca="false">COUNTIFS(Test_Cases!$G$4:$G$83,$B26,Test_Cases!$O$4:$O$83,"Pass")</f>
        <v>0</v>
      </c>
      <c r="H26" s="5" t="n">
        <f aca="false">COUNTIFS(Test_Cases!$G$4:$G$83,$B26,Test_Cases!$O$4:$O$83,"Fail")</f>
        <v>0</v>
      </c>
      <c r="I26" s="5" t="n">
        <f aca="false">COUNTIFS(Test_Cases!$G$4:$G$83,$B26,Test_Cases!$O$4:$O$83,"Blocked")</f>
        <v>2</v>
      </c>
    </row>
    <row r="27" customFormat="false" ht="15" hidden="false" customHeight="false" outlineLevel="0" collapsed="false">
      <c r="A27" s="5"/>
      <c r="B27" s="5" t="s">
        <v>617</v>
      </c>
      <c r="C27" s="5" t="n">
        <f aca="false">COUNTIF(Test_Cases!$G$4:$G$83,$B27)</f>
        <v>12</v>
      </c>
      <c r="D27" s="5" t="n">
        <f aca="false">COUNTIFS(Test_Cases!$G$4:$G$83,$B27,Test_Cases!$F$4:$F$83,"Positive")</f>
        <v>6</v>
      </c>
      <c r="E27" s="5" t="n">
        <f aca="false">COUNTIFS(Test_Cases!$G$4:$G$83,$B27,Test_Cases!$F$4:$F$83,"Negative")</f>
        <v>6</v>
      </c>
      <c r="F27" s="5" t="n">
        <f aca="false">COUNTIFS(Test_Cases!$G$4:$G$83,$B27,Test_Cases!$O$4:$O$83,"Not run")</f>
        <v>12</v>
      </c>
      <c r="G27" s="5" t="n">
        <f aca="false">COUNTIFS(Test_Cases!$G$4:$G$83,$B27,Test_Cases!$O$4:$O$83,"Pass")</f>
        <v>0</v>
      </c>
      <c r="H27" s="5" t="n">
        <f aca="false">COUNTIFS(Test_Cases!$G$4:$G$83,$B27,Test_Cases!$O$4:$O$83,"Fail")</f>
        <v>0</v>
      </c>
      <c r="I27" s="5" t="n">
        <f aca="false">COUNTIFS(Test_Cases!$G$4:$G$83,$B27,Test_Cases!$O$4:$O$83,"Blocked")</f>
        <v>0</v>
      </c>
    </row>
    <row r="28" customFormat="false" ht="15" hidden="false" customHeight="false" outlineLevel="0" collapsed="false">
      <c r="A28" s="13" t="s">
        <v>1929</v>
      </c>
    </row>
    <row r="29" customFormat="false" ht="15" hidden="false" customHeight="false" outlineLevel="0" collapsed="false">
      <c r="A29" s="5"/>
      <c r="B29" s="5" t="s">
        <v>507</v>
      </c>
      <c r="C29" s="5" t="n">
        <f aca="false">COUNTIF(Test_Cases!$C$4:$C$83,$B29)</f>
        <v>6</v>
      </c>
      <c r="D29" s="5" t="n">
        <f aca="false">COUNTIFS(Test_Cases!$C$4:$C$83,$B29,Test_Cases!$F$4:$F$83,"Positive")</f>
        <v>3</v>
      </c>
      <c r="E29" s="5" t="n">
        <f aca="false">COUNTIFS(Test_Cases!$C$4:$C$83,$B29,Test_Cases!$F$4:$F$83,"Negative")</f>
        <v>3</v>
      </c>
      <c r="F29" s="5" t="n">
        <f aca="false">COUNTIFS(Test_Cases!$C$4:$C$83,$B29,Test_Cases!$O$4:$O$83,"Not run")</f>
        <v>6</v>
      </c>
      <c r="G29" s="5" t="n">
        <f aca="false">COUNTIFS(Test_Cases!$C$4:$C$83,$B29,Test_Cases!$O$4:$O$83,"Pass")</f>
        <v>0</v>
      </c>
      <c r="H29" s="5" t="n">
        <f aca="false">COUNTIFS(Test_Cases!$C$4:$C$83,$B29,Test_Cases!$O$4:$O$83,"Fail")</f>
        <v>0</v>
      </c>
      <c r="I29" s="5" t="n">
        <f aca="false">COUNTIFS(Test_Cases!$C$4:$C$83,$B29,Test_Cases!$O$4:$O$83,"Blocked")</f>
        <v>0</v>
      </c>
    </row>
    <row r="30" customFormat="false" ht="15" hidden="false" customHeight="false" outlineLevel="0" collapsed="false">
      <c r="A30" s="5"/>
      <c r="B30" s="5" t="s">
        <v>556</v>
      </c>
      <c r="C30" s="5" t="n">
        <f aca="false">COUNTIF(Test_Cases!$C$4:$C$83,$B30)</f>
        <v>6</v>
      </c>
      <c r="D30" s="5" t="n">
        <f aca="false">COUNTIFS(Test_Cases!$C$4:$C$83,$B30,Test_Cases!$F$4:$F$83,"Positive")</f>
        <v>3</v>
      </c>
      <c r="E30" s="5" t="n">
        <f aca="false">COUNTIFS(Test_Cases!$C$4:$C$83,$B30,Test_Cases!$F$4:$F$83,"Negative")</f>
        <v>3</v>
      </c>
      <c r="F30" s="5" t="n">
        <f aca="false">COUNTIFS(Test_Cases!$C$4:$C$83,$B30,Test_Cases!$O$4:$O$83,"Not run")</f>
        <v>6</v>
      </c>
      <c r="G30" s="5" t="n">
        <f aca="false">COUNTIFS(Test_Cases!$C$4:$C$83,$B30,Test_Cases!$O$4:$O$83,"Pass")</f>
        <v>0</v>
      </c>
      <c r="H30" s="5" t="n">
        <f aca="false">COUNTIFS(Test_Cases!$C$4:$C$83,$B30,Test_Cases!$O$4:$O$83,"Fail")</f>
        <v>0</v>
      </c>
      <c r="I30" s="5" t="n">
        <f aca="false">COUNTIFS(Test_Cases!$C$4:$C$83,$B30,Test_Cases!$O$4:$O$83,"Blocked")</f>
        <v>0</v>
      </c>
    </row>
    <row r="31" customFormat="false" ht="15" hidden="false" customHeight="false" outlineLevel="0" collapsed="false">
      <c r="A31" s="5"/>
      <c r="B31" s="5" t="s">
        <v>600</v>
      </c>
      <c r="C31" s="5" t="n">
        <f aca="false">COUNTIF(Test_Cases!$C$4:$C$83,$B31)</f>
        <v>9</v>
      </c>
      <c r="D31" s="5" t="n">
        <f aca="false">COUNTIFS(Test_Cases!$C$4:$C$83,$B31,Test_Cases!$F$4:$F$83,"Positive")</f>
        <v>3</v>
      </c>
      <c r="E31" s="5" t="n">
        <f aca="false">COUNTIFS(Test_Cases!$C$4:$C$83,$B31,Test_Cases!$F$4:$F$83,"Negative")</f>
        <v>6</v>
      </c>
      <c r="F31" s="5" t="n">
        <f aca="false">COUNTIFS(Test_Cases!$C$4:$C$83,$B31,Test_Cases!$O$4:$O$83,"Not run")</f>
        <v>9</v>
      </c>
      <c r="G31" s="5" t="n">
        <f aca="false">COUNTIFS(Test_Cases!$C$4:$C$83,$B31,Test_Cases!$O$4:$O$83,"Pass")</f>
        <v>0</v>
      </c>
      <c r="H31" s="5" t="n">
        <f aca="false">COUNTIFS(Test_Cases!$C$4:$C$83,$B31,Test_Cases!$O$4:$O$83,"Fail")</f>
        <v>0</v>
      </c>
      <c r="I31" s="5" t="n">
        <f aca="false">COUNTIFS(Test_Cases!$C$4:$C$83,$B31,Test_Cases!$O$4:$O$83,"Blocked")</f>
        <v>0</v>
      </c>
    </row>
    <row r="32" customFormat="false" ht="15" hidden="false" customHeight="false" outlineLevel="0" collapsed="false">
      <c r="A32" s="5"/>
      <c r="B32" s="5" t="s">
        <v>658</v>
      </c>
      <c r="C32" s="5" t="n">
        <f aca="false">COUNTIF(Test_Cases!$C$4:$C$83,$B32)</f>
        <v>4</v>
      </c>
      <c r="D32" s="5" t="n">
        <f aca="false">COUNTIFS(Test_Cases!$C$4:$C$83,$B32,Test_Cases!$F$4:$F$83,"Positive")</f>
        <v>2</v>
      </c>
      <c r="E32" s="5" t="n">
        <f aca="false">COUNTIFS(Test_Cases!$C$4:$C$83,$B32,Test_Cases!$F$4:$F$83,"Negative")</f>
        <v>2</v>
      </c>
      <c r="F32" s="5" t="n">
        <f aca="false">COUNTIFS(Test_Cases!$C$4:$C$83,$B32,Test_Cases!$O$4:$O$83,"Not run")</f>
        <v>4</v>
      </c>
      <c r="G32" s="5" t="n">
        <f aca="false">COUNTIFS(Test_Cases!$C$4:$C$83,$B32,Test_Cases!$O$4:$O$83,"Pass")</f>
        <v>0</v>
      </c>
      <c r="H32" s="5" t="n">
        <f aca="false">COUNTIFS(Test_Cases!$C$4:$C$83,$B32,Test_Cases!$O$4:$O$83,"Fail")</f>
        <v>0</v>
      </c>
      <c r="I32" s="5" t="n">
        <f aca="false">COUNTIFS(Test_Cases!$C$4:$C$83,$B32,Test_Cases!$O$4:$O$83,"Blocked")</f>
        <v>0</v>
      </c>
    </row>
    <row r="33" customFormat="false" ht="15" hidden="false" customHeight="false" outlineLevel="0" collapsed="false">
      <c r="A33" s="5"/>
      <c r="B33" s="5" t="s">
        <v>687</v>
      </c>
      <c r="C33" s="5" t="n">
        <f aca="false">COUNTIF(Test_Cases!$C$4:$C$83,$B33)</f>
        <v>2</v>
      </c>
      <c r="D33" s="5" t="n">
        <f aca="false">COUNTIFS(Test_Cases!$C$4:$C$83,$B33,Test_Cases!$F$4:$F$83,"Positive")</f>
        <v>0</v>
      </c>
      <c r="E33" s="5" t="n">
        <f aca="false">COUNTIFS(Test_Cases!$C$4:$C$83,$B33,Test_Cases!$F$4:$F$83,"Negative")</f>
        <v>2</v>
      </c>
      <c r="F33" s="5" t="n">
        <f aca="false">COUNTIFS(Test_Cases!$C$4:$C$83,$B33,Test_Cases!$O$4:$O$83,"Not run")</f>
        <v>2</v>
      </c>
      <c r="G33" s="5" t="n">
        <f aca="false">COUNTIFS(Test_Cases!$C$4:$C$83,$B33,Test_Cases!$O$4:$O$83,"Pass")</f>
        <v>0</v>
      </c>
      <c r="H33" s="5" t="n">
        <f aca="false">COUNTIFS(Test_Cases!$C$4:$C$83,$B33,Test_Cases!$O$4:$O$83,"Fail")</f>
        <v>0</v>
      </c>
      <c r="I33" s="5" t="n">
        <f aca="false">COUNTIFS(Test_Cases!$C$4:$C$83,$B33,Test_Cases!$O$4:$O$83,"Blocked")</f>
        <v>0</v>
      </c>
    </row>
    <row r="34" customFormat="false" ht="15" hidden="false" customHeight="false" outlineLevel="0" collapsed="false">
      <c r="A34" s="5"/>
      <c r="B34" s="5" t="s">
        <v>696</v>
      </c>
      <c r="C34" s="5" t="n">
        <f aca="false">COUNTIF(Test_Cases!$C$4:$C$83,$B34)</f>
        <v>1</v>
      </c>
      <c r="D34" s="5" t="n">
        <f aca="false">COUNTIFS(Test_Cases!$C$4:$C$83,$B34,Test_Cases!$F$4:$F$83,"Positive")</f>
        <v>1</v>
      </c>
      <c r="E34" s="5" t="n">
        <f aca="false">COUNTIFS(Test_Cases!$C$4:$C$83,$B34,Test_Cases!$F$4:$F$83,"Negative")</f>
        <v>0</v>
      </c>
      <c r="F34" s="5" t="n">
        <f aca="false">COUNTIFS(Test_Cases!$C$4:$C$83,$B34,Test_Cases!$O$4:$O$83,"Not run")</f>
        <v>1</v>
      </c>
      <c r="G34" s="5" t="n">
        <f aca="false">COUNTIFS(Test_Cases!$C$4:$C$83,$B34,Test_Cases!$O$4:$O$83,"Pass")</f>
        <v>0</v>
      </c>
      <c r="H34" s="5" t="n">
        <f aca="false">COUNTIFS(Test_Cases!$C$4:$C$83,$B34,Test_Cases!$O$4:$O$83,"Fail")</f>
        <v>0</v>
      </c>
      <c r="I34" s="5" t="n">
        <f aca="false">COUNTIFS(Test_Cases!$C$4:$C$83,$B34,Test_Cases!$O$4:$O$83,"Blocked")</f>
        <v>0</v>
      </c>
    </row>
    <row r="35" customFormat="false" ht="15" hidden="false" customHeight="false" outlineLevel="0" collapsed="false">
      <c r="A35" s="5"/>
      <c r="B35" s="5" t="s">
        <v>705</v>
      </c>
      <c r="C35" s="5" t="n">
        <f aca="false">COUNTIF(Test_Cases!$C$4:$C$83,$B35)</f>
        <v>1</v>
      </c>
      <c r="D35" s="5" t="n">
        <f aca="false">COUNTIFS(Test_Cases!$C$4:$C$83,$B35,Test_Cases!$F$4:$F$83,"Positive")</f>
        <v>1</v>
      </c>
      <c r="E35" s="5" t="n">
        <f aca="false">COUNTIFS(Test_Cases!$C$4:$C$83,$B35,Test_Cases!$F$4:$F$83,"Negative")</f>
        <v>0</v>
      </c>
      <c r="F35" s="5" t="n">
        <f aca="false">COUNTIFS(Test_Cases!$C$4:$C$83,$B35,Test_Cases!$O$4:$O$83,"Not run")</f>
        <v>1</v>
      </c>
      <c r="G35" s="5" t="n">
        <f aca="false">COUNTIFS(Test_Cases!$C$4:$C$83,$B35,Test_Cases!$O$4:$O$83,"Pass")</f>
        <v>0</v>
      </c>
      <c r="H35" s="5" t="n">
        <f aca="false">COUNTIFS(Test_Cases!$C$4:$C$83,$B35,Test_Cases!$O$4:$O$83,"Fail")</f>
        <v>0</v>
      </c>
      <c r="I35" s="5" t="n">
        <f aca="false">COUNTIFS(Test_Cases!$C$4:$C$83,$B35,Test_Cases!$O$4:$O$83,"Blocked")</f>
        <v>0</v>
      </c>
    </row>
    <row r="36" customFormat="false" ht="15" hidden="false" customHeight="false" outlineLevel="0" collapsed="false">
      <c r="A36" s="5"/>
      <c r="B36" s="5" t="s">
        <v>714</v>
      </c>
      <c r="C36" s="5" t="n">
        <f aca="false">COUNTIF(Test_Cases!$C$4:$C$83,$B36)</f>
        <v>2</v>
      </c>
      <c r="D36" s="5" t="n">
        <f aca="false">COUNTIFS(Test_Cases!$C$4:$C$83,$B36,Test_Cases!$F$4:$F$83,"Positive")</f>
        <v>0</v>
      </c>
      <c r="E36" s="5" t="n">
        <f aca="false">COUNTIFS(Test_Cases!$C$4:$C$83,$B36,Test_Cases!$F$4:$F$83,"Negative")</f>
        <v>2</v>
      </c>
      <c r="F36" s="5" t="n">
        <f aca="false">COUNTIFS(Test_Cases!$C$4:$C$83,$B36,Test_Cases!$O$4:$O$83,"Not run")</f>
        <v>2</v>
      </c>
      <c r="G36" s="5" t="n">
        <f aca="false">COUNTIFS(Test_Cases!$C$4:$C$83,$B36,Test_Cases!$O$4:$O$83,"Pass")</f>
        <v>0</v>
      </c>
      <c r="H36" s="5" t="n">
        <f aca="false">COUNTIFS(Test_Cases!$C$4:$C$83,$B36,Test_Cases!$O$4:$O$83,"Fail")</f>
        <v>0</v>
      </c>
      <c r="I36" s="5" t="n">
        <f aca="false">COUNTIFS(Test_Cases!$C$4:$C$83,$B36,Test_Cases!$O$4:$O$83,"Blocked")</f>
        <v>0</v>
      </c>
    </row>
    <row r="37" customFormat="false" ht="15" hidden="false" customHeight="false" outlineLevel="0" collapsed="false">
      <c r="A37" s="5"/>
      <c r="B37" s="5" t="s">
        <v>729</v>
      </c>
      <c r="C37" s="5" t="n">
        <f aca="false">COUNTIF(Test_Cases!$C$4:$C$83,$B37)</f>
        <v>2</v>
      </c>
      <c r="D37" s="5" t="n">
        <f aca="false">COUNTIFS(Test_Cases!$C$4:$C$83,$B37,Test_Cases!$F$4:$F$83,"Positive")</f>
        <v>1</v>
      </c>
      <c r="E37" s="5" t="n">
        <f aca="false">COUNTIFS(Test_Cases!$C$4:$C$83,$B37,Test_Cases!$F$4:$F$83,"Negative")</f>
        <v>1</v>
      </c>
      <c r="F37" s="5" t="n">
        <f aca="false">COUNTIFS(Test_Cases!$C$4:$C$83,$B37,Test_Cases!$O$4:$O$83,"Not run")</f>
        <v>2</v>
      </c>
      <c r="G37" s="5" t="n">
        <f aca="false">COUNTIFS(Test_Cases!$C$4:$C$83,$B37,Test_Cases!$O$4:$O$83,"Pass")</f>
        <v>0</v>
      </c>
      <c r="H37" s="5" t="n">
        <f aca="false">COUNTIFS(Test_Cases!$C$4:$C$83,$B37,Test_Cases!$O$4:$O$83,"Fail")</f>
        <v>0</v>
      </c>
      <c r="I37" s="5" t="n">
        <f aca="false">COUNTIFS(Test_Cases!$C$4:$C$83,$B37,Test_Cases!$O$4:$O$83,"Blocked")</f>
        <v>0</v>
      </c>
    </row>
    <row r="38" customFormat="false" ht="15" hidden="false" customHeight="false" outlineLevel="0" collapsed="false">
      <c r="A38" s="5"/>
      <c r="B38" s="5" t="s">
        <v>745</v>
      </c>
      <c r="C38" s="5" t="n">
        <f aca="false">COUNTIF(Test_Cases!$C$4:$C$83,$B38)</f>
        <v>5</v>
      </c>
      <c r="D38" s="5" t="n">
        <f aca="false">COUNTIFS(Test_Cases!$C$4:$C$83,$B38,Test_Cases!$F$4:$F$83,"Positive")</f>
        <v>3</v>
      </c>
      <c r="E38" s="5" t="n">
        <f aca="false">COUNTIFS(Test_Cases!$C$4:$C$83,$B38,Test_Cases!$F$4:$F$83,"Negative")</f>
        <v>2</v>
      </c>
      <c r="F38" s="5" t="n">
        <f aca="false">COUNTIFS(Test_Cases!$C$4:$C$83,$B38,Test_Cases!$O$4:$O$83,"Not run")</f>
        <v>5</v>
      </c>
      <c r="G38" s="5" t="n">
        <f aca="false">COUNTIFS(Test_Cases!$C$4:$C$83,$B38,Test_Cases!$O$4:$O$83,"Pass")</f>
        <v>0</v>
      </c>
      <c r="H38" s="5" t="n">
        <f aca="false">COUNTIFS(Test_Cases!$C$4:$C$83,$B38,Test_Cases!$O$4:$O$83,"Fail")</f>
        <v>0</v>
      </c>
      <c r="I38" s="5" t="n">
        <f aca="false">COUNTIFS(Test_Cases!$C$4:$C$83,$B38,Test_Cases!$O$4:$O$83,"Blocked")</f>
        <v>0</v>
      </c>
    </row>
    <row r="39" customFormat="false" ht="15" hidden="false" customHeight="false" outlineLevel="0" collapsed="false">
      <c r="A39" s="5"/>
      <c r="B39" s="5" t="s">
        <v>778</v>
      </c>
      <c r="C39" s="5" t="n">
        <f aca="false">COUNTIF(Test_Cases!$C$4:$C$83,$B39)</f>
        <v>4</v>
      </c>
      <c r="D39" s="5" t="n">
        <f aca="false">COUNTIFS(Test_Cases!$C$4:$C$83,$B39,Test_Cases!$F$4:$F$83,"Positive")</f>
        <v>1</v>
      </c>
      <c r="E39" s="5" t="n">
        <f aca="false">COUNTIFS(Test_Cases!$C$4:$C$83,$B39,Test_Cases!$F$4:$F$83,"Negative")</f>
        <v>3</v>
      </c>
      <c r="F39" s="5" t="n">
        <f aca="false">COUNTIFS(Test_Cases!$C$4:$C$83,$B39,Test_Cases!$O$4:$O$83,"Not run")</f>
        <v>4</v>
      </c>
      <c r="G39" s="5" t="n">
        <f aca="false">COUNTIFS(Test_Cases!$C$4:$C$83,$B39,Test_Cases!$O$4:$O$83,"Pass")</f>
        <v>0</v>
      </c>
      <c r="H39" s="5" t="n">
        <f aca="false">COUNTIFS(Test_Cases!$C$4:$C$83,$B39,Test_Cases!$O$4:$O$83,"Fail")</f>
        <v>0</v>
      </c>
      <c r="I39" s="5" t="n">
        <f aca="false">COUNTIFS(Test_Cases!$C$4:$C$83,$B39,Test_Cases!$O$4:$O$83,"Blocked")</f>
        <v>0</v>
      </c>
    </row>
    <row r="40" customFormat="false" ht="15" hidden="false" customHeight="false" outlineLevel="0" collapsed="false">
      <c r="A40" s="5"/>
      <c r="B40" s="5" t="s">
        <v>806</v>
      </c>
      <c r="C40" s="5" t="n">
        <f aca="false">COUNTIF(Test_Cases!$C$4:$C$83,$B40)</f>
        <v>3</v>
      </c>
      <c r="D40" s="5" t="n">
        <f aca="false">COUNTIFS(Test_Cases!$C$4:$C$83,$B40,Test_Cases!$F$4:$F$83,"Positive")</f>
        <v>2</v>
      </c>
      <c r="E40" s="5" t="n">
        <f aca="false">COUNTIFS(Test_Cases!$C$4:$C$83,$B40,Test_Cases!$F$4:$F$83,"Negative")</f>
        <v>1</v>
      </c>
      <c r="F40" s="5" t="n">
        <f aca="false">COUNTIFS(Test_Cases!$C$4:$C$83,$B40,Test_Cases!$O$4:$O$83,"Not run")</f>
        <v>3</v>
      </c>
      <c r="G40" s="5" t="n">
        <f aca="false">COUNTIFS(Test_Cases!$C$4:$C$83,$B40,Test_Cases!$O$4:$O$83,"Pass")</f>
        <v>0</v>
      </c>
      <c r="H40" s="5" t="n">
        <f aca="false">COUNTIFS(Test_Cases!$C$4:$C$83,$B40,Test_Cases!$O$4:$O$83,"Fail")</f>
        <v>0</v>
      </c>
      <c r="I40" s="5" t="n">
        <f aca="false">COUNTIFS(Test_Cases!$C$4:$C$83,$B40,Test_Cases!$O$4:$O$83,"Blocked")</f>
        <v>0</v>
      </c>
    </row>
    <row r="41" customFormat="false" ht="15" hidden="false" customHeight="false" outlineLevel="0" collapsed="false">
      <c r="A41" s="5"/>
      <c r="B41" s="5" t="s">
        <v>827</v>
      </c>
      <c r="C41" s="5" t="n">
        <f aca="false">COUNTIF(Test_Cases!$C$4:$C$83,$B41)</f>
        <v>3</v>
      </c>
      <c r="D41" s="5" t="n">
        <f aca="false">COUNTIFS(Test_Cases!$C$4:$C$83,$B41,Test_Cases!$F$4:$F$83,"Positive")</f>
        <v>2</v>
      </c>
      <c r="E41" s="5" t="n">
        <f aca="false">COUNTIFS(Test_Cases!$C$4:$C$83,$B41,Test_Cases!$F$4:$F$83,"Negative")</f>
        <v>1</v>
      </c>
      <c r="F41" s="5" t="n">
        <f aca="false">COUNTIFS(Test_Cases!$C$4:$C$83,$B41,Test_Cases!$O$4:$O$83,"Not run")</f>
        <v>3</v>
      </c>
      <c r="G41" s="5" t="n">
        <f aca="false">COUNTIFS(Test_Cases!$C$4:$C$83,$B41,Test_Cases!$O$4:$O$83,"Pass")</f>
        <v>0</v>
      </c>
      <c r="H41" s="5" t="n">
        <f aca="false">COUNTIFS(Test_Cases!$C$4:$C$83,$B41,Test_Cases!$O$4:$O$83,"Fail")</f>
        <v>0</v>
      </c>
      <c r="I41" s="5" t="n">
        <f aca="false">COUNTIFS(Test_Cases!$C$4:$C$83,$B41,Test_Cases!$O$4:$O$83,"Blocked")</f>
        <v>0</v>
      </c>
    </row>
    <row r="42" customFormat="false" ht="15" hidden="false" customHeight="false" outlineLevel="0" collapsed="false">
      <c r="A42" s="5"/>
      <c r="B42" s="5" t="s">
        <v>841</v>
      </c>
      <c r="C42" s="5" t="n">
        <f aca="false">COUNTIF(Test_Cases!$C$4:$C$83,$B42)</f>
        <v>1</v>
      </c>
      <c r="D42" s="5" t="n">
        <f aca="false">COUNTIFS(Test_Cases!$C$4:$C$83,$B42,Test_Cases!$F$4:$F$83,"Positive")</f>
        <v>1</v>
      </c>
      <c r="E42" s="5" t="n">
        <f aca="false">COUNTIFS(Test_Cases!$C$4:$C$83,$B42,Test_Cases!$F$4:$F$83,"Negative")</f>
        <v>0</v>
      </c>
      <c r="F42" s="5" t="n">
        <f aca="false">COUNTIFS(Test_Cases!$C$4:$C$83,$B42,Test_Cases!$O$4:$O$83,"Not run")</f>
        <v>1</v>
      </c>
      <c r="G42" s="5" t="n">
        <f aca="false">COUNTIFS(Test_Cases!$C$4:$C$83,$B42,Test_Cases!$O$4:$O$83,"Pass")</f>
        <v>0</v>
      </c>
      <c r="H42" s="5" t="n">
        <f aca="false">COUNTIFS(Test_Cases!$C$4:$C$83,$B42,Test_Cases!$O$4:$O$83,"Fail")</f>
        <v>0</v>
      </c>
      <c r="I42" s="5" t="n">
        <f aca="false">COUNTIFS(Test_Cases!$C$4:$C$83,$B42,Test_Cases!$O$4:$O$83,"Blocked")</f>
        <v>0</v>
      </c>
    </row>
    <row r="43" customFormat="false" ht="15" hidden="false" customHeight="false" outlineLevel="0" collapsed="false">
      <c r="A43" s="5"/>
      <c r="B43" s="5" t="s">
        <v>853</v>
      </c>
      <c r="C43" s="5" t="n">
        <f aca="false">COUNTIF(Test_Cases!$C$4:$C$83,$B43)</f>
        <v>4</v>
      </c>
      <c r="D43" s="5" t="n">
        <f aca="false">COUNTIFS(Test_Cases!$C$4:$C$83,$B43,Test_Cases!$F$4:$F$83,"Positive")</f>
        <v>2</v>
      </c>
      <c r="E43" s="5" t="n">
        <f aca="false">COUNTIFS(Test_Cases!$C$4:$C$83,$B43,Test_Cases!$F$4:$F$83,"Negative")</f>
        <v>2</v>
      </c>
      <c r="F43" s="5" t="n">
        <f aca="false">COUNTIFS(Test_Cases!$C$4:$C$83,$B43,Test_Cases!$O$4:$O$83,"Not run")</f>
        <v>4</v>
      </c>
      <c r="G43" s="5" t="n">
        <f aca="false">COUNTIFS(Test_Cases!$C$4:$C$83,$B43,Test_Cases!$O$4:$O$83,"Pass")</f>
        <v>0</v>
      </c>
      <c r="H43" s="5" t="n">
        <f aca="false">COUNTIFS(Test_Cases!$C$4:$C$83,$B43,Test_Cases!$O$4:$O$83,"Fail")</f>
        <v>0</v>
      </c>
      <c r="I43" s="5" t="n">
        <f aca="false">COUNTIFS(Test_Cases!$C$4:$C$83,$B43,Test_Cases!$O$4:$O$83,"Blocked")</f>
        <v>0</v>
      </c>
    </row>
    <row r="44" customFormat="false" ht="15" hidden="false" customHeight="false" outlineLevel="0" collapsed="false">
      <c r="A44" s="5"/>
      <c r="B44" s="5" t="s">
        <v>868</v>
      </c>
      <c r="C44" s="5" t="n">
        <f aca="false">COUNTIF(Test_Cases!$C$4:$C$83,$B44)</f>
        <v>3</v>
      </c>
      <c r="D44" s="5" t="n">
        <f aca="false">COUNTIFS(Test_Cases!$C$4:$C$83,$B44,Test_Cases!$F$4:$F$83,"Positive")</f>
        <v>2</v>
      </c>
      <c r="E44" s="5" t="n">
        <f aca="false">COUNTIFS(Test_Cases!$C$4:$C$83,$B44,Test_Cases!$F$4:$F$83,"Negative")</f>
        <v>1</v>
      </c>
      <c r="F44" s="5" t="n">
        <f aca="false">COUNTIFS(Test_Cases!$C$4:$C$83,$B44,Test_Cases!$O$4:$O$83,"Not run")</f>
        <v>3</v>
      </c>
      <c r="G44" s="5" t="n">
        <f aca="false">COUNTIFS(Test_Cases!$C$4:$C$83,$B44,Test_Cases!$O$4:$O$83,"Pass")</f>
        <v>0</v>
      </c>
      <c r="H44" s="5" t="n">
        <f aca="false">COUNTIFS(Test_Cases!$C$4:$C$83,$B44,Test_Cases!$O$4:$O$83,"Fail")</f>
        <v>0</v>
      </c>
      <c r="I44" s="5" t="n">
        <f aca="false">COUNTIFS(Test_Cases!$C$4:$C$83,$B44,Test_Cases!$O$4:$O$83,"Blocked")</f>
        <v>0</v>
      </c>
    </row>
    <row r="45" customFormat="false" ht="15" hidden="false" customHeight="false" outlineLevel="0" collapsed="false">
      <c r="A45" s="5"/>
      <c r="B45" s="5" t="s">
        <v>889</v>
      </c>
      <c r="C45" s="5" t="n">
        <f aca="false">COUNTIF(Test_Cases!$C$4:$C$83,$B45)</f>
        <v>1</v>
      </c>
      <c r="D45" s="5" t="n">
        <f aca="false">COUNTIFS(Test_Cases!$C$4:$C$83,$B45,Test_Cases!$F$4:$F$83,"Positive")</f>
        <v>1</v>
      </c>
      <c r="E45" s="5" t="n">
        <f aca="false">COUNTIFS(Test_Cases!$C$4:$C$83,$B45,Test_Cases!$F$4:$F$83,"Negative")</f>
        <v>0</v>
      </c>
      <c r="F45" s="5" t="n">
        <f aca="false">COUNTIFS(Test_Cases!$C$4:$C$83,$B45,Test_Cases!$O$4:$O$83,"Not run")</f>
        <v>1</v>
      </c>
      <c r="G45" s="5" t="n">
        <f aca="false">COUNTIFS(Test_Cases!$C$4:$C$83,$B45,Test_Cases!$O$4:$O$83,"Pass")</f>
        <v>0</v>
      </c>
      <c r="H45" s="5" t="n">
        <f aca="false">COUNTIFS(Test_Cases!$C$4:$C$83,$B45,Test_Cases!$O$4:$O$83,"Fail")</f>
        <v>0</v>
      </c>
      <c r="I45" s="5" t="n">
        <f aca="false">COUNTIFS(Test_Cases!$C$4:$C$83,$B45,Test_Cases!$O$4:$O$83,"Blocked")</f>
        <v>0</v>
      </c>
    </row>
    <row r="46" customFormat="false" ht="15" hidden="false" customHeight="false" outlineLevel="0" collapsed="false">
      <c r="A46" s="5"/>
      <c r="B46" s="5" t="s">
        <v>913</v>
      </c>
      <c r="C46" s="5" t="n">
        <f aca="false">COUNTIF(Test_Cases!$C$4:$C$83,$B46)</f>
        <v>2</v>
      </c>
      <c r="D46" s="5" t="n">
        <f aca="false">COUNTIFS(Test_Cases!$C$4:$C$83,$B46,Test_Cases!$F$4:$F$83,"Positive")</f>
        <v>2</v>
      </c>
      <c r="E46" s="5" t="n">
        <f aca="false">COUNTIFS(Test_Cases!$C$4:$C$83,$B46,Test_Cases!$F$4:$F$83,"Negative")</f>
        <v>0</v>
      </c>
      <c r="F46" s="5" t="n">
        <f aca="false">COUNTIFS(Test_Cases!$C$4:$C$83,$B46,Test_Cases!$O$4:$O$83,"Not run")</f>
        <v>2</v>
      </c>
      <c r="G46" s="5" t="n">
        <f aca="false">COUNTIFS(Test_Cases!$C$4:$C$83,$B46,Test_Cases!$O$4:$O$83,"Pass")</f>
        <v>0</v>
      </c>
      <c r="H46" s="5" t="n">
        <f aca="false">COUNTIFS(Test_Cases!$C$4:$C$83,$B46,Test_Cases!$O$4:$O$83,"Fail")</f>
        <v>0</v>
      </c>
      <c r="I46" s="5" t="n">
        <f aca="false">COUNTIFS(Test_Cases!$C$4:$C$83,$B46,Test_Cases!$O$4:$O$83,"Blocked")</f>
        <v>0</v>
      </c>
    </row>
    <row r="47" customFormat="false" ht="15" hidden="false" customHeight="false" outlineLevel="0" collapsed="false">
      <c r="A47" s="5"/>
      <c r="B47" s="5" t="s">
        <v>931</v>
      </c>
      <c r="C47" s="5" t="n">
        <f aca="false">COUNTIF(Test_Cases!$C$4:$C$83,$B47)</f>
        <v>2</v>
      </c>
      <c r="D47" s="5" t="n">
        <f aca="false">COUNTIFS(Test_Cases!$C$4:$C$83,$B47,Test_Cases!$F$4:$F$83,"Positive")</f>
        <v>1</v>
      </c>
      <c r="E47" s="5" t="n">
        <f aca="false">COUNTIFS(Test_Cases!$C$4:$C$83,$B47,Test_Cases!$F$4:$F$83,"Negative")</f>
        <v>1</v>
      </c>
      <c r="F47" s="5" t="n">
        <f aca="false">COUNTIFS(Test_Cases!$C$4:$C$83,$B47,Test_Cases!$O$4:$O$83,"Not run")</f>
        <v>2</v>
      </c>
      <c r="G47" s="5" t="n">
        <f aca="false">COUNTIFS(Test_Cases!$C$4:$C$83,$B47,Test_Cases!$O$4:$O$83,"Pass")</f>
        <v>0</v>
      </c>
      <c r="H47" s="5" t="n">
        <f aca="false">COUNTIFS(Test_Cases!$C$4:$C$83,$B47,Test_Cases!$O$4:$O$83,"Fail")</f>
        <v>0</v>
      </c>
      <c r="I47" s="5" t="n">
        <f aca="false">COUNTIFS(Test_Cases!$C$4:$C$83,$B47,Test_Cases!$O$4:$O$83,"Blocked")</f>
        <v>0</v>
      </c>
    </row>
    <row r="48" customFormat="false" ht="15" hidden="false" customHeight="false" outlineLevel="0" collapsed="false">
      <c r="A48" s="5"/>
      <c r="B48" s="5" t="s">
        <v>946</v>
      </c>
      <c r="C48" s="5" t="n">
        <f aca="false">COUNTIF(Test_Cases!$C$4:$C$83,$B48)</f>
        <v>2</v>
      </c>
      <c r="D48" s="5" t="n">
        <f aca="false">COUNTIFS(Test_Cases!$C$4:$C$83,$B48,Test_Cases!$F$4:$F$83,"Positive")</f>
        <v>1</v>
      </c>
      <c r="E48" s="5" t="n">
        <f aca="false">COUNTIFS(Test_Cases!$C$4:$C$83,$B48,Test_Cases!$F$4:$F$83,"Negative")</f>
        <v>1</v>
      </c>
      <c r="F48" s="5" t="n">
        <f aca="false">COUNTIFS(Test_Cases!$C$4:$C$83,$B48,Test_Cases!$O$4:$O$83,"Not run")</f>
        <v>2</v>
      </c>
      <c r="G48" s="5" t="n">
        <f aca="false">COUNTIFS(Test_Cases!$C$4:$C$83,$B48,Test_Cases!$O$4:$O$83,"Pass")</f>
        <v>0</v>
      </c>
      <c r="H48" s="5" t="n">
        <f aca="false">COUNTIFS(Test_Cases!$C$4:$C$83,$B48,Test_Cases!$O$4:$O$83,"Fail")</f>
        <v>0</v>
      </c>
      <c r="I48" s="5" t="n">
        <f aca="false">COUNTIFS(Test_Cases!$C$4:$C$83,$B48,Test_Cases!$O$4:$O$83,"Blocked")</f>
        <v>0</v>
      </c>
    </row>
    <row r="49" customFormat="false" ht="15" hidden="false" customHeight="false" outlineLevel="0" collapsed="false">
      <c r="A49" s="5"/>
      <c r="B49" s="5" t="s">
        <v>960</v>
      </c>
      <c r="C49" s="5" t="n">
        <f aca="false">COUNTIF(Test_Cases!$C$4:$C$83,$B49)</f>
        <v>3</v>
      </c>
      <c r="D49" s="5" t="n">
        <f aca="false">COUNTIFS(Test_Cases!$C$4:$C$83,$B49,Test_Cases!$F$4:$F$83,"Positive")</f>
        <v>1</v>
      </c>
      <c r="E49" s="5" t="n">
        <f aca="false">COUNTIFS(Test_Cases!$C$4:$C$83,$B49,Test_Cases!$F$4:$F$83,"Negative")</f>
        <v>2</v>
      </c>
      <c r="F49" s="5" t="n">
        <f aca="false">COUNTIFS(Test_Cases!$C$4:$C$83,$B49,Test_Cases!$O$4:$O$83,"Not run")</f>
        <v>3</v>
      </c>
      <c r="G49" s="5" t="n">
        <f aca="false">COUNTIFS(Test_Cases!$C$4:$C$83,$B49,Test_Cases!$O$4:$O$83,"Pass")</f>
        <v>0</v>
      </c>
      <c r="H49" s="5" t="n">
        <f aca="false">COUNTIFS(Test_Cases!$C$4:$C$83,$B49,Test_Cases!$O$4:$O$83,"Fail")</f>
        <v>0</v>
      </c>
      <c r="I49" s="5" t="n">
        <f aca="false">COUNTIFS(Test_Cases!$C$4:$C$83,$B49,Test_Cases!$O$4:$O$83,"Blocked")</f>
        <v>0</v>
      </c>
    </row>
    <row r="50" customFormat="false" ht="15" hidden="false" customHeight="false" outlineLevel="0" collapsed="false">
      <c r="A50" s="5"/>
      <c r="B50" s="5" t="s">
        <v>979</v>
      </c>
      <c r="C50" s="5" t="n">
        <f aca="false">COUNTIF(Test_Cases!$C$4:$C$83,$B50)</f>
        <v>1</v>
      </c>
      <c r="D50" s="5" t="n">
        <f aca="false">COUNTIFS(Test_Cases!$C$4:$C$83,$B50,Test_Cases!$F$4:$F$83,"Positive")</f>
        <v>1</v>
      </c>
      <c r="E50" s="5" t="n">
        <f aca="false">COUNTIFS(Test_Cases!$C$4:$C$83,$B50,Test_Cases!$F$4:$F$83,"Negative")</f>
        <v>0</v>
      </c>
      <c r="F50" s="5" t="n">
        <f aca="false">COUNTIFS(Test_Cases!$C$4:$C$83,$B50,Test_Cases!$O$4:$O$83,"Not run")</f>
        <v>1</v>
      </c>
      <c r="G50" s="5" t="n">
        <f aca="false">COUNTIFS(Test_Cases!$C$4:$C$83,$B50,Test_Cases!$O$4:$O$83,"Pass")</f>
        <v>0</v>
      </c>
      <c r="H50" s="5" t="n">
        <f aca="false">COUNTIFS(Test_Cases!$C$4:$C$83,$B50,Test_Cases!$O$4:$O$83,"Fail")</f>
        <v>0</v>
      </c>
      <c r="I50" s="5" t="n">
        <f aca="false">COUNTIFS(Test_Cases!$C$4:$C$83,$B50,Test_Cases!$O$4:$O$83,"Blocked")</f>
        <v>0</v>
      </c>
    </row>
    <row r="51" customFormat="false" ht="15" hidden="false" customHeight="false" outlineLevel="0" collapsed="false">
      <c r="A51" s="5"/>
      <c r="B51" s="5" t="s">
        <v>988</v>
      </c>
      <c r="C51" s="5" t="n">
        <f aca="false">COUNTIF(Test_Cases!$C$4:$C$83,$B51)</f>
        <v>1</v>
      </c>
      <c r="D51" s="5" t="n">
        <f aca="false">COUNTIFS(Test_Cases!$C$4:$C$83,$B51,Test_Cases!$F$4:$F$83,"Positive")</f>
        <v>0</v>
      </c>
      <c r="E51" s="5" t="n">
        <f aca="false">COUNTIFS(Test_Cases!$C$4:$C$83,$B51,Test_Cases!$F$4:$F$83,"Negative")</f>
        <v>1</v>
      </c>
      <c r="F51" s="5" t="n">
        <f aca="false">COUNTIFS(Test_Cases!$C$4:$C$83,$B51,Test_Cases!$O$4:$O$83,"Not run")</f>
        <v>1</v>
      </c>
      <c r="G51" s="5" t="n">
        <f aca="false">COUNTIFS(Test_Cases!$C$4:$C$83,$B51,Test_Cases!$O$4:$O$83,"Pass")</f>
        <v>0</v>
      </c>
      <c r="H51" s="5" t="n">
        <f aca="false">COUNTIFS(Test_Cases!$C$4:$C$83,$B51,Test_Cases!$O$4:$O$83,"Fail")</f>
        <v>0</v>
      </c>
      <c r="I51" s="5" t="n">
        <f aca="false">COUNTIFS(Test_Cases!$C$4:$C$83,$B51,Test_Cases!$O$4:$O$83,"Blocked")</f>
        <v>0</v>
      </c>
    </row>
    <row r="52" customFormat="false" ht="15" hidden="false" customHeight="false" outlineLevel="0" collapsed="false">
      <c r="A52" s="5"/>
      <c r="B52" s="5" t="s">
        <v>996</v>
      </c>
      <c r="C52" s="5" t="n">
        <f aca="false">COUNTIF(Test_Cases!$C$4:$C$83,$B52)</f>
        <v>1</v>
      </c>
      <c r="D52" s="5" t="n">
        <f aca="false">COUNTIFS(Test_Cases!$C$4:$C$83,$B52,Test_Cases!$F$4:$F$83,"Positive")</f>
        <v>0</v>
      </c>
      <c r="E52" s="5" t="n">
        <f aca="false">COUNTIFS(Test_Cases!$C$4:$C$83,$B52,Test_Cases!$F$4:$F$83,"Negative")</f>
        <v>1</v>
      </c>
      <c r="F52" s="5" t="n">
        <f aca="false">COUNTIFS(Test_Cases!$C$4:$C$83,$B52,Test_Cases!$O$4:$O$83,"Not run")</f>
        <v>1</v>
      </c>
      <c r="G52" s="5" t="n">
        <f aca="false">COUNTIFS(Test_Cases!$C$4:$C$83,$B52,Test_Cases!$O$4:$O$83,"Pass")</f>
        <v>0</v>
      </c>
      <c r="H52" s="5" t="n">
        <f aca="false">COUNTIFS(Test_Cases!$C$4:$C$83,$B52,Test_Cases!$O$4:$O$83,"Fail")</f>
        <v>0</v>
      </c>
      <c r="I52" s="5" t="n">
        <f aca="false">COUNTIFS(Test_Cases!$C$4:$C$83,$B52,Test_Cases!$O$4:$O$83,"Blocked")</f>
        <v>0</v>
      </c>
    </row>
    <row r="53" customFormat="false" ht="15" hidden="false" customHeight="false" outlineLevel="0" collapsed="false">
      <c r="A53" s="5"/>
      <c r="B53" s="5" t="s">
        <v>1010</v>
      </c>
      <c r="C53" s="5" t="n">
        <f aca="false">COUNTIF(Test_Cases!$C$4:$C$83,$B53)</f>
        <v>1</v>
      </c>
      <c r="D53" s="5" t="n">
        <f aca="false">COUNTIFS(Test_Cases!$C$4:$C$83,$B53,Test_Cases!$F$4:$F$83,"Positive")</f>
        <v>0</v>
      </c>
      <c r="E53" s="5" t="n">
        <f aca="false">COUNTIFS(Test_Cases!$C$4:$C$83,$B53,Test_Cases!$F$4:$F$83,"Negative")</f>
        <v>1</v>
      </c>
      <c r="F53" s="5" t="n">
        <f aca="false">COUNTIFS(Test_Cases!$C$4:$C$83,$B53,Test_Cases!$O$4:$O$83,"Not run")</f>
        <v>1</v>
      </c>
      <c r="G53" s="5" t="n">
        <f aca="false">COUNTIFS(Test_Cases!$C$4:$C$83,$B53,Test_Cases!$O$4:$O$83,"Pass")</f>
        <v>0</v>
      </c>
      <c r="H53" s="5" t="n">
        <f aca="false">COUNTIFS(Test_Cases!$C$4:$C$83,$B53,Test_Cases!$O$4:$O$83,"Fail")</f>
        <v>0</v>
      </c>
      <c r="I53" s="5" t="n">
        <f aca="false">COUNTIFS(Test_Cases!$C$4:$C$83,$B53,Test_Cases!$O$4:$O$83,"Blocked")</f>
        <v>0</v>
      </c>
    </row>
    <row r="54" customFormat="false" ht="15" hidden="false" customHeight="false" outlineLevel="0" collapsed="false">
      <c r="A54" s="5"/>
      <c r="B54" s="5" t="s">
        <v>1019</v>
      </c>
      <c r="C54" s="5" t="n">
        <f aca="false">COUNTIF(Test_Cases!$C$4:$C$83,$B54)</f>
        <v>2</v>
      </c>
      <c r="D54" s="5" t="n">
        <f aca="false">COUNTIFS(Test_Cases!$C$4:$C$83,$B54,Test_Cases!$F$4:$F$83,"Positive")</f>
        <v>0</v>
      </c>
      <c r="E54" s="5" t="n">
        <f aca="false">COUNTIFS(Test_Cases!$C$4:$C$83,$B54,Test_Cases!$F$4:$F$83,"Negative")</f>
        <v>2</v>
      </c>
      <c r="F54" s="5" t="n">
        <f aca="false">COUNTIFS(Test_Cases!$C$4:$C$83,$B54,Test_Cases!$O$4:$O$83,"Not run")</f>
        <v>2</v>
      </c>
      <c r="G54" s="5" t="n">
        <f aca="false">COUNTIFS(Test_Cases!$C$4:$C$83,$B54,Test_Cases!$O$4:$O$83,"Pass")</f>
        <v>0</v>
      </c>
      <c r="H54" s="5" t="n">
        <f aca="false">COUNTIFS(Test_Cases!$C$4:$C$83,$B54,Test_Cases!$O$4:$O$83,"Fail")</f>
        <v>0</v>
      </c>
      <c r="I54" s="5" t="n">
        <f aca="false">COUNTIFS(Test_Cases!$C$4:$C$83,$B54,Test_Cases!$O$4:$O$83,"Blocked")</f>
        <v>0</v>
      </c>
    </row>
    <row r="55" customFormat="false" ht="15" hidden="false" customHeight="false" outlineLevel="0" collapsed="false">
      <c r="A55" s="5"/>
      <c r="B55" s="5" t="s">
        <v>1035</v>
      </c>
      <c r="C55" s="5" t="n">
        <f aca="false">COUNTIF(Test_Cases!$C$4:$C$83,$B55)</f>
        <v>1</v>
      </c>
      <c r="D55" s="5" t="n">
        <f aca="false">COUNTIFS(Test_Cases!$C$4:$C$83,$B55,Test_Cases!$F$4:$F$83,"Positive")</f>
        <v>0</v>
      </c>
      <c r="E55" s="5" t="n">
        <f aca="false">COUNTIFS(Test_Cases!$C$4:$C$83,$B55,Test_Cases!$F$4:$F$83,"Negative")</f>
        <v>1</v>
      </c>
      <c r="F55" s="5" t="n">
        <f aca="false">COUNTIFS(Test_Cases!$C$4:$C$83,$B55,Test_Cases!$O$4:$O$83,"Not run")</f>
        <v>1</v>
      </c>
      <c r="G55" s="5" t="n">
        <f aca="false">COUNTIFS(Test_Cases!$C$4:$C$83,$B55,Test_Cases!$O$4:$O$83,"Pass")</f>
        <v>0</v>
      </c>
      <c r="H55" s="5" t="n">
        <f aca="false">COUNTIFS(Test_Cases!$C$4:$C$83,$B55,Test_Cases!$O$4:$O$83,"Fail")</f>
        <v>0</v>
      </c>
      <c r="I55" s="5" t="n">
        <f aca="false">COUNTIFS(Test_Cases!$C$4:$C$83,$B55,Test_Cases!$O$4:$O$83,"Blocked")</f>
        <v>0</v>
      </c>
    </row>
    <row r="56" customFormat="false" ht="15" hidden="false" customHeight="false" outlineLevel="0" collapsed="false">
      <c r="A56" s="5"/>
      <c r="B56" s="5" t="s">
        <v>1044</v>
      </c>
      <c r="C56" s="5" t="n">
        <f aca="false">COUNTIF(Test_Cases!$C$4:$C$83,$B56)</f>
        <v>1</v>
      </c>
      <c r="D56" s="5" t="n">
        <f aca="false">COUNTIFS(Test_Cases!$C$4:$C$83,$B56,Test_Cases!$F$4:$F$83,"Positive")</f>
        <v>1</v>
      </c>
      <c r="E56" s="5" t="n">
        <f aca="false">COUNTIFS(Test_Cases!$C$4:$C$83,$B56,Test_Cases!$F$4:$F$83,"Negative")</f>
        <v>0</v>
      </c>
      <c r="F56" s="5" t="n">
        <f aca="false">COUNTIFS(Test_Cases!$C$4:$C$83,$B56,Test_Cases!$O$4:$O$83,"Not run")</f>
        <v>1</v>
      </c>
      <c r="G56" s="5" t="n">
        <f aca="false">COUNTIFS(Test_Cases!$C$4:$C$83,$B56,Test_Cases!$O$4:$O$83,"Pass")</f>
        <v>0</v>
      </c>
      <c r="H56" s="5" t="n">
        <f aca="false">COUNTIFS(Test_Cases!$C$4:$C$83,$B56,Test_Cases!$O$4:$O$83,"Fail")</f>
        <v>0</v>
      </c>
      <c r="I56" s="5" t="n">
        <f aca="false">COUNTIFS(Test_Cases!$C$4:$C$83,$B56,Test_Cases!$O$4:$O$83,"Blocked")</f>
        <v>0</v>
      </c>
    </row>
    <row r="57" customFormat="false" ht="15" hidden="false" customHeight="false" outlineLevel="0" collapsed="false">
      <c r="A57" s="5"/>
      <c r="B57" s="5" t="s">
        <v>1054</v>
      </c>
      <c r="C57" s="5" t="n">
        <f aca="false">COUNTIF(Test_Cases!$C$4:$C$83,$B57)</f>
        <v>2</v>
      </c>
      <c r="D57" s="5" t="n">
        <f aca="false">COUNTIFS(Test_Cases!$C$4:$C$83,$B57,Test_Cases!$F$4:$F$83,"Positive")</f>
        <v>1</v>
      </c>
      <c r="E57" s="5" t="n">
        <f aca="false">COUNTIFS(Test_Cases!$C$4:$C$83,$B57,Test_Cases!$F$4:$F$83,"Negative")</f>
        <v>1</v>
      </c>
      <c r="F57" s="5" t="n">
        <f aca="false">COUNTIFS(Test_Cases!$C$4:$C$83,$B57,Test_Cases!$O$4:$O$83,"Not run")</f>
        <v>0</v>
      </c>
      <c r="G57" s="5" t="n">
        <f aca="false">COUNTIFS(Test_Cases!$C$4:$C$83,$B57,Test_Cases!$O$4:$O$83,"Pass")</f>
        <v>0</v>
      </c>
      <c r="H57" s="5" t="n">
        <f aca="false">COUNTIFS(Test_Cases!$C$4:$C$83,$B57,Test_Cases!$O$4:$O$83,"Fail")</f>
        <v>0</v>
      </c>
      <c r="I57" s="5" t="n">
        <f aca="false">COUNTIFS(Test_Cases!$C$4:$C$83,$B57,Test_Cases!$O$4:$O$83,"Blocked")</f>
        <v>2</v>
      </c>
    </row>
    <row r="58" customFormat="false" ht="15" hidden="false" customHeight="false" outlineLevel="0" collapsed="false">
      <c r="A58" s="5"/>
      <c r="B58" s="5" t="s">
        <v>1075</v>
      </c>
      <c r="C58" s="5" t="n">
        <f aca="false">COUNTIF(Test_Cases!$C$4:$C$83,$B58)</f>
        <v>1</v>
      </c>
      <c r="D58" s="5" t="n">
        <f aca="false">COUNTIFS(Test_Cases!$C$4:$C$83,$B58,Test_Cases!$F$4:$F$83,"Positive")</f>
        <v>1</v>
      </c>
      <c r="E58" s="5" t="n">
        <f aca="false">COUNTIFS(Test_Cases!$C$4:$C$83,$B58,Test_Cases!$F$4:$F$83,"Negative")</f>
        <v>0</v>
      </c>
      <c r="F58" s="5" t="n">
        <f aca="false">COUNTIFS(Test_Cases!$C$4:$C$83,$B58,Test_Cases!$O$4:$O$83,"Not run")</f>
        <v>0</v>
      </c>
      <c r="G58" s="5" t="n">
        <f aca="false">COUNTIFS(Test_Cases!$C$4:$C$83,$B58,Test_Cases!$O$4:$O$83,"Pass")</f>
        <v>0</v>
      </c>
      <c r="H58" s="5" t="n">
        <f aca="false">COUNTIFS(Test_Cases!$C$4:$C$83,$B58,Test_Cases!$O$4:$O$83,"Fail")</f>
        <v>0</v>
      </c>
      <c r="I58" s="5" t="n">
        <f aca="false">COUNTIFS(Test_Cases!$C$4:$C$83,$B58,Test_Cases!$O$4:$O$83,"Blocked")</f>
        <v>1</v>
      </c>
    </row>
    <row r="59" customFormat="false" ht="15" hidden="false" customHeight="false" outlineLevel="0" collapsed="false">
      <c r="A59" s="5"/>
      <c r="B59" s="5" t="s">
        <v>1084</v>
      </c>
      <c r="C59" s="5" t="n">
        <f aca="false">COUNTIF(Test_Cases!$C$4:$C$83,$B59)</f>
        <v>2</v>
      </c>
      <c r="D59" s="5" t="n">
        <f aca="false">COUNTIFS(Test_Cases!$C$4:$C$83,$B59,Test_Cases!$F$4:$F$83,"Positive")</f>
        <v>1</v>
      </c>
      <c r="E59" s="5" t="n">
        <f aca="false">COUNTIFS(Test_Cases!$C$4:$C$83,$B59,Test_Cases!$F$4:$F$83,"Negative")</f>
        <v>1</v>
      </c>
      <c r="F59" s="5" t="n">
        <f aca="false">COUNTIFS(Test_Cases!$C$4:$C$83,$B59,Test_Cases!$O$4:$O$83,"Not run")</f>
        <v>0</v>
      </c>
      <c r="G59" s="5" t="n">
        <f aca="false">COUNTIFS(Test_Cases!$C$4:$C$83,$B59,Test_Cases!$O$4:$O$83,"Pass")</f>
        <v>0</v>
      </c>
      <c r="H59" s="5" t="n">
        <f aca="false">COUNTIFS(Test_Cases!$C$4:$C$83,$B59,Test_Cases!$O$4:$O$83,"Fail")</f>
        <v>0</v>
      </c>
      <c r="I59" s="5" t="n">
        <f aca="false">COUNTIFS(Test_Cases!$C$4:$C$83,$B59,Test_Cases!$O$4:$O$83,"Blocked")</f>
        <v>2</v>
      </c>
    </row>
    <row r="60" customFormat="false" ht="15" hidden="false" customHeight="false" outlineLevel="0" collapsed="false">
      <c r="A60" s="5"/>
      <c r="B60" s="5" t="s">
        <v>1100</v>
      </c>
      <c r="C60" s="5" t="n">
        <f aca="false">COUNTIF(Test_Cases!$C$4:$C$83,$B60)</f>
        <v>1</v>
      </c>
      <c r="D60" s="5" t="n">
        <f aca="false">COUNTIFS(Test_Cases!$C$4:$C$83,$B60,Test_Cases!$F$4:$F$83,"Positive")</f>
        <v>1</v>
      </c>
      <c r="E60" s="5" t="n">
        <f aca="false">COUNTIFS(Test_Cases!$C$4:$C$83,$B60,Test_Cases!$F$4:$F$83,"Negative")</f>
        <v>0</v>
      </c>
      <c r="F60" s="5" t="n">
        <f aca="false">COUNTIFS(Test_Cases!$C$4:$C$83,$B60,Test_Cases!$O$4:$O$83,"Not run")</f>
        <v>0</v>
      </c>
      <c r="G60" s="5" t="n">
        <f aca="false">COUNTIFS(Test_Cases!$C$4:$C$83,$B60,Test_Cases!$O$4:$O$83,"Pass")</f>
        <v>0</v>
      </c>
      <c r="H60" s="5" t="n">
        <f aca="false">COUNTIFS(Test_Cases!$C$4:$C$83,$B60,Test_Cases!$O$4:$O$83,"Fail")</f>
        <v>0</v>
      </c>
      <c r="I60" s="5" t="n">
        <f aca="false">COUNTIFS(Test_Cases!$C$4:$C$83,$B60,Test_Cases!$O$4:$O$83,"Blocked")</f>
        <v>1</v>
      </c>
    </row>
    <row r="61" customFormat="false" ht="15" hidden="false" customHeight="false" outlineLevel="0" collapsed="false">
      <c r="A61" s="14" t="s">
        <v>1930</v>
      </c>
      <c r="B61" s="15" t="s">
        <v>1931</v>
      </c>
      <c r="C61" s="15" t="n">
        <f aca="false">COUNTA(Test_Cases!$A$4:$A$83)</f>
        <v>80</v>
      </c>
      <c r="D61" s="15" t="n">
        <f aca="false">COUNTIF(Test_Cases!$F$4:$F$83,"Positive")</f>
        <v>39</v>
      </c>
      <c r="E61" s="15" t="n">
        <f aca="false">COUNTIF(Test_Cases!$F$4:$F$83,"Negative")</f>
        <v>41</v>
      </c>
      <c r="F61" s="15" t="n">
        <f aca="false">COUNTIF(Test_Cases!$O$4:$O$83,"Not run")</f>
        <v>74</v>
      </c>
      <c r="G61" s="15" t="n">
        <f aca="false">COUNTIF(Test_Cases!$O$4:$O$83,"Pass")</f>
        <v>0</v>
      </c>
      <c r="H61" s="15" t="n">
        <f aca="false">COUNTIF(Test_Cases!$O$4:$O$83,"Fail")</f>
        <v>0</v>
      </c>
      <c r="I61" s="15" t="n">
        <f aca="false">COUNTIF(Test_Cases!$O$4:$O$83,"Blocked")</f>
        <v>6</v>
      </c>
    </row>
    <row r="62" customFormat="false" ht="15" hidden="false" customHeight="false" outlineLevel="0" collapsed="false">
      <c r="B62" s="10" t="s">
        <v>1932</v>
      </c>
      <c r="C62" s="10" t="n">
        <f aca="false">COUNTA(Test_Steps_Detail!$A$4:$A$2000)</f>
        <v>308</v>
      </c>
    </row>
    <row r="64" customFormat="false" ht="31.5" hidden="false" customHeight="true" outlineLevel="0" collapsed="false">
      <c r="A64" s="10" t="s">
        <v>1933</v>
      </c>
      <c r="B64" s="3" t="s">
        <v>1934</v>
      </c>
      <c r="C64" s="3"/>
      <c r="D64" s="3"/>
      <c r="E64" s="3"/>
      <c r="F64" s="3"/>
      <c r="G64" s="3"/>
      <c r="H64" s="3"/>
      <c r="I64" s="3"/>
    </row>
  </sheetData>
  <mergeCells count="2">
    <mergeCell ref="A2:I2"/>
    <mergeCell ref="B64:I6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0"/>
    <col collapsed="false" customWidth="true" hidden="false" outlineLevel="0" max="3" min="3" style="0" width="96"/>
    <col collapsed="false" customWidth="true" hidden="false" outlineLevel="0" max="4" min="4" style="0" width="34"/>
    <col collapsed="false" customWidth="true" hidden="false" outlineLevel="0" max="5" min="5" style="0" width="44"/>
  </cols>
  <sheetData>
    <row r="1" customFormat="false" ht="15" hidden="false" customHeight="false" outlineLevel="0" collapsed="false">
      <c r="A1" s="6" t="s">
        <v>1935</v>
      </c>
    </row>
    <row r="2" customFormat="false" ht="45.75" hidden="false" customHeight="true" outlineLevel="0" collapsed="false">
      <c r="A2" s="3" t="s">
        <v>1936</v>
      </c>
      <c r="B2" s="3"/>
      <c r="C2" s="3"/>
      <c r="D2" s="3"/>
      <c r="E2" s="3"/>
    </row>
    <row r="3" customFormat="false" ht="15" hidden="false" customHeight="false" outlineLevel="0" collapsed="false">
      <c r="A3" s="7" t="s">
        <v>495</v>
      </c>
      <c r="B3" s="7" t="s">
        <v>1937</v>
      </c>
      <c r="C3" s="7" t="s">
        <v>1938</v>
      </c>
      <c r="D3" s="7" t="s">
        <v>1939</v>
      </c>
      <c r="E3" s="7" t="s">
        <v>505</v>
      </c>
    </row>
    <row r="4" customFormat="false" ht="78" hidden="false" customHeight="true" outlineLevel="0" collapsed="false">
      <c r="A4" s="5" t="s">
        <v>512</v>
      </c>
      <c r="B4" s="5" t="s">
        <v>1940</v>
      </c>
      <c r="C4" s="5" t="s">
        <v>1941</v>
      </c>
      <c r="D4" s="5" t="s">
        <v>1942</v>
      </c>
      <c r="E4" s="5" t="s">
        <v>1943</v>
      </c>
    </row>
    <row r="5" customFormat="false" ht="78" hidden="false" customHeight="true" outlineLevel="0" collapsed="false">
      <c r="A5" s="5" t="s">
        <v>559</v>
      </c>
      <c r="B5" s="5" t="s">
        <v>1944</v>
      </c>
      <c r="C5" s="5" t="s">
        <v>1945</v>
      </c>
      <c r="D5" s="5" t="s">
        <v>1946</v>
      </c>
      <c r="E5" s="5" t="s">
        <v>1947</v>
      </c>
    </row>
    <row r="6" customFormat="false" ht="78" hidden="false" customHeight="true" outlineLevel="0" collapsed="false">
      <c r="A6" s="5" t="s">
        <v>548</v>
      </c>
      <c r="B6" s="5" t="s">
        <v>1948</v>
      </c>
      <c r="C6" s="5" t="s">
        <v>1949</v>
      </c>
      <c r="D6" s="5" t="s">
        <v>1950</v>
      </c>
      <c r="E6" s="5" t="s">
        <v>1951</v>
      </c>
    </row>
    <row r="7" customFormat="false" ht="78" hidden="false" customHeight="true" outlineLevel="0" collapsed="false">
      <c r="A7" s="5" t="s">
        <v>916</v>
      </c>
      <c r="B7" s="5" t="s">
        <v>1952</v>
      </c>
      <c r="C7" s="5" t="s">
        <v>1953</v>
      </c>
      <c r="D7" s="5" t="s">
        <v>1954</v>
      </c>
      <c r="E7" s="5" t="s">
        <v>1955</v>
      </c>
    </row>
    <row r="8" customFormat="false" ht="78" hidden="false" customHeight="true" outlineLevel="0" collapsed="false">
      <c r="A8" s="5" t="s">
        <v>1057</v>
      </c>
      <c r="B8" s="5" t="s">
        <v>1956</v>
      </c>
      <c r="C8" s="5" t="s">
        <v>1957</v>
      </c>
      <c r="D8" s="5" t="s">
        <v>1958</v>
      </c>
      <c r="E8" s="5" t="s">
        <v>1959</v>
      </c>
    </row>
    <row r="10" customFormat="false" ht="15" hidden="false" customHeight="false" outlineLevel="0" collapsed="false">
      <c r="A10" s="6" t="s">
        <v>1960</v>
      </c>
    </row>
    <row r="11" customFormat="false" ht="15" hidden="false" customHeight="false" outlineLevel="0" collapsed="false">
      <c r="A11" s="7" t="s">
        <v>1961</v>
      </c>
      <c r="B11" s="7" t="s">
        <v>1962</v>
      </c>
      <c r="C11" s="7" t="s">
        <v>1963</v>
      </c>
      <c r="D11" s="7" t="s">
        <v>1964</v>
      </c>
      <c r="E11" s="7"/>
    </row>
    <row r="12" customFormat="false" ht="30" hidden="false" customHeight="true" outlineLevel="0" collapsed="false">
      <c r="A12" s="5" t="s">
        <v>1965</v>
      </c>
      <c r="B12" s="5" t="s">
        <v>1966</v>
      </c>
      <c r="C12" s="5" t="s">
        <v>1967</v>
      </c>
      <c r="D12" s="5" t="s">
        <v>1968</v>
      </c>
      <c r="E12" s="5"/>
    </row>
    <row r="13" customFormat="false" ht="30" hidden="false" customHeight="true" outlineLevel="0" collapsed="false">
      <c r="A13" s="5" t="s">
        <v>1969</v>
      </c>
      <c r="B13" s="5" t="s">
        <v>1970</v>
      </c>
      <c r="C13" s="5" t="s">
        <v>1971</v>
      </c>
      <c r="D13" s="5" t="s">
        <v>1972</v>
      </c>
      <c r="E13" s="5"/>
    </row>
    <row r="14" customFormat="false" ht="30" hidden="false" customHeight="true" outlineLevel="0" collapsed="false">
      <c r="A14" s="5" t="s">
        <v>1973</v>
      </c>
      <c r="B14" s="5" t="s">
        <v>1966</v>
      </c>
      <c r="C14" s="5" t="s">
        <v>1974</v>
      </c>
      <c r="D14" s="5" t="s">
        <v>1975</v>
      </c>
      <c r="E14" s="5"/>
    </row>
    <row r="15" customFormat="false" ht="30" hidden="false" customHeight="true" outlineLevel="0" collapsed="false">
      <c r="A15" s="5" t="s">
        <v>1976</v>
      </c>
      <c r="B15" s="5" t="s">
        <v>1977</v>
      </c>
      <c r="C15" s="5" t="s">
        <v>1978</v>
      </c>
      <c r="D15" s="5" t="s">
        <v>1979</v>
      </c>
      <c r="E15" s="5"/>
    </row>
    <row r="16" customFormat="false" ht="30" hidden="false" customHeight="true" outlineLevel="0" collapsed="false">
      <c r="A16" s="5" t="s">
        <v>1980</v>
      </c>
      <c r="B16" s="5" t="s">
        <v>1981</v>
      </c>
      <c r="C16" s="5" t="s">
        <v>1982</v>
      </c>
      <c r="D16" s="5" t="s">
        <v>1983</v>
      </c>
      <c r="E16" s="5"/>
    </row>
    <row r="17" customFormat="false" ht="30" hidden="false" customHeight="true" outlineLevel="0" collapsed="false">
      <c r="A17" s="5" t="s">
        <v>1984</v>
      </c>
      <c r="B17" s="5" t="s">
        <v>1985</v>
      </c>
      <c r="C17" s="5" t="s">
        <v>1986</v>
      </c>
      <c r="D17" s="5" t="s">
        <v>1987</v>
      </c>
      <c r="E17" s="5"/>
    </row>
    <row r="18" customFormat="false" ht="30" hidden="false" customHeight="true" outlineLevel="0" collapsed="false">
      <c r="A18" s="5" t="s">
        <v>1988</v>
      </c>
      <c r="B18" s="5" t="s">
        <v>1989</v>
      </c>
      <c r="C18" s="5" t="s">
        <v>1990</v>
      </c>
      <c r="D18" s="5" t="s">
        <v>1991</v>
      </c>
      <c r="E18" s="5"/>
    </row>
    <row r="19" customFormat="false" ht="30" hidden="false" customHeight="true" outlineLevel="0" collapsed="false">
      <c r="A19" s="5" t="s">
        <v>1992</v>
      </c>
      <c r="B19" s="5" t="s">
        <v>1993</v>
      </c>
      <c r="C19" s="5" t="s">
        <v>1994</v>
      </c>
      <c r="D19" s="5" t="s">
        <v>1995</v>
      </c>
      <c r="E19" s="5"/>
    </row>
    <row r="20" customFormat="false" ht="30" hidden="false" customHeight="true" outlineLevel="0" collapsed="false">
      <c r="A20" s="5" t="s">
        <v>1996</v>
      </c>
      <c r="B20" s="5" t="s">
        <v>1997</v>
      </c>
      <c r="C20" s="5" t="s">
        <v>1998</v>
      </c>
      <c r="D20" s="5" t="s">
        <v>1999</v>
      </c>
      <c r="E20" s="5"/>
    </row>
    <row r="21" customFormat="false" ht="30" hidden="false" customHeight="true" outlineLevel="0" collapsed="false">
      <c r="A21" s="5" t="s">
        <v>2000</v>
      </c>
      <c r="B21" s="5" t="s">
        <v>1997</v>
      </c>
      <c r="C21" s="5" t="s">
        <v>2001</v>
      </c>
      <c r="D21" s="5" t="s">
        <v>2002</v>
      </c>
      <c r="E21" s="5"/>
    </row>
    <row r="22" customFormat="false" ht="30" hidden="false" customHeight="true" outlineLevel="0" collapsed="false">
      <c r="A22" s="5" t="s">
        <v>2003</v>
      </c>
      <c r="B22" s="5" t="s">
        <v>1997</v>
      </c>
      <c r="C22" s="5" t="s">
        <v>2004</v>
      </c>
      <c r="D22" s="5" t="s">
        <v>2005</v>
      </c>
      <c r="E22" s="5"/>
    </row>
    <row r="23" customFormat="false" ht="30" hidden="false" customHeight="true" outlineLevel="0" collapsed="false">
      <c r="A23" s="5" t="s">
        <v>2006</v>
      </c>
      <c r="B23" s="5" t="s">
        <v>1997</v>
      </c>
      <c r="C23" s="5" t="s">
        <v>2007</v>
      </c>
      <c r="D23" s="5" t="s">
        <v>2008</v>
      </c>
      <c r="E23" s="5"/>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6"/>
    <col collapsed="false" customWidth="true" hidden="false" outlineLevel="0" max="3" min="3" style="0" width="116"/>
  </cols>
  <sheetData>
    <row r="1" customFormat="false" ht="15" hidden="false" customHeight="false" outlineLevel="0" collapsed="false">
      <c r="A1" s="6" t="s">
        <v>2009</v>
      </c>
    </row>
    <row r="2" customFormat="false" ht="45.75" hidden="false" customHeight="true" outlineLevel="0" collapsed="false">
      <c r="A2" s="3" t="s">
        <v>2010</v>
      </c>
      <c r="B2" s="3"/>
      <c r="C2" s="3"/>
    </row>
    <row r="3" customFormat="false" ht="15" hidden="false" customHeight="false" outlineLevel="0" collapsed="false">
      <c r="A3" s="7" t="s">
        <v>2011</v>
      </c>
      <c r="B3" s="7" t="s">
        <v>2012</v>
      </c>
      <c r="C3" s="7" t="s">
        <v>2013</v>
      </c>
    </row>
    <row r="4" customFormat="false" ht="31.5" hidden="false" customHeight="true" outlineLevel="0" collapsed="false">
      <c r="A4" s="5" t="s">
        <v>2014</v>
      </c>
      <c r="B4" s="5" t="s">
        <v>2015</v>
      </c>
      <c r="C4" s="5" t="s">
        <v>2016</v>
      </c>
    </row>
    <row r="5" customFormat="false" ht="31.5" hidden="false" customHeight="true" outlineLevel="0" collapsed="false">
      <c r="A5" s="5" t="s">
        <v>2014</v>
      </c>
      <c r="B5" s="5" t="s">
        <v>2017</v>
      </c>
      <c r="C5" s="5" t="s">
        <v>2018</v>
      </c>
    </row>
    <row r="6" customFormat="false" ht="31.5" hidden="false" customHeight="true" outlineLevel="0" collapsed="false">
      <c r="A6" s="5" t="s">
        <v>2014</v>
      </c>
      <c r="B6" s="5" t="s">
        <v>2019</v>
      </c>
      <c r="C6" s="5" t="s">
        <v>2020</v>
      </c>
    </row>
    <row r="7" customFormat="false" ht="31.5" hidden="false" customHeight="true" outlineLevel="0" collapsed="false">
      <c r="A7" s="5" t="s">
        <v>2014</v>
      </c>
      <c r="B7" s="5" t="s">
        <v>2021</v>
      </c>
      <c r="C7" s="5" t="s">
        <v>2022</v>
      </c>
    </row>
    <row r="8" customFormat="false" ht="31.5" hidden="false" customHeight="true" outlineLevel="0" collapsed="false">
      <c r="A8" s="5" t="s">
        <v>2023</v>
      </c>
      <c r="B8" s="5" t="s">
        <v>2024</v>
      </c>
      <c r="C8" s="5" t="s">
        <v>2025</v>
      </c>
    </row>
    <row r="9" customFormat="false" ht="31.5" hidden="false" customHeight="true" outlineLevel="0" collapsed="false">
      <c r="A9" s="5" t="s">
        <v>2023</v>
      </c>
      <c r="B9" s="5" t="s">
        <v>2026</v>
      </c>
      <c r="C9" s="5" t="s">
        <v>2027</v>
      </c>
    </row>
    <row r="10" customFormat="false" ht="31.5" hidden="false" customHeight="true" outlineLevel="0" collapsed="false">
      <c r="A10" s="5" t="s">
        <v>2023</v>
      </c>
      <c r="B10" s="5" t="s">
        <v>2028</v>
      </c>
      <c r="C10" s="5" t="s">
        <v>2029</v>
      </c>
    </row>
    <row r="11" customFormat="false" ht="31.5" hidden="false" customHeight="true" outlineLevel="0" collapsed="false">
      <c r="A11" s="5" t="s">
        <v>2023</v>
      </c>
      <c r="B11" s="5" t="s">
        <v>2030</v>
      </c>
      <c r="C11" s="5" t="s">
        <v>2031</v>
      </c>
    </row>
    <row r="12" customFormat="false" ht="31.5" hidden="false" customHeight="true" outlineLevel="0" collapsed="false">
      <c r="A12" s="5" t="s">
        <v>2023</v>
      </c>
      <c r="B12" s="5" t="s">
        <v>2032</v>
      </c>
      <c r="C12" s="5" t="s">
        <v>2033</v>
      </c>
    </row>
    <row r="13" customFormat="false" ht="31.5" hidden="false" customHeight="true" outlineLevel="0" collapsed="false">
      <c r="A13" s="5" t="s">
        <v>1716</v>
      </c>
      <c r="B13" s="5" t="s">
        <v>1781</v>
      </c>
      <c r="C13" s="5" t="s">
        <v>2034</v>
      </c>
    </row>
    <row r="14" customFormat="false" ht="31.5" hidden="false" customHeight="true" outlineLevel="0" collapsed="false">
      <c r="A14" s="5" t="s">
        <v>1716</v>
      </c>
      <c r="B14" s="5" t="s">
        <v>511</v>
      </c>
      <c r="C14" s="5" t="s">
        <v>2035</v>
      </c>
    </row>
    <row r="15" customFormat="false" ht="31.5" hidden="false" customHeight="true" outlineLevel="0" collapsed="false">
      <c r="A15" s="5" t="s">
        <v>1716</v>
      </c>
      <c r="B15" s="5" t="s">
        <v>523</v>
      </c>
      <c r="C15" s="5" t="s">
        <v>2036</v>
      </c>
    </row>
    <row r="16" customFormat="false" ht="31.5" hidden="false" customHeight="true" outlineLevel="0" collapsed="false">
      <c r="A16" s="5" t="s">
        <v>1716</v>
      </c>
      <c r="B16" s="5" t="s">
        <v>617</v>
      </c>
      <c r="C16" s="5" t="s">
        <v>2037</v>
      </c>
    </row>
    <row r="17" customFormat="false" ht="31.5" hidden="false" customHeight="true" outlineLevel="0" collapsed="false">
      <c r="A17" s="5" t="s">
        <v>1716</v>
      </c>
      <c r="B17" s="5" t="s">
        <v>1778</v>
      </c>
      <c r="C17" s="5" t="s">
        <v>2038</v>
      </c>
    </row>
    <row r="18" customFormat="false" ht="31.5" hidden="false" customHeight="true" outlineLevel="0" collapsed="false">
      <c r="A18" s="5" t="s">
        <v>2039</v>
      </c>
      <c r="B18" s="5" t="s">
        <v>2040</v>
      </c>
      <c r="C18" s="5" t="s">
        <v>2041</v>
      </c>
    </row>
    <row r="19" customFormat="false" ht="31.5" hidden="false" customHeight="true" outlineLevel="0" collapsed="false">
      <c r="A19" s="5" t="s">
        <v>2039</v>
      </c>
      <c r="B19" s="5" t="s">
        <v>2042</v>
      </c>
      <c r="C19" s="5" t="s">
        <v>2043</v>
      </c>
    </row>
    <row r="20" customFormat="false" ht="31.5" hidden="false" customHeight="true" outlineLevel="0" collapsed="false">
      <c r="A20" s="5" t="s">
        <v>2039</v>
      </c>
      <c r="B20" s="5" t="s">
        <v>2044</v>
      </c>
      <c r="C20" s="5" t="s">
        <v>2045</v>
      </c>
    </row>
    <row r="21" customFormat="false" ht="31.5" hidden="false" customHeight="true" outlineLevel="0" collapsed="false">
      <c r="A21" s="5" t="s">
        <v>2046</v>
      </c>
      <c r="B21" s="5" t="s">
        <v>2047</v>
      </c>
      <c r="C21" s="5" t="s">
        <v>2048</v>
      </c>
    </row>
    <row r="22" customFormat="false" ht="31.5" hidden="false" customHeight="true" outlineLevel="0" collapsed="false">
      <c r="A22" s="5" t="s">
        <v>2046</v>
      </c>
      <c r="B22" s="5" t="s">
        <v>2049</v>
      </c>
      <c r="C22" s="5" t="s">
        <v>2050</v>
      </c>
    </row>
    <row r="23" customFormat="false" ht="31.5" hidden="false" customHeight="true" outlineLevel="0" collapsed="false">
      <c r="A23" s="5" t="s">
        <v>2046</v>
      </c>
      <c r="B23" s="5" t="s">
        <v>2051</v>
      </c>
      <c r="C23" s="5" t="s">
        <v>2052</v>
      </c>
    </row>
  </sheetData>
  <mergeCells count="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2"/>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56"/>
  </cols>
  <sheetData>
    <row r="1" customFormat="false" ht="15" hidden="false" customHeight="false" outlineLevel="0" collapsed="false">
      <c r="A1" s="6" t="s">
        <v>2053</v>
      </c>
    </row>
    <row r="2" customFormat="false" ht="45.75" hidden="false" customHeight="true" outlineLevel="0" collapsed="false">
      <c r="A2" s="3" t="s">
        <v>2054</v>
      </c>
      <c r="B2" s="3"/>
      <c r="C2" s="3"/>
      <c r="D2" s="3"/>
      <c r="E2" s="3"/>
      <c r="F2" s="3"/>
    </row>
    <row r="3" customFormat="false" ht="15" hidden="false" customHeight="false" outlineLevel="0" collapsed="false">
      <c r="A3" s="7" t="s">
        <v>2055</v>
      </c>
      <c r="B3" s="7" t="s">
        <v>399</v>
      </c>
      <c r="C3" s="7" t="s">
        <v>2056</v>
      </c>
      <c r="D3" s="7" t="s">
        <v>2057</v>
      </c>
      <c r="E3" s="7" t="s">
        <v>2058</v>
      </c>
      <c r="F3" s="7" t="s">
        <v>505</v>
      </c>
    </row>
    <row r="4" customFormat="false" ht="25.5" hidden="false" customHeight="true" outlineLevel="0" collapsed="false">
      <c r="A4" s="5" t="s">
        <v>2059</v>
      </c>
      <c r="B4" s="5" t="s">
        <v>2060</v>
      </c>
      <c r="C4" s="5" t="s">
        <v>2061</v>
      </c>
      <c r="D4" s="5" t="s">
        <v>2062</v>
      </c>
      <c r="E4" s="5" t="s">
        <v>60</v>
      </c>
      <c r="F4" s="5" t="s">
        <v>2063</v>
      </c>
    </row>
    <row r="5" customFormat="false" ht="25.5" hidden="false" customHeight="true" outlineLevel="0" collapsed="false">
      <c r="A5" s="5" t="s">
        <v>2064</v>
      </c>
      <c r="B5" s="5" t="s">
        <v>2060</v>
      </c>
      <c r="C5" s="5" t="s">
        <v>2061</v>
      </c>
      <c r="D5" s="5" t="s">
        <v>2065</v>
      </c>
      <c r="E5" s="5" t="s">
        <v>60</v>
      </c>
      <c r="F5" s="5" t="s">
        <v>2066</v>
      </c>
    </row>
    <row r="6" customFormat="false" ht="25.5" hidden="false" customHeight="true" outlineLevel="0" collapsed="false">
      <c r="A6" s="5" t="s">
        <v>2067</v>
      </c>
      <c r="B6" s="5" t="s">
        <v>2065</v>
      </c>
      <c r="C6" s="5" t="s">
        <v>2068</v>
      </c>
      <c r="D6" s="5" t="s">
        <v>2062</v>
      </c>
      <c r="E6" s="5" t="s">
        <v>60</v>
      </c>
      <c r="F6" s="5" t="s">
        <v>2069</v>
      </c>
    </row>
    <row r="7" customFormat="false" ht="25.5" hidden="false" customHeight="true" outlineLevel="0" collapsed="false">
      <c r="A7" s="5" t="s">
        <v>2070</v>
      </c>
      <c r="B7" s="5" t="s">
        <v>2060</v>
      </c>
      <c r="C7" s="5" t="s">
        <v>2061</v>
      </c>
      <c r="D7" s="5" t="s">
        <v>2065</v>
      </c>
      <c r="E7" s="5" t="s">
        <v>60</v>
      </c>
      <c r="F7" s="5" t="s">
        <v>2071</v>
      </c>
    </row>
    <row r="8" customFormat="false" ht="25.5" hidden="false" customHeight="true" outlineLevel="0" collapsed="false">
      <c r="A8" s="5" t="s">
        <v>2072</v>
      </c>
      <c r="B8" s="5" t="s">
        <v>2060</v>
      </c>
      <c r="C8" s="5" t="s">
        <v>2061</v>
      </c>
      <c r="D8" s="5" t="s">
        <v>2065</v>
      </c>
      <c r="E8" s="5" t="s">
        <v>60</v>
      </c>
      <c r="F8" s="5" t="s">
        <v>2073</v>
      </c>
    </row>
    <row r="9" customFormat="false" ht="25.5" hidden="false" customHeight="true" outlineLevel="0" collapsed="false">
      <c r="A9" s="5" t="s">
        <v>2074</v>
      </c>
      <c r="B9" s="5" t="s">
        <v>2065</v>
      </c>
      <c r="C9" s="5" t="s">
        <v>2068</v>
      </c>
      <c r="D9" s="5" t="s">
        <v>2065</v>
      </c>
      <c r="E9" s="5" t="s">
        <v>60</v>
      </c>
      <c r="F9" s="5" t="s">
        <v>2075</v>
      </c>
    </row>
    <row r="10" customFormat="false" ht="25.5" hidden="false" customHeight="true" outlineLevel="0" collapsed="false">
      <c r="A10" s="5" t="s">
        <v>2076</v>
      </c>
      <c r="B10" s="5" t="s">
        <v>2065</v>
      </c>
      <c r="C10" s="5" t="s">
        <v>2061</v>
      </c>
      <c r="D10" s="5" t="s">
        <v>2062</v>
      </c>
      <c r="E10" s="5" t="s">
        <v>2060</v>
      </c>
      <c r="F10" s="5" t="s">
        <v>2077</v>
      </c>
    </row>
    <row r="11" customFormat="false" ht="25.5" hidden="false" customHeight="true" outlineLevel="0" collapsed="false">
      <c r="A11" s="5" t="s">
        <v>2078</v>
      </c>
      <c r="B11" s="5" t="s">
        <v>2065</v>
      </c>
      <c r="C11" s="5" t="s">
        <v>2061</v>
      </c>
      <c r="D11" s="5" t="s">
        <v>2062</v>
      </c>
      <c r="E11" s="5" t="s">
        <v>2060</v>
      </c>
      <c r="F11" s="5" t="s">
        <v>2079</v>
      </c>
    </row>
    <row r="12" customFormat="false" ht="25.5" hidden="false" customHeight="true" outlineLevel="0" collapsed="false">
      <c r="A12" s="5" t="s">
        <v>2080</v>
      </c>
      <c r="B12" s="5" t="s">
        <v>2065</v>
      </c>
      <c r="C12" s="5" t="s">
        <v>2061</v>
      </c>
      <c r="D12" s="5" t="s">
        <v>2060</v>
      </c>
      <c r="E12" s="5" t="s">
        <v>60</v>
      </c>
      <c r="F12" s="5" t="s">
        <v>2081</v>
      </c>
    </row>
    <row r="13" customFormat="false" ht="25.5" hidden="false" customHeight="true" outlineLevel="0" collapsed="false">
      <c r="A13" s="5" t="s">
        <v>2082</v>
      </c>
      <c r="B13" s="5" t="s">
        <v>2065</v>
      </c>
      <c r="C13" s="5" t="s">
        <v>2068</v>
      </c>
      <c r="D13" s="5" t="s">
        <v>2062</v>
      </c>
      <c r="E13" s="5" t="s">
        <v>60</v>
      </c>
      <c r="F13" s="5" t="s">
        <v>2083</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30"/>
  </cols>
  <sheetData>
    <row r="1" customFormat="false" ht="15" hidden="false" customHeight="false" outlineLevel="0" collapsed="false">
      <c r="A1" s="6" t="s">
        <v>2084</v>
      </c>
    </row>
    <row r="2" customFormat="false" ht="45.75" hidden="false" customHeight="true" outlineLevel="0" collapsed="false">
      <c r="A2" s="3" t="s">
        <v>2085</v>
      </c>
      <c r="B2" s="3"/>
    </row>
    <row r="3" customFormat="false" ht="15" hidden="false" customHeight="false" outlineLevel="0" collapsed="false">
      <c r="A3" s="7" t="s">
        <v>2086</v>
      </c>
      <c r="B3" s="7" t="s">
        <v>2087</v>
      </c>
    </row>
    <row r="4" customFormat="false" ht="27.75" hidden="false" customHeight="true" outlineLevel="0" collapsed="false">
      <c r="A4" s="5" t="s">
        <v>2088</v>
      </c>
      <c r="B4" s="5" t="s">
        <v>2089</v>
      </c>
    </row>
    <row r="5" customFormat="false" ht="27.75" hidden="false" customHeight="true" outlineLevel="0" collapsed="false">
      <c r="A5" s="5" t="s">
        <v>2090</v>
      </c>
      <c r="B5" s="5" t="s">
        <v>2091</v>
      </c>
    </row>
    <row r="6" customFormat="false" ht="27.75" hidden="false" customHeight="true" outlineLevel="0" collapsed="false">
      <c r="A6" s="5" t="s">
        <v>2092</v>
      </c>
      <c r="B6" s="5" t="s">
        <v>2093</v>
      </c>
    </row>
    <row r="7" customFormat="false" ht="27.75" hidden="false" customHeight="true" outlineLevel="0" collapsed="false">
      <c r="A7" s="5" t="s">
        <v>2094</v>
      </c>
      <c r="B7" s="5" t="s">
        <v>2095</v>
      </c>
    </row>
    <row r="8" customFormat="false" ht="27.75" hidden="false" customHeight="true" outlineLevel="0" collapsed="false">
      <c r="A8" s="5" t="s">
        <v>2096</v>
      </c>
      <c r="B8" s="5" t="s">
        <v>2097</v>
      </c>
    </row>
    <row r="9" customFormat="false" ht="27.75" hidden="false" customHeight="true" outlineLevel="0" collapsed="false">
      <c r="A9" s="5" t="s">
        <v>2098</v>
      </c>
      <c r="B9" s="5" t="s">
        <v>2099</v>
      </c>
    </row>
    <row r="10" customFormat="false" ht="27.75" hidden="false" customHeight="true" outlineLevel="0" collapsed="false">
      <c r="A10" s="5" t="s">
        <v>2100</v>
      </c>
      <c r="B10" s="5" t="s">
        <v>2101</v>
      </c>
    </row>
    <row r="11" customFormat="false" ht="27.75" hidden="false" customHeight="true" outlineLevel="0" collapsed="false">
      <c r="A11" s="5" t="s">
        <v>2102</v>
      </c>
      <c r="B11" s="5" t="s">
        <v>2103</v>
      </c>
    </row>
    <row r="12" customFormat="false" ht="27.75" hidden="false" customHeight="true" outlineLevel="0" collapsed="false">
      <c r="A12" s="5" t="s">
        <v>2104</v>
      </c>
      <c r="B12" s="5" t="s">
        <v>2105</v>
      </c>
    </row>
    <row r="13" customFormat="false" ht="27.75" hidden="false" customHeight="true" outlineLevel="0" collapsed="false">
      <c r="A13" s="5" t="s">
        <v>2106</v>
      </c>
      <c r="B13" s="5" t="s">
        <v>2107</v>
      </c>
    </row>
    <row r="14" customFormat="false" ht="27.75" hidden="false" customHeight="true" outlineLevel="0" collapsed="false">
      <c r="A14" s="5" t="s">
        <v>2108</v>
      </c>
      <c r="B14" s="5" t="s">
        <v>2109</v>
      </c>
    </row>
    <row r="15" customFormat="false" ht="27.75" hidden="false" customHeight="true" outlineLevel="0" collapsed="false">
      <c r="A15" s="5" t="s">
        <v>2110</v>
      </c>
      <c r="B15" s="5" t="s">
        <v>2111</v>
      </c>
    </row>
    <row r="16" customFormat="false" ht="27.75" hidden="false" customHeight="true" outlineLevel="0" collapsed="false">
      <c r="A16" s="5" t="s">
        <v>2112</v>
      </c>
      <c r="B16" s="5" t="s">
        <v>2113</v>
      </c>
    </row>
    <row r="17" customFormat="false" ht="27.75" hidden="false" customHeight="true" outlineLevel="0" collapsed="false">
      <c r="A17" s="5" t="s">
        <v>2114</v>
      </c>
      <c r="B17" s="5" t="s">
        <v>2115</v>
      </c>
    </row>
    <row r="18" customFormat="false" ht="27.75" hidden="false" customHeight="true" outlineLevel="0" collapsed="false">
      <c r="A18" s="5" t="s">
        <v>2116</v>
      </c>
      <c r="B18" s="5" t="s">
        <v>2117</v>
      </c>
    </row>
    <row r="19" customFormat="false" ht="27.75" hidden="false" customHeight="true" outlineLevel="0" collapsed="false">
      <c r="A19" s="5" t="s">
        <v>2118</v>
      </c>
      <c r="B19" s="5" t="s">
        <v>2119</v>
      </c>
    </row>
    <row r="20" customFormat="false" ht="27.75" hidden="false" customHeight="true" outlineLevel="0" collapsed="false">
      <c r="A20" s="5" t="s">
        <v>2120</v>
      </c>
      <c r="B20" s="5" t="s">
        <v>2121</v>
      </c>
    </row>
    <row r="21" customFormat="false" ht="27.75" hidden="false" customHeight="true" outlineLevel="0" collapsed="false">
      <c r="A21" s="5" t="s">
        <v>2122</v>
      </c>
      <c r="B21" s="5" t="s">
        <v>2123</v>
      </c>
    </row>
    <row r="22" customFormat="false" ht="27.75" hidden="false" customHeight="true" outlineLevel="0" collapsed="false">
      <c r="A22" s="5" t="s">
        <v>2124</v>
      </c>
      <c r="B22" s="5" t="s">
        <v>2125</v>
      </c>
    </row>
    <row r="23" customFormat="false" ht="27.75" hidden="false" customHeight="true" outlineLevel="0" collapsed="false">
      <c r="A23" s="5" t="s">
        <v>2126</v>
      </c>
      <c r="B23" s="5" t="s">
        <v>2127</v>
      </c>
    </row>
    <row r="24" customFormat="false" ht="27.75" hidden="false" customHeight="true" outlineLevel="0" collapsed="false">
      <c r="A24" s="5" t="s">
        <v>2128</v>
      </c>
      <c r="B24" s="5" t="s">
        <v>2129</v>
      </c>
    </row>
    <row r="25" customFormat="false" ht="27.75" hidden="false" customHeight="true" outlineLevel="0" collapsed="false">
      <c r="A25" s="5" t="s">
        <v>2130</v>
      </c>
      <c r="B25" s="5" t="s">
        <v>2131</v>
      </c>
    </row>
    <row r="26" customFormat="false" ht="27.75" hidden="false" customHeight="true" outlineLevel="0" collapsed="false">
      <c r="A26" s="5" t="s">
        <v>2132</v>
      </c>
      <c r="B26" s="5" t="s">
        <v>2133</v>
      </c>
    </row>
    <row r="27" customFormat="false" ht="27.75" hidden="false" customHeight="true" outlineLevel="0" collapsed="false">
      <c r="A27" s="5" t="s">
        <v>2134</v>
      </c>
      <c r="B27" s="5" t="s">
        <v>2135</v>
      </c>
    </row>
    <row r="28" customFormat="false" ht="27.75" hidden="false" customHeight="true" outlineLevel="0" collapsed="false">
      <c r="A28" s="5" t="s">
        <v>2136</v>
      </c>
      <c r="B28" s="5" t="s">
        <v>2137</v>
      </c>
    </row>
    <row r="29" customFormat="false" ht="27.75" hidden="false" customHeight="true" outlineLevel="0" collapsed="false">
      <c r="A29" s="5" t="s">
        <v>2138</v>
      </c>
      <c r="B29" s="5" t="s">
        <v>2139</v>
      </c>
    </row>
    <row r="30" customFormat="false" ht="27.75" hidden="false" customHeight="true" outlineLevel="0" collapsed="false">
      <c r="A30" s="5" t="s">
        <v>2140</v>
      </c>
      <c r="B30" s="5" t="s">
        <v>2141</v>
      </c>
    </row>
    <row r="31" customFormat="false" ht="27.75" hidden="false" customHeight="true" outlineLevel="0" collapsed="false">
      <c r="A31" s="5" t="s">
        <v>2142</v>
      </c>
      <c r="B31" s="5" t="s">
        <v>2143</v>
      </c>
    </row>
    <row r="32" customFormat="false" ht="27.75" hidden="false" customHeight="true" outlineLevel="0" collapsed="false">
      <c r="A32" s="5" t="s">
        <v>2144</v>
      </c>
      <c r="B32" s="5" t="s">
        <v>2145</v>
      </c>
    </row>
    <row r="33" customFormat="false" ht="27.75" hidden="false" customHeight="true" outlineLevel="0" collapsed="false">
      <c r="A33" s="5" t="s">
        <v>2146</v>
      </c>
      <c r="B33" s="5" t="s">
        <v>2147</v>
      </c>
    </row>
    <row r="34" customFormat="false" ht="27.75" hidden="false" customHeight="true" outlineLevel="0" collapsed="false">
      <c r="A34" s="5" t="s">
        <v>2148</v>
      </c>
      <c r="B34" s="5" t="s">
        <v>2149</v>
      </c>
    </row>
  </sheetData>
  <mergeCells count="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2026-09-20T12:09:11Z</dcterms:created>
  <dc:creator>openpyxl</dc:creator>
  <dc:description/>
  <dc:language>en-US</dc:language>
  <cp:lastModifiedBy/>
  <dcterms:modified xsi:type="dcterms:W3CDTF">2026-09-20T12:09:11Z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