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_Sheet" sheetId="1" state="visible" r:id="rId3"/>
    <sheet name="Version_Control" sheetId="2" state="visible" r:id="rId4"/>
    <sheet name="Context_ReadMe" sheetId="3" state="visible" r:id="rId5"/>
    <sheet name="Sheet_Index" sheetId="4" state="visible" r:id="rId6"/>
    <sheet name="Version_Detail" sheetId="5" state="visible" r:id="rId7"/>
    <sheet name="Pending_Versions" sheetId="6" state="visible" r:id="rId8"/>
    <sheet name="Version_Steps" sheetId="7" state="visible" r:id="rId9"/>
    <sheet name="Manual_Test_Cases" sheetId="8" state="visible" r:id="rId10"/>
    <sheet name="Test_Summary" sheetId="9" state="visible" r:id="rId11"/>
    <sheet name="Defect_Log" sheetId="10" state="visible" r:id="rId12"/>
    <sheet name="Decisions_Open" sheetId="11" state="visible" r:id="rId13"/>
    <sheet name="Glossary" sheetId="12" state="visible" r:id="rId14"/>
    <sheet name="Sign_Off" sheetId="13" state="visible" r:id="rId15"/>
  </sheets>
  <definedNames>
    <definedName function="false" hidden="true" localSheetId="2" name="_xlnm._FilterDatabase" vbProcedure="false">Context_ReadMe!$A$3:$B$11</definedName>
    <definedName function="false" hidden="true" localSheetId="10" name="_xlnm._FilterDatabase" vbProcedure="false">Decisions_Open!$A$3:$F$14</definedName>
    <definedName function="false" hidden="true" localSheetId="9" name="_xlnm._FilterDatabase" vbProcedure="false">Defect_Log!$A$3:$H$33</definedName>
    <definedName function="false" hidden="true" localSheetId="11" name="_xlnm._FilterDatabase" vbProcedure="false">Glossary!$A$3:$B$19</definedName>
    <definedName function="false" hidden="true" localSheetId="7" name="_xlnm._FilterDatabase" vbProcedure="false">Manual_Test_Cases!$A$3:$M$59</definedName>
    <definedName function="false" hidden="true" localSheetId="5" name="_xlnm._FilterDatabase" vbProcedure="false">Pending_Versions!$A$3:$F$17</definedName>
    <definedName function="false" hidden="true" localSheetId="3" name="_xlnm._FilterDatabase" vbProcedure="false">Sheet_Index!$A$3:$D$16</definedName>
    <definedName function="false" hidden="true" localSheetId="1" name="_xlnm._FilterDatabase" vbProcedure="false">Version_Control!$A$3:$E$4</definedName>
    <definedName function="false" hidden="true" localSheetId="4" name="_xlnm._FilterDatabase" vbProcedure="false">Version_Detail!$A$3:$H$24</definedName>
    <definedName function="false" hidden="true" localSheetId="6" name="_xlnm._FilterDatabase" vbProcedure="false">Version_Steps!$A$3:$D$11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<sst xmlns="http://schemas.openxmlformats.org/spreadsheetml/2006/main" count="1343" uniqueCount="896">
  <si>
    <t xml:space="preserve">RevRescue for Stripe — Version Detail and Manual Test Pack</t>
  </si>
  <si>
    <t xml:space="preserve">Document title</t>
  </si>
  <si>
    <t xml:space="preserve">Document ID</t>
  </si>
  <si>
    <t xml:space="preserve">claude_V001_MoPr01-revrescue_stripe_versiondetail_manualtest_20260920_1058</t>
  </si>
  <si>
    <t xml:space="preserve">Document version</t>
  </si>
  <si>
    <t xml:space="preserve">V001</t>
  </si>
  <si>
    <t xml:space="preserve">Date issued</t>
  </si>
  <si>
    <t xml:space="preserve">2026-09-20 10:58</t>
  </si>
  <si>
    <t xml:space="preserve">Project reference</t>
  </si>
  <si>
    <t xml:space="preserve">002-MoPr01-revrescue_stripe-DEV</t>
  </si>
  <si>
    <t xml:space="preserve">Product</t>
  </si>
  <si>
    <t xml:space="preserve">RevRescue — failed-payment recovery app for the Stripe App Marketplace</t>
  </si>
  <si>
    <t xml:space="preserve">Prepared by</t>
  </si>
  <si>
    <t xml:space="preserve">Claude (build and review assistant)</t>
  </si>
  <si>
    <t xml:space="preserve">Prepared for</t>
  </si>
  <si>
    <t xml:space="preserve">Senthil (KP) — product owner and sole decision maker</t>
  </si>
  <si>
    <t xml:space="preserve">Covers</t>
  </si>
  <si>
    <t xml:space="preserve">Tracker versions v001 to v021 (released) and v022 onwards (pending), with 56 manual test cases</t>
  </si>
  <si>
    <t xml:space="preserve">Code release described</t>
  </si>
  <si>
    <t xml:space="preserve">claude_v017_revrescue_server_code_20260916_1916.zip (tracker v021)</t>
  </si>
  <si>
    <t xml:space="preserve">Companion documents</t>
  </si>
  <si>
    <t xml:space="preserve">claude_v021_revrescue_sprint_tracker_traceability_20260916_1916.xlsx; REVIEW_RESPONSE.md, RETENTION.md, OPERATIONS.md and HANDOVER.md inside the code zip; the product diagram (HTML) issued with this pack</t>
  </si>
  <si>
    <t xml:space="preserve">Status</t>
  </si>
  <si>
    <t xml:space="preserve">Issued for review</t>
  </si>
  <si>
    <t xml:space="preserve">Approval required from</t>
  </si>
  <si>
    <t xml:space="preserve">Senthil (see Sign_Off sheet)</t>
  </si>
  <si>
    <t xml:space="preserve">Confidentiality</t>
  </si>
  <si>
    <t xml:space="preserve">Internal. Contains no customer data and no secrets.</t>
  </si>
  <si>
    <t xml:space="preserve">Test environment</t>
  </si>
  <si>
    <t xml:space="preserve">Local machine, Node 22+. The Stripe adapters are parked (decision D14), so tests run against the shipped acceptance harness and an embedded real Postgres, not against Stripe.</t>
  </si>
  <si>
    <t xml:space="preserve">Overall result at issue</t>
  </si>
  <si>
    <t xml:space="preserve">353 of 353 automated tests pass at 100% coverage; 7 review gates pass; money-path mutation score 99.1%. No story is Done, because nothing has run against live Stripe.</t>
  </si>
  <si>
    <t xml:space="preserve">VERSION CONTROL — this document</t>
  </si>
  <si>
    <t xml:space="preserve">Every issue of this pack is recorded here. File naming: claude_V&lt;NNN&gt;_&lt;name&gt;_YYYYMMDD_HHMI.xlsx. Change any content only by issuing a new version row; do not edit an issued row.</t>
  </si>
  <si>
    <t xml:space="preserve">Version</t>
  </si>
  <si>
    <t xml:space="preserve">Date/Time</t>
  </si>
  <si>
    <t xml:space="preserve">Author</t>
  </si>
  <si>
    <t xml:space="preserve">Change description</t>
  </si>
  <si>
    <t xml:space="preserve">Claude</t>
  </si>
  <si>
    <t xml:space="preserve">First issue. Version history for tracker versions v001-v021 with what was done and why; pending versions v022+ with the reason each is pending and who owns it; step-by-step review procedure per version; 56 manual test cases (29 positive, 27 negative) covering every change made in v020 and v021 and the core behaviour carried from earlier versions; test summary, defect log, glossary, decisions and sign-off.</t>
  </si>
  <si>
    <t xml:space="preserve">Issued</t>
  </si>
  <si>
    <t xml:space="preserve">CONTEXT — read this first</t>
  </si>
  <si>
    <t xml:space="preserve">Background needed to use the rest of the workbook. One row per topic.</t>
  </si>
  <si>
    <t xml:space="preserve">Topic</t>
  </si>
  <si>
    <t xml:space="preserve">Detail</t>
  </si>
  <si>
    <t xml:space="preserve">What this product is</t>
  </si>
  <si>
    <t xml:space="preserve">RevRescue recovers failed subscription payments for Stripe merchants: it retries payments intelligently, chases customers by email and WhatsApp, offers a save deal when someone cancels, attributes each recovery to a single action, and bills the merchant a percentage of what it recovered.</t>
  </si>
  <si>
    <t xml:space="preserve">Where the product stands</t>
  </si>
  <si>
    <t xml:space="preserve">The domain logic, the application, the database layer, the scheduler, the money path, the operator plane and the security work are all built and tested. Nothing has ever talked to Stripe. Everything that requires Stripe is parked behind decision D14, which only Senthil can take.</t>
  </si>
  <si>
    <t xml:space="preserve">Two version series</t>
  </si>
  <si>
    <t xml:space="preserve">The tracker version (v001-v021) is the authoritative log of the product. Code zips carry their own numbers; where they map, it is stated (tracker v019 = code v015, v020 = code v016, v021 = code v017).</t>
  </si>
  <si>
    <t xml:space="preserve">How to run anything in this pack</t>
  </si>
  <si>
    <t xml:space="preserve">Unzip the code release, run npm ci, then npm test (the full suite), npm run gates (the seven quality gates) and npm run mutation (the money-path mutation score). Every manual test case in this pack is executed with those commands.</t>
  </si>
  <si>
    <t xml:space="preserve">Why the tests are the manual test surface</t>
  </si>
  <si>
    <t xml:space="preserve">With the Stripe adapters parked, the product cannot be exercised against Stripe, and inventing a fake Stripe would make any result meaningless. The acceptance suite drives real HTTP requests through the real application against a real embedded Postgres, so it is the closest honest substitute. Each test case names the command and what to read.</t>
  </si>
  <si>
    <t xml:space="preserve">Evidence classes (operating rule R9)</t>
  </si>
  <si>
    <t xml:space="preserve">unit = pure logic; integration = real database and/or real request path; contract = proven against Stripe test mode; live, operational, external = beyond that. The product has reached integration. No story is marked Done, because Done requires live Stripe evidence.</t>
  </si>
  <si>
    <t xml:space="preserve">How to use this pack</t>
  </si>
  <si>
    <t xml:space="preserve">Read Version_Detail for what each version delivered and why. Read Pending_Versions for what is not built and the reason. Use Version_Steps to review a version. Use Manual_Test_Cases to test it, recording your result in the Result columns. Log anything you find in Defect_Log.</t>
  </si>
  <si>
    <t xml:space="preserve">What is deliberately not in this pack</t>
  </si>
  <si>
    <t xml:space="preserve">Customer data, secrets, and any claim of production readiness. The product is not live and has no users.</t>
  </si>
  <si>
    <t xml:space="preserve">SHEET INDEX — what each sheet is for</t>
  </si>
  <si>
    <t xml:space="preserve">Every sheet in this workbook, what it contains, how to use it and who maintains it.</t>
  </si>
  <si>
    <t xml:space="preserve">Sheet</t>
  </si>
  <si>
    <t xml:space="preserve">What it contains</t>
  </si>
  <si>
    <t xml:space="preserve">How to use it</t>
  </si>
  <si>
    <t xml:space="preserve">Owner</t>
  </si>
  <si>
    <t xml:space="preserve">Cover_Sheet</t>
  </si>
  <si>
    <t xml:space="preserve">Identity of the document, what it covers and the headline result.</t>
  </si>
  <si>
    <t xml:space="preserve">Read first. Check you have the right document version.</t>
  </si>
  <si>
    <t xml:space="preserve">—</t>
  </si>
  <si>
    <t xml:space="preserve">Version_Control</t>
  </si>
  <si>
    <t xml:space="preserve">The issue history of this workbook.</t>
  </si>
  <si>
    <t xml:space="preserve">Add a row for every re-issue; never edit an issued row.</t>
  </si>
  <si>
    <t xml:space="preserve">Context_ReadMe</t>
  </si>
  <si>
    <t xml:space="preserve">What the product is, where it stands, how to run anything here.</t>
  </si>
  <si>
    <t xml:space="preserve">Read before testing.</t>
  </si>
  <si>
    <t xml:space="preserve">Sheet_Index</t>
  </si>
  <si>
    <t xml:space="preserve">This sheet: what each sheet is for and how to use it.</t>
  </si>
  <si>
    <t xml:space="preserve">Use as the map.</t>
  </si>
  <si>
    <t xml:space="preserve">Version_Detail</t>
  </si>
  <si>
    <t xml:space="preserve">Every released version: what was done and why it was done, with the evidence reached.</t>
  </si>
  <si>
    <t xml:space="preserve">Read top to bottom for the story of the build, or filter by version.</t>
  </si>
  <si>
    <t xml:space="preserve">Pending_Versions</t>
  </si>
  <si>
    <t xml:space="preserve">Everything not built, why it is pending, what blocks it and who owns the unblock.</t>
  </si>
  <si>
    <t xml:space="preserve">Filter by Owner to see what is waiting on you.</t>
  </si>
  <si>
    <t xml:space="preserve">Senthil</t>
  </si>
  <si>
    <t xml:space="preserve">Version_Steps</t>
  </si>
  <si>
    <t xml:space="preserve">A step-by-step procedure to review each version, in order.</t>
  </si>
  <si>
    <t xml:space="preserve">Follow the steps for the version you are checking. Steps are commands you can paste.</t>
  </si>
  <si>
    <t xml:space="preserve">Reviewer</t>
  </si>
  <si>
    <t xml:space="preserve">Manual_Test_Cases</t>
  </si>
  <si>
    <t xml:space="preserve">56 test cases: name, description, preconditions, numbered steps, expected result, and columns for your result.</t>
  </si>
  <si>
    <t xml:space="preserve">Execute and fill Result, Tester, Date, Comment. Filter by Type for positive or negative, or by Version.</t>
  </si>
  <si>
    <t xml:space="preserve">Tester</t>
  </si>
  <si>
    <t xml:space="preserve">Test_Summary</t>
  </si>
  <si>
    <t xml:space="preserve">Counts by version and by type, and pass/fail totals driven by formulas from Manual_Test_Cases.</t>
  </si>
  <si>
    <t xml:space="preserve">Read after a test run; it updates itself from the Result column.</t>
  </si>
  <si>
    <t xml:space="preserve">Defect_Log</t>
  </si>
  <si>
    <t xml:space="preserve">Every defect found across the build, including the ones found while fixing others, with status.</t>
  </si>
  <si>
    <t xml:space="preserve">Add a row for anything you find. Keep the finding wording factual.</t>
  </si>
  <si>
    <t xml:space="preserve">Decisions_Open</t>
  </si>
  <si>
    <t xml:space="preserve">The decisions only Senthil can take, and what each unblocks.</t>
  </si>
  <si>
    <t xml:space="preserve">This is the shortest path to progress.</t>
  </si>
  <si>
    <t xml:space="preserve">Glossary</t>
  </si>
  <si>
    <t xml:space="preserve">Terms used in this pack and in the code.</t>
  </si>
  <si>
    <t xml:space="preserve">Look up anything unfamiliar.</t>
  </si>
  <si>
    <t xml:space="preserve">Sign_Off</t>
  </si>
  <si>
    <t xml:space="preserve">Review and approval record for this pack.</t>
  </si>
  <si>
    <t xml:space="preserve">Sign when satisfied; note conditions.</t>
  </si>
  <si>
    <t xml:space="preserve">VERSION DETAIL — what was done, and why</t>
  </si>
  <si>
    <t xml:space="preserve">One row per released version, oldest first. "Why" records the reason the work was done at that point, which is usually a decision, a review finding or a defect. Evidence is the strongest class reached at that version (rule R9). No row is Done: Done needs live Stripe evidence (DEC-04).</t>
  </si>
  <si>
    <t xml:space="preserve">Code release</t>
  </si>
  <si>
    <t xml:space="preserve">Headline</t>
  </si>
  <si>
    <t xml:space="preserve">What was done</t>
  </si>
  <si>
    <t xml:space="preserve">Why it was done</t>
  </si>
  <si>
    <t xml:space="preserve">Evidence reached</t>
  </si>
  <si>
    <t xml:space="preserve">v001</t>
  </si>
  <si>
    <t xml:space="preserve">2026-09-10 19:42</t>
  </si>
  <si>
    <t xml:space="preserve">Tracker and traceability created</t>
  </si>
  <si>
    <t xml:space="preserve">Sprint tracker log, S0 task board, formula-driven sprint rollup, 100-story traceability matrix (spec module -&gt; epic -&gt; story -&gt; screen -&gt; NFR -&gt; verification), RAID carryover and the D7 gate checklist.</t>
  </si>
  <si>
    <t xml:space="preserve">The product is built solo against a fixed portfolio order; without one live record of what is built and what is claimed, nothing can be audited later.</t>
  </si>
  <si>
    <t xml:space="preserve">Workbook only</t>
  </si>
  <si>
    <t xml:space="preserve">Released</t>
  </si>
  <si>
    <t xml:space="preserve">v002</t>
  </si>
  <si>
    <t xml:space="preserve">2026-09-10 20:05</t>
  </si>
  <si>
    <t xml:space="preserve">PRD drafted (T-01)</t>
  </si>
  <si>
    <t xml:space="preserve">An 11-section PRD including S0-verified platform requirements, the outcome-pricing spec as declared usage-based pricing, an NFR-to-story verification map and the discovery question set.</t>
  </si>
  <si>
    <t xml:space="preserve">A written specification was needed before any code so that every later story could be traced to a requirement.</t>
  </si>
  <si>
    <t xml:space="preserve">Document review</t>
  </si>
  <si>
    <t xml:space="preserve">v003</t>
  </si>
  <si>
    <t xml:space="preserve">2026-09-10 20:18</t>
  </si>
  <si>
    <t xml:space="preserve">Stripe Apps Agreement read in full (T-04)</t>
  </si>
  <si>
    <t xml:space="preserve">Logged the obligations that constrain the design: no personal data in Stripe Apps storage, 72-hour breach notification, export self-classification, 30-day removal notice, annual compliance review.</t>
  </si>
  <si>
    <t xml:space="preserve">Agreement terms change what may be built and stored; reading them late is how products get rejected at listing.</t>
  </si>
  <si>
    <t xml:space="preserve">v004</t>
  </si>
  <si>
    <t xml:space="preserve">2026-09-10 20:42</t>
  </si>
  <si>
    <t xml:space="preserve">S1 foundation under a 100% test gate (D13 logged)</t>
  </si>
  <si>
    <t xml:space="preserve">Install, uninstall, token and telemetry logic with 26 tests; the quality rule was raised to 100% automated coverage per code unit.</t>
  </si>
  <si>
    <t xml:space="preserve">Senthil parked five-user discovery (D13), so building continued on everything that did not depend on it.</t>
  </si>
  <si>
    <t xml:space="preserve">unit</t>
  </si>
  <si>
    <t xml:space="preserve">v005</t>
  </si>
  <si>
    <t xml:space="preserve">2026-09-10 20:48</t>
  </si>
  <si>
    <t xml:space="preserve">Seven domain engines (D14 logged)</t>
  </si>
  <si>
    <t xml:space="preserve">Retry (including payday-aware), dunning with a locked compliance footer and test mode, save-offer guardrails, conservative attribution, outcome fee, grace mode and plan limits.</t>
  </si>
  <si>
    <t xml:space="preserve">Senthil parked the Stripe SDK adapters (D14), so all platform-independent logic was built first.</t>
  </si>
  <si>
    <t xml:space="preserve">v006</t>
  </si>
  <si>
    <t xml:space="preserve">2026-09-10 21:06</t>
  </si>
  <si>
    <t xml:space="preserve">Roles, grace, limits, cancellation and health</t>
  </si>
  <si>
    <t xml:space="preserve">Role matrix with typed enforcement, grace/read-only with the day 0/3/6 cadence, plan limits with 80%/100% prompts, the cancellation state machine and a weighted health score.</t>
  </si>
  <si>
    <t xml:space="preserve">These are the rules the product sells; each was built as pure logic so it could be proven without Stripe.</t>
  </si>
  <si>
    <t xml:space="preserve">v007</t>
  </si>
  <si>
    <t xml:space="preserve">2026-09-10 22:00</t>
  </si>
  <si>
    <t xml:space="preserve">Launch content pack (28 files)</t>
  </si>
  <si>
    <t xml:space="preserve">Listing copy variants, pricing page and FAQ with the fee rate left as a flagged placeholder, security/trust page, help centre articles.</t>
  </si>
  <si>
    <t xml:space="preserve">Listing content has review lead time, and writing it early exposes claims the code must then back.</t>
  </si>
  <si>
    <t xml:space="preserve">content draft</t>
  </si>
  <si>
    <t xml:space="preserve">v008</t>
  </si>
  <si>
    <t xml:space="preserve">2026-09-13 11:32</t>
  </si>
  <si>
    <t xml:space="preserve">First adversarial audit: the application layer was missing</t>
  </si>
  <si>
    <t xml:space="preserve">Found 10 defects in code at 100% coverage, two structural: there was no HTTP application behind any surface, and no database schema behind any store. Built the integration layer.</t>
  </si>
  <si>
    <t xml:space="preserve">Coverage measured execution of engines that nothing called. An audit was the only way to see it.</t>
  </si>
  <si>
    <t xml:space="preserve">unit + integration</t>
  </si>
  <si>
    <t xml:space="preserve">v009</t>
  </si>
  <si>
    <t xml:space="preserve">2026-09-13 12:05</t>
  </si>
  <si>
    <t xml:space="preserve">Verification against live Stripe documentation</t>
  </si>
  <si>
    <t xml:space="preserve">Corrected an invalid pinned API version, fixed webhook handling that verified the wrong thing, and ported the review gates.</t>
  </si>
  <si>
    <t xml:space="preserve">Assumptions about the platform had never been checked against its published behaviour.</t>
  </si>
  <si>
    <t xml:space="preserve">v010</t>
  </si>
  <si>
    <t xml:space="preserve">2026-09-13 16:24</t>
  </si>
  <si>
    <t xml:space="preserve">Cold review pass 3 (6 findings)</t>
  </si>
  <si>
    <t xml:space="preserve">Uninstall deleted nothing (it scheduled through an unimplemented interface); the purge registry was reachable only from an authenticated route. All six fixed with pinned regressions.</t>
  </si>
  <si>
    <t xml:space="preserve">A recurring failure pattern: a promise wired to an interface nobody implemented.</t>
  </si>
  <si>
    <t xml:space="preserve">integration</t>
  </si>
  <si>
    <t xml:space="preserve">v011</t>
  </si>
  <si>
    <t xml:space="preserve">2026-09-13 16:29</t>
  </si>
  <si>
    <t xml:space="preserve">Review gates packaged (at-review-gates v1.0.0)</t>
  </si>
  <si>
    <t xml:space="preserve">Three drop-in CI gates: reachability, published claims and config drift, with their own tests at 100%.</t>
  </si>
  <si>
    <t xml:space="preserve">The same defect classes recur across the 12-product portfolio; a portable gate stops them once.</t>
  </si>
  <si>
    <t xml:space="preserve">v012</t>
  </si>
  <si>
    <t xml:space="preserve">2026-09-13 16:33</t>
  </si>
  <si>
    <t xml:space="preserve">Gates dogfooded — found two more</t>
  </si>
  <si>
    <t xml:space="preserve">The cancellation flow was genuinely orphaned and had passed only because it was whitelisted; the whitelist was removed and the flow wired up.</t>
  </si>
  <si>
    <t xml:space="preserve">A whitelist is a place to hide a failure.</t>
  </si>
  <si>
    <t xml:space="preserve">v013</t>
  </si>
  <si>
    <t xml:space="preserve">2026-09-13 16:36</t>
  </si>
  <si>
    <t xml:space="preserve">Park audit (rule L-RR8)</t>
  </si>
  <si>
    <t xml:space="preserve">Every parked item was re-tested against who parked it and why. Token encryption and signed sessions had been parked by assumption, not by decision, and were built.</t>
  </si>
  <si>
    <t xml:space="preserve">Work was being blocked by inherited assumptions rather than by Senthil decisions.</t>
  </si>
  <si>
    <t xml:space="preserve">v014</t>
  </si>
  <si>
    <t xml:space="preserve">2026-09-13 16:41</t>
  </si>
  <si>
    <t xml:space="preserve">Postgres adapters proven against real Postgres</t>
  </si>
  <si>
    <t xml:space="preserve">Adapters built and tested against an embedded real Postgres rather than a fake client. Two defects surfaced on first contact, including multi-statement DDL through a prepared statement.</t>
  </si>
  <si>
    <t xml:space="preserve">A fake database agrees with whatever the code does; a real one does not.</t>
  </si>
  <si>
    <t xml:space="preserve">v015</t>
  </si>
  <si>
    <t xml:space="preserve">2026-09-13 17:22</t>
  </si>
  <si>
    <t xml:space="preserve">Backup/restore drill, load harness, deploy gate</t>
  </si>
  <si>
    <t xml:space="preserve">Stories that had also been parked behind D14 although none of them touch Stripe.</t>
  </si>
  <si>
    <t xml:space="preserve">Applying the park audit to the rest of the sprint.</t>
  </si>
  <si>
    <t xml:space="preserve">v016</t>
  </si>
  <si>
    <t xml:space="preserve">2026-09-13 19:34</t>
  </si>
  <si>
    <t xml:space="preserve">Status page and demo mode</t>
  </si>
  <si>
    <t xml:space="preserve">A status page whose component state is derived from open incidents, and a demo mode that refuses any account without the demo_ prefix.</t>
  </si>
  <si>
    <t xml:space="preserve">A status page that can claim all-operational during an incident is worse than none.</t>
  </si>
  <si>
    <t xml:space="preserve">v017</t>
  </si>
  <si>
    <t xml:space="preserve">2026-09-13 20:05</t>
  </si>
  <si>
    <t xml:space="preserve">Cold review pass 4 (4 defects)</t>
  </si>
  <si>
    <t xml:space="preserve">The webhook deduper marked an event seen before processing, so a failed handler lost Stripe retries permanently. Fixed with two-phase claim/commit.</t>
  </si>
  <si>
    <t xml:space="preserve">Modules written the same day had only their own tests.</t>
  </si>
  <si>
    <t xml:space="preserve">v018</t>
  </si>
  <si>
    <t xml:space="preserve">2026-09-13 20:26</t>
  </si>
  <si>
    <t xml:space="preserve">Cold review pass 5: there was no scheduler</t>
  </si>
  <si>
    <t xml:space="preserve">The retry queue was written to but never drained, and dunning could only ever send its day-0 step. A pull-based idempotent scheduler was built.</t>
  </si>
  <si>
    <t xml:space="preserve">Cross-module behaviour had never been reviewed, only individual modules.</t>
  </si>
  <si>
    <t xml:space="preserve">v019</t>
  </si>
  <si>
    <t xml:space="preserve">2026-09-13 22:47</t>
  </si>
  <si>
    <t xml:space="preserve">code v015</t>
  </si>
  <si>
    <t xml:space="preserve">Nothing bound a port; a real server was built</t>
  </si>
  <si>
    <t xml:space="preserve">start() returned a router that no process served. Built a real HTTP server with body limits, timeouts, graceful drain and correlation ids. 286 tests, 100% coverage.</t>
  </si>
  <si>
    <t xml:space="preserve">Patterns from the portfolio first independent external review of a sibling product.</t>
  </si>
  <si>
    <t xml:space="preserve">v020</t>
  </si>
  <si>
    <t xml:space="preserve">2026-09-16 18:07</t>
  </si>
  <si>
    <t xml:space="preserve">code v016</t>
  </si>
  <si>
    <t xml:space="preserve">Independent review V001 answered (24 findings)</t>
  </si>
  <si>
    <t xml:space="preserve">All 12 review findings verified against v015 first, then fixed: £0 recoveries, no success handler, statements that re-billed all history, no idempotency keys, unenforced plan limits, a regex claims gate, hardcoded settings, in-process dedupe, boolean-trusting config, no migration ledger, no session revocation. Twelve more found while verifying (V-01 to V-12), including dunning that never stopped when a customer paid and a delete that left customer emails behind.</t>
  </si>
  <si>
    <t xml:space="preserve">The first independent review of this product. Senthil approved scope A+B+C: every finding that does not need Stripe.</t>
  </si>
  <si>
    <t xml:space="preserve">integration (331 tests, 100%, 7 gates)</t>
  </si>
  <si>
    <t xml:space="preserve">v021</t>
  </si>
  <si>
    <t xml:space="preserve">2026-09-16 19:16</t>
  </si>
  <si>
    <t xml:space="preserve">code v017</t>
  </si>
  <si>
    <t xml:space="preserve">D1-D5: mutation testing, dead letters, isolation, audit integrity, content fixes</t>
  </si>
  <si>
    <t xml:space="preserve">Mutation testing of the money path gated at 85% (final 99.1%); a dead-letter queue with an authenticated operator plane; row-level security forced on all 20 account tables; a hash-chained audit trail with retention and redaction; corrected help and FAQ wording. Found V-14: test-mode dunning was wired to the live WhatsApp adapter.</t>
  </si>
  <si>
    <t xml:space="preserve">Senthil approved D1-D5 at 18:18 as the remaining work that does not need Stripe.</t>
  </si>
  <si>
    <t xml:space="preserve">integration + unit (353 tests, 100%, 7 gates, mutation 99.1%)</t>
  </si>
  <si>
    <t xml:space="preserve">PENDING VERSIONS — what is not built and why</t>
  </si>
  <si>
    <t xml:space="preserve">Everything still to build, grouped by the version that would carry it. "Blocked by" names the decision or dependency; "Owner" is who must act. Items marked "Not blocked" are simply ranked below the Stripe work.</t>
  </si>
  <si>
    <t xml:space="preserve">Planned version</t>
  </si>
  <si>
    <t xml:space="preserve">What it would deliver</t>
  </si>
  <si>
    <t xml:space="preserve">Why it is pending</t>
  </si>
  <si>
    <t xml:space="preserve">Blocked by</t>
  </si>
  <si>
    <t xml:space="preserve">What unblocks it</t>
  </si>
  <si>
    <t xml:space="preserve">v022</t>
  </si>
  <si>
    <t xml:space="preserve">Stripe adapters: OAuth code exchange, token refresh, webhook signature verification, the retry executor that sends the idempotency key, charge-to-invoice lookup, and the email/WhatsApp/Slack senders.</t>
  </si>
  <si>
    <t xml:space="preserve">Every adapter talks to Stripe. They were parked by Senthil, not by the build, and faking them would make every test meaningless.</t>
  </si>
  <si>
    <t xml:space="preserve">DEC-04 (unpark D14)</t>
  </si>
  <si>
    <t xml:space="preserve">A Stripe account and dev credentials, then S14 can start.</t>
  </si>
  <si>
    <t xml:space="preserve">Contract test proving a replayed retry charges a card once (the P-RR05 acceptance criterion).</t>
  </si>
  <si>
    <t xml:space="preserve">The idempotency key is generated, stored before the call and re-read after a crash, but only Stripe can prove it honours the key.</t>
  </si>
  <si>
    <t xml:space="preserve">DEC-04</t>
  </si>
  <si>
    <t xml:space="preserve">Stripe test mode.</t>
  </si>
  <si>
    <t xml:space="preserve">Validating the event handlers against real Stripe payloads.</t>
  </si>
  <si>
    <t xml:space="preserve">The handlers were written against published documentation. One field (the decline reason) is known not to be an invoice field and is enriched by the adapter.</t>
  </si>
  <si>
    <t xml:space="preserve">v023</t>
  </si>
  <si>
    <t xml:space="preserve">Stripe app manifest generated from the declared event list, and the Dashboard UI extension (S16).</t>
  </si>
  <si>
    <t xml:space="preserve">The manifest needs an app id from Stripe; the UI extension only runs inside the Stripe Dashboard.</t>
  </si>
  <si>
    <t xml:space="preserve">Stripe app registration.</t>
  </si>
  <si>
    <t xml:space="preserve">v024</t>
  </si>
  <si>
    <t xml:space="preserve">Holdback experiment measuring incrementality (S17).</t>
  </si>
  <si>
    <t xml:space="preserve">The product currently bills any payment it acted on first. Whether a reminded customer would have paid anyway cannot be proven without withholding treatment from a control group.</t>
  </si>
  <si>
    <t xml:space="preserve">Decision 4 (authorise the holdback) and decision 2 (pricing model)</t>
  </si>
  <si>
    <t xml:space="preserve">Written authorisation; it changes what the FAQ may claim.</t>
  </si>
  <si>
    <t xml:space="preserve">Final fee percentage and the single-price rule across listing, app and pricing page.</t>
  </si>
  <si>
    <t xml:space="preserve">The fee rate is a flagged placeholder everywhere. The drift gate rule that would enforce one price is written but commented out until the number exists.</t>
  </si>
  <si>
    <t xml:space="preserve">Decision 2 (pricing model) and decision 3 (confirm with Stripe in writing)</t>
  </si>
  <si>
    <t xml:space="preserve">A decided price, confirmed by Stripe partnerships.</t>
  </si>
  <si>
    <t xml:space="preserve">v025</t>
  </si>
  <si>
    <t xml:space="preserve">Email/WhatsApp sending infrastructure: ESP account, domain authentication, WhatsApp Business verification (S18).</t>
  </si>
  <si>
    <t xml:space="preserve">External providers must be chosen and verified; inbox placement and consent evidence cannot be produced without them.</t>
  </si>
  <si>
    <t xml:space="preserve">DEC-04 and provider choice</t>
  </si>
  <si>
    <t xml:space="preserve">Accounts opened and domains verified.</t>
  </si>
  <si>
    <t xml:space="preserve">v026</t>
  </si>
  <si>
    <t xml:space="preserve">Production database roles, non-superuser login, and re-running the isolation suite on production Postgres (LC-29).</t>
  </si>
  <si>
    <t xml:space="preserve">Row-level security is proven on an embedded Postgres that runs as superuser beneath the scoped roles. It must be re-proven where the application login is a real, restricted role.</t>
  </si>
  <si>
    <t xml:space="preserve">Hosting choice</t>
  </si>
  <si>
    <t xml:space="preserve">A provisioned production database.</t>
  </si>
  <si>
    <t xml:space="preserve">SRE work: SLOs, log platform and its retention, an external anchor for the audit chain, a shared rate limiter (S19).</t>
  </si>
  <si>
    <t xml:space="preserve">These need infrastructure that does not exist yet; the in-process rate limiter is per instance by design and says so.</t>
  </si>
  <si>
    <t xml:space="preserve">Infrastructure decisions.</t>
  </si>
  <si>
    <t xml:space="preserve">v027</t>
  </si>
  <si>
    <t xml:space="preserve">Penetration test and the tenant-isolation suite run by a third party (S20).</t>
  </si>
  <si>
    <t xml:space="preserve">An external party must be engaged; a self-run test is not evidence for a listing review.</t>
  </si>
  <si>
    <t xml:space="preserve">Budget and vendor choice</t>
  </si>
  <si>
    <t xml:space="preserve">Vendor engaged.</t>
  </si>
  <si>
    <t xml:space="preserve">v028</t>
  </si>
  <si>
    <t xml:space="preserve">Marketplace listing submission and launch (S21).</t>
  </si>
  <si>
    <t xml:space="preserve">Listing requires the manifest, the confirmed price, the pen test and the finished content.</t>
  </si>
  <si>
    <t xml:space="preserve">All of the above</t>
  </si>
  <si>
    <t xml:space="preserve">Everything above completed.</t>
  </si>
  <si>
    <t xml:space="preserve">v0xx</t>
  </si>
  <si>
    <t xml:space="preserve">Operator user interface and paging for dead letters (RR-P039).</t>
  </si>
  <si>
    <t xml:space="preserve">The operator plane is API-only. It works and is audited, but an operator needs a screen.</t>
  </si>
  <si>
    <t xml:space="preserve">Not blocked — simply not yet built; ranked below the Stripe work.</t>
  </si>
  <si>
    <t xml:space="preserve">Build</t>
  </si>
  <si>
    <t xml:space="preserve">Can be built at any time.</t>
  </si>
  <si>
    <t xml:space="preserve">SSO/SCIM for merchant teams (RR-P044).</t>
  </si>
  <si>
    <t xml:space="preserve">Enterprise buyers ask for it; no current merchant does, and it is large.</t>
  </si>
  <si>
    <t xml:space="preserve">Not blocked — ranked below launch scope</t>
  </si>
  <si>
    <t xml:space="preserve">A merchant requirement or an enterprise deal.</t>
  </si>
  <si>
    <t xml:space="preserve">D5 content wording published, retention periods confirmed, operator allowlist named.</t>
  </si>
  <si>
    <t xml:space="preserve">The corrected help and FAQ text is in the code but treated as unapproved; retention periods and operator names are decisions.</t>
  </si>
  <si>
    <t xml:space="preserve">DEC-D5, DEC-RET, DEC-OPS</t>
  </si>
  <si>
    <t xml:space="preserve">Three short approvals.</t>
  </si>
  <si>
    <t xml:space="preserve">VERSION STEPS — how to review each version</t>
  </si>
  <si>
    <t xml:space="preserve">A review procedure per version group, in order. Steps are commands you can paste into a terminal in the unzipped code folder. Expected result is what you should see if that version is intact.</t>
  </si>
  <si>
    <t xml:space="preserve">Version(s)</t>
  </si>
  <si>
    <t xml:space="preserve">What you are reviewing</t>
  </si>
  <si>
    <t xml:space="preserve">Steps</t>
  </si>
  <si>
    <t xml:space="preserve">Expected result</t>
  </si>
  <si>
    <t xml:space="preserve">All</t>
  </si>
  <si>
    <t xml:space="preserve">Prepare the environment</t>
  </si>
  <si>
    <t xml:space="preserve">1. Download claude_v017_revrescue_server_code_20260916_1916.zip.
2. Unzip it and open a terminal in the revrescue folder.
3. Run: npm ci
4. Run: npx tsc --noEmit
5. Run: npm test</t>
  </si>
  <si>
    <t xml:space="preserve">Dependencies install, the type check is silent, and 353 tests pass at 100% coverage.</t>
  </si>
  <si>
    <t xml:space="preserve">v001-v007</t>
  </si>
  <si>
    <t xml:space="preserve">Review the foundations</t>
  </si>
  <si>
    <t xml:space="preserve">1. Open the companion tracker (v021) and read Version_Control rows v001 to v007.
2. Open content/ in the code zip and read the listing copy, pricing FAQ and help articles.
3. Check that the fee rate appears as a placeholder, not a number.</t>
  </si>
  <si>
    <t xml:space="preserve">The written specification, the agreement obligations and the launch content all exist. The price is still a placeholder pending decision 2.</t>
  </si>
  <si>
    <t xml:space="preserve">v008-v012</t>
  </si>
  <si>
    <t xml:space="preserve">Review the audits and the gates</t>
  </si>
  <si>
    <t xml:space="preserve">1. Read REVIEW_RESPONSE.md in the code zip.
2. Run: npm run gates
3. Add a file src/orphan.ts containing export const x = 1; and run npm run gates again.
4. Delete the file.</t>
  </si>
  <si>
    <t xml:space="preserve">Seven gates pass; with the orphan present, reachability fails and the command exits 1.</t>
  </si>
  <si>
    <t xml:space="preserve">v013-v018</t>
  </si>
  <si>
    <t xml:space="preserve">Review the park audit and the scheduler</t>
  </si>
  <si>
    <t xml:space="preserve">1. Open src/scheduler.ts and read the tick: retries, dunning, grace notices, billing run.
2. Run: npm test -- --test-name-pattern="GAP-RR3"
3. Run: npm test -- --test-name-pattern="V-04"</t>
  </si>
  <si>
    <t xml:space="preserve">The scheduler drains the queue it writes to, dunning advances through days 2, 4 and 7, and work is claimed atomically.</t>
  </si>
  <si>
    <t xml:space="preserve">Review the server</t>
  </si>
  <si>
    <t xml:space="preserve">1. Open src/server.ts and read the body cap, timeouts and drain.
2. Run: npm test -- --test-name-pattern="security headers"
3. Run: npm test -- --test-name-pattern="PATH only"</t>
  </si>
  <si>
    <t xml:space="preserve">A real HTTP server exists; every response carries security headers; logs record the path only.</t>
  </si>
  <si>
    <t xml:space="preserve">Review the independent-review response (money and durability)</t>
  </si>
  <si>
    <t xml:space="preserve">1. Read the findings table in REVIEW_RESPONSE.md.
2. Run: npm test -- --test-name-pattern="P-RR01"
3. Run: npm test -- --test-name-pattern="P-RR03"
4. Run: npm test -- --test-name-pattern="P-RR05"
5. Run: npm test -- --test-name-pattern="V-01"
6. Run: npm run gates and read the money-invariants line.</t>
  </si>
  <si>
    <t xml:space="preserve">Recoveries carry real amounts; statements are per period and immutable; a crashed retry does not charge twice; dunning stops when the customer pays; 400 random billing histories hold every money rule.</t>
  </si>
  <si>
    <t xml:space="preserve">Review isolation, audit integrity, dead letters and the operator plane</t>
  </si>
  <si>
    <t xml:space="preserve">1. Read OPERATIONS.md and RETENTION.md.
2. Run: npm test -- --test-name-pattern="RR-P046"
3. Run: npm test -- --test-name-pattern="hash-chained"
4. Run: npm test -- --test-name-pattern="RR-P021"
5. Run: npm test -- --test-name-pattern="V-14"
6. Run: npm run mutation (about 8 minutes).</t>
  </si>
  <si>
    <t xml:space="preserve">Row-level security is forced on every account table; the audit trail detects tampering; parked work is dead-lettered and replayable by an authenticated operator; test mode sends nothing live; the mutation score is at least 85% (recorded: 99.1%).</t>
  </si>
  <si>
    <t xml:space="preserve">v022+</t>
  </si>
  <si>
    <t xml:space="preserve">Check what is still pending</t>
  </si>
  <si>
    <t xml:space="preserve">1. Open the Pending_Versions sheet.
2. Confirm each blocker is still accurate.
3. Take the decisions listed in Decisions_Open, starting with DEC-04.</t>
  </si>
  <si>
    <t xml:space="preserve">Every pending item is traceable to a decision or a dependency, and none of them is waiting on the build.</t>
  </si>
  <si>
    <t xml:space="preserve">MANUAL TEST CASES — 56 cases (29 positive, 27 negative)</t>
  </si>
  <si>
    <t xml:space="preserve">One row per test case. Preconditions, numbered steps and the expected result are written so that someone who has not seen the code can execute them. Record your outcome in Result, Tester, Date and Comment. Result must be Pass, Fail, Blocked or Not run.</t>
  </si>
  <si>
    <t xml:space="preserve">Test ID</t>
  </si>
  <si>
    <t xml:space="preserve">Area</t>
  </si>
  <si>
    <t xml:space="preserve">Type</t>
  </si>
  <si>
    <t xml:space="preserve">Test case name</t>
  </si>
  <si>
    <t xml:space="preserve">Description</t>
  </si>
  <si>
    <t xml:space="preserve">Preconditions</t>
  </si>
  <si>
    <t xml:space="preserve">Result</t>
  </si>
  <si>
    <t xml:space="preserve">Date</t>
  </si>
  <si>
    <t xml:space="preserve">Comment</t>
  </si>
  <si>
    <t xml:space="preserve">TC-001</t>
  </si>
  <si>
    <t xml:space="preserve">Environment</t>
  </si>
  <si>
    <t xml:space="preserve">Positive</t>
  </si>
  <si>
    <t xml:space="preserve">Install dependencies and build</t>
  </si>
  <si>
    <t xml:space="preserve">Confirms the shipped zip builds on a clean machine.</t>
  </si>
  <si>
    <t xml:space="preserve">Node 22+, network access to npm.</t>
  </si>
  <si>
    <t xml:space="preserve">1. Unzip claude_v017_revrescue_server_code_20260916_1916.zip.
2. cd revrescue.
3. Run: npm ci
4. Run: npx tsc --noEmit</t>
  </si>
  <si>
    <t xml:space="preserve">npm ci completes without error. The type check prints nothing and exits 0.</t>
  </si>
  <si>
    <t xml:space="preserve">TC-002</t>
  </si>
  <si>
    <t xml:space="preserve">Full suite and coverage gate</t>
  </si>
  <si>
    <t xml:space="preserve">Confirms every test passes and the 100% coverage gate holds.</t>
  </si>
  <si>
    <t xml:space="preserve">TC-001 done.</t>
  </si>
  <si>
    <t xml:space="preserve">1. Run: npm test
2. Read the summary lines at the end.</t>
  </si>
  <si>
    <t xml:space="preserve">353 tests pass, 0 fail. Statements, branches, functions and lines all 100%. Exit code 0.</t>
  </si>
  <si>
    <t xml:space="preserve">TC-003</t>
  </si>
  <si>
    <t xml:space="preserve">Negative</t>
  </si>
  <si>
    <t xml:space="preserve">Coverage gate fails when a line is untested</t>
  </si>
  <si>
    <t xml:space="preserve">Proves the gate is real, not decorative.</t>
  </si>
  <si>
    <t xml:space="preserve">TC-002 done.</t>
  </si>
  <si>
    <t xml:space="preserve">1. Open src/redact.ts and add a new exported function that no test calls, e.g. export const unused = (s: string): string =&gt; s;
2. Run: npm test
3. Undo the edit.</t>
  </si>
  <si>
    <t xml:space="preserve">The run fails with a coverage threshold error naming functions/lines below 100%, and exits non-zero.</t>
  </si>
  <si>
    <t xml:space="preserve">TC-004</t>
  </si>
  <si>
    <t xml:space="preserve">Gates</t>
  </si>
  <si>
    <t xml:space="preserve">All seven review gates pass</t>
  </si>
  <si>
    <t xml:space="preserve">The CI quality gates read one config file.</t>
  </si>
  <si>
    <t xml:space="preserve">1. Run: npm run gates
2. Read each line.</t>
  </si>
  <si>
    <t xml:space="preserve">Seven PASS lines: reachability, published-claims, schema, composition-root, drift, event-coverage, money-invariants (400 random histories). Exit 0.</t>
  </si>
  <si>
    <t xml:space="preserve">TC-005</t>
  </si>
  <si>
    <t xml:space="preserve">Reachability gate catches an orphan module</t>
  </si>
  <si>
    <t xml:space="preserve">A module nothing imports must fail the build (defect class F-RR01).</t>
  </si>
  <si>
    <t xml:space="preserve">TC-004 done.</t>
  </si>
  <si>
    <t xml:space="preserve">1. Create src/orphan.ts containing: export const x = 1;
2. Run: npm run gates
3. Delete the file and rebuild.</t>
  </si>
  <si>
    <t xml:space="preserve">FAIL reachability: orphan. Exit code 1.</t>
  </si>
  <si>
    <t xml:space="preserve">TC-006</t>
  </si>
  <si>
    <t xml:space="preserve">Composition-root gate catches a hardcoded value</t>
  </si>
  <si>
    <t xml:space="preserve">Rule R11: no literal in main.ts may stand in for persisted state.</t>
  </si>
  <si>
    <t xml:space="preserve">1. In src/main.ts, add batch: 0, to the Scheduler options.
2. Run: npm run gates
3. Undo the edit.</t>
  </si>
  <si>
    <t xml:space="preserve">FAIL composition-root naming the line number. Exit code 1.</t>
  </si>
  <si>
    <t xml:space="preserve">TC-007</t>
  </si>
  <si>
    <t xml:space="preserve">Claims gate refuses an empty claims list</t>
  </si>
  <si>
    <t xml:space="preserve">A gate that passes on empty input proves nothing (defect V-07).</t>
  </si>
  <si>
    <t xml:space="preserve">1. In gates.config.mjs set claims: { claims: [] }.
2. Run: npm run gates
3. Undo the edit.</t>
  </si>
  <si>
    <t xml:space="preserve">The run fails with "no claims configured: an empty claims list proves nothing".</t>
  </si>
  <si>
    <t xml:space="preserve">TC-008</t>
  </si>
  <si>
    <t xml:space="preserve">Mutation testing</t>
  </si>
  <si>
    <t xml:space="preserve">Money-path mutation score</t>
  </si>
  <si>
    <t xml:space="preserve">RR-P054: the tests must notice a wrong line, not just execute it.</t>
  </si>
  <si>
    <t xml:space="preserve">TC-001 done. Takes about 8 minutes.</t>
  </si>
  <si>
    <t xml:space="preserve">1. Run: npm run mutation
2. Read the final score line.</t>
  </si>
  <si>
    <t xml:space="preserve">Score of at least 85%; the recorded result is 99.1% (464 of 468 mutants killed). Exit 0.</t>
  </si>
  <si>
    <t xml:space="preserve">TC-009</t>
  </si>
  <si>
    <t xml:space="preserve">Money — recovery value</t>
  </si>
  <si>
    <t xml:space="preserve">A recovered payment records its real amount</t>
  </si>
  <si>
    <t xml:space="preserve">P-RR01: scheduler recoveries used to be written as zero.</t>
  </si>
  <si>
    <t xml:space="preserve">1. Run: npm test -- --test-name-pattern="P-RR01"
2. Read the test names that ran.</t>
  </si>
  <si>
    <t xml:space="preserve">Tests pass showing the recovery carries the real amount and currency end to end, and that zero is refused by both the code and the database.</t>
  </si>
  <si>
    <t xml:space="preserve">TC-010</t>
  </si>
  <si>
    <t xml:space="preserve">A zero-value recovery is refused twice over</t>
  </si>
  <si>
    <t xml:space="preserve">Both the application and a database constraint must refuse it.</t>
  </si>
  <si>
    <t xml:space="preserve">1. Run: npm test -- --test-name-pattern="zero-value recovery is refused"
2. Read the assertions in test/pg.test.ts for the same name.</t>
  </si>
  <si>
    <t xml:space="preserve">The application throws ZeroValueRecovery, and a direct SQL insert of amount 0 is rejected by recoveries_amount_positive.</t>
  </si>
  <si>
    <t xml:space="preserve">TC-011</t>
  </si>
  <si>
    <t xml:space="preserve">Money — attribution</t>
  </si>
  <si>
    <t xml:space="preserve">A payment after a reminder is credited to dunning</t>
  </si>
  <si>
    <t xml:space="preserve">P-RR02: no payment success was observed at all before v020.</t>
  </si>
  <si>
    <t xml:space="preserve">1. Run: npm test -- --test-name-pattern="dunning recovers a payment"
2. Read the assertions.</t>
  </si>
  <si>
    <t xml:space="preserve">The payment is attributed to dunning with evidence (messages sent, last sent time), the recovery is written with the paid amount, and the merchant alert is posted to that account channel.</t>
  </si>
  <si>
    <t xml:space="preserve">TC-012</t>
  </si>
  <si>
    <t xml:space="preserve">A payment RevRescue did not act on is never billed</t>
  </si>
  <si>
    <t xml:space="preserve">Stripe own retries and unprompted payments must not carry a fee.</t>
  </si>
  <si>
    <t xml:space="preserve">1. Run: npm test -- --test-name-pattern="not attributed"
2. Read the assertions.</t>
  </si>
  <si>
    <t xml:space="preserve">No recovery row is written; an audit row records "no RevRescue action preceded this payment".</t>
  </si>
  <si>
    <t xml:space="preserve">TC-013</t>
  </si>
  <si>
    <t xml:space="preserve">Customer experience</t>
  </si>
  <si>
    <t xml:space="preserve">Dunning stops when the customer pays</t>
  </si>
  <si>
    <t xml:space="preserve">V-01: paying customers kept receiving day-4 and day-7 messages.</t>
  </si>
  <si>
    <t xml:space="preserve">1. Run: npm test -- --test-name-pattern="V-01"
2. Read the message list asserted after payment.</t>
  </si>
  <si>
    <t xml:space="preserve">Only the messages sent before payment appear. No further message is sent after the invoice is paid, and the sequence is marked stopped.</t>
  </si>
  <si>
    <t xml:space="preserve">TC-014</t>
  </si>
  <si>
    <t xml:space="preserve">Money — billing</t>
  </si>
  <si>
    <t xml:space="preserve">A month is billed once and the statement is immutable</t>
  </si>
  <si>
    <t xml:space="preserve">P-RR03: every statement used to re-bill all history.</t>
  </si>
  <si>
    <t xml:space="preserve">1. Run: npm test -- --test-name-pattern="the tick issues last month once"
2. Read the assertions.</t>
  </si>
  <si>
    <t xml:space="preserve">The first tick issues one statement; the next tick issues none; the statement returned afterwards carries its issued timestamp.</t>
  </si>
  <si>
    <t xml:space="preserve">TC-015</t>
  </si>
  <si>
    <t xml:space="preserve">A refund after issue becomes a credit, never a rewrite</t>
  </si>
  <si>
    <t xml:space="preserve">An issued statement must not change.</t>
  </si>
  <si>
    <t xml:space="preserve">1. Run: npm test -- --test-name-pattern="refund AFTER issue"
2. Read the lines of the next statement.</t>
  </si>
  <si>
    <t xml:space="preserve">The issued statement is unchanged; the next statement carries a credit line for the refunded part only, and a further full refund credits only the remainder.</t>
  </si>
  <si>
    <t xml:space="preserve">TC-016</t>
  </si>
  <si>
    <t xml:space="preserve">A capped statement adds up</t>
  </si>
  <si>
    <t xml:space="preserve">P-RR04: capped statements did not reconcile.</t>
  </si>
  <si>
    <t xml:space="preserve">1. Run: npm test -- --test-name-pattern="capped statement"
2. Check the cap line and the per-invoice allocation.</t>
  </si>
  <si>
    <t xml:space="preserve">An explicit cap_adjustment line appears, the lines sum exactly to the charged total, and each invoice records what it actually cost.</t>
  </si>
  <si>
    <t xml:space="preserve">TC-017</t>
  </si>
  <si>
    <t xml:space="preserve">Money — invariants</t>
  </si>
  <si>
    <t xml:space="preserve">400 random billing histories hold every money rule</t>
  </si>
  <si>
    <t xml:space="preserve">R10: money invariants are gates, not tests.</t>
  </si>
  <si>
    <t xml:space="preserve">1. Run: npm run gates
2. Read the money-invariants line.</t>
  </si>
  <si>
    <t xml:space="preserve">PASS money-invariants (400 random histories): every statement reconciles, no invoice is billed twice, and every running total converges to what is owed.</t>
  </si>
  <si>
    <t xml:space="preserve">TC-018</t>
  </si>
  <si>
    <t xml:space="preserve">A statement that breaks a rule is refused at issue</t>
  </si>
  <si>
    <t xml:space="preserve">The invariants must block a bad statement, not merely report it.</t>
  </si>
  <si>
    <t xml:space="preserve">1. Run: npm test -- --test-name-pattern="R10"
2. Read the refusal message asserted.</t>
  </si>
  <si>
    <t xml:space="preserve">checkStatement throws MoneyInvariantBroken naming the broken rule, e.g. "I1 lines sum 100 != total 7".</t>
  </si>
  <si>
    <t xml:space="preserve">TC-019</t>
  </si>
  <si>
    <t xml:space="preserve">Payments — safety</t>
  </si>
  <si>
    <t xml:space="preserve">A crashed retry does not charge the card twice</t>
  </si>
  <si>
    <t xml:space="preserve">P-RR05: at-least-once delivery with no idempotency key.</t>
  </si>
  <si>
    <t xml:space="preserve">1. Run: npm test -- --test-name-pattern="P-RR05"
2. Read the crash-path assertions.</t>
  </si>
  <si>
    <t xml:space="preserve">The attempt is recorded before the call; after a lost response the invoice state is read first, and no second charge is made.</t>
  </si>
  <si>
    <t xml:space="preserve">TC-020</t>
  </si>
  <si>
    <t xml:space="preserve">An unpaid invoice is retried with the same key</t>
  </si>
  <si>
    <t xml:space="preserve">The key must be stable across attempts of the same try.</t>
  </si>
  <si>
    <t xml:space="preserve">1. Run: npm test -- --test-name-pattern="SAME key"
2. Read the key asserted.</t>
  </si>
  <si>
    <t xml:space="preserve">The retry is re-sent with the identical key rr-retry:&lt;account&gt;:&lt;invoice&gt;:&lt;attempt&gt;.</t>
  </si>
  <si>
    <t xml:space="preserve">TC-021</t>
  </si>
  <si>
    <t xml:space="preserve">Plan limits</t>
  </si>
  <si>
    <t xml:space="preserve">A limit blocks writes and automation</t>
  </si>
  <si>
    <t xml:space="preserve">P-RR06: limits were computed and enforced nowhere.</t>
  </si>
  <si>
    <t xml:space="preserve">1. Run: npm test -- --test-name-pattern="P-RR06"
2. Read both the route and the webhook assertions.</t>
  </si>
  <si>
    <t xml:space="preserve">Over the limit, a configure request is refused with reason plan_limit and an upgrade prompt, and a new failed payment is skipped rather than automated.</t>
  </si>
  <si>
    <t xml:space="preserve">TC-022</t>
  </si>
  <si>
    <t xml:space="preserve">Omitting the limit does not compile</t>
  </si>
  <si>
    <t xml:space="preserve">The guard must be impossible to forget.</t>
  </si>
  <si>
    <t xml:space="preserve">1. Open test/entitlement.test.ts and find the @ts-expect-error case.
2. Delete the @ts-expect-error line.
3. Run: npx tsc --noEmit
4. Undo.</t>
  </si>
  <si>
    <t xml:space="preserve">The type check fails: limit is a required property.</t>
  </si>
  <si>
    <t xml:space="preserve">TC-023</t>
  </si>
  <si>
    <t xml:space="preserve">Security — sessions</t>
  </si>
  <si>
    <t xml:space="preserve">Logout revokes a session immediately</t>
  </si>
  <si>
    <t xml:space="preserve">P-RR12: session ids were never stored or checked.</t>
  </si>
  <si>
    <t xml:space="preserve">1. Run: npm test -- --test-name-pattern="logout revokes"
2. Read the assertions.</t>
  </si>
  <si>
    <t xml:space="preserve">After logout the same token is refused with 401 and a revocation row exists; it is pruned once the token would have expired.</t>
  </si>
  <si>
    <t xml:space="preserve">TC-024</t>
  </si>
  <si>
    <t xml:space="preserve">A removed or demoted member loses access at once</t>
  </si>
  <si>
    <t xml:space="preserve">A role change must not wait for expiry.</t>
  </si>
  <si>
    <t xml:space="preserve">1. Run: npm test -- --test-name-pattern="team changes take effect"
2. Read the 401 assertions.</t>
  </si>
  <si>
    <t xml:space="preserve">A demoted admin token is refused; a removed member token is refused; the last owner cannot be removed or demoted (409).</t>
  </si>
  <si>
    <t xml:space="preserve">TC-025</t>
  </si>
  <si>
    <t xml:space="preserve">Security — webhooks</t>
  </si>
  <si>
    <t xml:space="preserve">A webhook for an account we do not serve is rejected</t>
  </si>
  <si>
    <t xml:space="preserve">A valid signature proves Stripe sent it, not that the account is ours.</t>
  </si>
  <si>
    <t xml:space="preserve">1. Run: npm test -- --test-name-pattern="webhook guards"
2. Read the unknown-account assertion.</t>
  </si>
  <si>
    <t xml:space="preserve">The response is {"rejected":"unknown_account"}, a security event is raised, and nothing is written.</t>
  </si>
  <si>
    <t xml:space="preserve">TC-026</t>
  </si>
  <si>
    <t xml:space="preserve">A bad signature, bad payload or missing id is refused</t>
  </si>
  <si>
    <t xml:space="preserve">Input validation on the only public write surface.</t>
  </si>
  <si>
    <t xml:space="preserve">1. Run: npm test -- --test-name-pattern="webhook guards"
2. Read the 400 assertions.</t>
  </si>
  <si>
    <t xml:space="preserve">bad_signature, malformed_payload and missing_event_id are each returned with status 400.</t>
  </si>
  <si>
    <t xml:space="preserve">TC-027</t>
  </si>
  <si>
    <t xml:space="preserve">Reliability</t>
  </si>
  <si>
    <t xml:space="preserve">A duplicate Stripe event is processed once</t>
  </si>
  <si>
    <t xml:space="preserve">P-RR09: dedupe used to be in process memory.</t>
  </si>
  <si>
    <t xml:space="preserve">1. Run: npm test -- --test-name-pattern="P-RR09"
2. Read the two-instance test.</t>
  </si>
  <si>
    <t xml:space="preserve">Two ledgers sharing one database: exactly one wins the claim; a committed event is never reclaimed; a crashed claim is taken over after its timeout.</t>
  </si>
  <si>
    <t xml:space="preserve">TC-028</t>
  </si>
  <si>
    <t xml:space="preserve">A failed handler does not lose the Stripe retry</t>
  </si>
  <si>
    <t xml:space="preserve">F-RR16 and P-RR09 together.</t>
  </si>
  <si>
    <t xml:space="preserve">1. Run: npm test -- --test-name-pattern="releases the durable claim"
2. Read the second attempt.</t>
  </si>
  <si>
    <t xml:space="preserve">The first attempt returns 500 and releases the claim; the retry is processed normally and the event ends committed.</t>
  </si>
  <si>
    <t xml:space="preserve">TC-029</t>
  </si>
  <si>
    <t xml:space="preserve">Deployment</t>
  </si>
  <si>
    <t xml:space="preserve">Migrations apply once, in order, with checksums</t>
  </si>
  <si>
    <t xml:space="preserve">P-RR11: every file used to run on every boot.</t>
  </si>
  <si>
    <t xml:space="preserve">1. Run: npm test -- --test-name-pattern="P-RR11"
2. Read the ledger and lock assertions.</t>
  </si>
  <si>
    <t xml:space="preserve">Each file is applied once and recorded with a checksum; a second run applies nothing; two concurrent migrators result in one doing the work.</t>
  </si>
  <si>
    <t xml:space="preserve">TC-030</t>
  </si>
  <si>
    <t xml:space="preserve">An edited migration fails the boot</t>
  </si>
  <si>
    <t xml:space="preserve">Migrations are forward-only.</t>
  </si>
  <si>
    <t xml:space="preserve">1. Run: npm test -- --test-name-pattern="changed"
2. Read the drift assertion.</t>
  </si>
  <si>
    <t xml:space="preserve">MigrationDrift is thrown, the transaction rolls back, and no partial schema change remains.</t>
  </si>
  <si>
    <t xml:space="preserve">TC-031</t>
  </si>
  <si>
    <t xml:space="preserve">Configuration</t>
  </si>
  <si>
    <t xml:space="preserve">Production refuses to start with a non-durable store</t>
  </si>
  <si>
    <t xml:space="preserve">P-RR10: durability used to be a boolean the caller passed.</t>
  </si>
  <si>
    <t xml:space="preserve">1. Run: npm test -- --test-name-pattern="P-RR10"
2. Read each refusal message.</t>
  </si>
  <si>
    <t xml:space="preserve">Booleans and look-alike objects are refused; the message names what would break, e.g. "would message opted-out customers".</t>
  </si>
  <si>
    <t xml:space="preserve">TC-032</t>
  </si>
  <si>
    <t xml:space="preserve">Privacy</t>
  </si>
  <si>
    <t xml:space="preserve">Delete my data removes every domain</t>
  </si>
  <si>
    <t xml:space="preserve">V-06: disputes, reversals and the work queues were missed, leaving customer emails.</t>
  </si>
  <si>
    <t xml:space="preserve">1. Run: npm test -- --test-name-pattern="V-06"
2. Read the table list read from Postgres.</t>
  </si>
  <si>
    <t xml:space="preserve">Every account-scoped table is in the purge registry, the customer email in the work queue is gone, and the other tenant is untouched.</t>
  </si>
  <si>
    <t xml:space="preserve">TC-033</t>
  </si>
  <si>
    <t xml:space="preserve">Isolation</t>
  </si>
  <si>
    <t xml:space="preserve">A tenant sees only its own rows</t>
  </si>
  <si>
    <t xml:space="preserve">RR-P046: enforced by Postgres, not only by application code.</t>
  </si>
  <si>
    <t xml:space="preserve">1. Run: npm test -- --test-name-pattern="RR-P046"
2. Read both tests.</t>
  </si>
  <si>
    <t xml:space="preserve">A query with no account filter returns only that tenant; every account table has row-level security forced on.</t>
  </si>
  <si>
    <t xml:space="preserve">TC-034</t>
  </si>
  <si>
    <t xml:space="preserve">Cross-tenant read, write and delete are refused</t>
  </si>
  <si>
    <t xml:space="preserve">A crafted id must not cross tenants.</t>
  </si>
  <si>
    <t xml:space="preserve">1. Run: npm test -- --test-name-pattern="crafted request"
2. Read the INSERT, UPDATE and DELETE assertions.</t>
  </si>
  <si>
    <t xml:space="preserve">Asking for another tenant invoice returns nothing and a dispute on it returns 404; an insert for another account is refused with a row-level security error; update and delete affect no rows.</t>
  </si>
  <si>
    <t xml:space="preserve">TC-035</t>
  </si>
  <si>
    <t xml:space="preserve">Audit integrity</t>
  </si>
  <si>
    <t xml:space="preserve">A merchant can verify their audit trail</t>
  </si>
  <si>
    <t xml:space="preserve">RR-P040: tamper evidence.</t>
  </si>
  <si>
    <t xml:space="preserve">1. Run: npm test -- --test-name-pattern="hash-chained"
2. Read the verify response.</t>
  </si>
  <si>
    <t xml:space="preserve">GET /api/audit/verify returns ok true with the row count.</t>
  </si>
  <si>
    <t xml:space="preserve">TC-036</t>
  </si>
  <si>
    <t xml:space="preserve">An edited audit row is detected</t>
  </si>
  <si>
    <t xml:space="preserve">The chain must break visibly.</t>
  </si>
  <si>
    <t xml:space="preserve">1. Run: npm test -- --test-name-pattern="hash-chained"
2. Read the assertions after the UPDATE statement.</t>
  </si>
  <si>
    <t xml:space="preserve">After a direct SQL edit, verify returns ok false and the id of the first row that no longer matches.</t>
  </si>
  <si>
    <t xml:space="preserve">TC-037</t>
  </si>
  <si>
    <t xml:space="preserve">A forged fresh start is detected</t>
  </si>
  <si>
    <t xml:space="preserve">Resetting the chain to genesis must not look valid.</t>
  </si>
  <si>
    <t xml:space="preserve">1. Run: npm test -- --test-name-pattern="chains from the anchor"
2. Read the final assertion.</t>
  </si>
  <si>
    <t xml:space="preserve">Setting prev_hash to genesis after a prune makes verification fail.</t>
  </si>
  <si>
    <t xml:space="preserve">TC-038</t>
  </si>
  <si>
    <t xml:space="preserve">Retention</t>
  </si>
  <si>
    <t xml:space="preserve">Old records are pruned and the chain still verifies</t>
  </si>
  <si>
    <t xml:space="preserve">RR-P040 retention with anchors.</t>
  </si>
  <si>
    <t xml:space="preserve">1. Run: npm test -- --test-name-pattern="retention prunes"
2. Read what remains.</t>
  </si>
  <si>
    <t xml:space="preserve">Rows older than the window are gone, an anchor row exists, newer rows remain, and verification still returns ok.</t>
  </si>
  <si>
    <t xml:space="preserve">TC-039</t>
  </si>
  <si>
    <t xml:space="preserve">An invalid retention policy is refused at startup</t>
  </si>
  <si>
    <t xml:space="preserve">Values must be whole positive days.</t>
  </si>
  <si>
    <t xml:space="preserve">1. Run: npm test -- --test-name-pattern="positive whole days"
2. Read the rejected values.</t>
  </si>
  <si>
    <t xml:space="preserve">Zero, negative, fractional and NaN are each refused with a message naming the setting.</t>
  </si>
  <si>
    <t xml:space="preserve">TC-040</t>
  </si>
  <si>
    <t xml:space="preserve">Privacy in logs</t>
  </si>
  <si>
    <t xml:space="preserve">Customer identifiers are masked in error text</t>
  </si>
  <si>
    <t xml:space="preserve">RR-P040: no customer identifier in logs or dead letters.</t>
  </si>
  <si>
    <t xml:space="preserve">1. Run: npm test -- --test-name-pattern="redaction masks"
2. Read the examples.</t>
  </si>
  <si>
    <t xml:space="preserve">Emails become [email] and phone numbers [phone]; Stripe ids and dates are left intact.</t>
  </si>
  <si>
    <t xml:space="preserve">TC-041</t>
  </si>
  <si>
    <t xml:space="preserve">A query string is never logged</t>
  </si>
  <si>
    <t xml:space="preserve">P-RR12: paths only.</t>
  </si>
  <si>
    <t xml:space="preserve">1. Run: npm test -- --test-name-pattern="records the PATH only"
2. Read the log entry asserted.</t>
  </si>
  <si>
    <t xml:space="preserve">The log records /health; the email in the query string appears nowhere in the log output.</t>
  </si>
  <si>
    <t xml:space="preserve">TC-042</t>
  </si>
  <si>
    <t xml:space="preserve">Dead letters</t>
  </si>
  <si>
    <t xml:space="preserve">Repeated failures park the work with one dead letter</t>
  </si>
  <si>
    <t xml:space="preserve">RR-P021: nothing is silently abandoned.</t>
  </si>
  <si>
    <t xml:space="preserve">1. Run: npm test -- --test-name-pattern="RR-P021"
2. Read the dead-letter rows.</t>
  </si>
  <si>
    <t xml:space="preserve">After five failures the retry and the dunning step are parked as dead, each with exactly one dead letter carrying the failure count, and the stored error contains no customer email.</t>
  </si>
  <si>
    <t xml:space="preserve">TC-043</t>
  </si>
  <si>
    <t xml:space="preserve">An operator replays parked work</t>
  </si>
  <si>
    <t xml:space="preserve">Recovery from a platform outage.</t>
  </si>
  <si>
    <t xml:space="preserve">1. Run: npm test -- --test-name-pattern="operator plane lists"
2. Read the requeue assertions.</t>
  </si>
  <si>
    <t xml:space="preserve">Replay returns the work to pending with the failure count reset; discard closes the letter; both are written to the account audit trail.</t>
  </si>
  <si>
    <t xml:space="preserve">TC-044</t>
  </si>
  <si>
    <t xml:space="preserve">Replaying twice, or an unknown letter, is refused</t>
  </si>
  <si>
    <t xml:space="preserve">Operator actions must be idempotent and safe.</t>
  </si>
  <si>
    <t xml:space="preserve">1. Run: npm test -- --test-name-pattern="operator plane lists"
2. Read the 409 and 404 assertions.</t>
  </si>
  <si>
    <t xml:space="preserve">A second replay returns 409 (no longer parked), a resolved letter returns 409 already_resolved, an unknown id returns 404, and an invalid action returns 400.</t>
  </si>
  <si>
    <t xml:space="preserve">TC-045</t>
  </si>
  <si>
    <t xml:space="preserve">A billing failure clears itself when a later run succeeds</t>
  </si>
  <si>
    <t xml:space="preserve">Operators should only see what still needs them.</t>
  </si>
  <si>
    <t xml:space="preserve">1. Run: npm test -- --test-name-pattern="billing failure is dead-lettered"
2. Read the final list.</t>
  </si>
  <si>
    <t xml:space="preserve">The letter is raised while billing fails, can be replayed by an operator, and any remaining open letter is resolved automatically by a later successful run.</t>
  </si>
  <si>
    <t xml:space="preserve">TC-046</t>
  </si>
  <si>
    <t xml:space="preserve">Operator access</t>
  </si>
  <si>
    <t xml:space="preserve">Eight ways of reaching the operator plane are refused</t>
  </si>
  <si>
    <t xml:space="preserve">Operator actions are not merchant actions.</t>
  </si>
  <si>
    <t xml:space="preserve">1. Run: npm test -- --test-name-pattern="operators resolve fee disputes"
2. Read the loop of refused headers.</t>
  </si>
  <si>
    <t xml:space="preserve">No token, a merchant session, the wrong key, an unknown key, an operator not on the allowlist, an expired token, a token signed with the session key, and a malformed token are all refused with 401.</t>
  </si>
  <si>
    <t xml:space="preserve">TC-047</t>
  </si>
  <si>
    <t xml:space="preserve">An operator resolves a fee dispute</t>
  </si>
  <si>
    <t xml:space="preserve">The gap left open in v020.</t>
  </si>
  <si>
    <t xml:space="preserve">1. Run: npm test -- --test-name-pattern="operators resolve fee disputes"
2. Read the dispute state.</t>
  </si>
  <si>
    <t xml:space="preserve">The dispute moves to rejected, a second resolution returns 404, and the action is audited with the operator id.</t>
  </si>
  <si>
    <t xml:space="preserve">TC-048</t>
  </si>
  <si>
    <t xml:space="preserve">Messaging safety</t>
  </si>
  <si>
    <t xml:space="preserve">Test mode sends nothing to a customer</t>
  </si>
  <si>
    <t xml:space="preserve">V-14: test mode was wired to the live WhatsApp sender.</t>
  </si>
  <si>
    <t xml:space="preserve">1. Run: npm test -- --test-name-pattern="V-14"
2. Compare the sandbox and live send lists.</t>
  </si>
  <si>
    <t xml:space="preserve">In test mode every message goes to the sandbox sender; in live mode email steps go to the email adapter and the WhatsApp step to the WhatsApp adapter.</t>
  </si>
  <si>
    <t xml:space="preserve">TC-049</t>
  </si>
  <si>
    <t xml:space="preserve">Messaging compliance</t>
  </si>
  <si>
    <t xml:space="preserve">An opted-out customer is never messaged</t>
  </si>
  <si>
    <t xml:space="preserve">F-RR12 and P-RR10.</t>
  </si>
  <si>
    <t xml:space="preserve">1. Run: npm test -- --test-name-pattern="opt-out"
2. Read the suppression assertions.</t>
  </si>
  <si>
    <t xml:space="preserve">An opt-out recorded through the API is case-insensitive, survives a new instance, is scoped to the merchant, and stops both channels.</t>
  </si>
  <si>
    <t xml:space="preserve">TC-050</t>
  </si>
  <si>
    <t xml:space="preserve">Merchant surfaces</t>
  </si>
  <si>
    <t xml:space="preserve">The fee evidence and dunning history are readable</t>
  </si>
  <si>
    <t xml:space="preserve">P-RR07: promises with no route behind them.</t>
  </si>
  <si>
    <t xml:space="preserve">1. Run: npm test -- --test-name-pattern="evidence and the history"
2. Read the audit route response.</t>
  </si>
  <si>
    <t xml:space="preserve">The audit route returns the failure, the attribution with its evidence, and the list of messages sent for that invoice.</t>
  </si>
  <si>
    <t xml:space="preserve">TC-051</t>
  </si>
  <si>
    <t xml:space="preserve">A denied action is recorded</t>
  </si>
  <si>
    <t xml:space="preserve">V-11: help article 14 promised this and nothing did it.</t>
  </si>
  <si>
    <t xml:space="preserve">1. Run: npm test -- --test-name-pattern="identity, role and membership"
2. Read the access_denied row.</t>
  </si>
  <si>
    <t xml:space="preserve">The 403 response is accompanied by an audit row naming the user, the capability and the reason.</t>
  </si>
  <si>
    <t xml:space="preserve">TC-052</t>
  </si>
  <si>
    <t xml:space="preserve">Demo</t>
  </si>
  <si>
    <t xml:space="preserve">Demo seeding refuses a real account</t>
  </si>
  <si>
    <t xml:space="preserve">ST-083.</t>
  </si>
  <si>
    <t xml:space="preserve">1. Run: npm test -- --test-name-pattern="demo"
2. Read both cases.</t>
  </si>
  <si>
    <t xml:space="preserve">A non-demo account is refused with not_a_demo_account; a demo_ account is seeded into real tables and is never billed by the billing run.</t>
  </si>
  <si>
    <t xml:space="preserve">TC-053</t>
  </si>
  <si>
    <t xml:space="preserve">A platform outage opens the circuit breaker</t>
  </si>
  <si>
    <t xml:space="preserve">V-12: the breaker had no production caller.</t>
  </si>
  <si>
    <t xml:space="preserve">1. Run: npm test -- --test-name-pattern="V-12"
2. Read the skipped retries.</t>
  </si>
  <si>
    <t xml:space="preserve">After the threshold the remaining retries are skipped with "platform circuit open" rather than hammering the platform; a later success closes it.</t>
  </si>
  <si>
    <t xml:space="preserve">TC-054</t>
  </si>
  <si>
    <t xml:space="preserve">Server hardening</t>
  </si>
  <si>
    <t xml:space="preserve">Security headers on every response</t>
  </si>
  <si>
    <t xml:space="preserve">P-RR12.</t>
  </si>
  <si>
    <t xml:space="preserve">1. Run: npm test -- --test-name-pattern="security headers"
2. Read the headers asserted.</t>
  </si>
  <si>
    <t xml:space="preserve">Content-security-policy, nosniff, frame options, referrer policy, HSTS and no-store are present on success, 404 and error responses alike.</t>
  </si>
  <si>
    <t xml:space="preserve">TC-055</t>
  </si>
  <si>
    <t xml:space="preserve">A client over its rate is refused</t>
  </si>
  <si>
    <t xml:space="preserve">P-RR12; note the limiter is per instance by design.</t>
  </si>
  <si>
    <t xml:space="preserve">1. Run: npm test -- --test-name-pattern="rate"
2. Read the 429 assertion.</t>
  </si>
  <si>
    <t xml:space="preserve">The second request in the same window returns 429 rate_limited; a different route class has its own budget.</t>
  </si>
  <si>
    <t xml:space="preserve">TC-056</t>
  </si>
  <si>
    <t xml:space="preserve">Documentation</t>
  </si>
  <si>
    <t xml:space="preserve">Claims in published content are backed by code</t>
  </si>
  <si>
    <t xml:space="preserve">The claims gate is the contract between copy and code.</t>
  </si>
  <si>
    <t xml:space="preserve">1. Open content/listing/pricing_faq.md and content/help/13_export_and_delete_data.md.
2. Compare the wording with gates.config.mjs claim ids export_json, delete_immediately and not_our_recovery.
3. Run: npm run gates</t>
  </si>
  <si>
    <t xml:space="preserve">The FAQ states that a payment with no RevRescue action is never billed, help 13 states JSON and immediate deletion, and published-claims passes. NOTE: this wording awaits Senthil approval (DEC-D5).</t>
  </si>
  <si>
    <t xml:space="preserve">TEST SUMMARY — counts and outcomes</t>
  </si>
  <si>
    <t xml:space="preserve">Driven by formulas from Manual_Test_Cases; it updates as you fill in the Result column. "Not run" counts anything without a recorded result.</t>
  </si>
  <si>
    <t xml:space="preserve">Cases</t>
  </si>
  <si>
    <t xml:space="preserve">Pass</t>
  </si>
  <si>
    <t xml:space="preserve">Fail</t>
  </si>
  <si>
    <t xml:space="preserve">Blocked</t>
  </si>
  <si>
    <t xml:space="preserve">Not run</t>
  </si>
  <si>
    <t xml:space="preserve">TOTAL</t>
  </si>
  <si>
    <t xml:space="preserve">DEFECT LOG — every defect found, and where it came from</t>
  </si>
  <si>
    <t xml:space="preserve">Includes defects found by the independent review, by verifying that review, by the gates, and by this build in its own work. Severity is the impact if it had reached a merchant.</t>
  </si>
  <si>
    <t xml:space="preserve">ID</t>
  </si>
  <si>
    <t xml:space="preserve">Found in</t>
  </si>
  <si>
    <t xml:space="preserve">Found by</t>
  </si>
  <si>
    <t xml:space="preserve">Defect</t>
  </si>
  <si>
    <t xml:space="preserve">Severity</t>
  </si>
  <si>
    <t xml:space="preserve">Fix</t>
  </si>
  <si>
    <t xml:space="preserve">P-RR01</t>
  </si>
  <si>
    <t xml:space="preserve">Independent review V001</t>
  </si>
  <si>
    <t xml:space="preserve">Money</t>
  </si>
  <si>
    <t xml:space="preserve">Scheduler recoveries were written with amount 0, so recovered money was never billed and the merchant total stayed zero</t>
  </si>
  <si>
    <t xml:space="preserve">Critical</t>
  </si>
  <si>
    <t xml:space="preserve">Fixed v020 — value carried through the interface; zero refused by code and by a database constraint</t>
  </si>
  <si>
    <t xml:space="preserve">Closed at integration</t>
  </si>
  <si>
    <t xml:space="preserve">P-RR02</t>
  </si>
  <si>
    <t xml:space="preserve">No handler observed a payment succeeding, so dunning and save-offer recoveries could never be attributed</t>
  </si>
  <si>
    <t xml:space="preserve">Fixed v020 — eight event types handled; cause read from our own records</t>
  </si>
  <si>
    <t xml:space="preserve">P-RR03</t>
  </si>
  <si>
    <t xml:space="preserve">Statements had no period, so month two re-billed month one; nothing was ever written to the statements table</t>
  </si>
  <si>
    <t xml:space="preserve">Fixed v020 — per period, per currency, immutable, with credits for later changes</t>
  </si>
  <si>
    <t xml:space="preserve">P-RR04</t>
  </si>
  <si>
    <t xml:space="preserve">A capped statement did not reconcile with its own lines</t>
  </si>
  <si>
    <t xml:space="preserve">High</t>
  </si>
  <si>
    <t xml:space="preserve">Fixed v020 — explicit cap line and per-invoice allocation</t>
  </si>
  <si>
    <t xml:space="preserve">P-RR05</t>
  </si>
  <si>
    <t xml:space="preserve">Payments</t>
  </si>
  <si>
    <t xml:space="preserve">No idempotency key on retries: a crash could charge a card twice</t>
  </si>
  <si>
    <t xml:space="preserve">Fixed v020 — key persisted before the call; state read before any re-attempt</t>
  </si>
  <si>
    <t xml:space="preserve">Closed at integration; contract test needs D14</t>
  </si>
  <si>
    <t xml:space="preserve">P-RR06</t>
  </si>
  <si>
    <t xml:space="preserve">Entitlement</t>
  </si>
  <si>
    <t xml:space="preserve">Plan limits computed and enforced nowhere</t>
  </si>
  <si>
    <t xml:space="preserve">Fixed v020 — limit required at the type level and enforced on writes and automation</t>
  </si>
  <si>
    <t xml:space="preserve">P-RR07</t>
  </si>
  <si>
    <t xml:space="preserve">Claims</t>
  </si>
  <si>
    <t xml:space="preserve">Published promises with no route or writer behind them; the claims gate was a text search</t>
  </si>
  <si>
    <t xml:space="preserve">Fixed v020 — claims gate v2 and a schema gate</t>
  </si>
  <si>
    <t xml:space="preserve">P-RR08</t>
  </si>
  <si>
    <t xml:space="preserve">Settings</t>
  </si>
  <si>
    <t xml:space="preserve">Alert mutes and grace cadence hardcoded in the composition root</t>
  </si>
  <si>
    <t xml:space="preserve">Fixed v020 — persisted per-account settings; composition-root gate</t>
  </si>
  <si>
    <t xml:space="preserve">P-RR09</t>
  </si>
  <si>
    <t xml:space="preserve">Webhook dedupe held in process memory</t>
  </si>
  <si>
    <t xml:space="preserve">Fixed v020 — database-backed claim/commit ledger</t>
  </si>
  <si>
    <t xml:space="preserve">P-RR10</t>
  </si>
  <si>
    <t xml:space="preserve">Fail-closed config trusted booleans; no durable send ledger or opt-out store existed</t>
  </si>
  <si>
    <t xml:space="preserve">Fixed v020 — the wired objects are inspected</t>
  </si>
  <si>
    <t xml:space="preserve">P-RR11</t>
  </si>
  <si>
    <t xml:space="preserve">No migration ledger, checksum or lock</t>
  </si>
  <si>
    <t xml:space="preserve">Fixed v020 — ledger, checksums, advisory lock, one transaction</t>
  </si>
  <si>
    <t xml:space="preserve">P-RR12</t>
  </si>
  <si>
    <t xml:space="preserve">Security</t>
  </si>
  <si>
    <t xml:space="preserve">No session revocation, rate limiting or security headers; tenant taken from the event body</t>
  </si>
  <si>
    <t xml:space="preserve">Fixed v020 — revocation, membership checks, limits, headers, installation check</t>
  </si>
  <si>
    <t xml:space="preserve">Closed at integration; SSO/SCIM open</t>
  </si>
  <si>
    <t xml:space="preserve">V-01</t>
  </si>
  <si>
    <t xml:space="preserve">Verification of the review</t>
  </si>
  <si>
    <t xml:space="preserve">Dunning never stopped when a customer paid: day-4 and day-7 messages still went out</t>
  </si>
  <si>
    <t xml:space="preserve">Fixed v020 — any success, recovery or cancellation stops the invoice work</t>
  </si>
  <si>
    <t xml:space="preserve">V-02</t>
  </si>
  <si>
    <t xml:space="preserve">First write wins meant a zero row would permanently beat the real payment</t>
  </si>
  <si>
    <t xml:space="preserve">Fixed v020</t>
  </si>
  <si>
    <t xml:space="preserve">V-03</t>
  </si>
  <si>
    <t xml:space="preserve">Schema</t>
  </si>
  <si>
    <t xml:space="preserve">Eight tables had no writer, not the six reported</t>
  </si>
  <si>
    <t xml:space="preserve">Medium</t>
  </si>
  <si>
    <t xml:space="preserve">Fixed v020 — writers added; schema gate</t>
  </si>
  <si>
    <t xml:space="preserve">V-04</t>
  </si>
  <si>
    <t xml:space="preserve">Dunning pickup was not atomic</t>
  </si>
  <si>
    <t xml:space="preserve">Fixed v020 — expiring claim</t>
  </si>
  <si>
    <t xml:space="preserve">V-05</t>
  </si>
  <si>
    <t xml:space="preserve">Correctness</t>
  </si>
  <si>
    <t xml:space="preserve">Event time read from a field Stripe does not send: every failure was timed at 1970</t>
  </si>
  <si>
    <t xml:space="preserve">Fixed v020 — Stripe created time in seconds</t>
  </si>
  <si>
    <t xml:space="preserve">V-06</t>
  </si>
  <si>
    <t xml:space="preserve">Delete my data missed four tables, leaving customer email addresses behind</t>
  </si>
  <si>
    <t xml:space="preserve">Fixed v020 — registry covers every account table, checked from Postgres</t>
  </si>
  <si>
    <t xml:space="preserve">V-07</t>
  </si>
  <si>
    <t xml:space="preserve">Process</t>
  </si>
  <si>
    <t xml:space="preserve">CI ran the claims gate over an empty list and had no drift gate</t>
  </si>
  <si>
    <t xml:space="preserve">Fixed v020 — one config; empty input fails</t>
  </si>
  <si>
    <t xml:space="preserve">V-08</t>
  </si>
  <si>
    <t xml:space="preserve">Multi-tenancy</t>
  </si>
  <si>
    <t xml:space="preserve">One Slack channel for every merchant</t>
  </si>
  <si>
    <t xml:space="preserve">Fixed v020 — channel per account</t>
  </si>
  <si>
    <t xml:space="preserve">V-09</t>
  </si>
  <si>
    <t xml:space="preserve">Operability</t>
  </si>
  <si>
    <t xml:space="preserve">Internal errors were discarded without being logged</t>
  </si>
  <si>
    <t xml:space="preserve">Fixed v020 — required error sink</t>
  </si>
  <si>
    <t xml:space="preserve">V-10</t>
  </si>
  <si>
    <t xml:space="preserve">Demo seeding had no implementation behind it</t>
  </si>
  <si>
    <t xml:space="preserve">V-11</t>
  </si>
  <si>
    <t xml:space="preserve">Audit</t>
  </si>
  <si>
    <t xml:space="preserve">Help article 14 promised denied actions are recorded; nothing did</t>
  </si>
  <si>
    <t xml:space="preserve">V-12</t>
  </si>
  <si>
    <t xml:space="preserve">Gate run</t>
  </si>
  <si>
    <t xml:space="preserve">The circuit breaker had no production caller, hidden by a type-only import</t>
  </si>
  <si>
    <t xml:space="preserve">Fixed v020 — breaker guards platform calls</t>
  </si>
  <si>
    <t xml:space="preserve">V-13</t>
  </si>
  <si>
    <t xml:space="preserve">Content check</t>
  </si>
  <si>
    <t xml:space="preserve">Content</t>
  </si>
  <si>
    <t xml:space="preserve">Help 13 said the export is CSV (it is JSON); the FAQ claimed more than can be proven</t>
  </si>
  <si>
    <t xml:space="preserve">Fixed v021 — wording corrected and gated</t>
  </si>
  <si>
    <t xml:space="preserve">Fixed; wording awaits approval (DEC-D5)</t>
  </si>
  <si>
    <t xml:space="preserve">V-14</t>
  </si>
  <si>
    <t xml:space="preserve">Acceptance test</t>
  </si>
  <si>
    <t xml:space="preserve">Messaging</t>
  </si>
  <si>
    <t xml:space="preserve">Test mode was wired to the live WhatsApp sender, so test-mode dunning would have reached real customers; live WhatsApp steps went to the email adapter</t>
  </si>
  <si>
    <t xml:space="preserve">Fixed v021 — channel router and a separate required sandbox sender</t>
  </si>
  <si>
    <t xml:space="preserve">V-15</t>
  </si>
  <si>
    <t xml:space="preserve">The circuit breaker ran on wall-clock time while the scheduler runs on the application clock</t>
  </si>
  <si>
    <t xml:space="preserve">Fixed v021</t>
  </si>
  <si>
    <t xml:space="preserve">V-16</t>
  </si>
  <si>
    <t xml:space="preserve">Own test</t>
  </si>
  <si>
    <t xml:space="preserve">New redaction masked ISO dates as phone numbers, hiding billing periods in errors</t>
  </si>
  <si>
    <t xml:space="preserve">Low</t>
  </si>
  <si>
    <t xml:space="preserve">Fixed before release</t>
  </si>
  <si>
    <t xml:space="preserve">Closed</t>
  </si>
  <si>
    <t xml:space="preserve">SELF-1</t>
  </si>
  <si>
    <t xml:space="preserve">Money gate</t>
  </si>
  <si>
    <t xml:space="preserve">A credit computed against the original amount would have credited a pre-issue refund twice</t>
  </si>
  <si>
    <t xml:space="preserve">Caught by the money gate before release (134 violations)</t>
  </si>
  <si>
    <t xml:space="preserve">SELF-2</t>
  </si>
  <si>
    <t xml:space="preserve">The billing run counted statements it had only re-read as newly issued</t>
  </si>
  <si>
    <t xml:space="preserve">Caught by the acceptance suite before release</t>
  </si>
  <si>
    <t xml:space="preserve">DECISIONS OPEN — what only Senthil can unblock</t>
  </si>
  <si>
    <t xml:space="preserve">Ordered with the total blocker first. Each row names what it unblocks and why it is waiting.</t>
  </si>
  <si>
    <t xml:space="preserve">Decision</t>
  </si>
  <si>
    <t xml:space="preserve">What it unblocks</t>
  </si>
  <si>
    <t xml:space="preserve">Why it is waiting</t>
  </si>
  <si>
    <t xml:space="preserve">Unpark D14 — the Stripe adapters and a dev account</t>
  </si>
  <si>
    <t xml:space="preserve">Everything that touches Stripe: adapters, contract tests, the manifest, the Dashboard UI, the listing</t>
  </si>
  <si>
    <t xml:space="preserve">Total blocker. Named by Senthil, so only Senthil can lift it.</t>
  </si>
  <si>
    <t xml:space="preserve">Open</t>
  </si>
  <si>
    <t xml:space="preserve">Decision 2</t>
  </si>
  <si>
    <t xml:space="preserve">Pricing model: percentage of recovered revenue, flat monthly tier, or incremental-versus-holdback (supersedes DEC-03)</t>
  </si>
  <si>
    <t xml:space="preserve">The fee percentage everywhere, the single-price drift rule, the listing</t>
  </si>
  <si>
    <t xml:space="preserve">The independent review judged outcome pricing the weakest part of the plan; the code bills only what it acted on, which is not the same as what it caused.</t>
  </si>
  <si>
    <t xml:space="preserve">Decision 3</t>
  </si>
  <si>
    <t xml:space="preserve">Confirm the chosen pricing model with Stripe partnerships in writing</t>
  </si>
  <si>
    <t xml:space="preserve">Listing submission</t>
  </si>
  <si>
    <t xml:space="preserve">The reviewer believes the listing form does not offer this model. Unverified.</t>
  </si>
  <si>
    <t xml:space="preserve">Decision 4</t>
  </si>
  <si>
    <t xml:space="preserve">Authorise the holdback experiment</t>
  </si>
  <si>
    <t xml:space="preserve">Any claim about incrementality; the FAQ wording</t>
  </si>
  <si>
    <t xml:space="preserve">Without a control group, we cannot say a reminded customer would not have paid anyway.</t>
  </si>
  <si>
    <t xml:space="preserve">DEC-D5</t>
  </si>
  <si>
    <t xml:space="preserve">Approve the corrected help 13 and pricing FAQ wording</t>
  </si>
  <si>
    <t xml:space="preserve">Publishing the content; closing V-13</t>
  </si>
  <si>
    <t xml:space="preserve">The text is in the code but treated as unapproved.</t>
  </si>
  <si>
    <t xml:space="preserve">DEC-RET</t>
  </si>
  <si>
    <t xml:space="preserve">Confirm retention periods: audit 7 years, dunning history 2 years, telemetry 13 months, resolved dead letters 90 days</t>
  </si>
  <si>
    <t xml:space="preserve">The retention policy applied by the scheduler; the trust page and DPA</t>
  </si>
  <si>
    <t xml:space="preserve">Defaults are in RETENTION.md and must match what the trust page promises.</t>
  </si>
  <si>
    <t xml:space="preserve">DEC-OPS</t>
  </si>
  <si>
    <t xml:space="preserve">Name the operator allowlist and the custodian of the operator signing key</t>
  </si>
  <si>
    <t xml:space="preserve">Who may replay dead letters and resolve fee disputes</t>
  </si>
  <si>
    <t xml:space="preserve">The plane is built and audited; the names are a decision.</t>
  </si>
  <si>
    <t xml:space="preserve">DEC-02</t>
  </si>
  <si>
    <t xml:space="preserve">How merchants are billed for RevRescue itself</t>
  </si>
  <si>
    <t xml:space="preserve">What marks a merchant billing as failed, which drives grace mode and read-only</t>
  </si>
  <si>
    <t xml:space="preserve">The grace machinery exists but nothing triggers it.</t>
  </si>
  <si>
    <t xml:space="preserve">D13</t>
  </si>
  <si>
    <t xml:space="preserve">Unpark five-user discovery</t>
  </si>
  <si>
    <t xml:space="preserve">Evidence that the problem and price are real</t>
  </si>
  <si>
    <t xml:space="preserve">Parked since v004.</t>
  </si>
  <si>
    <t xml:space="preserve">T-06</t>
  </si>
  <si>
    <t xml:space="preserve">PRD sign-off</t>
  </si>
  <si>
    <t xml:space="preserve">Formal baseline for scope</t>
  </si>
  <si>
    <t xml:space="preserve">The PRD has been in draft since v002.</t>
  </si>
  <si>
    <t xml:space="preserve">Decision 7</t>
  </si>
  <si>
    <t xml:space="preserve">Port the claims gate v2 to the 11 sibling products</t>
  </si>
  <si>
    <t xml:space="preserve">Portfolio-wide defect prevention</t>
  </si>
  <si>
    <t xml:space="preserve">The same defect classes recur across the portfolio.</t>
  </si>
  <si>
    <t xml:space="preserve">GLOSSARY</t>
  </si>
  <si>
    <t xml:space="preserve">Terms used in this pack, in the tracker and in the code.</t>
  </si>
  <si>
    <t xml:space="preserve">Term</t>
  </si>
  <si>
    <t xml:space="preserve">Meaning</t>
  </si>
  <si>
    <t xml:space="preserve">Attribution</t>
  </si>
  <si>
    <t xml:space="preserve">Deciding which single RevRescue action a recovered payment is credited to: a retry, a dunning message or an accepted save offer.</t>
  </si>
  <si>
    <t xml:space="preserve">Dunning</t>
  </si>
  <si>
    <t xml:space="preserve">The sequence of reminders sent to a customer whose payment failed — days 0, 2, 4 and 7, by email and WhatsApp.</t>
  </si>
  <si>
    <t xml:space="preserve">Save offer</t>
  </si>
  <si>
    <t xml:space="preserve">A discount or pause offered when a customer starts to cancel.</t>
  </si>
  <si>
    <t xml:space="preserve">Statement</t>
  </si>
  <si>
    <t xml:space="preserve">The monthly, immutable record of what RevRescue is charging a merchant, itemised per recovered invoice.</t>
  </si>
  <si>
    <t xml:space="preserve">Reversal</t>
  </si>
  <si>
    <t xml:space="preserve">Money leaving again: a refund or a chargeback on a payment already attributed.</t>
  </si>
  <si>
    <t xml:space="preserve">Fee dispute</t>
  </si>
  <si>
    <t xml:space="preserve">A merchant challenging a line on their statement. Excluded before issue, credited after.</t>
  </si>
  <si>
    <t xml:space="preserve">Idempotency key</t>
  </si>
  <si>
    <t xml:space="preserve">A stable identifier sent with a payment attempt so the platform charges once even if the request is repeated.</t>
  </si>
  <si>
    <t xml:space="preserve">Dead letter</t>
  </si>
  <si>
    <t xml:space="preserve">A record of work the system gave up on after repeated errors, kept for an operator to replay or discard.</t>
  </si>
  <si>
    <t xml:space="preserve">Operator plane</t>
  </si>
  <si>
    <t xml:space="preserve">The separately authenticated API used by RevRescue staff, not merchants, to replay dead letters and resolve fee disputes.</t>
  </si>
  <si>
    <t xml:space="preserve">Row-level security</t>
  </si>
  <si>
    <t xml:space="preserve">A Postgres feature that filters every query by tenant inside the database, so application code cannot leak across merchants.</t>
  </si>
  <si>
    <t xml:space="preserve">Hash-chained audit</t>
  </si>
  <si>
    <t xml:space="preserve">Each audit row stores a hash of the previous one, so edits, insertions and deletions become visible.</t>
  </si>
  <si>
    <t xml:space="preserve">Review gate</t>
  </si>
  <si>
    <t xml:space="preserve">A check that fails the build: reachability, published claims, schema, composition root, drift, event coverage and money invariants.</t>
  </si>
  <si>
    <t xml:space="preserve">Deliberately changing the compiled code to see whether the tests notice; the score is the percentage of changes caught.</t>
  </si>
  <si>
    <t xml:space="preserve">Evidence class</t>
  </si>
  <si>
    <t xml:space="preserve">How strongly a story is proven: unit, integration, contract, live, operational or external (operating rule R9).</t>
  </si>
  <si>
    <t xml:space="preserve">D14</t>
  </si>
  <si>
    <t xml:space="preserve">Senthil decision parking the Stripe adapters and the live dev account. The product total blocker.</t>
  </si>
  <si>
    <t xml:space="preserve">Park audit</t>
  </si>
  <si>
    <t xml:space="preserve">Re-testing every parked item against who parked it and why, so nothing stays blocked by assumption (rule L-RR8).</t>
  </si>
  <si>
    <t xml:space="preserve">SIGN-OFF</t>
  </si>
  <si>
    <t xml:space="preserve">Record of review and approval of this pack. Fill the name, date and outcome columns.</t>
  </si>
  <si>
    <t xml:space="preserve">Stage</t>
  </si>
  <si>
    <t xml:space="preserve">Name</t>
  </si>
  <si>
    <t xml:space="preserve">Outcome</t>
  </si>
  <si>
    <t xml:space="preserve">Notes</t>
  </si>
  <si>
    <t xml:space="preserve">Prepared</t>
  </si>
  <si>
    <t xml:space="preserve">56 manual test cases, all pending execution by the reviewer.</t>
  </si>
  <si>
    <t xml:space="preserve">Technical review</t>
  </si>
  <si>
    <t xml:space="preserve">Confirm the test results recorded in Manual_Test_Cases.</t>
  </si>
  <si>
    <t xml:space="preserve">Product owner approval</t>
  </si>
  <si>
    <t xml:space="preserve">Senthil (KP)</t>
  </si>
  <si>
    <t xml:space="preserve">Approve this pack, then take DEC-D5, DEC-RET and DEC-OPS.</t>
  </si>
  <si>
    <t xml:space="preserve">Release approval</t>
  </si>
  <si>
    <t xml:space="preserve">Not applicable until DEC-04 is taken and live Stripe evidence exists.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</si>
</sst>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name val="Arial"/>
      <family val="0"/>
      <charset val="1"/>
    </font>
    <font>
      <sz val="10"/>
      <name val="Arial"/>
      <family val="0"/>
      <charset val="1"/>
    </font>
    <font>
      <b val="true"/>
      <sz val="13"/>
      <color rgb="FFFFFFFF"/>
      <name val="Arial"/>
      <family val="0"/>
      <charset val="1"/>
    </font>
    <font>
      <i val="true"/>
      <sz val="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2F5597"/>
        <bgColor rgb="FF1F3864"/>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5597"/>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5"/>
  </cols>
  <sheetData>
    <row r="1" customFormat="false" ht="33.75" hidden="false" customHeight="true" outlineLevel="0" collapsed="false">
      <c r="A1" s="1" t="s">
        <v>0</v>
      </c>
      <c r="B1" s="2"/>
    </row>
    <row r="3" customFormat="false" ht="30" hidden="false" customHeight="true" outlineLevel="0" collapsed="false">
      <c r="A3" s="3" t="s">
        <v>1</v>
      </c>
      <c r="B3" s="4" t="s">
        <v>0</v>
      </c>
    </row>
    <row r="4" customFormat="false" ht="30" hidden="false" customHeight="true" outlineLevel="0" collapsed="false">
      <c r="A4" s="3" t="s">
        <v>2</v>
      </c>
      <c r="B4" s="4" t="s">
        <v>3</v>
      </c>
    </row>
    <row r="5" customFormat="false" ht="30" hidden="false" customHeight="true" outlineLevel="0" collapsed="false">
      <c r="A5" s="3" t="s">
        <v>4</v>
      </c>
      <c r="B5" s="4" t="s">
        <v>5</v>
      </c>
    </row>
    <row r="6" customFormat="false" ht="30" hidden="false" customHeight="true" outlineLevel="0" collapsed="false">
      <c r="A6" s="3" t="s">
        <v>6</v>
      </c>
      <c r="B6" s="4" t="s">
        <v>7</v>
      </c>
    </row>
    <row r="7" customFormat="false" ht="30" hidden="false" customHeight="true" outlineLevel="0" collapsed="false">
      <c r="A7" s="3" t="s">
        <v>8</v>
      </c>
      <c r="B7" s="4" t="s">
        <v>9</v>
      </c>
    </row>
    <row r="8" customFormat="false" ht="30" hidden="false" customHeight="true" outlineLevel="0" collapsed="false">
      <c r="A8" s="3" t="s">
        <v>10</v>
      </c>
      <c r="B8" s="4" t="s">
        <v>11</v>
      </c>
    </row>
    <row r="9" customFormat="false" ht="30" hidden="false" customHeight="true" outlineLevel="0" collapsed="false">
      <c r="A9" s="3" t="s">
        <v>12</v>
      </c>
      <c r="B9" s="4" t="s">
        <v>13</v>
      </c>
    </row>
    <row r="10" customFormat="false" ht="30" hidden="false" customHeight="true" outlineLevel="0" collapsed="false">
      <c r="A10" s="3" t="s">
        <v>14</v>
      </c>
      <c r="B10" s="4" t="s">
        <v>15</v>
      </c>
    </row>
    <row r="11" customFormat="false" ht="30" hidden="false" customHeight="true" outlineLevel="0" collapsed="false">
      <c r="A11" s="3" t="s">
        <v>16</v>
      </c>
      <c r="B11" s="4" t="s">
        <v>17</v>
      </c>
    </row>
    <row r="12" customFormat="false" ht="30" hidden="false" customHeight="true" outlineLevel="0" collapsed="false">
      <c r="A12" s="3" t="s">
        <v>18</v>
      </c>
      <c r="B12" s="4" t="s">
        <v>19</v>
      </c>
    </row>
    <row r="13" customFormat="false" ht="45.75" hidden="false" customHeight="true" outlineLevel="0" collapsed="false">
      <c r="A13" s="3" t="s">
        <v>20</v>
      </c>
      <c r="B13" s="4" t="s">
        <v>21</v>
      </c>
    </row>
    <row r="14" customFormat="false" ht="30" hidden="false" customHeight="true" outlineLevel="0" collapsed="false">
      <c r="A14" s="3" t="s">
        <v>22</v>
      </c>
      <c r="B14" s="4" t="s">
        <v>23</v>
      </c>
    </row>
    <row r="15" customFormat="false" ht="30" hidden="false" customHeight="true" outlineLevel="0" collapsed="false">
      <c r="A15" s="3" t="s">
        <v>24</v>
      </c>
      <c r="B15" s="4" t="s">
        <v>25</v>
      </c>
    </row>
    <row r="16" customFormat="false" ht="30" hidden="false" customHeight="true" outlineLevel="0" collapsed="false">
      <c r="A16" s="3" t="s">
        <v>26</v>
      </c>
      <c r="B16" s="4" t="s">
        <v>27</v>
      </c>
    </row>
    <row r="17" customFormat="false" ht="45.75" hidden="false" customHeight="true" outlineLevel="0" collapsed="false">
      <c r="A17" s="3" t="s">
        <v>28</v>
      </c>
      <c r="B17" s="4" t="s">
        <v>29</v>
      </c>
    </row>
    <row r="18" customFormat="false" ht="45.75" hidden="false" customHeight="true" outlineLevel="0" collapsed="false">
      <c r="A18" s="3" t="s">
        <v>30</v>
      </c>
      <c r="B18" s="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2"/>
    <col collapsed="false" customWidth="true" hidden="false" outlineLevel="0" max="4" min="4" style="0" width="95"/>
    <col collapsed="false" customWidth="true" hidden="false" outlineLevel="0" max="5" min="5" style="0" width="14"/>
  </cols>
  <sheetData>
    <row r="1" customFormat="false" ht="25.5" hidden="false" customHeight="true" outlineLevel="0" collapsed="false">
      <c r="A1" s="5" t="s">
        <v>32</v>
      </c>
      <c r="B1" s="2"/>
      <c r="C1" s="2"/>
      <c r="D1" s="2"/>
      <c r="E1" s="2"/>
    </row>
    <row r="2" customFormat="false" ht="43.5" hidden="false" customHeight="true" outlineLevel="0" collapsed="false">
      <c r="A2" s="6" t="s">
        <v>33</v>
      </c>
    </row>
    <row r="3" customFormat="false" ht="31.5" hidden="false" customHeight="true" outlineLevel="0" collapsed="false">
      <c r="A3" s="7" t="s">
        <v>34</v>
      </c>
      <c r="B3" s="7" t="s">
        <v>35</v>
      </c>
      <c r="C3" s="7" t="s">
        <v>36</v>
      </c>
      <c r="D3" s="7" t="s">
        <v>37</v>
      </c>
      <c r="E3" s="7" t="s">
        <v>22</v>
      </c>
    </row>
    <row r="4" customFormat="false" ht="90" hidden="false" customHeight="true" outlineLevel="0" collapsed="false">
      <c r="A4" s="8" t="s">
        <v>5</v>
      </c>
      <c r="B4" s="8" t="s">
        <v>7</v>
      </c>
      <c r="C4" s="8" t="s">
        <v>38</v>
      </c>
      <c r="D4" s="8" t="s">
        <v>39</v>
      </c>
      <c r="E4" s="8" t="s">
        <v>40</v>
      </c>
    </row>
  </sheetData>
  <autoFilter ref="A3:E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25.5" hidden="false" customHeight="true" outlineLevel="0" collapsed="false">
      <c r="A1" s="5" t="s">
        <v>41</v>
      </c>
      <c r="B1" s="2"/>
    </row>
    <row r="2" customFormat="false" ht="43.5" hidden="false" customHeight="true" outlineLevel="0" collapsed="false">
      <c r="A2" s="6" t="s">
        <v>42</v>
      </c>
    </row>
    <row r="3" customFormat="false" ht="31.5" hidden="false" customHeight="true" outlineLevel="0" collapsed="false">
      <c r="A3" s="7" t="s">
        <v>43</v>
      </c>
      <c r="B3" s="7" t="s">
        <v>44</v>
      </c>
    </row>
    <row r="4" customFormat="false" ht="57.75" hidden="false" customHeight="true" outlineLevel="0" collapsed="false">
      <c r="A4" s="8" t="s">
        <v>45</v>
      </c>
      <c r="B4" s="8" t="s">
        <v>46</v>
      </c>
    </row>
    <row r="5" customFormat="false" ht="57.75" hidden="false" customHeight="true" outlineLevel="0" collapsed="false">
      <c r="A5" s="4" t="s">
        <v>47</v>
      </c>
      <c r="B5" s="4" t="s">
        <v>48</v>
      </c>
    </row>
    <row r="6" customFormat="false" ht="57.75" hidden="false" customHeight="true" outlineLevel="0" collapsed="false">
      <c r="A6" s="8" t="s">
        <v>49</v>
      </c>
      <c r="B6" s="8" t="s">
        <v>50</v>
      </c>
    </row>
    <row r="7" customFormat="false" ht="57.75" hidden="false" customHeight="true" outlineLevel="0" collapsed="false">
      <c r="A7" s="4" t="s">
        <v>51</v>
      </c>
      <c r="B7" s="4" t="s">
        <v>52</v>
      </c>
    </row>
    <row r="8" customFormat="false" ht="57.75" hidden="false" customHeight="true" outlineLevel="0" collapsed="false">
      <c r="A8" s="8" t="s">
        <v>53</v>
      </c>
      <c r="B8" s="8" t="s">
        <v>54</v>
      </c>
    </row>
    <row r="9" customFormat="false" ht="57.75" hidden="false" customHeight="true" outlineLevel="0" collapsed="false">
      <c r="A9" s="4" t="s">
        <v>55</v>
      </c>
      <c r="B9" s="4" t="s">
        <v>56</v>
      </c>
    </row>
    <row r="10" customFormat="false" ht="57.75" hidden="false" customHeight="true" outlineLevel="0" collapsed="false">
      <c r="A10" s="8" t="s">
        <v>57</v>
      </c>
      <c r="B10" s="8" t="s">
        <v>58</v>
      </c>
    </row>
    <row r="11" customFormat="false" ht="57.75" hidden="false" customHeight="true" outlineLevel="0" collapsed="false">
      <c r="A11" s="4" t="s">
        <v>59</v>
      </c>
      <c r="B11" s="4" t="s">
        <v>60</v>
      </c>
    </row>
  </sheetData>
  <autoFilter ref="A3:B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60"/>
    <col collapsed="false" customWidth="true" hidden="false" outlineLevel="0" max="4" min="4" style="0" width="14"/>
  </cols>
  <sheetData>
    <row r="1" customFormat="false" ht="25.5" hidden="false" customHeight="true" outlineLevel="0" collapsed="false">
      <c r="A1" s="5" t="s">
        <v>61</v>
      </c>
      <c r="B1" s="2"/>
      <c r="C1" s="2"/>
      <c r="D1" s="2"/>
    </row>
    <row r="2" customFormat="false" ht="43.5" hidden="false" customHeight="true" outlineLevel="0" collapsed="false">
      <c r="A2" s="6" t="s">
        <v>62</v>
      </c>
    </row>
    <row r="3" customFormat="false" ht="31.5" hidden="false" customHeight="true" outlineLevel="0" collapsed="false">
      <c r="A3" s="7" t="s">
        <v>63</v>
      </c>
      <c r="B3" s="7" t="s">
        <v>64</v>
      </c>
      <c r="C3" s="7" t="s">
        <v>65</v>
      </c>
      <c r="D3" s="7" t="s">
        <v>66</v>
      </c>
    </row>
    <row r="4" customFormat="false" ht="39.75" hidden="false" customHeight="true" outlineLevel="0" collapsed="false">
      <c r="A4" s="8" t="s">
        <v>67</v>
      </c>
      <c r="B4" s="8" t="s">
        <v>68</v>
      </c>
      <c r="C4" s="8" t="s">
        <v>69</v>
      </c>
      <c r="D4" s="8" t="s">
        <v>70</v>
      </c>
    </row>
    <row r="5" customFormat="false" ht="39.75" hidden="false" customHeight="true" outlineLevel="0" collapsed="false">
      <c r="A5" s="4" t="s">
        <v>71</v>
      </c>
      <c r="B5" s="4" t="s">
        <v>72</v>
      </c>
      <c r="C5" s="4" t="s">
        <v>73</v>
      </c>
      <c r="D5" s="4" t="s">
        <v>38</v>
      </c>
    </row>
    <row r="6" customFormat="false" ht="39.75" hidden="false" customHeight="true" outlineLevel="0" collapsed="false">
      <c r="A6" s="8" t="s">
        <v>74</v>
      </c>
      <c r="B6" s="8" t="s">
        <v>75</v>
      </c>
      <c r="C6" s="8" t="s">
        <v>76</v>
      </c>
      <c r="D6" s="8" t="s">
        <v>70</v>
      </c>
    </row>
    <row r="7" customFormat="false" ht="39.75" hidden="false" customHeight="true" outlineLevel="0" collapsed="false">
      <c r="A7" s="4" t="s">
        <v>77</v>
      </c>
      <c r="B7" s="4" t="s">
        <v>78</v>
      </c>
      <c r="C7" s="4" t="s">
        <v>79</v>
      </c>
      <c r="D7" s="4" t="s">
        <v>70</v>
      </c>
    </row>
    <row r="8" customFormat="false" ht="39.75" hidden="false" customHeight="true" outlineLevel="0" collapsed="false">
      <c r="A8" s="8" t="s">
        <v>80</v>
      </c>
      <c r="B8" s="8" t="s">
        <v>81</v>
      </c>
      <c r="C8" s="8" t="s">
        <v>82</v>
      </c>
      <c r="D8" s="8" t="s">
        <v>38</v>
      </c>
    </row>
    <row r="9" customFormat="false" ht="39.75" hidden="false" customHeight="true" outlineLevel="0" collapsed="false">
      <c r="A9" s="4" t="s">
        <v>83</v>
      </c>
      <c r="B9" s="4" t="s">
        <v>84</v>
      </c>
      <c r="C9" s="4" t="s">
        <v>85</v>
      </c>
      <c r="D9" s="4" t="s">
        <v>86</v>
      </c>
    </row>
    <row r="10" customFormat="false" ht="39.75" hidden="false" customHeight="true" outlineLevel="0" collapsed="false">
      <c r="A10" s="8" t="s">
        <v>87</v>
      </c>
      <c r="B10" s="8" t="s">
        <v>88</v>
      </c>
      <c r="C10" s="8" t="s">
        <v>89</v>
      </c>
      <c r="D10" s="8" t="s">
        <v>90</v>
      </c>
    </row>
    <row r="11" customFormat="false" ht="39.75" hidden="false" customHeight="true" outlineLevel="0" collapsed="false">
      <c r="A11" s="4" t="s">
        <v>91</v>
      </c>
      <c r="B11" s="4" t="s">
        <v>92</v>
      </c>
      <c r="C11" s="4" t="s">
        <v>93</v>
      </c>
      <c r="D11" s="4" t="s">
        <v>94</v>
      </c>
    </row>
    <row r="12" customFormat="false" ht="39.75" hidden="false" customHeight="true" outlineLevel="0" collapsed="false">
      <c r="A12" s="8" t="s">
        <v>95</v>
      </c>
      <c r="B12" s="8" t="s">
        <v>96</v>
      </c>
      <c r="C12" s="8" t="s">
        <v>97</v>
      </c>
      <c r="D12" s="8" t="s">
        <v>70</v>
      </c>
    </row>
    <row r="13" customFormat="false" ht="39.75" hidden="false" customHeight="true" outlineLevel="0" collapsed="false">
      <c r="A13" s="4" t="s">
        <v>98</v>
      </c>
      <c r="B13" s="4" t="s">
        <v>99</v>
      </c>
      <c r="C13" s="4" t="s">
        <v>100</v>
      </c>
      <c r="D13" s="4" t="s">
        <v>94</v>
      </c>
    </row>
    <row r="14" customFormat="false" ht="39.75" hidden="false" customHeight="true" outlineLevel="0" collapsed="false">
      <c r="A14" s="8" t="s">
        <v>101</v>
      </c>
      <c r="B14" s="8" t="s">
        <v>102</v>
      </c>
      <c r="C14" s="8" t="s">
        <v>103</v>
      </c>
      <c r="D14" s="8" t="s">
        <v>86</v>
      </c>
    </row>
    <row r="15" customFormat="false" ht="39.75" hidden="false" customHeight="true" outlineLevel="0" collapsed="false">
      <c r="A15" s="4" t="s">
        <v>104</v>
      </c>
      <c r="B15" s="4" t="s">
        <v>105</v>
      </c>
      <c r="C15" s="4" t="s">
        <v>106</v>
      </c>
      <c r="D15" s="4" t="s">
        <v>70</v>
      </c>
    </row>
    <row r="16" customFormat="false" ht="39.75" hidden="false" customHeight="true" outlineLevel="0" collapsed="false">
      <c r="A16" s="8" t="s">
        <v>107</v>
      </c>
      <c r="B16" s="8" t="s">
        <v>108</v>
      </c>
      <c r="C16" s="8" t="s">
        <v>109</v>
      </c>
      <c r="D16" s="8" t="s">
        <v>86</v>
      </c>
    </row>
  </sheetData>
  <autoFilter ref="A3:D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7"/>
    <col collapsed="false" customWidth="true" hidden="false" outlineLevel="0" max="3" min="3" style="0" width="12"/>
    <col collapsed="false" customWidth="true" hidden="false" outlineLevel="0" max="4" min="4" style="0" width="34"/>
    <col collapsed="false" customWidth="true" hidden="false" outlineLevel="0" max="5" min="5" style="0" width="78"/>
    <col collapsed="false" customWidth="true" hidden="false" outlineLevel="0" max="6" min="6" style="0" width="64"/>
    <col collapsed="false" customWidth="true" hidden="false" outlineLevel="0" max="7" min="7" style="0" width="26"/>
    <col collapsed="false" customWidth="true" hidden="false" outlineLevel="0" max="8" min="8" style="0" width="11"/>
  </cols>
  <sheetData>
    <row r="1" customFormat="false" ht="25.5" hidden="false" customHeight="true" outlineLevel="0" collapsed="false">
      <c r="A1" s="5" t="s">
        <v>110</v>
      </c>
      <c r="B1" s="2"/>
      <c r="C1" s="2"/>
      <c r="D1" s="2"/>
      <c r="E1" s="2"/>
      <c r="F1" s="2"/>
      <c r="G1" s="2"/>
      <c r="H1" s="2"/>
    </row>
    <row r="2" customFormat="false" ht="43.5" hidden="false" customHeight="true" outlineLevel="0" collapsed="false">
      <c r="A2" s="6" t="s">
        <v>111</v>
      </c>
    </row>
    <row r="3" customFormat="false" ht="31.5" hidden="false" customHeight="true" outlineLevel="0" collapsed="false">
      <c r="A3" s="7" t="s">
        <v>34</v>
      </c>
      <c r="B3" s="7" t="s">
        <v>35</v>
      </c>
      <c r="C3" s="7" t="s">
        <v>112</v>
      </c>
      <c r="D3" s="7" t="s">
        <v>113</v>
      </c>
      <c r="E3" s="7" t="s">
        <v>114</v>
      </c>
      <c r="F3" s="7" t="s">
        <v>115</v>
      </c>
      <c r="G3" s="7" t="s">
        <v>116</v>
      </c>
      <c r="H3" s="7" t="s">
        <v>22</v>
      </c>
    </row>
    <row r="4" customFormat="false" ht="91.5" hidden="false" customHeight="true" outlineLevel="0" collapsed="false">
      <c r="A4" s="8" t="s">
        <v>117</v>
      </c>
      <c r="B4" s="8" t="s">
        <v>118</v>
      </c>
      <c r="C4" s="8" t="s">
        <v>70</v>
      </c>
      <c r="D4" s="8" t="s">
        <v>119</v>
      </c>
      <c r="E4" s="8" t="s">
        <v>120</v>
      </c>
      <c r="F4" s="8" t="s">
        <v>121</v>
      </c>
      <c r="G4" s="8" t="s">
        <v>122</v>
      </c>
      <c r="H4" s="8" t="s">
        <v>123</v>
      </c>
    </row>
    <row r="5" customFormat="false" ht="91.5" hidden="false" customHeight="true" outlineLevel="0" collapsed="false">
      <c r="A5" s="4" t="s">
        <v>124</v>
      </c>
      <c r="B5" s="4" t="s">
        <v>125</v>
      </c>
      <c r="C5" s="4" t="s">
        <v>70</v>
      </c>
      <c r="D5" s="4" t="s">
        <v>126</v>
      </c>
      <c r="E5" s="4" t="s">
        <v>127</v>
      </c>
      <c r="F5" s="4" t="s">
        <v>128</v>
      </c>
      <c r="G5" s="4" t="s">
        <v>129</v>
      </c>
      <c r="H5" s="4" t="s">
        <v>123</v>
      </c>
    </row>
    <row r="6" customFormat="false" ht="91.5" hidden="false" customHeight="true" outlineLevel="0" collapsed="false">
      <c r="A6" s="8" t="s">
        <v>130</v>
      </c>
      <c r="B6" s="8" t="s">
        <v>131</v>
      </c>
      <c r="C6" s="8" t="s">
        <v>70</v>
      </c>
      <c r="D6" s="8" t="s">
        <v>132</v>
      </c>
      <c r="E6" s="8" t="s">
        <v>133</v>
      </c>
      <c r="F6" s="8" t="s">
        <v>134</v>
      </c>
      <c r="G6" s="8" t="s">
        <v>129</v>
      </c>
      <c r="H6" s="8" t="s">
        <v>123</v>
      </c>
    </row>
    <row r="7" customFormat="false" ht="91.5" hidden="false" customHeight="true" outlineLevel="0" collapsed="false">
      <c r="A7" s="4" t="s">
        <v>135</v>
      </c>
      <c r="B7" s="4" t="s">
        <v>136</v>
      </c>
      <c r="C7" s="4" t="s">
        <v>70</v>
      </c>
      <c r="D7" s="4" t="s">
        <v>137</v>
      </c>
      <c r="E7" s="4" t="s">
        <v>138</v>
      </c>
      <c r="F7" s="4" t="s">
        <v>139</v>
      </c>
      <c r="G7" s="4" t="s">
        <v>140</v>
      </c>
      <c r="H7" s="4" t="s">
        <v>123</v>
      </c>
    </row>
    <row r="8" customFormat="false" ht="91.5" hidden="false" customHeight="true" outlineLevel="0" collapsed="false">
      <c r="A8" s="8" t="s">
        <v>141</v>
      </c>
      <c r="B8" s="8" t="s">
        <v>142</v>
      </c>
      <c r="C8" s="8" t="s">
        <v>70</v>
      </c>
      <c r="D8" s="8" t="s">
        <v>143</v>
      </c>
      <c r="E8" s="8" t="s">
        <v>144</v>
      </c>
      <c r="F8" s="8" t="s">
        <v>145</v>
      </c>
      <c r="G8" s="8" t="s">
        <v>140</v>
      </c>
      <c r="H8" s="8" t="s">
        <v>123</v>
      </c>
    </row>
    <row r="9" customFormat="false" ht="91.5" hidden="false" customHeight="true" outlineLevel="0" collapsed="false">
      <c r="A9" s="4" t="s">
        <v>146</v>
      </c>
      <c r="B9" s="4" t="s">
        <v>147</v>
      </c>
      <c r="C9" s="4" t="s">
        <v>70</v>
      </c>
      <c r="D9" s="4" t="s">
        <v>148</v>
      </c>
      <c r="E9" s="4" t="s">
        <v>149</v>
      </c>
      <c r="F9" s="4" t="s">
        <v>150</v>
      </c>
      <c r="G9" s="4" t="s">
        <v>140</v>
      </c>
      <c r="H9" s="4" t="s">
        <v>123</v>
      </c>
    </row>
    <row r="10" customFormat="false" ht="91.5" hidden="false" customHeight="true" outlineLevel="0" collapsed="false">
      <c r="A10" s="8" t="s">
        <v>151</v>
      </c>
      <c r="B10" s="8" t="s">
        <v>152</v>
      </c>
      <c r="C10" s="8" t="s">
        <v>70</v>
      </c>
      <c r="D10" s="8" t="s">
        <v>153</v>
      </c>
      <c r="E10" s="8" t="s">
        <v>154</v>
      </c>
      <c r="F10" s="8" t="s">
        <v>155</v>
      </c>
      <c r="G10" s="8" t="s">
        <v>156</v>
      </c>
      <c r="H10" s="8" t="s">
        <v>123</v>
      </c>
    </row>
    <row r="11" customFormat="false" ht="91.5" hidden="false" customHeight="true" outlineLevel="0" collapsed="false">
      <c r="A11" s="4" t="s">
        <v>157</v>
      </c>
      <c r="B11" s="4" t="s">
        <v>158</v>
      </c>
      <c r="C11" s="4" t="s">
        <v>70</v>
      </c>
      <c r="D11" s="4" t="s">
        <v>159</v>
      </c>
      <c r="E11" s="4" t="s">
        <v>160</v>
      </c>
      <c r="F11" s="4" t="s">
        <v>161</v>
      </c>
      <c r="G11" s="4" t="s">
        <v>162</v>
      </c>
      <c r="H11" s="4" t="s">
        <v>123</v>
      </c>
    </row>
    <row r="12" customFormat="false" ht="91.5" hidden="false" customHeight="true" outlineLevel="0" collapsed="false">
      <c r="A12" s="8" t="s">
        <v>163</v>
      </c>
      <c r="B12" s="8" t="s">
        <v>164</v>
      </c>
      <c r="C12" s="8" t="s">
        <v>70</v>
      </c>
      <c r="D12" s="8" t="s">
        <v>165</v>
      </c>
      <c r="E12" s="8" t="s">
        <v>166</v>
      </c>
      <c r="F12" s="8" t="s">
        <v>167</v>
      </c>
      <c r="G12" s="8" t="s">
        <v>162</v>
      </c>
      <c r="H12" s="8" t="s">
        <v>123</v>
      </c>
    </row>
    <row r="13" customFormat="false" ht="91.5" hidden="false" customHeight="true" outlineLevel="0" collapsed="false">
      <c r="A13" s="4" t="s">
        <v>168</v>
      </c>
      <c r="B13" s="4" t="s">
        <v>169</v>
      </c>
      <c r="C13" s="4" t="s">
        <v>70</v>
      </c>
      <c r="D13" s="4" t="s">
        <v>170</v>
      </c>
      <c r="E13" s="4" t="s">
        <v>171</v>
      </c>
      <c r="F13" s="4" t="s">
        <v>172</v>
      </c>
      <c r="G13" s="4" t="s">
        <v>173</v>
      </c>
      <c r="H13" s="4" t="s">
        <v>123</v>
      </c>
    </row>
    <row r="14" customFormat="false" ht="91.5" hidden="false" customHeight="true" outlineLevel="0" collapsed="false">
      <c r="A14" s="8" t="s">
        <v>174</v>
      </c>
      <c r="B14" s="8" t="s">
        <v>175</v>
      </c>
      <c r="C14" s="8" t="s">
        <v>70</v>
      </c>
      <c r="D14" s="8" t="s">
        <v>176</v>
      </c>
      <c r="E14" s="8" t="s">
        <v>177</v>
      </c>
      <c r="F14" s="8" t="s">
        <v>178</v>
      </c>
      <c r="G14" s="8" t="s">
        <v>140</v>
      </c>
      <c r="H14" s="8" t="s">
        <v>123</v>
      </c>
    </row>
    <row r="15" customFormat="false" ht="91.5" hidden="false" customHeight="true" outlineLevel="0" collapsed="false">
      <c r="A15" s="4" t="s">
        <v>179</v>
      </c>
      <c r="B15" s="4" t="s">
        <v>180</v>
      </c>
      <c r="C15" s="4" t="s">
        <v>70</v>
      </c>
      <c r="D15" s="4" t="s">
        <v>181</v>
      </c>
      <c r="E15" s="4" t="s">
        <v>182</v>
      </c>
      <c r="F15" s="4" t="s">
        <v>183</v>
      </c>
      <c r="G15" s="4" t="s">
        <v>173</v>
      </c>
      <c r="H15" s="4" t="s">
        <v>123</v>
      </c>
    </row>
    <row r="16" customFormat="false" ht="91.5" hidden="false" customHeight="true" outlineLevel="0" collapsed="false">
      <c r="A16" s="8" t="s">
        <v>184</v>
      </c>
      <c r="B16" s="8" t="s">
        <v>185</v>
      </c>
      <c r="C16" s="8" t="s">
        <v>70</v>
      </c>
      <c r="D16" s="8" t="s">
        <v>186</v>
      </c>
      <c r="E16" s="8" t="s">
        <v>187</v>
      </c>
      <c r="F16" s="8" t="s">
        <v>188</v>
      </c>
      <c r="G16" s="8" t="s">
        <v>162</v>
      </c>
      <c r="H16" s="8" t="s">
        <v>123</v>
      </c>
    </row>
    <row r="17" customFormat="false" ht="91.5" hidden="false" customHeight="true" outlineLevel="0" collapsed="false">
      <c r="A17" s="4" t="s">
        <v>189</v>
      </c>
      <c r="B17" s="4" t="s">
        <v>190</v>
      </c>
      <c r="C17" s="4" t="s">
        <v>70</v>
      </c>
      <c r="D17" s="4" t="s">
        <v>191</v>
      </c>
      <c r="E17" s="4" t="s">
        <v>192</v>
      </c>
      <c r="F17" s="4" t="s">
        <v>193</v>
      </c>
      <c r="G17" s="4" t="s">
        <v>173</v>
      </c>
      <c r="H17" s="4" t="s">
        <v>123</v>
      </c>
    </row>
    <row r="18" customFormat="false" ht="91.5" hidden="false" customHeight="true" outlineLevel="0" collapsed="false">
      <c r="A18" s="8" t="s">
        <v>194</v>
      </c>
      <c r="B18" s="8" t="s">
        <v>195</v>
      </c>
      <c r="C18" s="8" t="s">
        <v>70</v>
      </c>
      <c r="D18" s="8" t="s">
        <v>196</v>
      </c>
      <c r="E18" s="8" t="s">
        <v>197</v>
      </c>
      <c r="F18" s="8" t="s">
        <v>198</v>
      </c>
      <c r="G18" s="8" t="s">
        <v>173</v>
      </c>
      <c r="H18" s="8" t="s">
        <v>123</v>
      </c>
    </row>
    <row r="19" customFormat="false" ht="91.5" hidden="false" customHeight="true" outlineLevel="0" collapsed="false">
      <c r="A19" s="4" t="s">
        <v>199</v>
      </c>
      <c r="B19" s="4" t="s">
        <v>200</v>
      </c>
      <c r="C19" s="4" t="s">
        <v>70</v>
      </c>
      <c r="D19" s="4" t="s">
        <v>201</v>
      </c>
      <c r="E19" s="4" t="s">
        <v>202</v>
      </c>
      <c r="F19" s="4" t="s">
        <v>203</v>
      </c>
      <c r="G19" s="4" t="s">
        <v>173</v>
      </c>
      <c r="H19" s="4" t="s">
        <v>123</v>
      </c>
    </row>
    <row r="20" customFormat="false" ht="91.5" hidden="false" customHeight="true" outlineLevel="0" collapsed="false">
      <c r="A20" s="8" t="s">
        <v>204</v>
      </c>
      <c r="B20" s="8" t="s">
        <v>205</v>
      </c>
      <c r="C20" s="8" t="s">
        <v>70</v>
      </c>
      <c r="D20" s="8" t="s">
        <v>206</v>
      </c>
      <c r="E20" s="8" t="s">
        <v>207</v>
      </c>
      <c r="F20" s="8" t="s">
        <v>208</v>
      </c>
      <c r="G20" s="8" t="s">
        <v>173</v>
      </c>
      <c r="H20" s="8" t="s">
        <v>123</v>
      </c>
    </row>
    <row r="21" customFormat="false" ht="91.5" hidden="false" customHeight="true" outlineLevel="0" collapsed="false">
      <c r="A21" s="4" t="s">
        <v>209</v>
      </c>
      <c r="B21" s="4" t="s">
        <v>210</v>
      </c>
      <c r="C21" s="4" t="s">
        <v>70</v>
      </c>
      <c r="D21" s="4" t="s">
        <v>211</v>
      </c>
      <c r="E21" s="4" t="s">
        <v>212</v>
      </c>
      <c r="F21" s="4" t="s">
        <v>213</v>
      </c>
      <c r="G21" s="4" t="s">
        <v>173</v>
      </c>
      <c r="H21" s="4" t="s">
        <v>123</v>
      </c>
    </row>
    <row r="22" customFormat="false" ht="91.5" hidden="false" customHeight="true" outlineLevel="0" collapsed="false">
      <c r="A22" s="8" t="s">
        <v>214</v>
      </c>
      <c r="B22" s="8" t="s">
        <v>215</v>
      </c>
      <c r="C22" s="8" t="s">
        <v>216</v>
      </c>
      <c r="D22" s="8" t="s">
        <v>217</v>
      </c>
      <c r="E22" s="8" t="s">
        <v>218</v>
      </c>
      <c r="F22" s="8" t="s">
        <v>219</v>
      </c>
      <c r="G22" s="8" t="s">
        <v>173</v>
      </c>
      <c r="H22" s="8" t="s">
        <v>123</v>
      </c>
    </row>
    <row r="23" customFormat="false" ht="91.5" hidden="false" customHeight="true" outlineLevel="0" collapsed="false">
      <c r="A23" s="4" t="s">
        <v>220</v>
      </c>
      <c r="B23" s="4" t="s">
        <v>221</v>
      </c>
      <c r="C23" s="4" t="s">
        <v>222</v>
      </c>
      <c r="D23" s="4" t="s">
        <v>223</v>
      </c>
      <c r="E23" s="4" t="s">
        <v>224</v>
      </c>
      <c r="F23" s="4" t="s">
        <v>225</v>
      </c>
      <c r="G23" s="4" t="s">
        <v>226</v>
      </c>
      <c r="H23" s="4" t="s">
        <v>123</v>
      </c>
    </row>
    <row r="24" customFormat="false" ht="91.5" hidden="false" customHeight="true" outlineLevel="0" collapsed="false">
      <c r="A24" s="8" t="s">
        <v>227</v>
      </c>
      <c r="B24" s="8" t="s">
        <v>228</v>
      </c>
      <c r="C24" s="8" t="s">
        <v>229</v>
      </c>
      <c r="D24" s="8" t="s">
        <v>230</v>
      </c>
      <c r="E24" s="8" t="s">
        <v>231</v>
      </c>
      <c r="F24" s="8" t="s">
        <v>232</v>
      </c>
      <c r="G24" s="8" t="s">
        <v>233</v>
      </c>
      <c r="H24" s="8" t="s">
        <v>123</v>
      </c>
    </row>
  </sheetData>
  <autoFilter ref="A3:H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62"/>
    <col collapsed="false" customWidth="true" hidden="false" outlineLevel="0" max="4" min="4" style="0" width="26"/>
    <col collapsed="false" customWidth="true" hidden="false" outlineLevel="0" max="5" min="5" style="0" width="12"/>
    <col collapsed="false" customWidth="true" hidden="false" outlineLevel="0" max="6" min="6" style="0" width="40"/>
  </cols>
  <sheetData>
    <row r="1" customFormat="false" ht="25.5" hidden="false" customHeight="true" outlineLevel="0" collapsed="false">
      <c r="A1" s="5" t="s">
        <v>234</v>
      </c>
      <c r="B1" s="2"/>
      <c r="C1" s="2"/>
      <c r="D1" s="2"/>
      <c r="E1" s="2"/>
      <c r="F1" s="2"/>
    </row>
    <row r="2" customFormat="false" ht="43.5" hidden="false" customHeight="true" outlineLevel="0" collapsed="false">
      <c r="A2" s="6" t="s">
        <v>235</v>
      </c>
    </row>
    <row r="3" customFormat="false" ht="31.5" hidden="false" customHeight="true" outlineLevel="0" collapsed="false">
      <c r="A3" s="7" t="s">
        <v>236</v>
      </c>
      <c r="B3" s="7" t="s">
        <v>237</v>
      </c>
      <c r="C3" s="7" t="s">
        <v>238</v>
      </c>
      <c r="D3" s="7" t="s">
        <v>239</v>
      </c>
      <c r="E3" s="7" t="s">
        <v>66</v>
      </c>
      <c r="F3" s="7" t="s">
        <v>240</v>
      </c>
    </row>
    <row r="4" customFormat="false" ht="75.75" hidden="false" customHeight="true" outlineLevel="0" collapsed="false">
      <c r="A4" s="8" t="s">
        <v>241</v>
      </c>
      <c r="B4" s="8" t="s">
        <v>242</v>
      </c>
      <c r="C4" s="8" t="s">
        <v>243</v>
      </c>
      <c r="D4" s="8" t="s">
        <v>244</v>
      </c>
      <c r="E4" s="8" t="s">
        <v>86</v>
      </c>
      <c r="F4" s="8" t="s">
        <v>245</v>
      </c>
    </row>
    <row r="5" customFormat="false" ht="75.75" hidden="false" customHeight="true" outlineLevel="0" collapsed="false">
      <c r="A5" s="4" t="s">
        <v>241</v>
      </c>
      <c r="B5" s="4" t="s">
        <v>246</v>
      </c>
      <c r="C5" s="4" t="s">
        <v>247</v>
      </c>
      <c r="D5" s="4" t="s">
        <v>248</v>
      </c>
      <c r="E5" s="4" t="s">
        <v>86</v>
      </c>
      <c r="F5" s="4" t="s">
        <v>249</v>
      </c>
    </row>
    <row r="6" customFormat="false" ht="75.75" hidden="false" customHeight="true" outlineLevel="0" collapsed="false">
      <c r="A6" s="8" t="s">
        <v>241</v>
      </c>
      <c r="B6" s="8" t="s">
        <v>250</v>
      </c>
      <c r="C6" s="8" t="s">
        <v>251</v>
      </c>
      <c r="D6" s="8" t="s">
        <v>248</v>
      </c>
      <c r="E6" s="8" t="s">
        <v>86</v>
      </c>
      <c r="F6" s="8" t="s">
        <v>249</v>
      </c>
    </row>
    <row r="7" customFormat="false" ht="75.75" hidden="false" customHeight="true" outlineLevel="0" collapsed="false">
      <c r="A7" s="4" t="s">
        <v>252</v>
      </c>
      <c r="B7" s="4" t="s">
        <v>253</v>
      </c>
      <c r="C7" s="4" t="s">
        <v>254</v>
      </c>
      <c r="D7" s="4" t="s">
        <v>248</v>
      </c>
      <c r="E7" s="4" t="s">
        <v>86</v>
      </c>
      <c r="F7" s="4" t="s">
        <v>255</v>
      </c>
    </row>
    <row r="8" customFormat="false" ht="75.75" hidden="false" customHeight="true" outlineLevel="0" collapsed="false">
      <c r="A8" s="8" t="s">
        <v>256</v>
      </c>
      <c r="B8" s="8" t="s">
        <v>257</v>
      </c>
      <c r="C8" s="8" t="s">
        <v>258</v>
      </c>
      <c r="D8" s="8" t="s">
        <v>259</v>
      </c>
      <c r="E8" s="8" t="s">
        <v>86</v>
      </c>
      <c r="F8" s="8" t="s">
        <v>260</v>
      </c>
    </row>
    <row r="9" customFormat="false" ht="75.75" hidden="false" customHeight="true" outlineLevel="0" collapsed="false">
      <c r="A9" s="4" t="s">
        <v>256</v>
      </c>
      <c r="B9" s="4" t="s">
        <v>261</v>
      </c>
      <c r="C9" s="4" t="s">
        <v>262</v>
      </c>
      <c r="D9" s="4" t="s">
        <v>263</v>
      </c>
      <c r="E9" s="4" t="s">
        <v>86</v>
      </c>
      <c r="F9" s="4" t="s">
        <v>264</v>
      </c>
    </row>
    <row r="10" customFormat="false" ht="75.75" hidden="false" customHeight="true" outlineLevel="0" collapsed="false">
      <c r="A10" s="8" t="s">
        <v>265</v>
      </c>
      <c r="B10" s="8" t="s">
        <v>266</v>
      </c>
      <c r="C10" s="8" t="s">
        <v>267</v>
      </c>
      <c r="D10" s="8" t="s">
        <v>268</v>
      </c>
      <c r="E10" s="8" t="s">
        <v>86</v>
      </c>
      <c r="F10" s="8" t="s">
        <v>269</v>
      </c>
    </row>
    <row r="11" customFormat="false" ht="75.75" hidden="false" customHeight="true" outlineLevel="0" collapsed="false">
      <c r="A11" s="4" t="s">
        <v>270</v>
      </c>
      <c r="B11" s="4" t="s">
        <v>271</v>
      </c>
      <c r="C11" s="4" t="s">
        <v>272</v>
      </c>
      <c r="D11" s="4" t="s">
        <v>273</v>
      </c>
      <c r="E11" s="4" t="s">
        <v>86</v>
      </c>
      <c r="F11" s="4" t="s">
        <v>274</v>
      </c>
    </row>
    <row r="12" customFormat="false" ht="75.75" hidden="false" customHeight="true" outlineLevel="0" collapsed="false">
      <c r="A12" s="8" t="s">
        <v>270</v>
      </c>
      <c r="B12" s="8" t="s">
        <v>275</v>
      </c>
      <c r="C12" s="8" t="s">
        <v>276</v>
      </c>
      <c r="D12" s="8" t="s">
        <v>273</v>
      </c>
      <c r="E12" s="8" t="s">
        <v>86</v>
      </c>
      <c r="F12" s="8" t="s">
        <v>277</v>
      </c>
    </row>
    <row r="13" customFormat="false" ht="75.75" hidden="false" customHeight="true" outlineLevel="0" collapsed="false">
      <c r="A13" s="4" t="s">
        <v>278</v>
      </c>
      <c r="B13" s="4" t="s">
        <v>279</v>
      </c>
      <c r="C13" s="4" t="s">
        <v>280</v>
      </c>
      <c r="D13" s="4" t="s">
        <v>281</v>
      </c>
      <c r="E13" s="4" t="s">
        <v>86</v>
      </c>
      <c r="F13" s="4" t="s">
        <v>282</v>
      </c>
    </row>
    <row r="14" customFormat="false" ht="75.75" hidden="false" customHeight="true" outlineLevel="0" collapsed="false">
      <c r="A14" s="8" t="s">
        <v>283</v>
      </c>
      <c r="B14" s="8" t="s">
        <v>284</v>
      </c>
      <c r="C14" s="8" t="s">
        <v>285</v>
      </c>
      <c r="D14" s="8" t="s">
        <v>286</v>
      </c>
      <c r="E14" s="8" t="s">
        <v>86</v>
      </c>
      <c r="F14" s="8" t="s">
        <v>287</v>
      </c>
    </row>
    <row r="15" customFormat="false" ht="75.75" hidden="false" customHeight="true" outlineLevel="0" collapsed="false">
      <c r="A15" s="4" t="s">
        <v>288</v>
      </c>
      <c r="B15" s="4" t="s">
        <v>289</v>
      </c>
      <c r="C15" s="4" t="s">
        <v>290</v>
      </c>
      <c r="D15" s="4" t="s">
        <v>291</v>
      </c>
      <c r="E15" s="4" t="s">
        <v>292</v>
      </c>
      <c r="F15" s="4" t="s">
        <v>293</v>
      </c>
    </row>
    <row r="16" customFormat="false" ht="75.75" hidden="false" customHeight="true" outlineLevel="0" collapsed="false">
      <c r="A16" s="8" t="s">
        <v>288</v>
      </c>
      <c r="B16" s="8" t="s">
        <v>294</v>
      </c>
      <c r="C16" s="8" t="s">
        <v>295</v>
      </c>
      <c r="D16" s="8" t="s">
        <v>296</v>
      </c>
      <c r="E16" s="8" t="s">
        <v>292</v>
      </c>
      <c r="F16" s="8" t="s">
        <v>297</v>
      </c>
    </row>
    <row r="17" customFormat="false" ht="75.75" hidden="false" customHeight="true" outlineLevel="0" collapsed="false">
      <c r="A17" s="4" t="s">
        <v>288</v>
      </c>
      <c r="B17" s="4" t="s">
        <v>298</v>
      </c>
      <c r="C17" s="4" t="s">
        <v>299</v>
      </c>
      <c r="D17" s="4" t="s">
        <v>300</v>
      </c>
      <c r="E17" s="4" t="s">
        <v>86</v>
      </c>
      <c r="F17" s="4" t="s">
        <v>301</v>
      </c>
    </row>
  </sheetData>
  <autoFilter ref="A3:F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72"/>
    <col collapsed="false" customWidth="true" hidden="false" outlineLevel="0" max="4" min="4" style="0" width="62"/>
  </cols>
  <sheetData>
    <row r="1" customFormat="false" ht="25.5" hidden="false" customHeight="true" outlineLevel="0" collapsed="false">
      <c r="A1" s="5" t="s">
        <v>302</v>
      </c>
      <c r="B1" s="2"/>
      <c r="C1" s="2"/>
      <c r="D1" s="2"/>
    </row>
    <row r="2" customFormat="false" ht="43.5" hidden="false" customHeight="true" outlineLevel="0" collapsed="false">
      <c r="A2" s="6" t="s">
        <v>303</v>
      </c>
    </row>
    <row r="3" customFormat="false" ht="31.5" hidden="false" customHeight="true" outlineLevel="0" collapsed="false">
      <c r="A3" s="7" t="s">
        <v>304</v>
      </c>
      <c r="B3" s="7" t="s">
        <v>305</v>
      </c>
      <c r="C3" s="7" t="s">
        <v>306</v>
      </c>
      <c r="D3" s="7" t="s">
        <v>307</v>
      </c>
    </row>
    <row r="4" customFormat="false" ht="99.75" hidden="false" customHeight="true" outlineLevel="0" collapsed="false">
      <c r="A4" s="8" t="s">
        <v>308</v>
      </c>
      <c r="B4" s="8" t="s">
        <v>309</v>
      </c>
      <c r="C4" s="8" t="s">
        <v>310</v>
      </c>
      <c r="D4" s="8" t="s">
        <v>311</v>
      </c>
    </row>
    <row r="5" customFormat="false" ht="99.75" hidden="false" customHeight="true" outlineLevel="0" collapsed="false">
      <c r="A5" s="4" t="s">
        <v>312</v>
      </c>
      <c r="B5" s="4" t="s">
        <v>313</v>
      </c>
      <c r="C5" s="4" t="s">
        <v>314</v>
      </c>
      <c r="D5" s="4" t="s">
        <v>315</v>
      </c>
    </row>
    <row r="6" customFormat="false" ht="99.75" hidden="false" customHeight="true" outlineLevel="0" collapsed="false">
      <c r="A6" s="8" t="s">
        <v>316</v>
      </c>
      <c r="B6" s="8" t="s">
        <v>317</v>
      </c>
      <c r="C6" s="8" t="s">
        <v>318</v>
      </c>
      <c r="D6" s="8" t="s">
        <v>319</v>
      </c>
    </row>
    <row r="7" customFormat="false" ht="99.75" hidden="false" customHeight="true" outlineLevel="0" collapsed="false">
      <c r="A7" s="4" t="s">
        <v>320</v>
      </c>
      <c r="B7" s="4" t="s">
        <v>321</v>
      </c>
      <c r="C7" s="4" t="s">
        <v>322</v>
      </c>
      <c r="D7" s="4" t="s">
        <v>323</v>
      </c>
    </row>
    <row r="8" customFormat="false" ht="99.75" hidden="false" customHeight="true" outlineLevel="0" collapsed="false">
      <c r="A8" s="8" t="s">
        <v>214</v>
      </c>
      <c r="B8" s="8" t="s">
        <v>324</v>
      </c>
      <c r="C8" s="8" t="s">
        <v>325</v>
      </c>
      <c r="D8" s="8" t="s">
        <v>326</v>
      </c>
    </row>
    <row r="9" customFormat="false" ht="99.75" hidden="false" customHeight="true" outlineLevel="0" collapsed="false">
      <c r="A9" s="4" t="s">
        <v>220</v>
      </c>
      <c r="B9" s="4" t="s">
        <v>327</v>
      </c>
      <c r="C9" s="4" t="s">
        <v>328</v>
      </c>
      <c r="D9" s="4" t="s">
        <v>329</v>
      </c>
    </row>
    <row r="10" customFormat="false" ht="99.75" hidden="false" customHeight="true" outlineLevel="0" collapsed="false">
      <c r="A10" s="8" t="s">
        <v>227</v>
      </c>
      <c r="B10" s="8" t="s">
        <v>330</v>
      </c>
      <c r="C10" s="8" t="s">
        <v>331</v>
      </c>
      <c r="D10" s="8" t="s">
        <v>332</v>
      </c>
    </row>
    <row r="11" customFormat="false" ht="99.75" hidden="false" customHeight="true" outlineLevel="0" collapsed="false">
      <c r="A11" s="4" t="s">
        <v>333</v>
      </c>
      <c r="B11" s="4" t="s">
        <v>334</v>
      </c>
      <c r="C11" s="4" t="s">
        <v>335</v>
      </c>
      <c r="D11" s="4" t="s">
        <v>336</v>
      </c>
    </row>
  </sheetData>
  <autoFilter ref="A3:D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20"/>
    <col collapsed="false" customWidth="true" hidden="false" outlineLevel="0" max="4" min="4" style="0" width="10"/>
    <col collapsed="false" customWidth="true" hidden="false" outlineLevel="0" max="5" min="5" style="0" width="36"/>
    <col collapsed="false" customWidth="true" hidden="false" outlineLevel="0" max="6" min="6" style="0" width="46"/>
    <col collapsed="false" customWidth="true" hidden="false" outlineLevel="0" max="7" min="7" style="0" width="26"/>
    <col collapsed="false" customWidth="true" hidden="false" outlineLevel="0" max="9" min="8" style="0" width="62"/>
    <col collapsed="false" customWidth="true" hidden="false" outlineLevel="0" max="10" min="10" style="0" width="11"/>
    <col collapsed="false" customWidth="true" hidden="false" outlineLevel="0" max="11" min="11" style="0" width="13"/>
    <col collapsed="false" customWidth="true" hidden="false" outlineLevel="0" max="12" min="12" style="0" width="12"/>
    <col collapsed="false" customWidth="true" hidden="false" outlineLevel="0" max="13" min="13" style="0" width="30"/>
  </cols>
  <sheetData>
    <row r="1" customFormat="false" ht="25.5" hidden="false" customHeight="true" outlineLevel="0" collapsed="false">
      <c r="A1" s="5" t="s">
        <v>337</v>
      </c>
      <c r="B1" s="2"/>
      <c r="C1" s="2"/>
      <c r="D1" s="2"/>
      <c r="E1" s="2"/>
      <c r="F1" s="2"/>
      <c r="G1" s="2"/>
      <c r="H1" s="2"/>
      <c r="I1" s="2"/>
      <c r="J1" s="2"/>
      <c r="K1" s="2"/>
      <c r="L1" s="2"/>
      <c r="M1" s="2"/>
    </row>
    <row r="2" customFormat="false" ht="43.5" hidden="false" customHeight="true" outlineLevel="0" collapsed="false">
      <c r="A2" s="6" t="s">
        <v>338</v>
      </c>
    </row>
    <row r="3" customFormat="false" ht="31.5" hidden="false" customHeight="true" outlineLevel="0" collapsed="false">
      <c r="A3" s="7" t="s">
        <v>339</v>
      </c>
      <c r="B3" s="7" t="s">
        <v>34</v>
      </c>
      <c r="C3" s="7" t="s">
        <v>340</v>
      </c>
      <c r="D3" s="7" t="s">
        <v>341</v>
      </c>
      <c r="E3" s="7" t="s">
        <v>342</v>
      </c>
      <c r="F3" s="7" t="s">
        <v>343</v>
      </c>
      <c r="G3" s="7" t="s">
        <v>344</v>
      </c>
      <c r="H3" s="7" t="s">
        <v>306</v>
      </c>
      <c r="I3" s="7" t="s">
        <v>307</v>
      </c>
      <c r="J3" s="7" t="s">
        <v>345</v>
      </c>
      <c r="K3" s="7" t="s">
        <v>94</v>
      </c>
      <c r="L3" s="7" t="s">
        <v>346</v>
      </c>
      <c r="M3" s="7" t="s">
        <v>347</v>
      </c>
    </row>
    <row r="4" customFormat="false" ht="91.5" hidden="false" customHeight="true" outlineLevel="0" collapsed="false">
      <c r="A4" s="8" t="s">
        <v>348</v>
      </c>
      <c r="B4" s="8" t="s">
        <v>227</v>
      </c>
      <c r="C4" s="8" t="s">
        <v>349</v>
      </c>
      <c r="D4" s="8" t="s">
        <v>350</v>
      </c>
      <c r="E4" s="8" t="s">
        <v>351</v>
      </c>
      <c r="F4" s="8" t="s">
        <v>352</v>
      </c>
      <c r="G4" s="8" t="s">
        <v>353</v>
      </c>
      <c r="H4" s="8" t="s">
        <v>354</v>
      </c>
      <c r="I4" s="8" t="s">
        <v>355</v>
      </c>
      <c r="J4" s="8"/>
      <c r="K4" s="8"/>
      <c r="L4" s="8"/>
      <c r="M4" s="8"/>
    </row>
    <row r="5" customFormat="false" ht="91.5" hidden="false" customHeight="true" outlineLevel="0" collapsed="false">
      <c r="A5" s="4" t="s">
        <v>356</v>
      </c>
      <c r="B5" s="4" t="s">
        <v>227</v>
      </c>
      <c r="C5" s="4" t="s">
        <v>349</v>
      </c>
      <c r="D5" s="4" t="s">
        <v>350</v>
      </c>
      <c r="E5" s="4" t="s">
        <v>357</v>
      </c>
      <c r="F5" s="4" t="s">
        <v>358</v>
      </c>
      <c r="G5" s="4" t="s">
        <v>359</v>
      </c>
      <c r="H5" s="4" t="s">
        <v>360</v>
      </c>
      <c r="I5" s="4" t="s">
        <v>361</v>
      </c>
      <c r="J5" s="4"/>
      <c r="K5" s="4"/>
      <c r="L5" s="4"/>
      <c r="M5" s="4"/>
    </row>
    <row r="6" customFormat="false" ht="91.5" hidden="false" customHeight="true" outlineLevel="0" collapsed="false">
      <c r="A6" s="8" t="s">
        <v>362</v>
      </c>
      <c r="B6" s="8" t="s">
        <v>227</v>
      </c>
      <c r="C6" s="8" t="s">
        <v>349</v>
      </c>
      <c r="D6" s="8" t="s">
        <v>363</v>
      </c>
      <c r="E6" s="8" t="s">
        <v>364</v>
      </c>
      <c r="F6" s="8" t="s">
        <v>365</v>
      </c>
      <c r="G6" s="8" t="s">
        <v>366</v>
      </c>
      <c r="H6" s="8" t="s">
        <v>367</v>
      </c>
      <c r="I6" s="8" t="s">
        <v>368</v>
      </c>
      <c r="J6" s="8"/>
      <c r="K6" s="8"/>
      <c r="L6" s="8"/>
      <c r="M6" s="8"/>
    </row>
    <row r="7" customFormat="false" ht="91.5" hidden="false" customHeight="true" outlineLevel="0" collapsed="false">
      <c r="A7" s="4" t="s">
        <v>369</v>
      </c>
      <c r="B7" s="4" t="s">
        <v>227</v>
      </c>
      <c r="C7" s="4" t="s">
        <v>370</v>
      </c>
      <c r="D7" s="4" t="s">
        <v>350</v>
      </c>
      <c r="E7" s="4" t="s">
        <v>371</v>
      </c>
      <c r="F7" s="4" t="s">
        <v>372</v>
      </c>
      <c r="G7" s="4" t="s">
        <v>359</v>
      </c>
      <c r="H7" s="4" t="s">
        <v>373</v>
      </c>
      <c r="I7" s="4" t="s">
        <v>374</v>
      </c>
      <c r="J7" s="4"/>
      <c r="K7" s="4"/>
      <c r="L7" s="4"/>
      <c r="M7" s="4"/>
    </row>
    <row r="8" customFormat="false" ht="91.5" hidden="false" customHeight="true" outlineLevel="0" collapsed="false">
      <c r="A8" s="8" t="s">
        <v>375</v>
      </c>
      <c r="B8" s="8" t="s">
        <v>227</v>
      </c>
      <c r="C8" s="8" t="s">
        <v>370</v>
      </c>
      <c r="D8" s="8" t="s">
        <v>363</v>
      </c>
      <c r="E8" s="8" t="s">
        <v>376</v>
      </c>
      <c r="F8" s="8" t="s">
        <v>377</v>
      </c>
      <c r="G8" s="8" t="s">
        <v>378</v>
      </c>
      <c r="H8" s="8" t="s">
        <v>379</v>
      </c>
      <c r="I8" s="8" t="s">
        <v>380</v>
      </c>
      <c r="J8" s="8"/>
      <c r="K8" s="8"/>
      <c r="L8" s="8"/>
      <c r="M8" s="8"/>
    </row>
    <row r="9" customFormat="false" ht="91.5" hidden="false" customHeight="true" outlineLevel="0" collapsed="false">
      <c r="A9" s="4" t="s">
        <v>381</v>
      </c>
      <c r="B9" s="4" t="s">
        <v>227</v>
      </c>
      <c r="C9" s="4" t="s">
        <v>370</v>
      </c>
      <c r="D9" s="4" t="s">
        <v>363</v>
      </c>
      <c r="E9" s="4" t="s">
        <v>382</v>
      </c>
      <c r="F9" s="4" t="s">
        <v>383</v>
      </c>
      <c r="G9" s="4" t="s">
        <v>378</v>
      </c>
      <c r="H9" s="4" t="s">
        <v>384</v>
      </c>
      <c r="I9" s="4" t="s">
        <v>385</v>
      </c>
      <c r="J9" s="4"/>
      <c r="K9" s="4"/>
      <c r="L9" s="4"/>
      <c r="M9" s="4"/>
    </row>
    <row r="10" customFormat="false" ht="91.5" hidden="false" customHeight="true" outlineLevel="0" collapsed="false">
      <c r="A10" s="8" t="s">
        <v>386</v>
      </c>
      <c r="B10" s="8" t="s">
        <v>227</v>
      </c>
      <c r="C10" s="8" t="s">
        <v>370</v>
      </c>
      <c r="D10" s="8" t="s">
        <v>363</v>
      </c>
      <c r="E10" s="8" t="s">
        <v>387</v>
      </c>
      <c r="F10" s="8" t="s">
        <v>388</v>
      </c>
      <c r="G10" s="8" t="s">
        <v>378</v>
      </c>
      <c r="H10" s="8" t="s">
        <v>389</v>
      </c>
      <c r="I10" s="8" t="s">
        <v>390</v>
      </c>
      <c r="J10" s="8"/>
      <c r="K10" s="8"/>
      <c r="L10" s="8"/>
      <c r="M10" s="8"/>
    </row>
    <row r="11" customFormat="false" ht="91.5" hidden="false" customHeight="true" outlineLevel="0" collapsed="false">
      <c r="A11" s="4" t="s">
        <v>391</v>
      </c>
      <c r="B11" s="4" t="s">
        <v>227</v>
      </c>
      <c r="C11" s="4" t="s">
        <v>392</v>
      </c>
      <c r="D11" s="4" t="s">
        <v>350</v>
      </c>
      <c r="E11" s="4" t="s">
        <v>393</v>
      </c>
      <c r="F11" s="4" t="s">
        <v>394</v>
      </c>
      <c r="G11" s="4" t="s">
        <v>395</v>
      </c>
      <c r="H11" s="4" t="s">
        <v>396</v>
      </c>
      <c r="I11" s="4" t="s">
        <v>397</v>
      </c>
      <c r="J11" s="4"/>
      <c r="K11" s="4"/>
      <c r="L11" s="4"/>
      <c r="M11" s="4"/>
    </row>
    <row r="12" customFormat="false" ht="91.5" hidden="false" customHeight="true" outlineLevel="0" collapsed="false">
      <c r="A12" s="8" t="s">
        <v>398</v>
      </c>
      <c r="B12" s="8" t="s">
        <v>220</v>
      </c>
      <c r="C12" s="8" t="s">
        <v>399</v>
      </c>
      <c r="D12" s="8" t="s">
        <v>350</v>
      </c>
      <c r="E12" s="8" t="s">
        <v>400</v>
      </c>
      <c r="F12" s="8" t="s">
        <v>401</v>
      </c>
      <c r="G12" s="8" t="s">
        <v>359</v>
      </c>
      <c r="H12" s="8" t="s">
        <v>402</v>
      </c>
      <c r="I12" s="8" t="s">
        <v>403</v>
      </c>
      <c r="J12" s="8"/>
      <c r="K12" s="8"/>
      <c r="L12" s="8"/>
      <c r="M12" s="8"/>
    </row>
    <row r="13" customFormat="false" ht="91.5" hidden="false" customHeight="true" outlineLevel="0" collapsed="false">
      <c r="A13" s="4" t="s">
        <v>404</v>
      </c>
      <c r="B13" s="4" t="s">
        <v>220</v>
      </c>
      <c r="C13" s="4" t="s">
        <v>399</v>
      </c>
      <c r="D13" s="4" t="s">
        <v>363</v>
      </c>
      <c r="E13" s="4" t="s">
        <v>405</v>
      </c>
      <c r="F13" s="4" t="s">
        <v>406</v>
      </c>
      <c r="G13" s="4" t="s">
        <v>359</v>
      </c>
      <c r="H13" s="4" t="s">
        <v>407</v>
      </c>
      <c r="I13" s="4" t="s">
        <v>408</v>
      </c>
      <c r="J13" s="4"/>
      <c r="K13" s="4"/>
      <c r="L13" s="4"/>
      <c r="M13" s="4"/>
    </row>
    <row r="14" customFormat="false" ht="91.5" hidden="false" customHeight="true" outlineLevel="0" collapsed="false">
      <c r="A14" s="8" t="s">
        <v>409</v>
      </c>
      <c r="B14" s="8" t="s">
        <v>220</v>
      </c>
      <c r="C14" s="8" t="s">
        <v>410</v>
      </c>
      <c r="D14" s="8" t="s">
        <v>350</v>
      </c>
      <c r="E14" s="8" t="s">
        <v>411</v>
      </c>
      <c r="F14" s="8" t="s">
        <v>412</v>
      </c>
      <c r="G14" s="8" t="s">
        <v>359</v>
      </c>
      <c r="H14" s="8" t="s">
        <v>413</v>
      </c>
      <c r="I14" s="8" t="s">
        <v>414</v>
      </c>
      <c r="J14" s="8"/>
      <c r="K14" s="8"/>
      <c r="L14" s="8"/>
      <c r="M14" s="8"/>
    </row>
    <row r="15" customFormat="false" ht="91.5" hidden="false" customHeight="true" outlineLevel="0" collapsed="false">
      <c r="A15" s="4" t="s">
        <v>415</v>
      </c>
      <c r="B15" s="4" t="s">
        <v>220</v>
      </c>
      <c r="C15" s="4" t="s">
        <v>410</v>
      </c>
      <c r="D15" s="4" t="s">
        <v>363</v>
      </c>
      <c r="E15" s="4" t="s">
        <v>416</v>
      </c>
      <c r="F15" s="4" t="s">
        <v>417</v>
      </c>
      <c r="G15" s="4" t="s">
        <v>359</v>
      </c>
      <c r="H15" s="4" t="s">
        <v>418</v>
      </c>
      <c r="I15" s="4" t="s">
        <v>419</v>
      </c>
      <c r="J15" s="4"/>
      <c r="K15" s="4"/>
      <c r="L15" s="4"/>
      <c r="M15" s="4"/>
    </row>
    <row r="16" customFormat="false" ht="91.5" hidden="false" customHeight="true" outlineLevel="0" collapsed="false">
      <c r="A16" s="8" t="s">
        <v>420</v>
      </c>
      <c r="B16" s="8" t="s">
        <v>220</v>
      </c>
      <c r="C16" s="8" t="s">
        <v>421</v>
      </c>
      <c r="D16" s="8" t="s">
        <v>350</v>
      </c>
      <c r="E16" s="8" t="s">
        <v>422</v>
      </c>
      <c r="F16" s="8" t="s">
        <v>423</v>
      </c>
      <c r="G16" s="8" t="s">
        <v>359</v>
      </c>
      <c r="H16" s="8" t="s">
        <v>424</v>
      </c>
      <c r="I16" s="8" t="s">
        <v>425</v>
      </c>
      <c r="J16" s="8"/>
      <c r="K16" s="8"/>
      <c r="L16" s="8"/>
      <c r="M16" s="8"/>
    </row>
    <row r="17" customFormat="false" ht="91.5" hidden="false" customHeight="true" outlineLevel="0" collapsed="false">
      <c r="A17" s="4" t="s">
        <v>426</v>
      </c>
      <c r="B17" s="4" t="s">
        <v>220</v>
      </c>
      <c r="C17" s="4" t="s">
        <v>427</v>
      </c>
      <c r="D17" s="4" t="s">
        <v>350</v>
      </c>
      <c r="E17" s="4" t="s">
        <v>428</v>
      </c>
      <c r="F17" s="4" t="s">
        <v>429</v>
      </c>
      <c r="G17" s="4" t="s">
        <v>359</v>
      </c>
      <c r="H17" s="4" t="s">
        <v>430</v>
      </c>
      <c r="I17" s="4" t="s">
        <v>431</v>
      </c>
      <c r="J17" s="4"/>
      <c r="K17" s="4"/>
      <c r="L17" s="4"/>
      <c r="M17" s="4"/>
    </row>
    <row r="18" customFormat="false" ht="91.5" hidden="false" customHeight="true" outlineLevel="0" collapsed="false">
      <c r="A18" s="8" t="s">
        <v>432</v>
      </c>
      <c r="B18" s="8" t="s">
        <v>220</v>
      </c>
      <c r="C18" s="8" t="s">
        <v>427</v>
      </c>
      <c r="D18" s="8" t="s">
        <v>363</v>
      </c>
      <c r="E18" s="8" t="s">
        <v>433</v>
      </c>
      <c r="F18" s="8" t="s">
        <v>434</v>
      </c>
      <c r="G18" s="8" t="s">
        <v>359</v>
      </c>
      <c r="H18" s="8" t="s">
        <v>435</v>
      </c>
      <c r="I18" s="8" t="s">
        <v>436</v>
      </c>
      <c r="J18" s="8"/>
      <c r="K18" s="8"/>
      <c r="L18" s="8"/>
      <c r="M18" s="8"/>
    </row>
    <row r="19" customFormat="false" ht="91.5" hidden="false" customHeight="true" outlineLevel="0" collapsed="false">
      <c r="A19" s="4" t="s">
        <v>437</v>
      </c>
      <c r="B19" s="4" t="s">
        <v>220</v>
      </c>
      <c r="C19" s="4" t="s">
        <v>427</v>
      </c>
      <c r="D19" s="4" t="s">
        <v>350</v>
      </c>
      <c r="E19" s="4" t="s">
        <v>438</v>
      </c>
      <c r="F19" s="4" t="s">
        <v>439</v>
      </c>
      <c r="G19" s="4" t="s">
        <v>359</v>
      </c>
      <c r="H19" s="4" t="s">
        <v>440</v>
      </c>
      <c r="I19" s="4" t="s">
        <v>441</v>
      </c>
      <c r="J19" s="4"/>
      <c r="K19" s="4"/>
      <c r="L19" s="4"/>
      <c r="M19" s="4"/>
    </row>
    <row r="20" customFormat="false" ht="91.5" hidden="false" customHeight="true" outlineLevel="0" collapsed="false">
      <c r="A20" s="8" t="s">
        <v>442</v>
      </c>
      <c r="B20" s="8" t="s">
        <v>220</v>
      </c>
      <c r="C20" s="8" t="s">
        <v>443</v>
      </c>
      <c r="D20" s="8" t="s">
        <v>350</v>
      </c>
      <c r="E20" s="8" t="s">
        <v>444</v>
      </c>
      <c r="F20" s="8" t="s">
        <v>445</v>
      </c>
      <c r="G20" s="8" t="s">
        <v>359</v>
      </c>
      <c r="H20" s="8" t="s">
        <v>446</v>
      </c>
      <c r="I20" s="8" t="s">
        <v>447</v>
      </c>
      <c r="J20" s="8"/>
      <c r="K20" s="8"/>
      <c r="L20" s="8"/>
      <c r="M20" s="8"/>
    </row>
    <row r="21" customFormat="false" ht="91.5" hidden="false" customHeight="true" outlineLevel="0" collapsed="false">
      <c r="A21" s="4" t="s">
        <v>448</v>
      </c>
      <c r="B21" s="4" t="s">
        <v>220</v>
      </c>
      <c r="C21" s="4" t="s">
        <v>443</v>
      </c>
      <c r="D21" s="4" t="s">
        <v>363</v>
      </c>
      <c r="E21" s="4" t="s">
        <v>449</v>
      </c>
      <c r="F21" s="4" t="s">
        <v>450</v>
      </c>
      <c r="G21" s="4" t="s">
        <v>359</v>
      </c>
      <c r="H21" s="4" t="s">
        <v>451</v>
      </c>
      <c r="I21" s="4" t="s">
        <v>452</v>
      </c>
      <c r="J21" s="4"/>
      <c r="K21" s="4"/>
      <c r="L21" s="4"/>
      <c r="M21" s="4"/>
    </row>
    <row r="22" customFormat="false" ht="91.5" hidden="false" customHeight="true" outlineLevel="0" collapsed="false">
      <c r="A22" s="8" t="s">
        <v>453</v>
      </c>
      <c r="B22" s="8" t="s">
        <v>220</v>
      </c>
      <c r="C22" s="8" t="s">
        <v>454</v>
      </c>
      <c r="D22" s="8" t="s">
        <v>350</v>
      </c>
      <c r="E22" s="8" t="s">
        <v>455</v>
      </c>
      <c r="F22" s="8" t="s">
        <v>456</v>
      </c>
      <c r="G22" s="8" t="s">
        <v>359</v>
      </c>
      <c r="H22" s="8" t="s">
        <v>457</v>
      </c>
      <c r="I22" s="8" t="s">
        <v>458</v>
      </c>
      <c r="J22" s="8"/>
      <c r="K22" s="8"/>
      <c r="L22" s="8"/>
      <c r="M22" s="8"/>
    </row>
    <row r="23" customFormat="false" ht="91.5" hidden="false" customHeight="true" outlineLevel="0" collapsed="false">
      <c r="A23" s="4" t="s">
        <v>459</v>
      </c>
      <c r="B23" s="4" t="s">
        <v>220</v>
      </c>
      <c r="C23" s="4" t="s">
        <v>454</v>
      </c>
      <c r="D23" s="4" t="s">
        <v>363</v>
      </c>
      <c r="E23" s="4" t="s">
        <v>460</v>
      </c>
      <c r="F23" s="4" t="s">
        <v>461</v>
      </c>
      <c r="G23" s="4" t="s">
        <v>359</v>
      </c>
      <c r="H23" s="4" t="s">
        <v>462</v>
      </c>
      <c r="I23" s="4" t="s">
        <v>463</v>
      </c>
      <c r="J23" s="4"/>
      <c r="K23" s="4"/>
      <c r="L23" s="4"/>
      <c r="M23" s="4"/>
    </row>
    <row r="24" customFormat="false" ht="91.5" hidden="false" customHeight="true" outlineLevel="0" collapsed="false">
      <c r="A24" s="8" t="s">
        <v>464</v>
      </c>
      <c r="B24" s="8" t="s">
        <v>220</v>
      </c>
      <c r="C24" s="8" t="s">
        <v>465</v>
      </c>
      <c r="D24" s="8" t="s">
        <v>350</v>
      </c>
      <c r="E24" s="8" t="s">
        <v>466</v>
      </c>
      <c r="F24" s="8" t="s">
        <v>467</v>
      </c>
      <c r="G24" s="8" t="s">
        <v>359</v>
      </c>
      <c r="H24" s="8" t="s">
        <v>468</v>
      </c>
      <c r="I24" s="8" t="s">
        <v>469</v>
      </c>
      <c r="J24" s="8"/>
      <c r="K24" s="8"/>
      <c r="L24" s="8"/>
      <c r="M24" s="8"/>
    </row>
    <row r="25" customFormat="false" ht="91.5" hidden="false" customHeight="true" outlineLevel="0" collapsed="false">
      <c r="A25" s="4" t="s">
        <v>470</v>
      </c>
      <c r="B25" s="4" t="s">
        <v>220</v>
      </c>
      <c r="C25" s="4" t="s">
        <v>465</v>
      </c>
      <c r="D25" s="4" t="s">
        <v>363</v>
      </c>
      <c r="E25" s="4" t="s">
        <v>471</v>
      </c>
      <c r="F25" s="4" t="s">
        <v>472</v>
      </c>
      <c r="G25" s="4" t="s">
        <v>359</v>
      </c>
      <c r="H25" s="4" t="s">
        <v>473</v>
      </c>
      <c r="I25" s="4" t="s">
        <v>474</v>
      </c>
      <c r="J25" s="4"/>
      <c r="K25" s="4"/>
      <c r="L25" s="4"/>
      <c r="M25" s="4"/>
    </row>
    <row r="26" customFormat="false" ht="91.5" hidden="false" customHeight="true" outlineLevel="0" collapsed="false">
      <c r="A26" s="8" t="s">
        <v>475</v>
      </c>
      <c r="B26" s="8" t="s">
        <v>220</v>
      </c>
      <c r="C26" s="8" t="s">
        <v>476</v>
      </c>
      <c r="D26" s="8" t="s">
        <v>350</v>
      </c>
      <c r="E26" s="8" t="s">
        <v>477</v>
      </c>
      <c r="F26" s="8" t="s">
        <v>478</v>
      </c>
      <c r="G26" s="8" t="s">
        <v>359</v>
      </c>
      <c r="H26" s="8" t="s">
        <v>479</v>
      </c>
      <c r="I26" s="8" t="s">
        <v>480</v>
      </c>
      <c r="J26" s="8"/>
      <c r="K26" s="8"/>
      <c r="L26" s="8"/>
      <c r="M26" s="8"/>
    </row>
    <row r="27" customFormat="false" ht="91.5" hidden="false" customHeight="true" outlineLevel="0" collapsed="false">
      <c r="A27" s="4" t="s">
        <v>481</v>
      </c>
      <c r="B27" s="4" t="s">
        <v>220</v>
      </c>
      <c r="C27" s="4" t="s">
        <v>476</v>
      </c>
      <c r="D27" s="4" t="s">
        <v>363</v>
      </c>
      <c r="E27" s="4" t="s">
        <v>482</v>
      </c>
      <c r="F27" s="4" t="s">
        <v>483</v>
      </c>
      <c r="G27" s="4" t="s">
        <v>359</v>
      </c>
      <c r="H27" s="4" t="s">
        <v>484</v>
      </c>
      <c r="I27" s="4" t="s">
        <v>485</v>
      </c>
      <c r="J27" s="4"/>
      <c r="K27" s="4"/>
      <c r="L27" s="4"/>
      <c r="M27" s="4"/>
    </row>
    <row r="28" customFormat="false" ht="91.5" hidden="false" customHeight="true" outlineLevel="0" collapsed="false">
      <c r="A28" s="8" t="s">
        <v>486</v>
      </c>
      <c r="B28" s="8" t="s">
        <v>220</v>
      </c>
      <c r="C28" s="8" t="s">
        <v>487</v>
      </c>
      <c r="D28" s="8" t="s">
        <v>363</v>
      </c>
      <c r="E28" s="8" t="s">
        <v>488</v>
      </c>
      <c r="F28" s="8" t="s">
        <v>489</v>
      </c>
      <c r="G28" s="8" t="s">
        <v>359</v>
      </c>
      <c r="H28" s="8" t="s">
        <v>490</v>
      </c>
      <c r="I28" s="8" t="s">
        <v>491</v>
      </c>
      <c r="J28" s="8"/>
      <c r="K28" s="8"/>
      <c r="L28" s="8"/>
      <c r="M28" s="8"/>
    </row>
    <row r="29" customFormat="false" ht="91.5" hidden="false" customHeight="true" outlineLevel="0" collapsed="false">
      <c r="A29" s="4" t="s">
        <v>492</v>
      </c>
      <c r="B29" s="4" t="s">
        <v>220</v>
      </c>
      <c r="C29" s="4" t="s">
        <v>487</v>
      </c>
      <c r="D29" s="4" t="s">
        <v>363</v>
      </c>
      <c r="E29" s="4" t="s">
        <v>493</v>
      </c>
      <c r="F29" s="4" t="s">
        <v>494</v>
      </c>
      <c r="G29" s="4" t="s">
        <v>359</v>
      </c>
      <c r="H29" s="4" t="s">
        <v>495</v>
      </c>
      <c r="I29" s="4" t="s">
        <v>496</v>
      </c>
      <c r="J29" s="4"/>
      <c r="K29" s="4"/>
      <c r="L29" s="4"/>
      <c r="M29" s="4"/>
    </row>
    <row r="30" customFormat="false" ht="91.5" hidden="false" customHeight="true" outlineLevel="0" collapsed="false">
      <c r="A30" s="8" t="s">
        <v>497</v>
      </c>
      <c r="B30" s="8" t="s">
        <v>220</v>
      </c>
      <c r="C30" s="8" t="s">
        <v>498</v>
      </c>
      <c r="D30" s="8" t="s">
        <v>350</v>
      </c>
      <c r="E30" s="8" t="s">
        <v>499</v>
      </c>
      <c r="F30" s="8" t="s">
        <v>500</v>
      </c>
      <c r="G30" s="8" t="s">
        <v>359</v>
      </c>
      <c r="H30" s="8" t="s">
        <v>501</v>
      </c>
      <c r="I30" s="8" t="s">
        <v>502</v>
      </c>
      <c r="J30" s="8"/>
      <c r="K30" s="8"/>
      <c r="L30" s="8"/>
      <c r="M30" s="8"/>
    </row>
    <row r="31" customFormat="false" ht="91.5" hidden="false" customHeight="true" outlineLevel="0" collapsed="false">
      <c r="A31" s="4" t="s">
        <v>503</v>
      </c>
      <c r="B31" s="4" t="s">
        <v>220</v>
      </c>
      <c r="C31" s="4" t="s">
        <v>498</v>
      </c>
      <c r="D31" s="4" t="s">
        <v>363</v>
      </c>
      <c r="E31" s="4" t="s">
        <v>504</v>
      </c>
      <c r="F31" s="4" t="s">
        <v>505</v>
      </c>
      <c r="G31" s="4" t="s">
        <v>359</v>
      </c>
      <c r="H31" s="4" t="s">
        <v>506</v>
      </c>
      <c r="I31" s="4" t="s">
        <v>507</v>
      </c>
      <c r="J31" s="4"/>
      <c r="K31" s="4"/>
      <c r="L31" s="4"/>
      <c r="M31" s="4"/>
    </row>
    <row r="32" customFormat="false" ht="91.5" hidden="false" customHeight="true" outlineLevel="0" collapsed="false">
      <c r="A32" s="8" t="s">
        <v>508</v>
      </c>
      <c r="B32" s="8" t="s">
        <v>220</v>
      </c>
      <c r="C32" s="8" t="s">
        <v>509</v>
      </c>
      <c r="D32" s="8" t="s">
        <v>350</v>
      </c>
      <c r="E32" s="8" t="s">
        <v>510</v>
      </c>
      <c r="F32" s="8" t="s">
        <v>511</v>
      </c>
      <c r="G32" s="8" t="s">
        <v>359</v>
      </c>
      <c r="H32" s="8" t="s">
        <v>512</v>
      </c>
      <c r="I32" s="8" t="s">
        <v>513</v>
      </c>
      <c r="J32" s="8"/>
      <c r="K32" s="8"/>
      <c r="L32" s="8"/>
      <c r="M32" s="8"/>
    </row>
    <row r="33" customFormat="false" ht="91.5" hidden="false" customHeight="true" outlineLevel="0" collapsed="false">
      <c r="A33" s="4" t="s">
        <v>514</v>
      </c>
      <c r="B33" s="4" t="s">
        <v>220</v>
      </c>
      <c r="C33" s="4" t="s">
        <v>509</v>
      </c>
      <c r="D33" s="4" t="s">
        <v>363</v>
      </c>
      <c r="E33" s="4" t="s">
        <v>515</v>
      </c>
      <c r="F33" s="4" t="s">
        <v>516</v>
      </c>
      <c r="G33" s="4" t="s">
        <v>359</v>
      </c>
      <c r="H33" s="4" t="s">
        <v>517</v>
      </c>
      <c r="I33" s="4" t="s">
        <v>518</v>
      </c>
      <c r="J33" s="4"/>
      <c r="K33" s="4"/>
      <c r="L33" s="4"/>
      <c r="M33" s="4"/>
    </row>
    <row r="34" customFormat="false" ht="91.5" hidden="false" customHeight="true" outlineLevel="0" collapsed="false">
      <c r="A34" s="8" t="s">
        <v>519</v>
      </c>
      <c r="B34" s="8" t="s">
        <v>220</v>
      </c>
      <c r="C34" s="8" t="s">
        <v>520</v>
      </c>
      <c r="D34" s="8" t="s">
        <v>363</v>
      </c>
      <c r="E34" s="8" t="s">
        <v>521</v>
      </c>
      <c r="F34" s="8" t="s">
        <v>522</v>
      </c>
      <c r="G34" s="8" t="s">
        <v>359</v>
      </c>
      <c r="H34" s="8" t="s">
        <v>523</v>
      </c>
      <c r="I34" s="8" t="s">
        <v>524</v>
      </c>
      <c r="J34" s="8"/>
      <c r="K34" s="8"/>
      <c r="L34" s="8"/>
      <c r="M34" s="8"/>
    </row>
    <row r="35" customFormat="false" ht="91.5" hidden="false" customHeight="true" outlineLevel="0" collapsed="false">
      <c r="A35" s="4" t="s">
        <v>525</v>
      </c>
      <c r="B35" s="4" t="s">
        <v>220</v>
      </c>
      <c r="C35" s="4" t="s">
        <v>526</v>
      </c>
      <c r="D35" s="4" t="s">
        <v>350</v>
      </c>
      <c r="E35" s="4" t="s">
        <v>527</v>
      </c>
      <c r="F35" s="4" t="s">
        <v>528</v>
      </c>
      <c r="G35" s="4" t="s">
        <v>359</v>
      </c>
      <c r="H35" s="4" t="s">
        <v>529</v>
      </c>
      <c r="I35" s="4" t="s">
        <v>530</v>
      </c>
      <c r="J35" s="4"/>
      <c r="K35" s="4"/>
      <c r="L35" s="4"/>
      <c r="M35" s="4"/>
    </row>
    <row r="36" customFormat="false" ht="91.5" hidden="false" customHeight="true" outlineLevel="0" collapsed="false">
      <c r="A36" s="8" t="s">
        <v>531</v>
      </c>
      <c r="B36" s="8" t="s">
        <v>227</v>
      </c>
      <c r="C36" s="8" t="s">
        <v>532</v>
      </c>
      <c r="D36" s="8" t="s">
        <v>350</v>
      </c>
      <c r="E36" s="8" t="s">
        <v>533</v>
      </c>
      <c r="F36" s="8" t="s">
        <v>534</v>
      </c>
      <c r="G36" s="8" t="s">
        <v>359</v>
      </c>
      <c r="H36" s="8" t="s">
        <v>535</v>
      </c>
      <c r="I36" s="8" t="s">
        <v>536</v>
      </c>
      <c r="J36" s="8"/>
      <c r="K36" s="8"/>
      <c r="L36" s="8"/>
      <c r="M36" s="8"/>
    </row>
    <row r="37" customFormat="false" ht="91.5" hidden="false" customHeight="true" outlineLevel="0" collapsed="false">
      <c r="A37" s="4" t="s">
        <v>537</v>
      </c>
      <c r="B37" s="4" t="s">
        <v>227</v>
      </c>
      <c r="C37" s="4" t="s">
        <v>532</v>
      </c>
      <c r="D37" s="4" t="s">
        <v>363</v>
      </c>
      <c r="E37" s="4" t="s">
        <v>538</v>
      </c>
      <c r="F37" s="4" t="s">
        <v>539</v>
      </c>
      <c r="G37" s="4" t="s">
        <v>359</v>
      </c>
      <c r="H37" s="4" t="s">
        <v>540</v>
      </c>
      <c r="I37" s="4" t="s">
        <v>541</v>
      </c>
      <c r="J37" s="4"/>
      <c r="K37" s="4"/>
      <c r="L37" s="4"/>
      <c r="M37" s="4"/>
    </row>
    <row r="38" customFormat="false" ht="91.5" hidden="false" customHeight="true" outlineLevel="0" collapsed="false">
      <c r="A38" s="8" t="s">
        <v>542</v>
      </c>
      <c r="B38" s="8" t="s">
        <v>227</v>
      </c>
      <c r="C38" s="8" t="s">
        <v>543</v>
      </c>
      <c r="D38" s="8" t="s">
        <v>350</v>
      </c>
      <c r="E38" s="8" t="s">
        <v>544</v>
      </c>
      <c r="F38" s="8" t="s">
        <v>545</v>
      </c>
      <c r="G38" s="8" t="s">
        <v>359</v>
      </c>
      <c r="H38" s="8" t="s">
        <v>546</v>
      </c>
      <c r="I38" s="8" t="s">
        <v>547</v>
      </c>
      <c r="J38" s="8"/>
      <c r="K38" s="8"/>
      <c r="L38" s="8"/>
      <c r="M38" s="8"/>
    </row>
    <row r="39" customFormat="false" ht="91.5" hidden="false" customHeight="true" outlineLevel="0" collapsed="false">
      <c r="A39" s="4" t="s">
        <v>548</v>
      </c>
      <c r="B39" s="4" t="s">
        <v>227</v>
      </c>
      <c r="C39" s="4" t="s">
        <v>543</v>
      </c>
      <c r="D39" s="4" t="s">
        <v>363</v>
      </c>
      <c r="E39" s="4" t="s">
        <v>549</v>
      </c>
      <c r="F39" s="4" t="s">
        <v>550</v>
      </c>
      <c r="G39" s="4" t="s">
        <v>359</v>
      </c>
      <c r="H39" s="4" t="s">
        <v>551</v>
      </c>
      <c r="I39" s="4" t="s">
        <v>552</v>
      </c>
      <c r="J39" s="4"/>
      <c r="K39" s="4"/>
      <c r="L39" s="4"/>
      <c r="M39" s="4"/>
    </row>
    <row r="40" customFormat="false" ht="91.5" hidden="false" customHeight="true" outlineLevel="0" collapsed="false">
      <c r="A40" s="8" t="s">
        <v>553</v>
      </c>
      <c r="B40" s="8" t="s">
        <v>227</v>
      </c>
      <c r="C40" s="8" t="s">
        <v>543</v>
      </c>
      <c r="D40" s="8" t="s">
        <v>363</v>
      </c>
      <c r="E40" s="8" t="s">
        <v>554</v>
      </c>
      <c r="F40" s="8" t="s">
        <v>555</v>
      </c>
      <c r="G40" s="8" t="s">
        <v>359</v>
      </c>
      <c r="H40" s="8" t="s">
        <v>556</v>
      </c>
      <c r="I40" s="8" t="s">
        <v>557</v>
      </c>
      <c r="J40" s="8"/>
      <c r="K40" s="8"/>
      <c r="L40" s="8"/>
      <c r="M40" s="8"/>
    </row>
    <row r="41" customFormat="false" ht="91.5" hidden="false" customHeight="true" outlineLevel="0" collapsed="false">
      <c r="A41" s="4" t="s">
        <v>558</v>
      </c>
      <c r="B41" s="4" t="s">
        <v>227</v>
      </c>
      <c r="C41" s="4" t="s">
        <v>559</v>
      </c>
      <c r="D41" s="4" t="s">
        <v>350</v>
      </c>
      <c r="E41" s="4" t="s">
        <v>560</v>
      </c>
      <c r="F41" s="4" t="s">
        <v>561</v>
      </c>
      <c r="G41" s="4" t="s">
        <v>359</v>
      </c>
      <c r="H41" s="4" t="s">
        <v>562</v>
      </c>
      <c r="I41" s="4" t="s">
        <v>563</v>
      </c>
      <c r="J41" s="4"/>
      <c r="K41" s="4"/>
      <c r="L41" s="4"/>
      <c r="M41" s="4"/>
    </row>
    <row r="42" customFormat="false" ht="91.5" hidden="false" customHeight="true" outlineLevel="0" collapsed="false">
      <c r="A42" s="8" t="s">
        <v>564</v>
      </c>
      <c r="B42" s="8" t="s">
        <v>227</v>
      </c>
      <c r="C42" s="8" t="s">
        <v>559</v>
      </c>
      <c r="D42" s="8" t="s">
        <v>363</v>
      </c>
      <c r="E42" s="8" t="s">
        <v>565</v>
      </c>
      <c r="F42" s="8" t="s">
        <v>566</v>
      </c>
      <c r="G42" s="8" t="s">
        <v>359</v>
      </c>
      <c r="H42" s="8" t="s">
        <v>567</v>
      </c>
      <c r="I42" s="8" t="s">
        <v>568</v>
      </c>
      <c r="J42" s="8"/>
      <c r="K42" s="8"/>
      <c r="L42" s="8"/>
      <c r="M42" s="8"/>
    </row>
    <row r="43" customFormat="false" ht="91.5" hidden="false" customHeight="true" outlineLevel="0" collapsed="false">
      <c r="A43" s="4" t="s">
        <v>569</v>
      </c>
      <c r="B43" s="4" t="s">
        <v>227</v>
      </c>
      <c r="C43" s="4" t="s">
        <v>570</v>
      </c>
      <c r="D43" s="4" t="s">
        <v>350</v>
      </c>
      <c r="E43" s="4" t="s">
        <v>571</v>
      </c>
      <c r="F43" s="4" t="s">
        <v>572</v>
      </c>
      <c r="G43" s="4" t="s">
        <v>359</v>
      </c>
      <c r="H43" s="4" t="s">
        <v>573</v>
      </c>
      <c r="I43" s="4" t="s">
        <v>574</v>
      </c>
      <c r="J43" s="4"/>
      <c r="K43" s="4"/>
      <c r="L43" s="4"/>
      <c r="M43" s="4"/>
    </row>
    <row r="44" customFormat="false" ht="91.5" hidden="false" customHeight="true" outlineLevel="0" collapsed="false">
      <c r="A44" s="8" t="s">
        <v>575</v>
      </c>
      <c r="B44" s="8" t="s">
        <v>227</v>
      </c>
      <c r="C44" s="8" t="s">
        <v>570</v>
      </c>
      <c r="D44" s="8" t="s">
        <v>363</v>
      </c>
      <c r="E44" s="8" t="s">
        <v>576</v>
      </c>
      <c r="F44" s="8" t="s">
        <v>577</v>
      </c>
      <c r="G44" s="8" t="s">
        <v>359</v>
      </c>
      <c r="H44" s="8" t="s">
        <v>578</v>
      </c>
      <c r="I44" s="8" t="s">
        <v>579</v>
      </c>
      <c r="J44" s="8"/>
      <c r="K44" s="8"/>
      <c r="L44" s="8"/>
      <c r="M44" s="8"/>
    </row>
    <row r="45" customFormat="false" ht="91.5" hidden="false" customHeight="true" outlineLevel="0" collapsed="false">
      <c r="A45" s="4" t="s">
        <v>580</v>
      </c>
      <c r="B45" s="4" t="s">
        <v>227</v>
      </c>
      <c r="C45" s="4" t="s">
        <v>581</v>
      </c>
      <c r="D45" s="4" t="s">
        <v>350</v>
      </c>
      <c r="E45" s="4" t="s">
        <v>582</v>
      </c>
      <c r="F45" s="4" t="s">
        <v>583</v>
      </c>
      <c r="G45" s="4" t="s">
        <v>359</v>
      </c>
      <c r="H45" s="4" t="s">
        <v>584</v>
      </c>
      <c r="I45" s="4" t="s">
        <v>585</v>
      </c>
      <c r="J45" s="4"/>
      <c r="K45" s="4"/>
      <c r="L45" s="4"/>
      <c r="M45" s="4"/>
    </row>
    <row r="46" customFormat="false" ht="91.5" hidden="false" customHeight="true" outlineLevel="0" collapsed="false">
      <c r="A46" s="8" t="s">
        <v>586</v>
      </c>
      <c r="B46" s="8" t="s">
        <v>227</v>
      </c>
      <c r="C46" s="8" t="s">
        <v>581</v>
      </c>
      <c r="D46" s="8" t="s">
        <v>350</v>
      </c>
      <c r="E46" s="8" t="s">
        <v>587</v>
      </c>
      <c r="F46" s="8" t="s">
        <v>588</v>
      </c>
      <c r="G46" s="8" t="s">
        <v>359</v>
      </c>
      <c r="H46" s="8" t="s">
        <v>589</v>
      </c>
      <c r="I46" s="8" t="s">
        <v>590</v>
      </c>
      <c r="J46" s="8"/>
      <c r="K46" s="8"/>
      <c r="L46" s="8"/>
      <c r="M46" s="8"/>
    </row>
    <row r="47" customFormat="false" ht="91.5" hidden="false" customHeight="true" outlineLevel="0" collapsed="false">
      <c r="A47" s="4" t="s">
        <v>591</v>
      </c>
      <c r="B47" s="4" t="s">
        <v>227</v>
      </c>
      <c r="C47" s="4" t="s">
        <v>581</v>
      </c>
      <c r="D47" s="4" t="s">
        <v>363</v>
      </c>
      <c r="E47" s="4" t="s">
        <v>592</v>
      </c>
      <c r="F47" s="4" t="s">
        <v>593</v>
      </c>
      <c r="G47" s="4" t="s">
        <v>359</v>
      </c>
      <c r="H47" s="4" t="s">
        <v>594</v>
      </c>
      <c r="I47" s="4" t="s">
        <v>595</v>
      </c>
      <c r="J47" s="4"/>
      <c r="K47" s="4"/>
      <c r="L47" s="4"/>
      <c r="M47" s="4"/>
    </row>
    <row r="48" customFormat="false" ht="91.5" hidden="false" customHeight="true" outlineLevel="0" collapsed="false">
      <c r="A48" s="8" t="s">
        <v>596</v>
      </c>
      <c r="B48" s="8" t="s">
        <v>227</v>
      </c>
      <c r="C48" s="8" t="s">
        <v>581</v>
      </c>
      <c r="D48" s="8" t="s">
        <v>350</v>
      </c>
      <c r="E48" s="8" t="s">
        <v>597</v>
      </c>
      <c r="F48" s="8" t="s">
        <v>598</v>
      </c>
      <c r="G48" s="8" t="s">
        <v>359</v>
      </c>
      <c r="H48" s="8" t="s">
        <v>599</v>
      </c>
      <c r="I48" s="8" t="s">
        <v>600</v>
      </c>
      <c r="J48" s="8"/>
      <c r="K48" s="8"/>
      <c r="L48" s="8"/>
      <c r="M48" s="8"/>
    </row>
    <row r="49" customFormat="false" ht="91.5" hidden="false" customHeight="true" outlineLevel="0" collapsed="false">
      <c r="A49" s="4" t="s">
        <v>601</v>
      </c>
      <c r="B49" s="4" t="s">
        <v>227</v>
      </c>
      <c r="C49" s="4" t="s">
        <v>602</v>
      </c>
      <c r="D49" s="4" t="s">
        <v>363</v>
      </c>
      <c r="E49" s="4" t="s">
        <v>603</v>
      </c>
      <c r="F49" s="4" t="s">
        <v>604</v>
      </c>
      <c r="G49" s="4" t="s">
        <v>359</v>
      </c>
      <c r="H49" s="4" t="s">
        <v>605</v>
      </c>
      <c r="I49" s="4" t="s">
        <v>606</v>
      </c>
      <c r="J49" s="4"/>
      <c r="K49" s="4"/>
      <c r="L49" s="4"/>
      <c r="M49" s="4"/>
    </row>
    <row r="50" customFormat="false" ht="91.5" hidden="false" customHeight="true" outlineLevel="0" collapsed="false">
      <c r="A50" s="8" t="s">
        <v>607</v>
      </c>
      <c r="B50" s="8" t="s">
        <v>227</v>
      </c>
      <c r="C50" s="8" t="s">
        <v>602</v>
      </c>
      <c r="D50" s="8" t="s">
        <v>350</v>
      </c>
      <c r="E50" s="8" t="s">
        <v>608</v>
      </c>
      <c r="F50" s="8" t="s">
        <v>609</v>
      </c>
      <c r="G50" s="8" t="s">
        <v>359</v>
      </c>
      <c r="H50" s="8" t="s">
        <v>610</v>
      </c>
      <c r="I50" s="8" t="s">
        <v>611</v>
      </c>
      <c r="J50" s="8"/>
      <c r="K50" s="8"/>
      <c r="L50" s="8"/>
      <c r="M50" s="8"/>
    </row>
    <row r="51" customFormat="false" ht="91.5" hidden="false" customHeight="true" outlineLevel="0" collapsed="false">
      <c r="A51" s="4" t="s">
        <v>612</v>
      </c>
      <c r="B51" s="4" t="s">
        <v>227</v>
      </c>
      <c r="C51" s="4" t="s">
        <v>613</v>
      </c>
      <c r="D51" s="4" t="s">
        <v>363</v>
      </c>
      <c r="E51" s="4" t="s">
        <v>614</v>
      </c>
      <c r="F51" s="4" t="s">
        <v>615</v>
      </c>
      <c r="G51" s="4" t="s">
        <v>359</v>
      </c>
      <c r="H51" s="4" t="s">
        <v>616</v>
      </c>
      <c r="I51" s="4" t="s">
        <v>617</v>
      </c>
      <c r="J51" s="4"/>
      <c r="K51" s="4"/>
      <c r="L51" s="4"/>
      <c r="M51" s="4"/>
    </row>
    <row r="52" customFormat="false" ht="91.5" hidden="false" customHeight="true" outlineLevel="0" collapsed="false">
      <c r="A52" s="8" t="s">
        <v>618</v>
      </c>
      <c r="B52" s="8" t="s">
        <v>220</v>
      </c>
      <c r="C52" s="8" t="s">
        <v>619</v>
      </c>
      <c r="D52" s="8" t="s">
        <v>350</v>
      </c>
      <c r="E52" s="8" t="s">
        <v>620</v>
      </c>
      <c r="F52" s="8" t="s">
        <v>621</v>
      </c>
      <c r="G52" s="8" t="s">
        <v>359</v>
      </c>
      <c r="H52" s="8" t="s">
        <v>622</v>
      </c>
      <c r="I52" s="8" t="s">
        <v>623</v>
      </c>
      <c r="J52" s="8"/>
      <c r="K52" s="8"/>
      <c r="L52" s="8"/>
      <c r="M52" s="8"/>
    </row>
    <row r="53" customFormat="false" ht="91.5" hidden="false" customHeight="true" outlineLevel="0" collapsed="false">
      <c r="A53" s="4" t="s">
        <v>624</v>
      </c>
      <c r="B53" s="4" t="s">
        <v>220</v>
      </c>
      <c r="C53" s="4" t="s">
        <v>625</v>
      </c>
      <c r="D53" s="4" t="s">
        <v>350</v>
      </c>
      <c r="E53" s="4" t="s">
        <v>626</v>
      </c>
      <c r="F53" s="4" t="s">
        <v>627</v>
      </c>
      <c r="G53" s="4" t="s">
        <v>359</v>
      </c>
      <c r="H53" s="4" t="s">
        <v>628</v>
      </c>
      <c r="I53" s="4" t="s">
        <v>629</v>
      </c>
      <c r="J53" s="4"/>
      <c r="K53" s="4"/>
      <c r="L53" s="4"/>
      <c r="M53" s="4"/>
    </row>
    <row r="54" customFormat="false" ht="91.5" hidden="false" customHeight="true" outlineLevel="0" collapsed="false">
      <c r="A54" s="8" t="s">
        <v>630</v>
      </c>
      <c r="B54" s="8" t="s">
        <v>220</v>
      </c>
      <c r="C54" s="8" t="s">
        <v>625</v>
      </c>
      <c r="D54" s="8" t="s">
        <v>363</v>
      </c>
      <c r="E54" s="8" t="s">
        <v>631</v>
      </c>
      <c r="F54" s="8" t="s">
        <v>632</v>
      </c>
      <c r="G54" s="8" t="s">
        <v>359</v>
      </c>
      <c r="H54" s="8" t="s">
        <v>633</v>
      </c>
      <c r="I54" s="8" t="s">
        <v>634</v>
      </c>
      <c r="J54" s="8"/>
      <c r="K54" s="8"/>
      <c r="L54" s="8"/>
      <c r="M54" s="8"/>
    </row>
    <row r="55" customFormat="false" ht="91.5" hidden="false" customHeight="true" outlineLevel="0" collapsed="false">
      <c r="A55" s="4" t="s">
        <v>635</v>
      </c>
      <c r="B55" s="4" t="s">
        <v>220</v>
      </c>
      <c r="C55" s="4" t="s">
        <v>636</v>
      </c>
      <c r="D55" s="4" t="s">
        <v>363</v>
      </c>
      <c r="E55" s="4" t="s">
        <v>637</v>
      </c>
      <c r="F55" s="4" t="s">
        <v>638</v>
      </c>
      <c r="G55" s="4" t="s">
        <v>359</v>
      </c>
      <c r="H55" s="4" t="s">
        <v>639</v>
      </c>
      <c r="I55" s="4" t="s">
        <v>640</v>
      </c>
      <c r="J55" s="4"/>
      <c r="K55" s="4"/>
      <c r="L55" s="4"/>
      <c r="M55" s="4"/>
    </row>
    <row r="56" customFormat="false" ht="91.5" hidden="false" customHeight="true" outlineLevel="0" collapsed="false">
      <c r="A56" s="8" t="s">
        <v>641</v>
      </c>
      <c r="B56" s="8" t="s">
        <v>227</v>
      </c>
      <c r="C56" s="8" t="s">
        <v>498</v>
      </c>
      <c r="D56" s="8" t="s">
        <v>350</v>
      </c>
      <c r="E56" s="8" t="s">
        <v>642</v>
      </c>
      <c r="F56" s="8" t="s">
        <v>643</v>
      </c>
      <c r="G56" s="8" t="s">
        <v>359</v>
      </c>
      <c r="H56" s="8" t="s">
        <v>644</v>
      </c>
      <c r="I56" s="8" t="s">
        <v>645</v>
      </c>
      <c r="J56" s="8"/>
      <c r="K56" s="8"/>
      <c r="L56" s="8"/>
      <c r="M56" s="8"/>
    </row>
    <row r="57" customFormat="false" ht="91.5" hidden="false" customHeight="true" outlineLevel="0" collapsed="false">
      <c r="A57" s="4" t="s">
        <v>646</v>
      </c>
      <c r="B57" s="4" t="s">
        <v>220</v>
      </c>
      <c r="C57" s="4" t="s">
        <v>647</v>
      </c>
      <c r="D57" s="4" t="s">
        <v>350</v>
      </c>
      <c r="E57" s="4" t="s">
        <v>648</v>
      </c>
      <c r="F57" s="4" t="s">
        <v>649</v>
      </c>
      <c r="G57" s="4" t="s">
        <v>359</v>
      </c>
      <c r="H57" s="4" t="s">
        <v>650</v>
      </c>
      <c r="I57" s="4" t="s">
        <v>651</v>
      </c>
      <c r="J57" s="4"/>
      <c r="K57" s="4"/>
      <c r="L57" s="4"/>
      <c r="M57" s="4"/>
    </row>
    <row r="58" customFormat="false" ht="91.5" hidden="false" customHeight="true" outlineLevel="0" collapsed="false">
      <c r="A58" s="8" t="s">
        <v>652</v>
      </c>
      <c r="B58" s="8" t="s">
        <v>220</v>
      </c>
      <c r="C58" s="8" t="s">
        <v>647</v>
      </c>
      <c r="D58" s="8" t="s">
        <v>363</v>
      </c>
      <c r="E58" s="8" t="s">
        <v>653</v>
      </c>
      <c r="F58" s="8" t="s">
        <v>654</v>
      </c>
      <c r="G58" s="8" t="s">
        <v>359</v>
      </c>
      <c r="H58" s="8" t="s">
        <v>655</v>
      </c>
      <c r="I58" s="8" t="s">
        <v>656</v>
      </c>
      <c r="J58" s="8"/>
      <c r="K58" s="8"/>
      <c r="L58" s="8"/>
      <c r="M58" s="8"/>
    </row>
    <row r="59" customFormat="false" ht="91.5" hidden="false" customHeight="true" outlineLevel="0" collapsed="false">
      <c r="A59" s="4" t="s">
        <v>657</v>
      </c>
      <c r="B59" s="4" t="s">
        <v>227</v>
      </c>
      <c r="C59" s="4" t="s">
        <v>658</v>
      </c>
      <c r="D59" s="4" t="s">
        <v>350</v>
      </c>
      <c r="E59" s="4" t="s">
        <v>659</v>
      </c>
      <c r="F59" s="4" t="s">
        <v>660</v>
      </c>
      <c r="G59" s="4" t="s">
        <v>378</v>
      </c>
      <c r="H59" s="4" t="s">
        <v>661</v>
      </c>
      <c r="I59" s="4" t="s">
        <v>662</v>
      </c>
      <c r="J59" s="4"/>
      <c r="K59" s="4"/>
      <c r="L59" s="4"/>
      <c r="M59" s="4"/>
    </row>
  </sheetData>
  <autoFilter ref="A3:M59"/>
  <dataValidations count="1">
    <dataValidation allowBlank="true" errorStyle="stop" operator="between" showDropDown="false" showErrorMessage="false" showInputMessage="false" sqref="J4:J59"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4" min="3" style="0" width="11"/>
    <col collapsed="false" customWidth="true" hidden="false" outlineLevel="0" max="6" min="5" style="0" width="10"/>
    <col collapsed="false" customWidth="true" hidden="false" outlineLevel="0" max="8" min="7" style="0" width="11"/>
  </cols>
  <sheetData>
    <row r="1" customFormat="false" ht="25.5" hidden="false" customHeight="true" outlineLevel="0" collapsed="false">
      <c r="A1" s="5" t="s">
        <v>663</v>
      </c>
      <c r="B1" s="2"/>
      <c r="C1" s="2"/>
      <c r="D1" s="2"/>
      <c r="E1" s="2"/>
      <c r="F1" s="2"/>
      <c r="G1" s="2"/>
      <c r="H1" s="2"/>
    </row>
    <row r="2" customFormat="false" ht="43.5" hidden="false" customHeight="true" outlineLevel="0" collapsed="false">
      <c r="A2" s="6" t="s">
        <v>664</v>
      </c>
    </row>
    <row r="3" customFormat="false" ht="31.5" hidden="false" customHeight="true" outlineLevel="0" collapsed="false">
      <c r="A3" s="7" t="s">
        <v>34</v>
      </c>
      <c r="B3" s="7" t="s">
        <v>665</v>
      </c>
      <c r="C3" s="7" t="s">
        <v>350</v>
      </c>
      <c r="D3" s="7" t="s">
        <v>363</v>
      </c>
      <c r="E3" s="7" t="s">
        <v>666</v>
      </c>
      <c r="F3" s="7" t="s">
        <v>667</v>
      </c>
      <c r="G3" s="7" t="s">
        <v>668</v>
      </c>
      <c r="H3" s="7" t="s">
        <v>669</v>
      </c>
    </row>
    <row r="4" customFormat="false" ht="21.75" hidden="false" customHeight="true" outlineLevel="0" collapsed="false">
      <c r="A4" s="8" t="s">
        <v>220</v>
      </c>
      <c r="B4" s="8" t="n">
        <f aca="false">COUNTIF(Manual_Test_Cases!$B$4:$B$59,"v020")</f>
        <v>30</v>
      </c>
      <c r="C4" s="8" t="n">
        <f aca="false">COUNTIFS(Manual_Test_Cases!$B$4:$B$59,"v020",Manual_Test_Cases!$D$4:$D$59,"Positive")</f>
        <v>15</v>
      </c>
      <c r="D4" s="8" t="n">
        <f aca="false">COUNTIFS(Manual_Test_Cases!$B$4:$B$59,"v020",Manual_Test_Cases!$D$4:$D$59,"Negative")</f>
        <v>15</v>
      </c>
      <c r="E4" s="8" t="n">
        <f aca="false">COUNTIFS(Manual_Test_Cases!$B$4:$B$59,"v020",Manual_Test_Cases!$J$4:$J$59,"Pass")</f>
        <v>0</v>
      </c>
      <c r="F4" s="8" t="n">
        <f aca="false">COUNTIFS(Manual_Test_Cases!$B$4:$B$59,"v020",Manual_Test_Cases!$J$4:$J$59,"Fail")</f>
        <v>0</v>
      </c>
      <c r="G4" s="8" t="n">
        <f aca="false">COUNTIFS(Manual_Test_Cases!$B$4:$B$59,"v020",Manual_Test_Cases!$J$4:$J$59,"Blocked")</f>
        <v>0</v>
      </c>
      <c r="H4" s="8" t="n">
        <f aca="false">COUNTIF(Manual_Test_Cases!$B$4:$B$59,"v020")-COUNTIFS(Manual_Test_Cases!$B$4:$B$59,"v020",Manual_Test_Cases!$J$4:$J$59,"Pass")-COUNTIFS(Manual_Test_Cases!$B$4:$B$59,"v020",Manual_Test_Cases!$J$4:$J$59,"Fail")-COUNTIFS(Manual_Test_Cases!$B$4:$B$59,"v020",Manual_Test_Cases!$J$4:$J$59,"Blocked")</f>
        <v>30</v>
      </c>
    </row>
    <row r="5" customFormat="false" ht="21.75" hidden="false" customHeight="true" outlineLevel="0" collapsed="false">
      <c r="A5" s="4" t="s">
        <v>227</v>
      </c>
      <c r="B5" s="4" t="n">
        <f aca="false">COUNTIF(Manual_Test_Cases!$B$4:$B$59,"v021")</f>
        <v>26</v>
      </c>
      <c r="C5" s="4" t="n">
        <f aca="false">COUNTIFS(Manual_Test_Cases!$B$4:$B$59,"v021",Manual_Test_Cases!$D$4:$D$59,"Positive")</f>
        <v>14</v>
      </c>
      <c r="D5" s="4" t="n">
        <f aca="false">COUNTIFS(Manual_Test_Cases!$B$4:$B$59,"v021",Manual_Test_Cases!$D$4:$D$59,"Negative")</f>
        <v>12</v>
      </c>
      <c r="E5" s="4" t="n">
        <f aca="false">COUNTIFS(Manual_Test_Cases!$B$4:$B$59,"v021",Manual_Test_Cases!$J$4:$J$59,"Pass")</f>
        <v>0</v>
      </c>
      <c r="F5" s="4" t="n">
        <f aca="false">COUNTIFS(Manual_Test_Cases!$B$4:$B$59,"v021",Manual_Test_Cases!$J$4:$J$59,"Fail")</f>
        <v>0</v>
      </c>
      <c r="G5" s="4" t="n">
        <f aca="false">COUNTIFS(Manual_Test_Cases!$B$4:$B$59,"v021",Manual_Test_Cases!$J$4:$J$59,"Blocked")</f>
        <v>0</v>
      </c>
      <c r="H5" s="4" t="n">
        <f aca="false">COUNTIF(Manual_Test_Cases!$B$4:$B$59,"v021")-COUNTIFS(Manual_Test_Cases!$B$4:$B$59,"v021",Manual_Test_Cases!$J$4:$J$59,"Pass")-COUNTIFS(Manual_Test_Cases!$B$4:$B$59,"v021",Manual_Test_Cases!$J$4:$J$59,"Fail")-COUNTIFS(Manual_Test_Cases!$B$4:$B$59,"v021",Manual_Test_Cases!$J$4:$J$59,"Blocked")</f>
        <v>26</v>
      </c>
    </row>
    <row r="6" customFormat="false" ht="21.75" hidden="false" customHeight="true" outlineLevel="0" collapsed="false">
      <c r="A6" s="8" t="s">
        <v>670</v>
      </c>
      <c r="B6" s="8" t="n">
        <f aca="false">COUNTA(Manual_Test_Cases!$A$4:$A$59)</f>
        <v>56</v>
      </c>
      <c r="C6" s="8" t="n">
        <f aca="false">COUNTIF(Manual_Test_Cases!$D$4:$D$59,"Positive")</f>
        <v>29</v>
      </c>
      <c r="D6" s="8" t="n">
        <f aca="false">COUNTIF(Manual_Test_Cases!$D$4:$D$59,"Negative")</f>
        <v>27</v>
      </c>
      <c r="E6" s="8" t="n">
        <f aca="false">COUNTIF(Manual_Test_Cases!$J$4:$J$59,"Pass")</f>
        <v>0</v>
      </c>
      <c r="F6" s="8" t="n">
        <f aca="false">COUNTIF(Manual_Test_Cases!$J$4:$J$59,"Fail")</f>
        <v>0</v>
      </c>
      <c r="G6" s="8" t="n">
        <f aca="false">COUNTIF(Manual_Test_Cases!$J$4:$J$59,"Blocked")</f>
        <v>0</v>
      </c>
      <c r="H6" s="8" t="n">
        <f aca="false">B6-E6-F6-G6</f>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6"/>
    <col collapsed="false" customWidth="true" hidden="false" outlineLevel="0" max="4" min="4" style="0" width="18"/>
    <col collapsed="false" customWidth="true" hidden="false" outlineLevel="0" max="5" min="5" style="0" width="72"/>
    <col collapsed="false" customWidth="true" hidden="false" outlineLevel="0" max="6" min="6" style="0" width="11"/>
    <col collapsed="false" customWidth="true" hidden="false" outlineLevel="0" max="7" min="7" style="0" width="58"/>
    <col collapsed="false" customWidth="true" hidden="false" outlineLevel="0" max="8" min="8" style="0" width="30"/>
  </cols>
  <sheetData>
    <row r="1" customFormat="false" ht="25.5" hidden="false" customHeight="true" outlineLevel="0" collapsed="false">
      <c r="A1" s="5" t="s">
        <v>671</v>
      </c>
      <c r="B1" s="2"/>
      <c r="C1" s="2"/>
      <c r="D1" s="2"/>
      <c r="E1" s="2"/>
      <c r="F1" s="2"/>
      <c r="G1" s="2"/>
      <c r="H1" s="2"/>
    </row>
    <row r="2" customFormat="false" ht="43.5" hidden="false" customHeight="true" outlineLevel="0" collapsed="false">
      <c r="A2" s="6" t="s">
        <v>672</v>
      </c>
    </row>
    <row r="3" customFormat="false" ht="31.5" hidden="false" customHeight="true" outlineLevel="0" collapsed="false">
      <c r="A3" s="7" t="s">
        <v>673</v>
      </c>
      <c r="B3" s="7" t="s">
        <v>674</v>
      </c>
      <c r="C3" s="7" t="s">
        <v>675</v>
      </c>
      <c r="D3" s="7" t="s">
        <v>340</v>
      </c>
      <c r="E3" s="7" t="s">
        <v>676</v>
      </c>
      <c r="F3" s="7" t="s">
        <v>677</v>
      </c>
      <c r="G3" s="7" t="s">
        <v>678</v>
      </c>
      <c r="H3" s="7" t="s">
        <v>22</v>
      </c>
    </row>
    <row r="4" customFormat="false" ht="54" hidden="false" customHeight="true" outlineLevel="0" collapsed="false">
      <c r="A4" s="8" t="s">
        <v>679</v>
      </c>
      <c r="B4" s="8" t="s">
        <v>220</v>
      </c>
      <c r="C4" s="8" t="s">
        <v>680</v>
      </c>
      <c r="D4" s="8" t="s">
        <v>681</v>
      </c>
      <c r="E4" s="8" t="s">
        <v>682</v>
      </c>
      <c r="F4" s="8" t="s">
        <v>683</v>
      </c>
      <c r="G4" s="8" t="s">
        <v>684</v>
      </c>
      <c r="H4" s="8" t="s">
        <v>685</v>
      </c>
    </row>
    <row r="5" customFormat="false" ht="54" hidden="false" customHeight="true" outlineLevel="0" collapsed="false">
      <c r="A5" s="4" t="s">
        <v>686</v>
      </c>
      <c r="B5" s="4" t="s">
        <v>220</v>
      </c>
      <c r="C5" s="4" t="s">
        <v>680</v>
      </c>
      <c r="D5" s="4" t="s">
        <v>681</v>
      </c>
      <c r="E5" s="4" t="s">
        <v>687</v>
      </c>
      <c r="F5" s="4" t="s">
        <v>683</v>
      </c>
      <c r="G5" s="4" t="s">
        <v>688</v>
      </c>
      <c r="H5" s="4" t="s">
        <v>685</v>
      </c>
    </row>
    <row r="6" customFormat="false" ht="54" hidden="false" customHeight="true" outlineLevel="0" collapsed="false">
      <c r="A6" s="8" t="s">
        <v>689</v>
      </c>
      <c r="B6" s="8" t="s">
        <v>220</v>
      </c>
      <c r="C6" s="8" t="s">
        <v>680</v>
      </c>
      <c r="D6" s="8" t="s">
        <v>681</v>
      </c>
      <c r="E6" s="8" t="s">
        <v>690</v>
      </c>
      <c r="F6" s="8" t="s">
        <v>683</v>
      </c>
      <c r="G6" s="8" t="s">
        <v>691</v>
      </c>
      <c r="H6" s="8" t="s">
        <v>685</v>
      </c>
    </row>
    <row r="7" customFormat="false" ht="54" hidden="false" customHeight="true" outlineLevel="0" collapsed="false">
      <c r="A7" s="4" t="s">
        <v>692</v>
      </c>
      <c r="B7" s="4" t="s">
        <v>220</v>
      </c>
      <c r="C7" s="4" t="s">
        <v>680</v>
      </c>
      <c r="D7" s="4" t="s">
        <v>681</v>
      </c>
      <c r="E7" s="4" t="s">
        <v>693</v>
      </c>
      <c r="F7" s="4" t="s">
        <v>694</v>
      </c>
      <c r="G7" s="4" t="s">
        <v>695</v>
      </c>
      <c r="H7" s="4" t="s">
        <v>685</v>
      </c>
    </row>
    <row r="8" customFormat="false" ht="54" hidden="false" customHeight="true" outlineLevel="0" collapsed="false">
      <c r="A8" s="8" t="s">
        <v>696</v>
      </c>
      <c r="B8" s="8" t="s">
        <v>220</v>
      </c>
      <c r="C8" s="8" t="s">
        <v>680</v>
      </c>
      <c r="D8" s="8" t="s">
        <v>697</v>
      </c>
      <c r="E8" s="8" t="s">
        <v>698</v>
      </c>
      <c r="F8" s="8" t="s">
        <v>683</v>
      </c>
      <c r="G8" s="8" t="s">
        <v>699</v>
      </c>
      <c r="H8" s="8" t="s">
        <v>700</v>
      </c>
    </row>
    <row r="9" customFormat="false" ht="54" hidden="false" customHeight="true" outlineLevel="0" collapsed="false">
      <c r="A9" s="4" t="s">
        <v>701</v>
      </c>
      <c r="B9" s="4" t="s">
        <v>220</v>
      </c>
      <c r="C9" s="4" t="s">
        <v>680</v>
      </c>
      <c r="D9" s="4" t="s">
        <v>702</v>
      </c>
      <c r="E9" s="4" t="s">
        <v>703</v>
      </c>
      <c r="F9" s="4" t="s">
        <v>694</v>
      </c>
      <c r="G9" s="4" t="s">
        <v>704</v>
      </c>
      <c r="H9" s="4" t="s">
        <v>685</v>
      </c>
    </row>
    <row r="10" customFormat="false" ht="54" hidden="false" customHeight="true" outlineLevel="0" collapsed="false">
      <c r="A10" s="8" t="s">
        <v>705</v>
      </c>
      <c r="B10" s="8" t="s">
        <v>220</v>
      </c>
      <c r="C10" s="8" t="s">
        <v>680</v>
      </c>
      <c r="D10" s="8" t="s">
        <v>706</v>
      </c>
      <c r="E10" s="8" t="s">
        <v>707</v>
      </c>
      <c r="F10" s="8" t="s">
        <v>694</v>
      </c>
      <c r="G10" s="8" t="s">
        <v>708</v>
      </c>
      <c r="H10" s="8" t="s">
        <v>685</v>
      </c>
    </row>
    <row r="11" customFormat="false" ht="54" hidden="false" customHeight="true" outlineLevel="0" collapsed="false">
      <c r="A11" s="4" t="s">
        <v>709</v>
      </c>
      <c r="B11" s="4" t="s">
        <v>220</v>
      </c>
      <c r="C11" s="4" t="s">
        <v>680</v>
      </c>
      <c r="D11" s="4" t="s">
        <v>710</v>
      </c>
      <c r="E11" s="4" t="s">
        <v>711</v>
      </c>
      <c r="F11" s="4" t="s">
        <v>694</v>
      </c>
      <c r="G11" s="4" t="s">
        <v>712</v>
      </c>
      <c r="H11" s="4" t="s">
        <v>685</v>
      </c>
    </row>
    <row r="12" customFormat="false" ht="54" hidden="false" customHeight="true" outlineLevel="0" collapsed="false">
      <c r="A12" s="8" t="s">
        <v>713</v>
      </c>
      <c r="B12" s="8" t="s">
        <v>220</v>
      </c>
      <c r="C12" s="8" t="s">
        <v>680</v>
      </c>
      <c r="D12" s="8" t="s">
        <v>498</v>
      </c>
      <c r="E12" s="8" t="s">
        <v>714</v>
      </c>
      <c r="F12" s="8" t="s">
        <v>694</v>
      </c>
      <c r="G12" s="8" t="s">
        <v>715</v>
      </c>
      <c r="H12" s="8" t="s">
        <v>685</v>
      </c>
    </row>
    <row r="13" customFormat="false" ht="54" hidden="false" customHeight="true" outlineLevel="0" collapsed="false">
      <c r="A13" s="4" t="s">
        <v>716</v>
      </c>
      <c r="B13" s="4" t="s">
        <v>220</v>
      </c>
      <c r="C13" s="4" t="s">
        <v>680</v>
      </c>
      <c r="D13" s="4" t="s">
        <v>520</v>
      </c>
      <c r="E13" s="4" t="s">
        <v>717</v>
      </c>
      <c r="F13" s="4" t="s">
        <v>694</v>
      </c>
      <c r="G13" s="4" t="s">
        <v>718</v>
      </c>
      <c r="H13" s="4" t="s">
        <v>685</v>
      </c>
    </row>
    <row r="14" customFormat="false" ht="54" hidden="false" customHeight="true" outlineLevel="0" collapsed="false">
      <c r="A14" s="8" t="s">
        <v>719</v>
      </c>
      <c r="B14" s="8" t="s">
        <v>220</v>
      </c>
      <c r="C14" s="8" t="s">
        <v>680</v>
      </c>
      <c r="D14" s="8" t="s">
        <v>509</v>
      </c>
      <c r="E14" s="8" t="s">
        <v>720</v>
      </c>
      <c r="F14" s="8" t="s">
        <v>694</v>
      </c>
      <c r="G14" s="8" t="s">
        <v>721</v>
      </c>
      <c r="H14" s="8" t="s">
        <v>685</v>
      </c>
    </row>
    <row r="15" customFormat="false" ht="54" hidden="false" customHeight="true" outlineLevel="0" collapsed="false">
      <c r="A15" s="4" t="s">
        <v>722</v>
      </c>
      <c r="B15" s="4" t="s">
        <v>220</v>
      </c>
      <c r="C15" s="4" t="s">
        <v>680</v>
      </c>
      <c r="D15" s="4" t="s">
        <v>723</v>
      </c>
      <c r="E15" s="4" t="s">
        <v>724</v>
      </c>
      <c r="F15" s="4" t="s">
        <v>683</v>
      </c>
      <c r="G15" s="4" t="s">
        <v>725</v>
      </c>
      <c r="H15" s="4" t="s">
        <v>726</v>
      </c>
    </row>
    <row r="16" customFormat="false" ht="54" hidden="false" customHeight="true" outlineLevel="0" collapsed="false">
      <c r="A16" s="8" t="s">
        <v>727</v>
      </c>
      <c r="B16" s="8" t="s">
        <v>220</v>
      </c>
      <c r="C16" s="8" t="s">
        <v>728</v>
      </c>
      <c r="D16" s="8" t="s">
        <v>421</v>
      </c>
      <c r="E16" s="8" t="s">
        <v>729</v>
      </c>
      <c r="F16" s="8" t="s">
        <v>683</v>
      </c>
      <c r="G16" s="8" t="s">
        <v>730</v>
      </c>
      <c r="H16" s="8" t="s">
        <v>685</v>
      </c>
    </row>
    <row r="17" customFormat="false" ht="54" hidden="false" customHeight="true" outlineLevel="0" collapsed="false">
      <c r="A17" s="4" t="s">
        <v>731</v>
      </c>
      <c r="B17" s="4" t="s">
        <v>220</v>
      </c>
      <c r="C17" s="4" t="s">
        <v>728</v>
      </c>
      <c r="D17" s="4" t="s">
        <v>681</v>
      </c>
      <c r="E17" s="4" t="s">
        <v>732</v>
      </c>
      <c r="F17" s="4" t="s">
        <v>694</v>
      </c>
      <c r="G17" s="4" t="s">
        <v>733</v>
      </c>
      <c r="H17" s="4" t="s">
        <v>685</v>
      </c>
    </row>
    <row r="18" customFormat="false" ht="54" hidden="false" customHeight="true" outlineLevel="0" collapsed="false">
      <c r="A18" s="8" t="s">
        <v>734</v>
      </c>
      <c r="B18" s="8" t="s">
        <v>220</v>
      </c>
      <c r="C18" s="8" t="s">
        <v>728</v>
      </c>
      <c r="D18" s="8" t="s">
        <v>735</v>
      </c>
      <c r="E18" s="8" t="s">
        <v>736</v>
      </c>
      <c r="F18" s="8" t="s">
        <v>737</v>
      </c>
      <c r="G18" s="8" t="s">
        <v>738</v>
      </c>
      <c r="H18" s="8" t="s">
        <v>685</v>
      </c>
    </row>
    <row r="19" customFormat="false" ht="54" hidden="false" customHeight="true" outlineLevel="0" collapsed="false">
      <c r="A19" s="4" t="s">
        <v>739</v>
      </c>
      <c r="B19" s="4" t="s">
        <v>220</v>
      </c>
      <c r="C19" s="4" t="s">
        <v>728</v>
      </c>
      <c r="D19" s="4" t="s">
        <v>498</v>
      </c>
      <c r="E19" s="4" t="s">
        <v>740</v>
      </c>
      <c r="F19" s="4" t="s">
        <v>694</v>
      </c>
      <c r="G19" s="4" t="s">
        <v>741</v>
      </c>
      <c r="H19" s="4" t="s">
        <v>685</v>
      </c>
    </row>
    <row r="20" customFormat="false" ht="54" hidden="false" customHeight="true" outlineLevel="0" collapsed="false">
      <c r="A20" s="8" t="s">
        <v>742</v>
      </c>
      <c r="B20" s="8" t="s">
        <v>220</v>
      </c>
      <c r="C20" s="8" t="s">
        <v>728</v>
      </c>
      <c r="D20" s="8" t="s">
        <v>743</v>
      </c>
      <c r="E20" s="8" t="s">
        <v>744</v>
      </c>
      <c r="F20" s="8" t="s">
        <v>683</v>
      </c>
      <c r="G20" s="8" t="s">
        <v>745</v>
      </c>
      <c r="H20" s="8" t="s">
        <v>685</v>
      </c>
    </row>
    <row r="21" customFormat="false" ht="54" hidden="false" customHeight="true" outlineLevel="0" collapsed="false">
      <c r="A21" s="4" t="s">
        <v>746</v>
      </c>
      <c r="B21" s="4" t="s">
        <v>220</v>
      </c>
      <c r="C21" s="4" t="s">
        <v>728</v>
      </c>
      <c r="D21" s="4" t="s">
        <v>526</v>
      </c>
      <c r="E21" s="4" t="s">
        <v>747</v>
      </c>
      <c r="F21" s="4" t="s">
        <v>683</v>
      </c>
      <c r="G21" s="4" t="s">
        <v>748</v>
      </c>
      <c r="H21" s="4" t="s">
        <v>685</v>
      </c>
    </row>
    <row r="22" customFormat="false" ht="54" hidden="false" customHeight="true" outlineLevel="0" collapsed="false">
      <c r="A22" s="8" t="s">
        <v>749</v>
      </c>
      <c r="B22" s="8" t="s">
        <v>220</v>
      </c>
      <c r="C22" s="8" t="s">
        <v>728</v>
      </c>
      <c r="D22" s="8" t="s">
        <v>750</v>
      </c>
      <c r="E22" s="8" t="s">
        <v>751</v>
      </c>
      <c r="F22" s="8" t="s">
        <v>694</v>
      </c>
      <c r="G22" s="8" t="s">
        <v>752</v>
      </c>
      <c r="H22" s="8" t="s">
        <v>685</v>
      </c>
    </row>
    <row r="23" customFormat="false" ht="54" hidden="false" customHeight="true" outlineLevel="0" collapsed="false">
      <c r="A23" s="4" t="s">
        <v>753</v>
      </c>
      <c r="B23" s="4" t="s">
        <v>220</v>
      </c>
      <c r="C23" s="4" t="s">
        <v>728</v>
      </c>
      <c r="D23" s="4" t="s">
        <v>754</v>
      </c>
      <c r="E23" s="4" t="s">
        <v>755</v>
      </c>
      <c r="F23" s="4" t="s">
        <v>694</v>
      </c>
      <c r="G23" s="4" t="s">
        <v>756</v>
      </c>
      <c r="H23" s="4" t="s">
        <v>685</v>
      </c>
    </row>
    <row r="24" customFormat="false" ht="54" hidden="false" customHeight="true" outlineLevel="0" collapsed="false">
      <c r="A24" s="8" t="s">
        <v>757</v>
      </c>
      <c r="B24" s="8" t="s">
        <v>220</v>
      </c>
      <c r="C24" s="8" t="s">
        <v>728</v>
      </c>
      <c r="D24" s="8" t="s">
        <v>758</v>
      </c>
      <c r="E24" s="8" t="s">
        <v>759</v>
      </c>
      <c r="F24" s="8" t="s">
        <v>737</v>
      </c>
      <c r="G24" s="8" t="s">
        <v>760</v>
      </c>
      <c r="H24" s="8" t="s">
        <v>685</v>
      </c>
    </row>
    <row r="25" customFormat="false" ht="54" hidden="false" customHeight="true" outlineLevel="0" collapsed="false">
      <c r="A25" s="4" t="s">
        <v>761</v>
      </c>
      <c r="B25" s="4" t="s">
        <v>220</v>
      </c>
      <c r="C25" s="4" t="s">
        <v>728</v>
      </c>
      <c r="D25" s="4" t="s">
        <v>636</v>
      </c>
      <c r="E25" s="4" t="s">
        <v>762</v>
      </c>
      <c r="F25" s="4" t="s">
        <v>737</v>
      </c>
      <c r="G25" s="4" t="s">
        <v>733</v>
      </c>
      <c r="H25" s="4" t="s">
        <v>685</v>
      </c>
    </row>
    <row r="26" customFormat="false" ht="54" hidden="false" customHeight="true" outlineLevel="0" collapsed="false">
      <c r="A26" s="8" t="s">
        <v>763</v>
      </c>
      <c r="B26" s="8" t="s">
        <v>220</v>
      </c>
      <c r="C26" s="8" t="s">
        <v>728</v>
      </c>
      <c r="D26" s="8" t="s">
        <v>764</v>
      </c>
      <c r="E26" s="8" t="s">
        <v>765</v>
      </c>
      <c r="F26" s="8" t="s">
        <v>737</v>
      </c>
      <c r="G26" s="8" t="s">
        <v>733</v>
      </c>
      <c r="H26" s="8" t="s">
        <v>685</v>
      </c>
    </row>
    <row r="27" customFormat="false" ht="54" hidden="false" customHeight="true" outlineLevel="0" collapsed="false">
      <c r="A27" s="4" t="s">
        <v>766</v>
      </c>
      <c r="B27" s="4" t="s">
        <v>220</v>
      </c>
      <c r="C27" s="4" t="s">
        <v>767</v>
      </c>
      <c r="D27" s="4" t="s">
        <v>498</v>
      </c>
      <c r="E27" s="4" t="s">
        <v>768</v>
      </c>
      <c r="F27" s="4" t="s">
        <v>737</v>
      </c>
      <c r="G27" s="4" t="s">
        <v>769</v>
      </c>
      <c r="H27" s="4" t="s">
        <v>685</v>
      </c>
    </row>
    <row r="28" customFormat="false" ht="54" hidden="false" customHeight="true" outlineLevel="0" collapsed="false">
      <c r="A28" s="8" t="s">
        <v>770</v>
      </c>
      <c r="B28" s="8" t="s">
        <v>227</v>
      </c>
      <c r="C28" s="8" t="s">
        <v>771</v>
      </c>
      <c r="D28" s="8" t="s">
        <v>772</v>
      </c>
      <c r="E28" s="8" t="s">
        <v>773</v>
      </c>
      <c r="F28" s="8" t="s">
        <v>737</v>
      </c>
      <c r="G28" s="8" t="s">
        <v>774</v>
      </c>
      <c r="H28" s="8" t="s">
        <v>775</v>
      </c>
    </row>
    <row r="29" customFormat="false" ht="54" hidden="false" customHeight="true" outlineLevel="0" collapsed="false">
      <c r="A29" s="4" t="s">
        <v>776</v>
      </c>
      <c r="B29" s="4" t="s">
        <v>227</v>
      </c>
      <c r="C29" s="4" t="s">
        <v>777</v>
      </c>
      <c r="D29" s="4" t="s">
        <v>778</v>
      </c>
      <c r="E29" s="4" t="s">
        <v>779</v>
      </c>
      <c r="F29" s="4" t="s">
        <v>683</v>
      </c>
      <c r="G29" s="4" t="s">
        <v>780</v>
      </c>
      <c r="H29" s="4" t="s">
        <v>685</v>
      </c>
    </row>
    <row r="30" customFormat="false" ht="54" hidden="false" customHeight="true" outlineLevel="0" collapsed="false">
      <c r="A30" s="8" t="s">
        <v>781</v>
      </c>
      <c r="B30" s="8" t="s">
        <v>227</v>
      </c>
      <c r="C30" s="8" t="s">
        <v>777</v>
      </c>
      <c r="D30" s="8" t="s">
        <v>498</v>
      </c>
      <c r="E30" s="8" t="s">
        <v>782</v>
      </c>
      <c r="F30" s="8" t="s">
        <v>737</v>
      </c>
      <c r="G30" s="8" t="s">
        <v>783</v>
      </c>
      <c r="H30" s="8" t="s">
        <v>685</v>
      </c>
    </row>
    <row r="31" customFormat="false" ht="54" hidden="false" customHeight="true" outlineLevel="0" collapsed="false">
      <c r="A31" s="4" t="s">
        <v>784</v>
      </c>
      <c r="B31" s="4" t="s">
        <v>227</v>
      </c>
      <c r="C31" s="4" t="s">
        <v>785</v>
      </c>
      <c r="D31" s="4" t="s">
        <v>526</v>
      </c>
      <c r="E31" s="4" t="s">
        <v>786</v>
      </c>
      <c r="F31" s="4" t="s">
        <v>787</v>
      </c>
      <c r="G31" s="4" t="s">
        <v>788</v>
      </c>
      <c r="H31" s="4" t="s">
        <v>789</v>
      </c>
    </row>
    <row r="32" customFormat="false" ht="54" hidden="false" customHeight="true" outlineLevel="0" collapsed="false">
      <c r="A32" s="8" t="s">
        <v>790</v>
      </c>
      <c r="B32" s="8" t="s">
        <v>220</v>
      </c>
      <c r="C32" s="8" t="s">
        <v>791</v>
      </c>
      <c r="D32" s="8" t="s">
        <v>681</v>
      </c>
      <c r="E32" s="8" t="s">
        <v>792</v>
      </c>
      <c r="F32" s="8" t="s">
        <v>694</v>
      </c>
      <c r="G32" s="8" t="s">
        <v>793</v>
      </c>
      <c r="H32" s="8" t="s">
        <v>789</v>
      </c>
    </row>
    <row r="33" customFormat="false" ht="54" hidden="false" customHeight="true" outlineLevel="0" collapsed="false">
      <c r="A33" s="4" t="s">
        <v>794</v>
      </c>
      <c r="B33" s="4" t="s">
        <v>220</v>
      </c>
      <c r="C33" s="4" t="s">
        <v>777</v>
      </c>
      <c r="D33" s="4" t="s">
        <v>681</v>
      </c>
      <c r="E33" s="4" t="s">
        <v>795</v>
      </c>
      <c r="F33" s="4" t="s">
        <v>737</v>
      </c>
      <c r="G33" s="4" t="s">
        <v>796</v>
      </c>
      <c r="H33" s="4" t="s">
        <v>789</v>
      </c>
    </row>
  </sheetData>
  <autoFilter ref="A3: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6"/>
    <col collapsed="false" customWidth="true" hidden="false" outlineLevel="0" max="3" min="3" style="0" width="52"/>
    <col collapsed="false" customWidth="true" hidden="false" outlineLevel="0" max="4" min="4" style="0" width="12"/>
    <col collapsed="false" customWidth="true" hidden="false" outlineLevel="0" max="5" min="5" style="0" width="58"/>
    <col collapsed="false" customWidth="true" hidden="false" outlineLevel="0" max="6" min="6" style="0" width="10"/>
  </cols>
  <sheetData>
    <row r="1" customFormat="false" ht="25.5" hidden="false" customHeight="true" outlineLevel="0" collapsed="false">
      <c r="A1" s="5" t="s">
        <v>797</v>
      </c>
      <c r="B1" s="2"/>
      <c r="C1" s="2"/>
      <c r="D1" s="2"/>
      <c r="E1" s="2"/>
      <c r="F1" s="2"/>
    </row>
    <row r="2" customFormat="false" ht="43.5" hidden="false" customHeight="true" outlineLevel="0" collapsed="false">
      <c r="A2" s="6" t="s">
        <v>798</v>
      </c>
    </row>
    <row r="3" customFormat="false" ht="31.5" hidden="false" customHeight="true" outlineLevel="0" collapsed="false">
      <c r="A3" s="7" t="s">
        <v>673</v>
      </c>
      <c r="B3" s="7" t="s">
        <v>799</v>
      </c>
      <c r="C3" s="7" t="s">
        <v>800</v>
      </c>
      <c r="D3" s="7" t="s">
        <v>66</v>
      </c>
      <c r="E3" s="7" t="s">
        <v>801</v>
      </c>
      <c r="F3" s="7" t="s">
        <v>22</v>
      </c>
    </row>
    <row r="4" customFormat="false" ht="48" hidden="false" customHeight="true" outlineLevel="0" collapsed="false">
      <c r="A4" s="8" t="s">
        <v>248</v>
      </c>
      <c r="B4" s="8" t="s">
        <v>802</v>
      </c>
      <c r="C4" s="8" t="s">
        <v>803</v>
      </c>
      <c r="D4" s="8" t="s">
        <v>86</v>
      </c>
      <c r="E4" s="8" t="s">
        <v>804</v>
      </c>
      <c r="F4" s="8" t="s">
        <v>805</v>
      </c>
    </row>
    <row r="5" customFormat="false" ht="48" hidden="false" customHeight="true" outlineLevel="0" collapsed="false">
      <c r="A5" s="4" t="s">
        <v>806</v>
      </c>
      <c r="B5" s="4" t="s">
        <v>807</v>
      </c>
      <c r="C5" s="4" t="s">
        <v>808</v>
      </c>
      <c r="D5" s="4" t="s">
        <v>86</v>
      </c>
      <c r="E5" s="4" t="s">
        <v>809</v>
      </c>
      <c r="F5" s="4" t="s">
        <v>805</v>
      </c>
    </row>
    <row r="6" customFormat="false" ht="48" hidden="false" customHeight="true" outlineLevel="0" collapsed="false">
      <c r="A6" s="8" t="s">
        <v>810</v>
      </c>
      <c r="B6" s="8" t="s">
        <v>811</v>
      </c>
      <c r="C6" s="8" t="s">
        <v>812</v>
      </c>
      <c r="D6" s="8" t="s">
        <v>86</v>
      </c>
      <c r="E6" s="8" t="s">
        <v>813</v>
      </c>
      <c r="F6" s="8" t="s">
        <v>805</v>
      </c>
    </row>
    <row r="7" customFormat="false" ht="48" hidden="false" customHeight="true" outlineLevel="0" collapsed="false">
      <c r="A7" s="4" t="s">
        <v>814</v>
      </c>
      <c r="B7" s="4" t="s">
        <v>815</v>
      </c>
      <c r="C7" s="4" t="s">
        <v>816</v>
      </c>
      <c r="D7" s="4" t="s">
        <v>86</v>
      </c>
      <c r="E7" s="4" t="s">
        <v>817</v>
      </c>
      <c r="F7" s="4" t="s">
        <v>805</v>
      </c>
    </row>
    <row r="8" customFormat="false" ht="48" hidden="false" customHeight="true" outlineLevel="0" collapsed="false">
      <c r="A8" s="8" t="s">
        <v>818</v>
      </c>
      <c r="B8" s="8" t="s">
        <v>819</v>
      </c>
      <c r="C8" s="8" t="s">
        <v>820</v>
      </c>
      <c r="D8" s="8" t="s">
        <v>86</v>
      </c>
      <c r="E8" s="8" t="s">
        <v>821</v>
      </c>
      <c r="F8" s="8" t="s">
        <v>805</v>
      </c>
    </row>
    <row r="9" customFormat="false" ht="48" hidden="false" customHeight="true" outlineLevel="0" collapsed="false">
      <c r="A9" s="4" t="s">
        <v>822</v>
      </c>
      <c r="B9" s="4" t="s">
        <v>823</v>
      </c>
      <c r="C9" s="4" t="s">
        <v>824</v>
      </c>
      <c r="D9" s="4" t="s">
        <v>86</v>
      </c>
      <c r="E9" s="4" t="s">
        <v>825</v>
      </c>
      <c r="F9" s="4" t="s">
        <v>805</v>
      </c>
    </row>
    <row r="10" customFormat="false" ht="48" hidden="false" customHeight="true" outlineLevel="0" collapsed="false">
      <c r="A10" s="8" t="s">
        <v>826</v>
      </c>
      <c r="B10" s="8" t="s">
        <v>827</v>
      </c>
      <c r="C10" s="8" t="s">
        <v>828</v>
      </c>
      <c r="D10" s="8" t="s">
        <v>86</v>
      </c>
      <c r="E10" s="8" t="s">
        <v>829</v>
      </c>
      <c r="F10" s="8" t="s">
        <v>805</v>
      </c>
    </row>
    <row r="11" customFormat="false" ht="48" hidden="false" customHeight="true" outlineLevel="0" collapsed="false">
      <c r="A11" s="4" t="s">
        <v>830</v>
      </c>
      <c r="B11" s="4" t="s">
        <v>831</v>
      </c>
      <c r="C11" s="4" t="s">
        <v>832</v>
      </c>
      <c r="D11" s="4" t="s">
        <v>86</v>
      </c>
      <c r="E11" s="4" t="s">
        <v>833</v>
      </c>
      <c r="F11" s="4" t="s">
        <v>805</v>
      </c>
    </row>
    <row r="12" customFormat="false" ht="48" hidden="false" customHeight="true" outlineLevel="0" collapsed="false">
      <c r="A12" s="8" t="s">
        <v>834</v>
      </c>
      <c r="B12" s="8" t="s">
        <v>835</v>
      </c>
      <c r="C12" s="8" t="s">
        <v>836</v>
      </c>
      <c r="D12" s="8" t="s">
        <v>86</v>
      </c>
      <c r="E12" s="8" t="s">
        <v>837</v>
      </c>
      <c r="F12" s="8" t="s">
        <v>805</v>
      </c>
    </row>
    <row r="13" customFormat="false" ht="48" hidden="false" customHeight="true" outlineLevel="0" collapsed="false">
      <c r="A13" s="4" t="s">
        <v>838</v>
      </c>
      <c r="B13" s="4" t="s">
        <v>839</v>
      </c>
      <c r="C13" s="4" t="s">
        <v>840</v>
      </c>
      <c r="D13" s="4" t="s">
        <v>86</v>
      </c>
      <c r="E13" s="4" t="s">
        <v>841</v>
      </c>
      <c r="F13" s="4" t="s">
        <v>805</v>
      </c>
    </row>
    <row r="14" customFormat="false" ht="48" hidden="false" customHeight="true" outlineLevel="0" collapsed="false">
      <c r="A14" s="8" t="s">
        <v>842</v>
      </c>
      <c r="B14" s="8" t="s">
        <v>843</v>
      </c>
      <c r="C14" s="8" t="s">
        <v>844</v>
      </c>
      <c r="D14" s="8" t="s">
        <v>86</v>
      </c>
      <c r="E14" s="8" t="s">
        <v>845</v>
      </c>
      <c r="F14" s="8" t="s">
        <v>805</v>
      </c>
    </row>
  </sheetData>
  <autoFilter ref="A3:F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25.5" hidden="false" customHeight="true" outlineLevel="0" collapsed="false">
      <c r="A1" s="5" t="s">
        <v>846</v>
      </c>
      <c r="B1" s="2"/>
    </row>
    <row r="2" customFormat="false" ht="43.5" hidden="false" customHeight="true" outlineLevel="0" collapsed="false">
      <c r="A2" s="6" t="s">
        <v>847</v>
      </c>
    </row>
    <row r="3" customFormat="false" ht="31.5" hidden="false" customHeight="true" outlineLevel="0" collapsed="false">
      <c r="A3" s="7" t="s">
        <v>848</v>
      </c>
      <c r="B3" s="7" t="s">
        <v>849</v>
      </c>
    </row>
    <row r="4" customFormat="false" ht="31.5" hidden="false" customHeight="true" outlineLevel="0" collapsed="false">
      <c r="A4" s="8" t="s">
        <v>850</v>
      </c>
      <c r="B4" s="8" t="s">
        <v>851</v>
      </c>
    </row>
    <row r="5" customFormat="false" ht="31.5" hidden="false" customHeight="true" outlineLevel="0" collapsed="false">
      <c r="A5" s="4" t="s">
        <v>852</v>
      </c>
      <c r="B5" s="4" t="s">
        <v>853</v>
      </c>
    </row>
    <row r="6" customFormat="false" ht="31.5" hidden="false" customHeight="true" outlineLevel="0" collapsed="false">
      <c r="A6" s="8" t="s">
        <v>854</v>
      </c>
      <c r="B6" s="8" t="s">
        <v>855</v>
      </c>
    </row>
    <row r="7" customFormat="false" ht="31.5" hidden="false" customHeight="true" outlineLevel="0" collapsed="false">
      <c r="A7" s="4" t="s">
        <v>856</v>
      </c>
      <c r="B7" s="4" t="s">
        <v>857</v>
      </c>
    </row>
    <row r="8" customFormat="false" ht="31.5" hidden="false" customHeight="true" outlineLevel="0" collapsed="false">
      <c r="A8" s="8" t="s">
        <v>858</v>
      </c>
      <c r="B8" s="8" t="s">
        <v>859</v>
      </c>
    </row>
    <row r="9" customFormat="false" ht="31.5" hidden="false" customHeight="true" outlineLevel="0" collapsed="false">
      <c r="A9" s="4" t="s">
        <v>860</v>
      </c>
      <c r="B9" s="4" t="s">
        <v>861</v>
      </c>
    </row>
    <row r="10" customFormat="false" ht="31.5" hidden="false" customHeight="true" outlineLevel="0" collapsed="false">
      <c r="A10" s="8" t="s">
        <v>862</v>
      </c>
      <c r="B10" s="8" t="s">
        <v>863</v>
      </c>
    </row>
    <row r="11" customFormat="false" ht="31.5" hidden="false" customHeight="true" outlineLevel="0" collapsed="false">
      <c r="A11" s="4" t="s">
        <v>864</v>
      </c>
      <c r="B11" s="4" t="s">
        <v>865</v>
      </c>
    </row>
    <row r="12" customFormat="false" ht="31.5" hidden="false" customHeight="true" outlineLevel="0" collapsed="false">
      <c r="A12" s="8" t="s">
        <v>866</v>
      </c>
      <c r="B12" s="8" t="s">
        <v>867</v>
      </c>
    </row>
    <row r="13" customFormat="false" ht="31.5" hidden="false" customHeight="true" outlineLevel="0" collapsed="false">
      <c r="A13" s="4" t="s">
        <v>868</v>
      </c>
      <c r="B13" s="4" t="s">
        <v>869</v>
      </c>
    </row>
    <row r="14" customFormat="false" ht="31.5" hidden="false" customHeight="true" outlineLevel="0" collapsed="false">
      <c r="A14" s="8" t="s">
        <v>870</v>
      </c>
      <c r="B14" s="8" t="s">
        <v>871</v>
      </c>
    </row>
    <row r="15" customFormat="false" ht="31.5" hidden="false" customHeight="true" outlineLevel="0" collapsed="false">
      <c r="A15" s="4" t="s">
        <v>872</v>
      </c>
      <c r="B15" s="4" t="s">
        <v>873</v>
      </c>
    </row>
    <row r="16" customFormat="false" ht="31.5" hidden="false" customHeight="true" outlineLevel="0" collapsed="false">
      <c r="A16" s="8" t="s">
        <v>392</v>
      </c>
      <c r="B16" s="8" t="s">
        <v>874</v>
      </c>
    </row>
    <row r="17" customFormat="false" ht="31.5" hidden="false" customHeight="true" outlineLevel="0" collapsed="false">
      <c r="A17" s="4" t="s">
        <v>875</v>
      </c>
      <c r="B17" s="4" t="s">
        <v>876</v>
      </c>
    </row>
    <row r="18" customFormat="false" ht="31.5" hidden="false" customHeight="true" outlineLevel="0" collapsed="false">
      <c r="A18" s="8" t="s">
        <v>877</v>
      </c>
      <c r="B18" s="8" t="s">
        <v>878</v>
      </c>
    </row>
    <row r="19" customFormat="false" ht="31.5" hidden="false" customHeight="true" outlineLevel="0" collapsed="false">
      <c r="A19" s="4" t="s">
        <v>879</v>
      </c>
      <c r="B19" s="4" t="s">
        <v>880</v>
      </c>
    </row>
  </sheetData>
  <autoFilter ref="A3:B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8"/>
    <col collapsed="false" customWidth="true" hidden="false" outlineLevel="0" max="4" min="4" style="0" width="22"/>
    <col collapsed="false" customWidth="true" hidden="false" outlineLevel="0" max="5" min="5" style="0" width="66"/>
  </cols>
  <sheetData>
    <row r="1" customFormat="false" ht="25.5" hidden="false" customHeight="true" outlineLevel="0" collapsed="false">
      <c r="A1" s="5" t="s">
        <v>881</v>
      </c>
      <c r="B1" s="2"/>
      <c r="C1" s="2"/>
      <c r="D1" s="2"/>
      <c r="E1" s="2"/>
    </row>
    <row r="2" customFormat="false" ht="43.5" hidden="false" customHeight="true" outlineLevel="0" collapsed="false">
      <c r="A2" s="6" t="s">
        <v>882</v>
      </c>
    </row>
    <row r="3" customFormat="false" ht="31.5" hidden="false" customHeight="true" outlineLevel="0" collapsed="false">
      <c r="A3" s="7" t="s">
        <v>883</v>
      </c>
      <c r="B3" s="7" t="s">
        <v>884</v>
      </c>
      <c r="C3" s="7" t="s">
        <v>346</v>
      </c>
      <c r="D3" s="7" t="s">
        <v>885</v>
      </c>
      <c r="E3" s="7" t="s">
        <v>886</v>
      </c>
    </row>
    <row r="4" customFormat="false" ht="33.75" hidden="false" customHeight="true" outlineLevel="0" collapsed="false">
      <c r="A4" s="8" t="s">
        <v>887</v>
      </c>
      <c r="B4" s="8" t="s">
        <v>38</v>
      </c>
      <c r="C4" s="8" t="s">
        <v>7</v>
      </c>
      <c r="D4" s="8" t="s">
        <v>23</v>
      </c>
      <c r="E4" s="8" t="s">
        <v>888</v>
      </c>
    </row>
    <row r="5" customFormat="false" ht="33.75" hidden="false" customHeight="true" outlineLevel="0" collapsed="false">
      <c r="A5" s="4" t="s">
        <v>889</v>
      </c>
      <c r="B5" s="4"/>
      <c r="C5" s="4"/>
      <c r="D5" s="4"/>
      <c r="E5" s="4" t="s">
        <v>890</v>
      </c>
    </row>
    <row r="6" customFormat="false" ht="33.75" hidden="false" customHeight="true" outlineLevel="0" collapsed="false">
      <c r="A6" s="8" t="s">
        <v>891</v>
      </c>
      <c r="B6" s="8" t="s">
        <v>892</v>
      </c>
      <c r="C6" s="8"/>
      <c r="D6" s="8"/>
      <c r="E6" s="8" t="s">
        <v>893</v>
      </c>
    </row>
    <row r="7" customFormat="false" ht="33.75" hidden="false" customHeight="true" outlineLevel="0" collapsed="false">
      <c r="A7" s="4" t="s">
        <v>894</v>
      </c>
      <c r="B7" s="4" t="s">
        <v>892</v>
      </c>
      <c r="C7" s="4"/>
      <c r="D7" s="4"/>
      <c r="E7" s="4" t="s">
        <v>895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2026-09-20T10:04:45Z</dcterms:created>
  <dc:creator>openpyxl</dc:creator>
  <dc:description/>
  <dc:language>en-US</dc:language>
  <cp:lastModifiedBy/>
  <dcterms:modified xsi:type="dcterms:W3CDTF">2026-09-20T10:04:45Z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