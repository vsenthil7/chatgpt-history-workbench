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S1_S8_Build_Board" sheetId="4" state="visible" r:id="rId6"/>
    <sheet name="Traceability_Matrix" sheetId="5" state="visible" r:id="rId7"/>
    <sheet name="Sprint_Status_Rollup" sheetId="6" state="visible" r:id="rId8"/>
    <sheet name="RAID_Carryover" sheetId="7" state="visible" r:id="rId9"/>
    <sheet name="Gate_Checklis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<sst xmlns="http://schemas.openxmlformats.org/spreadsheetml/2006/main" count="2160" uniqueCount="1120">
  <si>
    <t xml:space="preserve">VERSION CONTROL — TestPulse Sprint Tracker &amp; Traceability</t>
  </si>
  <si>
    <t xml:space="preserve">File naming: claude_v&lt;NNN&gt;_&lt;proper file name&gt;_YYYYMMDD_HHMI.xlsx. Companion: v008 product workbook released same timestamp.</t>
  </si>
  <si>
    <t xml:space="preserve">Version</t>
  </si>
  <si>
    <t xml:space="preserve">Date/Time</t>
  </si>
  <si>
    <t xml:space="preserve">Author</t>
  </si>
  <si>
    <t xml:space="preserve">Change Description</t>
  </si>
  <si>
    <t xml:space="preserve">Status</t>
  </si>
  <si>
    <t xml:space="preserve">v001</t>
  </si>
  <si>
    <t xml:space="preserve">2026-09-10 22:58</t>
  </si>
  <si>
    <t xml:space="preserve">Claude for Senthil/KP</t>
  </si>
  <si>
    <t xml:space="preserve">THIS FILE — Live execution tracker for TestPulse (P03, Atlassian Marketplace), opened on Senthil's 22:58 'continue work as per sprint' instruction. S1-S8 code scope executed done-in-code under D13: TypeScript core, 16 Jest suites / 105 tests at 100% branches/functions/lines/statements, CI gate + E2E smoke. 71 stories Done, 7 code-complete pending live Forge/billing, 22 backlog (pen-test, onboarding content, listing/GTM).</t>
  </si>
  <si>
    <t xml:space="preserve">Released</t>
  </si>
  <si>
    <t xml:space="preserve">v002</t>
  </si>
  <si>
    <t xml:space="preserve">2026-09-10 23:13</t>
  </si>
  <si>
    <t xml:space="preserve">S9-S12 executable scope done on 23:13 'continue': E8 onboarding/helpcenter/support/review-ask/demo-mode, EQ latency budgets+p95/load test EXECUTED (5,238 rps, 0 errors)/backup drill/chaos degrade/status page, EL listing copy A+B/pricing FAQ/trust page/runbook/dry-run/asset+WCAG specs, AnthropicProvider wired behind AI seam (clears R-P6 in code). 21 suites / 129 tests / 100x4. Now 80 Done / 15 code-complete / 5 backlog (379/399 pts).</t>
  </si>
  <si>
    <t xml:space="preserve">v003</t>
  </si>
  <si>
    <t xml:space="preserve">2026-09-11 08:31</t>
  </si>
  <si>
    <t xml:space="preserve">LC-1 made TURNKEY on 08:31 'continue': ForgeStore hosted-storage adapter shipped+tested behind Store seam (closes R-P4 in code), forge/manifest.yml paste-ready, 30-min deploy guide with Senthil steps marked. Owed docs closed: LC-2 review pack, LC-3 Cloud Fortified gap assessment (formal, no structural gaps), LC-4 residency statement, S0 PRD rollup (A-P1). 22 suites / 132 tests / 100% x4. Story counts unchanged (80/15/5) — remaining flips all need Senthil-side live actions.</t>
  </si>
  <si>
    <t xml:space="preserve">v004</t>
  </si>
  <si>
    <t xml:space="preserve">2026-09-11 12:51</t>
  </si>
  <si>
    <t xml:space="preserve">12:51 'continue' — deploy-glue + LC-5 de-risking: src/forgeGlue.ts ships the actual Forge resolver+webtrigger handlers (hydrate-&gt;dispatch-&gt;flush, permission guard, 6 suites incl. cross-invocation KVS persistence) — deploy-guide step 5 is now zero-code; importer hardened for real export shapes (RFC-4180 quotes/newlines, Xray Test Case Exporter multi-step aggregation, Zephyr Scale variant, ragged rows). Coverage regression caught mid-pass (99.87%) and closed. 23 suites / 146 tests / 100% x4. Counts unchanged 80/15/5.</t>
  </si>
  <si>
    <t xml:space="preserve">v005</t>
  </si>
  <si>
    <t xml:space="preserve">2026-09-11 13:32</t>
  </si>
  <si>
    <t xml:space="preserve">13:32 'continue' — CUSTOM UI LAYER SHIPPED: view-models + escape-safe HTML renderers + bridge-injected mountPanel (src/ui/*, 15 tests incl. jsdom DOM assertions), compiled static/build/app.js bundle, Forge index.html with bridge hook, demo.html with canned data VERIFIED HEADLESS (banner/checklist/cases/board bar/quarantine/readiness dial all render). Manifest's static resource now exists. Screenshot capture available pre-LC-1 via demo.html. 25 suites / 161 tests / 100% x4. Counts unchanged 80/15/5; panel-story evidence upgraded to full-stack.</t>
  </si>
  <si>
    <t xml:space="preserve">v006</t>
  </si>
  <si>
    <t xml:space="preserve">2026-09-11 15:27</t>
  </si>
  <si>
    <t xml:space="preserve">15:27 'continue' — EXTERNAL VERIFICATION SWEEP against live Atlassian docs: (1) R-P5 CLOSED — Forge officially does NOT authenticate webtrigger URLs, own-auth-in-handler is the prescribed pattern, so our HMAC design is correct-by-design; webtrigger needs urlFormat v2 + dynamic response (statusCode contract already met). (2) Runtime corrected nodejs20.x -&gt; nodejs22.x (Node 20 EOL 2026-04-30). (3) @forge/kvs has no listKeys — kvsAdapter shipped+tested mapping query().where(beginsWith).cursor paging to the seam; entrypoint updated. (4) Marketplace asset spec was WRONG (5x1600x1000 + 2min video) — rewritten to verified Rule-of-3: 1840x900 + 580x330 crops + &lt;=50/220-char text + banner 1120x548 + &lt;30s video. 25 suites / 163 tests / 100% x4.</t>
  </si>
  <si>
    <t xml:space="preserve">v007</t>
  </si>
  <si>
    <t xml:space="preserve">2026-09-11 22:09</t>
  </si>
  <si>
    <t xml:space="preserve">22:09 'continue' — B-17 DE-RISKED + ST-100 KIT: verified Paid-via-Atlassian model (manifest app.licensing.enabled shipped; ATLASSIAN owns purchase/trial/proration/dunning — our billing.ts payment engine honestly marked superseded for the Marketplace channel, seat limits + read-only behavior reused); licensing gate shipped (inactive =&gt; mutating calls read-only, reads never blocked) wired into forgeGlue + tested. Economics cited: Forge revenue 100% to partner up to $1M lifetime (from Jan 2026). PRICING DECISION SURFACED: Atlassian cloud pricing is per-user tiers — flat $99/$299 must be re-anchored (B-17 step 2, Senthil). Design-partner kit shipped (outreach + A1-A4 interview guide + demo script). 26 suites / 167 tests / 100% x4.</t>
  </si>
  <si>
    <t xml:space="preserve">v008</t>
  </si>
  <si>
    <t xml:space="preserve">2026-09-11 22:28</t>
  </si>
  <si>
    <t xml:space="preserve">22:28 'continue' — COLD REVIEW PASS 1 EXECUTED (first for TestPulse). 27 modules read adversarially against their claims; 13 defects fixed with pinned regressions (test/review.pass1.test.ts), 4 observations logged for Senthil's disposition in the workbook's new Review_Findings sheet. Severity-high: F-TP01 delete/export-my-data missed every non-cloudId-keyed namespace and F-TP02 the retention sweep did the same (published 30-day hard-delete breached); F-TP03/F-TP04 both live panels would have rendered NaN; F-TP05 Forge writes could be dropped when a handler threw; F-TP06 five unbounded ledgers would eventually hard-fail hosted-storage writes. New shared modules: tenantData.ts (one registry driving export+delete+sweep, with a drift test), ledger.ts (FIFO caps + drop counters), csv.ts (RFC-4180 in/out). Gate: 27 suites / 203 tests / 100% x4, zero pragmas. Story counts unchanged 80/15/5 — corrections, not scope.</t>
  </si>
  <si>
    <t xml:space="preserve">v009</t>
  </si>
  <si>
    <t xml:space="preserve">2026-09-13 09:52</t>
  </si>
  <si>
    <t xml:space="preserve">09:52 'continue' — COLD REVIEW PASS 2 + VERIFICATION SWEEP EXECUTED. Modules pass 1 touched lightly (helpcenter, support, onboarding, aiProvider, billing, xrayImport) reviewed, plus the shipped ARTIFACTS checked against live Atlassian documentation. 10 defects fixed with pinned regressions in test/review.pass2.test.ts; 3 were live-blocking (VER-P01 entrypoint commented out and wrong shape; VER-P02 Custom UI never mounted and shipped without the bridge; VER-P03 license field mismatch) and 2 were security (F-TP14 caller-supplied role; F-TP15 app-wide CI secret). New modules: src/forgeAdapter.ts, src/roles.ts, static/demo-entry.ts; forge/index.ts is now real compiled code. New CI gates: typecheck:forge and build:ui. 28 suites / 233 tests / 100% x4 zero pragmas. Story counts unchanged 80/15/5 — corrections, not scope. Portfolio lessons L-P1/L-P2/L-P3 logged.</t>
  </si>
  <si>
    <t xml:space="preserve">v010</t>
  </si>
  <si>
    <t xml:space="preserve">2026-09-13 10:24</t>
  </si>
  <si>
    <t xml:space="preserve">10:24 'continue' — COLD REVIEW PASS 3 (REACHABILITY) EXECUTED. 9 findings fixed with pinned regressions in test/review.pass3.test.ts + test/ui.settings.test.ts. Headline: F-TP21 self-serve export/delete had no resolver call and F-TP22 the retention sweep had no scheduled trigger — between them, every published data-rights and retention claim was unreachable in the installed app even after pass 1 made them correct. F-TP23/24 settings, pauses and notifications were library-only (notify() was never called in the Forge path at all). F-TP25/26/27 error tracking, support intake and latency budgets had no caller or surface. F-TP28 the panel bound no events — no control did anything. Shipped: data-rights/settings/support/audit/status resolver calls, daily scheduledTrigger (syntax verified live), notifications on the real paths, per-invocation latency sampling, and a Settings screen with working controls. 30 suites / 263 tests / 100% x4; typecheck:forge + build:ui green; demo page re-verified headless with the Settings screen. Story counts unchanged 80/15/5. Lesson L-P4 logged.</t>
  </si>
  <si>
    <t xml:space="preserve">v011</t>
  </si>
  <si>
    <t xml:space="preserve">2026-09-13 10:37</t>
  </si>
  <si>
    <t xml:space="preserve">10:37 'continue' — COLD REVIEW PASS 4 (CLAIMS) EXECUTED + AUTOMATED A11Y SHIPPED. 5 findings fixed with pinned regressions in test/review.pass4.test.ts: F-TP30 the live Jira calls bypassed ST-070's retry/breaker entirely; F-TP31 and F-TP32 two pieces of published evidence (backup drill, 'posture asserted in CI') rested on code nobody ran; F-TP33 four false document statements including an email subprocessor the app has no egress permission to reach; F-TP29 an unnamed table header found by the new axe pass. ST-089's automated WCAG audit now runs over all five panels on every build instead of waiting for LC-1. 32 suites / 280 tests / 100% x4; CI gates now check:posture + typecheck:forge + build:ui + jest. Story counts unchanged 80/15/5. Four passes complete: 37 defects, all found in code already at 100% coverage. Lesson L-P5 logged.</t>
  </si>
  <si>
    <t xml:space="preserve">v012</t>
  </si>
  <si>
    <t xml:space="preserve">2026-09-13 10:44</t>
  </si>
  <si>
    <t xml:space="preserve">10:44 'continue' — REVIEW GATES SHIPPED (L-P4 reachability + L-P5 published claims) as dependency-free, tested, portable Node tooling wired into CI, with a porting README for the other 10 products. On its first run against TestPulse the reachability gate found 4 defects four manual passes had missed (F-TP34 analytics recorded but never readable and heatmap never fed; F-TP35 support tickets could never be answered; F-TP36 both CSV importers unreachable; F-TP37 duplicate writers for empty states and notification preferences) plus 11 legitimate cases now carrying written reasons, and one open question (ST-075 health score is unfed — cut or fund). 34 suites / 295 tests / 100% x4; five CI gates (gates, check:posture, typecheck:forge, build:ui, jest incl. axe). Story counts unchanged 80/15/5.</t>
  </si>
  <si>
    <t xml:space="preserve">v013</t>
  </si>
  <si>
    <t xml:space="preserve">2026-09-13 10:57</t>
  </si>
  <si>
    <t xml:space="preserve">10:57 'continue' — COLD REVIEW PASS 6 (CUSTOMER'S PATH) EXECUTED. 4 findings fixed with pinned regressions in test/review.pass6.test.ts: F-TP39 (HIGH) mounting the issue panel called generate — a write — duplicating cases and billing an AI call per view; F-TP38 no read path for cases; F-TP40 a member could not complete the MVP loop in the UI; F-TP41 two funnel stages declared and never recorded. The panel now reads, generates on a button, records runs against a default board with per-case pass/fail/blocked controls, and the funnel records all four stages. 35 suites / 304 tests / 100% x4; five CI gates green; demo page verified. Story counts unchanged 80/15/5. Lesson L-P6 logged: no tool catches this class — walk the primary loop as the user before launch. Portable review-gates package also emitted for the other products.</t>
  </si>
  <si>
    <t xml:space="preserve">v014</t>
  </si>
  <si>
    <t xml:space="preserve">2026-09-13 11:03</t>
  </si>
  <si>
    <t xml:space="preserve">11:03 'continue' — COLD REVIEW PASS 7 (INSTALL + NAVIGATION) EXECUTED. 4 findings fixed with pinned regressions in test/review.pass7.test.ts: F-TP42 (HIGH) no trigger module meant Forge never invoked install or uninstall — no trial, owner, CI secret or telemetry on install, no token wipe or deletion schedule on uninstall, and nothing for the retention sweep to act on; F-TP42b lazy bootstrap for the documented multi-minute install-event lag, deliberately without claiming ownership; F-TP43 (HIGH) the panel had no navigation, so four of five screens had no door and the project page was permanently stuck on an empty state; F-TP44 the run-board screen had no board. 36 suites / 316 tests / 100% x4; five CI gates green. Story counts unchanged 80/15/5. Lesson L-P7 logged: reachable is not invoked.</t>
  </si>
  <si>
    <t xml:space="preserve">v015</t>
  </si>
  <si>
    <t xml:space="preserve">2026-09-13 11:10</t>
  </si>
  <si>
    <t xml:space="preserve">11:10 'continue' — PLATFORM-ENTRYPOINT GATE SHIPPED (L-P7) + F-TP45 FIXED. Third gate reads manifest and entrypoint together (undeclared hooks, unexported handlers, orphan functions, required module declarations), tested against the two historical defects it would have caught (F-TP42, VER-P01) and wired into npm run gates; portable package updated. The gate contained the defect it exists to catch — a commented-out export counted as exported — found by its own tests. F-TP45 found while writing those tests: a repeat install event reset installedAt, re-sourced attribution and overwrote tokens, showing up only as an intermittent 1ms test failure. 36 suites / 323 tests / 100% x4; six CI gates green. Story counts unchanged 80/15/5.</t>
  </si>
  <si>
    <t xml:space="preserve">v016</t>
  </si>
  <si>
    <t xml:space="preserve">2026-09-13 11:18</t>
  </si>
  <si>
    <t xml:space="preserve">11:18 'continue' — PORTFOLIO ROLLOUT KIT SHIPPED (init.js bootstrapper + docs/portfolio-gate-rollout.md + packaged review-gates kit with ROLLOUT.md). init scans a repo and writes a starter config, validated by reproducing TestPulse's hand-written one exactly; it refuses to guess where it cannot detect, because a gate on the wrong entrypoint reports a clean run over nothing. Rollout guide covers the per-repo procedure, first-red-run triage (fix / allow with a reason / cut), order, and per-platform hook tables. Recorded honestly: 34 of 50 defects are gate-catchable; the other 16 needed someone using the product. 36 suites / 327 tests / 100% x4; six CI gates. Story counts unchanged 80/15/5. TestPulse itself needs LC-1 next, not another pass.</t>
  </si>
  <si>
    <t xml:space="preserve">v017</t>
  </si>
  <si>
    <t xml:space="preserve">2026-09-13 11:22</t>
  </si>
  <si>
    <t xml:space="preserve">11:22 'continue' — LC-1 SESSION PACK SHIPPED: scripts/lc1-verify.js (live webtrigger verification against the deployed app, tested against the real handler, prints tracker-ready evidence and states what it cannot check), docs/lc1-session-pack.md (45-minute run sheet with an evidence table mapping captures to the stories they flip), and static/build/capture.html (asset capture at the verified Rule-of-3 dimensions, verified headlessly). 37 suites / 332 tests / 100% x4; six CI gates green. Story counts deliberately unchanged 80/15/5 — the 15 code-complete stories flip at LC-1 with evidence attached, not before.</t>
  </si>
  <si>
    <t xml:space="preserve">v018</t>
  </si>
  <si>
    <t xml:space="preserve">PLANNED: LC-1 executed — evidence, story flips, live findings; then D18 + partner console + assets.</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</si>
  <si>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</si>
  <si>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</si>
  <si>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</si>
  <si>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</si>
  <si>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</si>
  <si>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</si>
  <si>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</si>
  <si>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</si>
  <si>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</si>
  <si>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</si>
  <si>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t>
  </si>
  <si>
    <t xml:space="preserve">INSTRUCTION RECORDED — Senthil 22:58: continue work as per sprint on TestPulse from v007 workbook; complete development with 100% automation testing; produce tracker+traceability like TeleField v001 and workbook next version. D13 applies (interviews parked, 100% coverage). Ninth concurrent build under open D15.</t>
  </si>
  <si>
    <t xml:space="preserve">D13,D15</t>
  </si>
  <si>
    <t xml:space="preserve">TestPulse S1 opened</t>
  </si>
  <si>
    <t xml:space="preserve">None</t>
  </si>
  <si>
    <t xml:space="preserve">S1 build</t>
  </si>
  <si>
    <t xml:space="preserve">E002</t>
  </si>
  <si>
    <t xml:space="preserve">S1</t>
  </si>
  <si>
    <t xml:space="preserve">S1 FOUNDATION BUILT (TypeScript/Node core, Forge-adapter seams per D17): config validation (residency global/eu/us, trial days), typed Store (in-memory behind interface — Forge hosted storage adapter at deploy), lifecycle install-&gt;welcome/uninstall token-wipe+30d deletion schedule+sweep/re-install restore/rotation-safe refresh/source attribution, webhook HMAC timing-safe verify+replay+dedupe, jiraClient 429/5xx backoff+jitter+circuit breaker, CI with jest coverageThreshold 100x4.</t>
  </si>
  <si>
    <t xml:space="preserve">ST-051,052,053,055,056,070</t>
  </si>
  <si>
    <t xml:space="preserve">6 E1 stories Done-in-code</t>
  </si>
  <si>
    <t xml:space="preserve">Live Forge dev site = Senthil (LC-1)</t>
  </si>
  <si>
    <t xml:space="preserve">S2</t>
  </si>
  <si>
    <t xml:space="preserve">E003</t>
  </si>
  <si>
    <t xml:space="preserve">S2 EXECUTED — F1 AI test-case generation part 1: rule engine behind AI seam (provider-swappable), defaults one-screen, happy+edge+permission case output, clear errors, rules customisation; owner/admin/member permission matrix + audit log wired to all routes.</t>
  </si>
  <si>
    <t xml:space="preserve">ST-001..004,053,054</t>
  </si>
  <si>
    <t xml:space="preserve">6/6 S2 stories Done (29 pts)</t>
  </si>
  <si>
    <t xml:space="preserve">S3</t>
  </si>
  <si>
    <t xml:space="preserve">E004</t>
  </si>
  <si>
    <t xml:space="preserve">S3 EXECUTED — F1 completed (metrics, pause-no-loss, CSV import, notifications) + F2 run boards started (defaults, happy path, rules, errors). ST-085 coverage gate SUPERSEDED by D13: shipped at 100x4, not &gt;=70. ST-005 Forge-panel surface = code-complete pending live.</t>
  </si>
  <si>
    <t xml:space="preserve">ST-005..014,085</t>
  </si>
  <si>
    <t xml:space="preserve">10 Done + 1 code-complete</t>
  </si>
  <si>
    <t xml:space="preserve">Forge panel render needs LC-1</t>
  </si>
  <si>
    <t xml:space="preserve">S4</t>
  </si>
  <si>
    <t xml:space="preserve">E005</t>
  </si>
  <si>
    <t xml:space="preserve">S4 EXECUTED — F2 completed (metrics/passRate, permissions, pause, CSV import, notifications); E7 activation funnel + error tracking with spike alert; E2E smoke suite wired into CI on every deploy. MVP loop (install-&gt;generate-&gt;board-&gt;metrics) passes end-to-end in e2e.smoke.test.ts.</t>
  </si>
  <si>
    <t xml:space="preserve">ST-015..020,071,072,086</t>
  </si>
  <si>
    <t xml:space="preserve">8 Done + 1 code-complete; S4 exit criterion met in-code</t>
  </si>
  <si>
    <t xml:space="preserve">S5</t>
  </si>
  <si>
    <t xml:space="preserve">E006</t>
  </si>
  <si>
    <t xml:space="preserve">S5 EXECUTED — F3 flaky-test detector: signed CI-webhook ingest, flip-rate scoring, quarantine threshold (custom, validated), pause, notifications. ST-078/079 onboarding content = backlog (design/content, not code).</t>
  </si>
  <si>
    <t xml:space="preserve">ST-021..030</t>
  </si>
  <si>
    <t xml:space="preserve">9 Done + 1 code-complete</t>
  </si>
  <si>
    <t xml:space="preserve">Onboarding content = Senthil review</t>
  </si>
  <si>
    <t xml:space="preserve">S6</t>
  </si>
  <si>
    <t xml:space="preserve">E007</t>
  </si>
  <si>
    <t xml:space="preserve">S6 EXECUTED — E5 billing core: 14-day card-free trial + banner, mid-cycle proration (verified $100 on 15-day starter-&gt;team), plan limits 80/100 alerts; F4 release readiness score with validated custom weights and verdicts. ST-059 Atlassian-billing wiring pending live listing.</t>
  </si>
  <si>
    <t xml:space="preserve">ST-031..040,057,058</t>
  </si>
  <si>
    <t xml:space="preserve">11 Done + 2 code-complete</t>
  </si>
  <si>
    <t xml:space="preserve">Atlassian billing = live listing (LC-8)</t>
  </si>
  <si>
    <t xml:space="preserve">S7</t>
  </si>
  <si>
    <t xml:space="preserve">E008</t>
  </si>
  <si>
    <t xml:space="preserve">S7 EXECUTED (code scope) — dunning: 7-day grace, 3 emails, read-only; plan-limit prompts; GST invoices; cancel flow with save-offer + exit survey; least-privilege scope map 1:1 to features. Design-partner activity itself = live-only (beta gate).</t>
  </si>
  <si>
    <t xml:space="preserve">ST-060..064</t>
  </si>
  <si>
    <t xml:space="preserve">5 Done</t>
  </si>
  <si>
    <t xml:space="preserve">3+ live partners = post-listing</t>
  </si>
  <si>
    <t xml:space="preserve">S8</t>
  </si>
  <si>
    <t xml:space="preserve">E009</t>
  </si>
  <si>
    <t xml:space="preserve">S8 EXECUTED (code scope) — F5 Xray/Zephyr importer (export parse, mapping, errors); E6 data-flow+retention doc, audit log, export/delete-my-data, rate-limit backoff+breaker; E7 heatmap, weekly CSV, health score, alert thresholds. ST-066 vault/KMS + ST-087/088/092 live-infra items pending; 3 real Xray export files (LC-5) = Senthil.</t>
  </si>
  <si>
    <t xml:space="preserve">ST-041..050,065,067,069,070,073..077</t>
  </si>
  <si>
    <t xml:space="preserve">16 Done + 1 code-complete</t>
  </si>
  <si>
    <t xml:space="preserve">Real Xray exports; live infra</t>
  </si>
  <si>
    <t xml:space="preserve">D13 verify</t>
  </si>
  <si>
    <t xml:space="preserve">E010</t>
  </si>
  <si>
    <t xml:space="preserve">D13 TEST GATE MET — 16 Jest suites, 105 tests, 100% branches/functions/lines/statements; jest coverageThreshold 100x4 fails CI below 100; E2E smoke on every deploy. TOTAL: 71 Done / 7 code-complete pending live / 22 backlog (399 pts total; 321 pts done incl. code-complete). Tracker v001 + workbook v008 released 22:58.</t>
  </si>
  <si>
    <t xml:space="preserve">D13</t>
  </si>
  <si>
    <t xml:space="preserve">Evidence in Traceability col K</t>
  </si>
  <si>
    <t xml:space="preserve">S9 review prep needs live items; D15</t>
  </si>
  <si>
    <t xml:space="preserve">E011</t>
  </si>
  <si>
    <t xml:space="preserve">INSTRUCTION — Senthil 23:13 'continue': execute remaining executable backlog (S9-S12 scope).</t>
  </si>
  <si>
    <t xml:space="preserve">S9-S12 pass opened</t>
  </si>
  <si>
    <t xml:space="preserve">build</t>
  </si>
  <si>
    <t xml:space="preserve">E012</t>
  </si>
  <si>
    <t xml:space="preserve">S9-S10</t>
  </si>
  <si>
    <t xml:space="preserve">E8 BUILT — onboarding checklist to aha (&lt;1day anchor), empty states x8, review-ask once-post-aha, demo-data mode (idempotent, wipe-safe); help center 15 articles + search; support intake with 4-hr SLA tracking + breach report.</t>
  </si>
  <si>
    <t xml:space="preserve">ST-078..084</t>
  </si>
  <si>
    <t xml:space="preserve">3 Done + 3 code-complete</t>
  </si>
  <si>
    <t xml:space="preserve">Video + live chat ops</t>
  </si>
  <si>
    <t xml:space="preserve">EQ</t>
  </si>
  <si>
    <t xml:space="preserve">E013</t>
  </si>
  <si>
    <t xml:space="preserve">S8-S9</t>
  </si>
  <si>
    <t xml:space="preserve">EQ BUILT+EXECUTED — latency budgets 5 surfaces + p95 monitor; LOAD TEST RUN: 50 conns / 10s on /readiness = 5,238 rps avg, 52,375 reqs, 0 errors, p95 28ms (target 5x launch = 50 rps); backup/restore drill executed ok; chaos: circuit-open degrades to cached data + user comms; status page + incident template.</t>
  </si>
  <si>
    <t xml:space="preserve">ST-084,087,088,090,091,092</t>
  </si>
  <si>
    <t xml:space="preserve">5 Done + 1 code-complete</t>
  </si>
  <si>
    <t xml:space="preserve">Live-infra re-runs at deploy</t>
  </si>
  <si>
    <t xml:space="preserve">EL</t>
  </si>
  <si>
    <t xml:space="preserve">E014</t>
  </si>
  <si>
    <t xml:space="preserve">S9-S11</t>
  </si>
  <si>
    <t xml:space="preserve">EL DRAFTED — listing copy A/B (AI claim now backed in code), pricing matrix+FAQ, security/trust page (incl. subprocessors + dep posture: prod 0 vulns, 3 moderate dev-only), launch runbook (monitoring/rollback/comms tree), submission dry-run (verdict NOT READY until LC-1/B-17/assets), screenshot+video spec, WCAG AA audit spec.</t>
  </si>
  <si>
    <t xml:space="preserve">ST-093..098,068,089,094</t>
  </si>
  <si>
    <t xml:space="preserve">2 Done + 4 code-complete; 3 stay backlog w/ evidence packs</t>
  </si>
  <si>
    <t xml:space="preserve">Senthil review of copy; second-reviewer sign-off</t>
  </si>
  <si>
    <t xml:space="preserve">AI seam</t>
  </si>
  <si>
    <t xml:space="preserve">E015</t>
  </si>
  <si>
    <t xml:space="preserve">R-P6 CLEARED IN CODE — AnthropicProvider (claude-sonnet-4-6) wired behind AI seam: JSON-contract parsing, fence stripping, kind validation, API/parse error paths; rule engine remains no-key fallback. 8 tests. D13 RE-VERIFIED: 21 suites / 129 tests / 100% x4. Tracker v002 + workbook v009 released 23:13. TOTAL: 80 Done / 15 code-complete / 5 backlog (379/399 pts incl. code-complete).</t>
  </si>
  <si>
    <t xml:space="preserve">R-P6,D13</t>
  </si>
  <si>
    <t xml:space="preserve">R-P6 -&gt; Mitigated-in-code</t>
  </si>
  <si>
    <t xml:space="preserve">ANTHROPIC_API_KEY at deploy</t>
  </si>
  <si>
    <t xml:space="preserve">LC-1, D15</t>
  </si>
  <si>
    <t xml:space="preserve">E016</t>
  </si>
  <si>
    <t xml:space="preserve">INSTRUCTION — Senthil 08:31 'continue'. All story-level executable scope was done at 23:13; this pass targets the owed documents and de-risking LC-1.</t>
  </si>
  <si>
    <t xml:space="preserve">v003 pass opened</t>
  </si>
  <si>
    <t xml:space="preserve">E017</t>
  </si>
  <si>
    <t xml:space="preserve">LC-1 TURNKEY — ForgeStore adapter over @forge/kvs-shaped interface (hydrate/write-through/flush; refuses unhydrated use) shipped + 3 test suites of edge cases; forge/manifest.yml paste-ready (modules, webtrigger, scopes 1:1, egress allowlist); docs/forge-deploy-guide.md = 30-min job, Senthil-only steps marked ►. R-P4 constraint closed in code — swap is now glue-only.</t>
  </si>
  <si>
    <t xml:space="preserve">R-P4, B-16</t>
  </si>
  <si>
    <t xml:space="preserve">ForgeStore Done; R-P4 -&gt; Closed-in-code</t>
  </si>
  <si>
    <t xml:space="preserve">Vendor account + forge login = Senthil</t>
  </si>
  <si>
    <t xml:space="preserve">docs</t>
  </si>
  <si>
    <t xml:space="preserve">E018</t>
  </si>
  <si>
    <t xml:space="preserve">OWED DOCS CLOSED — LC-2 review pack (scopes table, egress, storage, controls); LC-3 Cloud Fortified formal gap assessment: NO structural gaps, remaining = time-gated live evidence + security.md publish, Fortified application target listing+60d; LC-4 residency statement (Forge pinning + app-level region + LLM egress carve-out); docs/prd.md S0 rollup with D13 assumptions flagged for partner validation. D13 re-verified: 22 suites / 132 tests / 100% x4. Tracker v003 + workbook v010 released 08:31.</t>
  </si>
  <si>
    <t xml:space="preserve">LC-2,LC-3,LC-4,A-P1</t>
  </si>
  <si>
    <t xml:space="preserve">3 gate items doc-complete</t>
  </si>
  <si>
    <t xml:space="preserve">All remaining = Senthil queue</t>
  </si>
  <si>
    <t xml:space="preserve">E019</t>
  </si>
  <si>
    <t xml:space="preserve">INSTRUCTION — Senthil 12:51 'continue'. Scope: zero out remaining Claude-side friction on LC-1 and LC-5.</t>
  </si>
  <si>
    <t xml:space="preserve">v004 pass opened</t>
  </si>
  <si>
    <t xml:space="preserve">E020</t>
  </si>
  <si>
    <t xml:space="preserve">FORGE GLUE SHIPPED — makeHandlers(kvs,env) -&gt; {resolver, ciWebhook}: 14 resolver calls dispatching to the same modules as app.ts, permission guard on configure/import/billing/generate, ForgeStore hydrate-&gt;flush per invocation; tests prove state persists across invocations via KVS and tampered webhook returns 401. forge/index.ts entrypoint template = 4 lines to uncomment. Deploy-guide step 5 now reads SHIPPED.</t>
  </si>
  <si>
    <t xml:space="preserve">B-16, R-P4</t>
  </si>
  <si>
    <t xml:space="preserve">Guide step 5 -&gt; zero-code</t>
  </si>
  <si>
    <t xml:space="preserve">Vendor account = Senthil</t>
  </si>
  <si>
    <t xml:space="preserve">importer</t>
  </si>
  <si>
    <t xml:space="preserve">E021</t>
  </si>
  <si>
    <t xml:space="preserve">IMPORTER HARDENED FOR LC-5 — RFC-4180 parser (quoted commas/newlines/escaped quotes/CRLF, unterminated-quote error); Xray Test Case Exporter shape (extra columns, repeated-key + blank-key continuation rows aggregate multi-step tests); Zephyr Scale Key/Name variant; ragged short rows default type/steps safely or reject clearly; comma-bearing summaries fold to semicolons at the TestGen bridge. 11 new tests. Synthetic coverage is now format-faithful; the 3 REAL files (Senthil) remain the acceptance evidence.</t>
  </si>
  <si>
    <t xml:space="preserve">ST-041..050, LC-5</t>
  </si>
  <si>
    <t xml:space="preserve">Importer format-faithful</t>
  </si>
  <si>
    <t xml:space="preserve">Real export files = Senthil</t>
  </si>
  <si>
    <t xml:space="preserve">gate check</t>
  </si>
  <si>
    <t xml:space="preserve">E022</t>
  </si>
  <si>
    <t xml:space="preserve">PROCESS NOTE + GATE — mid-pass coverage regression (forgeGlue landed untested at 99.87%) was caught by re-running the gate before release and closed with flakyScores + ragged-row branch tests. D13 RE-VERIFIED: 23 suites / 146 tests / 100% x4, tsc clean. Tracker v004 + workbook v011 released 12:51. Counts unchanged: 80 Done / 15 code-complete / 5 backlog — all remaining flips are Senthil-side.</t>
  </si>
  <si>
    <t xml:space="preserve">Gate green</t>
  </si>
  <si>
    <t xml:space="preserve">Senthil queue</t>
  </si>
  <si>
    <t xml:space="preserve">E023</t>
  </si>
  <si>
    <t xml:space="preserve">INSTRUCTION — Senthil 13:32 'continue'. Gap identified: manifest referenced static/build which did not exist — panels had API+glue but no front-end. This pass closes it.</t>
  </si>
  <si>
    <t xml:space="preserve">B-16</t>
  </si>
  <si>
    <t xml:space="preserve">v005 pass opened</t>
  </si>
  <si>
    <t xml:space="preserve">E024</t>
  </si>
  <si>
    <t xml:space="preserve">S3-S8</t>
  </si>
  <si>
    <t xml:space="preserve">CUSTOM UI SHIPPED — src/ui/viewmodel.ts (case/board/flaky/readiness/trial/checklist mappers), src/ui/render.ts (escape-safe HTML string renderers, XSS-neutralising esc()), src/ui/mount.ts (bridge-injected panel mount: trial banner + auto-hiding checklist + 4 tabs with teaching empty states). 15 tests: 10 pure + 5 jsdom DOM assertions. Bundled via esbuild to static/build/app.js (3.7KB); index.html carries the Forge bridge hook.</t>
  </si>
  <si>
    <t xml:space="preserve">ST-005/015/025/035/045</t>
  </si>
  <si>
    <t xml:space="preserve">Panel stories now full-stack</t>
  </si>
  <si>
    <t xml:space="preserve">Live Forge render = LC-1</t>
  </si>
  <si>
    <t xml:space="preserve">verify</t>
  </si>
  <si>
    <t xml:space="preserve">E025</t>
  </si>
  <si>
    <t xml:space="preserve">DEMO PAGE VERIFIED HEADLESS — static/build/demo.html executed under jsdom with the real bundle: trial banner text, 50% checklist, 3 generated cases with steps, 86% pass bar, QUARANTINED badge, 78/at-risk readiness dial all asserted. Screenshot capture now possible pre-LC-1 (draft quality; in-product retake at LC-1 per updated spec). D13 RE-VERIFIED: 25 suites / 161 tests / 100% x4, tsc clean. Tracker v005 + workbook v012 released 13:32.</t>
  </si>
  <si>
    <t xml:space="preserve">ST-083/094, D13</t>
  </si>
  <si>
    <t xml:space="preserve">demo.html = draft screenshot source</t>
  </si>
  <si>
    <t xml:space="preserve">Atlassian prefers in-product shots</t>
  </si>
  <si>
    <t xml:space="preserve">E026</t>
  </si>
  <si>
    <t xml:space="preserve">INSTRUCTION — Senthil 15:27 'continue'. Scope: verify every from-memory platform claim against live Atlassian docs before they burn the LC-1 session.</t>
  </si>
  <si>
    <t xml:space="preserve">R-P5, B-16</t>
  </si>
  <si>
    <t xml:space="preserve">Verification sweep opened</t>
  </si>
  <si>
    <t xml:space="preserve">findings</t>
  </si>
  <si>
    <t xml:space="preserve">E027</t>
  </si>
  <si>
    <t xml:space="preserve">FINDINGS APPLIED — (a) R-P5 CLOSED: official docs state webtrigger URLs are public and platform-unauthenticated; apps must implement own auth in-handler — our HMAC+timestamp+dedupe is the prescribed pattern, and the dynamic-response statusCode contract matches forgeGlue's return shape. Manifest gains urlFormat v2 + response.type dynamic. (b) Runtime nodejs20.x was EOL (2026-04-30) — corrected to nodejs22.x, guide step 0 added. (c) @forge/kvs exposes get/set/delete/query(beginsWith) but NO listKeys — kvsAdapter shipped mapping cursor-paged query to the ForgeKvs seam, 2 tests incl. 3-page pagination; forge/index.ts template updated. (d) icon syntax fixed to hosted URL.</t>
  </si>
  <si>
    <t xml:space="preserve">R-P5, B-16, D17</t>
  </si>
  <si>
    <t xml:space="preserve">R-P5 -&gt; Closed (verified)</t>
  </si>
  <si>
    <t xml:space="preserve">Hosted icon asset at listing</t>
  </si>
  <si>
    <t xml:space="preserve">assets</t>
  </si>
  <si>
    <t xml:space="preserve">E028</t>
  </si>
  <si>
    <t xml:space="preserve">ASSET SPEC CORRECTED — previous spec (5 shots @1600x1000, &lt;=2min video) did not match Marketplace requirements. Verified structure: exactly 3 highlights (title &lt;=50 chars, summary &lt;=220), full 1840x900 + cropped 580x330 + caption &lt;=220, up to 5 gallery shots per highlight, banner 1120x548, video &lt;30s in-product. docs/screenshot-spec.md rewritten with the 3 highlights mapped (generate / flaky quarantine / readiness) + &lt;=30s storyboard. D13 RE-VERIFIED: 25 suites / 163 tests / 100% x4. Tracker v006 + workbook v013 released 15:27.</t>
  </si>
  <si>
    <t xml:space="preserve">ST-094, LC-7</t>
  </si>
  <si>
    <t xml:space="preserve">Spec submission-accurate</t>
  </si>
  <si>
    <t xml:space="preserve">Capture = Senthil at LC-1</t>
  </si>
  <si>
    <t xml:space="preserve">E029</t>
  </si>
  <si>
    <t xml:space="preserve">INSTRUCTION — Senthil 22:09 'continue'. Scope: de-risk B-17 (billing) the way LC-1 was de-risked, + equip ST-100.</t>
  </si>
  <si>
    <t xml:space="preserve">B-17, ST-100</t>
  </si>
  <si>
    <t xml:space="preserve">v007 pass opened</t>
  </si>
  <si>
    <t xml:space="preserve">E030</t>
  </si>
  <si>
    <t xml:space="preserve">S6/S9</t>
  </si>
  <si>
    <t xml:space="preserve">LICENSING MODEL VERIFIED + WIRED — Paid via Atlassian: manifest app.licensing.enabled added; Atlassian owns purchase/trial(eval-license)/proration/dunning; app reads license state and gates. src/licensing.ts shipped: inactive license =&gt; mutating calls blocked with renewal message, READS ALWAYS ALLOWED (data never hostage), evaluation banner; wired into forgeGlue resolver ahead of permission checks; 4+1 tests. HONEST ARCHITECTURE NOTE: billing.ts trial/proration/dunning engine is superseded for the Marketplace channel (kept for future direct sales; seat limits reused) — ST-059 real wiring = manifest flag + gate (shipped) + partner-console pricing (Senthil).</t>
  </si>
  <si>
    <t xml:space="preserve">ST-059</t>
  </si>
  <si>
    <t xml:space="preserve">ST-059 evidence corrected</t>
  </si>
  <si>
    <t xml:space="preserve">Partner-console setup + test purchase = Senthil</t>
  </si>
  <si>
    <t xml:space="preserve">pricing</t>
  </si>
  <si>
    <t xml:space="preserve">E031</t>
  </si>
  <si>
    <t xml:space="preserve">PRICING DECISION SURFACED (D18 candidate) — Atlassian cloud app pricing is PER-USER tiers, not flat plans: the $99/$299 flat intent needs re-anchoring (e.g. ~$4/user/mo) before partner-console setup; pricing-faq.md flagged pending. ECONOMICS: Forge apps earn partner 100% of gross revenue up to $1M lifetime (from 1 Jan 2026), share rates change 1 Oct 2026 — favorable for the 12-product portfolio math (D15 input). Billing activation guide shipped (docs/billing-activation.md) incl. license-testing steps.</t>
  </si>
  <si>
    <t xml:space="preserve">B-17, D15</t>
  </si>
  <si>
    <t xml:space="preserve">New decision D18 for Senthil</t>
  </si>
  <si>
    <t xml:space="preserve">Per-user price point = Senthil</t>
  </si>
  <si>
    <t xml:space="preserve">ST-100</t>
  </si>
  <si>
    <t xml:space="preserve">E032</t>
  </si>
  <si>
    <t xml:space="preserve">S12</t>
  </si>
  <si>
    <t xml:space="preserve">DESIGN-PARTNER KIT SHIPPED — docs/design-partner-kit.md: &lt;=120-word outreach email (offer: free Team year + roadmap line), 30-min interview guide scoring PRD assumptions A1-A4 validated/partial/invalidated with verbatim quotes (10 interviews =&gt; S12 kill/continue input), demo script sequenced over demo.html until LC-1. D13 RE-VERIFIED: 26 suites / 167 tests / 100% x4. Tracker v007 + workbook v014 released 22:09.</t>
  </si>
  <si>
    <t xml:space="preserve">ST-100, A-P1</t>
  </si>
  <si>
    <t xml:space="preserve">ST-100 execution-ready</t>
  </si>
  <si>
    <t xml:space="preserve">Sending outreach = Senthil</t>
  </si>
  <si>
    <t xml:space="preserve">E033</t>
  </si>
  <si>
    <t xml:space="preserve">Review</t>
  </si>
  <si>
    <t xml:space="preserve">COLD REVIEW PASS 1 OPENED — sibling pattern (TeleField/FlowCast/ShiftDesk/VoiceBridge each found 4-10 defects at 100% coverage). Baseline re-verified from the uploaded v014 files before touching anything: 26 suites / 167 tests / 100% x4. All 27 modules then read adversarially against the claims in docs/ and the workbook.</t>
  </si>
  <si>
    <t xml:space="preserve">D13, F-V14</t>
  </si>
  <si>
    <t xml:space="preserve">Review pass opened</t>
  </si>
  <si>
    <t xml:space="preserve">defect fixes</t>
  </si>
  <si>
    <t xml:space="preserve">E034</t>
  </si>
  <si>
    <t xml:space="preserve">PRIVACY/RETENTION DEFECTS FIXED (F-TP01, F-TP02) — delete-my-data and export-my-data matched key.includes(cloudId); most app data is not cloudId-keyed, so generated cases, run boards, CI results, the permission audit log, notifications, telemetry, support tickets and latency samples were NEVER deleted or exported, and the 30-day retention sweep purged only acct:. Published policy (trust page, HC-11/12, residency statement, DATA_FLOW_DOC) was therefore false. src/tenantData.ts shipped: one namespace registry driving export + delete + sweep, exact-segment tenant matching (cloudId 'abc' no longer claims 'abc-123'), empty cloudId rejected, and a DRIFT TEST that runs a full tenant flow and fails if any written key is unregistered.</t>
  </si>
  <si>
    <t xml:space="preserve">ST-069, ST-053, LC-3</t>
  </si>
  <si>
    <t xml:space="preserve">ST-069/ST-053 evidence corrected</t>
  </si>
  <si>
    <t xml:space="preserve">UI contracts</t>
  </si>
  <si>
    <t xml:space="preserve">E035</t>
  </si>
  <si>
    <t xml:space="preserve">LIVE-PANEL DEFECTS FIXED (F-TP03, F-TP04) — the flaky tab read `score` while the resolver returns `flipRate` (every row would have rendered NaN% on the day of install), and the readiness tab invoked `readiness` with an empty payload producing a NaN score displayed as NOT-READY. Both passed jsdom tests because the tests hand-built the view-model inputs. flakyVM now typed against the real FlakyScore; new readinessSummary resolver call derives inputs from stored boards + flaky scores; readinessScore range-validates all four inputs (runPassRate=5 used to score above 100). demo.html rebuilt and re-verified headless: 67%/21% flip rates, readiness score renders, zero NaN.</t>
  </si>
  <si>
    <t xml:space="preserve">ST-026, ST-031..034, ST-085</t>
  </si>
  <si>
    <t xml:space="preserve">Panel evidence corrected; draft screenshots still valid from demo.html</t>
  </si>
  <si>
    <t xml:space="preserve">storage + resilience</t>
  </si>
  <si>
    <t xml:space="preserve">E036</t>
  </si>
  <si>
    <t xml:space="preserve">STORAGE AND RESILIENCE DEFECTS FIXED (F-TP05..F-TP12) — Forge writes were fired eagerly and awaited only at flush, so a throwing handler left floating promises and possibly unwritten data (now captured, surfaced as StoreWriteError, flushed on both paths); five unbounded ledgers would have hard-failed hosted-storage writes (shared FIFO caps + drop counters; latency on a 1000-sample window); ST-023 custom flaky threshold was stored on an instance and silently lost every invocation (now persisted); Retry-After was slept as MILLISECONDS not seconds (a 60s Jira backoff became 60ms — a retry storm, now converted and capped); restore() wiped the store before validating the snapshot (drill was a data-loss path); board ids from key count overwrote boards after a delete; both CSV importers failed every row of a CRLF export and left partial writes on a bad row (shared RFC-4180 parser, validate-then-apply); the public CI webtrigger returned a 500 with a stack on malformed input (now 400).</t>
  </si>
  <si>
    <t xml:space="preserve">ST-019, ST-023, ST-009, ST-070, ST-090, ST-011</t>
  </si>
  <si>
    <t xml:space="preserve">No story flips — corrections to shipped work</t>
  </si>
  <si>
    <t xml:space="preserve">license gate</t>
  </si>
  <si>
    <t xml:space="preserve">E037</t>
  </si>
  <si>
    <t xml:space="preserve">LICENSE-GATE DRIFT CLOSED + PASS 1 SEALED (F-TP13) — the read-only gate used a hand-kept set of mutating call names; a resolver call added later would have been writable while unlicensed with nothing to catch it. Every call is now classified in CALL_KINDS, unknown calls FAIL CLOSED, and a drift test parses the resolver switch and asserts the two stay in step. 4 observations left for Senthil (OBS-TP1 hydrate-all architecture, OBS-TP2 breaker half-open — portfolio-wide, OBS-TP3 fixed in passing, OBS-TP4 billing.ts has no payment-recovery path and no trial-expiry enforcement — inert while Atlassian owns billing, live the moment a direct channel opens). D13 RE-VERIFIED: 27 suites / 203 tests / 100% x4 zero pragmas. Tracker v008 + workbook v015 + code released 22:28.</t>
  </si>
  <si>
    <t xml:space="preserve">F-TP01..13, OBS-TP1..4</t>
  </si>
  <si>
    <t xml:space="preserve">Review_Findings sheet added to workbook for disposition</t>
  </si>
  <si>
    <t xml:space="preserve">F/OBS dispositions = Senthil</t>
  </si>
  <si>
    <t xml:space="preserve">pass 2 or LC-1</t>
  </si>
  <si>
    <t xml:space="preserve">E038</t>
  </si>
  <si>
    <t xml:space="preserve">PASS 2 OPENED WITH AN ARTIFACT-GAP AUDIT — baseline re-verified from the v015/v008 uploads (27 suites / 203 tests / 100% x4) before any change. First look was at what `forge deploy` would actually ship, not at the code the suite exercises. forge/index.ts was five commented-out lines and static/build/index.html loaded the bundle then called nothing: the two files the platform loads were the two files no test touches.</t>
  </si>
  <si>
    <t xml:space="preserve">LC-1, VER-P01, VER-P02</t>
  </si>
  <si>
    <t xml:space="preserve">Artifact audit opened</t>
  </si>
  <si>
    <t xml:space="preserve">live doc verification</t>
  </si>
  <si>
    <t xml:space="preserve">E039</t>
  </si>
  <si>
    <t xml:space="preserve">LIVE DOC VERIFICATION (developer.atlassian.com) — (1) Custom UI resolvers are `new Resolver(); resolver.define(key, ({payload, context}) =&gt; ...); export const handler = resolver.getDefinitions()` and the frontend `invoke(functionKey, payload)` matches the DEFINITION KEY: our single resolver({call,context,payload}) function could never have been invoked. (2) App context security: resolver context IS guaranteed secure and valid for authorization, while frontend getContext() is NOT — which made the caller-supplied `role` a real escalation path (F-TP14). (3) Bridge LicenseDetails is { active, isEvaluation } — the gate read `evaluation` (VER-P03). (4) @forge/bridge refuses to initialise outside an Atlassian product, so one bundle cannot serve both the panel and demo.html.</t>
  </si>
  <si>
    <t xml:space="preserve">VER-P01..03, F-TP14</t>
  </si>
  <si>
    <t xml:space="preserve">Contracts pinned to live docs</t>
  </si>
  <si>
    <t xml:space="preserve">adapter + entrypoint</t>
  </si>
  <si>
    <t xml:space="preserve">E040</t>
  </si>
  <si>
    <t xml:space="preserve">DEPLOY PATH MADE REAL — src/forgeAdapter.ts maps Forge's { payload, context } request onto the glue (one definition per call generated from CALL_KINDS, license mapped, tenant id from cloudId or installContext ARI, webtrigger returning statusCode + headers for response.type dynamic); forge/index.ts is now real code importing @forge/resolver, @forge/kvs and @forge/api, supplying the Jira site-admin check and the issue-text fetch the panel needs; static/entry.ts boots the panel for real with an on-screen error path, and the demo page moved to its own bridge-free bundle. The @forge packages were installed so this all TYPE-CHECKS: npm run typecheck:forge and npm run build:ui are now CI gates (L-P1).</t>
  </si>
  <si>
    <t xml:space="preserve">VER-P01, VER-P02, LC-1</t>
  </si>
  <si>
    <t xml:space="preserve">LC-1 turnkey claim now true</t>
  </si>
  <si>
    <t xml:space="preserve">Live install still Senthil</t>
  </si>
  <si>
    <t xml:space="preserve">security fixes</t>
  </si>
  <si>
    <t xml:space="preserve">E041</t>
  </si>
  <si>
    <t xml:space="preserve">SECURITY + FEATURE DEFECTS FIXED — F-TP14: role came from the caller; src/roles.ts derives it server-side (explicit assignment &gt; installing account &gt; Jira ADMINISTER &gt; member), assignRole owner-only, regression proves a role:owner payload is ignored. F-TP15: a single app-wide CI signing secret for every installation, with HC-05 pointing at a Settings screen that could not exist — each install now provisions its own secret, owner-only read/rotate, rotation clears the replay ledger. F-TP16: AnthropicProvider had never been called — AI generation was inert in production and R-P6 had been reported cleared on an unreachable class; generateWithAi now uses it, holds its output to the same generation rules, and falls back to rules on failure (L-P2).</t>
  </si>
  <si>
    <t xml:space="preserve">F-TP14, F-TP15, F-TP16, R-P6</t>
  </si>
  <si>
    <t xml:space="preserve">R-P6 evidence corrected</t>
  </si>
  <si>
    <t xml:space="preserve">Settings&gt;CI screen + AI-on-at-launch = Senthil</t>
  </si>
  <si>
    <t xml:space="preserve">remaining modules</t>
  </si>
  <si>
    <t xml:space="preserve">E042</t>
  </si>
  <si>
    <t xml:space="preserve">REMAINING MODULE DEFECTS + PASS 2 SEALED — F-TP17 the Xray importer discarded the multi-step aggregation it had just parsed (every imported case had empty steps) — new TestGen.importCases keeps steps, atomic and id-unique; F-TP18 demo mode seeded three inert marker records nothing reads, so ST-083/HC-15 showed an empty product — now seeds real cases, a real board with runs and real flaky history and removes exactly those on disable; F-TP19 three help articles promised a 'skip' run status, superseded GST/VAT billing and the non-existent Settings screen — corrected with tests pinning each claim to its code; F-TP20 exit-survey ledger capped. D13 RE-VERIFIED: 28 suites / 233 tests / 100% x4 zero pragmas, forge typecheck + UI build green, demo page re-verified headless. Tracker v009 + workbook v016 + code released 09:52.</t>
  </si>
  <si>
    <t xml:space="preserve">F-TP17..20, ST-083, ST-042</t>
  </si>
  <si>
    <t xml:space="preserve">Review_Findings extended with pass 2 + L-P1/2/3</t>
  </si>
  <si>
    <t xml:space="preserve">Dispositions = Senthil</t>
  </si>
  <si>
    <t xml:space="preserve">LC-1</t>
  </si>
  <si>
    <t xml:space="preserve">E043</t>
  </si>
  <si>
    <t xml:space="preserve">PASS 3 OPENED — REACHABILITY AUDIT. Baseline re-verified (28 suites / 233 tests / 100% x4). Listed every exported capability against the resolver switch: of 29 modules the resolver reached eight. Compliance (export/delete), lifecycle retention sweep, all settings/pause methods, notifications, support, audit log, telemetry error tracking and latency monitoring had no caller and no screen — code that passes its tests and that no user can trigger.</t>
  </si>
  <si>
    <t xml:space="preserve">L-P4</t>
  </si>
  <si>
    <t xml:space="preserve">Reachability gaps enumerated</t>
  </si>
  <si>
    <t xml:space="preserve">data rights + retention</t>
  </si>
  <si>
    <t xml:space="preserve">E044</t>
  </si>
  <si>
    <t xml:space="preserve">DATA RIGHTS AND RETENTION MADE REACHABLE (F-TP21, F-TP22) — owner-only exportMyData/deleteMyData resolver calls (deletion requires typing the site id), both exempt from the license gate so an unlicensed customer can still get their data out. Manifest gains a daily scheduledTrigger for the retention sweep with a 120s timeout; syntax verified live (key+function+interval, max five per app, duplicate delivery possible so the handler stays idempotent) and the entrypoint exports retentionSweep. Until this pass the published 30-day hard delete had no scheduler and the self-serve export had no button.</t>
  </si>
  <si>
    <t xml:space="preserve">ST-069/ST-053 reachable, not just correct</t>
  </si>
  <si>
    <t xml:space="preserve">settings + notifications</t>
  </si>
  <si>
    <t xml:space="preserve">E045</t>
  </si>
  <si>
    <t xml:space="preserve">SETTINGS, NOTIFICATIONS AND OPS SURFACES SHIPPED (F-TP23..F-TP27) — settings/setSettings calls covering generation rules, flaky threshold, pause toggles, notification preferences and readiness inputs (members read-only); notify() wired into generate/recordRun/importXray so notifications are finally raised in the Forge path; failed invocations record resolver:&lt;call&gt; on a separate store write so the ST-072/077 error-spike alert has data without masking the original error; every panel-facing call now samples latency against its budget surface INSIDE the invocation (a fire-and-forget write raced the next read and lost samples); supportOpen/supportTickets, auditLog and statusReport exposed.</t>
  </si>
  <si>
    <t xml:space="preserve">ST-003,008,018,023,028,072,077,081,087</t>
  </si>
  <si>
    <t xml:space="preserve">Customisation and ops stories reachable</t>
  </si>
  <si>
    <t xml:space="preserve">Email provider + alert delivery = Senthil</t>
  </si>
  <si>
    <t xml:space="preserve">settings screen</t>
  </si>
  <si>
    <t xml:space="preserve">E046</t>
  </si>
  <si>
    <t xml:space="preserve">SETTINGS SCREEN + FIRST WORKING CONTROLS (F-TP28) — the panel rendered HTML and bound nothing; no control in the product did anything. Delegated action binding on the mount root (data-action/data-field), failures surfaced on screen instead of swallowed, state re-read after each success. The screen carries the CI secret + rotate (making HC-05 true), generation rules, flaky threshold, pause toggles, the notification matrix, demo data on/off and export/delete. HC-03 also corrected — it promised reorderable rules that never existed. Demo page rebuilt and verified headless with the Settings screen, so it is now listing-screenshot material.</t>
  </si>
  <si>
    <t xml:space="preserve">F-TP28, F-TP19b, HC-03, HC-05</t>
  </si>
  <si>
    <t xml:space="preserve">Panel is interactive; asset capture unblocked</t>
  </si>
  <si>
    <t xml:space="preserve">Asset capture = Senthil</t>
  </si>
  <si>
    <t xml:space="preserve">E047</t>
  </si>
  <si>
    <t xml:space="preserve">PASS 3 SEALED — D13 re-verified: 30 suites / 263 tests / 100% x4 zero pragmas, typecheck:forge and build:ui green. Three cold-review passes complete: correctness (13 findings), deployability (10), reachability (9) — 32 defects total, all found in code that was already at 100% coverage. Lesson L-P4 logged: a module with no caller is not a feature and a test suite cannot tell the difference; the standing fix is a reachability column naming what reaches each capability. Tracker v010 + workbook v017 + code released 10:24.</t>
  </si>
  <si>
    <t xml:space="preserve">L-P1..L-P4</t>
  </si>
  <si>
    <t xml:space="preserve">Review_Findings extended with pass 3</t>
  </si>
  <si>
    <t xml:space="preserve">Portfolio reachability audit = Senthil</t>
  </si>
  <si>
    <t xml:space="preserve">LC-1 or portfolio</t>
  </si>
  <si>
    <t xml:space="preserve">E048</t>
  </si>
  <si>
    <t xml:space="preserve">PASS 4 OPENED — CLAIMS SWEEP. Baseline re-verified (30 suites / 263 tests / 100% x4). Read all 13 published documents (trust page, security self-assessment, Cloud Fortified gap, submission dry-run, WCAG checklist, residency statement, pricing FAQ, listing copy, runbook, review pack, deploy guide, billing activation, design-partner kit) against the product that passes 1-3 rebuilt underneath them. Two classes found: statements that were never true, and evidence resting on code with no runner.</t>
  </si>
  <si>
    <t xml:space="preserve">L-P5</t>
  </si>
  <si>
    <t xml:space="preserve">Claims audit opened</t>
  </si>
  <si>
    <t xml:space="preserve">resilience</t>
  </si>
  <si>
    <t xml:space="preserve">E049</t>
  </si>
  <si>
    <t xml:space="preserve">F-TP30 — ST-070 RESILIENCE DID NOT COVER THE ONLY LIVE CALLS. The backoff/jitter/breaker wrapped an injected http fn that nothing in the Forge path used; the entrypoint's story fetch and Jira admin check went out raw, while the security assessment listed rate-limit resilience as a verified control. JiraClient.run(label, op) now applies the policy to any operation — including @forge/api calls built with the route tagged template, which cannot be expressed as a path string — both entrypoint calls share one client so the breaker is real across them, and Retry-After is read from the response header (seconds, capped at 60s per F-TP08).</t>
  </si>
  <si>
    <t xml:space="preserve">ST-070</t>
  </si>
  <si>
    <t xml:space="preserve">Security-assessment control now true</t>
  </si>
  <si>
    <t xml:space="preserve">fortified evidence</t>
  </si>
  <si>
    <t xml:space="preserve">E050</t>
  </si>
  <si>
    <t xml:space="preserve">F-TP31/F-TP32 — TWO PIECES OF PUBLISHED EVIDENCE RESTED ON UNRUNNABLE CODE. Cloud Fortified 'Backup/recovery: DONE (drill)' pointed at BackupOps.drill(), which had no caller and is destructive by design (restores over live data) — replaced for production use by a non-destructive verify() (keys, bytes, content digest) surfaced in statusReport, with the drill documented as a staging tool. The trust page claimed the encryption posture was 'asserted by config check in CI' when verifyEncryptionPosture had tests and no runner — scripts/check-posture.js now runs as a CI gate, failing on TLS disabled and failing at deploy without a bound KMS key.</t>
  </si>
  <si>
    <t xml:space="preserve">ST-066, B-18, LC-3</t>
  </si>
  <si>
    <t xml:space="preserve">Fortified + trust-page evidence made real</t>
  </si>
  <si>
    <t xml:space="preserve">B-18 KMS binding = Senthil</t>
  </si>
  <si>
    <t xml:space="preserve">doc corrections</t>
  </si>
  <si>
    <t xml:space="preserve">E051</t>
  </si>
  <si>
    <t xml:space="preserve">F-TP33 — FOUR FALSE PUBLISHED STATEMENTS CORRECTED, EACH PINNED BY A TEST. (1) Trust page and subprocessor list named an EMAIL PROVIDER: there is no email integration and the manifest permits exactly one external host (api.anthropic.com), so the app could not reach one. (2) The submission dry-run still cited the 5-shot asset spec that v006 had already corrected to the verified Rule-of-3. (3) The security assessment described authorization from the Express smoke harness (x-tp-role header) rather than the product's server-derived roles. (4) The WCAG checklist deferred its automated pass 'because there is no UI'. Each correction is now greppable by a test that fails the build if doc and code diverge (L-P5).</t>
  </si>
  <si>
    <t xml:space="preserve">ST-096, ST-097, ST-089</t>
  </si>
  <si>
    <t xml:space="preserve">Customer-facing docs true again</t>
  </si>
  <si>
    <t xml:space="preserve">Read trust page + security assessment before listing</t>
  </si>
  <si>
    <t xml:space="preserve">a11y</t>
  </si>
  <si>
    <t xml:space="preserve">E052</t>
  </si>
  <si>
    <t xml:space="preserve">ST-089 AUTOMATED WCAG PASS SHIPPED + PASS 4 SEALED. test/a11y.test.ts drives axe-core over all five panels (generate, board, flaky, readiness, settings) and the empty states on every build; it found F-TP29 on its first run — the flaky table shipped an unnamed column header, so a screen-reader user got an unlabelled column (now captioned and scoped). Contrast needs the stylesheet and keyboard/NVDA need the live iframe, so those are the only remaining a11y items for LC-1. D13 re-verified: 32 suites / 280 tests / 100% x4 zero pragmas, four CI gates green, demo page re-verified headless. FOUR COLD-REVIEW PASSES COMPLETE — 37 defects, every one in code already at 100% coverage, and no story count moved in any pass: all of it was shipped scope that did not work. Tracker v011 + workbook v018 + code released 10:37.</t>
  </si>
  <si>
    <t xml:space="preserve">ST-089, L-P1..L-P5</t>
  </si>
  <si>
    <t xml:space="preserve">Review programme complete</t>
  </si>
  <si>
    <t xml:space="preserve">Dispositions + LC-1 = Senthil</t>
  </si>
  <si>
    <t xml:space="preserve">E053</t>
  </si>
  <si>
    <t xml:space="preserve">Gates</t>
  </si>
  <si>
    <t xml:space="preserve">REACHABILITY GATE BUILT (L-P4 as code) — walks the import graph from the real entrypoints (forge/index.ts, static/entry.ts, src/app.ts, scripts/check-posture.js via a dist-&gt;src alias), reporting orphan modules and orphan METHODS; tests are deliberately excluded from the graph because they reference everything, which is exactly why 100% coverage cannot see this defect class. Exceptions require a written reason and stale exceptions are reported so they expire. First run on TestPulse: 23 candidates.</t>
  </si>
  <si>
    <t xml:space="preserve">Gate shipped</t>
  </si>
  <si>
    <t xml:space="preserve">triage</t>
  </si>
  <si>
    <t xml:space="preserve">E054</t>
  </si>
  <si>
    <t xml:space="preserve">TRIAGE OF THE GATE'S 23 CANDIDATES — 4 real defects fixed (F-TP34 feature heatmap never fed, funnel/CSV never readable, error threshold untunable; F-TP35 support tickets could be opened but never answered so the SLA report could only accumulate breaches; F-TP36 both CSV importers unreachable; F-TP37 duplicate writers for the empty-state map and notification preferences — dead Onboarding.emptyState deleted rather than allowlisted), 11 recorded as legitimate with reasons (superseded billing engine, Forge-owned token rotation, destructive staging drill, customer-side webhook signing), and 1 surfaced as a product question (ST-075 health score needs WAU that nothing tracks).</t>
  </si>
  <si>
    <t xml:space="preserve">F-TP34..37, OBS-TP5</t>
  </si>
  <si>
    <t xml:space="preserve">4 defects fixed, register written</t>
  </si>
  <si>
    <t xml:space="preserve">ST-075 cut-or-fund = Senthil</t>
  </si>
  <si>
    <t xml:space="preserve">claims gate</t>
  </si>
  <si>
    <t xml:space="preserve">E055</t>
  </si>
  <si>
    <t xml:space="preserve">PUBLISHED-CLAIMS GATE BUILT (L-P5 as code) + BOTH WIRED INTO CI — 15 claims registered, each tying a customer-facing promise to the code evidence that must hold (deletion, retention trigger, scopes, subprocessors/egress, encryption posture check, server-derived roles, Retry-After seconds, per-installation secret, asset spec, a11y pass, residency). test/gates.test.ts tests both gates INCLUDING that each goes red when what it guards breaks — a gate that cannot fail is worse than no gate. tools/review-gates/README.md is the drop-in guide for the other products, with per-platform entrypoint notes. D13 re-verified: 34 suites / 295 tests / 100% x4; five CI gates green. Tracker v012 + workbook v019 + code released 10:44.</t>
  </si>
  <si>
    <t xml:space="preserve">L-P5, GATE-1, GATE-2</t>
  </si>
  <si>
    <t xml:space="preserve">Gates in CI + portable</t>
  </si>
  <si>
    <t xml:space="preserve">Portfolio rollout = Senthil</t>
  </si>
  <si>
    <t xml:space="preserve">LC-1 or rollout</t>
  </si>
  <si>
    <t xml:space="preserve">E056</t>
  </si>
  <si>
    <t xml:space="preserve">PASS 6 OPENED — WALKED THE PRIMARY LOOP AS A CUSTOMER (open an issue, see cases, mark a run, watch readiness move), which five previous passes had never done: each of them READ something (code, manifest, docs, export graph) rather than USING the product. First step of the walk found F-TP39: mountPanel invoked 'generate' — a write — so opening an issue generated and persisted another 3 cases every time, and with an LLM provider configured billed an Anthropic call per panel render. Invisible to every prior pass because the call, the resolver, the reachability and the documentation are each individually correct; it is only wrong as a sequence.</t>
  </si>
  <si>
    <t xml:space="preserve">F-TP39</t>
  </si>
  <si>
    <t xml:space="preserve">HIGH defect found</t>
  </si>
  <si>
    <t xml:space="preserve">fix the loop</t>
  </si>
  <si>
    <t xml:space="preserve">E057</t>
  </si>
  <si>
    <t xml:space="preserve">CORE LOOP MADE WORKABLE (F-TP38, F-TP39, F-TP40) — TestGen.list + listCases resolver call give the panel a read path (classified read, so it survives an inactive license); mounting now reads and generating is an explicit button carrying its own data-story-key; each case row has pass/fail/blocked controls whose data-case-id/data-status become the payload; recordRun without a boardId lands on a default board created on demand ('Current release'), because board creation needs the configure permission a MEMBER DOES NOT HAVE — the MVP loop the product is built around was previously not completable by a member in the UI. Generate -&gt; run -&gt; readiness now completes in-panel and is pinned end to end.</t>
  </si>
  <si>
    <t xml:space="preserve">ST-002, ST-012, ST-031, F-TP38..40</t>
  </si>
  <si>
    <t xml:space="preserve">MVP loop usable by a member</t>
  </si>
  <si>
    <t xml:space="preserve">Default board name = Senthil</t>
  </si>
  <si>
    <t xml:space="preserve">funnel</t>
  </si>
  <si>
    <t xml:space="preserve">E058</t>
  </si>
  <si>
    <t xml:space="preserve">FUNNEL COMPLETED + PASS 6 SEALED (F-TP41) — 'setup' and 'habit' were declared stages that nothing recorded, so the activation funnel behind the Metrics_Targets launch numbers could never exceed install -&gt; aha and activation rate would have read as a permanent failure. setup now records on the first board, habit once a tenant records runs on three distinct days (distinct days, not repeat actions). D13 re-verified: 35 suites / 304 tests / 100% x4 zero pragmas; gates, posture, forge typecheck, UI build and axe all green; demo page renders 6 cases, a generate control and 9 run controls with no NaN. SIX PASSES COMPLETE: 45 defects, none moving a story count, all in code at 100% coverage throughout. Lesson L-P6 logged. Tracker v013 + workbook v020 + code + portable gates released 10:57.</t>
  </si>
  <si>
    <t xml:space="preserve">ST-071, L-P6</t>
  </si>
  <si>
    <t xml:space="preserve">Funnel records all four stages</t>
  </si>
  <si>
    <t xml:space="preserve">Habit = 3 distinct days?</t>
  </si>
  <si>
    <t xml:space="preserve">E059</t>
  </si>
  <si>
    <t xml:space="preserve">PASS 7 — INSTALL PATH FOUND DEAD (F-TP42). Continuing the pass-6 walk to the step BEFORE everything: how does the app get installed? Verified against developer.atlassian.com life-cycle events — install and uninstall reach an app only through a trigger module on avi:forge:installed:app / avi:forge:uninstalled:app; there is no implicit call. TestPulse's manifest had no trigger module at all, so in a deployed app nothing bootstrapped (no trial, no owner claim, no per-install CI secret, no install telemetry) and uninstall never wiped tokens or scheduled the 30-day deletion — leaving the retention sweep shipped in pass 3 with nothing to sweep. Fixed: trigger module on both events, makeLifecycleTrigger in the adapter, lifecycleTrigger exported, ownership from installerAccountId, idempotent for repeat delivery, plus lazy bootstrap (F-TP42b) for the documented multi-minute lag that deliberately does not claim ownership.</t>
  </si>
  <si>
    <t xml:space="preserve">ST-051..056, F-TP42</t>
  </si>
  <si>
    <t xml:space="preserve">E1 lifecycle reachable in a deployed app</t>
  </si>
  <si>
    <t xml:space="preserve">Live verification at LC-1</t>
  </si>
  <si>
    <t xml:space="preserve">navigation</t>
  </si>
  <si>
    <t xml:space="preserve">E060</t>
  </si>
  <si>
    <t xml:space="preserve">PANEL NAVIGATION SHIPPED (F-TP43, F-TP44) — the panel had five screens and no way to move between them: one hardcoded data-tab in a single index.html serving BOTH the project page and the issue panel, so the project page showed 'pick a story' forever and run boards, flaky, readiness and settings had no door. Added a tab bar (role=tablist + aria-selected, so the axe pass covers it), switching that re-mounts without writing, the cases tab only when a story is in context, and an entry that picks its default tab from the Forge context (issue panel -&gt; cases, project page -&gt; readiness). The run-board screen also asked for a boardId nothing supplied — boardMetrics now resolves the default board, matching how runs are recorded.</t>
  </si>
  <si>
    <t xml:space="preserve">F-TP43, F-TP44, ST-016</t>
  </si>
  <si>
    <t xml:space="preserve">Four screens reachable by a user</t>
  </si>
  <si>
    <t xml:space="preserve">Tab labels are customer-visible</t>
  </si>
  <si>
    <t xml:space="preserve">seal</t>
  </si>
  <si>
    <t xml:space="preserve">E061</t>
  </si>
  <si>
    <t xml:space="preserve">PASS 7 SEALED — D13 re-verified: 36 suites / 316 tests / 100% x4 zero pragmas; gates, posture, forge typecheck, UI build and axe all green; demo page renders the tab bar and six cases with no NaN. SEVEN PASSES: 49 defects, all in code at 100% coverage, none moving a story count. Lesson L-P7 logged — REACHABLE IS NOT INVOKED: the install path passed the pass-5 reachability gate because 'installed' is a registered resolver call; only the manifest says whether the platform ever calls it. Proposed gate extension: assert every platform-owned entrypoint (lifecycle, scheduled, webtrigger, product events) is declared in the manifest. Tracker v014 + workbook v021 + code released 11:03.</t>
  </si>
  <si>
    <t xml:space="preserve">L-P7</t>
  </si>
  <si>
    <t xml:space="preserve">Gate extension proposed</t>
  </si>
  <si>
    <t xml:space="preserve">Manifest-declaration gate = next</t>
  </si>
  <si>
    <t xml:space="preserve">E062</t>
  </si>
  <si>
    <t xml:space="preserve">PLATFORM-ENTRYPOINT GATE BUILT (L-P7 as code) — reads forge/manifest.yml and forge/index.ts together and reports four disagreements: a manifest handler the entrypoint does not export (VER-P01 shape), an entrypoint export no handler points at, a declared function no module references, and missing module declarations from a config 'expect' list (lifecycle trigger on installed+uninstalled, daily scheduledTrigger, v2 webtrigger, panel resource). The expect list is where a platform contract is written down once instead of being rediscovered at launch. Tested against both historical defects plus missing-file and partial-declaration cases.</t>
  </si>
  <si>
    <t xml:space="preserve">L-P7, GATE-3</t>
  </si>
  <si>
    <t xml:space="preserve">Third gate shipped</t>
  </si>
  <si>
    <t xml:space="preserve">self-check</t>
  </si>
  <si>
    <t xml:space="preserve">E063</t>
  </si>
  <si>
    <t xml:space="preserve">THE GATE HAD THE DEFECT IT EXISTS TO CATCH — its first fixture (a commented-out export, exactly the VER-P01 shape) passed when it should have failed: the export scanner counted commented code as exported. Fixed by stripping comments before scanning. Found by the gate's own tests, which is the argument for treating gates as code with negative tests rather than as scripts that merely print green.</t>
  </si>
  <si>
    <t xml:space="preserve">GATE-3b</t>
  </si>
  <si>
    <t xml:space="preserve">Self-check bug fixed</t>
  </si>
  <si>
    <t xml:space="preserve">F-TP45</t>
  </si>
  <si>
    <t xml:space="preserve">E064</t>
  </si>
  <si>
    <t xml:space="preserve">F-TP45 FIXED — A REPEAT INSTALL EVENT RESET THE INSTALLATION. Forge may deliver avi:forge:installed:app more than once; each delivery re-ran Lifecycle.install, resetting installedAt, re-sourcing install attribution (ST-056) and overwriting stored tokens with the event's empty ones. It surfaced as an intermittent 1ms difference in an idempotency assertion — the kind of failure usually dismissed as a flaky clock. Bootstrap is now idempotent and the account is written only when the event carries tokens. D13 re-verified: 36 suites / 323 tests / 100% x4 zero pragmas; six CI gates green. Tracker v015 + workbook v022 + code + portable gates v2 released 11:10.</t>
  </si>
  <si>
    <t xml:space="preserve">F-TP45, ST-056</t>
  </si>
  <si>
    <t xml:space="preserve">Install idempotent</t>
  </si>
  <si>
    <t xml:space="preserve">E065</t>
  </si>
  <si>
    <t xml:space="preserve">Rollout</t>
  </si>
  <si>
    <t xml:space="preserve">ROLLOUT BOOTSTRAPPER BUILT (init.js) — scans a repository for the platform manifest, deploy entrypoint, UI/server entries, ops scripts CI runs, and source roots, then writes a starter review-gates.json with claim stubs proposed from documents that already make promises (retention, export, encryption, subprocessors, accessibility, SLA). Validated against TestPulse: the first version missed scripts/check-posture.js, which is the ONLY caller of verifyEncryptionPosture — a scan that missed it would have reported a live capability as dead, so ops scripts are now detected as entrypoints. It now reproduces the hand-written config exactly, aliases included.</t>
  </si>
  <si>
    <t xml:space="preserve">KIT-1</t>
  </si>
  <si>
    <t xml:space="preserve">Porting is now a scan, not an authoring exercise</t>
  </si>
  <si>
    <t xml:space="preserve">rollout doc</t>
  </si>
  <si>
    <t xml:space="preserve">E066</t>
  </si>
  <si>
    <t xml:space="preserve">ROLLOUT GUIDE WRITTEN (docs/portfolio-gate-rollout.md) — 5-minute per-repo procedure; expect the first run RED (TestPulse's own first run: 23 candidates -&gt; 4 real defects, 11 allowlisted with written reasons, 1 product question); triage buckets fix / allow-with-a-reason / CUT, with cutting unfunded scope named as a legitimate and usually honest outcome; rollout order by proximity to a live install, platform-entrypoint gate first because an app that deploys and does nothing is the portfolio's most expensive failure and has happened twice; per-platform hook tables for Forge, Salesforce, Devvit and Shopify; and a plain statement of what the gates do NOT catch — 16 of 50 defects came from using the product (L-P6), which needs one honest walkthrough per product and does not automate.</t>
  </si>
  <si>
    <t xml:space="preserve">KIT-2, KIT-3</t>
  </si>
  <si>
    <t xml:space="preserve">Rollout executable by Senthil or a delegate</t>
  </si>
  <si>
    <t xml:space="preserve">Pick the first product + order</t>
  </si>
  <si>
    <t xml:space="preserve">E067</t>
  </si>
  <si>
    <t xml:space="preserve">TESTPULSE STATUS CALLED HONESTLY — eight passes, 50 defects, all in code at 100% coverage, no story count moved in any pass. The product is past the point where further review passes pay: the remaining items need a live install (LC-1), a pricing decision (D18), asset capture and a pen-test, none of which can be done from here. D13 re-verified: 36 suites / 327 tests / 100% x4 zero pragmas; six CI gates green. Tracker v016 + workbook v023 + code + rollout kit released 11:18.</t>
  </si>
  <si>
    <t xml:space="preserve">LC-1, D18, ST-094, ST-068</t>
  </si>
  <si>
    <t xml:space="preserve">No further passes planned</t>
  </si>
  <si>
    <t xml:space="preserve">LC-1 = the unblock</t>
  </si>
  <si>
    <t xml:space="preserve">E068</t>
  </si>
  <si>
    <t xml:space="preserve">LIVE VERIFICATION SCRIPT SHIPPED (scripts/lc1-verify.js) — the CI webtrigger is the only surface a deployed Forge app exposes externally, so it is the one contract checkable without a browser. The script exercises signed-accept (202), duplicate-id reject, tampered-signature reject, stale-timestamp reject and malformed-body 400, then prints evidence lines for the tracker. Tested against the real webtrigger handler (not a mock) plus wrong-secret and network-failure paths, so on the day a red result means the DEPLOYMENT differs from this codebase. It also states in its own output what it cannot verify — panel, resolver, roles, licensing, lifecycle trigger, retention sweep — so a green run cannot be recorded as full verification.</t>
  </si>
  <si>
    <t xml:space="preserve">ST-070, LC-1</t>
  </si>
  <si>
    <t xml:space="preserve">Live verification is now a one-liner</t>
  </si>
  <si>
    <t xml:space="preserve">Run after forge webtrigger</t>
  </si>
  <si>
    <t xml:space="preserve">session pack</t>
  </si>
  <si>
    <t xml:space="preserve">E069</t>
  </si>
  <si>
    <t xml:space="preserve">SESSION PACK + ASSET HARNESS (docs/lc1-session-pack.md, static/build/capture.html) — 45-minute run sheet: pre-work, install commands, what the lifecycle trigger bootstraps and what to do if it lags (self-bootstrap covers everything except the owner claim), an evidence table naming each file to capture and the stories it flips, and the two questions only a live site can answer: the manual keyboard/contrast pass that automated axe cannot do (ST-089), and whether the customer-visible default board name and the 3-distinct-days habit definition are what you want. The capture harness renders the panels inside frames at the verified Rule-of-3 dimensions (3x 1840x900 + 580x330 crops + 1120x548 banner), verified headlessly at 7/7 frames populated with no NaN, so one screenshot pass produces correctly sized listing assets.</t>
  </si>
  <si>
    <t xml:space="preserve">ST-094, ST-089, LC-1</t>
  </si>
  <si>
    <t xml:space="preserve">Assets and evidence prep complete</t>
  </si>
  <si>
    <t xml:space="preserve">Book the session</t>
  </si>
  <si>
    <t xml:space="preserve">E070</t>
  </si>
  <si>
    <t xml:space="preserve">TESTPULSE HANDOVER STATE — nine sittings of work: 8 cold-review passes (50 defects, all in code at 100% coverage, no story count moved), 4 standing gates covering 34 of them, a portfolio rollout kit, and now the LC-1 pack. Everything remaining is gated on a live install, a pricing decision, asset capture or a pen-test. D13 re-verified: 37 suites / 332 tests / 100% x4 zero pragmas; gates, posture, forge typecheck, UI build and axe all green. Tracker v017 + workbook v024 + code released 11:22.</t>
  </si>
  <si>
    <t xml:space="preserve">Handover-ready</t>
  </si>
  <si>
    <t xml:space="preserve">LC-1 is the unblock</t>
  </si>
  <si>
    <t xml:space="preserve">DECISIONS (tracker scope)</t>
  </si>
  <si>
    <t xml:space="preserve">Decision</t>
  </si>
  <si>
    <t xml:space="preserve">Rationale</t>
  </si>
  <si>
    <t xml:space="preserve">Decided by</t>
  </si>
  <si>
    <t xml:space="preserve">(Portfolio-wide) Discovery interviews parked; dev proceeds with 100% automation test coverage on all code — supersedes ST-085 &gt;=70% gate.</t>
  </si>
  <si>
    <t xml:space="preserve">Senthil 10 Sep 20:45; applied to TestPulse per 22:58 instruction.</t>
  </si>
  <si>
    <t xml:space="preserve">Senthil</t>
  </si>
  <si>
    <t xml:space="preserve">LOCKED</t>
  </si>
  <si>
    <t xml:space="preserve">D15</t>
  </si>
  <si>
    <t xml:space="preserve">TestPulse (P03) build opened 10 Sep 22:58 while RevRescue rank-1 gate (listed + 10 paying) is not met — ninth concurrent build. Mode ratification: (a) parallel builds or (b) WIN-order swap.</t>
  </si>
  <si>
    <t xml:space="preserve">Uploaded workbook set + continue-sprint instruction indicate TestPulse intent; serial rule formally intact until ratified.</t>
  </si>
  <si>
    <t xml:space="preserve">Senthil (mode ratification pending)</t>
  </si>
  <si>
    <t xml:space="preserve">OPEN — pick (a) or (b)</t>
  </si>
  <si>
    <t xml:space="preserve">D17</t>
  </si>
  <si>
    <t xml:space="preserve">TestPulse stack = TypeScript/Node platform-agnostic core with Forge adapter seams: Store interface (in-memory now, Forge hosted storage at deploy), Billing provider seam (Atlassian billing at listing), AI seam in testgen (rule engine now, LLM provider swappable). Express routes map 1:1 to Forge resolvers.</t>
  </si>
  <si>
    <t xml:space="preserve">v007 ReadMe stack assumption ("platform-mandated runtime"); sandbox has no Forge CLI/Postgres; matches accepted D16 precedent on TeleField.</t>
  </si>
  <si>
    <t xml:space="preserve">Claude — flagged</t>
  </si>
  <si>
    <t xml:space="preserve">OPEN for ratification</t>
  </si>
  <si>
    <t xml:space="preserve">D18</t>
  </si>
  <si>
    <t xml:space="preserve">Per-user price point for Atlassian cloud pricing tiers</t>
  </si>
  <si>
    <t xml:space="preserve">OPEN — Senthil</t>
  </si>
  <si>
    <t xml:space="preserve">Flat $99/$299 intent must map to per-user tiers (Atlassian model). Options: ~$4/user/mo flat-equivalent vs re-anchor vs value-based. Blocks B-17 step 2 and final pricing-page copy.</t>
  </si>
  <si>
    <t xml:space="preserve">Claude (surfaced from verified docs)</t>
  </si>
  <si>
    <t xml:space="preserve">S1–S12 BUILD BOARD — executed code scope. Exit S4: MVP loop usable end-to-end (met in-code via E2E smoke).</t>
  </si>
  <si>
    <t xml:space="preserve">Backlog stories per Traceability_Matrix. Edit Status/Notes (yellow) as live evidence lands.</t>
  </si>
  <si>
    <t xml:space="preserve">Item</t>
  </si>
  <si>
    <t xml:space="preserve">Story ref</t>
  </si>
  <si>
    <t xml:space="preserve">Points</t>
  </si>
  <si>
    <t xml:space="preserve">Owner</t>
  </si>
  <si>
    <t xml:space="preserve">Notes / Evidence</t>
  </si>
  <si>
    <t xml:space="preserve">B-01</t>
  </si>
  <si>
    <t xml:space="preserve">Repo scaffold + CI with 100% coverage gate (D13)</t>
  </si>
  <si>
    <t xml:space="preserve">Claude</t>
  </si>
  <si>
    <t xml:space="preserve">Done</t>
  </si>
  <si>
    <t xml:space="preserve">jest coverageThreshold 100x4; .github/workflows/ci.yml runs build+coverage+E2E. E010.</t>
  </si>
  <si>
    <t xml:space="preserve">B-02</t>
  </si>
  <si>
    <t xml:space="preserve">Config: site/app/secret validation, residency, trial days</t>
  </si>
  <si>
    <t xml:space="preserve">src/config.ts — 5 tests incl. bad residency + bad trial days.</t>
  </si>
  <si>
    <t xml:space="preserve">B-03</t>
  </si>
  <si>
    <t xml:space="preserve">Typed Store repository (Forge hosted-storage adapter point)</t>
  </si>
  <si>
    <t xml:space="preserve">src/store.ts — D17 constraint logged as R-P4.</t>
  </si>
  <si>
    <t xml:space="preserve">B-04</t>
  </si>
  <si>
    <t xml:space="preserve">Install -&gt; welcome; uninstall wipe + 30d deletion + sweep; re-install restore; rotation</t>
  </si>
  <si>
    <t xml:space="preserve">ST-051/052/053/055</t>
  </si>
  <si>
    <t xml:space="preserve">src/lifecycle.ts — 8 tests incl. retention-window and legacy-row edge cases.</t>
  </si>
  <si>
    <t xml:space="preserve">B-05</t>
  </si>
  <si>
    <t xml:space="preserve">Install telemetry source attribution</t>
  </si>
  <si>
    <t xml:space="preserve">ST-056</t>
  </si>
  <si>
    <t xml:space="preserve">listing/search/referral, unknown-&gt;direct; preserved across re-install.</t>
  </si>
  <si>
    <t xml:space="preserve">B-06</t>
  </si>
  <si>
    <t xml:space="preserve">Permission matrix + audit log on every route</t>
  </si>
  <si>
    <t xml:space="preserve">ST-054/007/017/027/037/047/067</t>
  </si>
  <si>
    <t xml:space="preserve">src/permissions.ts + guard() in app.ts; member-403 and bad-role-400 asserted in E2E.</t>
  </si>
  <si>
    <t xml:space="preserve">B-07</t>
  </si>
  <si>
    <t xml:space="preserve">F1 AI case-gen engine behind AI seam</t>
  </si>
  <si>
    <t xml:space="preserve">ST-001..010</t>
  </si>
  <si>
    <t xml:space="preserve">src/testgen.ts — 10 tests; LLM provider swap point isolated in generateFromStory.</t>
  </si>
  <si>
    <t xml:space="preserve">B-08</t>
  </si>
  <si>
    <t xml:space="preserve">F2 run boards + metrics + CSV import</t>
  </si>
  <si>
    <t xml:space="preserve">ST-011..020</t>
  </si>
  <si>
    <t xml:space="preserve">src/runboards.ts — 6 tests + E2E board flow.</t>
  </si>
  <si>
    <t xml:space="preserve">B-09</t>
  </si>
  <si>
    <t xml:space="preserve">F3 flaky detector: webhook intake -&gt; flip-rate -&gt; quarantine</t>
  </si>
  <si>
    <t xml:space="preserve">src/flaky.ts + src/webhooks.ts — HMAC/replay/dedupe; E2E tampered-signature 401.</t>
  </si>
  <si>
    <t xml:space="preserve">B-10</t>
  </si>
  <si>
    <t xml:space="preserve">F4 readiness score, validated weights</t>
  </si>
  <si>
    <t xml:space="preserve">ST-031..040</t>
  </si>
  <si>
    <t xml:space="preserve">src/readiness.ts — 5 tests; verdict bands ready/at-risk/not-ready.</t>
  </si>
  <si>
    <t xml:space="preserve">B-11</t>
  </si>
  <si>
    <t xml:space="preserve">F5 Xray importer</t>
  </si>
  <si>
    <t xml:space="preserve">ST-041..050</t>
  </si>
  <si>
    <t xml:space="preserve">src/xrayImport.ts — parse+map into TestGen; E2E import 201.</t>
  </si>
  <si>
    <t xml:space="preserve">B-12</t>
  </si>
  <si>
    <t xml:space="preserve">E5 billing: trial/proration/dunning/limits/GST/cancel</t>
  </si>
  <si>
    <t xml:space="preserve">ST-057..063</t>
  </si>
  <si>
    <t xml:space="preserve">src/billing.ts — 10 tests; proration case verified $100.</t>
  </si>
  <si>
    <t xml:space="preserve">B-13</t>
  </si>
  <si>
    <t xml:space="preserve">E6 compliance: scope map, data-flow doc, export/delete, backoff+breaker</t>
  </si>
  <si>
    <t xml:space="preserve">ST-064/065/069/070</t>
  </si>
  <si>
    <t xml:space="preserve">src/compliance.ts + src/jiraClient.ts — 12 tests.</t>
  </si>
  <si>
    <t xml:space="preserve">B-14</t>
  </si>
  <si>
    <t xml:space="preserve">E7 analytics: funnel, errors+alerts, heatmap, health, CSV</t>
  </si>
  <si>
    <t xml:space="preserve">ST-071..077</t>
  </si>
  <si>
    <t xml:space="preserve">src/telemetry.ts — 7 tests.</t>
  </si>
  <si>
    <t xml:space="preserve">B-15</t>
  </si>
  <si>
    <t xml:space="preserve">E2E smoke suite gating every deploy</t>
  </si>
  <si>
    <t xml:space="preserve">ST-086</t>
  </si>
  <si>
    <t xml:space="preserve">test/e2e.smoke.test.ts — 20 tests, full MVP loop; in CI.</t>
  </si>
  <si>
    <t xml:space="preserve">Install cleanly in REAL Jira Cloud dev site via Forge (Launch #1)</t>
  </si>
  <si>
    <t xml:space="preserve">ST-005-class live</t>
  </si>
  <si>
    <t xml:space="preserve">Senthil + Claude</t>
  </si>
  <si>
    <t xml:space="preserve">To do</t>
  </si>
  <si>
    <t xml:space="preserve">Needs Atlassian vendor account + Forge CLI deploy; evidence: install screenshot + site id + telemetry row. Flips ST-005/015/025/035/045.</t>
  </si>
  <si>
    <t xml:space="preserve">B-17</t>
  </si>
  <si>
    <t xml:space="preserve">Atlassian Marketplace billing wiring + test purchase (Launch #8)</t>
  </si>
  <si>
    <t xml:space="preserve">ST-059 live</t>
  </si>
  <si>
    <t xml:space="preserve">Behind Billing seam; flips ST-059.</t>
  </si>
  <si>
    <t xml:space="preserve">B-18</t>
  </si>
  <si>
    <t xml:space="preserve">Vault/KMS + TLS enforcement at deploy</t>
  </si>
  <si>
    <t xml:space="preserve">ST-066 live</t>
  </si>
  <si>
    <t xml:space="preserve">verifyEncryptionPosture already asserts config; flips ST-066.</t>
  </si>
  <si>
    <t xml:space="preserve">B-19</t>
  </si>
  <si>
    <t xml:space="preserve">E8 onboarding: checklist/empty states/review-ask/demo mode</t>
  </si>
  <si>
    <t xml:space="preserve">ST-078/079/082/083</t>
  </si>
  <si>
    <t xml:space="preserve">src/onboarding.ts — 6 tests; aha anchor drives review-ask.</t>
  </si>
  <si>
    <t xml:space="preserve">B-20</t>
  </si>
  <si>
    <t xml:space="preserve">Help center 15 articles + search</t>
  </si>
  <si>
    <t xml:space="preserve">ST-080</t>
  </si>
  <si>
    <t xml:space="preserve">src/helpcenter.ts — 3 tests.</t>
  </si>
  <si>
    <t xml:space="preserve">B-21</t>
  </si>
  <si>
    <t xml:space="preserve">Support intake + 4-hr SLA tracking</t>
  </si>
  <si>
    <t xml:space="preserve">ST-081</t>
  </si>
  <si>
    <t xml:space="preserve">src/support.ts — 4 tests; live response ops = launch.</t>
  </si>
  <si>
    <t xml:space="preserve">B-22</t>
  </si>
  <si>
    <t xml:space="preserve">EQ resilience: p95 budgets, load test, backup drill, chaos, status page</t>
  </si>
  <si>
    <t xml:space="preserve">ST-084/087/088/090/091</t>
  </si>
  <si>
    <t xml:space="preserve">src/ops.ts + loadtest.js — 5,238 rps 0 errors; drill ok:true.</t>
  </si>
  <si>
    <t xml:space="preserve">B-23</t>
  </si>
  <si>
    <t xml:space="preserve">AnthropicProvider behind AI seam (R-P6)</t>
  </si>
  <si>
    <t xml:space="preserve">src/aiProvider.ts — 8 tests; key at deploy; rule fallback intact.</t>
  </si>
  <si>
    <t xml:space="preserve">B-24</t>
  </si>
  <si>
    <t xml:space="preserve">Launch collateral: copy A/B, pricing, trust, runbook, dry-run, specs</t>
  </si>
  <si>
    <t xml:space="preserve">ST-093..098</t>
  </si>
  <si>
    <t xml:space="preserve">docs/ 8 files; Senthil review of copy + second-reviewer sign-off pending.</t>
  </si>
  <si>
    <t xml:space="preserve">B-25</t>
  </si>
  <si>
    <t xml:space="preserve">Listing assets capture (5 shots + video) after live install</t>
  </si>
  <si>
    <t xml:space="preserve">ST-094/083-video</t>
  </si>
  <si>
    <t xml:space="preserve">Spec ready (docs/screenshot-spec.md); needs LC-1.</t>
  </si>
  <si>
    <t xml:space="preserve">B-26</t>
  </si>
  <si>
    <t xml:space="preserve">External pen-test / platform evidence</t>
  </si>
  <si>
    <t xml:space="preserve">ST-068</t>
  </si>
  <si>
    <t xml:space="preserve">Internal pack shipped (docs/security-assessment.md).</t>
  </si>
  <si>
    <t xml:space="preserve">B-27</t>
  </si>
  <si>
    <t xml:space="preserve">ForgeStore hosted-storage adapter (hydrate/flush write-through)</t>
  </si>
  <si>
    <t xml:space="preserve">R-P4 / D17</t>
  </si>
  <si>
    <t xml:space="preserve">src/forgeStore.ts — 3 suites; unhydrated use refused; delete-only-if-existed.</t>
  </si>
  <si>
    <t xml:space="preserve">B-28</t>
  </si>
  <si>
    <t xml:space="preserve">Forge manifest + 30-min deploy guide</t>
  </si>
  <si>
    <t xml:space="preserve">B-16 enabler</t>
  </si>
  <si>
    <t xml:space="preserve">forge/manifest.yml + docs/forge-deploy-guide.md; Senthil steps marked ►.</t>
  </si>
  <si>
    <t xml:space="preserve">B-29</t>
  </si>
  <si>
    <t xml:space="preserve">LC-2/3/4 docs: review pack, Fortified gap (formal), residency statement</t>
  </si>
  <si>
    <t xml:space="preserve">LC-2/3/4</t>
  </si>
  <si>
    <t xml:space="preserve">docs/review-pack.md, cloud-fortified-gap.md, residency-statement.md.</t>
  </si>
  <si>
    <t xml:space="preserve">B-30</t>
  </si>
  <si>
    <t xml:space="preserve">S0 PRD rollup with assumption flags</t>
  </si>
  <si>
    <t xml:space="preserve">A-P1</t>
  </si>
  <si>
    <t xml:space="preserve">docs/prd.md — validate assumptions with first partners (ST-100).</t>
  </si>
  <si>
    <t xml:space="preserve">B-31</t>
  </si>
  <si>
    <t xml:space="preserve">Forge resolver + webtrigger handlers (guide step 5)</t>
  </si>
  <si>
    <t xml:space="preserve">src/forgeGlue.ts — 6 suites; cross-invocation persistence proven; forge/index.ts = 4-line template.</t>
  </si>
  <si>
    <t xml:space="preserve">B-32</t>
  </si>
  <si>
    <t xml:space="preserve">Importer hardening: RFC-4180 + Xray Exporter multi-step + Zephyr Scale</t>
  </si>
  <si>
    <t xml:space="preserve">ST-041..050 / LC-5</t>
  </si>
  <si>
    <t xml:space="preserve">csvParse/detectFormat/parse; 11 tests incl. ragged rows.</t>
  </si>
  <si>
    <t xml:space="preserve">B-33</t>
  </si>
  <si>
    <t xml:space="preserve">Custom UI: view-models, renderers, bridge-injected mount, bundle, demo page</t>
  </si>
  <si>
    <t xml:space="preserve">ST-005/015/025/035/045 UI</t>
  </si>
  <si>
    <t xml:space="preserve">src/ui/* 15 tests; static/build/app.js; demo.html verified headless under jsdom.</t>
  </si>
  <si>
    <t xml:space="preserve">B-34</t>
  </si>
  <si>
    <t xml:space="preserve">Docs-verification sweep: manifest (runtime/webtrigger/icon), kvsAdapter, asset spec</t>
  </si>
  <si>
    <t xml:space="preserve">R-P5 / B-16 / ST-094</t>
  </si>
  <si>
    <t xml:space="preserve">4 findings applied; sources: developer.atlassian.com webtrigger/runtime/kvs/marketplace pages, cited in E027-E028.</t>
  </si>
  <si>
    <t xml:space="preserve">B-35</t>
  </si>
  <si>
    <t xml:space="preserve">Licensing gate (Paid via Atlassian) + manifest flag + glue wiring</t>
  </si>
  <si>
    <t xml:space="preserve">src/licensing.ts + forgeGlue gate-before-permissions; reads never blocked; 5 tests.</t>
  </si>
  <si>
    <t xml:space="preserve">B-36</t>
  </si>
  <si>
    <t xml:space="preserve">Billing activation guide + per-user pricing decision surfaced (D18)</t>
  </si>
  <si>
    <t xml:space="preserve">docs/billing-activation.md; pricing-faq flagged pending re-anchor.</t>
  </si>
  <si>
    <t xml:space="preserve">B-37</t>
  </si>
  <si>
    <t xml:space="preserve">Design-partner kit: outreach, A1-A4 interview guide, demo script</t>
  </si>
  <si>
    <t xml:space="preserve">docs/design-partner-kit.md; execution = Senthil.</t>
  </si>
  <si>
    <t xml:space="preserve">TRACEABILITY MATRIX — 100 stories: module -&gt; epic -&gt; story -&gt; screen -&gt; verification -&gt; status (edit Status/Evidence as live items land)</t>
  </si>
  <si>
    <t xml:space="preserve">Source: v008 Full_Backlog (single source of truth). Status: Done = automated-test evidence in repo (D13); Code-complete = built, pending live platform; Backlog = not started.</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</si>
  <si>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</si>
  <si>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</si>
  <si>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</si>
  <si>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</si>
  <si>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</si>
  <si>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</si>
  <si>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</si>
  <si>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</si>
  <si>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ST-001</t>
  </si>
  <si>
    <t xml:space="preserve">F1</t>
  </si>
  <si>
    <t xml:space="preserve">AI test-case generation</t>
  </si>
  <si>
    <t xml:space="preserve">As a QA lead, I can set up AI test-case generation with sensible defaults in one screen</t>
  </si>
  <si>
    <t xml:space="preserve">P0</t>
  </si>
  <si>
    <t xml:space="preserve">SCR-3 AI generation workspace</t>
  </si>
  <si>
    <t xml:space="preserve">E2E test + demo</t>
  </si>
  <si>
    <t xml:space="preserve">src/testgen.ts DEFAULT_RULES + setRules; test/testgen.test.ts</t>
  </si>
  <si>
    <t xml:space="preserve">ST-002</t>
  </si>
  <si>
    <t xml:space="preserve">As a QA lead, the AI test-case generation happy path completes without documentation</t>
  </si>
  <si>
    <t xml:space="preserve">src/testgen.ts generateFromStory; testgen + e2e tests</t>
  </si>
  <si>
    <t xml:space="preserve">ST-003</t>
  </si>
  <si>
    <t xml:space="preserve">As a Eng manager, I can customise AI test-case generation rules/conditions for my workflow</t>
  </si>
  <si>
    <t xml:space="preserve">P1</t>
  </si>
  <si>
    <t xml:space="preserve">Integration test + manual QA</t>
  </si>
  <si>
    <t xml:space="preserve">setRules customisation; validation test</t>
  </si>
  <si>
    <t xml:space="preserve">ST-004</t>
  </si>
  <si>
    <t xml:space="preserve">As a user, AI test-case generation shows clear errors and retry paths on platform API failures</t>
  </si>
  <si>
    <t xml:space="preserve">empty-story + bad-CSV clear errors; testgen tests</t>
  </si>
  <si>
    <t xml:space="preserve">ST-005</t>
  </si>
  <si>
    <t xml:space="preserve">As a Jira admin, AI test-case generation works on the Forge app panel inside Jira surface end-to-end</t>
  </si>
  <si>
    <t xml:space="preserve">Code-complete — pending live</t>
  </si>
  <si>
    <t xml:space="preserve">Full stack shipped: API + resolver glue + panel UI (src/ui/* tested, static/build bundle, demo verified headless). Only live Forge render verification remains — LC-1</t>
  </si>
  <si>
    <t xml:space="preserve">ST-006</t>
  </si>
  <si>
    <t xml:space="preserve">As a Eng manager, I can see AI test-case generation performance metrics and trends</t>
  </si>
  <si>
    <t xml:space="preserve">metrics() byKind rollup; test</t>
  </si>
  <si>
    <t xml:space="preserve">ST-007</t>
  </si>
  <si>
    <t xml:space="preserve">As a user, AI test-case generation respects role permissions and audit logging</t>
  </si>
  <si>
    <t xml:space="preserve">Permissions matrix + audit on every check; permissions tests</t>
  </si>
  <si>
    <t xml:space="preserve">ST-008</t>
  </si>
  <si>
    <t xml:space="preserve">As a QA lead, I can pause/disable AI test-case generation without data loss</t>
  </si>
  <si>
    <t xml:space="preserve">P2</t>
  </si>
  <si>
    <t xml:space="preserve">Manual QA</t>
  </si>
  <si>
    <t xml:space="preserve">setEnabled pause, data retained; test</t>
  </si>
  <si>
    <t xml:space="preserve">ST-009</t>
  </si>
  <si>
    <t xml:space="preserve">As a Eng manager, I can import/migrate existing data into AI test-case generation (CSV + competitor importer)</t>
  </si>
  <si>
    <t xml:space="preserve">importCsv header/row validation; tests</t>
  </si>
  <si>
    <t xml:space="preserve">ST-010</t>
  </si>
  <si>
    <t xml:space="preserve">As a user, I get notifications (in-app + email) for key AI test-case generation events with per-type mute</t>
  </si>
  <si>
    <t xml:space="preserve">Notifications per-type prefs generation events; notifications tests</t>
  </si>
  <si>
    <t xml:space="preserve">ST-011</t>
  </si>
  <si>
    <t xml:space="preserve">F2</t>
  </si>
  <si>
    <t xml:space="preserve">Test run boards</t>
  </si>
  <si>
    <t xml:space="preserve">As a QA lead, I can set up Test run boards with sensible defaults in one screen</t>
  </si>
  <si>
    <t xml:space="preserve">SCR-4 Run boards builder</t>
  </si>
  <si>
    <t xml:space="preserve">src/runboards.ts createBoard defaults</t>
  </si>
  <si>
    <t xml:space="preserve">ST-012</t>
  </si>
  <si>
    <t xml:space="preserve">As a QA lead, the Test run boards happy path completes without documentation</t>
  </si>
  <si>
    <t xml:space="preserve">record() happy path; e2e board flow</t>
  </si>
  <si>
    <t xml:space="preserve">ST-013</t>
  </si>
  <si>
    <t xml:space="preserve">As a Eng manager, I can customise Test run boards rules/conditions for my workflow</t>
  </si>
  <si>
    <t xml:space="preserve">RunStatus set + board config</t>
  </si>
  <si>
    <t xml:space="preserve">ST-014</t>
  </si>
  <si>
    <t xml:space="preserve">As a user, Test run boards shows clear errors and retry paths on platform API failures</t>
  </si>
  <si>
    <t xml:space="preserve">unknown-board/empty-name errors; tests</t>
  </si>
  <si>
    <t xml:space="preserve">ST-015</t>
  </si>
  <si>
    <t xml:space="preserve">As a Jira admin, Test run boards works on the Forge app panel inside Jira surface end-to-end</t>
  </si>
  <si>
    <t xml:space="preserve">Board panel UI shipped (renderBoard + mount board tab); live render at LC-1</t>
  </si>
  <si>
    <t xml:space="preserve">ST-016</t>
  </si>
  <si>
    <t xml:space="preserve">As a Eng manager, I can see Test run boards performance metrics and trends</t>
  </si>
  <si>
    <t xml:space="preserve">metrics passRate incl. empty board</t>
  </si>
  <si>
    <t xml:space="preserve">ST-017</t>
  </si>
  <si>
    <t xml:space="preserve">As a user, Test run boards respects role permissions and audit logging</t>
  </si>
  <si>
    <t xml:space="preserve">guard() on /boards routes + audit</t>
  </si>
  <si>
    <t xml:space="preserve">ST-018</t>
  </si>
  <si>
    <t xml:space="preserve">As a QA lead, I can pause/disable Test run boards without data loss</t>
  </si>
  <si>
    <t xml:space="preserve">setEnabled pause; test</t>
  </si>
  <si>
    <t xml:space="preserve">ST-019</t>
  </si>
  <si>
    <t xml:space="preserve">As a Eng manager, I can import/migrate existing data into Test run boards (CSV + competitor importer)</t>
  </si>
  <si>
    <t xml:space="preserve">importCsv boards; tests</t>
  </si>
  <si>
    <t xml:space="preserve">ST-020</t>
  </si>
  <si>
    <t xml:space="preserve">As a user, I get notifications (in-app + email) for key Test run boards events with per-type mute</t>
  </si>
  <si>
    <t xml:space="preserve">Notifications run events</t>
  </si>
  <si>
    <t xml:space="preserve">ST-021</t>
  </si>
  <si>
    <t xml:space="preserve">F3</t>
  </si>
  <si>
    <t xml:space="preserve">Flaky-test detector</t>
  </si>
  <si>
    <t xml:space="preserve">As a QA lead, I can set up Flaky-test detector with sensible defaults in one screen</t>
  </si>
  <si>
    <t xml:space="preserve">SCR-5 Flaky detector view</t>
  </si>
  <si>
    <t xml:space="preserve">src/flaky.ts defaults threshold 0.3</t>
  </si>
  <si>
    <t xml:space="preserve">ST-022</t>
  </si>
  <si>
    <t xml:space="preserve">As a QA lead, the Flaky-test detector happy path completes without documentation</t>
  </si>
  <si>
    <t xml:space="preserve">ingest-&gt;scores happy path; e2e webhook-&gt;quarantine</t>
  </si>
  <si>
    <t xml:space="preserve">ST-023</t>
  </si>
  <si>
    <t xml:space="preserve">As a Eng manager, I can customise Flaky-test detector rules/conditions for my workflow</t>
  </si>
  <si>
    <t xml:space="preserve">setThreshold validated</t>
  </si>
  <si>
    <t xml:space="preserve">ST-024</t>
  </si>
  <si>
    <t xml:space="preserve">As a user, Flaky-test detector shows clear errors and retry paths on platform API failures</t>
  </si>
  <si>
    <t xml:space="preserve">empty-batch error; test</t>
  </si>
  <si>
    <t xml:space="preserve">ST-025</t>
  </si>
  <si>
    <t xml:space="preserve">As a Jira admin, Flaky-test detector works on the Forge app panel inside Jira surface end-to-end</t>
  </si>
  <si>
    <t xml:space="preserve">Flaky panel UI shipped (renderFlaky + quarantine badge); live render at LC-1</t>
  </si>
  <si>
    <t xml:space="preserve">ST-026</t>
  </si>
  <si>
    <t xml:space="preserve">As a Eng manager, I can see Flaky-test detector performance metrics and trends</t>
  </si>
  <si>
    <t xml:space="preserve">flip-rate scores sorted; tests</t>
  </si>
  <si>
    <t xml:space="preserve">ST-027</t>
  </si>
  <si>
    <t xml:space="preserve">As a user, Flaky-test detector respects role permissions and audit logging</t>
  </si>
  <si>
    <t xml:space="preserve">signed webhook intake only (HMAC)</t>
  </si>
  <si>
    <t xml:space="preserve">ST-028</t>
  </si>
  <si>
    <t xml:space="preserve">As a QA lead, I can pause/disable Flaky-test detector without data loss</t>
  </si>
  <si>
    <t xml:space="preserve">ST-029</t>
  </si>
  <si>
    <t xml:space="preserve">As a Eng manager, I can import/migrate existing data into Flaky-test detector (CSV + competitor importer)</t>
  </si>
  <si>
    <t xml:space="preserve">CI results batch ingest (import path)</t>
  </si>
  <si>
    <t xml:space="preserve">ST-030</t>
  </si>
  <si>
    <t xml:space="preserve">As a user, I get notifications (in-app + email) for key Flaky-test detector events with per-type mute</t>
  </si>
  <si>
    <t xml:space="preserve">Notifications flaky events</t>
  </si>
  <si>
    <t xml:space="preserve">ST-031</t>
  </si>
  <si>
    <t xml:space="preserve">F4</t>
  </si>
  <si>
    <t xml:space="preserve">Release readiness score</t>
  </si>
  <si>
    <t xml:space="preserve">As a QA lead, I can set up Release readiness score with sensible defaults in one screen</t>
  </si>
  <si>
    <t xml:space="preserve">SCR-2 Home dashboard</t>
  </si>
  <si>
    <t xml:space="preserve">src/readiness.ts DEFAULT_WEIGHTS</t>
  </si>
  <si>
    <t xml:space="preserve">ST-032</t>
  </si>
  <si>
    <t xml:space="preserve">As a QA lead, the Release readiness score happy path completes without documentation</t>
  </si>
  <si>
    <t xml:space="preserve">readinessScore verdict; e2e</t>
  </si>
  <si>
    <t xml:space="preserve">ST-033</t>
  </si>
  <si>
    <t xml:space="preserve">As a Eng manager, I can customise Release readiness score rules/conditions for my workflow</t>
  </si>
  <si>
    <t xml:space="preserve">custom weights validated sum=1</t>
  </si>
  <si>
    <t xml:space="preserve">ST-034</t>
  </si>
  <si>
    <t xml:space="preserve">As a user, Release readiness score shows clear errors and retry paths on platform API failures</t>
  </si>
  <si>
    <t xml:space="preserve">out-of-range input rejected; e2e 400</t>
  </si>
  <si>
    <t xml:space="preserve">ST-035</t>
  </si>
  <si>
    <t xml:space="preserve">As a Jira admin, Release readiness score works on the Forge app panel inside Jira surface end-to-end</t>
  </si>
  <si>
    <t xml:space="preserve">Readiness panel UI shipped (renderReadiness dial + verdict classes); live render at LC-1</t>
  </si>
  <si>
    <t xml:space="preserve">ST-036</t>
  </si>
  <si>
    <t xml:space="preserve">As a Eng manager, I can see Release readiness score performance metrics and trends</t>
  </si>
  <si>
    <t xml:space="preserve">score+verdict trend inputs; tests</t>
  </si>
  <si>
    <t xml:space="preserve">ST-037</t>
  </si>
  <si>
    <t xml:space="preserve">As a user, Release readiness score respects role permissions and audit logging</t>
  </si>
  <si>
    <t xml:space="preserve">route behind guard + audit</t>
  </si>
  <si>
    <t xml:space="preserve">ST-038</t>
  </si>
  <si>
    <t xml:space="preserve">As a QA lead, I can pause/disable Release readiness score without data loss</t>
  </si>
  <si>
    <t xml:space="preserve">weights are stateless — no data loss</t>
  </si>
  <si>
    <t xml:space="preserve">ST-039</t>
  </si>
  <si>
    <t xml:space="preserve">As a Eng manager, I can import/migrate existing data into Release readiness score (CSV + competitor importer)</t>
  </si>
  <si>
    <t xml:space="preserve">inputs from flaky+boards metrics</t>
  </si>
  <si>
    <t xml:space="preserve">ST-040</t>
  </si>
  <si>
    <t xml:space="preserve">As a user, I get notifications (in-app + email) for key Release readiness score events with per-type mute</t>
  </si>
  <si>
    <t xml:space="preserve">Notifications readiness events</t>
  </si>
  <si>
    <t xml:space="preserve">ST-041</t>
  </si>
  <si>
    <t xml:space="preserve">F5</t>
  </si>
  <si>
    <t xml:space="preserve">Xray importer</t>
  </si>
  <si>
    <t xml:space="preserve">As a QA lead, I can set up Xray importer with sensible defaults in one screen</t>
  </si>
  <si>
    <t xml:space="preserve">src/xrayImport.ts parse defaults</t>
  </si>
  <si>
    <t xml:space="preserve">ST-042</t>
  </si>
  <si>
    <t xml:space="preserve">As a QA lead, the Xray importer happy path completes without documentation</t>
  </si>
  <si>
    <t xml:space="preserve">importXray happy path; e2e</t>
  </si>
  <si>
    <t xml:space="preserve">ST-043</t>
  </si>
  <si>
    <t xml:space="preserve">As a Eng manager, I can customise Xray importer rules/conditions for my workflow</t>
  </si>
  <si>
    <t xml:space="preserve">mapping seam (kind fixed happy) + TestGen rules apply</t>
  </si>
  <si>
    <t xml:space="preserve">ST-044</t>
  </si>
  <si>
    <t xml:space="preserve">As a user, Xray importer shows clear errors and retry paths on platform API failures</t>
  </si>
  <si>
    <t xml:space="preserve">bad-header/bad-row errors; tests</t>
  </si>
  <si>
    <t xml:space="preserve">ST-045</t>
  </si>
  <si>
    <t xml:space="preserve">As a Jira admin, Xray importer works on the Forge app panel inside Jira surface end-to-end</t>
  </si>
  <si>
    <t xml:space="preserve">Import path in resolver glue; panel surface at LC-1</t>
  </si>
  <si>
    <t xml:space="preserve">ST-046</t>
  </si>
  <si>
    <t xml:space="preserve">As a Eng manager, I can see Xray importer performance metrics and trends</t>
  </si>
  <si>
    <t xml:space="preserve">imported counts in gen.metrics()</t>
  </si>
  <si>
    <t xml:space="preserve">ST-047</t>
  </si>
  <si>
    <t xml:space="preserve">As a user, Xray importer respects role permissions and audit logging</t>
  </si>
  <si>
    <t xml:space="preserve">/import/xray behind guard(import) — member 403; e2e</t>
  </si>
  <si>
    <t xml:space="preserve">ST-048</t>
  </si>
  <si>
    <t xml:space="preserve">As a QA lead, I can pause/disable Xray importer without data loss</t>
  </si>
  <si>
    <t xml:space="preserve">import is additive — no loss</t>
  </si>
  <si>
    <t xml:space="preserve">ST-049</t>
  </si>
  <si>
    <t xml:space="preserve">As a Eng manager, I can import/migrate existing data into Xray importer (CSV + competitor importer)</t>
  </si>
  <si>
    <t xml:space="preserve">CSV import core; tests</t>
  </si>
  <si>
    <t xml:space="preserve">ST-050</t>
  </si>
  <si>
    <t xml:space="preserve">As a user, I get notifications (in-app + email) for key Xray importer events with per-type mute</t>
  </si>
  <si>
    <t xml:space="preserve">Notifications import events</t>
  </si>
  <si>
    <t xml:space="preserve">ST-051</t>
  </si>
  <si>
    <t xml:space="preserve">E1</t>
  </si>
  <si>
    <t xml:space="preserve">Install &amp; lifecycle</t>
  </si>
  <si>
    <t xml:space="preserve">Marketplace OAuth install completes and lands on welcome state in &lt;2 min</t>
  </si>
  <si>
    <t xml:space="preserve">SCR-1 Onboarding / first-run</t>
  </si>
  <si>
    <t xml:space="preserve">lifecycle.install -&gt; welcome:true; e2e 201</t>
  </si>
  <si>
    <t xml:space="preserve">ST-052</t>
  </si>
  <si>
    <t xml:space="preserve">Uninstall webhook removes tokens, schedules data deletion per policy</t>
  </si>
  <si>
    <t xml:space="preserve">uninstall wipes tokens, schedules deletion; sweep test</t>
  </si>
  <si>
    <t xml:space="preserve">ST-053</t>
  </si>
  <si>
    <t xml:space="preserve">Re-install restores account within retention window</t>
  </si>
  <si>
    <t xml:space="preserve">re-install within 30d restores; test</t>
  </si>
  <si>
    <t xml:space="preserve">ST-054</t>
  </si>
  <si>
    <t xml:space="preserve">Multi-user roles: owner/admin/member permission matrix enforced</t>
  </si>
  <si>
    <t xml:space="preserve">owner/admin/member matrix enforced; e2e 403</t>
  </si>
  <si>
    <t xml:space="preserve">ST-055</t>
  </si>
  <si>
    <t xml:space="preserve">Session/token refresh survives platform token rotation</t>
  </si>
  <si>
    <t xml:space="preserve">rotateTokens persists rotation; inactive rejected</t>
  </si>
  <si>
    <t xml:space="preserve">Install telemetry: source attribution (listing/search/referral) captured</t>
  </si>
  <si>
    <t xml:space="preserve">source attribution listing/search/referral/direct; tests</t>
  </si>
  <si>
    <t xml:space="preserve">ST-057</t>
  </si>
  <si>
    <t xml:space="preserve">E5</t>
  </si>
  <si>
    <t xml:space="preserve">Billing &amp; plans</t>
  </si>
  <si>
    <t xml:space="preserve">14-day trial without card; banner shows days remaining</t>
  </si>
  <si>
    <t xml:space="preserve">SCR-7 Billing</t>
  </si>
  <si>
    <t xml:space="preserve">startTrial no card + daysRemaining banner; e2e</t>
  </si>
  <si>
    <t xml:space="preserve">ST-058</t>
  </si>
  <si>
    <t xml:space="preserve">Upgrade/downgrade mid-cycle prorates correctly</t>
  </si>
  <si>
    <t xml:space="preserve">changePlan proration 15-day case = $100; test</t>
  </si>
  <si>
    <t xml:space="preserve">Marketplace billing API used where mandated; external Stripe fallback elsewhere</t>
  </si>
  <si>
    <t xml:space="preserve">Manifest licensing flag + license gate shipped+tested (reads never blocked); Atlassian owns payment rails; partner-console pricing (D18) + test purchase = Senthil</t>
  </si>
  <si>
    <t xml:space="preserve">ST-060</t>
  </si>
  <si>
    <t xml:space="preserve">Failed payment: 7-day grace, 3 dunning emails, then read-only mode</t>
  </si>
  <si>
    <t xml:space="preserve">grace 7d + 3 dunnings -&gt; read-only; test</t>
  </si>
  <si>
    <t xml:space="preserve">ST-061</t>
  </si>
  <si>
    <t xml:space="preserve">Plan limits enforced with upgrade prompts at 80%/100%</t>
  </si>
  <si>
    <t xml:space="preserve">seatUsageAlert warn80/limit100; test</t>
  </si>
  <si>
    <t xml:space="preserve">ST-062</t>
  </si>
  <si>
    <t xml:space="preserve">Invoices/receipts downloadable; GST/VAT fields supported</t>
  </si>
  <si>
    <t xml:space="preserve">invoice with GST field; test</t>
  </si>
  <si>
    <t xml:space="preserve">ST-063</t>
  </si>
  <si>
    <t xml:space="preserve">Cancellation flow with save-offer and exit survey</t>
  </si>
  <si>
    <t xml:space="preserve">cancel save-offer + exit survey; test</t>
  </si>
  <si>
    <t xml:space="preserve">ST-064</t>
  </si>
  <si>
    <t xml:space="preserve">E6</t>
  </si>
  <si>
    <t xml:space="preserve">Compliance &amp; trust</t>
  </si>
  <si>
    <t xml:space="preserve">Scopes requested map 1:1 to shipped features (least privilege doc)</t>
  </si>
  <si>
    <t xml:space="preserve">SCR-6 Settings &amp; team</t>
  </si>
  <si>
    <t xml:space="preserve">SCOPE_MAP 1:1 scopes-&gt;features; test</t>
  </si>
  <si>
    <t xml:space="preserve">ST-065</t>
  </si>
  <si>
    <t xml:space="preserve">Data-flow diagram + retention policy published</t>
  </si>
  <si>
    <t xml:space="preserve">DATA_FLOW_DOC ingress/storage/retention/egress; test</t>
  </si>
  <si>
    <t xml:space="preserve">ST-066</t>
  </si>
  <si>
    <t xml:space="preserve">Encryption at rest + in transit verified; secrets in vault</t>
  </si>
  <si>
    <t xml:space="preserve">verifyEncryptionPosture asserts KMS/TLS config; real vault+KMS at deploy — LC infra</t>
  </si>
  <si>
    <t xml:space="preserve">ST-067</t>
  </si>
  <si>
    <t xml:space="preserve">Audit log for admin-sensitive actions</t>
  </si>
  <si>
    <t xml:space="preserve">Permissions audit log entries; tests</t>
  </si>
  <si>
    <t xml:space="preserve">Pen-test (or platform-required evidence) completed and archived</t>
  </si>
  <si>
    <t xml:space="preserve">S9</t>
  </si>
  <si>
    <t xml:space="preserve">Backlog</t>
  </si>
  <si>
    <t xml:space="preserve">Internal assessment pack shipped (docs/security-assessment.md; prod deps 0 vulns); external pen-test = Senthil</t>
  </si>
  <si>
    <t xml:space="preserve">ST-069</t>
  </si>
  <si>
    <t xml:space="preserve">Data export + delete-my-data self-serve</t>
  </si>
  <si>
    <t xml:space="preserve">exportMyData + deleteMyData self-serve; tests</t>
  </si>
  <si>
    <t xml:space="preserve">Rate-limit backoff + circuit breaker on platform APIs</t>
  </si>
  <si>
    <t xml:space="preserve">jiraClient 429/5xx backoff+jitter+circuit breaker; 7 tests</t>
  </si>
  <si>
    <t xml:space="preserve">ST-071</t>
  </si>
  <si>
    <t xml:space="preserve">E7</t>
  </si>
  <si>
    <t xml:space="preserve">Analytics &amp; health</t>
  </si>
  <si>
    <t xml:space="preserve">Activation funnel events (install-&gt;setup-&gt;aha-&gt;habit) in one dashboard</t>
  </si>
  <si>
    <t xml:space="preserve">SCR-8 Analytics</t>
  </si>
  <si>
    <t xml:space="preserve">telemetry funnel install-&gt;setup-&gt;aha-&gt;habit; tests</t>
  </si>
  <si>
    <t xml:space="preserve">ST-072</t>
  </si>
  <si>
    <t xml:space="preserve">Error tracking with release tagging; alert on error-rate spike</t>
  </si>
  <si>
    <t xml:space="preserve">trackError release-tagged + spike alert; tests</t>
  </si>
  <si>
    <t xml:space="preserve">ST-073</t>
  </si>
  <si>
    <t xml:space="preserve">Feature-usage heatmap for roadmap decisions</t>
  </si>
  <si>
    <t xml:space="preserve">feature heatmap; test</t>
  </si>
  <si>
    <t xml:space="preserve">ST-074</t>
  </si>
  <si>
    <t xml:space="preserve">Weekly automated metrics email to team</t>
  </si>
  <si>
    <t xml:space="preserve">exportCsv doubles as weekly email body; test</t>
  </si>
  <si>
    <t xml:space="preserve">ST-075</t>
  </si>
  <si>
    <t xml:space="preserve">Health score computed per account (usage+billing+support)</t>
  </si>
  <si>
    <t xml:space="preserve">healthScore usage+billing+support; test</t>
  </si>
  <si>
    <t xml:space="preserve">ST-076</t>
  </si>
  <si>
    <t xml:space="preserve">Metrics export to CSV/warehouse for founder analysis</t>
  </si>
  <si>
    <t xml:space="preserve">metrics CSV export; test</t>
  </si>
  <si>
    <t xml:space="preserve">ST-077</t>
  </si>
  <si>
    <t xml:space="preserve">Alert thresholds configurable (activation drop, error spike, churn signal)</t>
  </si>
  <si>
    <t xml:space="preserve">setErrorThreshold configurable; test</t>
  </si>
  <si>
    <t xml:space="preserve">ST-078</t>
  </si>
  <si>
    <t xml:space="preserve">E8</t>
  </si>
  <si>
    <t xml:space="preserve">Onboarding &amp; support</t>
  </si>
  <si>
    <t xml:space="preserve">First-run checklist reaches aha-moment in &lt;1 day</t>
  </si>
  <si>
    <t xml:space="preserve">src/onboarding.ts checklist-&gt;aha anchor; 6 tests</t>
  </si>
  <si>
    <t xml:space="preserve">ST-079</t>
  </si>
  <si>
    <t xml:space="preserve">Empty states teach next action on every screen</t>
  </si>
  <si>
    <t xml:space="preserve">EMPTY_STATES all 8 screens teach next action; test</t>
  </si>
  <si>
    <t xml:space="preserve">Help center with 15 launch articles + search</t>
  </si>
  <si>
    <t xml:space="preserve">S10</t>
  </si>
  <si>
    <t xml:space="preserve">src/helpcenter.ts 15 articles + search (title/body/tag); 3 tests</t>
  </si>
  <si>
    <t xml:space="preserve">In-app chat with &lt;4 business-hr first response</t>
  </si>
  <si>
    <t xml:space="preserve">Support intake + SLA tracking/report shipped (4 tests); &lt;4hr human response = live ops</t>
  </si>
  <si>
    <t xml:space="preserve">ST-082</t>
  </si>
  <si>
    <t xml:space="preserve">In-app review ask after aha-moment (marketplace rating engine)</t>
  </si>
  <si>
    <t xml:space="preserve">S11</t>
  </si>
  <si>
    <t xml:space="preserve">reviewAsk fires once post-aha (tested); marketplace rating-engine call at live Forge</t>
  </si>
  <si>
    <t xml:space="preserve">ST-083</t>
  </si>
  <si>
    <t xml:space="preserve">Demo video (2 min) + interactive sandbox/demo data mode</t>
  </si>
  <si>
    <t xml:space="preserve">Demo-data mode done (idempotent seed/wipe, tested); 2-min video at LC-1 per docs/screenshot-spec.md</t>
  </si>
  <si>
    <t xml:space="preserve">ST-084</t>
  </si>
  <si>
    <t xml:space="preserve">Status page + incident comms template</t>
  </si>
  <si>
    <t xml:space="preserve">statusPage + incident template; test</t>
  </si>
  <si>
    <t xml:space="preserve">ST-085</t>
  </si>
  <si>
    <t xml:space="preserve">Quality engineering</t>
  </si>
  <si>
    <t xml:space="preserve">Unit+integration test coverage gate ≥70% on core modules</t>
  </si>
  <si>
    <t xml:space="preserve">— (pipeline)</t>
  </si>
  <si>
    <t xml:space="preserve">SUPERSEDED BY D13 — jest coverageThreshold 100x4 (vs &gt;=70 story ask); CI gate</t>
  </si>
  <si>
    <t xml:space="preserve">E2E smoke suite runs on every deploy</t>
  </si>
  <si>
    <t xml:space="preserve">e2e.smoke.test.ts runs in CI on every deploy</t>
  </si>
  <si>
    <t xml:space="preserve">ST-087</t>
  </si>
  <si>
    <t xml:space="preserve">p95 latency budgets defined and monitored per surface</t>
  </si>
  <si>
    <t xml:space="preserve">LATENCY_BUDGETS_MS 5 surfaces + p95 monitor; tests. Live monitoring at deploy</t>
  </si>
  <si>
    <t xml:space="preserve">ST-088</t>
  </si>
  <si>
    <t xml:space="preserve">Load test at 5x expected launch traffic</t>
  </si>
  <si>
    <t xml:space="preserve">loadtest.js EXECUTED: 5,238 rps avg / 52,375 reqs / 0 errors / p95 28ms vs 50-rps 5x target; re-run on live infra at deploy</t>
  </si>
  <si>
    <t xml:space="preserve">ST-089</t>
  </si>
  <si>
    <t xml:space="preserve">Accessibility WCAG AA pass on primary flows</t>
  </si>
  <si>
    <t xml:space="preserve">Audit spec shipped (docs/wcag-checklist.md); AA pass needs live UI at LC-1</t>
  </si>
  <si>
    <t xml:space="preserve">ST-090</t>
  </si>
  <si>
    <t xml:space="preserve">Backup + restore drill executed</t>
  </si>
  <si>
    <t xml:space="preserve">BackupOps snapshot/restore + drill() executed in test (ok:true)</t>
  </si>
  <si>
    <t xml:space="preserve">ST-091</t>
  </si>
  <si>
    <t xml:space="preserve">Chaos test: platform API outage degrades gracefully with user comms</t>
  </si>
  <si>
    <t xml:space="preserve">degradeGracefully: circuit-open -&gt; cached data + user comms; tests</t>
  </si>
  <si>
    <t xml:space="preserve">ST-092</t>
  </si>
  <si>
    <t xml:space="preserve">Zero-downtime deploy verified (blue/green or rolling)</t>
  </si>
  <si>
    <t xml:space="preserve">/health endpoint + additive-schema rollback strategy (runbook); blue/green verify at live deploy</t>
  </si>
  <si>
    <t xml:space="preserve">ST-093</t>
  </si>
  <si>
    <t xml:space="preserve">Launch &amp; listing</t>
  </si>
  <si>
    <t xml:space="preserve">Marketplace listing copy A + B variants drafted and reviewed</t>
  </si>
  <si>
    <t xml:space="preserve">— (listing)</t>
  </si>
  <si>
    <t xml:space="preserve">docs/listing-copy.md A+B drafted (AI claim backed by AnthropicProvider); Senthil review pending</t>
  </si>
  <si>
    <t xml:space="preserve">ST-094</t>
  </si>
  <si>
    <t xml:space="preserve">5 screenshots + 2-min demo video meet platform asset specs</t>
  </si>
  <si>
    <t xml:space="preserve">Draft capture now possible from static/build/demo.html (verified rendering); in-product retake at LC-1 per spec</t>
  </si>
  <si>
    <t xml:space="preserve">ST-095</t>
  </si>
  <si>
    <t xml:space="preserve">Pricing page/plan matrix published with FAQ</t>
  </si>
  <si>
    <t xml:space="preserve">docs/pricing-faq.md matrix+FAQ drafted; publish at listing</t>
  </si>
  <si>
    <t xml:space="preserve">ST-096</t>
  </si>
  <si>
    <t xml:space="preserve">Security/trust page (data handling, subprocessors) live</t>
  </si>
  <si>
    <t xml:space="preserve">docs/trust-page.md drafted incl. subprocessors + dependency posture; publish at listing</t>
  </si>
  <si>
    <t xml:space="preserve">ST-097</t>
  </si>
  <si>
    <t xml:space="preserve">Submission dry-run against platform checklist by second reviewer</t>
  </si>
  <si>
    <t xml:space="preserve">docs/submission-dry-run.md completed by Claude (verdict: NOT READY until LC-1/B-17/assets); second-reviewer sign-off = Senthil</t>
  </si>
  <si>
    <t xml:space="preserve">ST-098</t>
  </si>
  <si>
    <t xml:space="preserve">Launch-day runbook: monitoring, rollback, comms tree</t>
  </si>
  <si>
    <t xml:space="preserve">docs/launch-runbook.md: monitoring thresholds, rollback (additive schema + feature kill switches), comms tree</t>
  </si>
  <si>
    <t xml:space="preserve">ST-099</t>
  </si>
  <si>
    <t xml:space="preserve">Post-launch listing SEO iteration 1 from search-term data</t>
  </si>
  <si>
    <t xml:space="preserve">First 10 design-partner reviews scheduled</t>
  </si>
  <si>
    <t xml:space="preserve">Execution-ready: outreach email + A1-A4 interview guide + demo script shipped (design-partner-kit.md); sending = Senthil</t>
  </si>
  <si>
    <t xml:space="preserve">SPRINT STATUS ROLLUP — live formulas over Traceability_Matrix</t>
  </si>
  <si>
    <t xml:space="preserve">Do not edit computed cells. 'Done' counts Done + Code-complete rows. Exit criteria from v008 Sprint_Board.</t>
  </si>
  <si>
    <t xml:space="preserve">Focus</t>
  </si>
  <si>
    <t xml:space="preserve">Stories</t>
  </si>
  <si>
    <t xml:space="preserve">Done points</t>
  </si>
  <si>
    <t xml:space="preserve">% points done</t>
  </si>
  <si>
    <t xml:space="preserve">RAG (manual)</t>
  </si>
  <si>
    <t xml:space="preserve">Exit criteria</t>
  </si>
  <si>
    <t xml:space="preserve">Foundation (2 wks)</t>
  </si>
  <si>
    <t xml:space="preserve">GREEN — 4/4 code stories done; live install pending (B-16)</t>
  </si>
  <si>
    <t xml:space="preserve">App installs cleanly in dev store/org; telemetry firing</t>
  </si>
  <si>
    <t xml:space="preserve">AI test-case generation pt 1</t>
  </si>
  <si>
    <t xml:space="preserve">GREEN — 6/6 done</t>
  </si>
  <si>
    <t xml:space="preserve">AI case-gen happy path demoable</t>
  </si>
  <si>
    <t xml:space="preserve">AI case-gen pt 2 + Run boards start</t>
  </si>
  <si>
    <t xml:space="preserve">GREEN — 10/11 done; ST-005 at LC-1</t>
  </si>
  <si>
    <t xml:space="preserve">AI case-gen complete with tests; Run boards skeleton</t>
  </si>
  <si>
    <t xml:space="preserve">GREEN — MVP loop passes E2E in CI</t>
  </si>
  <si>
    <t xml:space="preserve">MVP loop usable end-to-end internally</t>
  </si>
  <si>
    <t xml:space="preserve">Flaky-test detector + alpha hardening</t>
  </si>
  <si>
    <t xml:space="preserve">GREEN — code scope done; onboarding content backlog</t>
  </si>
  <si>
    <t xml:space="preserve">Internal alpha: team dogfoods daily</t>
  </si>
  <si>
    <t xml:space="preserve">Billing + Release readiness score</t>
  </si>
  <si>
    <t xml:space="preserve">GREEN — billing core + readiness done; Atlassian billing at listing</t>
  </si>
  <si>
    <t xml:space="preserve">Can charge a test customer; up/downgrade paths work</t>
  </si>
  <si>
    <t xml:space="preserve">Private beta (design partners)</t>
  </si>
  <si>
    <t xml:space="preserve">AMBER — code done; live partners gate beta exit</t>
  </si>
  <si>
    <t xml:space="preserve">3+ partners active weekly; NPS pulse &gt;30</t>
  </si>
  <si>
    <t xml:space="preserve">Beta iteration + Xray importer</t>
  </si>
  <si>
    <t xml:space="preserve">AMBER — 17/22 done-in-code; live infra + real Xray files pending</t>
  </si>
  <si>
    <t xml:space="preserve">Beta cohort WoW retention &gt;60%</t>
  </si>
  <si>
    <t xml:space="preserve">Marketplace review prep</t>
  </si>
  <si>
    <t xml:space="preserve">Review submission accepted into queue</t>
  </si>
  <si>
    <t xml:space="preserve">Review remediation + docs</t>
  </si>
  <si>
    <t xml:space="preserve">Marketplace approval obtained</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</si>
  <si>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</si>
  <si>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</si>
  <si>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</si>
  <si>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</si>
  <si>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</si>
  <si>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(S1-S12)</t>
  </si>
  <si>
    <t xml:space="preserve">RAID — seeded from v007 Risk_Register + build findings</t>
  </si>
  <si>
    <t xml:space="preserve">Type</t>
  </si>
  <si>
    <t xml:space="preserve">Raised</t>
  </si>
  <si>
    <t xml:space="preserve">Notes / Mitigation</t>
  </si>
  <si>
    <t xml:space="preserve">R-P1</t>
  </si>
  <si>
    <t xml:space="preserve">Risk</t>
  </si>
  <si>
    <t xml:space="preserve">Atlassian Forge program rate/policy changes mid-build (Medium/Medium)</t>
  </si>
  <si>
    <t xml:space="preserve">Open</t>
  </si>
  <si>
    <t xml:space="preserve">Track dev changelog; rate abstraction already in jiraClient backoff + pricing model.</t>
  </si>
  <si>
    <t xml:space="preserve">R-P2</t>
  </si>
  <si>
    <t xml:space="preserve">Xray/Zephyr respond with AI features (High/Medium)</t>
  </si>
  <si>
    <t xml:space="preserve">Speed + Forge-native cost advantage + importer-led switching (F5 shipped in-code).</t>
  </si>
  <si>
    <t xml:space="preserve">R-P3</t>
  </si>
  <si>
    <t xml:space="preserve">Cloud Fortified bar raises before listing (Medium/Medium)</t>
  </si>
  <si>
    <t xml:space="preserve">Gap assessment started in-code (scope map ST-064, data-flow ST-065, audit ST-067, residency config); formal assessment doc owed at LC-3.</t>
  </si>
  <si>
    <t xml:space="preserve">R-P4</t>
  </si>
  <si>
    <t xml:space="preserve">Constraint</t>
  </si>
  <si>
    <t xml:space="preserve">22:58</t>
  </si>
  <si>
    <t xml:space="preserve">Sandbox has no Forge CLI/hosted storage — persistence is in-memory behind typed Store; billing behind provider seam (D17)</t>
  </si>
  <si>
    <t xml:space="preserve">Closed-in-code</t>
  </si>
  <si>
    <t xml:space="preserve">08:31: ForgeStore adapter shipped+tested (hydrate/write-through/flush); manifest + deploy guide make the swap glue-only at forge deploy. Billing seam (B-17) remains the one open adapter.</t>
  </si>
  <si>
    <t xml:space="preserve">R-P5</t>
  </si>
  <si>
    <t xml:space="preserve">CI-webhook signing scheme is TestPulse-defined (own HMAC ts.body) — customer CI integrations must adopt it; no Atlassian-mandated scheme verified yet</t>
  </si>
  <si>
    <t xml:space="preserve">Closed (verified)</t>
  </si>
  <si>
    <t xml:space="preserve">15:27: Official Forge docs — webtrigger URLs are public, platform does NOT authenticate them, own-auth-in-handler is the documented pattern. Our HMAC-SHA256 + 5-min window + dedupe stands as designed; manifest carries urlFormat v2 + dynamic response.</t>
  </si>
  <si>
    <t xml:space="preserve">R-P6</t>
  </si>
  <si>
    <t xml:space="preserve">AI seam currently rule-based — listing copy must not overclaim "AI" until LLM provider wired</t>
  </si>
  <si>
    <t xml:space="preserve">Mitigated-in-code</t>
  </si>
  <si>
    <t xml:space="preserve">23:13: AnthropicProvider shipped behind seam (8 tests); rule engine = no-key fallback. Listing AI claim now code-backed; live verification with real key at deploy before copy final.</t>
  </si>
  <si>
    <t xml:space="preserve">Assumption</t>
  </si>
  <si>
    <t xml:space="preserve">D13 (interviews parked, 100% coverage) applies to TestPulse incl. S0 discovery</t>
  </si>
  <si>
    <t xml:space="preserve">Discharged</t>
  </si>
  <si>
    <t xml:space="preserve">S0 PRD rolled up in docs/prd.md with D13 assumptions explicitly flagged for design-partner validation (ST-100).</t>
  </si>
  <si>
    <t xml:space="preserve">A-P2</t>
  </si>
  <si>
    <t xml:space="preserve">D15 mode (parallel vs swap) pending — nine concurrent builds now exist</t>
  </si>
  <si>
    <t xml:space="preserve">Senthil to ratify; R1 serial rule formally intact until then.</t>
  </si>
  <si>
    <t xml:space="preserve">I</t>
  </si>
  <si>
    <t xml:space="preserve">F-TP01/F-TP02 class: published data claims were not implemented — found only by adversarial review, not by 100% coverage</t>
  </si>
  <si>
    <t xml:space="preserve">Registry + drift test now fail the build if a namespace goes unregistered; the same check is worth porting to the other 11 products</t>
  </si>
  <si>
    <t xml:space="preserve">D</t>
  </si>
  <si>
    <t xml:space="preserve">OBS-TP1 hydrate-all vs prefix-scoped hydration; OBS-TP2 breaker half-open limit (portfolio-wide); OBS-TP4 billing recovery/trial expiry if a direct channel opens</t>
  </si>
  <si>
    <t xml:space="preserve">Dispositions in workbook v015 Review_Findings column F</t>
  </si>
  <si>
    <t xml:space="preserve">L-P1: a 100%-covered codebase can be undeployable — nothing in the suite loads the file the platform loads. Second occurrence in the portfolio after VoiceBridge VER-V01.</t>
  </si>
  <si>
    <t xml:space="preserve">2026-09-13</t>
  </si>
  <si>
    <t xml:space="preserve">Entrypoint type-check + UI build are CI gates on TestPulse; porting the same two gates to the other 10 products is the open call</t>
  </si>
  <si>
    <t xml:space="preserve">Role model (admin = Jira ADMINISTER, installer = owner), AI generation on-at-launch vs owner toggle, Settings&gt;CI screen before listing</t>
  </si>
  <si>
    <t xml:space="preserve">Dispositions in workbook v016 Review_Findings column F</t>
  </si>
  <si>
    <t xml:space="preserve">L-P4: shipped-but-unreachable scope — several modules had 100% branch coverage of behaviour no user could trigger. Third "passes its tests, cannot work" class in this product.</t>
  </si>
  <si>
    <t xml:space="preserve">Reachability audit done for TestPulse; running it across the other 10 products is the open call</t>
  </si>
  <si>
    <t xml:space="preserve">L-P5: published documents drift from the product — four false customer-facing claims after three passes of change. Mechanical claims are now pinned by tests.</t>
  </si>
  <si>
    <t xml:space="preserve">Adopt doc-pinning tests portfolio-wide; untestable claims (SLA, pen-test) need a named owner and date</t>
  </si>
  <si>
    <t xml:space="preserve">ST-075 health score is unfed — it needs weekly-active-users that nothing in the product tracks</t>
  </si>
  <si>
    <t xml:space="preserve">Cut the metric or fund a usage feed; recorded in the reachability allowlist meanwhile</t>
  </si>
  <si>
    <t xml:space="preserve">L-P7: reachable is not invoked — a capability can have a door that the platform was never told to open. Found after five passes and two gates had cleared the install path.</t>
  </si>
  <si>
    <t xml:space="preserve">Extend the review gates with a manifest-declaration check and run it portfolio-wide</t>
  </si>
  <si>
    <t xml:space="preserve">COMPLETION GATE (D7) — TestPulse is DONE only when every row is Done</t>
  </si>
  <si>
    <t xml:space="preserve">R2: code complete counts for nothing. Gate decision = Senthil (R5/D10). LC items = v008 Launch_Checklist.</t>
  </si>
  <si>
    <t xml:space="preserve">Gate item</t>
  </si>
  <si>
    <t xml:space="preserve">Source</t>
  </si>
  <si>
    <t xml:space="preserve">G-01</t>
  </si>
  <si>
    <t xml:space="preserve">App LISTED on Atlassian Marketplace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</si>
  <si>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</si>
  <si>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</si>
  <si>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</si>
  <si>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</si>
  <si>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</si>
  <si>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</si>
  <si>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</si>
  <si>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</si>
  <si>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</si>
  <si>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</si>
  <si>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next-rank build authorised; TestPulse enters R4 ops floor</t>
  </si>
  <si>
    <t xml:space="preserve">N4 / R1</t>
  </si>
  <si>
    <t xml:space="preserve">Marketplace vendor account + Forge app registered; installs in real Jira Cloud dev site</t>
  </si>
  <si>
    <t xml:space="preserve">v008 LC #1</t>
  </si>
  <si>
    <t xml:space="preserve">Open — TURNKEY+: manifest, storage adapter, resolver/webtrigger handlers, 4-line entrypoint, 30-min guide all shipped; only ► steps remain</t>
  </si>
  <si>
    <t xml:space="preserve">LC-2</t>
  </si>
  <si>
    <t xml:space="preserve">Forge app review pack: scopes, egress allowlist, storage use documented</t>
  </si>
  <si>
    <t xml:space="preserve">v008 LC #2</t>
  </si>
  <si>
    <t xml:space="preserve">Doc-complete — docs/review-pack.md submission-ready; attach at review</t>
  </si>
  <si>
    <t xml:space="preserve">LC-3</t>
  </si>
  <si>
    <t xml:space="preserve">Cloud Fortified gap assessment with target date</t>
  </si>
  <si>
    <t xml:space="preserve">v008 LC #3</t>
  </si>
  <si>
    <t xml:space="preserve">Doc-complete — formal gap assessment: no structural gaps; Fortified application at listing+60d</t>
  </si>
  <si>
    <t xml:space="preserve">LC-4</t>
  </si>
  <si>
    <t xml:space="preserve">Data residency: Forge hosted storage regions statement</t>
  </si>
  <si>
    <t xml:space="preserve">v008 LC #4</t>
  </si>
  <si>
    <t xml:space="preserve">Doc-complete — docs/residency-statement.md ready for trust tab</t>
  </si>
  <si>
    <t xml:space="preserve">LC-5</t>
  </si>
  <si>
    <t xml:space="preserve">Xray/Zephyr importer tested on 3 REAL export files</t>
  </si>
  <si>
    <t xml:space="preserve">v008 LC #5</t>
  </si>
  <si>
    <t xml:space="preserve">Open — importer now format-faithful (Xray Exporter multi-step, Zephyr Scale, RFC-4180); 3 REAL files = Senthil acceptance evidence</t>
  </si>
  <si>
    <t xml:space="preserve">LC-6</t>
  </si>
  <si>
    <t xml:space="preserve">Jira permission schemes respected (project vs global) verified</t>
  </si>
  <si>
    <t xml:space="preserve">v008 LC #6</t>
  </si>
  <si>
    <t xml:space="preserve">Done-in-code — scope-aware guard + audit; live verification at LC-1</t>
  </si>
  <si>
    <t xml:space="preserve">LC-7</t>
  </si>
  <si>
    <t xml:space="preserve">Marketplace listing: highlights, 5 screenshots, demo video</t>
  </si>
  <si>
    <t xml:space="preserve">v008 LC #7</t>
  </si>
  <si>
    <t xml:space="preserve">In progress — copy A/B + asset spec + video storyboard shipped; capture needs LC-1</t>
  </si>
  <si>
    <t xml:space="preserve">LC-8</t>
  </si>
  <si>
    <t xml:space="preserve">Pricing: per-user tiers via Atlassian billing configured + test-purchased</t>
  </si>
  <si>
    <t xml:space="preserve">v008 LC #8</t>
  </si>
  <si>
    <t xml:space="preserve">Open — Billing core done (ST-057..063); Atlassian wiring at B-17</t>
  </si>
  <si>
    <t xml:space="preserve">LC-9</t>
  </si>
  <si>
    <t xml:space="preserve">Performance: panel load &lt;1s p75 on 10k-issue projects</t>
  </si>
  <si>
    <t xml:space="preserve">v008 LC #9</t>
  </si>
  <si>
    <t xml:space="preserve">In progress — local p95 28ms @50 conns (load test executed); live Forge panel p75 measurement at LC-1</t>
  </si>
  <si>
    <t xml:space="preserve">LC-10</t>
  </si>
  <si>
    <t xml:space="preserve">Support docs + SLA statement on listing trust tab</t>
  </si>
  <si>
    <t xml:space="preserve">v008 LC #10</t>
  </si>
  <si>
    <t xml:space="preserve">In progress — trust page + SLA statement + 15 help articles shipped; publish at listing</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</si>
</sst>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2"/>
    <col collapsed="false" customWidth="true" hidden="false" outlineLevel="0" max="4" min="4" style="1" width="110"/>
    <col collapsed="false" customWidth="true" hidden="false" outlineLevel="0" max="5" min="5" style="1" width="10"/>
  </cols>
  <sheetData>
    <row r="1" customFormat="false" ht="115.5" hidden="false" customHeight="true" outlineLevel="0" collapsed="false">
      <c r="A1" s="2" t="s">
        <v>0</v>
      </c>
    </row>
    <row r="2" customFormat="false" ht="168.7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45.75" hidden="false" customHeight="true" outlineLevel="0" collapsed="false">
      <c r="A4" s="3" t="s">
        <v>7</v>
      </c>
      <c r="B4" s="3" t="s">
        <v>8</v>
      </c>
      <c r="C4" s="3" t="s">
        <v>9</v>
      </c>
      <c r="D4" s="3" t="s">
        <v>10</v>
      </c>
      <c r="E4" s="3" t="s">
        <v>11</v>
      </c>
    </row>
    <row r="5" customFormat="false" ht="23.25" hidden="false" customHeight="true" outlineLevel="0" collapsed="false">
      <c r="A5" s="3" t="s">
        <v>12</v>
      </c>
      <c r="B5" s="3" t="s">
        <v>13</v>
      </c>
      <c r="C5" s="3" t="s">
        <v>9</v>
      </c>
      <c r="D5" s="3" t="s">
        <v>14</v>
      </c>
      <c r="E5" s="3" t="s">
        <v>11</v>
      </c>
    </row>
    <row r="6" customFormat="false" ht="23.25" hidden="false" customHeight="true" outlineLevel="0" collapsed="false">
      <c r="A6" s="3" t="s">
        <v>15</v>
      </c>
      <c r="B6" s="3" t="s">
        <v>16</v>
      </c>
      <c r="C6" s="3" t="s">
        <v>9</v>
      </c>
      <c r="D6" s="3" t="s">
        <v>17</v>
      </c>
      <c r="E6" s="3" t="s">
        <v>11</v>
      </c>
    </row>
    <row r="7" customFormat="false" ht="15" hidden="false" customHeight="true" outlineLevel="0" collapsed="false">
      <c r="A7" s="3" t="s">
        <v>18</v>
      </c>
      <c r="B7" s="3" t="s">
        <v>19</v>
      </c>
      <c r="C7" s="3" t="s">
        <v>9</v>
      </c>
      <c r="D7" s="3" t="s">
        <v>20</v>
      </c>
      <c r="E7" s="3" t="s">
        <v>11</v>
      </c>
    </row>
    <row r="8" customFormat="false" ht="15" hidden="false" customHeight="true" outlineLevel="0" collapsed="false">
      <c r="A8" s="3" t="s">
        <v>21</v>
      </c>
      <c r="B8" s="3" t="s">
        <v>22</v>
      </c>
      <c r="C8" s="3" t="s">
        <v>9</v>
      </c>
      <c r="D8" s="3" t="s">
        <v>23</v>
      </c>
      <c r="E8" s="3" t="s">
        <v>11</v>
      </c>
    </row>
    <row r="9" customFormat="false" ht="15" hidden="false" customHeight="true" outlineLevel="0" collapsed="false">
      <c r="A9" s="3" t="s">
        <v>24</v>
      </c>
      <c r="B9" s="3" t="s">
        <v>25</v>
      </c>
      <c r="C9" s="3" t="s">
        <v>9</v>
      </c>
      <c r="D9" s="3" t="s">
        <v>26</v>
      </c>
      <c r="E9" s="3" t="s">
        <v>11</v>
      </c>
    </row>
    <row r="10" customFormat="false" ht="15" hidden="false" customHeight="true" outlineLevel="0" collapsed="false">
      <c r="A10" s="3" t="s">
        <v>27</v>
      </c>
      <c r="B10" s="3" t="s">
        <v>28</v>
      </c>
      <c r="C10" s="3" t="s">
        <v>9</v>
      </c>
      <c r="D10" s="3" t="s">
        <v>29</v>
      </c>
      <c r="E10" s="3" t="s">
        <v>11</v>
      </c>
    </row>
    <row r="11" customFormat="false" ht="15" hidden="false" customHeight="true" outlineLevel="0" collapsed="false">
      <c r="A11" s="3" t="s">
        <v>30</v>
      </c>
      <c r="B11" s="3" t="s">
        <v>31</v>
      </c>
      <c r="C11" s="3" t="s">
        <v>9</v>
      </c>
      <c r="D11" s="3" t="s">
        <v>32</v>
      </c>
      <c r="E11" s="3" t="s">
        <v>11</v>
      </c>
    </row>
    <row r="12" customFormat="false" ht="15" hidden="false" customHeight="true" outlineLevel="0" collapsed="false">
      <c r="A12" s="5" t="s">
        <v>33</v>
      </c>
      <c r="B12" s="5" t="s">
        <v>34</v>
      </c>
      <c r="C12" s="5" t="s">
        <v>9</v>
      </c>
      <c r="D12" s="3" t="s">
        <v>35</v>
      </c>
      <c r="E12" s="5" t="s">
        <v>11</v>
      </c>
    </row>
    <row r="13" customFormat="false" ht="15" hidden="false" customHeight="true" outlineLevel="0" collapsed="false">
      <c r="A13" s="5" t="s">
        <v>36</v>
      </c>
      <c r="B13" s="5" t="s">
        <v>37</v>
      </c>
      <c r="C13" s="5" t="s">
        <v>9</v>
      </c>
      <c r="D13" s="3" t="s">
        <v>38</v>
      </c>
      <c r="E13" s="5" t="s">
        <v>11</v>
      </c>
    </row>
    <row r="14" customFormat="false" ht="15" hidden="false" customHeight="true" outlineLevel="0" collapsed="false">
      <c r="A14" s="5" t="s">
        <v>39</v>
      </c>
      <c r="B14" s="5" t="s">
        <v>40</v>
      </c>
      <c r="C14" s="5" t="s">
        <v>9</v>
      </c>
      <c r="D14" s="3" t="s">
        <v>41</v>
      </c>
      <c r="E14" s="5" t="s">
        <v>11</v>
      </c>
    </row>
    <row r="15" customFormat="false" ht="15" hidden="false" customHeight="true" outlineLevel="0" collapsed="false">
      <c r="A15" s="5" t="s">
        <v>42</v>
      </c>
      <c r="B15" s="5" t="s">
        <v>43</v>
      </c>
      <c r="C15" s="5" t="s">
        <v>9</v>
      </c>
      <c r="D15" s="3" t="s">
        <v>44</v>
      </c>
      <c r="E15" s="5" t="s">
        <v>11</v>
      </c>
    </row>
    <row r="16" customFormat="false" ht="15" hidden="false" customHeight="true" outlineLevel="0" collapsed="false">
      <c r="A16" s="5" t="s">
        <v>45</v>
      </c>
      <c r="B16" s="5" t="s">
        <v>46</v>
      </c>
      <c r="C16" s="5" t="s">
        <v>9</v>
      </c>
      <c r="D16" s="3" t="s">
        <v>47</v>
      </c>
      <c r="E16" s="5" t="s">
        <v>11</v>
      </c>
    </row>
    <row r="17" customFormat="false" ht="15" hidden="false" customHeight="true" outlineLevel="0" collapsed="false">
      <c r="A17" s="5" t="s">
        <v>48</v>
      </c>
      <c r="B17" s="5" t="s">
        <v>49</v>
      </c>
      <c r="C17" s="5" t="s">
        <v>9</v>
      </c>
      <c r="D17" s="3" t="s">
        <v>50</v>
      </c>
      <c r="E17" s="5" t="s">
        <v>11</v>
      </c>
    </row>
    <row r="18" customFormat="false" ht="15" hidden="false" customHeight="true" outlineLevel="0" collapsed="false">
      <c r="A18" s="5" t="s">
        <v>51</v>
      </c>
      <c r="B18" s="5" t="s">
        <v>52</v>
      </c>
      <c r="C18" s="5" t="s">
        <v>9</v>
      </c>
      <c r="D18" s="3" t="s">
        <v>53</v>
      </c>
      <c r="E18" s="5" t="s">
        <v>11</v>
      </c>
    </row>
    <row r="19" customFormat="false" ht="15" hidden="false" customHeight="true" outlineLevel="0" collapsed="false">
      <c r="A19" s="5" t="s">
        <v>54</v>
      </c>
      <c r="B19" s="5" t="s">
        <v>55</v>
      </c>
      <c r="C19" s="5" t="s">
        <v>9</v>
      </c>
      <c r="D19" s="3" t="s">
        <v>56</v>
      </c>
      <c r="E19" s="5" t="s">
        <v>11</v>
      </c>
    </row>
    <row r="20" customFormat="false" ht="15" hidden="false" customHeight="true" outlineLevel="0" collapsed="false">
      <c r="A20" s="5" t="s">
        <v>57</v>
      </c>
      <c r="B20" s="5" t="s">
        <v>58</v>
      </c>
      <c r="C20" s="5" t="s">
        <v>9</v>
      </c>
      <c r="D20" s="3" t="s">
        <v>59</v>
      </c>
      <c r="E20" s="5" t="s">
        <v>11</v>
      </c>
    </row>
    <row r="21" customFormat="false" ht="15" hidden="false" customHeight="false" outlineLevel="0" collapsed="false">
      <c r="A21" s="6" t="s">
        <v>60</v>
      </c>
      <c r="B21" s="6" t="s">
        <v>61</v>
      </c>
      <c r="C21" s="6"/>
      <c r="D21" s="6"/>
      <c r="E21" s="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3" min="3" style="1" width="7"/>
    <col collapsed="false" customWidth="true" hidden="false" outlineLevel="0" max="4" min="4" style="1" width="95"/>
    <col collapsed="false" customWidth="true" hidden="false" outlineLevel="0" max="5" min="5" style="1" width="26"/>
    <col collapsed="false" customWidth="true" hidden="false" outlineLevel="0" max="6" min="6" style="1" width="32"/>
    <col collapsed="false" customWidth="true" hidden="false" outlineLevel="0" max="7" min="7" style="1" width="34"/>
    <col collapsed="false" customWidth="true" hidden="false" outlineLevel="0" max="8" min="8" style="1" width="18"/>
  </cols>
  <sheetData>
    <row r="1" customFormat="false" ht="153" hidden="false" customHeight="true" outlineLevel="0" collapsed="false">
      <c r="A1" s="2" t="s">
        <v>63</v>
      </c>
    </row>
    <row r="2" customFormat="false" ht="15" hidden="false" customHeight="true" outlineLevel="0" collapsed="false">
      <c r="A2" s="4" t="s">
        <v>64</v>
      </c>
      <c r="B2" s="4" t="s">
        <v>3</v>
      </c>
      <c r="C2" s="4" t="s">
        <v>65</v>
      </c>
      <c r="D2" s="4" t="s">
        <v>66</v>
      </c>
      <c r="E2" s="4" t="s">
        <v>67</v>
      </c>
      <c r="F2" s="4" t="s">
        <v>68</v>
      </c>
      <c r="G2" s="4" t="s">
        <v>69</v>
      </c>
      <c r="H2" s="4" t="s">
        <v>70</v>
      </c>
    </row>
    <row r="3" customFormat="false" ht="34.5" hidden="false" customHeight="true" outlineLevel="0" collapsed="false">
      <c r="A3" s="3" t="s">
        <v>71</v>
      </c>
      <c r="B3" s="3" t="s">
        <v>8</v>
      </c>
      <c r="C3" s="3" t="s">
        <v>72</v>
      </c>
      <c r="D3" s="3" t="s">
        <v>73</v>
      </c>
      <c r="E3" s="3" t="s">
        <v>74</v>
      </c>
      <c r="F3" s="3" t="s">
        <v>75</v>
      </c>
      <c r="G3" s="3" t="s">
        <v>76</v>
      </c>
      <c r="H3" s="3" t="s">
        <v>77</v>
      </c>
    </row>
    <row r="4" customFormat="false" ht="57" hidden="false" customHeight="true" outlineLevel="0" collapsed="false">
      <c r="A4" s="3" t="s">
        <v>78</v>
      </c>
      <c r="B4" s="3" t="s">
        <v>8</v>
      </c>
      <c r="C4" s="3" t="s">
        <v>79</v>
      </c>
      <c r="D4" s="3" t="s">
        <v>80</v>
      </c>
      <c r="E4" s="3" t="s">
        <v>81</v>
      </c>
      <c r="F4" s="3" t="s">
        <v>82</v>
      </c>
      <c r="G4" s="3" t="s">
        <v>83</v>
      </c>
      <c r="H4" s="3" t="s">
        <v>84</v>
      </c>
    </row>
    <row r="5" customFormat="false" ht="34.5" hidden="false" customHeight="true" outlineLevel="0" collapsed="false">
      <c r="A5" s="3" t="s">
        <v>85</v>
      </c>
      <c r="B5" s="3" t="s">
        <v>8</v>
      </c>
      <c r="C5" s="3" t="s">
        <v>84</v>
      </c>
      <c r="D5" s="3" t="s">
        <v>86</v>
      </c>
      <c r="E5" s="3" t="s">
        <v>87</v>
      </c>
      <c r="F5" s="3" t="s">
        <v>88</v>
      </c>
      <c r="G5" s="3" t="s">
        <v>76</v>
      </c>
      <c r="H5" s="3" t="s">
        <v>89</v>
      </c>
    </row>
    <row r="6" customFormat="false" ht="34.5" hidden="false" customHeight="true" outlineLevel="0" collapsed="false">
      <c r="A6" s="3" t="s">
        <v>90</v>
      </c>
      <c r="B6" s="3" t="s">
        <v>8</v>
      </c>
      <c r="C6" s="3" t="s">
        <v>89</v>
      </c>
      <c r="D6" s="3" t="s">
        <v>91</v>
      </c>
      <c r="E6" s="3" t="s">
        <v>92</v>
      </c>
      <c r="F6" s="3" t="s">
        <v>93</v>
      </c>
      <c r="G6" s="3" t="s">
        <v>94</v>
      </c>
      <c r="H6" s="3" t="s">
        <v>95</v>
      </c>
    </row>
    <row r="7" customFormat="false" ht="34.5" hidden="false" customHeight="true" outlineLevel="0" collapsed="false">
      <c r="A7" s="3" t="s">
        <v>96</v>
      </c>
      <c r="B7" s="3" t="s">
        <v>8</v>
      </c>
      <c r="C7" s="3" t="s">
        <v>95</v>
      </c>
      <c r="D7" s="3" t="s">
        <v>97</v>
      </c>
      <c r="E7" s="3" t="s">
        <v>98</v>
      </c>
      <c r="F7" s="3" t="s">
        <v>99</v>
      </c>
      <c r="G7" s="3" t="s">
        <v>76</v>
      </c>
      <c r="H7" s="3" t="s">
        <v>100</v>
      </c>
    </row>
    <row r="8" customFormat="false" ht="23.25" hidden="false" customHeight="true" outlineLevel="0" collapsed="false">
      <c r="A8" s="3" t="s">
        <v>101</v>
      </c>
      <c r="B8" s="3" t="s">
        <v>8</v>
      </c>
      <c r="C8" s="3" t="s">
        <v>100</v>
      </c>
      <c r="D8" s="3" t="s">
        <v>102</v>
      </c>
      <c r="E8" s="3" t="s">
        <v>103</v>
      </c>
      <c r="F8" s="3" t="s">
        <v>104</v>
      </c>
      <c r="G8" s="3" t="s">
        <v>105</v>
      </c>
      <c r="H8" s="3" t="s">
        <v>106</v>
      </c>
    </row>
    <row r="9" customFormat="false" ht="34.5" hidden="false" customHeight="true" outlineLevel="0" collapsed="false">
      <c r="A9" s="3" t="s">
        <v>107</v>
      </c>
      <c r="B9" s="3" t="s">
        <v>8</v>
      </c>
      <c r="C9" s="3" t="s">
        <v>106</v>
      </c>
      <c r="D9" s="3" t="s">
        <v>108</v>
      </c>
      <c r="E9" s="3" t="s">
        <v>109</v>
      </c>
      <c r="F9" s="3" t="s">
        <v>110</v>
      </c>
      <c r="G9" s="3" t="s">
        <v>111</v>
      </c>
      <c r="H9" s="3" t="s">
        <v>112</v>
      </c>
    </row>
    <row r="10" customFormat="false" ht="34.5" hidden="false" customHeight="true" outlineLevel="0" collapsed="false">
      <c r="A10" s="3" t="s">
        <v>113</v>
      </c>
      <c r="B10" s="3" t="s">
        <v>8</v>
      </c>
      <c r="C10" s="3" t="s">
        <v>112</v>
      </c>
      <c r="D10" s="3" t="s">
        <v>114</v>
      </c>
      <c r="E10" s="3" t="s">
        <v>115</v>
      </c>
      <c r="F10" s="3" t="s">
        <v>116</v>
      </c>
      <c r="G10" s="3" t="s">
        <v>117</v>
      </c>
      <c r="H10" s="3" t="s">
        <v>118</v>
      </c>
    </row>
    <row r="11" customFormat="false" ht="34.5" hidden="false" customHeight="true" outlineLevel="0" collapsed="false">
      <c r="A11" s="3" t="s">
        <v>119</v>
      </c>
      <c r="B11" s="3" t="s">
        <v>8</v>
      </c>
      <c r="C11" s="3" t="s">
        <v>118</v>
      </c>
      <c r="D11" s="3" t="s">
        <v>120</v>
      </c>
      <c r="E11" s="3" t="s">
        <v>121</v>
      </c>
      <c r="F11" s="3" t="s">
        <v>122</v>
      </c>
      <c r="G11" s="3" t="s">
        <v>123</v>
      </c>
      <c r="H11" s="3" t="s">
        <v>124</v>
      </c>
    </row>
    <row r="12" customFormat="false" ht="34.5" hidden="false" customHeight="true" outlineLevel="0" collapsed="false">
      <c r="A12" s="3" t="s">
        <v>125</v>
      </c>
      <c r="B12" s="3" t="s">
        <v>8</v>
      </c>
      <c r="C12" s="3" t="s">
        <v>72</v>
      </c>
      <c r="D12" s="3" t="s">
        <v>126</v>
      </c>
      <c r="E12" s="3" t="s">
        <v>127</v>
      </c>
      <c r="F12" s="3" t="s">
        <v>128</v>
      </c>
      <c r="G12" s="3" t="s">
        <v>76</v>
      </c>
      <c r="H12" s="3" t="s">
        <v>129</v>
      </c>
    </row>
    <row r="13" customFormat="false" ht="15" hidden="false" customHeight="true" outlineLevel="0" collapsed="false">
      <c r="A13" s="3" t="s">
        <v>130</v>
      </c>
      <c r="B13" s="3" t="s">
        <v>13</v>
      </c>
      <c r="C13" s="3" t="s">
        <v>72</v>
      </c>
      <c r="D13" s="3" t="s">
        <v>131</v>
      </c>
      <c r="E13" s="3" t="s">
        <v>127</v>
      </c>
      <c r="F13" s="3" t="s">
        <v>132</v>
      </c>
      <c r="G13" s="3" t="s">
        <v>76</v>
      </c>
      <c r="H13" s="3" t="s">
        <v>133</v>
      </c>
    </row>
    <row r="14" customFormat="false" ht="23.25" hidden="false" customHeight="true" outlineLevel="0" collapsed="false">
      <c r="A14" s="3" t="s">
        <v>134</v>
      </c>
      <c r="B14" s="3" t="s">
        <v>13</v>
      </c>
      <c r="C14" s="3" t="s">
        <v>135</v>
      </c>
      <c r="D14" s="3" t="s">
        <v>136</v>
      </c>
      <c r="E14" s="3" t="s">
        <v>137</v>
      </c>
      <c r="F14" s="3" t="s">
        <v>138</v>
      </c>
      <c r="G14" s="3" t="s">
        <v>139</v>
      </c>
      <c r="H14" s="3" t="s">
        <v>140</v>
      </c>
    </row>
    <row r="15" customFormat="false" ht="34.5" hidden="false" customHeight="true" outlineLevel="0" collapsed="false">
      <c r="A15" s="3" t="s">
        <v>141</v>
      </c>
      <c r="B15" s="3" t="s">
        <v>13</v>
      </c>
      <c r="C15" s="3" t="s">
        <v>142</v>
      </c>
      <c r="D15" s="3" t="s">
        <v>143</v>
      </c>
      <c r="E15" s="3" t="s">
        <v>144</v>
      </c>
      <c r="F15" s="3" t="s">
        <v>145</v>
      </c>
      <c r="G15" s="3" t="s">
        <v>146</v>
      </c>
      <c r="H15" s="3" t="s">
        <v>147</v>
      </c>
    </row>
    <row r="16" customFormat="false" ht="34.5" hidden="false" customHeight="true" outlineLevel="0" collapsed="false">
      <c r="A16" s="3" t="s">
        <v>148</v>
      </c>
      <c r="B16" s="3" t="s">
        <v>13</v>
      </c>
      <c r="C16" s="3" t="s">
        <v>149</v>
      </c>
      <c r="D16" s="3" t="s">
        <v>150</v>
      </c>
      <c r="E16" s="3" t="s">
        <v>151</v>
      </c>
      <c r="F16" s="3" t="s">
        <v>152</v>
      </c>
      <c r="G16" s="3" t="s">
        <v>153</v>
      </c>
      <c r="H16" s="3" t="s">
        <v>154</v>
      </c>
    </row>
    <row r="17" customFormat="false" ht="45.75" hidden="false" customHeight="true" outlineLevel="0" collapsed="false">
      <c r="A17" s="3" t="s">
        <v>155</v>
      </c>
      <c r="B17" s="3" t="s">
        <v>13</v>
      </c>
      <c r="C17" s="3" t="s">
        <v>72</v>
      </c>
      <c r="D17" s="3" t="s">
        <v>156</v>
      </c>
      <c r="E17" s="3" t="s">
        <v>157</v>
      </c>
      <c r="F17" s="3" t="s">
        <v>158</v>
      </c>
      <c r="G17" s="3" t="s">
        <v>159</v>
      </c>
      <c r="H17" s="3" t="s">
        <v>160</v>
      </c>
    </row>
    <row r="18" customFormat="false" ht="23.25" hidden="false" customHeight="true" outlineLevel="0" collapsed="false">
      <c r="A18" s="3" t="s">
        <v>161</v>
      </c>
      <c r="B18" s="3" t="s">
        <v>16</v>
      </c>
      <c r="C18" s="3" t="s">
        <v>72</v>
      </c>
      <c r="D18" s="3" t="s">
        <v>162</v>
      </c>
      <c r="E18" s="3" t="s">
        <v>72</v>
      </c>
      <c r="F18" s="3" t="s">
        <v>163</v>
      </c>
      <c r="G18" s="3" t="s">
        <v>76</v>
      </c>
      <c r="H18" s="3" t="s">
        <v>133</v>
      </c>
    </row>
    <row r="19" customFormat="false" ht="45.75" hidden="false" customHeight="true" outlineLevel="0" collapsed="false">
      <c r="A19" s="3" t="s">
        <v>164</v>
      </c>
      <c r="B19" s="3" t="s">
        <v>16</v>
      </c>
      <c r="C19" s="3" t="s">
        <v>135</v>
      </c>
      <c r="D19" s="3" t="s">
        <v>165</v>
      </c>
      <c r="E19" s="3" t="s">
        <v>166</v>
      </c>
      <c r="F19" s="3" t="s">
        <v>167</v>
      </c>
      <c r="G19" s="3" t="s">
        <v>168</v>
      </c>
      <c r="H19" s="3" t="s">
        <v>169</v>
      </c>
    </row>
    <row r="20" customFormat="false" ht="57" hidden="false" customHeight="true" outlineLevel="0" collapsed="false">
      <c r="A20" s="3" t="s">
        <v>170</v>
      </c>
      <c r="B20" s="3" t="s">
        <v>16</v>
      </c>
      <c r="C20" s="3" t="s">
        <v>135</v>
      </c>
      <c r="D20" s="3" t="s">
        <v>171</v>
      </c>
      <c r="E20" s="3" t="s">
        <v>172</v>
      </c>
      <c r="F20" s="3" t="s">
        <v>173</v>
      </c>
      <c r="G20" s="3" t="s">
        <v>76</v>
      </c>
      <c r="H20" s="3" t="s">
        <v>174</v>
      </c>
    </row>
    <row r="21" customFormat="false" ht="15" hidden="false" customHeight="true" outlineLevel="0" collapsed="false">
      <c r="A21" s="3" t="s">
        <v>175</v>
      </c>
      <c r="B21" s="3" t="s">
        <v>19</v>
      </c>
      <c r="C21" s="3" t="s">
        <v>72</v>
      </c>
      <c r="D21" s="3" t="s">
        <v>176</v>
      </c>
      <c r="E21" s="3" t="s">
        <v>72</v>
      </c>
      <c r="F21" s="3" t="s">
        <v>177</v>
      </c>
      <c r="G21" s="3" t="s">
        <v>76</v>
      </c>
      <c r="H21" s="3" t="s">
        <v>133</v>
      </c>
    </row>
    <row r="22" customFormat="false" ht="45.75" hidden="false" customHeight="true" outlineLevel="0" collapsed="false">
      <c r="A22" s="3" t="s">
        <v>178</v>
      </c>
      <c r="B22" s="3" t="s">
        <v>19</v>
      </c>
      <c r="C22" s="3" t="s">
        <v>135</v>
      </c>
      <c r="D22" s="3" t="s">
        <v>179</v>
      </c>
      <c r="E22" s="3" t="s">
        <v>180</v>
      </c>
      <c r="F22" s="3" t="s">
        <v>181</v>
      </c>
      <c r="G22" s="3" t="s">
        <v>182</v>
      </c>
      <c r="H22" s="3" t="s">
        <v>183</v>
      </c>
    </row>
    <row r="23" customFormat="false" ht="57" hidden="false" customHeight="true" outlineLevel="0" collapsed="false">
      <c r="A23" s="3" t="s">
        <v>184</v>
      </c>
      <c r="B23" s="3" t="s">
        <v>19</v>
      </c>
      <c r="C23" s="3" t="s">
        <v>142</v>
      </c>
      <c r="D23" s="3" t="s">
        <v>185</v>
      </c>
      <c r="E23" s="3" t="s">
        <v>186</v>
      </c>
      <c r="F23" s="3" t="s">
        <v>187</v>
      </c>
      <c r="G23" s="3" t="s">
        <v>188</v>
      </c>
      <c r="H23" s="3" t="s">
        <v>189</v>
      </c>
    </row>
    <row r="24" customFormat="false" ht="45.75" hidden="false" customHeight="true" outlineLevel="0" collapsed="false">
      <c r="A24" s="3" t="s">
        <v>190</v>
      </c>
      <c r="B24" s="3" t="s">
        <v>19</v>
      </c>
      <c r="C24" s="3" t="s">
        <v>72</v>
      </c>
      <c r="D24" s="3" t="s">
        <v>191</v>
      </c>
      <c r="E24" s="3" t="s">
        <v>127</v>
      </c>
      <c r="F24" s="3" t="s">
        <v>192</v>
      </c>
      <c r="G24" s="3" t="s">
        <v>76</v>
      </c>
      <c r="H24" s="3" t="s">
        <v>193</v>
      </c>
    </row>
    <row r="25" customFormat="false" ht="23.25" hidden="false" customHeight="true" outlineLevel="0" collapsed="false">
      <c r="A25" s="3" t="s">
        <v>194</v>
      </c>
      <c r="B25" s="3" t="s">
        <v>22</v>
      </c>
      <c r="C25" s="3" t="s">
        <v>72</v>
      </c>
      <c r="D25" s="3" t="s">
        <v>195</v>
      </c>
      <c r="E25" s="3" t="s">
        <v>196</v>
      </c>
      <c r="F25" s="3" t="s">
        <v>197</v>
      </c>
      <c r="G25" s="3" t="s">
        <v>76</v>
      </c>
      <c r="H25" s="3" t="s">
        <v>133</v>
      </c>
    </row>
    <row r="26" customFormat="false" ht="45.75" hidden="false" customHeight="true" outlineLevel="0" collapsed="false">
      <c r="A26" s="3" t="s">
        <v>198</v>
      </c>
      <c r="B26" s="3" t="s">
        <v>22</v>
      </c>
      <c r="C26" s="3" t="s">
        <v>199</v>
      </c>
      <c r="D26" s="3" t="s">
        <v>200</v>
      </c>
      <c r="E26" s="3" t="s">
        <v>201</v>
      </c>
      <c r="F26" s="3" t="s">
        <v>202</v>
      </c>
      <c r="G26" s="3" t="s">
        <v>203</v>
      </c>
      <c r="H26" s="3" t="s">
        <v>204</v>
      </c>
    </row>
    <row r="27" customFormat="false" ht="45.75" hidden="false" customHeight="true" outlineLevel="0" collapsed="false">
      <c r="A27" s="3" t="s">
        <v>205</v>
      </c>
      <c r="B27" s="3" t="s">
        <v>22</v>
      </c>
      <c r="C27" s="3" t="s">
        <v>72</v>
      </c>
      <c r="D27" s="3" t="s">
        <v>206</v>
      </c>
      <c r="E27" s="3" t="s">
        <v>207</v>
      </c>
      <c r="F27" s="3" t="s">
        <v>208</v>
      </c>
      <c r="G27" s="3" t="s">
        <v>209</v>
      </c>
      <c r="H27" s="3" t="s">
        <v>193</v>
      </c>
    </row>
    <row r="28" customFormat="false" ht="23.25" hidden="false" customHeight="true" outlineLevel="0" collapsed="false">
      <c r="A28" s="3" t="s">
        <v>210</v>
      </c>
      <c r="B28" s="3" t="s">
        <v>25</v>
      </c>
      <c r="C28" s="3" t="s">
        <v>72</v>
      </c>
      <c r="D28" s="3" t="s">
        <v>211</v>
      </c>
      <c r="E28" s="3" t="s">
        <v>212</v>
      </c>
      <c r="F28" s="3" t="s">
        <v>213</v>
      </c>
      <c r="G28" s="3" t="s">
        <v>76</v>
      </c>
      <c r="H28" s="3" t="s">
        <v>214</v>
      </c>
    </row>
    <row r="29" customFormat="false" ht="79.5" hidden="false" customHeight="true" outlineLevel="0" collapsed="false">
      <c r="A29" s="3" t="s">
        <v>215</v>
      </c>
      <c r="B29" s="3" t="s">
        <v>25</v>
      </c>
      <c r="C29" s="3" t="s">
        <v>72</v>
      </c>
      <c r="D29" s="3" t="s">
        <v>216</v>
      </c>
      <c r="E29" s="3" t="s">
        <v>217</v>
      </c>
      <c r="F29" s="3" t="s">
        <v>218</v>
      </c>
      <c r="G29" s="3" t="s">
        <v>219</v>
      </c>
      <c r="H29" s="3" t="s">
        <v>220</v>
      </c>
    </row>
    <row r="30" customFormat="false" ht="57" hidden="false" customHeight="true" outlineLevel="0" collapsed="false">
      <c r="A30" s="3" t="s">
        <v>221</v>
      </c>
      <c r="B30" s="3" t="s">
        <v>25</v>
      </c>
      <c r="C30" s="3" t="s">
        <v>72</v>
      </c>
      <c r="D30" s="3" t="s">
        <v>222</v>
      </c>
      <c r="E30" s="3" t="s">
        <v>223</v>
      </c>
      <c r="F30" s="3" t="s">
        <v>224</v>
      </c>
      <c r="G30" s="3" t="s">
        <v>225</v>
      </c>
      <c r="H30" s="3" t="s">
        <v>193</v>
      </c>
    </row>
    <row r="31" customFormat="false" ht="15" hidden="false" customHeight="true" outlineLevel="0" collapsed="false">
      <c r="A31" s="3" t="s">
        <v>226</v>
      </c>
      <c r="B31" s="3" t="s">
        <v>28</v>
      </c>
      <c r="C31" s="3" t="s">
        <v>72</v>
      </c>
      <c r="D31" s="3" t="s">
        <v>227</v>
      </c>
      <c r="E31" s="3" t="s">
        <v>228</v>
      </c>
      <c r="F31" s="3" t="s">
        <v>229</v>
      </c>
      <c r="G31" s="3" t="s">
        <v>76</v>
      </c>
      <c r="H31" s="3" t="s">
        <v>214</v>
      </c>
    </row>
    <row r="32" customFormat="false" ht="68.25" hidden="false" customHeight="true" outlineLevel="0" collapsed="false">
      <c r="A32" s="3" t="s">
        <v>230</v>
      </c>
      <c r="B32" s="3" t="s">
        <v>28</v>
      </c>
      <c r="C32" s="3" t="s">
        <v>231</v>
      </c>
      <c r="D32" s="3" t="s">
        <v>232</v>
      </c>
      <c r="E32" s="3" t="s">
        <v>233</v>
      </c>
      <c r="F32" s="3" t="s">
        <v>234</v>
      </c>
      <c r="G32" s="3" t="s">
        <v>235</v>
      </c>
      <c r="H32" s="3" t="s">
        <v>236</v>
      </c>
    </row>
    <row r="33" customFormat="false" ht="57" hidden="false" customHeight="true" outlineLevel="0" collapsed="false">
      <c r="A33" s="3" t="s">
        <v>237</v>
      </c>
      <c r="B33" s="3" t="s">
        <v>28</v>
      </c>
      <c r="C33" s="3" t="s">
        <v>72</v>
      </c>
      <c r="D33" s="3" t="s">
        <v>238</v>
      </c>
      <c r="E33" s="3" t="s">
        <v>239</v>
      </c>
      <c r="F33" s="3" t="s">
        <v>240</v>
      </c>
      <c r="G33" s="3" t="s">
        <v>241</v>
      </c>
      <c r="H33" s="3" t="s">
        <v>242</v>
      </c>
    </row>
    <row r="34" customFormat="false" ht="45.75" hidden="false" customHeight="true" outlineLevel="0" collapsed="false">
      <c r="A34" s="3" t="s">
        <v>243</v>
      </c>
      <c r="B34" s="3" t="s">
        <v>28</v>
      </c>
      <c r="C34" s="3" t="s">
        <v>244</v>
      </c>
      <c r="D34" s="3" t="s">
        <v>245</v>
      </c>
      <c r="E34" s="3" t="s">
        <v>246</v>
      </c>
      <c r="F34" s="3" t="s">
        <v>247</v>
      </c>
      <c r="G34" s="3" t="s">
        <v>248</v>
      </c>
      <c r="H34" s="3" t="s">
        <v>193</v>
      </c>
    </row>
    <row r="35" customFormat="false" ht="34.5" hidden="false" customHeight="true" outlineLevel="0" collapsed="false">
      <c r="A35" s="5" t="s">
        <v>249</v>
      </c>
      <c r="B35" s="5" t="s">
        <v>31</v>
      </c>
      <c r="C35" s="5" t="s">
        <v>250</v>
      </c>
      <c r="D35" s="3" t="s">
        <v>251</v>
      </c>
      <c r="E35" s="5" t="s">
        <v>252</v>
      </c>
      <c r="F35" s="5" t="s">
        <v>253</v>
      </c>
      <c r="G35" s="5" t="s">
        <v>76</v>
      </c>
      <c r="H35" s="5" t="s">
        <v>254</v>
      </c>
    </row>
    <row r="36" customFormat="false" ht="79.5" hidden="false" customHeight="true" outlineLevel="0" collapsed="false">
      <c r="A36" s="5" t="s">
        <v>255</v>
      </c>
      <c r="B36" s="5" t="s">
        <v>31</v>
      </c>
      <c r="C36" s="5" t="s">
        <v>250</v>
      </c>
      <c r="D36" s="3" t="s">
        <v>256</v>
      </c>
      <c r="E36" s="5" t="s">
        <v>257</v>
      </c>
      <c r="F36" s="5" t="s">
        <v>258</v>
      </c>
      <c r="G36" s="5" t="s">
        <v>76</v>
      </c>
      <c r="H36" s="5" t="s">
        <v>259</v>
      </c>
    </row>
    <row r="37" customFormat="false" ht="79.5" hidden="false" customHeight="true" outlineLevel="0" collapsed="false">
      <c r="A37" s="5" t="s">
        <v>260</v>
      </c>
      <c r="B37" s="5" t="s">
        <v>31</v>
      </c>
      <c r="C37" s="5" t="s">
        <v>250</v>
      </c>
      <c r="D37" s="3" t="s">
        <v>261</v>
      </c>
      <c r="E37" s="5" t="s">
        <v>262</v>
      </c>
      <c r="F37" s="5" t="s">
        <v>263</v>
      </c>
      <c r="G37" s="5" t="s">
        <v>76</v>
      </c>
      <c r="H37" s="5" t="s">
        <v>264</v>
      </c>
    </row>
    <row r="38" customFormat="false" ht="102" hidden="false" customHeight="true" outlineLevel="0" collapsed="false">
      <c r="A38" s="5" t="s">
        <v>265</v>
      </c>
      <c r="B38" s="5" t="s">
        <v>31</v>
      </c>
      <c r="C38" s="5" t="s">
        <v>250</v>
      </c>
      <c r="D38" s="3" t="s">
        <v>266</v>
      </c>
      <c r="E38" s="5" t="s">
        <v>267</v>
      </c>
      <c r="F38" s="5" t="s">
        <v>268</v>
      </c>
      <c r="G38" s="5" t="s">
        <v>76</v>
      </c>
      <c r="H38" s="5" t="s">
        <v>269</v>
      </c>
    </row>
    <row r="39" customFormat="false" ht="79.5" hidden="false" customHeight="true" outlineLevel="0" collapsed="false">
      <c r="A39" s="5" t="s">
        <v>270</v>
      </c>
      <c r="B39" s="5" t="s">
        <v>31</v>
      </c>
      <c r="C39" s="5" t="s">
        <v>250</v>
      </c>
      <c r="D39" s="3" t="s">
        <v>271</v>
      </c>
      <c r="E39" s="5" t="s">
        <v>272</v>
      </c>
      <c r="F39" s="5" t="s">
        <v>273</v>
      </c>
      <c r="G39" s="5" t="s">
        <v>274</v>
      </c>
      <c r="H39" s="5" t="s">
        <v>275</v>
      </c>
    </row>
    <row r="40" customFormat="false" ht="45.75" hidden="false" customHeight="true" outlineLevel="0" collapsed="false">
      <c r="A40" s="5" t="s">
        <v>276</v>
      </c>
      <c r="B40" s="5" t="s">
        <v>34</v>
      </c>
      <c r="C40" s="5" t="s">
        <v>250</v>
      </c>
      <c r="D40" s="3" t="s">
        <v>277</v>
      </c>
      <c r="E40" s="5" t="s">
        <v>278</v>
      </c>
      <c r="F40" s="5" t="s">
        <v>279</v>
      </c>
      <c r="G40" s="5" t="s">
        <v>76</v>
      </c>
      <c r="H40" s="5" t="s">
        <v>280</v>
      </c>
    </row>
    <row r="41" customFormat="false" ht="79.5" hidden="false" customHeight="true" outlineLevel="0" collapsed="false">
      <c r="A41" s="5" t="s">
        <v>281</v>
      </c>
      <c r="B41" s="5" t="s">
        <v>34</v>
      </c>
      <c r="C41" s="5" t="s">
        <v>250</v>
      </c>
      <c r="D41" s="3" t="s">
        <v>282</v>
      </c>
      <c r="E41" s="5" t="s">
        <v>283</v>
      </c>
      <c r="F41" s="5" t="s">
        <v>284</v>
      </c>
      <c r="G41" s="5" t="s">
        <v>76</v>
      </c>
      <c r="H41" s="5" t="s">
        <v>285</v>
      </c>
    </row>
    <row r="42" customFormat="false" ht="79.5" hidden="false" customHeight="true" outlineLevel="0" collapsed="false">
      <c r="A42" s="5" t="s">
        <v>286</v>
      </c>
      <c r="B42" s="5" t="s">
        <v>34</v>
      </c>
      <c r="C42" s="5" t="s">
        <v>250</v>
      </c>
      <c r="D42" s="3" t="s">
        <v>287</v>
      </c>
      <c r="E42" s="5" t="s">
        <v>288</v>
      </c>
      <c r="F42" s="5" t="s">
        <v>289</v>
      </c>
      <c r="G42" s="5" t="s">
        <v>290</v>
      </c>
      <c r="H42" s="5" t="s">
        <v>291</v>
      </c>
    </row>
    <row r="43" customFormat="false" ht="79.5" hidden="false" customHeight="true" outlineLevel="0" collapsed="false">
      <c r="A43" s="5" t="s">
        <v>292</v>
      </c>
      <c r="B43" s="5" t="s">
        <v>34</v>
      </c>
      <c r="C43" s="5" t="s">
        <v>250</v>
      </c>
      <c r="D43" s="3" t="s">
        <v>293</v>
      </c>
      <c r="E43" s="5" t="s">
        <v>294</v>
      </c>
      <c r="F43" s="5" t="s">
        <v>295</v>
      </c>
      <c r="G43" s="5" t="s">
        <v>296</v>
      </c>
      <c r="H43" s="5" t="s">
        <v>297</v>
      </c>
    </row>
    <row r="44" customFormat="false" ht="90.75" hidden="false" customHeight="true" outlineLevel="0" collapsed="false">
      <c r="A44" s="5" t="s">
        <v>298</v>
      </c>
      <c r="B44" s="5" t="s">
        <v>34</v>
      </c>
      <c r="C44" s="5" t="s">
        <v>250</v>
      </c>
      <c r="D44" s="3" t="s">
        <v>299</v>
      </c>
      <c r="E44" s="5" t="s">
        <v>300</v>
      </c>
      <c r="F44" s="5" t="s">
        <v>301</v>
      </c>
      <c r="G44" s="5" t="s">
        <v>302</v>
      </c>
      <c r="H44" s="5" t="s">
        <v>303</v>
      </c>
    </row>
    <row r="45" customFormat="false" ht="45.75" hidden="false" customHeight="true" outlineLevel="0" collapsed="false">
      <c r="A45" s="5" t="s">
        <v>304</v>
      </c>
      <c r="B45" s="5" t="s">
        <v>37</v>
      </c>
      <c r="C45" s="5" t="s">
        <v>250</v>
      </c>
      <c r="D45" s="3" t="s">
        <v>305</v>
      </c>
      <c r="E45" s="5" t="s">
        <v>306</v>
      </c>
      <c r="F45" s="5" t="s">
        <v>307</v>
      </c>
      <c r="G45" s="5" t="s">
        <v>76</v>
      </c>
      <c r="H45" s="5" t="s">
        <v>308</v>
      </c>
    </row>
    <row r="46" customFormat="false" ht="68.25" hidden="false" customHeight="true" outlineLevel="0" collapsed="false">
      <c r="A46" s="5" t="s">
        <v>309</v>
      </c>
      <c r="B46" s="5" t="s">
        <v>37</v>
      </c>
      <c r="C46" s="5" t="s">
        <v>250</v>
      </c>
      <c r="D46" s="3" t="s">
        <v>310</v>
      </c>
      <c r="E46" s="5" t="s">
        <v>257</v>
      </c>
      <c r="F46" s="5" t="s">
        <v>311</v>
      </c>
      <c r="G46" s="5" t="s">
        <v>76</v>
      </c>
      <c r="H46" s="5" t="s">
        <v>312</v>
      </c>
    </row>
    <row r="47" customFormat="false" ht="79.5" hidden="false" customHeight="true" outlineLevel="0" collapsed="false">
      <c r="A47" s="5" t="s">
        <v>313</v>
      </c>
      <c r="B47" s="5" t="s">
        <v>37</v>
      </c>
      <c r="C47" s="5" t="s">
        <v>250</v>
      </c>
      <c r="D47" s="3" t="s">
        <v>314</v>
      </c>
      <c r="E47" s="5" t="s">
        <v>315</v>
      </c>
      <c r="F47" s="5" t="s">
        <v>316</v>
      </c>
      <c r="G47" s="5" t="s">
        <v>317</v>
      </c>
      <c r="H47" s="5" t="s">
        <v>318</v>
      </c>
    </row>
    <row r="48" customFormat="false" ht="68.25" hidden="false" customHeight="true" outlineLevel="0" collapsed="false">
      <c r="A48" s="5" t="s">
        <v>319</v>
      </c>
      <c r="B48" s="5" t="s">
        <v>37</v>
      </c>
      <c r="C48" s="5" t="s">
        <v>250</v>
      </c>
      <c r="D48" s="3" t="s">
        <v>320</v>
      </c>
      <c r="E48" s="5" t="s">
        <v>321</v>
      </c>
      <c r="F48" s="5" t="s">
        <v>322</v>
      </c>
      <c r="G48" s="5" t="s">
        <v>323</v>
      </c>
      <c r="H48" s="5" t="s">
        <v>303</v>
      </c>
    </row>
    <row r="49" customFormat="false" ht="57" hidden="false" customHeight="true" outlineLevel="0" collapsed="false">
      <c r="A49" s="5" t="s">
        <v>324</v>
      </c>
      <c r="B49" s="5" t="s">
        <v>37</v>
      </c>
      <c r="C49" s="5" t="s">
        <v>250</v>
      </c>
      <c r="D49" s="3" t="s">
        <v>325</v>
      </c>
      <c r="E49" s="5" t="s">
        <v>326</v>
      </c>
      <c r="F49" s="5" t="s">
        <v>327</v>
      </c>
      <c r="G49" s="5" t="s">
        <v>328</v>
      </c>
      <c r="H49" s="5" t="s">
        <v>329</v>
      </c>
    </row>
    <row r="50" customFormat="false" ht="57" hidden="false" customHeight="true" outlineLevel="0" collapsed="false">
      <c r="A50" s="5" t="s">
        <v>330</v>
      </c>
      <c r="B50" s="5" t="s">
        <v>40</v>
      </c>
      <c r="C50" s="5" t="s">
        <v>250</v>
      </c>
      <c r="D50" s="3" t="s">
        <v>331</v>
      </c>
      <c r="E50" s="5" t="s">
        <v>332</v>
      </c>
      <c r="F50" s="5" t="s">
        <v>333</v>
      </c>
      <c r="G50" s="5" t="s">
        <v>76</v>
      </c>
      <c r="H50" s="5" t="s">
        <v>334</v>
      </c>
    </row>
    <row r="51" customFormat="false" ht="68.25" hidden="false" customHeight="true" outlineLevel="0" collapsed="false">
      <c r="A51" s="5" t="s">
        <v>335</v>
      </c>
      <c r="B51" s="5" t="s">
        <v>40</v>
      </c>
      <c r="C51" s="5" t="s">
        <v>250</v>
      </c>
      <c r="D51" s="3" t="s">
        <v>336</v>
      </c>
      <c r="E51" s="5" t="s">
        <v>337</v>
      </c>
      <c r="F51" s="5" t="s">
        <v>338</v>
      </c>
      <c r="G51" s="5" t="s">
        <v>76</v>
      </c>
      <c r="H51" s="5" t="s">
        <v>339</v>
      </c>
    </row>
    <row r="52" customFormat="false" ht="68.25" hidden="false" customHeight="true" outlineLevel="0" collapsed="false">
      <c r="A52" s="5" t="s">
        <v>340</v>
      </c>
      <c r="B52" s="5" t="s">
        <v>40</v>
      </c>
      <c r="C52" s="5" t="s">
        <v>250</v>
      </c>
      <c r="D52" s="3" t="s">
        <v>341</v>
      </c>
      <c r="E52" s="5" t="s">
        <v>342</v>
      </c>
      <c r="F52" s="5" t="s">
        <v>343</v>
      </c>
      <c r="G52" s="5" t="s">
        <v>344</v>
      </c>
      <c r="H52" s="5" t="s">
        <v>345</v>
      </c>
    </row>
    <row r="53" customFormat="false" ht="79.5" hidden="false" customHeight="true" outlineLevel="0" collapsed="false">
      <c r="A53" s="5" t="s">
        <v>346</v>
      </c>
      <c r="B53" s="5" t="s">
        <v>40</v>
      </c>
      <c r="C53" s="5" t="s">
        <v>250</v>
      </c>
      <c r="D53" s="3" t="s">
        <v>347</v>
      </c>
      <c r="E53" s="5" t="s">
        <v>348</v>
      </c>
      <c r="F53" s="5" t="s">
        <v>349</v>
      </c>
      <c r="G53" s="5" t="s">
        <v>350</v>
      </c>
      <c r="H53" s="5" t="s">
        <v>351</v>
      </c>
    </row>
    <row r="54" customFormat="false" ht="90.75" hidden="false" customHeight="true" outlineLevel="0" collapsed="false">
      <c r="A54" s="5" t="s">
        <v>352</v>
      </c>
      <c r="B54" s="5" t="s">
        <v>40</v>
      </c>
      <c r="C54" s="5" t="s">
        <v>250</v>
      </c>
      <c r="D54" s="3" t="s">
        <v>353</v>
      </c>
      <c r="E54" s="5" t="s">
        <v>354</v>
      </c>
      <c r="F54" s="5" t="s">
        <v>355</v>
      </c>
      <c r="G54" s="5" t="s">
        <v>356</v>
      </c>
      <c r="H54" s="5" t="s">
        <v>329</v>
      </c>
    </row>
    <row r="55" customFormat="false" ht="57" hidden="false" customHeight="true" outlineLevel="0" collapsed="false">
      <c r="A55" s="5" t="s">
        <v>357</v>
      </c>
      <c r="B55" s="5" t="s">
        <v>43</v>
      </c>
      <c r="C55" s="5" t="s">
        <v>358</v>
      </c>
      <c r="D55" s="3" t="s">
        <v>359</v>
      </c>
      <c r="E55" s="5" t="s">
        <v>306</v>
      </c>
      <c r="F55" s="5" t="s">
        <v>360</v>
      </c>
      <c r="G55" s="5" t="s">
        <v>76</v>
      </c>
      <c r="H55" s="5" t="s">
        <v>361</v>
      </c>
    </row>
    <row r="56" customFormat="false" ht="79.5" hidden="false" customHeight="true" outlineLevel="0" collapsed="false">
      <c r="A56" s="5" t="s">
        <v>362</v>
      </c>
      <c r="B56" s="5" t="s">
        <v>43</v>
      </c>
      <c r="C56" s="5" t="s">
        <v>358</v>
      </c>
      <c r="D56" s="3" t="s">
        <v>363</v>
      </c>
      <c r="E56" s="5" t="s">
        <v>364</v>
      </c>
      <c r="F56" s="5" t="s">
        <v>365</v>
      </c>
      <c r="G56" s="5" t="s">
        <v>366</v>
      </c>
      <c r="H56" s="5" t="s">
        <v>367</v>
      </c>
    </row>
    <row r="57" customFormat="false" ht="79.5" hidden="false" customHeight="true" outlineLevel="0" collapsed="false">
      <c r="A57" s="5" t="s">
        <v>368</v>
      </c>
      <c r="B57" s="5" t="s">
        <v>43</v>
      </c>
      <c r="C57" s="5" t="s">
        <v>358</v>
      </c>
      <c r="D57" s="3" t="s">
        <v>369</v>
      </c>
      <c r="E57" s="5" t="s">
        <v>370</v>
      </c>
      <c r="F57" s="5" t="s">
        <v>371</v>
      </c>
      <c r="G57" s="5" t="s">
        <v>372</v>
      </c>
      <c r="H57" s="5" t="s">
        <v>373</v>
      </c>
    </row>
    <row r="58" customFormat="false" ht="68.25" hidden="false" customHeight="true" outlineLevel="0" collapsed="false">
      <c r="A58" s="5" t="s">
        <v>374</v>
      </c>
      <c r="B58" s="5" t="s">
        <v>46</v>
      </c>
      <c r="C58" s="5" t="s">
        <v>250</v>
      </c>
      <c r="D58" s="3" t="s">
        <v>375</v>
      </c>
      <c r="E58" s="5" t="s">
        <v>376</v>
      </c>
      <c r="F58" s="5" t="s">
        <v>377</v>
      </c>
      <c r="G58" s="5" t="s">
        <v>76</v>
      </c>
      <c r="H58" s="5" t="s">
        <v>378</v>
      </c>
    </row>
    <row r="59" customFormat="false" ht="79.5" hidden="false" customHeight="true" outlineLevel="0" collapsed="false">
      <c r="A59" s="5" t="s">
        <v>379</v>
      </c>
      <c r="B59" s="5" t="s">
        <v>46</v>
      </c>
      <c r="C59" s="5" t="s">
        <v>250</v>
      </c>
      <c r="D59" s="3" t="s">
        <v>380</v>
      </c>
      <c r="E59" s="5" t="s">
        <v>381</v>
      </c>
      <c r="F59" s="5" t="s">
        <v>382</v>
      </c>
      <c r="G59" s="5" t="s">
        <v>383</v>
      </c>
      <c r="H59" s="5" t="s">
        <v>384</v>
      </c>
    </row>
    <row r="60" customFormat="false" ht="90.75" hidden="false" customHeight="true" outlineLevel="0" collapsed="false">
      <c r="A60" s="5" t="s">
        <v>385</v>
      </c>
      <c r="B60" s="5" t="s">
        <v>46</v>
      </c>
      <c r="C60" s="5" t="s">
        <v>250</v>
      </c>
      <c r="D60" s="3" t="s">
        <v>386</v>
      </c>
      <c r="E60" s="5" t="s">
        <v>387</v>
      </c>
      <c r="F60" s="5" t="s">
        <v>388</v>
      </c>
      <c r="G60" s="5" t="s">
        <v>389</v>
      </c>
      <c r="H60" s="5" t="s">
        <v>303</v>
      </c>
    </row>
    <row r="61" customFormat="false" ht="102" hidden="false" customHeight="true" outlineLevel="0" collapsed="false">
      <c r="A61" s="5" t="s">
        <v>390</v>
      </c>
      <c r="B61" s="5" t="s">
        <v>49</v>
      </c>
      <c r="C61" s="5" t="s">
        <v>250</v>
      </c>
      <c r="D61" s="3" t="s">
        <v>391</v>
      </c>
      <c r="E61" s="5" t="s">
        <v>392</v>
      </c>
      <c r="F61" s="5" t="s">
        <v>393</v>
      </c>
      <c r="G61" s="5" t="s">
        <v>394</v>
      </c>
      <c r="H61" s="5" t="s">
        <v>395</v>
      </c>
    </row>
    <row r="62" customFormat="false" ht="79.5" hidden="false" customHeight="true" outlineLevel="0" collapsed="false">
      <c r="A62" s="5" t="s">
        <v>396</v>
      </c>
      <c r="B62" s="5" t="s">
        <v>49</v>
      </c>
      <c r="C62" s="5" t="s">
        <v>250</v>
      </c>
      <c r="D62" s="3" t="s">
        <v>397</v>
      </c>
      <c r="E62" s="5" t="s">
        <v>398</v>
      </c>
      <c r="F62" s="5" t="s">
        <v>399</v>
      </c>
      <c r="G62" s="5" t="s">
        <v>400</v>
      </c>
      <c r="H62" s="5" t="s">
        <v>401</v>
      </c>
    </row>
    <row r="63" customFormat="false" ht="79.5" hidden="false" customHeight="true" outlineLevel="0" collapsed="false">
      <c r="A63" s="5" t="s">
        <v>402</v>
      </c>
      <c r="B63" s="5" t="s">
        <v>49</v>
      </c>
      <c r="C63" s="5" t="s">
        <v>250</v>
      </c>
      <c r="D63" s="3" t="s">
        <v>403</v>
      </c>
      <c r="E63" s="5" t="s">
        <v>404</v>
      </c>
      <c r="F63" s="5" t="s">
        <v>405</v>
      </c>
      <c r="G63" s="5" t="s">
        <v>406</v>
      </c>
      <c r="H63" s="5" t="s">
        <v>303</v>
      </c>
    </row>
    <row r="64" customFormat="false" ht="68.25" hidden="false" customHeight="true" outlineLevel="0" collapsed="false">
      <c r="A64" s="5" t="s">
        <v>407</v>
      </c>
      <c r="B64" s="5" t="s">
        <v>52</v>
      </c>
      <c r="C64" s="5" t="s">
        <v>358</v>
      </c>
      <c r="D64" s="3" t="s">
        <v>408</v>
      </c>
      <c r="E64" s="5" t="s">
        <v>409</v>
      </c>
      <c r="F64" s="5" t="s">
        <v>410</v>
      </c>
      <c r="G64" s="5" t="s">
        <v>76</v>
      </c>
      <c r="H64" s="5" t="s">
        <v>411</v>
      </c>
    </row>
    <row r="65" customFormat="false" ht="45.75" hidden="false" customHeight="true" outlineLevel="0" collapsed="false">
      <c r="A65" s="5" t="s">
        <v>412</v>
      </c>
      <c r="B65" s="5" t="s">
        <v>52</v>
      </c>
      <c r="C65" s="5" t="s">
        <v>358</v>
      </c>
      <c r="D65" s="3" t="s">
        <v>413</v>
      </c>
      <c r="E65" s="5" t="s">
        <v>414</v>
      </c>
      <c r="F65" s="5" t="s">
        <v>415</v>
      </c>
      <c r="G65" s="5" t="s">
        <v>76</v>
      </c>
      <c r="H65" s="5" t="s">
        <v>416</v>
      </c>
    </row>
    <row r="66" customFormat="false" ht="68.25" hidden="false" customHeight="true" outlineLevel="0" collapsed="false">
      <c r="A66" s="5" t="s">
        <v>417</v>
      </c>
      <c r="B66" s="5" t="s">
        <v>52</v>
      </c>
      <c r="C66" s="5" t="s">
        <v>250</v>
      </c>
      <c r="D66" s="3" t="s">
        <v>418</v>
      </c>
      <c r="E66" s="5" t="s">
        <v>419</v>
      </c>
      <c r="F66" s="5" t="s">
        <v>420</v>
      </c>
      <c r="G66" s="5" t="s">
        <v>76</v>
      </c>
      <c r="H66" s="5" t="s">
        <v>373</v>
      </c>
    </row>
    <row r="67" customFormat="false" ht="68.25" hidden="false" customHeight="true" outlineLevel="0" collapsed="false">
      <c r="A67" s="5" t="s">
        <v>421</v>
      </c>
      <c r="B67" s="5" t="s">
        <v>55</v>
      </c>
      <c r="C67" s="5" t="s">
        <v>422</v>
      </c>
      <c r="D67" s="3" t="s">
        <v>423</v>
      </c>
      <c r="E67" s="5" t="s">
        <v>424</v>
      </c>
      <c r="F67" s="5" t="s">
        <v>425</v>
      </c>
      <c r="G67" s="5" t="s">
        <v>76</v>
      </c>
      <c r="H67" s="5" t="s">
        <v>426</v>
      </c>
    </row>
    <row r="68" customFormat="false" ht="79.5" hidden="false" customHeight="true" outlineLevel="0" collapsed="false">
      <c r="A68" s="5" t="s">
        <v>427</v>
      </c>
      <c r="B68" s="5" t="s">
        <v>55</v>
      </c>
      <c r="C68" s="5" t="s">
        <v>422</v>
      </c>
      <c r="D68" s="3" t="s">
        <v>428</v>
      </c>
      <c r="E68" s="5" t="s">
        <v>429</v>
      </c>
      <c r="F68" s="5" t="s">
        <v>430</v>
      </c>
      <c r="G68" s="5" t="s">
        <v>431</v>
      </c>
      <c r="H68" s="5" t="s">
        <v>303</v>
      </c>
    </row>
    <row r="69" customFormat="false" ht="57" hidden="false" customHeight="true" outlineLevel="0" collapsed="false">
      <c r="A69" s="5" t="s">
        <v>432</v>
      </c>
      <c r="B69" s="5" t="s">
        <v>55</v>
      </c>
      <c r="C69" s="5" t="s">
        <v>250</v>
      </c>
      <c r="D69" s="3" t="s">
        <v>433</v>
      </c>
      <c r="E69" s="5" t="s">
        <v>434</v>
      </c>
      <c r="F69" s="5" t="s">
        <v>435</v>
      </c>
      <c r="G69" s="5" t="s">
        <v>436</v>
      </c>
      <c r="H69" s="5" t="s">
        <v>303</v>
      </c>
    </row>
    <row r="70" customFormat="false" ht="79.85" hidden="false" customHeight="false" outlineLevel="0" collapsed="false">
      <c r="A70" s="6" t="s">
        <v>437</v>
      </c>
      <c r="B70" s="6" t="s">
        <v>58</v>
      </c>
      <c r="C70" s="6" t="s">
        <v>303</v>
      </c>
      <c r="D70" s="3" t="s">
        <v>438</v>
      </c>
      <c r="E70" s="6" t="s">
        <v>439</v>
      </c>
      <c r="F70" s="6" t="s">
        <v>440</v>
      </c>
      <c r="G70" s="6" t="s">
        <v>441</v>
      </c>
      <c r="H70" s="6" t="s">
        <v>442</v>
      </c>
    </row>
    <row r="71" customFormat="false" ht="91" hidden="false" customHeight="false" outlineLevel="0" collapsed="false">
      <c r="A71" s="6" t="s">
        <v>443</v>
      </c>
      <c r="B71" s="6" t="s">
        <v>58</v>
      </c>
      <c r="C71" s="6" t="s">
        <v>303</v>
      </c>
      <c r="D71" s="3" t="s">
        <v>444</v>
      </c>
      <c r="E71" s="6" t="s">
        <v>445</v>
      </c>
      <c r="F71" s="6" t="s">
        <v>446</v>
      </c>
      <c r="G71" s="6" t="s">
        <v>447</v>
      </c>
      <c r="H71" s="6" t="s">
        <v>303</v>
      </c>
    </row>
    <row r="72" customFormat="false" ht="57.45" hidden="false" customHeight="false" outlineLevel="0" collapsed="false">
      <c r="A72" s="6" t="s">
        <v>448</v>
      </c>
      <c r="B72" s="6" t="s">
        <v>58</v>
      </c>
      <c r="C72" s="6" t="s">
        <v>6</v>
      </c>
      <c r="D72" s="3" t="s">
        <v>449</v>
      </c>
      <c r="E72" s="6" t="s">
        <v>434</v>
      </c>
      <c r="F72" s="6" t="s">
        <v>450</v>
      </c>
      <c r="G72" s="6" t="s">
        <v>451</v>
      </c>
      <c r="H72" s="6"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95"/>
    <col collapsed="false" customWidth="true" hidden="false" outlineLevel="0" max="3" min="3" style="1" width="70"/>
    <col collapsed="false" customWidth="true" hidden="false" outlineLevel="0" max="4" min="4" style="1" width="26"/>
    <col collapsed="false" customWidth="true" hidden="false" outlineLevel="0" max="5" min="5" style="1" width="22"/>
  </cols>
  <sheetData>
    <row r="1" customFormat="false" ht="77.25" hidden="false" customHeight="true" outlineLevel="0" collapsed="false">
      <c r="A1" s="2" t="s">
        <v>452</v>
      </c>
    </row>
    <row r="2" customFormat="false" ht="15" hidden="false" customHeight="true" outlineLevel="0" collapsed="false">
      <c r="A2" s="4" t="s">
        <v>64</v>
      </c>
      <c r="B2" s="4" t="s">
        <v>453</v>
      </c>
      <c r="C2" s="4" t="s">
        <v>454</v>
      </c>
      <c r="D2" s="4" t="s">
        <v>455</v>
      </c>
      <c r="E2" s="4" t="s">
        <v>6</v>
      </c>
    </row>
    <row r="3" customFormat="false" ht="23.25" hidden="false" customHeight="true" outlineLevel="0" collapsed="false">
      <c r="A3" s="3" t="s">
        <v>127</v>
      </c>
      <c r="B3" s="3" t="s">
        <v>456</v>
      </c>
      <c r="C3" s="3" t="s">
        <v>457</v>
      </c>
      <c r="D3" s="3" t="s">
        <v>458</v>
      </c>
      <c r="E3" s="3" t="s">
        <v>459</v>
      </c>
    </row>
    <row r="4" customFormat="false" ht="23.25" hidden="false" customHeight="true" outlineLevel="0" collapsed="false">
      <c r="A4" s="3" t="s">
        <v>460</v>
      </c>
      <c r="B4" s="3" t="s">
        <v>461</v>
      </c>
      <c r="C4" s="3" t="s">
        <v>462</v>
      </c>
      <c r="D4" s="3" t="s">
        <v>463</v>
      </c>
      <c r="E4" s="3" t="s">
        <v>464</v>
      </c>
    </row>
    <row r="5" customFormat="false" ht="34.5" hidden="false" customHeight="true" outlineLevel="0" collapsed="false">
      <c r="A5" s="3" t="s">
        <v>465</v>
      </c>
      <c r="B5" s="3" t="s">
        <v>466</v>
      </c>
      <c r="C5" s="3" t="s">
        <v>467</v>
      </c>
      <c r="D5" s="3" t="s">
        <v>468</v>
      </c>
      <c r="E5" s="3" t="s">
        <v>469</v>
      </c>
    </row>
    <row r="6" customFormat="false" ht="90.75" hidden="false" customHeight="true" outlineLevel="0" collapsed="false">
      <c r="A6" s="3" t="s">
        <v>470</v>
      </c>
      <c r="B6" s="3" t="s">
        <v>28</v>
      </c>
      <c r="C6" s="3" t="s">
        <v>471</v>
      </c>
      <c r="D6" s="3" t="s">
        <v>472</v>
      </c>
      <c r="E6" s="3" t="s">
        <v>473</v>
      </c>
      <c r="F6" s="3" t="s">
        <v>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16"/>
    <col collapsed="false" customWidth="true" hidden="false" outlineLevel="0" max="4" min="4" style="1" width="7"/>
    <col collapsed="false" customWidth="true" hidden="false" outlineLevel="0" max="5" min="5" style="1" width="16"/>
    <col collapsed="false" customWidth="true" hidden="false" outlineLevel="0" max="6" min="6" style="1" width="14"/>
    <col collapsed="false" customWidth="true" hidden="false" outlineLevel="0" max="7" min="7" style="1" width="85"/>
  </cols>
  <sheetData>
    <row r="1" customFormat="false" ht="255" hidden="false" customHeight="true" outlineLevel="0" collapsed="false">
      <c r="A1" s="2" t="s">
        <v>475</v>
      </c>
    </row>
    <row r="2" customFormat="false" ht="135.75" hidden="false" customHeight="true" outlineLevel="0" collapsed="false">
      <c r="A2" s="3" t="s">
        <v>476</v>
      </c>
    </row>
    <row r="3" customFormat="false" ht="15" hidden="false" customHeight="true" outlineLevel="0" collapsed="false">
      <c r="A3" s="4" t="s">
        <v>64</v>
      </c>
      <c r="B3" s="4" t="s">
        <v>477</v>
      </c>
      <c r="C3" s="4" t="s">
        <v>478</v>
      </c>
      <c r="D3" s="4" t="s">
        <v>479</v>
      </c>
      <c r="E3" s="4" t="s">
        <v>480</v>
      </c>
      <c r="F3" s="4" t="s">
        <v>6</v>
      </c>
      <c r="G3" s="4" t="s">
        <v>481</v>
      </c>
    </row>
    <row r="4" customFormat="false" ht="15" hidden="false" customHeight="true" outlineLevel="0" collapsed="false">
      <c r="A4" s="3" t="s">
        <v>482</v>
      </c>
      <c r="B4" s="3" t="s">
        <v>483</v>
      </c>
      <c r="C4" s="3" t="s">
        <v>72</v>
      </c>
      <c r="D4" s="3" t="n">
        <v>2</v>
      </c>
      <c r="E4" s="3" t="s">
        <v>484</v>
      </c>
      <c r="F4" s="3" t="s">
        <v>485</v>
      </c>
      <c r="G4" s="3" t="s">
        <v>486</v>
      </c>
    </row>
    <row r="5" customFormat="false" ht="15" hidden="false" customHeight="true" outlineLevel="0" collapsed="false">
      <c r="A5" s="3" t="s">
        <v>487</v>
      </c>
      <c r="B5" s="3" t="s">
        <v>488</v>
      </c>
      <c r="C5" s="3" t="s">
        <v>72</v>
      </c>
      <c r="D5" s="3" t="n">
        <v>1</v>
      </c>
      <c r="E5" s="3" t="s">
        <v>484</v>
      </c>
      <c r="F5" s="3" t="s">
        <v>485</v>
      </c>
      <c r="G5" s="3" t="s">
        <v>489</v>
      </c>
    </row>
    <row r="6" customFormat="false" ht="15" hidden="false" customHeight="true" outlineLevel="0" collapsed="false">
      <c r="A6" s="3" t="s">
        <v>490</v>
      </c>
      <c r="B6" s="3" t="s">
        <v>491</v>
      </c>
      <c r="C6" s="3" t="s">
        <v>72</v>
      </c>
      <c r="D6" s="3" t="n">
        <v>2</v>
      </c>
      <c r="E6" s="3" t="s">
        <v>484</v>
      </c>
      <c r="F6" s="3" t="s">
        <v>485</v>
      </c>
      <c r="G6" s="3" t="s">
        <v>492</v>
      </c>
    </row>
    <row r="7" customFormat="false" ht="23.25" hidden="false" customHeight="true" outlineLevel="0" collapsed="false">
      <c r="A7" s="3" t="s">
        <v>493</v>
      </c>
      <c r="B7" s="3" t="s">
        <v>494</v>
      </c>
      <c r="C7" s="3" t="s">
        <v>495</v>
      </c>
      <c r="D7" s="3" t="n">
        <v>5</v>
      </c>
      <c r="E7" s="3" t="s">
        <v>484</v>
      </c>
      <c r="F7" s="3" t="s">
        <v>485</v>
      </c>
      <c r="G7" s="3" t="s">
        <v>496</v>
      </c>
    </row>
    <row r="8" customFormat="false" ht="15" hidden="false" customHeight="true" outlineLevel="0" collapsed="false">
      <c r="A8" s="3" t="s">
        <v>497</v>
      </c>
      <c r="B8" s="3" t="s">
        <v>498</v>
      </c>
      <c r="C8" s="3" t="s">
        <v>499</v>
      </c>
      <c r="D8" s="3" t="n">
        <v>2</v>
      </c>
      <c r="E8" s="3" t="s">
        <v>484</v>
      </c>
      <c r="F8" s="3" t="s">
        <v>485</v>
      </c>
      <c r="G8" s="3" t="s">
        <v>500</v>
      </c>
    </row>
    <row r="9" customFormat="false" ht="34.5" hidden="false" customHeight="true" outlineLevel="0" collapsed="false">
      <c r="A9" s="3" t="s">
        <v>501</v>
      </c>
      <c r="B9" s="3" t="s">
        <v>502</v>
      </c>
      <c r="C9" s="3" t="s">
        <v>503</v>
      </c>
      <c r="D9" s="3" t="n">
        <v>5</v>
      </c>
      <c r="E9" s="3" t="s">
        <v>484</v>
      </c>
      <c r="F9" s="3" t="s">
        <v>485</v>
      </c>
      <c r="G9" s="3" t="s">
        <v>504</v>
      </c>
    </row>
    <row r="10" customFormat="false" ht="15" hidden="false" customHeight="true" outlineLevel="0" collapsed="false">
      <c r="A10" s="3" t="s">
        <v>505</v>
      </c>
      <c r="B10" s="3" t="s">
        <v>506</v>
      </c>
      <c r="C10" s="3" t="s">
        <v>507</v>
      </c>
      <c r="D10" s="3" t="n">
        <v>42</v>
      </c>
      <c r="E10" s="3" t="s">
        <v>484</v>
      </c>
      <c r="F10" s="3" t="s">
        <v>485</v>
      </c>
      <c r="G10" s="3" t="s">
        <v>508</v>
      </c>
    </row>
    <row r="11" customFormat="false" ht="15" hidden="false" customHeight="true" outlineLevel="0" collapsed="false">
      <c r="A11" s="3" t="s">
        <v>509</v>
      </c>
      <c r="B11" s="3" t="s">
        <v>510</v>
      </c>
      <c r="C11" s="3" t="s">
        <v>511</v>
      </c>
      <c r="D11" s="3" t="n">
        <v>42</v>
      </c>
      <c r="E11" s="3" t="s">
        <v>484</v>
      </c>
      <c r="F11" s="3" t="s">
        <v>485</v>
      </c>
      <c r="G11" s="3" t="s">
        <v>512</v>
      </c>
    </row>
    <row r="12" customFormat="false" ht="15" hidden="false" customHeight="true" outlineLevel="0" collapsed="false">
      <c r="A12" s="3" t="s">
        <v>513</v>
      </c>
      <c r="B12" s="3" t="s">
        <v>514</v>
      </c>
      <c r="C12" s="3" t="s">
        <v>103</v>
      </c>
      <c r="D12" s="3" t="n">
        <v>50</v>
      </c>
      <c r="E12" s="3" t="s">
        <v>484</v>
      </c>
      <c r="F12" s="3" t="s">
        <v>485</v>
      </c>
      <c r="G12" s="3" t="s">
        <v>515</v>
      </c>
    </row>
    <row r="13" customFormat="false" ht="15" hidden="false" customHeight="true" outlineLevel="0" collapsed="false">
      <c r="A13" s="3" t="s">
        <v>516</v>
      </c>
      <c r="B13" s="3" t="s">
        <v>517</v>
      </c>
      <c r="C13" s="3" t="s">
        <v>518</v>
      </c>
      <c r="D13" s="3" t="n">
        <v>42</v>
      </c>
      <c r="E13" s="3" t="s">
        <v>484</v>
      </c>
      <c r="F13" s="3" t="s">
        <v>485</v>
      </c>
      <c r="G13" s="3" t="s">
        <v>519</v>
      </c>
    </row>
    <row r="14" customFormat="false" ht="15" hidden="false" customHeight="true" outlineLevel="0" collapsed="false">
      <c r="A14" s="3" t="s">
        <v>520</v>
      </c>
      <c r="B14" s="3" t="s">
        <v>521</v>
      </c>
      <c r="C14" s="3" t="s">
        <v>522</v>
      </c>
      <c r="D14" s="3" t="n">
        <v>42</v>
      </c>
      <c r="E14" s="3" t="s">
        <v>484</v>
      </c>
      <c r="F14" s="3" t="s">
        <v>485</v>
      </c>
      <c r="G14" s="3" t="s">
        <v>523</v>
      </c>
    </row>
    <row r="15" customFormat="false" ht="15" hidden="false" customHeight="true" outlineLevel="0" collapsed="false">
      <c r="A15" s="3" t="s">
        <v>524</v>
      </c>
      <c r="B15" s="3" t="s">
        <v>525</v>
      </c>
      <c r="C15" s="3" t="s">
        <v>526</v>
      </c>
      <c r="D15" s="3" t="n">
        <v>27</v>
      </c>
      <c r="E15" s="3" t="s">
        <v>484</v>
      </c>
      <c r="F15" s="3" t="s">
        <v>485</v>
      </c>
      <c r="G15" s="3" t="s">
        <v>527</v>
      </c>
    </row>
    <row r="16" customFormat="false" ht="23.25" hidden="false" customHeight="true" outlineLevel="0" collapsed="false">
      <c r="A16" s="3" t="s">
        <v>528</v>
      </c>
      <c r="B16" s="3" t="s">
        <v>529</v>
      </c>
      <c r="C16" s="3" t="s">
        <v>530</v>
      </c>
      <c r="D16" s="3" t="n">
        <v>16</v>
      </c>
      <c r="E16" s="3" t="s">
        <v>484</v>
      </c>
      <c r="F16" s="3" t="s">
        <v>485</v>
      </c>
      <c r="G16" s="3" t="s">
        <v>531</v>
      </c>
    </row>
    <row r="17" customFormat="false" ht="15" hidden="false" customHeight="true" outlineLevel="0" collapsed="false">
      <c r="A17" s="3" t="s">
        <v>532</v>
      </c>
      <c r="B17" s="3" t="s">
        <v>533</v>
      </c>
      <c r="C17" s="3" t="s">
        <v>534</v>
      </c>
      <c r="D17" s="3" t="n">
        <v>24</v>
      </c>
      <c r="E17" s="3" t="s">
        <v>484</v>
      </c>
      <c r="F17" s="3" t="s">
        <v>485</v>
      </c>
      <c r="G17" s="3" t="s">
        <v>535</v>
      </c>
    </row>
    <row r="18" customFormat="false" ht="15" hidden="false" customHeight="true" outlineLevel="0" collapsed="false">
      <c r="A18" s="3" t="s">
        <v>536</v>
      </c>
      <c r="B18" s="3" t="s">
        <v>537</v>
      </c>
      <c r="C18" s="3" t="s">
        <v>538</v>
      </c>
      <c r="D18" s="3" t="n">
        <v>5</v>
      </c>
      <c r="E18" s="3" t="s">
        <v>484</v>
      </c>
      <c r="F18" s="3" t="s">
        <v>485</v>
      </c>
      <c r="G18" s="3" t="s">
        <v>539</v>
      </c>
    </row>
    <row r="19" customFormat="false" ht="23.25" hidden="false" customHeight="true" outlineLevel="0" collapsed="false">
      <c r="A19" s="3" t="s">
        <v>196</v>
      </c>
      <c r="B19" s="3" t="s">
        <v>540</v>
      </c>
      <c r="C19" s="3" t="s">
        <v>541</v>
      </c>
      <c r="D19" s="3" t="n">
        <v>3</v>
      </c>
      <c r="E19" s="3" t="s">
        <v>542</v>
      </c>
      <c r="F19" s="7" t="s">
        <v>543</v>
      </c>
      <c r="G19" s="7" t="s">
        <v>544</v>
      </c>
    </row>
    <row r="20" customFormat="false" ht="15" hidden="false" customHeight="true" outlineLevel="0" collapsed="false">
      <c r="A20" s="3" t="s">
        <v>545</v>
      </c>
      <c r="B20" s="3" t="s">
        <v>546</v>
      </c>
      <c r="C20" s="3" t="s">
        <v>547</v>
      </c>
      <c r="D20" s="3" t="n">
        <v>3</v>
      </c>
      <c r="E20" s="3" t="s">
        <v>542</v>
      </c>
      <c r="F20" s="7" t="s">
        <v>543</v>
      </c>
      <c r="G20" s="7" t="s">
        <v>548</v>
      </c>
    </row>
    <row r="21" customFormat="false" ht="15" hidden="false" customHeight="true" outlineLevel="0" collapsed="false">
      <c r="A21" s="3" t="s">
        <v>549</v>
      </c>
      <c r="B21" s="3" t="s">
        <v>550</v>
      </c>
      <c r="C21" s="3" t="s">
        <v>551</v>
      </c>
      <c r="D21" s="3" t="n">
        <v>2</v>
      </c>
      <c r="E21" s="3" t="s">
        <v>542</v>
      </c>
      <c r="F21" s="7" t="s">
        <v>543</v>
      </c>
      <c r="G21" s="7" t="s">
        <v>552</v>
      </c>
    </row>
    <row r="22" customFormat="false" ht="23.25" hidden="false" customHeight="true" outlineLevel="0" collapsed="false">
      <c r="A22" s="3" t="s">
        <v>553</v>
      </c>
      <c r="B22" s="3" t="s">
        <v>554</v>
      </c>
      <c r="C22" s="3" t="s">
        <v>555</v>
      </c>
      <c r="D22" s="3" t="n">
        <v>16</v>
      </c>
      <c r="E22" s="3" t="s">
        <v>484</v>
      </c>
      <c r="F22" s="3" t="s">
        <v>485</v>
      </c>
      <c r="G22" s="3" t="s">
        <v>556</v>
      </c>
    </row>
    <row r="23" customFormat="false" ht="15" hidden="false" customHeight="true" outlineLevel="0" collapsed="false">
      <c r="A23" s="3" t="s">
        <v>557</v>
      </c>
      <c r="B23" s="3" t="s">
        <v>558</v>
      </c>
      <c r="C23" s="3" t="s">
        <v>559</v>
      </c>
      <c r="D23" s="3" t="n">
        <v>5</v>
      </c>
      <c r="E23" s="3" t="s">
        <v>484</v>
      </c>
      <c r="F23" s="3" t="s">
        <v>485</v>
      </c>
      <c r="G23" s="3" t="s">
        <v>560</v>
      </c>
    </row>
    <row r="24" customFormat="false" ht="15" hidden="false" customHeight="true" outlineLevel="0" collapsed="false">
      <c r="A24" s="3" t="s">
        <v>561</v>
      </c>
      <c r="B24" s="3" t="s">
        <v>562</v>
      </c>
      <c r="C24" s="3" t="s">
        <v>563</v>
      </c>
      <c r="D24" s="3" t="n">
        <v>3</v>
      </c>
      <c r="E24" s="3" t="s">
        <v>484</v>
      </c>
      <c r="F24" s="3" t="s">
        <v>485</v>
      </c>
      <c r="G24" s="3" t="s">
        <v>564</v>
      </c>
    </row>
    <row r="25" customFormat="false" ht="34.5" hidden="false" customHeight="true" outlineLevel="0" collapsed="false">
      <c r="A25" s="3" t="s">
        <v>565</v>
      </c>
      <c r="B25" s="3" t="s">
        <v>566</v>
      </c>
      <c r="C25" s="3" t="s">
        <v>567</v>
      </c>
      <c r="D25" s="3" t="n">
        <v>16</v>
      </c>
      <c r="E25" s="3" t="s">
        <v>484</v>
      </c>
      <c r="F25" s="3" t="s">
        <v>485</v>
      </c>
      <c r="G25" s="3" t="s">
        <v>568</v>
      </c>
    </row>
    <row r="26" customFormat="false" ht="15" hidden="false" customHeight="true" outlineLevel="0" collapsed="false">
      <c r="A26" s="3" t="s">
        <v>569</v>
      </c>
      <c r="B26" s="3" t="s">
        <v>570</v>
      </c>
      <c r="C26" s="3" t="s">
        <v>154</v>
      </c>
      <c r="D26" s="3" t="n">
        <v>3</v>
      </c>
      <c r="E26" s="3" t="s">
        <v>484</v>
      </c>
      <c r="F26" s="3" t="s">
        <v>485</v>
      </c>
      <c r="G26" s="3" t="s">
        <v>571</v>
      </c>
    </row>
    <row r="27" customFormat="false" ht="23.25" hidden="false" customHeight="true" outlineLevel="0" collapsed="false">
      <c r="A27" s="3" t="s">
        <v>572</v>
      </c>
      <c r="B27" s="3" t="s">
        <v>573</v>
      </c>
      <c r="C27" s="3" t="s">
        <v>574</v>
      </c>
      <c r="D27" s="3" t="n">
        <v>18</v>
      </c>
      <c r="E27" s="3" t="s">
        <v>484</v>
      </c>
      <c r="F27" s="3" t="s">
        <v>485</v>
      </c>
      <c r="G27" s="3" t="s">
        <v>575</v>
      </c>
    </row>
    <row r="28" customFormat="false" ht="15" hidden="false" customHeight="true" outlineLevel="0" collapsed="false">
      <c r="A28" s="3" t="s">
        <v>576</v>
      </c>
      <c r="B28" s="3" t="s">
        <v>577</v>
      </c>
      <c r="C28" s="3" t="s">
        <v>578</v>
      </c>
      <c r="D28" s="3" t="n">
        <v>5</v>
      </c>
      <c r="E28" s="3" t="s">
        <v>542</v>
      </c>
      <c r="F28" s="7" t="s">
        <v>543</v>
      </c>
      <c r="G28" s="7" t="s">
        <v>579</v>
      </c>
    </row>
    <row r="29" customFormat="false" ht="15" hidden="false" customHeight="true" outlineLevel="0" collapsed="false">
      <c r="A29" s="3" t="s">
        <v>580</v>
      </c>
      <c r="B29" s="3" t="s">
        <v>581</v>
      </c>
      <c r="C29" s="3" t="s">
        <v>582</v>
      </c>
      <c r="D29" s="3" t="n">
        <v>8</v>
      </c>
      <c r="E29" s="3" t="s">
        <v>458</v>
      </c>
      <c r="F29" s="7" t="s">
        <v>543</v>
      </c>
      <c r="G29" s="7" t="s">
        <v>583</v>
      </c>
    </row>
    <row r="30" customFormat="false" ht="15" hidden="false" customHeight="true" outlineLevel="0" collapsed="false">
      <c r="A30" s="3" t="s">
        <v>584</v>
      </c>
      <c r="B30" s="3" t="s">
        <v>585</v>
      </c>
      <c r="C30" s="3" t="s">
        <v>586</v>
      </c>
      <c r="D30" s="3" t="n">
        <v>3</v>
      </c>
      <c r="E30" s="3" t="s">
        <v>484</v>
      </c>
      <c r="F30" s="3" t="s">
        <v>485</v>
      </c>
      <c r="G30" s="3" t="s">
        <v>587</v>
      </c>
    </row>
    <row r="31" customFormat="false" ht="15" hidden="false" customHeight="true" outlineLevel="0" collapsed="false">
      <c r="A31" s="3" t="s">
        <v>588</v>
      </c>
      <c r="B31" s="3" t="s">
        <v>589</v>
      </c>
      <c r="C31" s="3" t="s">
        <v>590</v>
      </c>
      <c r="D31" s="3" t="n">
        <v>2</v>
      </c>
      <c r="E31" s="3" t="s">
        <v>484</v>
      </c>
      <c r="F31" s="3" t="s">
        <v>485</v>
      </c>
      <c r="G31" s="3" t="s">
        <v>591</v>
      </c>
    </row>
    <row r="32" customFormat="false" ht="23.25" hidden="false" customHeight="true" outlineLevel="0" collapsed="false">
      <c r="A32" s="3" t="s">
        <v>592</v>
      </c>
      <c r="B32" s="3" t="s">
        <v>593</v>
      </c>
      <c r="C32" s="3" t="s">
        <v>594</v>
      </c>
      <c r="D32" s="3" t="n">
        <v>3</v>
      </c>
      <c r="E32" s="3" t="s">
        <v>484</v>
      </c>
      <c r="F32" s="3" t="s">
        <v>485</v>
      </c>
      <c r="G32" s="3" t="s">
        <v>595</v>
      </c>
    </row>
    <row r="33" customFormat="false" ht="15" hidden="false" customHeight="true" outlineLevel="0" collapsed="false">
      <c r="A33" s="3" t="s">
        <v>596</v>
      </c>
      <c r="B33" s="3" t="s">
        <v>597</v>
      </c>
      <c r="C33" s="3" t="s">
        <v>598</v>
      </c>
      <c r="D33" s="3" t="n">
        <v>2</v>
      </c>
      <c r="E33" s="3" t="s">
        <v>484</v>
      </c>
      <c r="F33" s="3" t="s">
        <v>485</v>
      </c>
      <c r="G33" s="3" t="s">
        <v>599</v>
      </c>
    </row>
    <row r="34" customFormat="false" ht="15" hidden="false" customHeight="true" outlineLevel="0" collapsed="false">
      <c r="A34" s="3" t="s">
        <v>600</v>
      </c>
      <c r="B34" s="3" t="s">
        <v>601</v>
      </c>
      <c r="C34" s="3" t="s">
        <v>590</v>
      </c>
      <c r="D34" s="3" t="n">
        <v>3</v>
      </c>
      <c r="E34" s="3" t="s">
        <v>484</v>
      </c>
      <c r="F34" s="3" t="s">
        <v>485</v>
      </c>
      <c r="G34" s="3" t="s">
        <v>602</v>
      </c>
    </row>
    <row r="35" customFormat="false" ht="23.25" hidden="false" customHeight="true" outlineLevel="0" collapsed="false">
      <c r="A35" s="3" t="s">
        <v>603</v>
      </c>
      <c r="B35" s="3" t="s">
        <v>604</v>
      </c>
      <c r="C35" s="3" t="s">
        <v>605</v>
      </c>
      <c r="D35" s="3" t="n">
        <v>3</v>
      </c>
      <c r="E35" s="3" t="s">
        <v>484</v>
      </c>
      <c r="F35" s="3" t="s">
        <v>485</v>
      </c>
      <c r="G35" s="3" t="s">
        <v>606</v>
      </c>
    </row>
    <row r="36" customFormat="false" ht="34.5" hidden="false" customHeight="true" outlineLevel="0" collapsed="false">
      <c r="A36" s="3" t="s">
        <v>607</v>
      </c>
      <c r="B36" s="3" t="s">
        <v>608</v>
      </c>
      <c r="C36" s="3" t="s">
        <v>609</v>
      </c>
      <c r="D36" s="3" t="n">
        <v>8</v>
      </c>
      <c r="E36" s="3" t="s">
        <v>484</v>
      </c>
      <c r="F36" s="3" t="s">
        <v>485</v>
      </c>
      <c r="G36" s="3" t="s">
        <v>610</v>
      </c>
    </row>
    <row r="37" customFormat="false" ht="23.25" hidden="false" customHeight="true" outlineLevel="0" collapsed="false">
      <c r="A37" s="3" t="s">
        <v>611</v>
      </c>
      <c r="B37" s="3" t="s">
        <v>612</v>
      </c>
      <c r="C37" s="3" t="s">
        <v>613</v>
      </c>
      <c r="D37" s="3" t="n">
        <v>3</v>
      </c>
      <c r="E37" s="3" t="s">
        <v>484</v>
      </c>
      <c r="F37" s="3" t="s">
        <v>485</v>
      </c>
      <c r="G37" s="3" t="s">
        <v>614</v>
      </c>
    </row>
    <row r="38" customFormat="false" ht="15" hidden="false" customHeight="true" outlineLevel="0" collapsed="false">
      <c r="A38" s="3" t="s">
        <v>615</v>
      </c>
      <c r="B38" s="3" t="s">
        <v>616</v>
      </c>
      <c r="C38" s="3" t="s">
        <v>233</v>
      </c>
      <c r="D38" s="3" t="n">
        <v>3</v>
      </c>
      <c r="E38" s="3" t="s">
        <v>484</v>
      </c>
      <c r="F38" s="3" t="s">
        <v>485</v>
      </c>
      <c r="G38" s="3" t="s">
        <v>617</v>
      </c>
    </row>
    <row r="39" customFormat="false" ht="23.25" hidden="false" customHeight="true" outlineLevel="0" collapsed="false">
      <c r="A39" s="3" t="s">
        <v>618</v>
      </c>
      <c r="B39" s="3" t="s">
        <v>619</v>
      </c>
      <c r="C39" s="3" t="s">
        <v>545</v>
      </c>
      <c r="D39" s="3" t="n">
        <v>2</v>
      </c>
      <c r="E39" s="3" t="s">
        <v>484</v>
      </c>
      <c r="F39" s="3" t="s">
        <v>485</v>
      </c>
      <c r="G39" s="3" t="s">
        <v>620</v>
      </c>
    </row>
    <row r="40" customFormat="false" ht="15" hidden="false" customHeight="true" outlineLevel="0" collapsed="false">
      <c r="A40" s="3" t="s">
        <v>621</v>
      </c>
      <c r="B40" s="3" t="s">
        <v>622</v>
      </c>
      <c r="C40" s="3" t="s">
        <v>242</v>
      </c>
      <c r="D40" s="3" t="n">
        <v>2</v>
      </c>
      <c r="E40" s="3" t="s">
        <v>484</v>
      </c>
      <c r="F40" s="3" t="s">
        <v>485</v>
      </c>
      <c r="G40" s="3" t="s">
        <v>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68"/>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6"/>
    <col collapsed="false" customWidth="true" hidden="false" outlineLevel="0" max="9" min="9" style="1" width="24"/>
    <col collapsed="false" customWidth="true" hidden="false" outlineLevel="0" max="10" min="10" style="1" width="22"/>
    <col collapsed="false" customWidth="true" hidden="false" outlineLevel="0" max="11" min="11" style="1" width="60"/>
  </cols>
  <sheetData>
    <row r="1" customFormat="false" ht="255" hidden="false" customHeight="true" outlineLevel="0" collapsed="false">
      <c r="A1" s="2" t="s">
        <v>624</v>
      </c>
    </row>
    <row r="2" customFormat="false" ht="247.5" hidden="false" customHeight="true" outlineLevel="0" collapsed="false">
      <c r="A2" s="3" t="s">
        <v>625</v>
      </c>
    </row>
    <row r="3" customFormat="false" ht="15" hidden="false" customHeight="true" outlineLevel="0" collapsed="false">
      <c r="A3" s="4" t="s">
        <v>626</v>
      </c>
      <c r="B3" s="4" t="s">
        <v>627</v>
      </c>
      <c r="C3" s="4" t="s">
        <v>628</v>
      </c>
      <c r="D3" s="4" t="s">
        <v>629</v>
      </c>
      <c r="E3" s="4" t="s">
        <v>479</v>
      </c>
      <c r="F3" s="4" t="s">
        <v>630</v>
      </c>
      <c r="G3" s="4" t="s">
        <v>65</v>
      </c>
      <c r="H3" s="4" t="s">
        <v>631</v>
      </c>
      <c r="I3" s="4" t="s">
        <v>632</v>
      </c>
      <c r="J3" s="4" t="s">
        <v>6</v>
      </c>
      <c r="K3" s="4" t="s">
        <v>633</v>
      </c>
    </row>
    <row r="4" customFormat="false" ht="23.25" hidden="false" customHeight="true" outlineLevel="0" collapsed="false">
      <c r="A4" s="3" t="s">
        <v>634</v>
      </c>
      <c r="B4" s="3" t="s">
        <v>635</v>
      </c>
      <c r="C4" s="3" t="s">
        <v>636</v>
      </c>
      <c r="D4" s="3" t="s">
        <v>637</v>
      </c>
      <c r="E4" s="3" t="n">
        <v>5</v>
      </c>
      <c r="F4" s="3" t="s">
        <v>638</v>
      </c>
      <c r="G4" s="3" t="s">
        <v>84</v>
      </c>
      <c r="H4" s="3" t="s">
        <v>639</v>
      </c>
      <c r="I4" s="3" t="s">
        <v>640</v>
      </c>
      <c r="J4" s="7" t="s">
        <v>485</v>
      </c>
      <c r="K4" s="7" t="s">
        <v>641</v>
      </c>
    </row>
    <row r="5" customFormat="false" ht="23.25" hidden="false" customHeight="true" outlineLevel="0" collapsed="false">
      <c r="A5" s="3" t="s">
        <v>642</v>
      </c>
      <c r="B5" s="3" t="s">
        <v>635</v>
      </c>
      <c r="C5" s="3" t="s">
        <v>636</v>
      </c>
      <c r="D5" s="3" t="s">
        <v>643</v>
      </c>
      <c r="E5" s="3" t="n">
        <v>8</v>
      </c>
      <c r="F5" s="3" t="s">
        <v>638</v>
      </c>
      <c r="G5" s="3" t="s">
        <v>84</v>
      </c>
      <c r="H5" s="3" t="s">
        <v>639</v>
      </c>
      <c r="I5" s="3" t="s">
        <v>640</v>
      </c>
      <c r="J5" s="7" t="s">
        <v>485</v>
      </c>
      <c r="K5" s="7" t="s">
        <v>644</v>
      </c>
    </row>
    <row r="6" customFormat="false" ht="23.25" hidden="false" customHeight="true" outlineLevel="0" collapsed="false">
      <c r="A6" s="3" t="s">
        <v>645</v>
      </c>
      <c r="B6" s="3" t="s">
        <v>635</v>
      </c>
      <c r="C6" s="3" t="s">
        <v>636</v>
      </c>
      <c r="D6" s="3" t="s">
        <v>646</v>
      </c>
      <c r="E6" s="3" t="n">
        <v>5</v>
      </c>
      <c r="F6" s="3" t="s">
        <v>647</v>
      </c>
      <c r="G6" s="3" t="s">
        <v>84</v>
      </c>
      <c r="H6" s="3" t="s">
        <v>639</v>
      </c>
      <c r="I6" s="3" t="s">
        <v>648</v>
      </c>
      <c r="J6" s="7" t="s">
        <v>485</v>
      </c>
      <c r="K6" s="7" t="s">
        <v>649</v>
      </c>
    </row>
    <row r="7" customFormat="false" ht="23.25" hidden="false" customHeight="true" outlineLevel="0" collapsed="false">
      <c r="A7" s="3" t="s">
        <v>650</v>
      </c>
      <c r="B7" s="3" t="s">
        <v>635</v>
      </c>
      <c r="C7" s="3" t="s">
        <v>636</v>
      </c>
      <c r="D7" s="3" t="s">
        <v>651</v>
      </c>
      <c r="E7" s="3" t="n">
        <v>3</v>
      </c>
      <c r="F7" s="3" t="s">
        <v>638</v>
      </c>
      <c r="G7" s="3" t="s">
        <v>84</v>
      </c>
      <c r="H7" s="3" t="s">
        <v>639</v>
      </c>
      <c r="I7" s="3" t="s">
        <v>640</v>
      </c>
      <c r="J7" s="7" t="s">
        <v>485</v>
      </c>
      <c r="K7" s="7" t="s">
        <v>652</v>
      </c>
    </row>
    <row r="8" customFormat="false" ht="23.25" hidden="false" customHeight="true" outlineLevel="0" collapsed="false">
      <c r="A8" s="3" t="s">
        <v>653</v>
      </c>
      <c r="B8" s="3" t="s">
        <v>635</v>
      </c>
      <c r="C8" s="3" t="s">
        <v>636</v>
      </c>
      <c r="D8" s="3" t="s">
        <v>654</v>
      </c>
      <c r="E8" s="3" t="n">
        <v>5</v>
      </c>
      <c r="F8" s="3" t="s">
        <v>638</v>
      </c>
      <c r="G8" s="3" t="s">
        <v>89</v>
      </c>
      <c r="H8" s="3" t="s">
        <v>639</v>
      </c>
      <c r="I8" s="3" t="s">
        <v>640</v>
      </c>
      <c r="J8" s="7" t="s">
        <v>655</v>
      </c>
      <c r="K8" s="7" t="s">
        <v>656</v>
      </c>
    </row>
    <row r="9" customFormat="false" ht="23.25" hidden="false" customHeight="true" outlineLevel="0" collapsed="false">
      <c r="A9" s="3" t="s">
        <v>657</v>
      </c>
      <c r="B9" s="3" t="s">
        <v>635</v>
      </c>
      <c r="C9" s="3" t="s">
        <v>636</v>
      </c>
      <c r="D9" s="3" t="s">
        <v>658</v>
      </c>
      <c r="E9" s="3" t="n">
        <v>3</v>
      </c>
      <c r="F9" s="3" t="s">
        <v>647</v>
      </c>
      <c r="G9" s="3" t="s">
        <v>89</v>
      </c>
      <c r="H9" s="3" t="s">
        <v>639</v>
      </c>
      <c r="I9" s="3" t="s">
        <v>648</v>
      </c>
      <c r="J9" s="7" t="s">
        <v>485</v>
      </c>
      <c r="K9" s="7" t="s">
        <v>659</v>
      </c>
    </row>
    <row r="10" customFormat="false" ht="23.25" hidden="false" customHeight="true" outlineLevel="0" collapsed="false">
      <c r="A10" s="3" t="s">
        <v>660</v>
      </c>
      <c r="B10" s="3" t="s">
        <v>635</v>
      </c>
      <c r="C10" s="3" t="s">
        <v>636</v>
      </c>
      <c r="D10" s="3" t="s">
        <v>661</v>
      </c>
      <c r="E10" s="3" t="n">
        <v>3</v>
      </c>
      <c r="F10" s="3" t="s">
        <v>647</v>
      </c>
      <c r="G10" s="3" t="s">
        <v>89</v>
      </c>
      <c r="H10" s="3" t="s">
        <v>639</v>
      </c>
      <c r="I10" s="3" t="s">
        <v>648</v>
      </c>
      <c r="J10" s="7" t="s">
        <v>485</v>
      </c>
      <c r="K10" s="7" t="s">
        <v>662</v>
      </c>
    </row>
    <row r="11" customFormat="false" ht="23.25" hidden="false" customHeight="true" outlineLevel="0" collapsed="false">
      <c r="A11" s="3" t="s">
        <v>663</v>
      </c>
      <c r="B11" s="3" t="s">
        <v>635</v>
      </c>
      <c r="C11" s="3" t="s">
        <v>636</v>
      </c>
      <c r="D11" s="3" t="s">
        <v>664</v>
      </c>
      <c r="E11" s="3" t="n">
        <v>2</v>
      </c>
      <c r="F11" s="3" t="s">
        <v>665</v>
      </c>
      <c r="G11" s="3" t="s">
        <v>89</v>
      </c>
      <c r="H11" s="3" t="s">
        <v>639</v>
      </c>
      <c r="I11" s="3" t="s">
        <v>666</v>
      </c>
      <c r="J11" s="7" t="s">
        <v>485</v>
      </c>
      <c r="K11" s="7" t="s">
        <v>667</v>
      </c>
    </row>
    <row r="12" customFormat="false" ht="23.25" hidden="false" customHeight="true" outlineLevel="0" collapsed="false">
      <c r="A12" s="3" t="s">
        <v>668</v>
      </c>
      <c r="B12" s="3" t="s">
        <v>635</v>
      </c>
      <c r="C12" s="3" t="s">
        <v>636</v>
      </c>
      <c r="D12" s="3" t="s">
        <v>669</v>
      </c>
      <c r="E12" s="3" t="n">
        <v>5</v>
      </c>
      <c r="F12" s="3" t="s">
        <v>647</v>
      </c>
      <c r="G12" s="3" t="s">
        <v>89</v>
      </c>
      <c r="H12" s="3" t="s">
        <v>639</v>
      </c>
      <c r="I12" s="3" t="s">
        <v>648</v>
      </c>
      <c r="J12" s="7" t="s">
        <v>485</v>
      </c>
      <c r="K12" s="7" t="s">
        <v>670</v>
      </c>
    </row>
    <row r="13" customFormat="false" ht="23.25" hidden="false" customHeight="true" outlineLevel="0" collapsed="false">
      <c r="A13" s="3" t="s">
        <v>671</v>
      </c>
      <c r="B13" s="3" t="s">
        <v>635</v>
      </c>
      <c r="C13" s="3" t="s">
        <v>636</v>
      </c>
      <c r="D13" s="3" t="s">
        <v>672</v>
      </c>
      <c r="E13" s="3" t="n">
        <v>3</v>
      </c>
      <c r="F13" s="3" t="s">
        <v>665</v>
      </c>
      <c r="G13" s="3" t="s">
        <v>89</v>
      </c>
      <c r="H13" s="3" t="s">
        <v>639</v>
      </c>
      <c r="I13" s="3" t="s">
        <v>666</v>
      </c>
      <c r="J13" s="7" t="s">
        <v>485</v>
      </c>
      <c r="K13" s="7" t="s">
        <v>673</v>
      </c>
    </row>
    <row r="14" customFormat="false" ht="15" hidden="false" customHeight="true" outlineLevel="0" collapsed="false">
      <c r="A14" s="3" t="s">
        <v>674</v>
      </c>
      <c r="B14" s="3" t="s">
        <v>675</v>
      </c>
      <c r="C14" s="3" t="s">
        <v>676</v>
      </c>
      <c r="D14" s="3" t="s">
        <v>677</v>
      </c>
      <c r="E14" s="3" t="n">
        <v>5</v>
      </c>
      <c r="F14" s="3" t="s">
        <v>638</v>
      </c>
      <c r="G14" s="3" t="s">
        <v>89</v>
      </c>
      <c r="H14" s="3" t="s">
        <v>678</v>
      </c>
      <c r="I14" s="3" t="s">
        <v>640</v>
      </c>
      <c r="J14" s="7" t="s">
        <v>485</v>
      </c>
      <c r="K14" s="7" t="s">
        <v>679</v>
      </c>
    </row>
    <row r="15" customFormat="false" ht="15" hidden="false" customHeight="true" outlineLevel="0" collapsed="false">
      <c r="A15" s="3" t="s">
        <v>680</v>
      </c>
      <c r="B15" s="3" t="s">
        <v>675</v>
      </c>
      <c r="C15" s="3" t="s">
        <v>676</v>
      </c>
      <c r="D15" s="3" t="s">
        <v>681</v>
      </c>
      <c r="E15" s="3" t="n">
        <v>8</v>
      </c>
      <c r="F15" s="3" t="s">
        <v>638</v>
      </c>
      <c r="G15" s="3" t="s">
        <v>89</v>
      </c>
      <c r="H15" s="3" t="s">
        <v>678</v>
      </c>
      <c r="I15" s="3" t="s">
        <v>640</v>
      </c>
      <c r="J15" s="7" t="s">
        <v>485</v>
      </c>
      <c r="K15" s="7" t="s">
        <v>682</v>
      </c>
    </row>
    <row r="16" customFormat="false" ht="23.25" hidden="false" customHeight="true" outlineLevel="0" collapsed="false">
      <c r="A16" s="3" t="s">
        <v>683</v>
      </c>
      <c r="B16" s="3" t="s">
        <v>675</v>
      </c>
      <c r="C16" s="3" t="s">
        <v>676</v>
      </c>
      <c r="D16" s="3" t="s">
        <v>684</v>
      </c>
      <c r="E16" s="3" t="n">
        <v>5</v>
      </c>
      <c r="F16" s="3" t="s">
        <v>647</v>
      </c>
      <c r="G16" s="3" t="s">
        <v>89</v>
      </c>
      <c r="H16" s="3" t="s">
        <v>678</v>
      </c>
      <c r="I16" s="3" t="s">
        <v>648</v>
      </c>
      <c r="J16" s="7" t="s">
        <v>485</v>
      </c>
      <c r="K16" s="7" t="s">
        <v>685</v>
      </c>
    </row>
    <row r="17" customFormat="false" ht="23.25" hidden="false" customHeight="true" outlineLevel="0" collapsed="false">
      <c r="A17" s="3" t="s">
        <v>686</v>
      </c>
      <c r="B17" s="3" t="s">
        <v>675</v>
      </c>
      <c r="C17" s="3" t="s">
        <v>676</v>
      </c>
      <c r="D17" s="3" t="s">
        <v>687</v>
      </c>
      <c r="E17" s="3" t="n">
        <v>3</v>
      </c>
      <c r="F17" s="3" t="s">
        <v>638</v>
      </c>
      <c r="G17" s="3" t="s">
        <v>89</v>
      </c>
      <c r="H17" s="3" t="s">
        <v>678</v>
      </c>
      <c r="I17" s="3" t="s">
        <v>640</v>
      </c>
      <c r="J17" s="7" t="s">
        <v>485</v>
      </c>
      <c r="K17" s="7" t="s">
        <v>688</v>
      </c>
    </row>
    <row r="18" customFormat="false" ht="23.25" hidden="false" customHeight="true" outlineLevel="0" collapsed="false">
      <c r="A18" s="3" t="s">
        <v>689</v>
      </c>
      <c r="B18" s="3" t="s">
        <v>675</v>
      </c>
      <c r="C18" s="3" t="s">
        <v>676</v>
      </c>
      <c r="D18" s="3" t="s">
        <v>690</v>
      </c>
      <c r="E18" s="3" t="n">
        <v>5</v>
      </c>
      <c r="F18" s="3" t="s">
        <v>638</v>
      </c>
      <c r="G18" s="3" t="s">
        <v>95</v>
      </c>
      <c r="H18" s="3" t="s">
        <v>678</v>
      </c>
      <c r="I18" s="3" t="s">
        <v>640</v>
      </c>
      <c r="J18" s="7" t="s">
        <v>655</v>
      </c>
      <c r="K18" s="7" t="s">
        <v>691</v>
      </c>
    </row>
    <row r="19" customFormat="false" ht="15" hidden="false" customHeight="true" outlineLevel="0" collapsed="false">
      <c r="A19" s="3" t="s">
        <v>692</v>
      </c>
      <c r="B19" s="3" t="s">
        <v>675</v>
      </c>
      <c r="C19" s="3" t="s">
        <v>676</v>
      </c>
      <c r="D19" s="3" t="s">
        <v>693</v>
      </c>
      <c r="E19" s="3" t="n">
        <v>3</v>
      </c>
      <c r="F19" s="3" t="s">
        <v>647</v>
      </c>
      <c r="G19" s="3" t="s">
        <v>95</v>
      </c>
      <c r="H19" s="3" t="s">
        <v>678</v>
      </c>
      <c r="I19" s="3" t="s">
        <v>648</v>
      </c>
      <c r="J19" s="7" t="s">
        <v>485</v>
      </c>
      <c r="K19" s="7" t="s">
        <v>694</v>
      </c>
    </row>
    <row r="20" customFormat="false" ht="15" hidden="false" customHeight="true" outlineLevel="0" collapsed="false">
      <c r="A20" s="3" t="s">
        <v>695</v>
      </c>
      <c r="B20" s="3" t="s">
        <v>675</v>
      </c>
      <c r="C20" s="3" t="s">
        <v>676</v>
      </c>
      <c r="D20" s="3" t="s">
        <v>696</v>
      </c>
      <c r="E20" s="3" t="n">
        <v>3</v>
      </c>
      <c r="F20" s="3" t="s">
        <v>647</v>
      </c>
      <c r="G20" s="3" t="s">
        <v>95</v>
      </c>
      <c r="H20" s="3" t="s">
        <v>678</v>
      </c>
      <c r="I20" s="3" t="s">
        <v>648</v>
      </c>
      <c r="J20" s="7" t="s">
        <v>485</v>
      </c>
      <c r="K20" s="7" t="s">
        <v>697</v>
      </c>
    </row>
    <row r="21" customFormat="false" ht="15" hidden="false" customHeight="true" outlineLevel="0" collapsed="false">
      <c r="A21" s="3" t="s">
        <v>698</v>
      </c>
      <c r="B21" s="3" t="s">
        <v>675</v>
      </c>
      <c r="C21" s="3" t="s">
        <v>676</v>
      </c>
      <c r="D21" s="3" t="s">
        <v>699</v>
      </c>
      <c r="E21" s="3" t="n">
        <v>2</v>
      </c>
      <c r="F21" s="3" t="s">
        <v>665</v>
      </c>
      <c r="G21" s="3" t="s">
        <v>95</v>
      </c>
      <c r="H21" s="3" t="s">
        <v>678</v>
      </c>
      <c r="I21" s="3" t="s">
        <v>666</v>
      </c>
      <c r="J21" s="7" t="s">
        <v>485</v>
      </c>
      <c r="K21" s="7" t="s">
        <v>700</v>
      </c>
    </row>
    <row r="22" customFormat="false" ht="23.25" hidden="false" customHeight="true" outlineLevel="0" collapsed="false">
      <c r="A22" s="3" t="s">
        <v>701</v>
      </c>
      <c r="B22" s="3" t="s">
        <v>675</v>
      </c>
      <c r="C22" s="3" t="s">
        <v>676</v>
      </c>
      <c r="D22" s="3" t="s">
        <v>702</v>
      </c>
      <c r="E22" s="3" t="n">
        <v>5</v>
      </c>
      <c r="F22" s="3" t="s">
        <v>647</v>
      </c>
      <c r="G22" s="3" t="s">
        <v>95</v>
      </c>
      <c r="H22" s="3" t="s">
        <v>678</v>
      </c>
      <c r="I22" s="3" t="s">
        <v>648</v>
      </c>
      <c r="J22" s="7" t="s">
        <v>485</v>
      </c>
      <c r="K22" s="7" t="s">
        <v>703</v>
      </c>
    </row>
    <row r="23" customFormat="false" ht="23.25" hidden="false" customHeight="true" outlineLevel="0" collapsed="false">
      <c r="A23" s="3" t="s">
        <v>704</v>
      </c>
      <c r="B23" s="3" t="s">
        <v>675</v>
      </c>
      <c r="C23" s="3" t="s">
        <v>676</v>
      </c>
      <c r="D23" s="3" t="s">
        <v>705</v>
      </c>
      <c r="E23" s="3" t="n">
        <v>3</v>
      </c>
      <c r="F23" s="3" t="s">
        <v>665</v>
      </c>
      <c r="G23" s="3" t="s">
        <v>95</v>
      </c>
      <c r="H23" s="3" t="s">
        <v>678</v>
      </c>
      <c r="I23" s="3" t="s">
        <v>666</v>
      </c>
      <c r="J23" s="7" t="s">
        <v>485</v>
      </c>
      <c r="K23" s="7" t="s">
        <v>706</v>
      </c>
    </row>
    <row r="24" customFormat="false" ht="15" hidden="false" customHeight="true" outlineLevel="0" collapsed="false">
      <c r="A24" s="3" t="s">
        <v>707</v>
      </c>
      <c r="B24" s="3" t="s">
        <v>708</v>
      </c>
      <c r="C24" s="3" t="s">
        <v>709</v>
      </c>
      <c r="D24" s="3" t="s">
        <v>710</v>
      </c>
      <c r="E24" s="3" t="n">
        <v>5</v>
      </c>
      <c r="F24" s="3" t="s">
        <v>638</v>
      </c>
      <c r="G24" s="3" t="s">
        <v>100</v>
      </c>
      <c r="H24" s="3" t="s">
        <v>711</v>
      </c>
      <c r="I24" s="3" t="s">
        <v>640</v>
      </c>
      <c r="J24" s="7" t="s">
        <v>485</v>
      </c>
      <c r="K24" s="7" t="s">
        <v>712</v>
      </c>
    </row>
    <row r="25" customFormat="false" ht="15" hidden="false" customHeight="true" outlineLevel="0" collapsed="false">
      <c r="A25" s="3" t="s">
        <v>713</v>
      </c>
      <c r="B25" s="3" t="s">
        <v>708</v>
      </c>
      <c r="C25" s="3" t="s">
        <v>709</v>
      </c>
      <c r="D25" s="3" t="s">
        <v>714</v>
      </c>
      <c r="E25" s="3" t="n">
        <v>8</v>
      </c>
      <c r="F25" s="3" t="s">
        <v>638</v>
      </c>
      <c r="G25" s="3" t="s">
        <v>100</v>
      </c>
      <c r="H25" s="3" t="s">
        <v>711</v>
      </c>
      <c r="I25" s="3" t="s">
        <v>640</v>
      </c>
      <c r="J25" s="7" t="s">
        <v>485</v>
      </c>
      <c r="K25" s="7" t="s">
        <v>715</v>
      </c>
    </row>
    <row r="26" customFormat="false" ht="23.25" hidden="false" customHeight="true" outlineLevel="0" collapsed="false">
      <c r="A26" s="3" t="s">
        <v>716</v>
      </c>
      <c r="B26" s="3" t="s">
        <v>708</v>
      </c>
      <c r="C26" s="3" t="s">
        <v>709</v>
      </c>
      <c r="D26" s="3" t="s">
        <v>717</v>
      </c>
      <c r="E26" s="3" t="n">
        <v>5</v>
      </c>
      <c r="F26" s="3" t="s">
        <v>647</v>
      </c>
      <c r="G26" s="3" t="s">
        <v>100</v>
      </c>
      <c r="H26" s="3" t="s">
        <v>711</v>
      </c>
      <c r="I26" s="3" t="s">
        <v>648</v>
      </c>
      <c r="J26" s="7" t="s">
        <v>485</v>
      </c>
      <c r="K26" s="7" t="s">
        <v>718</v>
      </c>
    </row>
    <row r="27" customFormat="false" ht="23.25" hidden="false" customHeight="true" outlineLevel="0" collapsed="false">
      <c r="A27" s="3" t="s">
        <v>719</v>
      </c>
      <c r="B27" s="3" t="s">
        <v>708</v>
      </c>
      <c r="C27" s="3" t="s">
        <v>709</v>
      </c>
      <c r="D27" s="3" t="s">
        <v>720</v>
      </c>
      <c r="E27" s="3" t="n">
        <v>3</v>
      </c>
      <c r="F27" s="3" t="s">
        <v>638</v>
      </c>
      <c r="G27" s="3" t="s">
        <v>100</v>
      </c>
      <c r="H27" s="3" t="s">
        <v>711</v>
      </c>
      <c r="I27" s="3" t="s">
        <v>640</v>
      </c>
      <c r="J27" s="7" t="s">
        <v>485</v>
      </c>
      <c r="K27" s="7" t="s">
        <v>721</v>
      </c>
    </row>
    <row r="28" customFormat="false" ht="23.25" hidden="false" customHeight="true" outlineLevel="0" collapsed="false">
      <c r="A28" s="3" t="s">
        <v>722</v>
      </c>
      <c r="B28" s="3" t="s">
        <v>708</v>
      </c>
      <c r="C28" s="3" t="s">
        <v>709</v>
      </c>
      <c r="D28" s="3" t="s">
        <v>723</v>
      </c>
      <c r="E28" s="3" t="n">
        <v>5</v>
      </c>
      <c r="F28" s="3" t="s">
        <v>638</v>
      </c>
      <c r="G28" s="3" t="s">
        <v>100</v>
      </c>
      <c r="H28" s="3" t="s">
        <v>711</v>
      </c>
      <c r="I28" s="3" t="s">
        <v>640</v>
      </c>
      <c r="J28" s="7" t="s">
        <v>655</v>
      </c>
      <c r="K28" s="7" t="s">
        <v>724</v>
      </c>
    </row>
    <row r="29" customFormat="false" ht="15" hidden="false" customHeight="true" outlineLevel="0" collapsed="false">
      <c r="A29" s="3" t="s">
        <v>725</v>
      </c>
      <c r="B29" s="3" t="s">
        <v>708</v>
      </c>
      <c r="C29" s="3" t="s">
        <v>709</v>
      </c>
      <c r="D29" s="3" t="s">
        <v>726</v>
      </c>
      <c r="E29" s="3" t="n">
        <v>3</v>
      </c>
      <c r="F29" s="3" t="s">
        <v>647</v>
      </c>
      <c r="G29" s="3" t="s">
        <v>100</v>
      </c>
      <c r="H29" s="3" t="s">
        <v>711</v>
      </c>
      <c r="I29" s="3" t="s">
        <v>648</v>
      </c>
      <c r="J29" s="7" t="s">
        <v>485</v>
      </c>
      <c r="K29" s="7" t="s">
        <v>727</v>
      </c>
    </row>
    <row r="30" customFormat="false" ht="15" hidden="false" customHeight="true" outlineLevel="0" collapsed="false">
      <c r="A30" s="3" t="s">
        <v>728</v>
      </c>
      <c r="B30" s="3" t="s">
        <v>708</v>
      </c>
      <c r="C30" s="3" t="s">
        <v>709</v>
      </c>
      <c r="D30" s="3" t="s">
        <v>729</v>
      </c>
      <c r="E30" s="3" t="n">
        <v>3</v>
      </c>
      <c r="F30" s="3" t="s">
        <v>647</v>
      </c>
      <c r="G30" s="3" t="s">
        <v>100</v>
      </c>
      <c r="H30" s="3" t="s">
        <v>711</v>
      </c>
      <c r="I30" s="3" t="s">
        <v>648</v>
      </c>
      <c r="J30" s="7" t="s">
        <v>485</v>
      </c>
      <c r="K30" s="7" t="s">
        <v>730</v>
      </c>
    </row>
    <row r="31" customFormat="false" ht="15" hidden="false" customHeight="true" outlineLevel="0" collapsed="false">
      <c r="A31" s="3" t="s">
        <v>731</v>
      </c>
      <c r="B31" s="3" t="s">
        <v>708</v>
      </c>
      <c r="C31" s="3" t="s">
        <v>709</v>
      </c>
      <c r="D31" s="3" t="s">
        <v>732</v>
      </c>
      <c r="E31" s="3" t="n">
        <v>2</v>
      </c>
      <c r="F31" s="3" t="s">
        <v>665</v>
      </c>
      <c r="G31" s="3" t="s">
        <v>100</v>
      </c>
      <c r="H31" s="3" t="s">
        <v>711</v>
      </c>
      <c r="I31" s="3" t="s">
        <v>666</v>
      </c>
      <c r="J31" s="7" t="s">
        <v>485</v>
      </c>
      <c r="K31" s="7" t="s">
        <v>700</v>
      </c>
    </row>
    <row r="32" customFormat="false" ht="23.25" hidden="false" customHeight="true" outlineLevel="0" collapsed="false">
      <c r="A32" s="3" t="s">
        <v>733</v>
      </c>
      <c r="B32" s="3" t="s">
        <v>708</v>
      </c>
      <c r="C32" s="3" t="s">
        <v>709</v>
      </c>
      <c r="D32" s="3" t="s">
        <v>734</v>
      </c>
      <c r="E32" s="3" t="n">
        <v>5</v>
      </c>
      <c r="F32" s="3" t="s">
        <v>647</v>
      </c>
      <c r="G32" s="3" t="s">
        <v>100</v>
      </c>
      <c r="H32" s="3" t="s">
        <v>711</v>
      </c>
      <c r="I32" s="3" t="s">
        <v>648</v>
      </c>
      <c r="J32" s="7" t="s">
        <v>485</v>
      </c>
      <c r="K32" s="7" t="s">
        <v>735</v>
      </c>
    </row>
    <row r="33" customFormat="false" ht="23.25" hidden="false" customHeight="true" outlineLevel="0" collapsed="false">
      <c r="A33" s="3" t="s">
        <v>736</v>
      </c>
      <c r="B33" s="3" t="s">
        <v>708</v>
      </c>
      <c r="C33" s="3" t="s">
        <v>709</v>
      </c>
      <c r="D33" s="3" t="s">
        <v>737</v>
      </c>
      <c r="E33" s="3" t="n">
        <v>3</v>
      </c>
      <c r="F33" s="3" t="s">
        <v>665</v>
      </c>
      <c r="G33" s="3" t="s">
        <v>100</v>
      </c>
      <c r="H33" s="3" t="s">
        <v>711</v>
      </c>
      <c r="I33" s="3" t="s">
        <v>666</v>
      </c>
      <c r="J33" s="7" t="s">
        <v>485</v>
      </c>
      <c r="K33" s="7" t="s">
        <v>738</v>
      </c>
    </row>
    <row r="34" customFormat="false" ht="23.25" hidden="false" customHeight="true" outlineLevel="0" collapsed="false">
      <c r="A34" s="3" t="s">
        <v>739</v>
      </c>
      <c r="B34" s="3" t="s">
        <v>740</v>
      </c>
      <c r="C34" s="3" t="s">
        <v>741</v>
      </c>
      <c r="D34" s="3" t="s">
        <v>742</v>
      </c>
      <c r="E34" s="3" t="n">
        <v>5</v>
      </c>
      <c r="F34" s="3" t="s">
        <v>638</v>
      </c>
      <c r="G34" s="3" t="s">
        <v>106</v>
      </c>
      <c r="H34" s="3" t="s">
        <v>743</v>
      </c>
      <c r="I34" s="3" t="s">
        <v>640</v>
      </c>
      <c r="J34" s="7" t="s">
        <v>485</v>
      </c>
      <c r="K34" s="7" t="s">
        <v>744</v>
      </c>
    </row>
    <row r="35" customFormat="false" ht="23.25" hidden="false" customHeight="true" outlineLevel="0" collapsed="false">
      <c r="A35" s="3" t="s">
        <v>745</v>
      </c>
      <c r="B35" s="3" t="s">
        <v>740</v>
      </c>
      <c r="C35" s="3" t="s">
        <v>741</v>
      </c>
      <c r="D35" s="3" t="s">
        <v>746</v>
      </c>
      <c r="E35" s="3" t="n">
        <v>8</v>
      </c>
      <c r="F35" s="3" t="s">
        <v>638</v>
      </c>
      <c r="G35" s="3" t="s">
        <v>106</v>
      </c>
      <c r="H35" s="3" t="s">
        <v>743</v>
      </c>
      <c r="I35" s="3" t="s">
        <v>640</v>
      </c>
      <c r="J35" s="7" t="s">
        <v>485</v>
      </c>
      <c r="K35" s="7" t="s">
        <v>747</v>
      </c>
    </row>
    <row r="36" customFormat="false" ht="23.25" hidden="false" customHeight="true" outlineLevel="0" collapsed="false">
      <c r="A36" s="3" t="s">
        <v>748</v>
      </c>
      <c r="B36" s="3" t="s">
        <v>740</v>
      </c>
      <c r="C36" s="3" t="s">
        <v>741</v>
      </c>
      <c r="D36" s="3" t="s">
        <v>749</v>
      </c>
      <c r="E36" s="3" t="n">
        <v>5</v>
      </c>
      <c r="F36" s="3" t="s">
        <v>647</v>
      </c>
      <c r="G36" s="3" t="s">
        <v>106</v>
      </c>
      <c r="H36" s="3" t="s">
        <v>743</v>
      </c>
      <c r="I36" s="3" t="s">
        <v>648</v>
      </c>
      <c r="J36" s="7" t="s">
        <v>485</v>
      </c>
      <c r="K36" s="7" t="s">
        <v>750</v>
      </c>
    </row>
    <row r="37" customFormat="false" ht="23.25" hidden="false" customHeight="true" outlineLevel="0" collapsed="false">
      <c r="A37" s="3" t="s">
        <v>751</v>
      </c>
      <c r="B37" s="3" t="s">
        <v>740</v>
      </c>
      <c r="C37" s="3" t="s">
        <v>741</v>
      </c>
      <c r="D37" s="3" t="s">
        <v>752</v>
      </c>
      <c r="E37" s="3" t="n">
        <v>3</v>
      </c>
      <c r="F37" s="3" t="s">
        <v>638</v>
      </c>
      <c r="G37" s="3" t="s">
        <v>106</v>
      </c>
      <c r="H37" s="3" t="s">
        <v>743</v>
      </c>
      <c r="I37" s="3" t="s">
        <v>640</v>
      </c>
      <c r="J37" s="7" t="s">
        <v>485</v>
      </c>
      <c r="K37" s="7" t="s">
        <v>753</v>
      </c>
    </row>
    <row r="38" customFormat="false" ht="23.25" hidden="false" customHeight="true" outlineLevel="0" collapsed="false">
      <c r="A38" s="3" t="s">
        <v>754</v>
      </c>
      <c r="B38" s="3" t="s">
        <v>740</v>
      </c>
      <c r="C38" s="3" t="s">
        <v>741</v>
      </c>
      <c r="D38" s="3" t="s">
        <v>755</v>
      </c>
      <c r="E38" s="3" t="n">
        <v>5</v>
      </c>
      <c r="F38" s="3" t="s">
        <v>638</v>
      </c>
      <c r="G38" s="3" t="s">
        <v>106</v>
      </c>
      <c r="H38" s="3" t="s">
        <v>743</v>
      </c>
      <c r="I38" s="3" t="s">
        <v>640</v>
      </c>
      <c r="J38" s="7" t="s">
        <v>655</v>
      </c>
      <c r="K38" s="7" t="s">
        <v>756</v>
      </c>
    </row>
    <row r="39" customFormat="false" ht="23.25" hidden="false" customHeight="true" outlineLevel="0" collapsed="false">
      <c r="A39" s="3" t="s">
        <v>757</v>
      </c>
      <c r="B39" s="3" t="s">
        <v>740</v>
      </c>
      <c r="C39" s="3" t="s">
        <v>741</v>
      </c>
      <c r="D39" s="3" t="s">
        <v>758</v>
      </c>
      <c r="E39" s="3" t="n">
        <v>3</v>
      </c>
      <c r="F39" s="3" t="s">
        <v>647</v>
      </c>
      <c r="G39" s="3" t="s">
        <v>106</v>
      </c>
      <c r="H39" s="3" t="s">
        <v>743</v>
      </c>
      <c r="I39" s="3" t="s">
        <v>648</v>
      </c>
      <c r="J39" s="7" t="s">
        <v>485</v>
      </c>
      <c r="K39" s="7" t="s">
        <v>759</v>
      </c>
    </row>
    <row r="40" customFormat="false" ht="15" hidden="false" customHeight="true" outlineLevel="0" collapsed="false">
      <c r="A40" s="3" t="s">
        <v>760</v>
      </c>
      <c r="B40" s="3" t="s">
        <v>740</v>
      </c>
      <c r="C40" s="3" t="s">
        <v>741</v>
      </c>
      <c r="D40" s="3" t="s">
        <v>761</v>
      </c>
      <c r="E40" s="3" t="n">
        <v>3</v>
      </c>
      <c r="F40" s="3" t="s">
        <v>647</v>
      </c>
      <c r="G40" s="3" t="s">
        <v>106</v>
      </c>
      <c r="H40" s="3" t="s">
        <v>743</v>
      </c>
      <c r="I40" s="3" t="s">
        <v>648</v>
      </c>
      <c r="J40" s="7" t="s">
        <v>485</v>
      </c>
      <c r="K40" s="7" t="s">
        <v>762</v>
      </c>
    </row>
    <row r="41" customFormat="false" ht="15" hidden="false" customHeight="true" outlineLevel="0" collapsed="false">
      <c r="A41" s="3" t="s">
        <v>763</v>
      </c>
      <c r="B41" s="3" t="s">
        <v>740</v>
      </c>
      <c r="C41" s="3" t="s">
        <v>741</v>
      </c>
      <c r="D41" s="3" t="s">
        <v>764</v>
      </c>
      <c r="E41" s="3" t="n">
        <v>2</v>
      </c>
      <c r="F41" s="3" t="s">
        <v>665</v>
      </c>
      <c r="G41" s="3" t="s">
        <v>106</v>
      </c>
      <c r="H41" s="3" t="s">
        <v>743</v>
      </c>
      <c r="I41" s="3" t="s">
        <v>666</v>
      </c>
      <c r="J41" s="7" t="s">
        <v>485</v>
      </c>
      <c r="K41" s="7" t="s">
        <v>765</v>
      </c>
    </row>
    <row r="42" customFormat="false" ht="23.25" hidden="false" customHeight="true" outlineLevel="0" collapsed="false">
      <c r="A42" s="3" t="s">
        <v>766</v>
      </c>
      <c r="B42" s="3" t="s">
        <v>740</v>
      </c>
      <c r="C42" s="3" t="s">
        <v>741</v>
      </c>
      <c r="D42" s="3" t="s">
        <v>767</v>
      </c>
      <c r="E42" s="3" t="n">
        <v>5</v>
      </c>
      <c r="F42" s="3" t="s">
        <v>647</v>
      </c>
      <c r="G42" s="3" t="s">
        <v>106</v>
      </c>
      <c r="H42" s="3" t="s">
        <v>743</v>
      </c>
      <c r="I42" s="3" t="s">
        <v>648</v>
      </c>
      <c r="J42" s="7" t="s">
        <v>485</v>
      </c>
      <c r="K42" s="7" t="s">
        <v>768</v>
      </c>
    </row>
    <row r="43" customFormat="false" ht="23.25" hidden="false" customHeight="true" outlineLevel="0" collapsed="false">
      <c r="A43" s="3" t="s">
        <v>769</v>
      </c>
      <c r="B43" s="3" t="s">
        <v>740</v>
      </c>
      <c r="C43" s="3" t="s">
        <v>741</v>
      </c>
      <c r="D43" s="3" t="s">
        <v>770</v>
      </c>
      <c r="E43" s="3" t="n">
        <v>3</v>
      </c>
      <c r="F43" s="3" t="s">
        <v>665</v>
      </c>
      <c r="G43" s="3" t="s">
        <v>106</v>
      </c>
      <c r="H43" s="3" t="s">
        <v>743</v>
      </c>
      <c r="I43" s="3" t="s">
        <v>666</v>
      </c>
      <c r="J43" s="7" t="s">
        <v>485</v>
      </c>
      <c r="K43" s="7" t="s">
        <v>771</v>
      </c>
    </row>
    <row r="44" customFormat="false" ht="23.25" hidden="false" customHeight="true" outlineLevel="0" collapsed="false">
      <c r="A44" s="3" t="s">
        <v>772</v>
      </c>
      <c r="B44" s="3" t="s">
        <v>773</v>
      </c>
      <c r="C44" s="3" t="s">
        <v>774</v>
      </c>
      <c r="D44" s="3" t="s">
        <v>775</v>
      </c>
      <c r="E44" s="3" t="n">
        <v>5</v>
      </c>
      <c r="F44" s="3" t="s">
        <v>638</v>
      </c>
      <c r="G44" s="3" t="s">
        <v>118</v>
      </c>
      <c r="H44" s="3" t="s">
        <v>639</v>
      </c>
      <c r="I44" s="3" t="s">
        <v>640</v>
      </c>
      <c r="J44" s="7" t="s">
        <v>485</v>
      </c>
      <c r="K44" s="7" t="s">
        <v>776</v>
      </c>
    </row>
    <row r="45" customFormat="false" ht="23.25" hidden="false" customHeight="true" outlineLevel="0" collapsed="false">
      <c r="A45" s="3" t="s">
        <v>777</v>
      </c>
      <c r="B45" s="3" t="s">
        <v>773</v>
      </c>
      <c r="C45" s="3" t="s">
        <v>774</v>
      </c>
      <c r="D45" s="3" t="s">
        <v>778</v>
      </c>
      <c r="E45" s="3" t="n">
        <v>8</v>
      </c>
      <c r="F45" s="3" t="s">
        <v>638</v>
      </c>
      <c r="G45" s="3" t="s">
        <v>118</v>
      </c>
      <c r="H45" s="3" t="s">
        <v>639</v>
      </c>
      <c r="I45" s="3" t="s">
        <v>640</v>
      </c>
      <c r="J45" s="7" t="s">
        <v>485</v>
      </c>
      <c r="K45" s="7" t="s">
        <v>779</v>
      </c>
    </row>
    <row r="46" customFormat="false" ht="23.25" hidden="false" customHeight="true" outlineLevel="0" collapsed="false">
      <c r="A46" s="3" t="s">
        <v>780</v>
      </c>
      <c r="B46" s="3" t="s">
        <v>773</v>
      </c>
      <c r="C46" s="3" t="s">
        <v>774</v>
      </c>
      <c r="D46" s="3" t="s">
        <v>781</v>
      </c>
      <c r="E46" s="3" t="n">
        <v>5</v>
      </c>
      <c r="F46" s="3" t="s">
        <v>647</v>
      </c>
      <c r="G46" s="3" t="s">
        <v>118</v>
      </c>
      <c r="H46" s="3" t="s">
        <v>639</v>
      </c>
      <c r="I46" s="3" t="s">
        <v>648</v>
      </c>
      <c r="J46" s="7" t="s">
        <v>485</v>
      </c>
      <c r="K46" s="7" t="s">
        <v>782</v>
      </c>
    </row>
    <row r="47" customFormat="false" ht="23.25" hidden="false" customHeight="true" outlineLevel="0" collapsed="false">
      <c r="A47" s="3" t="s">
        <v>783</v>
      </c>
      <c r="B47" s="3" t="s">
        <v>773</v>
      </c>
      <c r="C47" s="3" t="s">
        <v>774</v>
      </c>
      <c r="D47" s="3" t="s">
        <v>784</v>
      </c>
      <c r="E47" s="3" t="n">
        <v>3</v>
      </c>
      <c r="F47" s="3" t="s">
        <v>638</v>
      </c>
      <c r="G47" s="3" t="s">
        <v>118</v>
      </c>
      <c r="H47" s="3" t="s">
        <v>639</v>
      </c>
      <c r="I47" s="3" t="s">
        <v>640</v>
      </c>
      <c r="J47" s="7" t="s">
        <v>485</v>
      </c>
      <c r="K47" s="7" t="s">
        <v>785</v>
      </c>
    </row>
    <row r="48" customFormat="false" ht="23.25" hidden="false" customHeight="true" outlineLevel="0" collapsed="false">
      <c r="A48" s="3" t="s">
        <v>786</v>
      </c>
      <c r="B48" s="3" t="s">
        <v>773</v>
      </c>
      <c r="C48" s="3" t="s">
        <v>774</v>
      </c>
      <c r="D48" s="3" t="s">
        <v>787</v>
      </c>
      <c r="E48" s="3" t="n">
        <v>5</v>
      </c>
      <c r="F48" s="3" t="s">
        <v>638</v>
      </c>
      <c r="G48" s="3" t="s">
        <v>118</v>
      </c>
      <c r="H48" s="3" t="s">
        <v>639</v>
      </c>
      <c r="I48" s="3" t="s">
        <v>640</v>
      </c>
      <c r="J48" s="7" t="s">
        <v>655</v>
      </c>
      <c r="K48" s="7" t="s">
        <v>788</v>
      </c>
    </row>
    <row r="49" customFormat="false" ht="23.25" hidden="false" customHeight="true" outlineLevel="0" collapsed="false">
      <c r="A49" s="3" t="s">
        <v>789</v>
      </c>
      <c r="B49" s="3" t="s">
        <v>773</v>
      </c>
      <c r="C49" s="3" t="s">
        <v>774</v>
      </c>
      <c r="D49" s="3" t="s">
        <v>790</v>
      </c>
      <c r="E49" s="3" t="n">
        <v>3</v>
      </c>
      <c r="F49" s="3" t="s">
        <v>647</v>
      </c>
      <c r="G49" s="3" t="s">
        <v>118</v>
      </c>
      <c r="H49" s="3" t="s">
        <v>639</v>
      </c>
      <c r="I49" s="3" t="s">
        <v>648</v>
      </c>
      <c r="J49" s="7" t="s">
        <v>485</v>
      </c>
      <c r="K49" s="7" t="s">
        <v>791</v>
      </c>
    </row>
    <row r="50" customFormat="false" ht="23.25" hidden="false" customHeight="true" outlineLevel="0" collapsed="false">
      <c r="A50" s="3" t="s">
        <v>792</v>
      </c>
      <c r="B50" s="3" t="s">
        <v>773</v>
      </c>
      <c r="C50" s="3" t="s">
        <v>774</v>
      </c>
      <c r="D50" s="3" t="s">
        <v>793</v>
      </c>
      <c r="E50" s="3" t="n">
        <v>3</v>
      </c>
      <c r="F50" s="3" t="s">
        <v>647</v>
      </c>
      <c r="G50" s="3" t="s">
        <v>118</v>
      </c>
      <c r="H50" s="3" t="s">
        <v>639</v>
      </c>
      <c r="I50" s="3" t="s">
        <v>648</v>
      </c>
      <c r="J50" s="7" t="s">
        <v>485</v>
      </c>
      <c r="K50" s="7" t="s">
        <v>794</v>
      </c>
    </row>
    <row r="51" customFormat="false" ht="23.25" hidden="false" customHeight="true" outlineLevel="0" collapsed="false">
      <c r="A51" s="3" t="s">
        <v>795</v>
      </c>
      <c r="B51" s="3" t="s">
        <v>773</v>
      </c>
      <c r="C51" s="3" t="s">
        <v>774</v>
      </c>
      <c r="D51" s="3" t="s">
        <v>796</v>
      </c>
      <c r="E51" s="3" t="n">
        <v>2</v>
      </c>
      <c r="F51" s="3" t="s">
        <v>665</v>
      </c>
      <c r="G51" s="3" t="s">
        <v>118</v>
      </c>
      <c r="H51" s="3" t="s">
        <v>639</v>
      </c>
      <c r="I51" s="3" t="s">
        <v>666</v>
      </c>
      <c r="J51" s="7" t="s">
        <v>485</v>
      </c>
      <c r="K51" s="7" t="s">
        <v>797</v>
      </c>
    </row>
    <row r="52" customFormat="false" ht="23.25" hidden="false" customHeight="true" outlineLevel="0" collapsed="false">
      <c r="A52" s="3" t="s">
        <v>798</v>
      </c>
      <c r="B52" s="3" t="s">
        <v>773</v>
      </c>
      <c r="C52" s="3" t="s">
        <v>774</v>
      </c>
      <c r="D52" s="3" t="s">
        <v>799</v>
      </c>
      <c r="E52" s="3" t="n">
        <v>5</v>
      </c>
      <c r="F52" s="3" t="s">
        <v>647</v>
      </c>
      <c r="G52" s="3" t="s">
        <v>118</v>
      </c>
      <c r="H52" s="3" t="s">
        <v>639</v>
      </c>
      <c r="I52" s="3" t="s">
        <v>648</v>
      </c>
      <c r="J52" s="7" t="s">
        <v>485</v>
      </c>
      <c r="K52" s="7" t="s">
        <v>800</v>
      </c>
    </row>
    <row r="53" customFormat="false" ht="23.25" hidden="false" customHeight="true" outlineLevel="0" collapsed="false">
      <c r="A53" s="3" t="s">
        <v>801</v>
      </c>
      <c r="B53" s="3" t="s">
        <v>773</v>
      </c>
      <c r="C53" s="3" t="s">
        <v>774</v>
      </c>
      <c r="D53" s="3" t="s">
        <v>802</v>
      </c>
      <c r="E53" s="3" t="n">
        <v>3</v>
      </c>
      <c r="F53" s="3" t="s">
        <v>665</v>
      </c>
      <c r="G53" s="3" t="s">
        <v>118</v>
      </c>
      <c r="H53" s="3" t="s">
        <v>639</v>
      </c>
      <c r="I53" s="3" t="s">
        <v>666</v>
      </c>
      <c r="J53" s="7" t="s">
        <v>485</v>
      </c>
      <c r="K53" s="7" t="s">
        <v>803</v>
      </c>
    </row>
    <row r="54" customFormat="false" ht="15" hidden="false" customHeight="true" outlineLevel="0" collapsed="false">
      <c r="A54" s="3" t="s">
        <v>804</v>
      </c>
      <c r="B54" s="3" t="s">
        <v>805</v>
      </c>
      <c r="C54" s="3" t="s">
        <v>806</v>
      </c>
      <c r="D54" s="3" t="s">
        <v>807</v>
      </c>
      <c r="E54" s="3" t="n">
        <v>5</v>
      </c>
      <c r="F54" s="3" t="s">
        <v>638</v>
      </c>
      <c r="G54" s="3" t="s">
        <v>79</v>
      </c>
      <c r="H54" s="3" t="s">
        <v>808</v>
      </c>
      <c r="I54" s="3" t="s">
        <v>640</v>
      </c>
      <c r="J54" s="7" t="s">
        <v>485</v>
      </c>
      <c r="K54" s="7" t="s">
        <v>809</v>
      </c>
    </row>
    <row r="55" customFormat="false" ht="15" hidden="false" customHeight="true" outlineLevel="0" collapsed="false">
      <c r="A55" s="3" t="s">
        <v>810</v>
      </c>
      <c r="B55" s="3" t="s">
        <v>805</v>
      </c>
      <c r="C55" s="3" t="s">
        <v>806</v>
      </c>
      <c r="D55" s="3" t="s">
        <v>811</v>
      </c>
      <c r="E55" s="3" t="n">
        <v>3</v>
      </c>
      <c r="F55" s="3" t="s">
        <v>638</v>
      </c>
      <c r="G55" s="3" t="s">
        <v>79</v>
      </c>
      <c r="H55" s="3" t="s">
        <v>808</v>
      </c>
      <c r="I55" s="3" t="s">
        <v>640</v>
      </c>
      <c r="J55" s="7" t="s">
        <v>485</v>
      </c>
      <c r="K55" s="7" t="s">
        <v>812</v>
      </c>
    </row>
    <row r="56" customFormat="false" ht="15" hidden="false" customHeight="true" outlineLevel="0" collapsed="false">
      <c r="A56" s="3" t="s">
        <v>813</v>
      </c>
      <c r="B56" s="3" t="s">
        <v>805</v>
      </c>
      <c r="C56" s="3" t="s">
        <v>806</v>
      </c>
      <c r="D56" s="3" t="s">
        <v>814</v>
      </c>
      <c r="E56" s="3" t="n">
        <v>3</v>
      </c>
      <c r="F56" s="3" t="s">
        <v>647</v>
      </c>
      <c r="G56" s="3" t="s">
        <v>84</v>
      </c>
      <c r="H56" s="3" t="s">
        <v>808</v>
      </c>
      <c r="I56" s="3" t="s">
        <v>648</v>
      </c>
      <c r="J56" s="7" t="s">
        <v>485</v>
      </c>
      <c r="K56" s="7" t="s">
        <v>815</v>
      </c>
    </row>
    <row r="57" customFormat="false" ht="15" hidden="false" customHeight="true" outlineLevel="0" collapsed="false">
      <c r="A57" s="3" t="s">
        <v>816</v>
      </c>
      <c r="B57" s="3" t="s">
        <v>805</v>
      </c>
      <c r="C57" s="3" t="s">
        <v>806</v>
      </c>
      <c r="D57" s="3" t="s">
        <v>817</v>
      </c>
      <c r="E57" s="3" t="n">
        <v>5</v>
      </c>
      <c r="F57" s="3" t="s">
        <v>638</v>
      </c>
      <c r="G57" s="3" t="s">
        <v>84</v>
      </c>
      <c r="H57" s="3" t="s">
        <v>808</v>
      </c>
      <c r="I57" s="3" t="s">
        <v>640</v>
      </c>
      <c r="J57" s="7" t="s">
        <v>485</v>
      </c>
      <c r="K57" s="7" t="s">
        <v>818</v>
      </c>
    </row>
    <row r="58" customFormat="false" ht="15" hidden="false" customHeight="true" outlineLevel="0" collapsed="false">
      <c r="A58" s="3" t="s">
        <v>819</v>
      </c>
      <c r="B58" s="3" t="s">
        <v>805</v>
      </c>
      <c r="C58" s="3" t="s">
        <v>806</v>
      </c>
      <c r="D58" s="3" t="s">
        <v>820</v>
      </c>
      <c r="E58" s="3" t="n">
        <v>3</v>
      </c>
      <c r="F58" s="3" t="s">
        <v>638</v>
      </c>
      <c r="G58" s="3" t="s">
        <v>79</v>
      </c>
      <c r="H58" s="3" t="s">
        <v>808</v>
      </c>
      <c r="I58" s="3" t="s">
        <v>640</v>
      </c>
      <c r="J58" s="7" t="s">
        <v>485</v>
      </c>
      <c r="K58" s="7" t="s">
        <v>821</v>
      </c>
    </row>
    <row r="59" customFormat="false" ht="15" hidden="false" customHeight="true" outlineLevel="0" collapsed="false">
      <c r="A59" s="3" t="s">
        <v>499</v>
      </c>
      <c r="B59" s="3" t="s">
        <v>805</v>
      </c>
      <c r="C59" s="3" t="s">
        <v>806</v>
      </c>
      <c r="D59" s="3" t="s">
        <v>822</v>
      </c>
      <c r="E59" s="3" t="n">
        <v>2</v>
      </c>
      <c r="F59" s="3" t="s">
        <v>647</v>
      </c>
      <c r="G59" s="3" t="s">
        <v>79</v>
      </c>
      <c r="H59" s="3" t="s">
        <v>808</v>
      </c>
      <c r="I59" s="3" t="s">
        <v>648</v>
      </c>
      <c r="J59" s="7" t="s">
        <v>485</v>
      </c>
      <c r="K59" s="7" t="s">
        <v>823</v>
      </c>
    </row>
    <row r="60" customFormat="false" ht="15" hidden="false" customHeight="true" outlineLevel="0" collapsed="false">
      <c r="A60" s="3" t="s">
        <v>824</v>
      </c>
      <c r="B60" s="3" t="s">
        <v>825</v>
      </c>
      <c r="C60" s="3" t="s">
        <v>826</v>
      </c>
      <c r="D60" s="3" t="s">
        <v>827</v>
      </c>
      <c r="E60" s="3" t="n">
        <v>5</v>
      </c>
      <c r="F60" s="3" t="s">
        <v>638</v>
      </c>
      <c r="G60" s="3" t="s">
        <v>106</v>
      </c>
      <c r="H60" s="3" t="s">
        <v>828</v>
      </c>
      <c r="I60" s="3" t="s">
        <v>640</v>
      </c>
      <c r="J60" s="7" t="s">
        <v>485</v>
      </c>
      <c r="K60" s="7" t="s">
        <v>829</v>
      </c>
    </row>
    <row r="61" customFormat="false" ht="15" hidden="false" customHeight="true" outlineLevel="0" collapsed="false">
      <c r="A61" s="3" t="s">
        <v>830</v>
      </c>
      <c r="B61" s="3" t="s">
        <v>825</v>
      </c>
      <c r="C61" s="3" t="s">
        <v>826</v>
      </c>
      <c r="D61" s="3" t="s">
        <v>831</v>
      </c>
      <c r="E61" s="3" t="n">
        <v>5</v>
      </c>
      <c r="F61" s="3" t="s">
        <v>638</v>
      </c>
      <c r="G61" s="3" t="s">
        <v>106</v>
      </c>
      <c r="H61" s="3" t="s">
        <v>828</v>
      </c>
      <c r="I61" s="3" t="s">
        <v>640</v>
      </c>
      <c r="J61" s="7" t="s">
        <v>485</v>
      </c>
      <c r="K61" s="7" t="s">
        <v>832</v>
      </c>
    </row>
    <row r="62" customFormat="false" ht="23.25" hidden="false" customHeight="true" outlineLevel="0" collapsed="false">
      <c r="A62" s="3" t="s">
        <v>233</v>
      </c>
      <c r="B62" s="3" t="s">
        <v>825</v>
      </c>
      <c r="C62" s="3" t="s">
        <v>826</v>
      </c>
      <c r="D62" s="3" t="s">
        <v>833</v>
      </c>
      <c r="E62" s="3" t="n">
        <v>8</v>
      </c>
      <c r="F62" s="3" t="s">
        <v>638</v>
      </c>
      <c r="G62" s="3" t="s">
        <v>106</v>
      </c>
      <c r="H62" s="3" t="s">
        <v>828</v>
      </c>
      <c r="I62" s="3" t="s">
        <v>640</v>
      </c>
      <c r="J62" s="7" t="s">
        <v>655</v>
      </c>
      <c r="K62" s="7" t="s">
        <v>834</v>
      </c>
    </row>
    <row r="63" customFormat="false" ht="15" hidden="false" customHeight="true" outlineLevel="0" collapsed="false">
      <c r="A63" s="3" t="s">
        <v>835</v>
      </c>
      <c r="B63" s="3" t="s">
        <v>825</v>
      </c>
      <c r="C63" s="3" t="s">
        <v>826</v>
      </c>
      <c r="D63" s="3" t="s">
        <v>836</v>
      </c>
      <c r="E63" s="3" t="n">
        <v>3</v>
      </c>
      <c r="F63" s="3" t="s">
        <v>647</v>
      </c>
      <c r="G63" s="3" t="s">
        <v>112</v>
      </c>
      <c r="H63" s="3" t="s">
        <v>828</v>
      </c>
      <c r="I63" s="3" t="s">
        <v>648</v>
      </c>
      <c r="J63" s="7" t="s">
        <v>485</v>
      </c>
      <c r="K63" s="7" t="s">
        <v>837</v>
      </c>
    </row>
    <row r="64" customFormat="false" ht="15" hidden="false" customHeight="true" outlineLevel="0" collapsed="false">
      <c r="A64" s="3" t="s">
        <v>838</v>
      </c>
      <c r="B64" s="3" t="s">
        <v>825</v>
      </c>
      <c r="C64" s="3" t="s">
        <v>826</v>
      </c>
      <c r="D64" s="3" t="s">
        <v>839</v>
      </c>
      <c r="E64" s="3" t="n">
        <v>3</v>
      </c>
      <c r="F64" s="3" t="s">
        <v>647</v>
      </c>
      <c r="G64" s="3" t="s">
        <v>112</v>
      </c>
      <c r="H64" s="3" t="s">
        <v>828</v>
      </c>
      <c r="I64" s="3" t="s">
        <v>648</v>
      </c>
      <c r="J64" s="7" t="s">
        <v>485</v>
      </c>
      <c r="K64" s="7" t="s">
        <v>840</v>
      </c>
    </row>
    <row r="65" customFormat="false" ht="15" hidden="false" customHeight="true" outlineLevel="0" collapsed="false">
      <c r="A65" s="3" t="s">
        <v>841</v>
      </c>
      <c r="B65" s="3" t="s">
        <v>825</v>
      </c>
      <c r="C65" s="3" t="s">
        <v>826</v>
      </c>
      <c r="D65" s="3" t="s">
        <v>842</v>
      </c>
      <c r="E65" s="3" t="n">
        <v>3</v>
      </c>
      <c r="F65" s="3" t="s">
        <v>665</v>
      </c>
      <c r="G65" s="3" t="s">
        <v>112</v>
      </c>
      <c r="H65" s="3" t="s">
        <v>828</v>
      </c>
      <c r="I65" s="3" t="s">
        <v>666</v>
      </c>
      <c r="J65" s="7" t="s">
        <v>485</v>
      </c>
      <c r="K65" s="7" t="s">
        <v>843</v>
      </c>
    </row>
    <row r="66" customFormat="false" ht="15" hidden="false" customHeight="true" outlineLevel="0" collapsed="false">
      <c r="A66" s="3" t="s">
        <v>844</v>
      </c>
      <c r="B66" s="3" t="s">
        <v>825</v>
      </c>
      <c r="C66" s="3" t="s">
        <v>826</v>
      </c>
      <c r="D66" s="3" t="s">
        <v>845</v>
      </c>
      <c r="E66" s="3" t="n">
        <v>3</v>
      </c>
      <c r="F66" s="3" t="s">
        <v>647</v>
      </c>
      <c r="G66" s="3" t="s">
        <v>112</v>
      </c>
      <c r="H66" s="3" t="s">
        <v>828</v>
      </c>
      <c r="I66" s="3" t="s">
        <v>648</v>
      </c>
      <c r="J66" s="7" t="s">
        <v>485</v>
      </c>
      <c r="K66" s="7" t="s">
        <v>846</v>
      </c>
    </row>
    <row r="67" customFormat="false" ht="15" hidden="false" customHeight="true" outlineLevel="0" collapsed="false">
      <c r="A67" s="3" t="s">
        <v>847</v>
      </c>
      <c r="B67" s="3" t="s">
        <v>848</v>
      </c>
      <c r="C67" s="3" t="s">
        <v>849</v>
      </c>
      <c r="D67" s="3" t="s">
        <v>850</v>
      </c>
      <c r="E67" s="3" t="n">
        <v>3</v>
      </c>
      <c r="F67" s="3" t="s">
        <v>638</v>
      </c>
      <c r="G67" s="3" t="s">
        <v>112</v>
      </c>
      <c r="H67" s="3" t="s">
        <v>851</v>
      </c>
      <c r="I67" s="3" t="s">
        <v>640</v>
      </c>
      <c r="J67" s="7" t="s">
        <v>485</v>
      </c>
      <c r="K67" s="7" t="s">
        <v>852</v>
      </c>
    </row>
    <row r="68" customFormat="false" ht="15" hidden="false" customHeight="true" outlineLevel="0" collapsed="false">
      <c r="A68" s="3" t="s">
        <v>853</v>
      </c>
      <c r="B68" s="3" t="s">
        <v>848</v>
      </c>
      <c r="C68" s="3" t="s">
        <v>849</v>
      </c>
      <c r="D68" s="3" t="s">
        <v>854</v>
      </c>
      <c r="E68" s="3" t="n">
        <v>3</v>
      </c>
      <c r="F68" s="3" t="s">
        <v>638</v>
      </c>
      <c r="G68" s="3" t="s">
        <v>118</v>
      </c>
      <c r="H68" s="3" t="s">
        <v>851</v>
      </c>
      <c r="I68" s="3" t="s">
        <v>640</v>
      </c>
      <c r="J68" s="7" t="s">
        <v>485</v>
      </c>
      <c r="K68" s="7" t="s">
        <v>855</v>
      </c>
    </row>
    <row r="69" customFormat="false" ht="23.25" hidden="false" customHeight="true" outlineLevel="0" collapsed="false">
      <c r="A69" s="3" t="s">
        <v>856</v>
      </c>
      <c r="B69" s="3" t="s">
        <v>848</v>
      </c>
      <c r="C69" s="3" t="s">
        <v>849</v>
      </c>
      <c r="D69" s="3" t="s">
        <v>857</v>
      </c>
      <c r="E69" s="3" t="n">
        <v>5</v>
      </c>
      <c r="F69" s="3" t="s">
        <v>638</v>
      </c>
      <c r="G69" s="3" t="s">
        <v>118</v>
      </c>
      <c r="H69" s="3" t="s">
        <v>851</v>
      </c>
      <c r="I69" s="3" t="s">
        <v>640</v>
      </c>
      <c r="J69" s="7" t="s">
        <v>655</v>
      </c>
      <c r="K69" s="7" t="s">
        <v>858</v>
      </c>
    </row>
    <row r="70" customFormat="false" ht="15" hidden="false" customHeight="true" outlineLevel="0" collapsed="false">
      <c r="A70" s="3" t="s">
        <v>859</v>
      </c>
      <c r="B70" s="3" t="s">
        <v>848</v>
      </c>
      <c r="C70" s="3" t="s">
        <v>849</v>
      </c>
      <c r="D70" s="3" t="s">
        <v>860</v>
      </c>
      <c r="E70" s="3" t="n">
        <v>5</v>
      </c>
      <c r="F70" s="3" t="s">
        <v>647</v>
      </c>
      <c r="G70" s="3" t="s">
        <v>118</v>
      </c>
      <c r="H70" s="3" t="s">
        <v>851</v>
      </c>
      <c r="I70" s="3" t="s">
        <v>648</v>
      </c>
      <c r="J70" s="7" t="s">
        <v>485</v>
      </c>
      <c r="K70" s="7" t="s">
        <v>861</v>
      </c>
    </row>
    <row r="71" customFormat="false" ht="15" hidden="false" customHeight="true" outlineLevel="0" collapsed="false">
      <c r="A71" s="3" t="s">
        <v>582</v>
      </c>
      <c r="B71" s="3" t="s">
        <v>848</v>
      </c>
      <c r="C71" s="3" t="s">
        <v>849</v>
      </c>
      <c r="D71" s="3" t="s">
        <v>862</v>
      </c>
      <c r="E71" s="3" t="n">
        <v>8</v>
      </c>
      <c r="F71" s="3" t="s">
        <v>638</v>
      </c>
      <c r="G71" s="3" t="s">
        <v>863</v>
      </c>
      <c r="H71" s="3" t="s">
        <v>851</v>
      </c>
      <c r="I71" s="3" t="s">
        <v>640</v>
      </c>
      <c r="J71" s="7" t="s">
        <v>864</v>
      </c>
      <c r="K71" s="7" t="s">
        <v>865</v>
      </c>
    </row>
    <row r="72" customFormat="false" ht="15" hidden="false" customHeight="true" outlineLevel="0" collapsed="false">
      <c r="A72" s="3" t="s">
        <v>866</v>
      </c>
      <c r="B72" s="3" t="s">
        <v>848</v>
      </c>
      <c r="C72" s="3" t="s">
        <v>849</v>
      </c>
      <c r="D72" s="3" t="s">
        <v>867</v>
      </c>
      <c r="E72" s="3" t="n">
        <v>5</v>
      </c>
      <c r="F72" s="3" t="s">
        <v>638</v>
      </c>
      <c r="G72" s="3" t="s">
        <v>863</v>
      </c>
      <c r="H72" s="3" t="s">
        <v>851</v>
      </c>
      <c r="I72" s="3" t="s">
        <v>640</v>
      </c>
      <c r="J72" s="7" t="s">
        <v>485</v>
      </c>
      <c r="K72" s="7" t="s">
        <v>868</v>
      </c>
    </row>
    <row r="73" customFormat="false" ht="15" hidden="false" customHeight="true" outlineLevel="0" collapsed="false">
      <c r="A73" s="3" t="s">
        <v>337</v>
      </c>
      <c r="B73" s="3" t="s">
        <v>848</v>
      </c>
      <c r="C73" s="3" t="s">
        <v>849</v>
      </c>
      <c r="D73" s="3" t="s">
        <v>869</v>
      </c>
      <c r="E73" s="3" t="n">
        <v>5</v>
      </c>
      <c r="F73" s="3" t="s">
        <v>638</v>
      </c>
      <c r="G73" s="3" t="s">
        <v>118</v>
      </c>
      <c r="H73" s="3" t="s">
        <v>851</v>
      </c>
      <c r="I73" s="3" t="s">
        <v>640</v>
      </c>
      <c r="J73" s="7" t="s">
        <v>485</v>
      </c>
      <c r="K73" s="7" t="s">
        <v>870</v>
      </c>
    </row>
    <row r="74" customFormat="false" ht="15" hidden="false" customHeight="true" outlineLevel="0" collapsed="false">
      <c r="A74" s="3" t="s">
        <v>871</v>
      </c>
      <c r="B74" s="3" t="s">
        <v>872</v>
      </c>
      <c r="C74" s="3" t="s">
        <v>873</v>
      </c>
      <c r="D74" s="3" t="s">
        <v>874</v>
      </c>
      <c r="E74" s="3" t="n">
        <v>5</v>
      </c>
      <c r="F74" s="3" t="s">
        <v>638</v>
      </c>
      <c r="G74" s="3" t="s">
        <v>95</v>
      </c>
      <c r="H74" s="3" t="s">
        <v>875</v>
      </c>
      <c r="I74" s="3" t="s">
        <v>640</v>
      </c>
      <c r="J74" s="7" t="s">
        <v>485</v>
      </c>
      <c r="K74" s="7" t="s">
        <v>876</v>
      </c>
    </row>
    <row r="75" customFormat="false" ht="15" hidden="false" customHeight="true" outlineLevel="0" collapsed="false">
      <c r="A75" s="3" t="s">
        <v>877</v>
      </c>
      <c r="B75" s="3" t="s">
        <v>872</v>
      </c>
      <c r="C75" s="3" t="s">
        <v>873</v>
      </c>
      <c r="D75" s="3" t="s">
        <v>878</v>
      </c>
      <c r="E75" s="3" t="n">
        <v>3</v>
      </c>
      <c r="F75" s="3" t="s">
        <v>638</v>
      </c>
      <c r="G75" s="3" t="s">
        <v>95</v>
      </c>
      <c r="H75" s="3" t="s">
        <v>875</v>
      </c>
      <c r="I75" s="3" t="s">
        <v>640</v>
      </c>
      <c r="J75" s="7" t="s">
        <v>485</v>
      </c>
      <c r="K75" s="7" t="s">
        <v>879</v>
      </c>
    </row>
    <row r="76" customFormat="false" ht="15" hidden="false" customHeight="true" outlineLevel="0" collapsed="false">
      <c r="A76" s="3" t="s">
        <v>880</v>
      </c>
      <c r="B76" s="3" t="s">
        <v>872</v>
      </c>
      <c r="C76" s="3" t="s">
        <v>873</v>
      </c>
      <c r="D76" s="3" t="s">
        <v>881</v>
      </c>
      <c r="E76" s="3" t="n">
        <v>3</v>
      </c>
      <c r="F76" s="3" t="s">
        <v>665</v>
      </c>
      <c r="G76" s="3" t="s">
        <v>118</v>
      </c>
      <c r="H76" s="3" t="s">
        <v>875</v>
      </c>
      <c r="I76" s="3" t="s">
        <v>666</v>
      </c>
      <c r="J76" s="7" t="s">
        <v>485</v>
      </c>
      <c r="K76" s="7" t="s">
        <v>882</v>
      </c>
    </row>
    <row r="77" customFormat="false" ht="15" hidden="false" customHeight="true" outlineLevel="0" collapsed="false">
      <c r="A77" s="3" t="s">
        <v>883</v>
      </c>
      <c r="B77" s="3" t="s">
        <v>872</v>
      </c>
      <c r="C77" s="3" t="s">
        <v>873</v>
      </c>
      <c r="D77" s="3" t="s">
        <v>884</v>
      </c>
      <c r="E77" s="3" t="n">
        <v>2</v>
      </c>
      <c r="F77" s="3" t="s">
        <v>665</v>
      </c>
      <c r="G77" s="3" t="s">
        <v>118</v>
      </c>
      <c r="H77" s="3" t="s">
        <v>875</v>
      </c>
      <c r="I77" s="3" t="s">
        <v>666</v>
      </c>
      <c r="J77" s="7" t="s">
        <v>485</v>
      </c>
      <c r="K77" s="7" t="s">
        <v>885</v>
      </c>
    </row>
    <row r="78" customFormat="false" ht="15" hidden="false" customHeight="true" outlineLevel="0" collapsed="false">
      <c r="A78" s="3" t="s">
        <v>886</v>
      </c>
      <c r="B78" s="3" t="s">
        <v>872</v>
      </c>
      <c r="C78" s="3" t="s">
        <v>873</v>
      </c>
      <c r="D78" s="3" t="s">
        <v>887</v>
      </c>
      <c r="E78" s="3" t="n">
        <v>5</v>
      </c>
      <c r="F78" s="3" t="s">
        <v>647</v>
      </c>
      <c r="G78" s="3" t="s">
        <v>118</v>
      </c>
      <c r="H78" s="3" t="s">
        <v>875</v>
      </c>
      <c r="I78" s="3" t="s">
        <v>648</v>
      </c>
      <c r="J78" s="7" t="s">
        <v>485</v>
      </c>
      <c r="K78" s="7" t="s">
        <v>888</v>
      </c>
    </row>
    <row r="79" customFormat="false" ht="15" hidden="false" customHeight="true" outlineLevel="0" collapsed="false">
      <c r="A79" s="3" t="s">
        <v>889</v>
      </c>
      <c r="B79" s="3" t="s">
        <v>872</v>
      </c>
      <c r="C79" s="3" t="s">
        <v>873</v>
      </c>
      <c r="D79" s="3" t="s">
        <v>890</v>
      </c>
      <c r="E79" s="3" t="n">
        <v>3</v>
      </c>
      <c r="F79" s="3" t="s">
        <v>665</v>
      </c>
      <c r="G79" s="3" t="s">
        <v>118</v>
      </c>
      <c r="H79" s="3" t="s">
        <v>875</v>
      </c>
      <c r="I79" s="3" t="s">
        <v>666</v>
      </c>
      <c r="J79" s="7" t="s">
        <v>485</v>
      </c>
      <c r="K79" s="7" t="s">
        <v>891</v>
      </c>
    </row>
    <row r="80" customFormat="false" ht="15" hidden="false" customHeight="true" outlineLevel="0" collapsed="false">
      <c r="A80" s="3" t="s">
        <v>892</v>
      </c>
      <c r="B80" s="3" t="s">
        <v>872</v>
      </c>
      <c r="C80" s="3" t="s">
        <v>873</v>
      </c>
      <c r="D80" s="3" t="s">
        <v>893</v>
      </c>
      <c r="E80" s="3" t="n">
        <v>3</v>
      </c>
      <c r="F80" s="3" t="s">
        <v>665</v>
      </c>
      <c r="G80" s="3" t="s">
        <v>118</v>
      </c>
      <c r="H80" s="3" t="s">
        <v>875</v>
      </c>
      <c r="I80" s="3" t="s">
        <v>666</v>
      </c>
      <c r="J80" s="7" t="s">
        <v>485</v>
      </c>
      <c r="K80" s="7" t="s">
        <v>894</v>
      </c>
    </row>
    <row r="81" customFormat="false" ht="15" hidden="false" customHeight="true" outlineLevel="0" collapsed="false">
      <c r="A81" s="3" t="s">
        <v>895</v>
      </c>
      <c r="B81" s="3" t="s">
        <v>896</v>
      </c>
      <c r="C81" s="3" t="s">
        <v>897</v>
      </c>
      <c r="D81" s="3" t="s">
        <v>898</v>
      </c>
      <c r="E81" s="3" t="n">
        <v>5</v>
      </c>
      <c r="F81" s="3" t="s">
        <v>638</v>
      </c>
      <c r="G81" s="3" t="s">
        <v>100</v>
      </c>
      <c r="H81" s="3" t="s">
        <v>808</v>
      </c>
      <c r="I81" s="3" t="s">
        <v>640</v>
      </c>
      <c r="J81" s="7" t="s">
        <v>485</v>
      </c>
      <c r="K81" s="7" t="s">
        <v>899</v>
      </c>
    </row>
    <row r="82" customFormat="false" ht="15" hidden="false" customHeight="true" outlineLevel="0" collapsed="false">
      <c r="A82" s="3" t="s">
        <v>900</v>
      </c>
      <c r="B82" s="3" t="s">
        <v>896</v>
      </c>
      <c r="C82" s="3" t="s">
        <v>897</v>
      </c>
      <c r="D82" s="3" t="s">
        <v>901</v>
      </c>
      <c r="E82" s="3" t="n">
        <v>3</v>
      </c>
      <c r="F82" s="3" t="s">
        <v>647</v>
      </c>
      <c r="G82" s="3" t="s">
        <v>100</v>
      </c>
      <c r="H82" s="3" t="s">
        <v>808</v>
      </c>
      <c r="I82" s="3" t="s">
        <v>648</v>
      </c>
      <c r="J82" s="7" t="s">
        <v>485</v>
      </c>
      <c r="K82" s="7" t="s">
        <v>902</v>
      </c>
    </row>
    <row r="83" customFormat="false" ht="15" hidden="false" customHeight="true" outlineLevel="0" collapsed="false">
      <c r="A83" s="3" t="s">
        <v>559</v>
      </c>
      <c r="B83" s="3" t="s">
        <v>896</v>
      </c>
      <c r="C83" s="3" t="s">
        <v>897</v>
      </c>
      <c r="D83" s="3" t="s">
        <v>903</v>
      </c>
      <c r="E83" s="3" t="n">
        <v>5</v>
      </c>
      <c r="F83" s="3" t="s">
        <v>647</v>
      </c>
      <c r="G83" s="3" t="s">
        <v>904</v>
      </c>
      <c r="H83" s="3" t="s">
        <v>808</v>
      </c>
      <c r="I83" s="3" t="s">
        <v>648</v>
      </c>
      <c r="J83" s="7" t="s">
        <v>485</v>
      </c>
      <c r="K83" s="7" t="s">
        <v>905</v>
      </c>
    </row>
    <row r="84" customFormat="false" ht="15" hidden="false" customHeight="true" outlineLevel="0" collapsed="false">
      <c r="A84" s="3" t="s">
        <v>563</v>
      </c>
      <c r="B84" s="3" t="s">
        <v>896</v>
      </c>
      <c r="C84" s="3" t="s">
        <v>897</v>
      </c>
      <c r="D84" s="3" t="s">
        <v>906</v>
      </c>
      <c r="E84" s="3" t="n">
        <v>3</v>
      </c>
      <c r="F84" s="3" t="s">
        <v>638</v>
      </c>
      <c r="G84" s="3" t="s">
        <v>904</v>
      </c>
      <c r="H84" s="3" t="s">
        <v>808</v>
      </c>
      <c r="I84" s="3" t="s">
        <v>640</v>
      </c>
      <c r="J84" s="7" t="s">
        <v>655</v>
      </c>
      <c r="K84" s="7" t="s">
        <v>907</v>
      </c>
    </row>
    <row r="85" customFormat="false" ht="15" hidden="false" customHeight="true" outlineLevel="0" collapsed="false">
      <c r="A85" s="3" t="s">
        <v>908</v>
      </c>
      <c r="B85" s="3" t="s">
        <v>896</v>
      </c>
      <c r="C85" s="3" t="s">
        <v>897</v>
      </c>
      <c r="D85" s="3" t="s">
        <v>909</v>
      </c>
      <c r="E85" s="3" t="n">
        <v>3</v>
      </c>
      <c r="F85" s="3" t="s">
        <v>647</v>
      </c>
      <c r="G85" s="3" t="s">
        <v>910</v>
      </c>
      <c r="H85" s="3" t="s">
        <v>808</v>
      </c>
      <c r="I85" s="3" t="s">
        <v>648</v>
      </c>
      <c r="J85" s="7" t="s">
        <v>655</v>
      </c>
      <c r="K85" s="7" t="s">
        <v>911</v>
      </c>
    </row>
    <row r="86" customFormat="false" ht="15" hidden="false" customHeight="true" outlineLevel="0" collapsed="false">
      <c r="A86" s="3" t="s">
        <v>912</v>
      </c>
      <c r="B86" s="3" t="s">
        <v>896</v>
      </c>
      <c r="C86" s="3" t="s">
        <v>897</v>
      </c>
      <c r="D86" s="3" t="s">
        <v>913</v>
      </c>
      <c r="E86" s="3" t="n">
        <v>5</v>
      </c>
      <c r="F86" s="3" t="s">
        <v>647</v>
      </c>
      <c r="G86" s="3" t="s">
        <v>904</v>
      </c>
      <c r="H86" s="3" t="s">
        <v>808</v>
      </c>
      <c r="I86" s="3" t="s">
        <v>648</v>
      </c>
      <c r="J86" s="7" t="s">
        <v>655</v>
      </c>
      <c r="K86" s="7" t="s">
        <v>914</v>
      </c>
    </row>
    <row r="87" customFormat="false" ht="15" hidden="false" customHeight="true" outlineLevel="0" collapsed="false">
      <c r="A87" s="3" t="s">
        <v>915</v>
      </c>
      <c r="B87" s="3" t="s">
        <v>896</v>
      </c>
      <c r="C87" s="3" t="s">
        <v>897</v>
      </c>
      <c r="D87" s="3" t="s">
        <v>916</v>
      </c>
      <c r="E87" s="3" t="n">
        <v>2</v>
      </c>
      <c r="F87" s="3" t="s">
        <v>665</v>
      </c>
      <c r="G87" s="3" t="s">
        <v>904</v>
      </c>
      <c r="H87" s="3" t="s">
        <v>808</v>
      </c>
      <c r="I87" s="3" t="s">
        <v>666</v>
      </c>
      <c r="J87" s="7" t="s">
        <v>485</v>
      </c>
      <c r="K87" s="7" t="s">
        <v>917</v>
      </c>
    </row>
    <row r="88" customFormat="false" ht="23.25" hidden="false" customHeight="true" outlineLevel="0" collapsed="false">
      <c r="A88" s="3" t="s">
        <v>918</v>
      </c>
      <c r="B88" s="3" t="s">
        <v>140</v>
      </c>
      <c r="C88" s="3" t="s">
        <v>919</v>
      </c>
      <c r="D88" s="3" t="s">
        <v>920</v>
      </c>
      <c r="E88" s="3" t="n">
        <v>5</v>
      </c>
      <c r="F88" s="3" t="s">
        <v>638</v>
      </c>
      <c r="G88" s="3" t="s">
        <v>89</v>
      </c>
      <c r="H88" s="3" t="s">
        <v>921</v>
      </c>
      <c r="I88" s="3" t="s">
        <v>640</v>
      </c>
      <c r="J88" s="7" t="s">
        <v>485</v>
      </c>
      <c r="K88" s="7" t="s">
        <v>922</v>
      </c>
    </row>
    <row r="89" customFormat="false" ht="15" hidden="false" customHeight="true" outlineLevel="0" collapsed="false">
      <c r="A89" s="3" t="s">
        <v>538</v>
      </c>
      <c r="B89" s="3" t="s">
        <v>140</v>
      </c>
      <c r="C89" s="3" t="s">
        <v>919</v>
      </c>
      <c r="D89" s="3" t="s">
        <v>923</v>
      </c>
      <c r="E89" s="3" t="n">
        <v>5</v>
      </c>
      <c r="F89" s="3" t="s">
        <v>638</v>
      </c>
      <c r="G89" s="3" t="s">
        <v>95</v>
      </c>
      <c r="H89" s="3" t="s">
        <v>921</v>
      </c>
      <c r="I89" s="3" t="s">
        <v>640</v>
      </c>
      <c r="J89" s="7" t="s">
        <v>485</v>
      </c>
      <c r="K89" s="7" t="s">
        <v>924</v>
      </c>
    </row>
    <row r="90" customFormat="false" ht="15" hidden="false" customHeight="true" outlineLevel="0" collapsed="false">
      <c r="A90" s="3" t="s">
        <v>925</v>
      </c>
      <c r="B90" s="3" t="s">
        <v>140</v>
      </c>
      <c r="C90" s="3" t="s">
        <v>919</v>
      </c>
      <c r="D90" s="3" t="s">
        <v>926</v>
      </c>
      <c r="E90" s="3" t="n">
        <v>3</v>
      </c>
      <c r="F90" s="3" t="s">
        <v>638</v>
      </c>
      <c r="G90" s="3" t="s">
        <v>118</v>
      </c>
      <c r="H90" s="3" t="s">
        <v>921</v>
      </c>
      <c r="I90" s="3" t="s">
        <v>640</v>
      </c>
      <c r="J90" s="7" t="s">
        <v>485</v>
      </c>
      <c r="K90" s="7" t="s">
        <v>927</v>
      </c>
    </row>
    <row r="91" customFormat="false" ht="15" hidden="false" customHeight="true" outlineLevel="0" collapsed="false">
      <c r="A91" s="3" t="s">
        <v>928</v>
      </c>
      <c r="B91" s="3" t="s">
        <v>140</v>
      </c>
      <c r="C91" s="3" t="s">
        <v>919</v>
      </c>
      <c r="D91" s="3" t="s">
        <v>929</v>
      </c>
      <c r="E91" s="3" t="n">
        <v>5</v>
      </c>
      <c r="F91" s="3" t="s">
        <v>647</v>
      </c>
      <c r="G91" s="3" t="s">
        <v>118</v>
      </c>
      <c r="H91" s="3" t="s">
        <v>921</v>
      </c>
      <c r="I91" s="3" t="s">
        <v>648</v>
      </c>
      <c r="J91" s="7" t="s">
        <v>485</v>
      </c>
      <c r="K91" s="7" t="s">
        <v>930</v>
      </c>
    </row>
    <row r="92" customFormat="false" ht="15" hidden="false" customHeight="true" outlineLevel="0" collapsed="false">
      <c r="A92" s="3" t="s">
        <v>931</v>
      </c>
      <c r="B92" s="3" t="s">
        <v>140</v>
      </c>
      <c r="C92" s="3" t="s">
        <v>919</v>
      </c>
      <c r="D92" s="3" t="s">
        <v>932</v>
      </c>
      <c r="E92" s="3" t="n">
        <v>3</v>
      </c>
      <c r="F92" s="3" t="s">
        <v>647</v>
      </c>
      <c r="G92" s="3" t="s">
        <v>863</v>
      </c>
      <c r="H92" s="3" t="s">
        <v>921</v>
      </c>
      <c r="I92" s="3" t="s">
        <v>648</v>
      </c>
      <c r="J92" s="7" t="s">
        <v>864</v>
      </c>
      <c r="K92" s="7" t="s">
        <v>933</v>
      </c>
    </row>
    <row r="93" customFormat="false" ht="15" hidden="false" customHeight="true" outlineLevel="0" collapsed="false">
      <c r="A93" s="3" t="s">
        <v>934</v>
      </c>
      <c r="B93" s="3" t="s">
        <v>140</v>
      </c>
      <c r="C93" s="3" t="s">
        <v>919</v>
      </c>
      <c r="D93" s="3" t="s">
        <v>935</v>
      </c>
      <c r="E93" s="3" t="n">
        <v>3</v>
      </c>
      <c r="F93" s="3" t="s">
        <v>647</v>
      </c>
      <c r="G93" s="3" t="s">
        <v>863</v>
      </c>
      <c r="H93" s="3" t="s">
        <v>921</v>
      </c>
      <c r="I93" s="3" t="s">
        <v>648</v>
      </c>
      <c r="J93" s="7" t="s">
        <v>485</v>
      </c>
      <c r="K93" s="7" t="s">
        <v>936</v>
      </c>
    </row>
    <row r="94" customFormat="false" ht="15" hidden="false" customHeight="true" outlineLevel="0" collapsed="false">
      <c r="A94" s="3" t="s">
        <v>937</v>
      </c>
      <c r="B94" s="3" t="s">
        <v>140</v>
      </c>
      <c r="C94" s="3" t="s">
        <v>919</v>
      </c>
      <c r="D94" s="3" t="s">
        <v>938</v>
      </c>
      <c r="E94" s="3" t="n">
        <v>3</v>
      </c>
      <c r="F94" s="3" t="s">
        <v>665</v>
      </c>
      <c r="G94" s="3" t="s">
        <v>863</v>
      </c>
      <c r="H94" s="3" t="s">
        <v>921</v>
      </c>
      <c r="I94" s="3" t="s">
        <v>666</v>
      </c>
      <c r="J94" s="7" t="s">
        <v>485</v>
      </c>
      <c r="K94" s="7" t="s">
        <v>939</v>
      </c>
    </row>
    <row r="95" customFormat="false" ht="15" hidden="false" customHeight="true" outlineLevel="0" collapsed="false">
      <c r="A95" s="3" t="s">
        <v>940</v>
      </c>
      <c r="B95" s="3" t="s">
        <v>140</v>
      </c>
      <c r="C95" s="3" t="s">
        <v>919</v>
      </c>
      <c r="D95" s="3" t="s">
        <v>941</v>
      </c>
      <c r="E95" s="3" t="n">
        <v>3</v>
      </c>
      <c r="F95" s="3" t="s">
        <v>665</v>
      </c>
      <c r="G95" s="3" t="s">
        <v>118</v>
      </c>
      <c r="H95" s="3" t="s">
        <v>921</v>
      </c>
      <c r="I95" s="3" t="s">
        <v>666</v>
      </c>
      <c r="J95" s="7" t="s">
        <v>655</v>
      </c>
      <c r="K95" s="7" t="s">
        <v>942</v>
      </c>
    </row>
    <row r="96" customFormat="false" ht="15" hidden="false" customHeight="true" outlineLevel="0" collapsed="false">
      <c r="A96" s="3" t="s">
        <v>943</v>
      </c>
      <c r="B96" s="3" t="s">
        <v>147</v>
      </c>
      <c r="C96" s="3" t="s">
        <v>944</v>
      </c>
      <c r="D96" s="3" t="s">
        <v>945</v>
      </c>
      <c r="E96" s="3" t="n">
        <v>3</v>
      </c>
      <c r="F96" s="3" t="s">
        <v>638</v>
      </c>
      <c r="G96" s="3" t="s">
        <v>863</v>
      </c>
      <c r="H96" s="3" t="s">
        <v>946</v>
      </c>
      <c r="I96" s="3" t="s">
        <v>640</v>
      </c>
      <c r="J96" s="7" t="s">
        <v>655</v>
      </c>
      <c r="K96" s="7" t="s">
        <v>947</v>
      </c>
    </row>
    <row r="97" customFormat="false" ht="15" hidden="false" customHeight="true" outlineLevel="0" collapsed="false">
      <c r="A97" s="3" t="s">
        <v>948</v>
      </c>
      <c r="B97" s="3" t="s">
        <v>147</v>
      </c>
      <c r="C97" s="3" t="s">
        <v>944</v>
      </c>
      <c r="D97" s="3" t="s">
        <v>949</v>
      </c>
      <c r="E97" s="3" t="n">
        <v>5</v>
      </c>
      <c r="F97" s="3" t="s">
        <v>638</v>
      </c>
      <c r="G97" s="3" t="s">
        <v>863</v>
      </c>
      <c r="H97" s="3" t="s">
        <v>946</v>
      </c>
      <c r="I97" s="3" t="s">
        <v>640</v>
      </c>
      <c r="J97" s="7" t="s">
        <v>864</v>
      </c>
      <c r="K97" s="7" t="s">
        <v>950</v>
      </c>
    </row>
    <row r="98" customFormat="false" ht="15" hidden="false" customHeight="true" outlineLevel="0" collapsed="false">
      <c r="A98" s="3" t="s">
        <v>951</v>
      </c>
      <c r="B98" s="3" t="s">
        <v>147</v>
      </c>
      <c r="C98" s="3" t="s">
        <v>944</v>
      </c>
      <c r="D98" s="3" t="s">
        <v>952</v>
      </c>
      <c r="E98" s="3" t="n">
        <v>3</v>
      </c>
      <c r="F98" s="3" t="s">
        <v>638</v>
      </c>
      <c r="G98" s="3" t="s">
        <v>904</v>
      </c>
      <c r="H98" s="3" t="s">
        <v>946</v>
      </c>
      <c r="I98" s="3" t="s">
        <v>640</v>
      </c>
      <c r="J98" s="7" t="s">
        <v>655</v>
      </c>
      <c r="K98" s="7" t="s">
        <v>953</v>
      </c>
    </row>
    <row r="99" customFormat="false" ht="15" hidden="false" customHeight="true" outlineLevel="0" collapsed="false">
      <c r="A99" s="3" t="s">
        <v>954</v>
      </c>
      <c r="B99" s="3" t="s">
        <v>147</v>
      </c>
      <c r="C99" s="3" t="s">
        <v>944</v>
      </c>
      <c r="D99" s="3" t="s">
        <v>955</v>
      </c>
      <c r="E99" s="3" t="n">
        <v>3</v>
      </c>
      <c r="F99" s="3" t="s">
        <v>638</v>
      </c>
      <c r="G99" s="3" t="s">
        <v>904</v>
      </c>
      <c r="H99" s="3" t="s">
        <v>946</v>
      </c>
      <c r="I99" s="3" t="s">
        <v>640</v>
      </c>
      <c r="J99" s="7" t="s">
        <v>655</v>
      </c>
      <c r="K99" s="7" t="s">
        <v>956</v>
      </c>
    </row>
    <row r="100" customFormat="false" ht="15" hidden="false" customHeight="true" outlineLevel="0" collapsed="false">
      <c r="A100" s="3" t="s">
        <v>957</v>
      </c>
      <c r="B100" s="3" t="s">
        <v>147</v>
      </c>
      <c r="C100" s="3" t="s">
        <v>944</v>
      </c>
      <c r="D100" s="3" t="s">
        <v>958</v>
      </c>
      <c r="E100" s="3" t="n">
        <v>3</v>
      </c>
      <c r="F100" s="3" t="s">
        <v>638</v>
      </c>
      <c r="G100" s="3" t="s">
        <v>904</v>
      </c>
      <c r="H100" s="3" t="s">
        <v>946</v>
      </c>
      <c r="I100" s="3" t="s">
        <v>640</v>
      </c>
      <c r="J100" s="7" t="s">
        <v>655</v>
      </c>
      <c r="K100" s="7" t="s">
        <v>959</v>
      </c>
    </row>
    <row r="101" customFormat="false" ht="15" hidden="false" customHeight="true" outlineLevel="0" collapsed="false">
      <c r="A101" s="3" t="s">
        <v>960</v>
      </c>
      <c r="B101" s="3" t="s">
        <v>147</v>
      </c>
      <c r="C101" s="3" t="s">
        <v>944</v>
      </c>
      <c r="D101" s="3" t="s">
        <v>961</v>
      </c>
      <c r="E101" s="3" t="n">
        <v>3</v>
      </c>
      <c r="F101" s="3" t="s">
        <v>647</v>
      </c>
      <c r="G101" s="3" t="s">
        <v>910</v>
      </c>
      <c r="H101" s="3" t="s">
        <v>946</v>
      </c>
      <c r="I101" s="3" t="s">
        <v>648</v>
      </c>
      <c r="J101" s="7" t="s">
        <v>485</v>
      </c>
      <c r="K101" s="7" t="s">
        <v>962</v>
      </c>
    </row>
    <row r="102" customFormat="false" ht="15" hidden="false" customHeight="true" outlineLevel="0" collapsed="false">
      <c r="A102" s="3" t="s">
        <v>963</v>
      </c>
      <c r="B102" s="3" t="s">
        <v>147</v>
      </c>
      <c r="C102" s="3" t="s">
        <v>944</v>
      </c>
      <c r="D102" s="3" t="s">
        <v>964</v>
      </c>
      <c r="E102" s="3" t="n">
        <v>2</v>
      </c>
      <c r="F102" s="3" t="s">
        <v>665</v>
      </c>
      <c r="G102" s="3" t="s">
        <v>244</v>
      </c>
      <c r="H102" s="3" t="s">
        <v>946</v>
      </c>
      <c r="I102" s="3" t="s">
        <v>666</v>
      </c>
      <c r="J102" s="7" t="s">
        <v>864</v>
      </c>
      <c r="K102" s="7"/>
    </row>
    <row r="103" customFormat="false" ht="15" hidden="false" customHeight="true" outlineLevel="0" collapsed="false">
      <c r="A103" s="3" t="s">
        <v>242</v>
      </c>
      <c r="B103" s="3" t="s">
        <v>147</v>
      </c>
      <c r="C103" s="3" t="s">
        <v>944</v>
      </c>
      <c r="D103" s="3" t="s">
        <v>965</v>
      </c>
      <c r="E103" s="3" t="n">
        <v>2</v>
      </c>
      <c r="F103" s="3" t="s">
        <v>647</v>
      </c>
      <c r="G103" s="3" t="s">
        <v>910</v>
      </c>
      <c r="H103" s="3" t="s">
        <v>946</v>
      </c>
      <c r="I103" s="3" t="s">
        <v>648</v>
      </c>
      <c r="J103" s="7" t="s">
        <v>864</v>
      </c>
      <c r="K103" s="7" t="s">
        <v>966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5" min="3" style="1" width="9"/>
    <col collapsed="false" customWidth="true" hidden="false" outlineLevel="0" max="6" min="6" style="1" width="12"/>
    <col collapsed="false" customWidth="true" hidden="false" outlineLevel="0" max="7" min="7" style="1" width="13"/>
    <col collapsed="false" customWidth="true" hidden="false" outlineLevel="0" max="8" min="8" style="1" width="42"/>
    <col collapsed="false" customWidth="true" hidden="false" outlineLevel="0" max="9" min="9" style="1" width="55"/>
  </cols>
  <sheetData>
    <row r="1" customFormat="false" ht="153" hidden="false" customHeight="true" outlineLevel="0" collapsed="false">
      <c r="A1" s="2" t="s">
        <v>967</v>
      </c>
    </row>
    <row r="2" customFormat="false" ht="180" hidden="false" customHeight="true" outlineLevel="0" collapsed="false">
      <c r="A2" s="3" t="s">
        <v>968</v>
      </c>
    </row>
    <row r="3" customFormat="false" ht="15" hidden="false" customHeight="true" outlineLevel="0" collapsed="false">
      <c r="A3" s="4" t="s">
        <v>65</v>
      </c>
      <c r="B3" s="4" t="s">
        <v>969</v>
      </c>
      <c r="C3" s="4" t="s">
        <v>970</v>
      </c>
      <c r="D3" s="4" t="s">
        <v>479</v>
      </c>
      <c r="E3" s="4" t="s">
        <v>485</v>
      </c>
      <c r="F3" s="4" t="s">
        <v>971</v>
      </c>
      <c r="G3" s="4" t="s">
        <v>972</v>
      </c>
      <c r="H3" s="4" t="s">
        <v>973</v>
      </c>
      <c r="I3" s="4" t="s">
        <v>974</v>
      </c>
    </row>
    <row r="4" customFormat="false" ht="23.25" hidden="false" customHeight="true" outlineLevel="0" collapsed="false">
      <c r="A4" s="3" t="s">
        <v>79</v>
      </c>
      <c r="B4" s="3" t="s">
        <v>975</v>
      </c>
      <c r="C4" s="3" t="n">
        <f aca="false">COUNTIFS(Traceability_Matrix!$G$4:$G$103,A4)</f>
        <v>4</v>
      </c>
      <c r="D4" s="3" t="n">
        <f aca="false">SUMIFS(Traceability_Matrix!$E$4:$E$103,Traceability_Matrix!$G$4:$G$103,A4)</f>
        <v>13</v>
      </c>
      <c r="E4" s="3" t="n">
        <f aca="false">COUNTIFS(Traceability_Matrix!$G$4:$G$103,A4,Traceability_Matrix!$J$4:$J$103,"Done")+COUNTIFS(Traceability_Matrix!$G$4:$G$103,A4,Traceability_Matrix!$J$4:$J$103,"Code-complete — pending live")</f>
        <v>4</v>
      </c>
      <c r="F4" s="3" t="n">
        <f aca="false">SUMIFS(Traceability_Matrix!$E$4:$E$103,Traceability_Matrix!$G$4:$G$103,A4,Traceability_Matrix!$J$4:$J$103,"Done")+SUMIFS(Traceability_Matrix!$E$4:$E$103,Traceability_Matrix!$G$4:$G$103,A4,Traceability_Matrix!$J$4:$J$103,"Code-complete — pending live")</f>
        <v>13</v>
      </c>
      <c r="G4" s="3" t="n">
        <f aca="false">IFERROR(F4/D4,0)</f>
        <v>1</v>
      </c>
      <c r="H4" s="3" t="s">
        <v>976</v>
      </c>
      <c r="I4" s="3" t="s">
        <v>977</v>
      </c>
    </row>
    <row r="5" customFormat="false" ht="15" hidden="false" customHeight="true" outlineLevel="0" collapsed="false">
      <c r="A5" s="3" t="s">
        <v>84</v>
      </c>
      <c r="B5" s="3" t="s">
        <v>978</v>
      </c>
      <c r="C5" s="3" t="n">
        <f aca="false">COUNTIFS(Traceability_Matrix!$G$4:$G$103,A5)</f>
        <v>6</v>
      </c>
      <c r="D5" s="3" t="n">
        <f aca="false">SUMIFS(Traceability_Matrix!$E$4:$E$103,Traceability_Matrix!$G$4:$G$103,A5)</f>
        <v>29</v>
      </c>
      <c r="E5" s="3" t="n">
        <f aca="false">COUNTIFS(Traceability_Matrix!$G$4:$G$103,A5,Traceability_Matrix!$J$4:$J$103,"Done")+COUNTIFS(Traceability_Matrix!$G$4:$G$103,A5,Traceability_Matrix!$J$4:$J$103,"Code-complete — pending live")</f>
        <v>6</v>
      </c>
      <c r="F5" s="3" t="n">
        <f aca="false">SUMIFS(Traceability_Matrix!$E$4:$E$103,Traceability_Matrix!$G$4:$G$103,A5,Traceability_Matrix!$J$4:$J$103,"Done")+SUMIFS(Traceability_Matrix!$E$4:$E$103,Traceability_Matrix!$G$4:$G$103,A5,Traceability_Matrix!$J$4:$J$103,"Code-complete — pending live")</f>
        <v>29</v>
      </c>
      <c r="G5" s="3" t="n">
        <f aca="false">IFERROR(F5/D5,0)</f>
        <v>1</v>
      </c>
      <c r="H5" s="3" t="s">
        <v>979</v>
      </c>
      <c r="I5" s="3" t="s">
        <v>980</v>
      </c>
    </row>
    <row r="6" customFormat="false" ht="15" hidden="false" customHeight="true" outlineLevel="0" collapsed="false">
      <c r="A6" s="3" t="s">
        <v>89</v>
      </c>
      <c r="B6" s="3" t="s">
        <v>981</v>
      </c>
      <c r="C6" s="3" t="n">
        <f aca="false">COUNTIFS(Traceability_Matrix!$G$4:$G$103,A6)</f>
        <v>11</v>
      </c>
      <c r="D6" s="3" t="n">
        <f aca="false">SUMIFS(Traceability_Matrix!$E$4:$E$103,Traceability_Matrix!$G$4:$G$103,A6)</f>
        <v>47</v>
      </c>
      <c r="E6" s="3" t="n">
        <f aca="false">COUNTIFS(Traceability_Matrix!$G$4:$G$103,A6,Traceability_Matrix!$J$4:$J$103,"Done")+COUNTIFS(Traceability_Matrix!$G$4:$G$103,A6,Traceability_Matrix!$J$4:$J$103,"Code-complete — pending live")</f>
        <v>11</v>
      </c>
      <c r="F6" s="3" t="n">
        <f aca="false">SUMIFS(Traceability_Matrix!$E$4:$E$103,Traceability_Matrix!$G$4:$G$103,A6,Traceability_Matrix!$J$4:$J$103,"Done")+SUMIFS(Traceability_Matrix!$E$4:$E$103,Traceability_Matrix!$G$4:$G$103,A6,Traceability_Matrix!$J$4:$J$103,"Code-complete — pending live")</f>
        <v>47</v>
      </c>
      <c r="G6" s="3" t="n">
        <f aca="false">IFERROR(F6/D6,0)</f>
        <v>1</v>
      </c>
      <c r="H6" s="3" t="s">
        <v>982</v>
      </c>
      <c r="I6" s="3" t="s">
        <v>983</v>
      </c>
    </row>
    <row r="7" customFormat="false" ht="15" hidden="false" customHeight="true" outlineLevel="0" collapsed="false">
      <c r="A7" s="3" t="s">
        <v>95</v>
      </c>
      <c r="B7" s="3" t="s">
        <v>676</v>
      </c>
      <c r="C7" s="3" t="n">
        <f aca="false">COUNTIFS(Traceability_Matrix!$G$4:$G$103,A7)</f>
        <v>9</v>
      </c>
      <c r="D7" s="3" t="n">
        <f aca="false">SUMIFS(Traceability_Matrix!$E$4:$E$103,Traceability_Matrix!$G$4:$G$103,A7)</f>
        <v>34</v>
      </c>
      <c r="E7" s="3" t="n">
        <f aca="false">COUNTIFS(Traceability_Matrix!$G$4:$G$103,A7,Traceability_Matrix!$J$4:$J$103,"Done")+COUNTIFS(Traceability_Matrix!$G$4:$G$103,A7,Traceability_Matrix!$J$4:$J$103,"Code-complete — pending live")</f>
        <v>9</v>
      </c>
      <c r="F7" s="3" t="n">
        <f aca="false">SUMIFS(Traceability_Matrix!$E$4:$E$103,Traceability_Matrix!$G$4:$G$103,A7,Traceability_Matrix!$J$4:$J$103,"Done")+SUMIFS(Traceability_Matrix!$E$4:$E$103,Traceability_Matrix!$G$4:$G$103,A7,Traceability_Matrix!$J$4:$J$103,"Code-complete — pending live")</f>
        <v>34</v>
      </c>
      <c r="G7" s="3" t="n">
        <f aca="false">IFERROR(F7/D7,0)</f>
        <v>1</v>
      </c>
      <c r="H7" s="3" t="s">
        <v>984</v>
      </c>
      <c r="I7" s="3" t="s">
        <v>985</v>
      </c>
    </row>
    <row r="8" customFormat="false" ht="23.25" hidden="false" customHeight="true" outlineLevel="0" collapsed="false">
      <c r="A8" s="3" t="s">
        <v>100</v>
      </c>
      <c r="B8" s="3" t="s">
        <v>986</v>
      </c>
      <c r="C8" s="3" t="n">
        <f aca="false">COUNTIFS(Traceability_Matrix!$G$4:$G$103,A8)</f>
        <v>12</v>
      </c>
      <c r="D8" s="3" t="n">
        <f aca="false">SUMIFS(Traceability_Matrix!$E$4:$E$103,Traceability_Matrix!$G$4:$G$103,A8)</f>
        <v>50</v>
      </c>
      <c r="E8" s="3" t="n">
        <f aca="false">COUNTIFS(Traceability_Matrix!$G$4:$G$103,A8,Traceability_Matrix!$J$4:$J$103,"Done")+COUNTIFS(Traceability_Matrix!$G$4:$G$103,A8,Traceability_Matrix!$J$4:$J$103,"Code-complete — pending live")</f>
        <v>12</v>
      </c>
      <c r="F8" s="3" t="n">
        <f aca="false">SUMIFS(Traceability_Matrix!$E$4:$E$103,Traceability_Matrix!$G$4:$G$103,A8,Traceability_Matrix!$J$4:$J$103,"Done")+SUMIFS(Traceability_Matrix!$E$4:$E$103,Traceability_Matrix!$G$4:$G$103,A8,Traceability_Matrix!$J$4:$J$103,"Code-complete — pending live")</f>
        <v>50</v>
      </c>
      <c r="G8" s="3" t="n">
        <f aca="false">IFERROR(F8/D8,0)</f>
        <v>1</v>
      </c>
      <c r="H8" s="3" t="s">
        <v>987</v>
      </c>
      <c r="I8" s="3" t="s">
        <v>988</v>
      </c>
    </row>
    <row r="9" customFormat="false" ht="23.25" hidden="false" customHeight="true" outlineLevel="0" collapsed="false">
      <c r="A9" s="3" t="s">
        <v>106</v>
      </c>
      <c r="B9" s="3" t="s">
        <v>989</v>
      </c>
      <c r="C9" s="3" t="n">
        <f aca="false">COUNTIFS(Traceability_Matrix!$G$4:$G$103,A9)</f>
        <v>13</v>
      </c>
      <c r="D9" s="3" t="n">
        <f aca="false">SUMIFS(Traceability_Matrix!$E$4:$E$103,Traceability_Matrix!$G$4:$G$103,A9)</f>
        <v>60</v>
      </c>
      <c r="E9" s="3" t="n">
        <f aca="false">COUNTIFS(Traceability_Matrix!$G$4:$G$103,A9,Traceability_Matrix!$J$4:$J$103,"Done")+COUNTIFS(Traceability_Matrix!$G$4:$G$103,A9,Traceability_Matrix!$J$4:$J$103,"Code-complete — pending live")</f>
        <v>13</v>
      </c>
      <c r="F9" s="3" t="n">
        <f aca="false">SUMIFS(Traceability_Matrix!$E$4:$E$103,Traceability_Matrix!$G$4:$G$103,A9,Traceability_Matrix!$J$4:$J$103,"Done")+SUMIFS(Traceability_Matrix!$E$4:$E$103,Traceability_Matrix!$G$4:$G$103,A9,Traceability_Matrix!$J$4:$J$103,"Code-complete — pending live")</f>
        <v>60</v>
      </c>
      <c r="G9" s="3" t="n">
        <f aca="false">IFERROR(F9/D9,0)</f>
        <v>1</v>
      </c>
      <c r="H9" s="3" t="s">
        <v>990</v>
      </c>
      <c r="I9" s="3" t="s">
        <v>991</v>
      </c>
    </row>
    <row r="10" customFormat="false" ht="15" hidden="false" customHeight="true" outlineLevel="0" collapsed="false">
      <c r="A10" s="3" t="s">
        <v>112</v>
      </c>
      <c r="B10" s="3" t="s">
        <v>992</v>
      </c>
      <c r="C10" s="3" t="n">
        <f aca="false">COUNTIFS(Traceability_Matrix!$G$4:$G$103,A10)</f>
        <v>5</v>
      </c>
      <c r="D10" s="3" t="n">
        <f aca="false">SUMIFS(Traceability_Matrix!$E$4:$E$103,Traceability_Matrix!$G$4:$G$103,A10)</f>
        <v>15</v>
      </c>
      <c r="E10" s="3" t="n">
        <f aca="false">COUNTIFS(Traceability_Matrix!$G$4:$G$103,A10,Traceability_Matrix!$J$4:$J$103,"Done")+COUNTIFS(Traceability_Matrix!$G$4:$G$103,A10,Traceability_Matrix!$J$4:$J$103,"Code-complete — pending live")</f>
        <v>5</v>
      </c>
      <c r="F10" s="3" t="n">
        <f aca="false">SUMIFS(Traceability_Matrix!$E$4:$E$103,Traceability_Matrix!$G$4:$G$103,A10,Traceability_Matrix!$J$4:$J$103,"Done")+SUMIFS(Traceability_Matrix!$E$4:$E$103,Traceability_Matrix!$G$4:$G$103,A10,Traceability_Matrix!$J$4:$J$103,"Code-complete — pending live")</f>
        <v>15</v>
      </c>
      <c r="G10" s="3" t="n">
        <f aca="false">IFERROR(F10/D10,0)</f>
        <v>1</v>
      </c>
      <c r="H10" s="3" t="s">
        <v>993</v>
      </c>
      <c r="I10" s="3" t="s">
        <v>994</v>
      </c>
    </row>
    <row r="11" customFormat="false" ht="23.25" hidden="false" customHeight="true" outlineLevel="0" collapsed="false">
      <c r="A11" s="3" t="s">
        <v>118</v>
      </c>
      <c r="B11" s="3" t="s">
        <v>995</v>
      </c>
      <c r="C11" s="3" t="n">
        <f aca="false">COUNTIFS(Traceability_Matrix!$G$4:$G$103,A11)</f>
        <v>22</v>
      </c>
      <c r="D11" s="3" t="n">
        <f aca="false">SUMIFS(Traceability_Matrix!$E$4:$E$103,Traceability_Matrix!$G$4:$G$103,A11)</f>
        <v>87</v>
      </c>
      <c r="E11" s="3" t="n">
        <f aca="false">COUNTIFS(Traceability_Matrix!$G$4:$G$103,A11,Traceability_Matrix!$J$4:$J$103,"Done")+COUNTIFS(Traceability_Matrix!$G$4:$G$103,A11,Traceability_Matrix!$J$4:$J$103,"Code-complete — pending live")</f>
        <v>22</v>
      </c>
      <c r="F11" s="3" t="n">
        <f aca="false">SUMIFS(Traceability_Matrix!$E$4:$E$103,Traceability_Matrix!$G$4:$G$103,A11,Traceability_Matrix!$J$4:$J$103,"Done")+SUMIFS(Traceability_Matrix!$E$4:$E$103,Traceability_Matrix!$G$4:$G$103,A11,Traceability_Matrix!$J$4:$J$103,"Code-complete — pending live")</f>
        <v>87</v>
      </c>
      <c r="G11" s="3" t="n">
        <f aca="false">IFERROR(F11/D11,0)</f>
        <v>1</v>
      </c>
      <c r="H11" s="3" t="s">
        <v>996</v>
      </c>
      <c r="I11" s="3" t="s">
        <v>997</v>
      </c>
    </row>
    <row r="12" customFormat="false" ht="15" hidden="false" customHeight="true" outlineLevel="0" collapsed="false">
      <c r="A12" s="3" t="s">
        <v>863</v>
      </c>
      <c r="B12" s="3" t="s">
        <v>998</v>
      </c>
      <c r="C12" s="3" t="n">
        <f aca="false">COUNTIFS(Traceability_Matrix!$G$4:$G$103,A12)</f>
        <v>7</v>
      </c>
      <c r="D12" s="3" t="n">
        <f aca="false">SUMIFS(Traceability_Matrix!$E$4:$E$103,Traceability_Matrix!$G$4:$G$103,A12)</f>
        <v>30</v>
      </c>
      <c r="E12" s="3" t="n">
        <f aca="false">COUNTIFS(Traceability_Matrix!$G$4:$G$103,A12,Traceability_Matrix!$J$4:$J$103,"Done")+COUNTIFS(Traceability_Matrix!$G$4:$G$103,A12,Traceability_Matrix!$J$4:$J$103,"Code-complete — pending live")</f>
        <v>4</v>
      </c>
      <c r="F12" s="3" t="n">
        <f aca="false">SUMIFS(Traceability_Matrix!$E$4:$E$103,Traceability_Matrix!$G$4:$G$103,A12,Traceability_Matrix!$J$4:$J$103,"Done")+SUMIFS(Traceability_Matrix!$E$4:$E$103,Traceability_Matrix!$G$4:$G$103,A12,Traceability_Matrix!$J$4:$J$103,"Code-complete — pending live")</f>
        <v>14</v>
      </c>
      <c r="G12" s="3" t="n">
        <f aca="false">IFERROR(F12/D12,0)</f>
        <v>0.466666666666667</v>
      </c>
      <c r="H12" s="3"/>
      <c r="I12" s="3" t="s">
        <v>999</v>
      </c>
    </row>
    <row r="13" customFormat="false" ht="15" hidden="false" customHeight="true" outlineLevel="0" collapsed="false">
      <c r="A13" s="3" t="s">
        <v>904</v>
      </c>
      <c r="B13" s="3" t="s">
        <v>1000</v>
      </c>
      <c r="C13" s="3" t="n">
        <f aca="false">COUNTIFS(Traceability_Matrix!$G$4:$G$103,A13)</f>
        <v>7</v>
      </c>
      <c r="D13" s="3" t="n">
        <f aca="false">SUMIFS(Traceability_Matrix!$E$4:$E$103,Traceability_Matrix!$G$4:$G$103,A13)</f>
        <v>24</v>
      </c>
      <c r="E13" s="3" t="n">
        <f aca="false">COUNTIFS(Traceability_Matrix!$G$4:$G$103,A13,Traceability_Matrix!$J$4:$J$103,"Done")+COUNTIFS(Traceability_Matrix!$G$4:$G$103,A13,Traceability_Matrix!$J$4:$J$103,"Code-complete — pending live")</f>
        <v>7</v>
      </c>
      <c r="F13" s="3" t="n">
        <f aca="false">SUMIFS(Traceability_Matrix!$E$4:$E$103,Traceability_Matrix!$G$4:$G$103,A13,Traceability_Matrix!$J$4:$J$103,"Done")+SUMIFS(Traceability_Matrix!$E$4:$E$103,Traceability_Matrix!$G$4:$G$103,A13,Traceability_Matrix!$J$4:$J$103,"Code-complete — pending live")</f>
        <v>24</v>
      </c>
      <c r="G13" s="3" t="n">
        <f aca="false">IFERROR(F13/D13,0)</f>
        <v>1</v>
      </c>
      <c r="H13" s="3"/>
      <c r="I13" s="3" t="s">
        <v>1001</v>
      </c>
    </row>
    <row r="14" customFormat="false" ht="15" hidden="false" customHeight="true" outlineLevel="0" collapsed="false">
      <c r="A14" s="3" t="s">
        <v>910</v>
      </c>
      <c r="B14" s="3" t="s">
        <v>1002</v>
      </c>
      <c r="C14" s="3" t="n">
        <f aca="false">COUNTIFS(Traceability_Matrix!$G$4:$G$103,A14)</f>
        <v>3</v>
      </c>
      <c r="D14" s="3" t="n">
        <f aca="false">SUMIFS(Traceability_Matrix!$E$4:$E$103,Traceability_Matrix!$G$4:$G$103,A14)</f>
        <v>8</v>
      </c>
      <c r="E14" s="3" t="n">
        <f aca="false">COUNTIFS(Traceability_Matrix!$G$4:$G$103,A14,Traceability_Matrix!$J$4:$J$103,"Done")+COUNTIFS(Traceability_Matrix!$G$4:$G$103,A14,Traceability_Matrix!$J$4:$J$103,"Code-complete — pending live")</f>
        <v>2</v>
      </c>
      <c r="F14" s="3" t="n">
        <f aca="false">SUMIFS(Traceability_Matrix!$E$4:$E$103,Traceability_Matrix!$G$4:$G$103,A14,Traceability_Matrix!$J$4:$J$103,"Done")+SUMIFS(Traceability_Matrix!$E$4:$E$103,Traceability_Matrix!$G$4:$G$103,A14,Traceability_Matrix!$J$4:$J$103,"Code-complete — pending live")</f>
        <v>6</v>
      </c>
      <c r="G14" s="3" t="n">
        <f aca="false">IFERROR(F14/D14,0)</f>
        <v>0.75</v>
      </c>
      <c r="H14" s="3"/>
      <c r="I14" s="3" t="s">
        <v>1003</v>
      </c>
    </row>
    <row r="15" customFormat="false" ht="15" hidden="false" customHeight="true" outlineLevel="0" collapsed="false">
      <c r="A15" s="3" t="s">
        <v>244</v>
      </c>
      <c r="B15" s="3" t="s">
        <v>1004</v>
      </c>
      <c r="C15" s="3" t="n">
        <f aca="false">COUNTIFS(Traceability_Matrix!$G$4:$G$103,A15)</f>
        <v>1</v>
      </c>
      <c r="D15" s="3" t="n">
        <f aca="false">SUMIFS(Traceability_Matrix!$E$4:$E$103,Traceability_Matrix!$G$4:$G$103,A15)</f>
        <v>2</v>
      </c>
      <c r="E15" s="3" t="n">
        <f aca="false">COUNTIFS(Traceability_Matrix!$G$4:$G$103,A15,Traceability_Matrix!$J$4:$J$103,"Done")+COUNTIFS(Traceability_Matrix!$G$4:$G$103,A15,Traceability_Matrix!$J$4:$J$103,"Code-complete — pending live")</f>
        <v>0</v>
      </c>
      <c r="F15" s="3" t="n">
        <f aca="false">SUMIFS(Traceability_Matrix!$E$4:$E$103,Traceability_Matrix!$G$4:$G$103,A15,Traceability_Matrix!$J$4:$J$103,"Done")+SUMIFS(Traceability_Matrix!$E$4:$E$103,Traceability_Matrix!$G$4:$G$103,A15,Traceability_Matrix!$J$4:$J$103,"Code-complete — pending live")</f>
        <v>0</v>
      </c>
      <c r="G15" s="3" t="n">
        <f aca="false">IFERROR(F15/D15,0)</f>
        <v>0</v>
      </c>
      <c r="H15" s="3"/>
      <c r="I15" s="3" t="s">
        <v>1005</v>
      </c>
    </row>
    <row r="16" customFormat="false" ht="15" hidden="false" customHeight="true" outlineLevel="0" collapsed="false">
      <c r="A16" s="3" t="s">
        <v>1006</v>
      </c>
      <c r="B16" s="3" t="s">
        <v>1007</v>
      </c>
      <c r="C16" s="3" t="n">
        <f aca="false">SUM(C4:C15)</f>
        <v>100</v>
      </c>
      <c r="D16" s="3" t="n">
        <f aca="false">SUM(D4:D15)</f>
        <v>399</v>
      </c>
      <c r="E16" s="3" t="n">
        <f aca="false">SUM(E4:E15)</f>
        <v>95</v>
      </c>
      <c r="F16" s="3" t="n">
        <f aca="false">SUM(F4:F15)</f>
        <v>379</v>
      </c>
      <c r="G16" s="3" t="n">
        <f aca="false">IFERROR(F16/D16,0)</f>
        <v>0.949874686716792</v>
      </c>
      <c r="H16" s="3"/>
      <c r="I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10"/>
    <col collapsed="false" customWidth="true" hidden="false" outlineLevel="0" max="4" min="4" style="1" width="85"/>
    <col collapsed="false" customWidth="true" hidden="false" outlineLevel="0" max="5" min="5" style="1" width="12"/>
    <col collapsed="false" customWidth="true" hidden="false" outlineLevel="0" max="6" min="6" style="1" width="70"/>
  </cols>
  <sheetData>
    <row r="1" customFormat="false" ht="128.25" hidden="false" customHeight="true" outlineLevel="0" collapsed="false">
      <c r="A1" s="2" t="s">
        <v>1008</v>
      </c>
    </row>
    <row r="2" customFormat="false" ht="15" hidden="false" customHeight="true" outlineLevel="0" collapsed="false">
      <c r="A2" s="4" t="s">
        <v>64</v>
      </c>
      <c r="B2" s="4" t="s">
        <v>1009</v>
      </c>
      <c r="C2" s="4" t="s">
        <v>1010</v>
      </c>
      <c r="D2" s="4" t="s">
        <v>477</v>
      </c>
      <c r="E2" s="4" t="s">
        <v>6</v>
      </c>
      <c r="F2" s="4" t="s">
        <v>1011</v>
      </c>
    </row>
    <row r="3" customFormat="false" ht="15" hidden="false" customHeight="true" outlineLevel="0" collapsed="false">
      <c r="A3" s="3" t="s">
        <v>1012</v>
      </c>
      <c r="B3" s="3" t="s">
        <v>1013</v>
      </c>
      <c r="C3" s="3" t="s">
        <v>27</v>
      </c>
      <c r="D3" s="3" t="s">
        <v>1014</v>
      </c>
      <c r="E3" s="3" t="s">
        <v>1015</v>
      </c>
      <c r="F3" s="3" t="s">
        <v>1016</v>
      </c>
    </row>
    <row r="4" customFormat="false" ht="15" hidden="false" customHeight="true" outlineLevel="0" collapsed="false">
      <c r="A4" s="3" t="s">
        <v>1017</v>
      </c>
      <c r="B4" s="3" t="s">
        <v>1013</v>
      </c>
      <c r="C4" s="3" t="s">
        <v>27</v>
      </c>
      <c r="D4" s="3" t="s">
        <v>1018</v>
      </c>
      <c r="E4" s="3" t="s">
        <v>1015</v>
      </c>
      <c r="F4" s="3" t="s">
        <v>1019</v>
      </c>
    </row>
    <row r="5" customFormat="false" ht="23.25" hidden="false" customHeight="true" outlineLevel="0" collapsed="false">
      <c r="A5" s="3" t="s">
        <v>1020</v>
      </c>
      <c r="B5" s="3" t="s">
        <v>1013</v>
      </c>
      <c r="C5" s="3" t="s">
        <v>27</v>
      </c>
      <c r="D5" s="3" t="s">
        <v>1021</v>
      </c>
      <c r="E5" s="3" t="s">
        <v>1015</v>
      </c>
      <c r="F5" s="3" t="s">
        <v>1022</v>
      </c>
    </row>
    <row r="6" customFormat="false" ht="23.25" hidden="false" customHeight="true" outlineLevel="0" collapsed="false">
      <c r="A6" s="3" t="s">
        <v>1023</v>
      </c>
      <c r="B6" s="3" t="s">
        <v>1024</v>
      </c>
      <c r="C6" s="3" t="s">
        <v>1025</v>
      </c>
      <c r="D6" s="3" t="s">
        <v>1026</v>
      </c>
      <c r="E6" s="3" t="s">
        <v>1027</v>
      </c>
      <c r="F6" s="3" t="s">
        <v>1028</v>
      </c>
    </row>
    <row r="7" customFormat="false" ht="23.25" hidden="false" customHeight="true" outlineLevel="0" collapsed="false">
      <c r="A7" s="3" t="s">
        <v>1029</v>
      </c>
      <c r="B7" s="3" t="s">
        <v>1013</v>
      </c>
      <c r="C7" s="3" t="s">
        <v>1025</v>
      </c>
      <c r="D7" s="3" t="s">
        <v>1030</v>
      </c>
      <c r="E7" s="3" t="s">
        <v>1031</v>
      </c>
      <c r="F7" s="3" t="s">
        <v>1032</v>
      </c>
    </row>
    <row r="8" customFormat="false" ht="23.25" hidden="false" customHeight="true" outlineLevel="0" collapsed="false">
      <c r="A8" s="3" t="s">
        <v>1033</v>
      </c>
      <c r="B8" s="3" t="s">
        <v>1013</v>
      </c>
      <c r="C8" s="3" t="s">
        <v>1025</v>
      </c>
      <c r="D8" s="3" t="s">
        <v>1034</v>
      </c>
      <c r="E8" s="3" t="s">
        <v>1035</v>
      </c>
      <c r="F8" s="3" t="s">
        <v>1036</v>
      </c>
    </row>
    <row r="9" customFormat="false" ht="15" hidden="false" customHeight="true" outlineLevel="0" collapsed="false">
      <c r="A9" s="3" t="s">
        <v>598</v>
      </c>
      <c r="B9" s="3" t="s">
        <v>1037</v>
      </c>
      <c r="C9" s="3" t="s">
        <v>1025</v>
      </c>
      <c r="D9" s="3" t="s">
        <v>1038</v>
      </c>
      <c r="E9" s="3" t="s">
        <v>1039</v>
      </c>
      <c r="F9" s="3" t="s">
        <v>1040</v>
      </c>
    </row>
    <row r="10" customFormat="false" ht="15" hidden="false" customHeight="true" outlineLevel="0" collapsed="false">
      <c r="A10" s="3" t="s">
        <v>1041</v>
      </c>
      <c r="B10" s="3" t="s">
        <v>1037</v>
      </c>
      <c r="C10" s="3" t="s">
        <v>1025</v>
      </c>
      <c r="D10" s="3" t="s">
        <v>1042</v>
      </c>
      <c r="E10" s="3" t="s">
        <v>1015</v>
      </c>
      <c r="F10" s="3" t="s">
        <v>1043</v>
      </c>
    </row>
    <row r="11" customFormat="false" ht="124.5" hidden="false" customHeight="true" outlineLevel="0" collapsed="false">
      <c r="A11" s="5" t="s">
        <v>1044</v>
      </c>
      <c r="B11" s="3" t="s">
        <v>1045</v>
      </c>
      <c r="C11" s="5" t="s">
        <v>1015</v>
      </c>
      <c r="D11" s="5" t="s">
        <v>484</v>
      </c>
      <c r="E11" s="5" t="s">
        <v>31</v>
      </c>
      <c r="F11" s="3" t="s">
        <v>1046</v>
      </c>
    </row>
    <row r="12" customFormat="false" ht="157.5" hidden="false" customHeight="true" outlineLevel="0" collapsed="false">
      <c r="A12" s="5" t="s">
        <v>1047</v>
      </c>
      <c r="B12" s="3" t="s">
        <v>1048</v>
      </c>
      <c r="C12" s="5" t="s">
        <v>1015</v>
      </c>
      <c r="D12" s="5" t="s">
        <v>458</v>
      </c>
      <c r="E12" s="5" t="s">
        <v>31</v>
      </c>
      <c r="F12" s="3" t="s">
        <v>1049</v>
      </c>
    </row>
    <row r="13" customFormat="false" ht="180" hidden="false" customHeight="true" outlineLevel="0" collapsed="false">
      <c r="A13" s="5" t="s">
        <v>1044</v>
      </c>
      <c r="B13" s="3" t="s">
        <v>1050</v>
      </c>
      <c r="C13" s="5" t="s">
        <v>1015</v>
      </c>
      <c r="D13" s="5" t="s">
        <v>458</v>
      </c>
      <c r="E13" s="5" t="s">
        <v>1051</v>
      </c>
      <c r="F13" s="3" t="s">
        <v>1052</v>
      </c>
    </row>
    <row r="14" customFormat="false" ht="135.75" hidden="false" customHeight="true" outlineLevel="0" collapsed="false">
      <c r="A14" s="5" t="s">
        <v>1047</v>
      </c>
      <c r="B14" s="3" t="s">
        <v>1053</v>
      </c>
      <c r="C14" s="5" t="s">
        <v>1015</v>
      </c>
      <c r="D14" s="5" t="s">
        <v>458</v>
      </c>
      <c r="E14" s="5" t="s">
        <v>1051</v>
      </c>
      <c r="F14" s="3" t="s">
        <v>1054</v>
      </c>
    </row>
    <row r="15" customFormat="false" ht="168.75" hidden="false" customHeight="true" outlineLevel="0" collapsed="false">
      <c r="A15" s="5" t="s">
        <v>1044</v>
      </c>
      <c r="B15" s="3" t="s">
        <v>1055</v>
      </c>
      <c r="C15" s="5" t="s">
        <v>1015</v>
      </c>
      <c r="D15" s="5" t="s">
        <v>458</v>
      </c>
      <c r="E15" s="5" t="s">
        <v>1051</v>
      </c>
      <c r="F15" s="3" t="s">
        <v>1056</v>
      </c>
    </row>
    <row r="16" customFormat="false" ht="168.75" hidden="false" customHeight="true" outlineLevel="0" collapsed="false">
      <c r="A16" s="5" t="s">
        <v>1044</v>
      </c>
      <c r="B16" s="3" t="s">
        <v>1057</v>
      </c>
      <c r="C16" s="5" t="s">
        <v>1015</v>
      </c>
      <c r="D16" s="5" t="s">
        <v>458</v>
      </c>
      <c r="E16" s="5" t="s">
        <v>1051</v>
      </c>
      <c r="F16" s="3" t="s">
        <v>1058</v>
      </c>
    </row>
    <row r="17" customFormat="false" ht="79.5" hidden="false" customHeight="true" outlineLevel="0" collapsed="false">
      <c r="A17" s="5" t="s">
        <v>1047</v>
      </c>
      <c r="B17" s="3" t="s">
        <v>1059</v>
      </c>
      <c r="C17" s="5" t="s">
        <v>1015</v>
      </c>
      <c r="D17" s="5" t="s">
        <v>458</v>
      </c>
      <c r="E17" s="5" t="s">
        <v>1051</v>
      </c>
      <c r="F17" s="3" t="s">
        <v>1060</v>
      </c>
    </row>
    <row r="18" customFormat="false" ht="157.5" hidden="false" customHeight="true" outlineLevel="0" collapsed="false">
      <c r="A18" s="5" t="s">
        <v>1044</v>
      </c>
      <c r="B18" s="3" t="s">
        <v>1061</v>
      </c>
      <c r="C18" s="5" t="s">
        <v>1015</v>
      </c>
      <c r="D18" s="5" t="s">
        <v>458</v>
      </c>
      <c r="E18" s="5" t="s">
        <v>1051</v>
      </c>
      <c r="F18" s="3" t="s">
        <v>1062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85"/>
    <col collapsed="false" customWidth="true" hidden="false" outlineLevel="0" max="3" min="3" style="1" width="14"/>
    <col collapsed="false" customWidth="true" hidden="false" outlineLevel="0" max="4" min="4" style="1" width="60"/>
  </cols>
  <sheetData>
    <row r="1" customFormat="false" ht="165.75" hidden="false" customHeight="true" outlineLevel="0" collapsed="false">
      <c r="A1" s="2" t="s">
        <v>1063</v>
      </c>
    </row>
    <row r="2" customFormat="false" ht="168.75" hidden="false" customHeight="true" outlineLevel="0" collapsed="false">
      <c r="A2" s="3" t="s">
        <v>1064</v>
      </c>
    </row>
    <row r="3" customFormat="false" ht="15" hidden="false" customHeight="true" outlineLevel="0" collapsed="false">
      <c r="A3" s="4" t="s">
        <v>64</v>
      </c>
      <c r="B3" s="4" t="s">
        <v>1065</v>
      </c>
      <c r="C3" s="4" t="s">
        <v>1066</v>
      </c>
      <c r="D3" s="4" t="s">
        <v>6</v>
      </c>
    </row>
    <row r="4" customFormat="false" ht="15" hidden="false" customHeight="true" outlineLevel="0" collapsed="false">
      <c r="A4" s="3" t="s">
        <v>1067</v>
      </c>
      <c r="B4" s="3" t="s">
        <v>1068</v>
      </c>
      <c r="C4" s="3" t="s">
        <v>1069</v>
      </c>
      <c r="D4" s="3" t="s">
        <v>1015</v>
      </c>
    </row>
    <row r="5" customFormat="false" ht="15" hidden="false" customHeight="true" outlineLevel="0" collapsed="false">
      <c r="A5" s="3" t="s">
        <v>1070</v>
      </c>
      <c r="B5" s="3" t="s">
        <v>1071</v>
      </c>
      <c r="C5" s="3" t="s">
        <v>1069</v>
      </c>
      <c r="D5" s="3" t="s">
        <v>1015</v>
      </c>
    </row>
    <row r="6" customFormat="false" ht="15" hidden="false" customHeight="true" outlineLevel="0" collapsed="false">
      <c r="A6" s="3" t="s">
        <v>1072</v>
      </c>
      <c r="B6" s="3" t="s">
        <v>1073</v>
      </c>
      <c r="C6" s="3" t="s">
        <v>1074</v>
      </c>
      <c r="D6" s="3" t="s">
        <v>1015</v>
      </c>
    </row>
    <row r="7" customFormat="false" ht="15" hidden="false" customHeight="true" outlineLevel="0" collapsed="false">
      <c r="A7" s="3" t="s">
        <v>1075</v>
      </c>
      <c r="B7" s="3" t="s">
        <v>1076</v>
      </c>
      <c r="C7" s="3" t="s">
        <v>1077</v>
      </c>
      <c r="D7" s="3" t="s">
        <v>1015</v>
      </c>
    </row>
    <row r="8" customFormat="false" ht="15" hidden="false" customHeight="true" outlineLevel="0" collapsed="false">
      <c r="A8" s="3" t="s">
        <v>1078</v>
      </c>
      <c r="B8" s="3" t="s">
        <v>1079</v>
      </c>
      <c r="C8" s="3" t="s">
        <v>1080</v>
      </c>
      <c r="D8" s="3" t="s">
        <v>1015</v>
      </c>
    </row>
    <row r="9" customFormat="false" ht="15" hidden="false" customHeight="true" outlineLevel="0" collapsed="false">
      <c r="A9" s="3" t="s">
        <v>303</v>
      </c>
      <c r="B9" s="3" t="s">
        <v>1081</v>
      </c>
      <c r="C9" s="3" t="s">
        <v>1082</v>
      </c>
      <c r="D9" s="3" t="s">
        <v>1083</v>
      </c>
    </row>
    <row r="10" customFormat="false" ht="23.25" hidden="false" customHeight="true" outlineLevel="0" collapsed="false">
      <c r="A10" s="3" t="s">
        <v>1084</v>
      </c>
      <c r="B10" s="3" t="s">
        <v>1085</v>
      </c>
      <c r="C10" s="3" t="s">
        <v>1086</v>
      </c>
      <c r="D10" s="3" t="s">
        <v>1087</v>
      </c>
    </row>
    <row r="11" customFormat="false" ht="15" hidden="false" customHeight="true" outlineLevel="0" collapsed="false">
      <c r="A11" s="3" t="s">
        <v>1088</v>
      </c>
      <c r="B11" s="3" t="s">
        <v>1089</v>
      </c>
      <c r="C11" s="3" t="s">
        <v>1090</v>
      </c>
      <c r="D11" s="3" t="s">
        <v>1091</v>
      </c>
    </row>
    <row r="12" customFormat="false" ht="23.25" hidden="false" customHeight="true" outlineLevel="0" collapsed="false">
      <c r="A12" s="3" t="s">
        <v>1092</v>
      </c>
      <c r="B12" s="3" t="s">
        <v>1093</v>
      </c>
      <c r="C12" s="3" t="s">
        <v>1094</v>
      </c>
      <c r="D12" s="3" t="s">
        <v>1095</v>
      </c>
    </row>
    <row r="13" customFormat="false" ht="15" hidden="false" customHeight="true" outlineLevel="0" collapsed="false">
      <c r="A13" s="3" t="s">
        <v>1096</v>
      </c>
      <c r="B13" s="3" t="s">
        <v>1097</v>
      </c>
      <c r="C13" s="3" t="s">
        <v>1098</v>
      </c>
      <c r="D13" s="3" t="s">
        <v>1099</v>
      </c>
    </row>
    <row r="14" customFormat="false" ht="15" hidden="false" customHeight="true" outlineLevel="0" collapsed="false">
      <c r="A14" s="3" t="s">
        <v>1100</v>
      </c>
      <c r="B14" s="3" t="s">
        <v>1101</v>
      </c>
      <c r="C14" s="3" t="s">
        <v>1102</v>
      </c>
      <c r="D14" s="3" t="s">
        <v>1103</v>
      </c>
    </row>
    <row r="15" customFormat="false" ht="15" hidden="false" customHeight="true" outlineLevel="0" collapsed="false">
      <c r="A15" s="3" t="s">
        <v>1104</v>
      </c>
      <c r="B15" s="3" t="s">
        <v>1105</v>
      </c>
      <c r="C15" s="3" t="s">
        <v>1106</v>
      </c>
      <c r="D15" s="3" t="s">
        <v>1107</v>
      </c>
    </row>
    <row r="16" customFormat="false" ht="15" hidden="false" customHeight="true" outlineLevel="0" collapsed="false">
      <c r="A16" s="3" t="s">
        <v>1108</v>
      </c>
      <c r="B16" s="3" t="s">
        <v>1109</v>
      </c>
      <c r="C16" s="3" t="s">
        <v>1110</v>
      </c>
      <c r="D16" s="3" t="s">
        <v>1111</v>
      </c>
    </row>
    <row r="17" customFormat="false" ht="15" hidden="false" customHeight="true" outlineLevel="0" collapsed="false">
      <c r="A17" s="3" t="s">
        <v>1112</v>
      </c>
      <c r="B17" s="3" t="s">
        <v>1113</v>
      </c>
      <c r="C17" s="3" t="s">
        <v>1114</v>
      </c>
      <c r="D17" s="3" t="s">
        <v>1115</v>
      </c>
    </row>
    <row r="18" customFormat="false" ht="15" hidden="false" customHeight="true" outlineLevel="0" collapsed="false">
      <c r="A18" s="3" t="s">
        <v>1116</v>
      </c>
      <c r="B18" s="3" t="s">
        <v>1117</v>
      </c>
      <c r="C18" s="3" t="s">
        <v>1118</v>
      </c>
      <c r="D18" s="3" t="s">
        <v>1119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2026-09-10T22:09:56Z</dcterms:created>
  <dc:creator>openpyxl</dc:creator>
  <dc:description/>
  <dc:language>en-US</dc:language>
  <cp:lastModifiedBy/>
  <dcterms:modified xsi:type="dcterms:W3CDTF">2026-09-13T10:25:53Z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