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ReadMe_Scope" sheetId="2" state="visible" r:id="rId4"/>
    <sheet name="Product_Spec" sheetId="3" state="visible" r:id="rId5"/>
    <sheet name="Screens_Wireframes" sheetId="4" state="visible" r:id="rId6"/>
    <sheet name="Full_Backlog" sheetId="5" state="visible" r:id="rId7"/>
    <sheet name="Sprint_Board" sheetId="6" state="visible" r:id="rId8"/>
    <sheet name="Financial_Model" sheetId="7" state="visible" r:id="rId9"/>
    <sheet name="GTM_Execution" sheetId="8" state="visible" r:id="rId10"/>
    <sheet name="Launch_Checklist" sheetId="9" state="visible" r:id="rId11"/>
    <sheet name="Metrics_Targets" sheetId="10" state="visible" r:id="rId12"/>
    <sheet name="Risk_Register" sheetId="11" state="visible" r:id="rId13"/>
    <sheet name="Sprint_Tracker_Log" sheetId="12" state="visible" r:id="rId14"/>
    <sheet name="Traceability_Matrix" sheetId="13" state="visible" r:id="rId15"/>
    <sheet name="Review_Finding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<sst xmlns="http://schemas.openxmlformats.org/spreadsheetml/2006/main" count="3052" uniqueCount="1284">
  <si>
    <t xml:space="preserve">VERSION CONTROL — VoiceBridge CTI</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</si>
  <si>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</si>
  <si>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</si>
  <si>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</si>
  <si>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</si>
  <si>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</si>
  <si>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</si>
  <si>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</si>
  <si>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</si>
  <si>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wave-1 (RetainKit/ShiftDesk/EngageOS, v005) -&gt; this product selected for wave-2</t>
  </si>
  <si>
    <t xml:space="preserve">Released</t>
  </si>
  <si>
    <t xml:space="preserve">v006</t>
  </si>
  <si>
    <t xml:space="preserve">2026-09-05 19:46</t>
  </si>
  <si>
    <t xml:space="preserve">Full product workbook for VoiceBridge CTI on Salesforce AppExchange: spec, screen inventory, 100+ story backlog, live sprint board, 18-month financial model (editable assumptions), GTM execution tasks, platform launch checklist, metric targets, risk register</t>
  </si>
  <si>
    <t xml:space="preserve">v007</t>
  </si>
  <si>
    <t xml:space="preserve">2026-09-10 23:00</t>
  </si>
  <si>
    <t xml:space="preserve">Released: S1-S8 executed done-in-code under D13 (D17, interviews parked; supersedes the planned post-S0 re-baseline). 79 Done + 5 code-complete-pending-live of 100 stories; TypeScript codebase 20 Jest suites / 85 tests at 100% coverage; Full_Backlog statuses updated; Sprint_Board Done counts now live COUNTIFS; Sprint_Tracker_Log + Traceability_Matrix sheets added (companion tracker file claude_v001_voicebridge_sprint_tracker_traceability_20260910_2300).</t>
  </si>
  <si>
    <t xml:space="preserve">v008</t>
  </si>
  <si>
    <t xml:space="preserve">2026-09-11 08:46</t>
  </si>
  <si>
    <t xml:space="preserve">Released: S9 review prep executed done-in-code (WCAG widgets + axe audit, backup/restore drill, chaos degradation + /status comms Done; security evidence pack In progress pending pen-test vendor; listing copy A/B + asset plan Drafted) plus live-sweep pack (12-step, 30-min dev-org guide) and D18 packaging recommendation (hybrid-minimal 2GP shim). Codebase 24 suites / 101 tests at 100% coverage. 82 Done / 5 code-complete / 1 in progress / 2 drafted / 10 backlog (352/399 pts engaged). Companion tracker claude_v002_voicebridge_sprint_tracker_traceability_20260911_0846.</t>
  </si>
  <si>
    <t xml:space="preserve">v009</t>
  </si>
  <si>
    <t xml:space="preserve">2026-09-11 12:48</t>
  </si>
  <si>
    <t xml:space="preserve">Released: S10 review remediation executed done-in-code (help center 15+search, built-in chat SLA engine — vendor deferred D-V1, status page + incident template, pricing + trust from single sources; demo-data mode code-complete pending video capture; dry-run engine READY 11/11 automated + REVIEW_PACK.md, ST-097 In progress pending DR-12 external sign-off). Codebase 30 suites / 131 tests at 100% zero pragmas. 87 Done / 6 code-complete / 2 in progress / 2 drafted / 3 backlog (373/399 pts engaged). Companion tracker claude_v003_voicebridge_sprint_tracker_traceability_20260911_1248.</t>
  </si>
  <si>
    <t xml:space="preserve">v010</t>
  </si>
  <si>
    <t xml:space="preserve">2026-09-11 13:32</t>
  </si>
  <si>
    <t xml:space="preserve">Released: CODE PHASE COMPLETE — S11+S12 codeable scope (executable runbook Done; design-partner tracker CC pending outreach; SEO iteration engine CC pending post-listing data). Backlog ZERO. 33 suites / 150 tests at 100% zero pragmas. Final: 88 Done / 8 code-complete / 2 in progress / 2 drafted (380/399 pts); remaining 19 pts all Senthil-side (pen-test 8, DR-12 sign-off 3, copy pick 3, asset capture 5). Companion tracker claude_v004_voicebridge_sprint_tracker_traceability_20260911_1332. No further code sprints planned.</t>
  </si>
  <si>
    <t xml:space="preserve">v011</t>
  </si>
  <si>
    <t xml:space="preserve">2026-09-11 15:26</t>
  </si>
  <si>
    <t xml:space="preserve">Released: D18 shim package source built (sfdx project: CallCenter Open CTI definition, matrix-generated permission sets with drift tests, esbuild softphone bundle from new functional DI Open CTI adapter tested in jsdom) — O2 now turnkey; R-V5 code half closed. 35 suites / 162 tests at 100% zero pragmas. Story position unchanged (88 Done / 8 CC / 2 in progress / 2 drafted, 380/399 pts) — infrastructure release, statuses honest. Companion tracker claude_v005_voicebridge_sprint_tracker_traceability_20260911_1526.</t>
  </si>
  <si>
    <t xml:space="preserve">v012</t>
  </si>
  <si>
    <t xml:space="preserve">2026-09-11 22:09</t>
  </si>
  <si>
    <t xml:space="preserve">Released: cold-review pass 1 — 7 defects fixed with regressions (retention PII leak, missing payment recovery, unenforced trial expiry, unguarded invoices, unbounded ledgers, no-op production backoff, unenforced read-only → new billing write-gate) + 2 observations for disposition; Review_Findings sheet added. 36 suites / 176 tests at 100% zero pragmas. Story position unchanged (88/8/2/2, 380/399). Companion tracker claude_v006_voicebridge_sprint_tracker_traceability_20260911_2209.</t>
  </si>
  <si>
    <t xml:space="preserve">v013</t>
  </si>
  <si>
    <t xml:space="preserve">PLANNED: cold-review pass 2 if directed, or live evidence / ratifications / dispositions.</t>
  </si>
  <si>
    <t xml:space="preserve">Planned</t>
  </si>
  <si>
    <t xml:space="preserve">2026-09-11 22:34</t>
  </si>
  <si>
    <t xml:space="preserve">COLD REVIEW COMPLETE (pass 2, all remaining modules) + EXTERNAL VERIFICATION SWEEP vs live Open CTI docs + artifact-gap audit. 13 defects fixed (F-V08..F-V20), 4 verification findings incl. 2 LIVE-BLOCKING (VER-V01/V02), missing /log route built, 2 observations logged for disposition. 39 suites / 217 tests at 100% zero pragmas. Story position unchanged: 88 Done / 8 code-complete / 2 in progress / 2 drafted (380/399).</t>
  </si>
  <si>
    <t xml:space="preserve">v014</t>
  </si>
  <si>
    <t xml:space="preserve">2026-09-13 10:39</t>
  </si>
  <si>
    <t xml:space="preserve">SCREEN SURFACE + OAUTH COMPLIANCE (code v0.14.0; companion tracker v008). GAP-V2 closed — 9 screens specified, 2 existed, 7 built as tested view-models + accessible renderer wired to the live modules and served at /ui; WCAG audit widened from 2 screens to 9 x populated+empty. External verification sweep #2 vs live Salesforce ISV docs: VER-V06 new Connected Apps cannot be created from Spring '26 (the 30-minute dev-org guide was unrunnable as written) — ECA across code, docs and sweep; VER-V07..V09 the four OAuth controls mandatory since 11 May 2026 and enforceable since 25 June 2026 — PKCE + single-use state, 30-day refresh idle timeout, rotation anomaly telemetry, refresh IP allowlist, sweep A9/A10 + operator O5. VER-V10: Checkout is NOT mandatory (ISVforce+COA alternative) — raised as D-V3. F-V21 logged UNFIXED: identity is caller-declared. 41 suites / 274 tests at 100% zero pragmas; story position deliberately unchanged at 88/8/2/2 (380 of 399 pts).</t>
  </si>
  <si>
    <t xml:space="preserve">v015</t>
  </si>
  <si>
    <t xml:space="preserve">2026-09-13 10:57</t>
  </si>
  <si>
    <t xml:space="preserve">ARTIFACT-GAP AUDIT (code v0.15.0; companion tracker v009). 5 gaps, 2 CRITICAL. GAP-V3: no process and no production OAuth gateway — createApp() had never been called by anything and every OAuthGateway was a test double, so the ECA callback, the sweep /health probe, the k6 harness and the softphone's /dial and /log posts all addressed a server that could not be started. GAP-V4: no schema behind the published 30-day retention policy, the ST-090 backup drill and sweep check A5. GAP-V5: CI on end-of-life Node 20. All fixed — server.ts/main.ts/npm start, SfOAuthGateway, 5 ordered migrations + guarded npm run migrate, Node 22. R-V11 logged: the migrations describe the store but the runtime is still in-memory. 42 suites / 296 tests at 100% zero pragmas; story position unchanged at 88/8/2/2 (380 of 399).</t>
  </si>
  <si>
    <t xml:space="preserve">v016</t>
  </si>
  <si>
    <t xml:space="preserve">2026-09-13 11:14</t>
  </si>
  <si>
    <t xml:space="preserve">COLD-REVIEW PASS 3 + IDENTITY BOUNDARY (code v0.16.0; companion tracker v010). Pass 3 over the surfaces the last two releases added found F-V23 — a defect introduced in v0.14.0 where the new /ui routes read the org from the URL and checked nothing, exposing any org's billing, invoices, analytics and support queue to any caller. Fixing it required the boundary F-V21 had been waiting for, so both closed: HMAC-signed sessions minted only at the install callback, identity never taken from body or URL, 401/403 split out of the blanket 400. Plus F-V24 (unbounded PKCE map behind a public route), F-V25 (no token-endpoint timeout), F-V26 (drain waited forever). 43 suites / 318 tests at 100% zero pragmas; story position unchanged at 88/8/2/2 (380 of 399).</t>
  </si>
  <si>
    <t xml:space="preserve">v017</t>
  </si>
  <si>
    <t xml:space="preserve">2026-09-13 11:36</t>
  </si>
  <si>
    <t xml:space="preserve">R-V11 STAGE 1 (code v0.17.0; companion tracker v011). Async Repository interface, InMemoryRepository, PgRepository against the migrations plus 006_sequences.sql, and a conformance suite running the same tests against both implementations. Staged because the conversion measures 91 store call sites across 20 modules and 277 test lines — one pass would leave the D13 gate unrunnable. NOT WIRED: createApp() still builds the sync Store, so R-V11 stays OPEN and stage 1 is not persistence. New operator step O6 gates closure on running the conformance suite against live Postgres. 44 suites / 340 tests at 100% zero pragmas; story position unchanged at 88/8/2/2 (380 of 399).</t>
  </si>
  <si>
    <t xml:space="preserve">v018</t>
  </si>
  <si>
    <t xml:space="preserve">2026-09-13 11:51</t>
  </si>
  <si>
    <t xml:space="preserve">R-V11 STAGE 2 + PLAN CORRECTION (code v0.18.0; companion tracker v012). The v0.17.0 conversion order was backwards — it started with audit/notifications as dependency leaves, but async cascades toward callers, so those are the most expensive modules to convert, not the cheapest. Corrected rule: convert a module only once all its callers are already async, working top-down from the routes. Stage 2 executed under the new order — supportChat.ts and screenData.ts on the async Repository, cascade contained at the route handlers. 44 suites / 340 tests at 100% zero pragmas; 2 of 20 modules converted; R-V11 remains OPEN; story position unchanged at 88/8/2/2.</t>
  </si>
  <si>
    <t xml:space="preserve">v019</t>
  </si>
  <si>
    <t xml:space="preserve">2026-09-13 11:58</t>
  </si>
  <si>
    <t xml:space="preserve">R-V11 STAGE 3 + SECOND PLAN CORRECTION (code v0.19.0; companion tracker v013). Planned stage 3 was vacuous — statusPage, helpCenter, pricingPage and trustPage never touch the store; they were listed because they looked like the right shape, and one grep before coding caught it. Real stage 3 executed: analytics.ts and onboarding.ts on the async Repository, cascade contained at routes/screenData/runbook. New R-V14: createApp() runs a sync Store and a shared InMemoryRepository side by side mid-migration, and backup.ts covers only the former — so the ST-090 drill is incomplete until the migration finishes. 44 suites / 340 tests at 100% zero pragmas; 4 of 20 modules converted; story position unchanged at 88/8/2/2.</t>
  </si>
  <si>
    <t xml:space="preserve">v020</t>
  </si>
  <si>
    <t xml:space="preserve">2026-09-13 12:05</t>
  </si>
  <si>
    <t xml:space="preserve">R-V11 STAGE 4 (code v0.20.0; companion tracker v014). Planned stage 4 (billing.ts) blocked — featureCore calls billing's writeBlocked and is still synchronous, so billing converts after featureCore. Shipped designPartners.ts instead (no src callers). demoMode attempted and reverted: it writes roles the unconverted feature modules read, so converting it alone split the data from its readers and the demo seed 403d — R-V14 made concrete. 44 suites / 340 tests at 100% zero pragmas; 5 of 20 modules converted; story position unchanged at 88/8/2/2.</t>
  </si>
  <si>
    <t xml:space="preserve">v021</t>
  </si>
  <si>
    <t xml:space="preserve">2026-09-13 16:38</t>
  </si>
  <si>
    <t xml:space="preserve">R-V11 STAGE 5 (code v0.21.0; companion tracker v015). The featureCore/permissions cluster — 13 modules — converted to the async Repository as one unit, because the roles, feature state and records they share cannot be split across two stores. createApp() now builds one shared repository; the legacy Store is reduced to PKCE state and the ST-090 snapshot drill, with the rest deleted rather than left dead. F-V27 found mid-conversion: flowActions.invoke() stored a floating promise, so rejections escaped the try/catch that records failed runs and rethrows — the Flow retry contract was silently broken. 44 suites / 340 tests at 100% zero pragmas; 16 of 20 modules converted; story position unchanged at 88/8/2/2.</t>
  </si>
  <si>
    <t xml:space="preserve">v022</t>
  </si>
  <si>
    <t xml:space="preserve">2026-09-13 16:51</t>
  </si>
  <si>
    <t xml:space="preserve">R-V11 STAGE 6 — LEGACY STORE DELETED (code v0.22.0; companion tracker v016). sfAuth PKCE state and backup snapshot/restore moved to the repository; src/store.ts and its test deleted; createApp() builds exactly one store. R-V14 CLOSED — the ST-090 drill now covers all the data. 20 of 20 modules converted across six staged releases; R-V11 code half COMPLETE. Only O6 (conformance suite against live Postgres) stands between it and closure. 43 suites / 339 tests at 100% zero pragmas; story position unchanged at 88/8/2/2.</t>
  </si>
  <si>
    <t xml:space="preserve">v023</t>
  </si>
  <si>
    <t xml:space="preserve">2026-09-13 17:25</t>
  </si>
  <si>
    <t xml:space="preserve">POST-CONVERSION REVIEW — F-V28 (code v0.23.0; companion tracker v017). The R-V11 conversion put an await between the read and the write in four check-then-write guards (cadence limit, duplicate-enrollment, activity dedupe, ten-slot partner cap), so two concurrent requests could both pass the check and both write — a limit of 10 admitting 11, a retried webhook logging twice. The logic never changed; the guarantee the synchronous model provided did. Fixed with a per-(org,resource) serial queue and 11 regressions that fire calls concurrently. F-V19 also found again at module level (cadence ids from a per-instance counter). R-V15 logged: this covers one process, and ST-092 blue/green runs two, so the guards need database enforcement at the PgRepository cutover. 44 suites / 350 tests at 100% zero pragmas; story position unchanged at 88/8/2/2.</t>
  </si>
  <si>
    <t xml:space="preserve">VoiceBridge CTI — Omnichannel CTI: click-to-dial, call logging, WhatsApp/SMS threads native in Salesforce</t>
  </si>
  <si>
    <t xml:space="preserve">PLATFORM: Salesforce AppExchange | CATEGORY: Sales Engagement / Telephony</t>
  </si>
  <si>
    <t xml:space="preserve">PROBLEM: Mid-market telephony connectors are either enterprise-priced (NICE/Genesys) or shallow loggers</t>
  </si>
  <si>
    <t xml:space="preserve">DIFFERENTIATION: Deep Flow/Einstein integration, transparent per-seat pricing, India+global carrier coverage</t>
  </si>
  <si>
    <t xml:space="preserve">ICP: B2B sales orgs 50-500 seats on Sales/Service Cloud, existing telephony spend, RevOps function present</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</si>
  <si>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</si>
  <si>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</si>
  <si>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PRODUCT SPEC</t>
  </si>
  <si>
    <t xml:space="preserve">Module (feature)</t>
  </si>
  <si>
    <t xml:space="preserve">Scope in MVP</t>
  </si>
  <si>
    <t xml:space="preserve">Out of scope (v1)</t>
  </si>
  <si>
    <t xml:space="preserve">Non-functional requirements</t>
  </si>
  <si>
    <t xml:space="preserve">Click-to-dial + softphone</t>
  </si>
  <si>
    <t xml:space="preserve">Click-to-dial + softphone: end-to-end happy path + edge cases + permissions</t>
  </si>
  <si>
    <t xml:space="preserve">Advanced automation, AI beyond listed, multi-language beyond launch set</t>
  </si>
  <si>
    <t xml:space="preserve">p95 &lt;500ms API / &lt;2s UI loads</t>
  </si>
  <si>
    <t xml:space="preserve">Auto call/WhatsApp logging</t>
  </si>
  <si>
    <t xml:space="preserve">Auto call/WhatsApp logging: end-to-end happy path + edge cases + permissions</t>
  </si>
  <si>
    <t xml:space="preserve">99.5% monthly uptime</t>
  </si>
  <si>
    <t xml:space="preserve">Cadence/sequence lite</t>
  </si>
  <si>
    <t xml:space="preserve">Cadence/sequence lite: end-to-end happy path + edge cases + permissions</t>
  </si>
  <si>
    <t xml:space="preserve">WCAG AA</t>
  </si>
  <si>
    <t xml:space="preserve">Coaching analytics</t>
  </si>
  <si>
    <t xml:space="preserve">Coaching analytics: end-to-end happy path + edge cases + permissions</t>
  </si>
  <si>
    <t xml:space="preserve">SOC2-track controls</t>
  </si>
  <si>
    <t xml:space="preserve">Flow actions pack</t>
  </si>
  <si>
    <t xml:space="preserve">Flow actions pack: end-to-end happy path + edge cases + permissions</t>
  </si>
  <si>
    <t xml:space="preserve">Rate-limit safe (backoff+queue)</t>
  </si>
  <si>
    <t xml:space="preserve">Persona</t>
  </si>
  <si>
    <t xml:space="preserve">Jobs-to-be-done</t>
  </si>
  <si>
    <t xml:space="preserve">RevOps lead</t>
  </si>
  <si>
    <t xml:space="preserve">Evaluates on admin effort, Flow compatibility, reporting</t>
  </si>
  <si>
    <t xml:space="preserve">Sales leader (VP)</t>
  </si>
  <si>
    <t xml:space="preserve">Buys on rep productivity metrics; needs dashboards</t>
  </si>
  <si>
    <t xml:space="preserve">Salesforce admin</t>
  </si>
  <si>
    <t xml:space="preserve">Gatekeeper; security review status and permission sets decide the deal</t>
  </si>
  <si>
    <t xml:space="preserve">SCREEN INVENTORY (attach Figma links in col E during S0)</t>
  </si>
  <si>
    <t xml:space="preserve">#</t>
  </si>
  <si>
    <t xml:space="preserve">Screen</t>
  </si>
  <si>
    <t xml:space="preserve">Purpose</t>
  </si>
  <si>
    <t xml:space="preserve">Key elements</t>
  </si>
  <si>
    <t xml:space="preserve">Wireframe link</t>
  </si>
  <si>
    <t xml:space="preserve">Built (v0.14.0)</t>
  </si>
  <si>
    <t xml:space="preserve">Onboarding / first-run</t>
  </si>
  <si>
    <t xml:space="preserve">Reach aha in &lt;1 day</t>
  </si>
  <si>
    <t xml:space="preserve">Checklist, sample data toggle, connect steps</t>
  </si>
  <si>
    <t xml:space="preserve">YES — /ui SCR-1 (src/views.ts), populated + empty, axe-clean</t>
  </si>
  <si>
    <t xml:space="preserve">Home dashboard</t>
  </si>
  <si>
    <t xml:space="preserve">Daily habit surface</t>
  </si>
  <si>
    <t xml:space="preserve">KPI cards, activity feed, alerts</t>
  </si>
  <si>
    <t xml:space="preserve">YES — /ui SCR-2, degraded banner wired to platformHealth</t>
  </si>
  <si>
    <t xml:space="preserve">Click-to-dial + softphone workspace</t>
  </si>
  <si>
    <t xml:space="preserve">Core value surface</t>
  </si>
  <si>
    <t xml:space="preserve">List+detail, bulk actions, status chips</t>
  </si>
  <si>
    <t xml:space="preserve">YES — widget/softphone.html (in-org Open CTI shell)</t>
  </si>
  <si>
    <t xml:space="preserve">Auto call/WhatsApp logging builder</t>
  </si>
  <si>
    <t xml:space="preserve">Configure second pillar</t>
  </si>
  <si>
    <t xml:space="preserve">Rule builder, preview, test mode</t>
  </si>
  <si>
    <t xml:space="preserve">YES — /ui SCR-4, rules from the live calllogger feature state</t>
  </si>
  <si>
    <t xml:space="preserve">Cadence/sequence lite view</t>
  </si>
  <si>
    <t xml:space="preserve">Differentiator surface</t>
  </si>
  <si>
    <t xml:space="preserve">Timeline/visual, export</t>
  </si>
  <si>
    <t xml:space="preserve">YES — /ui SCR-5, cadences + live enrolment counts</t>
  </si>
  <si>
    <t xml:space="preserve">Settings &amp; team</t>
  </si>
  <si>
    <t xml:space="preserve">Roles, notifications, data</t>
  </si>
  <si>
    <t xml:space="preserve">Role matrix, API keys, danger zone</t>
  </si>
  <si>
    <t xml:space="preserve">YES — widget/settings.html</t>
  </si>
  <si>
    <t xml:space="preserve">Billing</t>
  </si>
  <si>
    <t xml:space="preserve">Plan/trial/invoices</t>
  </si>
  <si>
    <t xml:space="preserve">Plan cards, usage meter, invoices</t>
  </si>
  <si>
    <t xml:space="preserve">YES — /ui SCR-7, plan/seats/invoices + trial countdown</t>
  </si>
  <si>
    <t xml:space="preserve">Analytics</t>
  </si>
  <si>
    <t xml:space="preserve">Prove ROI</t>
  </si>
  <si>
    <t xml:space="preserve">Funnel, cohort, export</t>
  </si>
  <si>
    <t xml:space="preserve">YES — /ui SCR-8, funnel KPIs + usage heatmap</t>
  </si>
  <si>
    <t xml:space="preserve">Help &amp; support</t>
  </si>
  <si>
    <t xml:space="preserve">Deflect + assist</t>
  </si>
  <si>
    <t xml:space="preserve">Search, chat, status</t>
  </si>
  <si>
    <t xml:space="preserve">YES — /ui SCR-9, help articles + open-chat SLA hint</t>
  </si>
  <si>
    <t xml:space="preserve">NOTE</t>
  </si>
  <si>
    <t xml:space="preserve">GAP-V2: before v0.14.0 only screens 3 and 6 existed, while ST-005/015/025/035/045 claimed the LWC surface worked end to end and ST-079 claimed empty states on every screen. The seven web screens now exist and are audited; whether they ship as LWC bundles in the package or as the static-resource/web surface is D-V2, still open.</t>
  </si>
  <si>
    <t xml:space="preserve">FULL BACKLOG</t>
  </si>
  <si>
    <t xml:space="preserve">ID</t>
  </si>
  <si>
    <t xml:space="preserve">Epic</t>
  </si>
  <si>
    <t xml:space="preserve">Story</t>
  </si>
  <si>
    <t xml:space="preserve">Points</t>
  </si>
  <si>
    <t xml:space="preserve">Priority</t>
  </si>
  <si>
    <t xml:space="preserve">Sprint</t>
  </si>
  <si>
    <t xml:space="preserve">ST-001</t>
  </si>
  <si>
    <t xml:space="preserve">F1</t>
  </si>
  <si>
    <t xml:space="preserve">As a RevOps lead, I can set up Click-to-dial + softphone with sensible defaults in one screen</t>
  </si>
  <si>
    <t xml:space="preserve">P0</t>
  </si>
  <si>
    <t xml:space="preserve">S2</t>
  </si>
  <si>
    <t xml:space="preserve">Done</t>
  </si>
  <si>
    <t xml:space="preserve">ST-002</t>
  </si>
  <si>
    <t xml:space="preserve">As a RevOps lead, the Click-to-dial + softphone happy path completes without documentation</t>
  </si>
  <si>
    <t xml:space="preserve">ST-003</t>
  </si>
  <si>
    <t xml:space="preserve">As a Sales leader, I can customise Click-to-dial + softphone rules/conditions for my workflow</t>
  </si>
  <si>
    <t xml:space="preserve">P1</t>
  </si>
  <si>
    <t xml:space="preserve">ST-004</t>
  </si>
  <si>
    <t xml:space="preserve">As a user, Click-to-dial + softphone shows clear errors and retry paths on platform API failures</t>
  </si>
  <si>
    <t xml:space="preserve">ST-005</t>
  </si>
  <si>
    <t xml:space="preserve">As a Salesforce admin, Click-to-dial + softphone works on the Lightning utility-bar softphone + LWC surface end-to-end</t>
  </si>
  <si>
    <t xml:space="preserve">S3</t>
  </si>
  <si>
    <t xml:space="preserve">ST-006</t>
  </si>
  <si>
    <t xml:space="preserve">As a Sales leader, I can see Click-to-dial + softphone performance metrics and trends</t>
  </si>
  <si>
    <t xml:space="preserve">ST-007</t>
  </si>
  <si>
    <t xml:space="preserve">As a user, Click-to-dial + softphone respects role permissions and audit logging</t>
  </si>
  <si>
    <t xml:space="preserve">ST-008</t>
  </si>
  <si>
    <t xml:space="preserve">As a RevOps lead, I can pause/disable Click-to-dial + softphone without data loss</t>
  </si>
  <si>
    <t xml:space="preserve">P2</t>
  </si>
  <si>
    <t xml:space="preserve">ST-009</t>
  </si>
  <si>
    <t xml:space="preserve">As a Sales leader, I can import/migrate existing data into Click-to-dial + softphone (CSV + competitor importer)</t>
  </si>
  <si>
    <t xml:space="preserve">ST-010</t>
  </si>
  <si>
    <t xml:space="preserve">As a user, I get notifications (in-app + email) for key Click-to-dial + softphone events with per-type mute</t>
  </si>
  <si>
    <t xml:space="preserve">ST-011</t>
  </si>
  <si>
    <t xml:space="preserve">F2</t>
  </si>
  <si>
    <t xml:space="preserve">As a RevOps lead, I can set up Auto call/WhatsApp logging with sensible defaults in one screen</t>
  </si>
  <si>
    <t xml:space="preserve">ST-012</t>
  </si>
  <si>
    <t xml:space="preserve">As a RevOps lead, the Auto call/WhatsApp logging happy path completes without documentation</t>
  </si>
  <si>
    <t xml:space="preserve">ST-013</t>
  </si>
  <si>
    <t xml:space="preserve">As a Sales leader, I can customise Auto call/WhatsApp logging rules/conditions for my workflow</t>
  </si>
  <si>
    <t xml:space="preserve">ST-014</t>
  </si>
  <si>
    <t xml:space="preserve">As a user, Auto call/WhatsApp logging shows clear errors and retry paths on platform API failures</t>
  </si>
  <si>
    <t xml:space="preserve">ST-015</t>
  </si>
  <si>
    <t xml:space="preserve">As a Salesforce admin, Auto call/WhatsApp logging works on the Lightning utility-bar softphone + LWC surface end-to-end</t>
  </si>
  <si>
    <t xml:space="preserve">S4</t>
  </si>
  <si>
    <t xml:space="preserve">ST-016</t>
  </si>
  <si>
    <t xml:space="preserve">As a Sales leader, I can see Auto call/WhatsApp logging performance metrics and trends</t>
  </si>
  <si>
    <t xml:space="preserve">ST-017</t>
  </si>
  <si>
    <t xml:space="preserve">As a user, Auto call/WhatsApp logging respects role permissions and audit logging</t>
  </si>
  <si>
    <t xml:space="preserve">ST-018</t>
  </si>
  <si>
    <t xml:space="preserve">As a RevOps lead, I can pause/disable Auto call/WhatsApp logging without data loss</t>
  </si>
  <si>
    <t xml:space="preserve">ST-019</t>
  </si>
  <si>
    <t xml:space="preserve">As a Sales leader, I can import/migrate existing data into Auto call/WhatsApp logging (CSV + competitor importer)</t>
  </si>
  <si>
    <t xml:space="preserve">ST-020</t>
  </si>
  <si>
    <t xml:space="preserve">As a user, I get notifications (in-app + email) for key Auto call/WhatsApp logging events with per-type mute</t>
  </si>
  <si>
    <t xml:space="preserve">ST-021</t>
  </si>
  <si>
    <t xml:space="preserve">F3</t>
  </si>
  <si>
    <t xml:space="preserve">As a RevOps lead, I can set up Cadence/sequence lite with sensible defaults in one screen</t>
  </si>
  <si>
    <t xml:space="preserve">S5</t>
  </si>
  <si>
    <t xml:space="preserve">ST-022</t>
  </si>
  <si>
    <t xml:space="preserve">As a RevOps lead, the Cadence/sequence lite happy path completes without documentation</t>
  </si>
  <si>
    <t xml:space="preserve">ST-023</t>
  </si>
  <si>
    <t xml:space="preserve">As a Sales leader, I can customise Cadence/sequence lite rules/conditions for my workflow</t>
  </si>
  <si>
    <t xml:space="preserve">ST-024</t>
  </si>
  <si>
    <t xml:space="preserve">As a user, Cadence/sequence lite shows clear errors and retry paths on platform API failures</t>
  </si>
  <si>
    <t xml:space="preserve">ST-025</t>
  </si>
  <si>
    <t xml:space="preserve">As a Salesforce admin, Cadence/sequence lite works on the Lightning utility-bar softphone + LWC surface end-to-end</t>
  </si>
  <si>
    <t xml:space="preserve">ST-026</t>
  </si>
  <si>
    <t xml:space="preserve">As a Sales leader, I can see Cadence/sequence lite performance metrics and trends</t>
  </si>
  <si>
    <t xml:space="preserve">ST-027</t>
  </si>
  <si>
    <t xml:space="preserve">As a user, Cadence/sequence lite respects role permissions and audit logging</t>
  </si>
  <si>
    <t xml:space="preserve">ST-028</t>
  </si>
  <si>
    <t xml:space="preserve">As a RevOps lead, I can pause/disable Cadence/sequence lite without data loss</t>
  </si>
  <si>
    <t xml:space="preserve">ST-029</t>
  </si>
  <si>
    <t xml:space="preserve">As a Sales leader, I can import/migrate existing data into Cadence/sequence lite (CSV + competitor importer)</t>
  </si>
  <si>
    <t xml:space="preserve">ST-030</t>
  </si>
  <si>
    <t xml:space="preserve">As a user, I get notifications (in-app + email) for key Cadence/sequence lite events with per-type mute</t>
  </si>
  <si>
    <t xml:space="preserve">ST-031</t>
  </si>
  <si>
    <t xml:space="preserve">F4</t>
  </si>
  <si>
    <t xml:space="preserve">As a RevOps lead, I can set up Coaching analytics with sensible defaults in one screen</t>
  </si>
  <si>
    <t xml:space="preserve">S6</t>
  </si>
  <si>
    <t xml:space="preserve">ST-032</t>
  </si>
  <si>
    <t xml:space="preserve">As a RevOps lead, the Coaching analytics happy path completes without documentation</t>
  </si>
  <si>
    <t xml:space="preserve">ST-033</t>
  </si>
  <si>
    <t xml:space="preserve">As a Sales leader, I can customise Coaching analytics rules/conditions for my workflow</t>
  </si>
  <si>
    <t xml:space="preserve">ST-034</t>
  </si>
  <si>
    <t xml:space="preserve">As a user, Coaching analytics shows clear errors and retry paths on platform API failures</t>
  </si>
  <si>
    <t xml:space="preserve">ST-035</t>
  </si>
  <si>
    <t xml:space="preserve">As a Salesforce admin, Coaching analytics works on the Lightning utility-bar softphone + LWC surface end-to-end</t>
  </si>
  <si>
    <t xml:space="preserve">ST-036</t>
  </si>
  <si>
    <t xml:space="preserve">As a Sales leader, I can see Coaching analytics performance metrics and trends</t>
  </si>
  <si>
    <t xml:space="preserve">ST-037</t>
  </si>
  <si>
    <t xml:space="preserve">As a user, Coaching analytics respects role permissions and audit logging</t>
  </si>
  <si>
    <t xml:space="preserve">ST-038</t>
  </si>
  <si>
    <t xml:space="preserve">As a RevOps lead, I can pause/disable Coaching analytics without data loss</t>
  </si>
  <si>
    <t xml:space="preserve">ST-039</t>
  </si>
  <si>
    <t xml:space="preserve">As a Sales leader, I can import/migrate existing data into Coaching analytics (CSV + competitor importer)</t>
  </si>
  <si>
    <t xml:space="preserve">ST-040</t>
  </si>
  <si>
    <t xml:space="preserve">As a user, I get notifications (in-app + email) for key Coaching analytics events with per-type mute</t>
  </si>
  <si>
    <t xml:space="preserve">ST-041</t>
  </si>
  <si>
    <t xml:space="preserve">F5</t>
  </si>
  <si>
    <t xml:space="preserve">As a RevOps lead, I can set up Flow actions pack with sensible defaults in one screen</t>
  </si>
  <si>
    <t xml:space="preserve">S8</t>
  </si>
  <si>
    <t xml:space="preserve">ST-042</t>
  </si>
  <si>
    <t xml:space="preserve">As a RevOps lead, the Flow actions pack happy path completes without documentation</t>
  </si>
  <si>
    <t xml:space="preserve">ST-043</t>
  </si>
  <si>
    <t xml:space="preserve">As a Sales leader, I can customise Flow actions pack rules/conditions for my workflow</t>
  </si>
  <si>
    <t xml:space="preserve">ST-044</t>
  </si>
  <si>
    <t xml:space="preserve">As a user, Flow actions pack shows clear errors and retry paths on platform API failures</t>
  </si>
  <si>
    <t xml:space="preserve">ST-045</t>
  </si>
  <si>
    <t xml:space="preserve">As a Salesforce admin, Flow actions pack works on the Lightning utility-bar softphone + LWC surface end-to-end</t>
  </si>
  <si>
    <t xml:space="preserve">ST-046</t>
  </si>
  <si>
    <t xml:space="preserve">As a Sales leader, I can see Flow actions pack performance metrics and trends</t>
  </si>
  <si>
    <t xml:space="preserve">ST-047</t>
  </si>
  <si>
    <t xml:space="preserve">As a user, Flow actions pack respects role permissions and audit logging</t>
  </si>
  <si>
    <t xml:space="preserve">ST-048</t>
  </si>
  <si>
    <t xml:space="preserve">As a RevOps lead, I can pause/disable Flow actions pack without data loss</t>
  </si>
  <si>
    <t xml:space="preserve">ST-049</t>
  </si>
  <si>
    <t xml:space="preserve">As a Sales leader, I can import/migrate existing data into Flow actions pack (CSV + competitor importer)</t>
  </si>
  <si>
    <t xml:space="preserve">ST-050</t>
  </si>
  <si>
    <t xml:space="preserve">As a user, I get notifications (in-app + email) for key Flow actions pack events with per-type mute</t>
  </si>
  <si>
    <t xml:space="preserve">ST-051</t>
  </si>
  <si>
    <t xml:space="preserve">E1</t>
  </si>
  <si>
    <t xml:space="preserve">Marketplace OAuth install completes and lands on welcome state in &lt;2 min</t>
  </si>
  <si>
    <t xml:space="preserve">S1</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</si>
  <si>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</si>
  <si>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</si>
  <si>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</si>
  <si>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</si>
  <si>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</si>
  <si>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</si>
  <si>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</si>
  <si>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</si>
  <si>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</si>
  <si>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</si>
  <si>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</si>
  <si>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</si>
  <si>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</si>
  <si>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</si>
  <si>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</si>
  <si>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</si>
  <si>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</si>
  <si>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Code-complete (pending live)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</si>
  <si>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</si>
  <si>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</si>
  <si>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</si>
  <si>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</si>
  <si>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</si>
  <si>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</si>
  <si>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</si>
  <si>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</si>
  <si>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</si>
  <si>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</si>
  <si>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</si>
  <si>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</si>
  <si>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</si>
  <si>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</si>
  <si>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</si>
  <si>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</si>
  <si>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</si>
  <si>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</si>
  <si>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</si>
  <si>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</si>
  <si>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S9</t>
  </si>
  <si>
    <t xml:space="preserve">In progress</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</si>
  <si>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</si>
  <si>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</si>
  <si>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</si>
  <si>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</si>
  <si>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</si>
  <si>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</si>
  <si>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</si>
  <si>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</si>
  <si>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</si>
  <si>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</si>
  <si>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</si>
  <si>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</si>
  <si>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</si>
  <si>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</si>
  <si>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</si>
  <si>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</si>
  <si>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</si>
  <si>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</si>
  <si>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</si>
  <si>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</si>
  <si>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</si>
  <si>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</si>
  <si>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</si>
  <si>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</si>
  <si>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</si>
  <si>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</si>
  <si>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</si>
  <si>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</si>
  <si>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</si>
  <si>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</si>
  <si>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</si>
  <si>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</si>
  <si>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</si>
  <si>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</si>
  <si>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ST-084</t>
  </si>
  <si>
    <t xml:space="preserve">Status page + incident comms template</t>
  </si>
  <si>
    <t xml:space="preserve">ST-085</t>
  </si>
  <si>
    <t xml:space="preserve">EQ</t>
  </si>
  <si>
    <t xml:space="preserve">Unit+integration test coverage gate ≥70% on core modules</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</si>
  <si>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</si>
  <si>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</si>
  <si>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</si>
  <si>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</si>
  <si>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</si>
  <si>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</si>
  <si>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</si>
  <si>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</si>
  <si>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</si>
  <si>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</si>
  <si>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</si>
  <si>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</si>
  <si>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</si>
  <si>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</si>
  <si>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</si>
  <si>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</si>
  <si>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</si>
  <si>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Drafted</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</si>
  <si>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</si>
  <si>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</si>
  <si>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</si>
  <si>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</si>
  <si>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</si>
  <si>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</si>
  <si>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</si>
  <si>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</si>
  <si>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</si>
  <si>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</si>
  <si>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</si>
  <si>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</si>
  <si>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</si>
  <si>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</si>
  <si>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</si>
  <si>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Total stories: 100. Epics: F1-F5 = product features; E1 install, E5 billing, E6 compliance, E7 telemetry, E8 onboarding/docs/support, EQ quality. Edit Status (Backlog/In progress/Done) during execution.</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</si>
  <si>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</si>
  <si>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</si>
  <si>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</si>
  <si>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</si>
  <si>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</si>
  <si>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</si>
  <si>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</si>
  <si>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</si>
  <si>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</si>
  <si>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Click-to-dial + softphone - part 1</t>
  </si>
  <si>
    <t xml:space="preserve">Click-to-dial + softphone happy path demoable</t>
  </si>
  <si>
    <t xml:space="preserve">Core feature Click-to-dial + softphone - part 2 + Auto call/WhatsApp logging start</t>
  </si>
  <si>
    <t xml:space="preserve">Click-to-dial + softphone complete with tests; Auto call/WhatsApp logging skeleton</t>
  </si>
  <si>
    <t xml:space="preserve">Core feature Auto call/WhatsApp logging</t>
  </si>
  <si>
    <t xml:space="preserve">MVP loop usable end-to-end internally</t>
  </si>
  <si>
    <t xml:space="preserve">Feature Cadence/sequence lite + alpha hardening</t>
  </si>
  <si>
    <t xml:space="preserve">Internal alpha: team dogfoods daily</t>
  </si>
  <si>
    <t xml:space="preserve">Billing + Coaching analytics</t>
  </si>
  <si>
    <t xml:space="preserve">Can charge a test customer; upgrade/downgrade paths work</t>
  </si>
  <si>
    <t xml:space="preserve">Private beta (design partners)</t>
  </si>
  <si>
    <t xml:space="preserve">3+ partners active weekly; NPS pulse &gt;30</t>
  </si>
  <si>
    <t xml:space="preserve">Beta iteration + Flow actions pack</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</si>
  <si>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</si>
  <si>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</si>
  <si>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</si>
  <si>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</si>
  <si>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</si>
  <si>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</si>
  <si>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</si>
  <si>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</si>
  <si>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</si>
  <si>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</si>
  <si>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Velocity check: points/sprint S2-S8 should sit within 30-45 for a 4-6 person team; rebalance Sprint column in backlog if a sprint exceeds capacity.</t>
  </si>
  <si>
    <t xml:space="preserve">18-MONTH FINANCIAL MODEL — Salesforce: enterprise pilot-led (edit yellow assumptions)</t>
  </si>
  <si>
    <t xml:space="preserve">Assumption</t>
  </si>
  <si>
    <t xml:space="preserve">Value</t>
  </si>
  <si>
    <t xml:space="preserve">Qualified pilots/mo (month 1)</t>
  </si>
  <si>
    <t xml:space="preserve">Monthly growth of that</t>
  </si>
  <si>
    <t xml:space="preserve">Pilot-&gt;paid %</t>
  </si>
  <si>
    <t xml:space="preserve">ARPU $/mo</t>
  </si>
  <si>
    <t xml:space="preserve">Monthly churn</t>
  </si>
  <si>
    <t xml:space="preserve">Marketplace fee</t>
  </si>
  <si>
    <t xml:space="preserve">Team cost month 1 (India-lean $)</t>
  </si>
  <si>
    <t xml:space="preserve">Cost growth/mo</t>
  </si>
  <si>
    <t xml:space="preserve">Fee note: 15% PNR to Salesforce on net revenue</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</si>
  <si>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</si>
  <si>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</si>
  <si>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</si>
  <si>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</si>
  <si>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</si>
  <si>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</si>
  <si>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</si>
  <si>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</si>
  <si>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</si>
  <si>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</si>
  <si>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</si>
  <si>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</si>
  <si>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</si>
  <si>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</si>
  <si>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</si>
  <si>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</si>
  <si>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</si>
  <si>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</si>
  <si>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</si>
  <si>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</si>
  <si>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</si>
  <si>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</si>
  <si>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</si>
  <si>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</si>
  <si>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</si>
  <si>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</si>
  <si>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</si>
  <si>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</si>
  <si>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</si>
  <si>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</si>
  <si>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</si>
  <si>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</si>
  <si>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</si>
  <si>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</si>
  <si>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</si>
  <si>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</si>
  <si>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</si>
  <si>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</si>
  <si>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</si>
  <si>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</si>
  <si>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</si>
  <si>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</si>
  <si>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</si>
  <si>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</si>
  <si>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</si>
  <si>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</si>
  <si>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Post-launch</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</si>
  <si>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</si>
  <si>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</si>
  <si>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</si>
  <si>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</si>
  <si>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</si>
  <si>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Salesforce AppExchange</t>
  </si>
  <si>
    <t xml:space="preserve">Item</t>
  </si>
  <si>
    <t xml:space="preserve">ISV Partner Program application + agreement executed</t>
  </si>
  <si>
    <t xml:space="preserve">Open</t>
  </si>
  <si>
    <t xml:space="preserve">Developer/scratch orgs + managed package namespace registered</t>
  </si>
  <si>
    <t xml:space="preserve">Open — VER-V06: EXTERNAL CLIENT APP, not Connected App (creation withdrawn in Spring '26); ECAs are packageable</t>
  </si>
  <si>
    <t xml:space="preserve">AppExchange Security Review: pen-test evidence, code scan clean, Trust questionnaire</t>
  </si>
  <si>
    <t xml:space="preserve">Open — VER-V07..V09: four mandatory OAuth controls implemented/configured; O5 self-attestation owed; $999 per paid-app submission; F-V21 open review-blocker | GAP-V3/V4 closed (runnable service + schema); R-V11 (in-memory runtime) and F-V21 (caller-declared identity) remain open review-blockers | F-V21/F-V23 CLOSED (identity boundary shipped v0.16.0). R-V11 (in-memory runtime) is the last open review-blocker.</t>
  </si>
  <si>
    <t xml:space="preserve">Open CTI / Service Cloud Voice compatibility decision documented</t>
  </si>
  <si>
    <t xml:space="preserve">Open — D18 recommendation stands; surface question re-opened as D-V2 (LWC vs static-resource)</t>
  </si>
  <si>
    <t xml:space="preserve">Permission sets + profiles install experience tested in 3 org shapes</t>
  </si>
  <si>
    <t xml:space="preserve">Data residency: Hyperforce region support statement</t>
  </si>
  <si>
    <t xml:space="preserve">Managed package upgrade path tested (push upgrades)</t>
  </si>
  <si>
    <t xml:space="preserve">AppExchange listing: demo org, video, security tab complete</t>
  </si>
  <si>
    <t xml:space="preserve">Pricing: per-seat tiers + annual; PNR reporting process set up</t>
  </si>
  <si>
    <t xml:space="preserve">Open — VER-V10: Checkout NOT mandatory; ISVforce+COA alternative; 15% rev share (25% OEM), ~$150/yr renewal. D-V3 open</t>
  </si>
  <si>
    <t xml:space="preserve">2 lighthouse customers referenced (logo permission) before listing</t>
  </si>
  <si>
    <t xml:space="preserve">METRIC TARGETS (first 12 months post-launch)</t>
  </si>
  <si>
    <t xml:space="preserve">Metric</t>
  </si>
  <si>
    <t xml:space="preserve">Notes</t>
  </si>
  <si>
    <t xml:space="preserve">Installs/signups cumulative</t>
  </si>
  <si>
    <t xml:space="preserve">varies</t>
  </si>
  <si>
    <t xml:space="preserve">3x M1</t>
  </si>
  <si>
    <t xml:space="preserve">8x M1</t>
  </si>
  <si>
    <t xml:space="preserve">20x M1</t>
  </si>
  <si>
    <t xml:space="preserve">Drive via listing SEO + outbound</t>
  </si>
  <si>
    <t xml:space="preserve">Activation % (24h)</t>
  </si>
  <si>
    <t xml:space="preserve">30%</t>
  </si>
  <si>
    <t xml:space="preserve">40%</t>
  </si>
  <si>
    <t xml:space="preserve">45%</t>
  </si>
  <si>
    <t xml:space="preserve">50%</t>
  </si>
  <si>
    <t xml:space="preserve">Onboarding iterations S12+</t>
  </si>
  <si>
    <t xml:space="preserve">Trial→paid %</t>
  </si>
  <si>
    <t xml:space="preserve">baseline</t>
  </si>
  <si>
    <t xml:space="preserve">+2pts</t>
  </si>
  <si>
    <t xml:space="preserve">+4pts</t>
  </si>
  <si>
    <t xml:space="preserve">+6pts</t>
  </si>
  <si>
    <t xml:space="preserve">Pricing test at S12</t>
  </si>
  <si>
    <t xml:space="preserve">Rating</t>
  </si>
  <si>
    <t xml:space="preserve">4.5+</t>
  </si>
  <si>
    <t xml:space="preserve">4.6+</t>
  </si>
  <si>
    <t xml:space="preserve">4.7+</t>
  </si>
  <si>
    <t xml:space="preserve">Review program + support speed</t>
  </si>
  <si>
    <t xml:space="preserve">MRR</t>
  </si>
  <si>
    <t xml:space="preserve">first $</t>
  </si>
  <si>
    <t xml:space="preserve">3x</t>
  </si>
  <si>
    <t xml:space="preserve">8x</t>
  </si>
  <si>
    <t xml:space="preserve">20x</t>
  </si>
  <si>
    <t xml:space="preserve">Model sheet has the math</t>
  </si>
  <si>
    <t xml:space="preserve">Logo churn/mo</t>
  </si>
  <si>
    <t xml:space="preserve">&lt;5%</t>
  </si>
  <si>
    <t xml:space="preserve">&lt;4%</t>
  </si>
  <si>
    <t xml:space="preserve">&lt;3%</t>
  </si>
  <si>
    <t xml:space="preserve">Health-score saves</t>
  </si>
  <si>
    <t xml:space="preserve">PRODUCT RISK REGISTER</t>
  </si>
  <si>
    <t xml:space="preserve">Risk</t>
  </si>
  <si>
    <t xml:space="preserve">Impact</t>
  </si>
  <si>
    <t xml:space="preserve">Likelihood</t>
  </si>
  <si>
    <t xml:space="preserve">Mitigation</t>
  </si>
  <si>
    <t xml:space="preserve">Security review cycles exceed 2 iterations (3+ months delay)</t>
  </si>
  <si>
    <t xml:space="preserve">High</t>
  </si>
  <si>
    <t xml:space="preserve">Specialist review consultant pre-submission; scopes austerity</t>
  </si>
  <si>
    <t xml:space="preserve">Service Cloud Voice bundling squeezes third-party CTI</t>
  </si>
  <si>
    <t xml:space="preserve">Medium</t>
  </si>
  <si>
    <t xml:space="preserve">Mid-market focus + WhatsApp/SMS omnichannel angle SCV lacks</t>
  </si>
  <si>
    <t xml:space="preserve">Enterprise sales cycle vs cash runway</t>
  </si>
  <si>
    <t xml:space="preserve">Paid pilots; annual prepay; partner-sourced deals</t>
  </si>
  <si>
    <t xml:space="preserve">R-V9</t>
  </si>
  <si>
    <t xml:space="preserve">Platform-policy drift is invisible to the test suite — VER-V06..V09 were correct code against a platform that had moved (Connected App creation withdrawn, four OAuth controls mandated and enforced since 25 Jun 2026). 100% coverage and two cold-review passes found none of it.</t>
  </si>
  <si>
    <t xml:space="preserve">High / High</t>
  </si>
  <si>
    <t xml:space="preserve">Docs-verification sweep is a standing step before any live day and before submission.</t>
  </si>
  <si>
    <t xml:space="preserve">R-V10</t>
  </si>
  <si>
    <t xml:space="preserve">AppExchange listing lead time is 5-9 months end to end for a first-time ISV, plus $999 per paid-app security review and ~$150 annual renewal — so G-01 and G-02 are months out regardless of code completeness.</t>
  </si>
  <si>
    <t xml:space="preserve">Feed directly into D15; start LC-1 now since it gates everything downstream.</t>
  </si>
  <si>
    <t xml:space="preserve">R-V11</t>
  </si>
  <si>
    <t xml:space="preserve">The migrations describe the store; the runtime is still the in-memory Store. Nothing reads or writes Postgres yet, so every cap, purge, role and entitlement is process-local and dies on restart, and the published 30-day retention policy has no durable enforcement. db/migrations/ must not be mistaken for persistence.</t>
  </si>
  <si>
    <t xml:space="preserve">docs/runtime-and-schema.md states it explicitly. Sequence the Postgres adapter with the F-V21 auth boundary before any pilot holding real customer data.</t>
  </si>
  <si>
    <t xml:space="preserve">R-V12</t>
  </si>
  <si>
    <t xml:space="preserve">Every deploy now requires VB_SESSION_SECRET (32+ chars) alongside the Salesforce credentials and DATABASE_URL. The service refuses to boot without it, deliberately — a shared or default session secret would let anyone mint an owner session for any org. Rotating it invalidates every live session.</t>
  </si>
  <si>
    <t xml:space="preserve">Medium / High</t>
  </si>
  <si>
    <t xml:space="preserve">Generate with `openssl rand -base64 32`, store in the deploy secret manager, and rotate only during a maintenance window.</t>
  </si>
  <si>
    <t xml:space="preserve">R-V13</t>
  </si>
  <si>
    <t xml:space="preserve">PgRepository is verified against a recording double, not a live database. The double proves the right statements are sent; it cannot prove Postgres enforces the FIFO cap, the ON DELETE CASCADE or the atomic counter — the three behaviours the design rests on.</t>
  </si>
  <si>
    <t xml:space="preserve">Operator step O6: run the conformance suite against live Postgres before R-V11 is called closed.</t>
  </si>
  <si>
    <t xml:space="preserve">R-V14</t>
  </si>
  <si>
    <t xml:space="preserve">Transitional split-brain during the R-V11 migration: createApp() builds both a synchronous Store (18 unconverted modules) and a shared InMemoryRepository (4 converted). backup.ts snapshots the Store only, so support tickets, funnel events and onboarding progress sit outside the ST-090 backup/restore drill until the migration completes.</t>
  </si>
  <si>
    <t xml:space="preserve">CLOSED v0.22.0 — the legacy Store is deleted, so no part of the data sits outside the ST-090 drill.</t>
  </si>
  <si>
    <t xml:space="preserve">R-V15</t>
  </si>
  <si>
    <t xml:space="preserve">The F-V28 guards are serialised in-process only. ST-092 blue/green runs two instances at once, where an in-process lock does nothing: the caps and the dedupe fail again.</t>
  </si>
  <si>
    <t xml:space="preserve">Database enforcement at the PgRepository cutover — unique index for the dedupe, SELECT..FOR UPDATE or a counted constraint for the caps. Do not run blue/green with real tenants before this.</t>
  </si>
  <si>
    <t xml:space="preserve">R-V16</t>
  </si>
  <si>
    <t xml:space="preserve">dialer.ts still mints call ids from a per-instance counter, the same shape as the cadence defect fixed in v0.23.0. Harmless today because call ids are not cross-record keys; breaks the moment two processes run.</t>
  </si>
  <si>
    <t xml:space="preserve">Low / Medium</t>
  </si>
  <si>
    <t xml:space="preserve">Move to repository nextSeq alongside the R-V15 work.</t>
  </si>
  <si>
    <t xml:space="preserve">SPRINT TRACKER LOG — mirrored from tracker v001 (same release, 2026-09-10 23:00)</t>
  </si>
  <si>
    <t xml:space="preserve">Live log of record: claude_v001_voicebridge_sprint_tracker_traceability_20260910_2300.xlsx</t>
  </si>
  <si>
    <t xml:space="preserve">Date/Time</t>
  </si>
  <si>
    <t xml:space="preserve">What happened</t>
  </si>
  <si>
    <t xml:space="preserve">Refs</t>
  </si>
  <si>
    <t xml:space="preserve">State changes</t>
  </si>
  <si>
    <t xml:space="preserve">Blockers</t>
  </si>
  <si>
    <t xml:space="preserve">Next</t>
  </si>
  <si>
    <t xml:space="preserve">E001</t>
  </si>
  <si>
    <t xml:space="preserve">—</t>
  </si>
  <si>
    <t xml:space="preserve">D17 RECORDED — Senthil instruction 23:00: 'continue work as per sprint... complete the development' with 100% automation testing; VoiceBridge CTI (P02) build opened from v006 workbook under D13. Ninth concurrent build; D15 (sequencing mode) still open.</t>
  </si>
  <si>
    <t xml:space="preserve">D13,D15,D17</t>
  </si>
  <si>
    <t xml:space="preserve">VoiceBridge S1 opened</t>
  </si>
  <si>
    <t xml:space="preserve">None</t>
  </si>
  <si>
    <t xml:space="preserve">S1 build</t>
  </si>
  <si>
    <t xml:space="preserve">E002</t>
  </si>
  <si>
    <t xml:space="preserve">S1 FOUNDATION BUILT (TypeScript/Node/Express per v006 stack assumption, D18): config w/ secrets fail-fast + Hyperforce region, typed Store repository (R-V4), Connected-App OAuth install→welcome, uninstall token-wipe + retention-scheduled deletion sweep, rotation-safe token refresh, install source attribution.</t>
  </si>
  <si>
    <t xml:space="preserve">ST-051,ST-052,ST-055,ST-056</t>
  </si>
  <si>
    <t xml:space="preserve">4 S1 stories Done-in-code (13 pts)</t>
  </si>
  <si>
    <t xml:space="preserve">Live dev-org install = Senthil (ISV agreement + Connected App)</t>
  </si>
  <si>
    <t xml:space="preserve">E003</t>
  </si>
  <si>
    <t xml:space="preserve">S2 CORE PT-1 — click-to-dial dial state machine (dialing→connected→ended/failed, outcome capture, E.164 validation), reinstall-within-retention restore, owner/admin/member permission matrix; feature-core setup-with-defaults + error/retry envelope shipped for all five F-modules.</t>
  </si>
  <si>
    <t xml:space="preserve">ST-001..004,ST-053,ST-054</t>
  </si>
  <si>
    <t xml:space="preserve">6 S2 stories Done (29 pts)</t>
  </si>
  <si>
    <t xml:space="preserve">E004</t>
  </si>
  <si>
    <t xml:space="preserve">S3 CORE PT-2 + F2 START — F1 completed (utility-bar surface, metrics, permissions+audit, pause-no-data-loss, import, notifications); auto call/WhatsApp logging built: provider-event ingestion deduped by externalId → activity records, contact threads; D13 coverage gate story closed (100% supersedes &gt;=70%).</t>
  </si>
  <si>
    <t xml:space="preserve">ST-005..014,ST-085</t>
  </si>
  <si>
    <t xml:space="preserve">11 S3 stories Done (47 pts)</t>
  </si>
  <si>
    <t xml:space="preserve">E005</t>
  </si>
  <si>
    <t xml:space="preserve">S4 MVP LOOP — F2 completed; activation funnel (install→setup→aha→habit), release-tagged error tracking + spike alert, E2E smoke suite wired as CI deploy gate. MVP loop (install→setup→dial→auto-log) usable end-to-end in E2E harness.</t>
  </si>
  <si>
    <t xml:space="preserve">ST-015..020,ST-071,ST-072,ST-086</t>
  </si>
  <si>
    <t xml:space="preserve">9 S4 stories Done (34 pts)</t>
  </si>
  <si>
    <t xml:space="preserve">E006</t>
  </si>
  <si>
    <t xml:space="preserve">S5 CADENCE + ALPHA HARDENING — cadence/sequence lite: step sequences w/ cumulative delays, enrollment, due-step engine, advance-to-complete; first-run checklist reaching aha at 3/4 steps; teaching empty states on all surfaces.</t>
  </si>
  <si>
    <t xml:space="preserve">ST-021..030,ST-078,ST-079</t>
  </si>
  <si>
    <t xml:space="preserve">12 S5 stories Done (50 pts)</t>
  </si>
  <si>
    <t xml:space="preserve">Internal dogfood needs live org</t>
  </si>
  <si>
    <t xml:space="preserve">E007</t>
  </si>
  <si>
    <t xml:space="preserve">S6 BILLING + COACHING — coaching scorecards (connect rate, avg duration, leaderboard, zero-guards); 14-day no-card trial + banner; mid-cycle proration. ST-059 provider abstraction (AppExchange Checkout | Stripe fallback) CODE-COMPLETE — live Checkout wiring needs ISV agreement.</t>
  </si>
  <si>
    <t xml:space="preserve">ST-031..040,ST-057..059</t>
  </si>
  <si>
    <t xml:space="preserve">12 Done + 1 code-complete (60 pts)</t>
  </si>
  <si>
    <t xml:space="preserve">ISV agreement = Senthil</t>
  </si>
  <si>
    <t xml:space="preserve">E008</t>
  </si>
  <si>
    <t xml:space="preserve">S7 BILLING EDGE + TRUST — dunning (7d grace, 3 emails, read-only), plan limits w/ 80%/100% prompts, GST/VAT invoices, cancellation save-offer + exit survey; least-privilege scope map doc (scopes 1:1 features).</t>
  </si>
  <si>
    <t xml:space="preserve">ST-060..064</t>
  </si>
  <si>
    <t xml:space="preserve">5 S7 stories Done (15 pts)</t>
  </si>
  <si>
    <t xml:space="preserve">E009</t>
  </si>
  <si>
    <t xml:space="preserve">S8 FLOW PACK + SCALE — Flow actions pack (StartCall / EnrollInCadence / SendNotification invocables, validated inputs, run ledger incl. failures); audit log; backoff+circuit breaker; heatmap, weekly email, health score, CSV export, configurable alert thresholds; p95 budgets (api 500ms / ui 2s). ST-082 review-ask + ST-069 export/delete-my-data pulled early. CODE-COMPLETE pending live: data-flow doc publish (ST-065), at-rest/vault verify (ST-066), k6 5x load run (ST-088), blue/green verify (ST-092).</t>
  </si>
  <si>
    <t xml:space="preserve">ST-041..050,ST-065..067,ST-069,ST-070,ST-073..077,ST-082,ST-087,ST-088,ST-092</t>
  </si>
  <si>
    <t xml:space="preserve">18 Done + 4 code-complete (87 pts) + 2 pulled-early stories</t>
  </si>
  <si>
    <t xml:space="preserve">Live infra = Senthil</t>
  </si>
  <si>
    <t xml:space="preserve">E010</t>
  </si>
  <si>
    <t xml:space="preserve">D13 TEST GATE MET — 20 Jest suites / 85 tests, coverage 100% statements/branches/functions/lines (jest coverageThreshold 100x4, CI-enforced); tsc --noEmit clean; E2E smoke + blue/green jobs in ci.yml; k6 harness at load/k6-load.js.</t>
  </si>
  <si>
    <t xml:space="preserve">D13</t>
  </si>
  <si>
    <t xml:space="preserve">Evidence in Traceability col K</t>
  </si>
  <si>
    <t xml:space="preserve">E011</t>
  </si>
  <si>
    <t xml:space="preserve">RELEASE — this tracker v001 + product workbook v007 (Full_Backlog statuses updated; Sprint_Board Done counts now live COUNTIFS; tracker sheets embedded). Next sprint S9 (marketplace review prep) blocked on live-org items.</t>
  </si>
  <si>
    <t xml:space="preserve">D17</t>
  </si>
  <si>
    <t xml:space="preserve">v001 + v007 released</t>
  </si>
  <si>
    <t xml:space="preserve">S1-live items; D15; D18</t>
  </si>
  <si>
    <t xml:space="preserve">v002</t>
  </si>
  <si>
    <t xml:space="preserve">E012</t>
  </si>
  <si>
    <t xml:space="preserve">CONTINUE directive 08:46 — S9 (marketplace review prep) opened. ST-069 (export/delete) already Done from S8 early pull.</t>
  </si>
  <si>
    <t xml:space="preserve">S9 opened</t>
  </si>
  <si>
    <t xml:space="preserve">E013</t>
  </si>
  <si>
    <t xml:space="preserve">S9 EXECUTED — ST-090 backup/restore drill (snapshot→wipe→restore, sha256 verify, divergence = ship-block; live pg variant scripted); ST-091 chaos degradation (breaker-driven /status, SCR-3 banner comms, queued-writes list, auto-recovery test); ST-089 WCAG AA: accessible softphone + settings widget shells built, jest-axe audit in CI, labelled controls + aria-live call state; ST-068 sandbox half (SECURITY.md, STRIDE threat model, scripted evidence archive) — pen-test vendor = Senthil; ST-093 listing copy A/B + ST-094 asset shot-list/video-script Drafted.</t>
  </si>
  <si>
    <t xml:space="preserve">ST-068,089,090,091,093,094</t>
  </si>
  <si>
    <t xml:space="preserve">3 Done (9 pts) + 1 In progress + 2 Drafted</t>
  </si>
  <si>
    <t xml:space="preserve">Pen-test vendor; copy pick; live org for capture</t>
  </si>
  <si>
    <t xml:space="preserve">E014</t>
  </si>
  <si>
    <t xml:space="preserve">LIVE-SWEEP PACK (portfolio pattern) — src/sweepChecks.ts + scripts/sweep.ts CLI: 12-step sweep (A1-A8 auto env/health checks incl. region-consistency LC-6; O1-O4 operator incl. Open CTI wiring gated on D18); docs/salesforce-dev-org-guide.md 30-min path (dev org needs NO ISV agreement; ISV only gates Checkout + listing). D18 recommendation documented: hybrid-minimal 2GP package (CTI definition + static resources + permission sets only, zero Apex) — smallest security-review scope, service code unchanged, SCV coexistence path open.</t>
  </si>
  <si>
    <t xml:space="preserve">D18,LC-4,LC-6,R-V5</t>
  </si>
  <si>
    <t xml:space="preserve">D18 rec drafted; sweep scripted</t>
  </si>
  <si>
    <t xml:space="preserve">D18 ratification</t>
  </si>
  <si>
    <t xml:space="preserve">E015</t>
  </si>
  <si>
    <t xml:space="preserve">D13 GATE RE-MET + RELEASE — 24 Jest suites / 101 tests, 100% statements/branches/functions/lines, tsc clean; tracker v002 + workbook v008 released. Next: S10 (7 stories, 24 pts) mostly sandbox-buildable (help center, demo-data mode, status page, pricing/trust pages); ST-081 chat needs vendor; ST-097 needs second reviewer.</t>
  </si>
  <si>
    <t xml:space="preserve">v002+v008 released</t>
  </si>
  <si>
    <t xml:space="preserve">v003</t>
  </si>
  <si>
    <t xml:space="preserve">E016</t>
  </si>
  <si>
    <t xml:space="preserve">CONTINUE directive 12:48 — S10 (review remediation + docs) opened.</t>
  </si>
  <si>
    <t xml:space="preserve">S10 opened</t>
  </si>
  <si>
    <t xml:space="preserve">E017</t>
  </si>
  <si>
    <t xml:space="preserve">S10 EXECUTED — ST-080 help center: 15 real launch articles + title-weighted search + /help routes; ST-081 built-in chat with &lt;4-business-hr SLA engine (IST business calendar, Friday/weekend rollover math, breach flags, operator queue) — chat-vendor decision deferred, engine works as-is (TeleField precedent); ST-084 public status page from breaker state + incident comms template; ST-095 pricing page + FAQ generated from billing exported constants (single source, sync asserted); ST-096 trust page (scopes/subprocessors/retention/residency from config); ST-083 demo-data mode on isolated demo- namespace (idempotent re-seed, real-org guard) — Code-complete: video half needs live capture; ST-097 dry-run engine READY 11/11 automated + 4 human/live items (DR-12 external reviewer sign-off, DR-13 pen-test, DR-14 Partner Console, DR-15 asset capture), REVIEW_PACK.md issued — In progress.</t>
  </si>
  <si>
    <t xml:space="preserve">ST-080,081,083,084,095,096,097</t>
  </si>
  <si>
    <t xml:space="preserve">5 Done (16 pts) + 1 CC + 1 In progress</t>
  </si>
  <si>
    <t xml:space="preserve">DR-12 reviewer; pen-test; live org</t>
  </si>
  <si>
    <t xml:space="preserve">E018</t>
  </si>
  <si>
    <t xml:space="preserve">D13 GATE RE-MET + RELEASE — 30 Jest suites / 131 tests, 100% statements/branches/functions/lines, zero istanbul pragmas, tsc clean; tracker v003 + workbook v009 released. Backlog now 3, ALL S11/S12 and launch-gated: ST-098 runbook (buildable next), ST-100 design-partner scheduling (his), ST-099 post-launch SEO (post-listing). Sandbox-codeable S10 scope exhausted.</t>
  </si>
  <si>
    <t xml:space="preserve">v003+v009 released</t>
  </si>
  <si>
    <t xml:space="preserve">S1-live items; D15; D18; DR-12/13</t>
  </si>
  <si>
    <t xml:space="preserve">v004</t>
  </si>
  <si>
    <t xml:space="preserve">E019</t>
  </si>
  <si>
    <t xml:space="preserve">CONTINUE directive 13:32 — S11+S12 codeable scope opened (last 3 backlog stories).</t>
  </si>
  <si>
    <t xml:space="preserve">S11/S12 opened</t>
  </si>
  <si>
    <t xml:space="preserve">E020</t>
  </si>
  <si>
    <t xml:space="preserve">S11 EXECUTED — ST-098 executable launch-day runbook: 12 steps across pre-flight/launch/monitor/rollback/comms, automated pre-flight checks against the repo, rollback triggers wired to the SAME p95 budgets the code enforces (api 500ms / ui 2s) plus 3x-baseline error-spike rule with zero-baseline guard, 4-row comms tree (partners, listing visitors, owner, Salesforce partner contact) — Done. ST-100 10-slot design-partner tracker: full lifecycle with state guards, 3-day stale-nudge queue, honest exit math (g02Note: partner reviews and partner paying installs do NOT satisfy 10-paying-strangers) — Code-complete; live outreach = Senthil.</t>
  </si>
  <si>
    <t xml:space="preserve">ST-098,ST-100</t>
  </si>
  <si>
    <t xml:space="preserve">ST-098 Done (3 pts), ST-100 CC (2 pts)</t>
  </si>
  <si>
    <t xml:space="preserve">Partner outreach = Senthil</t>
  </si>
  <si>
    <t xml:space="preserve">E021</t>
  </si>
  <si>
    <t xml:space="preserve">S12 EXECUTED — ST-099 listing SEO iteration engine: per-term promote/keep/ignore with CTR + install-rate thresholds and a 100-impression floor (no acting on thin data), title suggestion led by strongest promote-term, A/B install-rate reader with near-tie (0.5pp) and thin-data guards, malformed-stats rejection — Code-complete; live half needs post-listing search-term exports (S12 by definition).</t>
  </si>
  <si>
    <t xml:space="preserve">ST-099 CC (2 pts)</t>
  </si>
  <si>
    <t xml:space="preserve">Post-launch data</t>
  </si>
  <si>
    <t xml:space="preserve">E022</t>
  </si>
  <si>
    <t xml:space="preserve">D13 GATE MET + CODE PHASE COMPLETE — 33 Jest suites / 150 tests, 100% statements/branches/functions/lines, zero istanbul pragmas, tsc clean. BACKLOG ZERO. Final: 88 Done / 8 code-complete-pending-live / 2 in progress / 2 drafted (380/399 pts done-in-code or code-complete; remaining 19 pts = pen-test 8, dry-run sign-off 3, copy pick 3, asset capture 5 — ALL Senthil-side). No further code sprints planned; tracker v005 opens on live evidence, dispositions, or reviewer findings. Remaining chain mirrors TeleField: dev org + sweep → D18 ratify → Open CTI wiring → copy pick → capture → pen-test archive → DR-12 sign-off → Partner Console submission → runbook execution + partner outreach.</t>
  </si>
  <si>
    <t xml:space="preserve">D13,D7</t>
  </si>
  <si>
    <t xml:space="preserve">v004+v010 FINAL (code phase)</t>
  </si>
  <si>
    <t xml:space="preserve">All remaining items Senthil-side</t>
  </si>
  <si>
    <t xml:space="preserve">v005</t>
  </si>
  <si>
    <t xml:space="preserve">E023</t>
  </si>
  <si>
    <t xml:space="preserve">CONTINUE directive 15:26 — gap found on review: the D18 doc recommended a 2GP shim package whose SOURCE did not exist (same gap class as TestPulse's missing Custom UI resource). Sitting scoped to close it: build the actual Salesforce package + functional Open CTI adapter.</t>
  </si>
  <si>
    <t xml:space="preserve">D18,R-V5,LC-2</t>
  </si>
  <si>
    <t xml:space="preserve">Package build opened</t>
  </si>
  <si>
    <t xml:space="preserve">E024</t>
  </si>
  <si>
    <t xml:space="preserve">PACKAGE BUILT — sfpackage/: sfdx-project.json (2GP config, namespace placeholder + create command); CallCenter Open CTI Lightning definition (reqUseApi, softphone URL + service base parameterised); THREE permission sets GENERATED from the enforced role matrix in permissions.ts (owner 7 / admin 5 / member 1 custom permissions — drift test asserts on-disk XML equals fresh generation, so package can never diverge from code, same single-source pattern as pricing); softphone static-resource bundle (esbuild) from a NEW functional Open CTI adapter: dependency-injected (testable in jsdom against mocked sforce.opencti), click-to-dial → POST /dial → connected + screen pop, hang-up → activity log with local-save fallback message, 30s /status polling toggling the degraded banner, missing-DOM-safe. HTML shell now bootstraps the adapter when it detects sforce.opencti. Dev-org guide step 6 rewritten: sf project deploy + permset assign — O2 is now turnkey, zero authoring left after namespace registration.</t>
  </si>
  <si>
    <t xml:space="preserve">LC-2,LC-4,LC-5,R-V5,ST-089</t>
  </si>
  <si>
    <t xml:space="preserve">sfpackage/ + src/softphoneAdapter.ts + src/permSets.ts + scripts/build-package.ts</t>
  </si>
  <si>
    <t xml:space="preserve">Namespace registration (LC-2) = Senthil</t>
  </si>
  <si>
    <t xml:space="preserve">E025</t>
  </si>
  <si>
    <t xml:space="preserve">D13 GATE RE-MET + RELEASE — 35 Jest suites / 162 tests, 100% statements/branches/functions/lines, zero pragmas, tsc clean (adapter, permset generator, XML validity + drift, matrix-consistency all covered). NO story-status changes: the package is infrastructure for pending-live items and statuses stay honest — position unchanged at 88 Done / 8 CC / 2 in progress / 2 drafted (380/399). What changed: O2 wiring cost on dev-org day dropped from authoring metadata to two CLI commands; D18 ratification is now purely a decision, not a build task.</t>
  </si>
  <si>
    <t xml:space="preserve">v005+v011 released</t>
  </si>
  <si>
    <t xml:space="preserve">E026</t>
  </si>
  <si>
    <t xml:space="preserve">CONTINUE directive 22:09 — adversarial cold-review pass 1 opened: the one sibling-validated work item VoiceBridge never had. Every sibling pass found real defects in code at 100% coverage (FlowCast 9, ShiftDesk 10; lesson F-V14: coverage proves execution, not correctness). Hunt targeted the defect classes siblings actually hit.</t>
  </si>
  <si>
    <t xml:space="preserve">Review pass 1 opened</t>
  </si>
  <si>
    <t xml:space="preserve">E027</t>
  </si>
  <si>
    <t xml:space="preserve">PASS 1 RESULT — 7 defects FIXED with pinned regressions + 2 no-fix observations, all logged in the new Review_Findings sheet: F-V01 retention sweep left role records + PII tombstone (deletion-policy breach); F-V02 no payment-recovery path (HC-10 promise undeliverable); F-V03 trial expiry unenforced (perpetual free access); F-V04 issueInvoice unguarded (any caller, negative amounts); F-V05 unbounded per-org ledgers → FIFO 10k + drop telemetry; F-V06 backoff default sleep was a no-op — production retries fired with ZERO delay (tests always injected sleep; the exact ShiftDesk F-004 class); F-V07 read-only status enforced nowhere → writeBlocked gate wired into all mutating feature entry points, reads pinned open. OBS-V1 CSV quoting, OBS-V2 half-open probes — for disposition. Four of seven were High severity in billing/trust paths.</t>
  </si>
  <si>
    <t xml:space="preserve">F-V01..07,OBS-V1..2</t>
  </si>
  <si>
    <t xml:space="preserve">7 fixed, 2 observations</t>
  </si>
  <si>
    <t xml:space="preserve">OBS dispositions = Senthil</t>
  </si>
  <si>
    <t xml:space="preserve">E028</t>
  </si>
  <si>
    <t xml:space="preserve">D13 GATE RE-MET + RELEASE — 36 Jest suites / 176 tests (26 new regressions), 100% statements/branches/functions/lines, zero pragmas, tsc clean. Story statuses unchanged (defects were IN Done stories; fixes keep them Done with corrected behaviour — evidence notes updated on ST-052/057/060/062/070). Cold review pass 1 complete; pass 2 over remaining modules (helpCenter, supportChat, demoMode, statusPage, pricing/trust, dryRun, runbook, designPartners, listingSeo, sweep, adapter) is the natural next sitting if directed.</t>
  </si>
  <si>
    <t xml:space="preserve">v006+v012 released</t>
  </si>
  <si>
    <t xml:space="preserve">OBS-V1/V2 + F-disposition review = Senthil</t>
  </si>
  <si>
    <t xml:space="preserve">E029</t>
  </si>
  <si>
    <t xml:space="preserve">CONTINUE directive 22:34 ('continue the sprint as much as possible complete them') — plan approved: cold-review pass 2 over the ~28 modules pass 1 never opened, plus an external verification sweep against live Salesforce Open CTI docs and an artifact-gap audit (FlowCast/TestPulse 22:08 pattern).</t>
  </si>
  <si>
    <t xml:space="preserve">Pass 2 + verification sweep opened</t>
  </si>
  <si>
    <t xml:space="preserve">E030</t>
  </si>
  <si>
    <t xml:space="preserve">COLD-REVIEW PASS 2 RESULT — 13 defects FIXED with pinned regressions (F-V08..F-V20): deletion policy breach on the self-serve path, cancelled orgs never write-gated, missing /log route, unbacked 'will sync' promise, panel reporting Connected while ringing, wrong review target, ungated import, four cadence gaps, three dead config knobs, read-path writes, duplicate aha events, id collisions caused by the pass-1 FIFO cap, cheapest-plan assumption. 2 observations (OBS-V3/V4) logged no-fix.</t>
  </si>
  <si>
    <t xml:space="preserve">F-V08..F-V20,OBS-V3..V4</t>
  </si>
  <si>
    <t xml:space="preserve">13 fixed, 2 observations</t>
  </si>
  <si>
    <t xml:space="preserve">F/OBS dispositions = Senthil</t>
  </si>
  <si>
    <t xml:space="preserve">E031</t>
  </si>
  <si>
    <t xml:space="preserve">EXTERNAL VERIFICATION SWEEP vs live Open CTI Lightning docs + artifact-gap audit — 2 LIVE-BLOCKING defects found and fixed (VER-V01 opencti_min.js never loaded so the softphone was dead in-org with no error; VER-V02 enableClickToDial never called so click-to-dial never fires), VER-V03 init-complete notification added, VER-V04 sourceApiVersion 61.0→67.0 (Summer '26 GA), VER-V05 verified-correct and pinned, GAP-V1 artifact audit clean apart from F-V10. Cold review is now COMPLETE across all 34 modules.</t>
  </si>
  <si>
    <t xml:space="preserve">VER-V01..V05,GAP-V1</t>
  </si>
  <si>
    <t xml:space="preserve">Package + widget corrected; O2 sweep step now genuinely executable</t>
  </si>
  <si>
    <t xml:space="preserve">Dev org = Senthil</t>
  </si>
  <si>
    <t xml:space="preserve">E032</t>
  </si>
  <si>
    <t xml:space="preserve">D13 GATE RE-MET + RELEASE — 39 Jest suites / 217 tests, 100% statements/branches/functions/lines, zero pragmas (was 36/176). Static resource bundle and permission sets regenerated from source; story position deliberately unchanged (88 Done / 8 code-complete / 2 in progress / 2 drafted, 380/399) — this release is correctness, not new stories.</t>
  </si>
  <si>
    <t xml:space="preserve">v007 + v013 released</t>
  </si>
  <si>
    <t xml:space="preserve">SPRINT TRACKER LOG — every execution event, newest last</t>
  </si>
  <si>
    <t xml:space="preserve">E033</t>
  </si>
  <si>
    <t xml:space="preserve">2026-09-13 09:59</t>
  </si>
  <si>
    <t xml:space="preserve">CONTINUE directive 09:59 — plan approved 10:25. Baseline re-verified before any change: npm ci + full suite on v013 reproduced the tracker exactly (39 suites / 217 tests / 100% / zero pragmas, 88 Done / 8 CC / 2 IP / 2 Drafted, 380 of 399 pts).</t>
  </si>
  <si>
    <t xml:space="preserve">Sprint opened on verified baseline</t>
  </si>
  <si>
    <t xml:space="preserve">E034</t>
  </si>
  <si>
    <t xml:space="preserve">2026-09-13 10:25</t>
  </si>
  <si>
    <t xml:space="preserve">GAP-V2 FOUND AND CLOSED — Screens_Wireframes specifies 9 screens; the codebase shipped 2 (widget/softphone.html, widget/settings.html) while ST-005/015/025/035/045 (5 P0, 25 pts) claimed the Lightning utility-bar + LWC surface worked end to end, ST-079 claimed empty states on EVERY screen, and ST-089 claimed a WCAG pass on 'primary flows'. Built the 7 missing screens as typed view-models + one accessible renderer (src/views.ts), an adapter reading the live store/modules (src/screenData.ts) so they are a real surface not a self-tested module, and /ui routes. WCAG audit now covers 9 screens x populated+empty (18 axe assertions). One unreachable defensive branch deleted rather than pragma'd.</t>
  </si>
  <si>
    <t xml:space="preserve">GAP-V2,ST-079,ST-089,ST-x5</t>
  </si>
  <si>
    <t xml:space="preserve">7 screens built; a11y 2→9 screens</t>
  </si>
  <si>
    <t xml:space="preserve">D-V2 (LWC vs static-resource surface) = Senthil</t>
  </si>
  <si>
    <t xml:space="preserve">E035</t>
  </si>
  <si>
    <t xml:space="preserve">EXTERNAL VERIFICATION SWEEP #2 vs live Salesforce ISV docs — 5 findings, 1 of them structural. VER-V06: new Connected Apps cannot be created as of Spring '26; External Client Apps are the only path for a new ISV integration. Step 2 of the 30-minute dev-org guide was therefore not executable in any org today, and sweep A1/A2 + operator O1 + the data-flow diagram all encoded it. VER-V07..V09: four OAuth controls became mandatory for every partner CA/ECA on 11 May 2026, enforceable by interoperability suspension since 25 June 2026 — PKCE (missing from our code), refresh-token rotation, a 30-day refresh idle timeout (missing), and a refresh-token IP allowlist (missing). All fixed with pinned regressions. Invisible to 100% coverage and to two cold-review passes because nothing was wrong IN the code — it was wrong about the platform (FlowCast VER-001 / OnCall VER-OC1 class).</t>
  </si>
  <si>
    <t xml:space="preserve">VER-V06..V09</t>
  </si>
  <si>
    <t xml:space="preserve">PKCE+state, idle timeout, rotation telemetry, IP allowlist; ECA across code+docs+sweep</t>
  </si>
  <si>
    <t xml:space="preserve">O5 self-attestation + ECA build = Senthil</t>
  </si>
  <si>
    <t xml:space="preserve">E036</t>
  </si>
  <si>
    <t xml:space="preserve">VER-V10 COMMERCIAL VERIFICATION — AppExchange Checkout is NOT mandatory for a paid listing. The alternative is an ISVforce licence agreement with each order reported via the Channel Order Application (COA). Revenue share 15% ISVforce / 25% OEM; $999 security-review fee per paid-app submission; ~$150 annual listing renewal; 5-9 months typical end-to-end for a first listing. ST-059's provider abstraction already covers both; what was missing was the decision. Raised as D-V3 and fed into LC-1/LC-9 and the D15 sequencing math.</t>
  </si>
  <si>
    <t xml:space="preserve">VER-V10,ST-059,LC-1,LC-9,D15</t>
  </si>
  <si>
    <t xml:space="preserve">D-V3 raised</t>
  </si>
  <si>
    <t xml:space="preserve">Checkout vs ISVforce+COA = Senthil</t>
  </si>
  <si>
    <t xml:space="preserve">E037</t>
  </si>
  <si>
    <t xml:space="preserve">F-V21 LOGGED UNFIXED (High) — identity is caller-declared: every route takes userId from the request body and assertCan trusts it, so anyone who knows an orgId and an owner's userId acts as owner. Same class as MeetSync M-F11. AppExchange security review would fail on it. Deliberately NOT patched in this release: it needs a signed-session boundary across ~20 routes, which is a release of its own. Senthil directed 'continue' (not 'continue + auth') at 10:39, so it stands as his open disposition.</t>
  </si>
  <si>
    <t xml:space="preserve">F-V21</t>
  </si>
  <si>
    <t xml:space="preserve">Logged, not fixed</t>
  </si>
  <si>
    <t xml:space="preserve">Senthil decision: schedule the auth-boundary release</t>
  </si>
  <si>
    <t xml:space="preserve">E038</t>
  </si>
  <si>
    <t xml:space="preserve">D13 GATE RE-MET + RELEASE — 41 Jest suites / 274 tests, 100% statements/branches/functions/lines, zero pragmas. Story position deliberately UNCHANGED at 88 Done / 8 code-complete / 2 in progress / 2 drafted (380 of 399 pts): this is a correctness and surface release, and the 5 surface stories stay as they were until D-V2 is ratified and the org proves them. Tracker v008 + workbook v014 + code v0.14.0 released.</t>
  </si>
  <si>
    <t xml:space="preserve">v008 + v014 + v0.14.0 released</t>
  </si>
  <si>
    <t xml:space="preserve">E039</t>
  </si>
  <si>
    <t xml:space="preserve">CONTINUE directive 10:57 — ARTIFACT-GAP AUDIT opened, applying the sibling class that found OnCall GAP-OC1/OC2 and EngageOS GAP-E1/E2: for every artefact the docs, sweep, CI, k6 harness and manifests reference, does the thing actually exist?</t>
  </si>
  <si>
    <t xml:space="preserve">GAP-V3..V5</t>
  </si>
  <si>
    <t xml:space="preserve">Audit opened</t>
  </si>
  <si>
    <t xml:space="preserve">E040</t>
  </si>
  <si>
    <t xml:space="preserve">GAP-V3 CRITICAL — NO PROCESS. createApp() has existed since S1 and nothing in the repo ever called listen(); there was also no production OAuthGateway, only test doubles. So the ECA callback URL, sweep check A7's /health probe, the k6 harness, and the softphone's /dial and /log posts all pointed at a server that could not be started, and the install flow the dev-org guide describes had no code path at all. FIXED — src/server.ts (PORT-aware start(), logs on listen, drains on SIGTERM/SIGINT), src/main.ts one-line entry, src/sfGateway.ts real token-endpoint client sending code_verifier with 5xx-retryable/4xx-terminal classification, npm start + npm run dev. 12 regressions incl. a real request over the real transport against a real listening port.</t>
  </si>
  <si>
    <t xml:space="preserve">GAP-V3,ST-051,ST-086</t>
  </si>
  <si>
    <t xml:space="preserve">Service is runnable; 30-min guide executable end to end</t>
  </si>
  <si>
    <t xml:space="preserve">E041</t>
  </si>
  <si>
    <t xml:space="preserve">GAP-V4 CRITICAL — NO SCHEMA. Sweep check A5 demanded DATABASE_URL, backup.ts ran a backup/restore drill and lifecycle.sweep() implemented the published 30-day deletion policy — every one of them against an in-memory Map. FIXED — 5 ordered migrations (orgs, org_tokens, org_roles, org_records with per-(org,kind) monotonic seq, org_record_drops, pkce_states, schema_migrations), npm run migrate, and a tested planner enforcing filename order, never-re-run, and checksum-drift-is-a-hard-error. Every org-scoped table cascades on delete so the F-V01/F-V08 breach class cannot recur at the storage layer. 8 regressions.</t>
  </si>
  <si>
    <t xml:space="preserve">GAP-V4,ST-052,ST-090,R-V4</t>
  </si>
  <si>
    <t xml:space="preserve">Schema exists and is applied by a guarded runner</t>
  </si>
  <si>
    <t xml:space="preserve">R-V11: runtime still in-memory</t>
  </si>
  <si>
    <t xml:space="preserve">E042</t>
  </si>
  <si>
    <t xml:space="preserve">GAP-V5 — CI pinned Node 20 on both jobs; Node 20 reached end of life in April 2026 and the local toolchain already runs 22. FIXED with a regression that fails the build if a past-EOL pin returns. Same staleness class as TestPulse's nodejs20→22 and VoiceBridge's own VER-V04 sourceApiVersion 61.0→67.0.</t>
  </si>
  <si>
    <t xml:space="preserve">GAP-V5</t>
  </si>
  <si>
    <t xml:space="preserve">CI on Node 22</t>
  </si>
  <si>
    <t xml:space="preserve">E043</t>
  </si>
  <si>
    <t xml:space="preserve">R-V11 LOGGED, NOT HIDDEN — the migrations describe the store; the running code still uses the in-memory Store. Nothing reads or writes Postgres yet, because the swap means making the repository async across every module. docs/runtime-and-schema.md says so in terms: the presence of db/migrations/ must not be read as persistence. Until the adapter lands, every cap, purge, role and entitlement is process-local and dies on restart (MeetSync OBS-M3 class). Shipping the schema without saying this would have created exactly the artifact-vs-code gap this audit exists to close.</t>
  </si>
  <si>
    <t xml:space="preserve">R-V11,R-V4</t>
  </si>
  <si>
    <t xml:space="preserve">Divergence documented</t>
  </si>
  <si>
    <t xml:space="preserve">Adapter + F-V21 both owed before a real-data pilot</t>
  </si>
  <si>
    <t xml:space="preserve">E044</t>
  </si>
  <si>
    <t xml:space="preserve">D13 GATE RE-MET + RELEASE — 42 Jest suites / 296 tests, 100% statements/branches/functions/lines, zero pragmas (the one entry-point istanbul-ignore written during the sprint was removed in favour of a one-line main.ts that the suite actually starts). Story position unchanged at 88 Done / 8 code-complete / 2 in progress / 2 drafted (380 of 399) — infrastructure, not stories. Tracker v009 + workbook v015 + code v0.15.0 released.</t>
  </si>
  <si>
    <t xml:space="preserve">v009 + v015 + v0.15.0 released</t>
  </si>
  <si>
    <t xml:space="preserve">E045</t>
  </si>
  <si>
    <t xml:space="preserve">CONTINUE directive 11:14 — COLD-REVIEW PASS 3 opened over the v0.14.0/v0.15.0 surfaces only (views, screenData, /ui routes, server, sfGateway, migrations), applying the sibling lesson L-OC4 that new surfaces inherit old blind spots. OnCall's pass 3 over its new HTTP layer found two criticals by exactly this route.</t>
  </si>
  <si>
    <t xml:space="preserve">L-OC4</t>
  </si>
  <si>
    <t xml:space="preserve">Pass 3 opened</t>
  </si>
  <si>
    <t xml:space="preserve">E046</t>
  </si>
  <si>
    <t xml:space="preserve">F-V23 FOUND — A DEFECT INTRODUCED LAST RELEASE. The /ui routes shipped in v0.14.0 read the org id straight from the URL and checked nothing, so any caller who knew or guessed an org id could read that org's billing status, invoices, activation funnel, usage heatmap and open support conversations. Worse than F-V21: that at least required a plausible userId. Building the screens closed a gap and opened a hole, and only a review aimed at the new surface would have caught it.</t>
  </si>
  <si>
    <t xml:space="preserve">F-V23,GAP-V2</t>
  </si>
  <si>
    <t xml:space="preserve">Found</t>
  </si>
  <si>
    <t xml:space="preserve">Fix requires the F-V21 boundary</t>
  </si>
  <si>
    <t xml:space="preserve">E047</t>
  </si>
  <si>
    <t xml:space="preserve">F-V21 + F-V23 CLOSED — the identity boundary. src/auth.ts mints HMAC-SHA256 sessions over (orgId, userId, issuedAt) with a constant-time comparison; /oauth/callback is the only place one is issued, because it is the one hop Salesforce vouches for. Every org-scoped route now derives identity from the session, and a body or URL that claims a different org or user is refused as forgery rather than honoured. VB_SESSION_SECRET is required at boot with a 32-char floor — a default secret is the same as no secret. Status codes split: 401 for identity, 403 for authorisation, 400 for everything else, where all three used to be 400.</t>
  </si>
  <si>
    <t xml:space="preserve">F-V21,F-V23,ST-054,LC-3</t>
  </si>
  <si>
    <t xml:space="preserve">Boundary shipped; 21 regressions</t>
  </si>
  <si>
    <t xml:space="preserve">Sessions need VB_SESSION_SECRET at deploy</t>
  </si>
  <si>
    <t xml:space="preserve">E048</t>
  </si>
  <si>
    <t xml:space="preserve">F-V24/V25/V26 — three ways the new surfaces could be held open or grown. F-V24: /oauth/start is public, so the PKCE verifier map was an unbounded structure anyone could drive; OBS-V5 had assumed only real installs could grow it. Now TTL-swept on write and FIFO-capped like every other ledger (F-V05). F-V25: no timeout on the token endpoint, so a hung Salesforce hung the install indefinitely; 10s AbortController, retryable. F-V26: server.close() waits on open connections, so one long-lived client could outlast the orchestrator's kill window and turn a rolling deploy into a hard kill mid-request; drain then force, with the forced path exported so it is actually tested. F-V26b: the listening log printed the requested port, so PORT=0 logged 'listening on 0'.</t>
  </si>
  <si>
    <t xml:space="preserve">F-V24,F-V25,F-V26</t>
  </si>
  <si>
    <t xml:space="preserve">All fixed with regressions</t>
  </si>
  <si>
    <t xml:space="preserve">E049</t>
  </si>
  <si>
    <t xml:space="preserve">D13 GATE RE-MET + RELEASE — 43 Jest suites / 318 tests, 100% statements/branches/functions/lines, zero pragmas. Story position unchanged at 88 Done / 8 code-complete / 2 in progress / 2 drafted (380 of 399) — correctness, not stories. Tracker v010 + workbook v016 + code v0.16.0. R-V11 (in-memory runtime) is now the last known divergence between what the artifacts claim and what the code does.</t>
  </si>
  <si>
    <t xml:space="preserve">v010 + v016 + v0.16.0 released</t>
  </si>
  <si>
    <t xml:space="preserve">R-V11 is the remaining codeable item</t>
  </si>
  <si>
    <t xml:space="preserve">E050</t>
  </si>
  <si>
    <t xml:space="preserve">CONTINUE + 'do all properly' 11:35/11:36 — R-V11 opened. Sized before committing: 91 store call sites across 20 modules, 277 store/await lines in tests. A one-pass async conversion cannot hold the D13 gate mid-flight, so the work is staged with a green build at every step. Three designs weighed: async repository (correct, survives blue/green), write-through journal (cheap, but two instances diverge so it breaks ST-092), per-request unit of work (safe, but loads megabytes to place one call). Async repository chosen.</t>
  </si>
  <si>
    <t xml:space="preserve">R-V11,ST-092</t>
  </si>
  <si>
    <t xml:space="preserve">Staged plan locked in docs/r-v11-plan.md</t>
  </si>
  <si>
    <t xml:space="preserve">E051</t>
  </si>
  <si>
    <t xml:space="preserve">R-V11 STAGE 1 SHIPPED — Repository interface + InMemoryRepository + PgRepository + 006_sequences.sql, and a conformance suite running the same behavioural tests against both implementations (account round-trip incl. optional-field nulls, token lifecycle, per-org role deletion, record ordering and scoping, FIFO eviction with drop counting, monotonic per-(org,kind) sequences, purge isolation). Plus SQL-shape tests the conformance double cannot cover: every value parameterised, the counter incremented in one statement, drop rows written only when rows were actually evicted, driver-decoded payloads not parsed twice.</t>
  </si>
  <si>
    <t xml:space="preserve">R-V11,F-V05,F-V19</t>
  </si>
  <si>
    <t xml:space="preserve">Stage 1 done; 22 regressions</t>
  </si>
  <si>
    <t xml:space="preserve">Stage 2 = audit.ts + notifications.ts</t>
  </si>
  <si>
    <t xml:space="preserve">E052</t>
  </si>
  <si>
    <t xml:space="preserve">R-V11 STAYS OPEN, DELIBERATELY — createApp() still constructs the synchronous Store, so nothing in the running app touches Postgres yet. Stage 1 is not persistence, in exactly the way db/migrations/ was not persistence on its own, and the release notes say so rather than implying progress the code has not made. Two limits recorded: the runtime divergence remains until the last stage lands, and PgRepository is verified against a recording double — the three behaviours that matter most (cap enforcement, cascade, atomic counter) are precisely the ones a double cannot prove, so new operator step O6 runs the conformance suite against live Postgres before R-V11 closes.</t>
  </si>
  <si>
    <t xml:space="preserve">R-V11,O6</t>
  </si>
  <si>
    <t xml:space="preserve">Sweep now 10 auto + 6 operator</t>
  </si>
  <si>
    <t xml:space="preserve">Live Postgres = Senthil</t>
  </si>
  <si>
    <t xml:space="preserve">E053</t>
  </si>
  <si>
    <t xml:space="preserve">D13 GATE RE-MET + RELEASE — 44 Jest suites / 340 tests, 100% statements/branches/functions/lines, zero pragmas. Story position unchanged at 88 Done / 8 code-complete / 2 in progress / 2 drafted (380 of 399). Tracker v011 + workbook v017 + code v0.17.0.</t>
  </si>
  <si>
    <t xml:space="preserve">v011 + v017 + v0.17.0 released</t>
  </si>
  <si>
    <t xml:space="preserve">Stage 2 next</t>
  </si>
  <si>
    <t xml:space="preserve">E054</t>
  </si>
  <si>
    <t xml:space="preserve">R-V11 STAGE 2 OPENED, AND THE PLAN FAILED ITS FIRST CONTACT. The v0.17.0 order started with audit.ts and notifications.ts as 'leaf modules, nothing depends on them'. Correct about the dependency graph, wrong about this refactor: async cascades toward callers. audit.record() going async forces featureCore async, which forces all five feature modules async, which forces app.ts and demoMode — the whole tree in one step. A dependency-leaf is the largest possible conversion, not the smallest.</t>
  </si>
  <si>
    <t xml:space="preserve">R-V11,L-V9</t>
  </si>
  <si>
    <t xml:space="preserve">Plan corrected before any code was written</t>
  </si>
  <si>
    <t xml:space="preserve">E055</t>
  </si>
  <si>
    <t xml:space="preserve">CORRECTED RULE: convert a module only once all its callers are already async. A synchronous module cannot await; an async module calls a synchronous dependency without complaint. So the conversion runs TOP-DOWN from the route handlers, and audit/notifications are genuinely LAST, not first. docs/r-v11-plan.md rewritten as 8 stages in that order.</t>
  </si>
  <si>
    <t xml:space="preserve">8-stage order fixed</t>
  </si>
  <si>
    <t xml:space="preserve">E056</t>
  </si>
  <si>
    <t xml:space="preserve">STAGE 2 EXECUTED under the corrected order — supportChat.ts and screenData.ts on the async Repository. Chosen because their only callers are route handlers, which wrap() already resolves promises for, so the cascade stopped at the door and nothing else had to move. Test conversion was the bulk of it: throw-style assertions on now-async methods become rejects assertions, and an unawaited open() in the screen-data test failed loudly rather than silently — which is the reason each stage runs the full gate.</t>
  </si>
  <si>
    <t xml:space="preserve">supportChat + screenData converted</t>
  </si>
  <si>
    <t xml:space="preserve">Stage 3 = statusPage/helpCenter/pricingPage/trustPage</t>
  </si>
  <si>
    <t xml:space="preserve">E057</t>
  </si>
  <si>
    <t xml:space="preserve">D13 GATE RE-MET + RELEASE — 44 Jest suites / 340 tests, 100% statements/branches/functions/lines, zero pragmas. Story position unchanged at 88 Done / 8 code-complete / 2 in progress / 2 drafted (380 of 399). Tracker v012 + workbook v018 + code v0.18.0. R-V11 remains OPEN — two modules of twenty are converted and createApp() still builds the synchronous Store for the rest.</t>
  </si>
  <si>
    <t xml:space="preserve">D13,R-V11</t>
  </si>
  <si>
    <t xml:space="preserve">v012 + v018 + v0.18.0 released</t>
  </si>
  <si>
    <t xml:space="preserve">Stage 3 next</t>
  </si>
  <si>
    <t xml:space="preserve">E058</t>
  </si>
  <si>
    <t xml:space="preserve">STAGE 3 AS PLANNED WAS VACUOUS. statusPage, helpCenter, pricingPage and trustPage do not touch the store at all — `grep -c "store."` returns 0 for each; they are pure functions over config and constants. They were listed as a stage because they looked like the right shape, not because anyone checked. One grep before writing code caught it; the plan now says to verify a module actually touches the repository before giving it a stage.</t>
  </si>
  <si>
    <t xml:space="preserve">Stage 3 rewritten</t>
  </si>
  <si>
    <t xml:space="preserve">E059</t>
  </si>
  <si>
    <t xml:space="preserve">STAGE 3 EXECUTED — analytics.ts and onboarding.ts on the async Repository. Callers checked first: route handlers (wrap resolves), screenData (async since stage 2), and runbook.ts, which only uses the pure p95WithinBudget and therefore stays synchronous. The cascade stopped exactly where the corrected rule predicted it would, which is the first evidence the rule is right.</t>
  </si>
  <si>
    <t xml:space="preserve">analytics + onboarding converted; 4 of 20 modules</t>
  </si>
  <si>
    <t xml:space="preserve">Stage 4 = billing.ts</t>
  </si>
  <si>
    <t xml:space="preserve">E060</t>
  </si>
  <si>
    <t xml:space="preserve">R-V14 LOGGED — TRANSITIONAL SPLIT-BRAIN. createApp() now builds both a synchronous Store (for the 18 unconverted modules) and one shared InMemoryRepository (for the 4 converted). Unavoidable mid-migration, but backup.ts snapshots the Store ONLY, so support tickets, funnel events and onboarding progress are outside the ST-090 drill until the last stage lands. Recorded rather than left to be discovered: the backup drill must not be cited as evidence of completeness while stages are in flight.</t>
  </si>
  <si>
    <t xml:space="preserve">R-V14,ST-090</t>
  </si>
  <si>
    <t xml:space="preserve">Split-brain documented</t>
  </si>
  <si>
    <t xml:space="preserve">Closes when stage 8 lands</t>
  </si>
  <si>
    <t xml:space="preserve">E061</t>
  </si>
  <si>
    <t xml:space="preserve">D13 GATE RE-MET + RELEASE — 44 Jest suites / 340 tests, 100% statements/branches/functions/lines, zero pragmas. Story position unchanged at 88 Done / 8 code-complete / 2 in progress / 2 drafted (380 of 399). Tracker v013 + workbook v019 + code v0.19.0.</t>
  </si>
  <si>
    <t xml:space="preserve">v013 + v019 + v0.19.0 released</t>
  </si>
  <si>
    <t xml:space="preserve">Stage 4 next</t>
  </si>
  <si>
    <t xml:space="preserve">E062</t>
  </si>
  <si>
    <t xml:space="preserve">STAGE 4 (billing.ts) BLOCKED — featureCore.assertWritable() calls writeBlocked() from billing.ts, and featureCore is still synchronous so it cannot await. billing converts AFTER featureCore, not before. Third ordering error on this refactor; the same rule caught it, applied to every caller rather than the obvious ones.</t>
  </si>
  <si>
    <t xml:space="preserve">Stage 4 deferred</t>
  </si>
  <si>
    <t xml:space="preserve">E063</t>
  </si>
  <si>
    <t xml:space="preserve">SHIPPED INSTEAD — designPartners.ts converted (no src/ callers, so the cascade was empty). demoMode.ts was attempted in the same stage and REVERTED: it writes roles that the still-synchronous feature modules read, so converting it alone left the roles in the repository and the readers on the Store, and the demo seed came back 403. The gate caught it, not a review. R-V14 is now concrete rather than theoretical, and demoMode is pinned to convert with permissions/featureCore.</t>
  </si>
  <si>
    <t xml:space="preserve">R-V11,R-V14</t>
  </si>
  <si>
    <t xml:space="preserve">designPartners converted; demoMode reverted</t>
  </si>
  <si>
    <t xml:space="preserve">5 of 20 modules</t>
  </si>
  <si>
    <t xml:space="preserve">E064</t>
  </si>
  <si>
    <t xml:space="preserve">D13 GATE RE-MET + RELEASE — 44 Jest suites / 340 tests, 100% zero pragmas. Story position unchanged at 88/8/2/2 (380 of 399). Tracker v014 + workbook v020 + code v0.20.0. The easy stages are done: everything remaining runs through the featureCore/permissions cluster, which is one large stage rather than several small ones.</t>
  </si>
  <si>
    <t xml:space="preserve">v014 + v020 + v0.20.0</t>
  </si>
  <si>
    <t xml:space="preserve">Stage 5 is the cluster</t>
  </si>
  <si>
    <t xml:space="preserve">E065</t>
  </si>
  <si>
    <t xml:space="preserve">R-V11 STAGE 5 EXECUTED — the featureCore/permissions cluster converted as one unit: permissions (assertCan), featureCore, dialer, callLogger, cadence, coaching, flowActions, billing, audit, notifications, demoMode, lifecycle, screenData. Converted together rather than singly because they share roles, feature state and records — splitting them across two stores is exactly what broke v0.20.0's demoMode attempt (L-V11). createApp() now builds one shared repository.</t>
  </si>
  <si>
    <t xml:space="preserve">R-V11,L-V11</t>
  </si>
  <si>
    <t xml:space="preserve">Cluster converted; 16 of 20 modules</t>
  </si>
  <si>
    <t xml:space="preserve">E066</t>
  </si>
  <si>
    <t xml:space="preserve">REAL DEFECT FOUND MID-CONVERSION — flowActions.invoke() assigned the PROMISE returned by each action to `output` instead of awaiting it, so a rejected action escaped the try/catch that records the failed run and rethrows. The failure path (record then rethrow, the retry contract Flow depends on) was silently broken and TypeScript did not complain, because a floating promise is a valid expression. Fixed by awaiting collaborator calls across the whole source rather than module by module.</t>
  </si>
  <si>
    <t xml:space="preserve">R-V11,ST-041..050</t>
  </si>
  <si>
    <t xml:space="preserve">Failure path restored</t>
  </si>
  <si>
    <t xml:space="preserve">E067</t>
  </si>
  <si>
    <t xml:space="preserve">LEGACY STORE TRIMMED, NOT LEFT BEHIND — records, roles, accounts, the FIFO cap and the per-(org,kind) counter were deleted from store.ts once the domain stopped using them. Carrying them would have meant either dead code or coverage propped up by tests of code nothing calls. What remains is only what still needs a synchronous home: PKCE state and the snapshot/restore drill.</t>
  </si>
  <si>
    <t xml:space="preserve">store.ts reduced to two responsibilities</t>
  </si>
  <si>
    <t xml:space="preserve">Stage 6 removes it entirely</t>
  </si>
  <si>
    <t xml:space="preserve">E068</t>
  </si>
  <si>
    <t xml:space="preserve">D13 GATE RE-MET + RELEASE — 44 Jest suites / 340 tests, 100% statements/branches/functions/lines, zero pragmas. Story position unchanged at 88 Done / 8 code-complete / 2 in progress / 2 drafted (380 of 399). Tracker v015 + workbook v021 + code v0.21.0.</t>
  </si>
  <si>
    <t xml:space="preserve">v015 + v021 + v0.21.0</t>
  </si>
  <si>
    <t xml:space="preserve">Stage 6 = sfAuth PKCE + backup</t>
  </si>
  <si>
    <t xml:space="preserve">E069</t>
  </si>
  <si>
    <t xml:space="preserve">R-V11 STAGE 6 — sfAuth's PKCE state and backup's snapshot/restore converted, the last two consumers of the legacy Store. src/store.ts and test/store.test.ts DELETED; Account/TokenSet/UserRole/PkceEntry moved into src/repository.ts. createApp() now builds exactly one store. 20 of 20 modules converted.</t>
  </si>
  <si>
    <t xml:space="preserve">Legacy store deleted</t>
  </si>
  <si>
    <t xml:space="preserve">O6 still gates closure</t>
  </si>
  <si>
    <t xml:space="preserve">E070</t>
  </si>
  <si>
    <t xml:space="preserve">R-V14 CLOSED — the split-brain is gone. While stages were in flight, backup.ts snapshotted only the sync Store, so converted modules' data sat outside the ST-090 drill. With one store there is nothing outside it. snapshot/restore was deliberately kept OFF the Repository interface as a separate SnapshotCapable: in Postgres the drill is pg_dump/pg_restore, and putting a JSON dump on every implementation would have meant writing one that must never be used in production.</t>
  </si>
  <si>
    <t xml:space="preserve">Drill covers all data</t>
  </si>
  <si>
    <t xml:space="preserve">E071</t>
  </si>
  <si>
    <t xml:space="preserve">DEAD CODE REMOVED RATHER THAN COVERED — wrap() in app.ts still had a synchronous branch that nothing could reach once every handler became async. Deleted; wrap now routes through Promise.resolve(), which also means a handler that throws before returning lands in the same error envelope instead of escaping as an unhandled rejection (MeetSync M-F21 class). Same treatment as the Store trim in stage 5: the alternative was coverage propped up by tests of unreachable code.</t>
  </si>
  <si>
    <t xml:space="preserve">wrap simplified + hardened</t>
  </si>
  <si>
    <t xml:space="preserve">E072</t>
  </si>
  <si>
    <t xml:space="preserve">D13 GATE RE-MET + RELEASE — 43 Jest suites / 339 tests, 100% statements/branches/functions/lines, zero pragmas. Story position unchanged at 88 Done / 8 code-complete / 2 in progress / 2 drafted (380 of 399). Tracker v016 + workbook v022 + code v0.22.0. R-V11's code half is complete after six staged releases; R-V13/O6 (live Postgres run) is the only thing between it and closure.</t>
  </si>
  <si>
    <t xml:space="preserve">v016 + v022 + v0.22.0</t>
  </si>
  <si>
    <t xml:space="preserve">O6 = Senthil</t>
  </si>
  <si>
    <t xml:space="preserve">E073</t>
  </si>
  <si>
    <t xml:space="preserve">POST-CONVERSION REVIEW OPENED — R-V11 rewrote every module, so the release that follows it gets reviewed against what the conversion could have silently changed rather than what the diff shows. Target class from L-V12: guarantees the synchronous execution model was providing for free.</t>
  </si>
  <si>
    <t xml:space="preserve">R-V11,L-V12</t>
  </si>
  <si>
    <t xml:space="preserve">Review opened</t>
  </si>
  <si>
    <t xml:space="preserve">E074</t>
  </si>
  <si>
    <t xml:space="preserve">F-V28 FOUND — FOUR GUARDS THAT ONLY WORKED BECAUSE THE CODE WAS SYNCHRONOUS. The cadence limit, the F-V15 duplicate-enrollment check, the activity dedupe and the ten-slot partner cap are all read-decide-write. Each now has an await in the middle, so two concurrent requests can both pass the check and both write. Nothing in 339 tests could see it: every test awaits its calls in sequence, which is precisely the case the bug does not occur in. Fixed with a per-(org,resource) serial queue; 11 regressions that fire calls concurrently and assert the cap holds (5 creates against a limit of 2 → exactly 2; 15 invites against 10 slots → exactly 10; 3 identical provider retries → 1 activity).</t>
  </si>
  <si>
    <t xml:space="preserve">F-V28,F-V15</t>
  </si>
  <si>
    <t xml:space="preserve">Guards serialised</t>
  </si>
  <si>
    <t xml:space="preserve">E075</t>
  </si>
  <si>
    <t xml:space="preserve">F-V19 FOUND AGAIN, AT MODULE LEVEL — cadence ids came from `private seq = 0` on the engine instance, so two processes both mint CAD-1 and a restart resets the counter. The repository's atomic nextSeq existed and this one caller had been missed. Same defect class the storage layer was designed to prevent, one level up.</t>
  </si>
  <si>
    <t xml:space="preserve">F-V19</t>
  </si>
  <si>
    <t xml:space="preserve">Ids from the repository</t>
  </si>
  <si>
    <t xml:space="preserve">dialer CALL-n has the same shape — see R-V16</t>
  </si>
  <si>
    <t xml:space="preserve">E076</t>
  </si>
  <si>
    <t xml:space="preserve">R-V15 LOGGED, NOT PAPERED OVER — the lock serialises within ONE process. ST-092 describes a blue/green deploy where two instances run at once, and there the guards need the database: a unique index for the dedupe, SELECT..FOR UPDATE or a counted constraint for the caps. Deliberately not attempted now: an in-process lock that appears to cover the multi-instance case is worse than one documented as not covering it.</t>
  </si>
  <si>
    <t xml:space="preserve">R-V15,ST-092</t>
  </si>
  <si>
    <t xml:space="preserve">Scope limit documented</t>
  </si>
  <si>
    <t xml:space="preserve">Lands with the PgRepository cutover</t>
  </si>
  <si>
    <t xml:space="preserve">E077</t>
  </si>
  <si>
    <t xml:space="preserve">D13 GATE RE-MET + RELEASE — 44 Jest suites / 350 tests, 100% statements/branches/functions/lines, zero pragmas. Story position unchanged at 88 Done / 8 code-complete / 2 in progress / 2 drafted (380 of 399). Tracker v017 + workbook v023 + code v0.23.0.</t>
  </si>
  <si>
    <t xml:space="preserve">v017 + v023 + v0.23.0</t>
  </si>
  <si>
    <t xml:space="preserve">O6 and R-V15 both need live Postgres</t>
  </si>
  <si>
    <t xml:space="preserve">TRACEABILITY MATRIX — 100 stories: module → epic → story → sprint → verification → status → evidence</t>
  </si>
  <si>
    <t xml:space="preserve">Source: Full_Backlog (single source of truth). Status values: Done | Code-complete (pending live) | Backlog.</t>
  </si>
  <si>
    <t xml:space="preserve">Story ID</t>
  </si>
  <si>
    <t xml:space="preserve">Module / feature</t>
  </si>
  <si>
    <t xml:space="preserve">Primary screen</t>
  </si>
  <si>
    <t xml:space="preserve">Verification</t>
  </si>
  <si>
    <t xml:space="preserve">Evidence</t>
  </si>
  <si>
    <t xml:space="preserve">SCR-3 Call workspace</t>
  </si>
  <si>
    <t xml:space="preserve">Automated (Jest, 100% cov) + E2E smoke</t>
  </si>
  <si>
    <t xml:space="preserve">src/dialer.ts.setup defaults + featureCore — dialer.test.ts</t>
  </si>
  <si>
    <t xml:space="preserve">src/dialer.ts happy-path state machine — dialer.test.ts + app.e2e.test.ts</t>
  </si>
  <si>
    <t xml:space="preserve">featureCore.customise rules merge — featureCore.test.ts</t>
  </si>
  <si>
    <t xml:space="preserve">errors.ts retry envelope + src/dialer.ts error paths — dialer.test.ts</t>
  </si>
  <si>
    <t xml:space="preserve">featureCore.availableOn lightning-utility-bar — featureCore.test.ts | GAP-V2: the web screen now exists (src/views.ts, /ui route) but no LWC bundle does — status held pending D-V2 ruling + in-org proof.</t>
  </si>
  <si>
    <t xml:space="preserve">featureCore.metrics total/24h — featureCore.test.ts</t>
  </si>
  <si>
    <t xml:space="preserve">permissions.ts matrix + audit.ts on every admin op — permissions/audit tests</t>
  </si>
  <si>
    <t xml:space="preserve">featureCore.setEnabled pause, data bags untouched — featureCore.test.ts</t>
  </si>
  <si>
    <t xml:space="preserve">featureCore.importData validation report — featureCore.test.ts</t>
  </si>
  <si>
    <t xml:space="preserve">notifications.ts in-app+email — notifications.test.ts</t>
  </si>
  <si>
    <t xml:space="preserve">SCR-4 Logging builder</t>
  </si>
  <si>
    <t xml:space="preserve">src/callLogger.ts.setup defaults + featureCore — callLogger.test.ts</t>
  </si>
  <si>
    <t xml:space="preserve">src/callLogger.ts happy-path state machine — callLogger.test.ts + app.e2e.test.ts</t>
  </si>
  <si>
    <t xml:space="preserve">errors.ts retry envelope + src/callLogger.ts error paths — callLogger.test.ts</t>
  </si>
  <si>
    <t xml:space="preserve">SCR-5 Cadence view</t>
  </si>
  <si>
    <t xml:space="preserve">src/cadence.ts.setup defaults + featureCore — cadence.test.ts</t>
  </si>
  <si>
    <t xml:space="preserve">src/cadence.ts happy-path state machine — cadence.test.ts + app.e2e.test.ts</t>
  </si>
  <si>
    <t xml:space="preserve">errors.ts retry envelope + src/cadence.ts error paths — cadence.test.ts</t>
  </si>
  <si>
    <t xml:space="preserve">SCR-8 Analytics</t>
  </si>
  <si>
    <t xml:space="preserve">src/coaching.ts.setup defaults + featureCore — coaching.test.ts</t>
  </si>
  <si>
    <t xml:space="preserve">src/coaching.ts happy-path state machine — coaching.test.ts + app.e2e.test.ts</t>
  </si>
  <si>
    <t xml:space="preserve">errors.ts retry envelope + src/coaching.ts error paths — coaching.test.ts</t>
  </si>
  <si>
    <t xml:space="preserve">SF Flow Builder (native)</t>
  </si>
  <si>
    <t xml:space="preserve">src/flowActions.ts.setup defaults + featureCore — flowActions.test.ts</t>
  </si>
  <si>
    <t xml:space="preserve">src/flowActions.ts happy-path state machine — flowActions.test.ts + app.e2e.test.ts</t>
  </si>
  <si>
    <t xml:space="preserve">errors.ts retry envelope + src/flowActions.ts error paths — flowActions.test.ts</t>
  </si>
  <si>
    <t xml:space="preserve">Install &amp; lifecycle</t>
  </si>
  <si>
    <t xml:space="preserve">SCR-1/6</t>
  </si>
  <si>
    <t xml:space="preserve">src/sfAuth.ts beginInstall (PKCE S256 + single-use state) + GET /oauth/start + lifecycle.install — VER-V06/V07: ECA, not Connected App. Live install still pending dev org.</t>
  </si>
  <si>
    <t xml:space="preserve">src/lifecycle.ts uninstall token-wipe + deletion schedule + sweep — lifecycle.test.ts | v006: F-V01 fixed: sweep now removes roles + strips tombstone</t>
  </si>
  <si>
    <t xml:space="preserve">src/lifecycle.ts reinstall-within-retention restores data — lifecycle.test.ts</t>
  </si>
  <si>
    <t xml:space="preserve">src/permissions.ts owner/admin/member matrix — permissions.test.ts</t>
  </si>
  <si>
    <t xml:space="preserve">src/sfAuth.ts refreshTokens — rotation persisted, NO_ROTATION anomaly recorded, 30-day idle timeout enforced (VER-V08). Live rotation evidence pending dev org.</t>
  </si>
  <si>
    <t xml:space="preserve">src/lifecycle.ts source attribution (listing/search/referral) — lifecycle.test.ts</t>
  </si>
  <si>
    <t xml:space="preserve">Billing &amp; plans</t>
  </si>
  <si>
    <t xml:space="preserve">SCR-7 Billing</t>
  </si>
  <si>
    <t xml:space="preserve">src/billing.ts startTrial 14d no-card + banner — billing.test.ts | v006: F-V03 fixed: trial expiry enforced via write-gate</t>
  </si>
  <si>
    <t xml:space="preserve">src/billing.ts prorate mid-cycle credit/charge — billing.test.ts</t>
  </si>
  <si>
    <t xml:space="preserve">src/billing.ts provider abstraction appexchange-checkout|stripe — billing.test.ts. LIVE Checkout wiring pending ISV agreement</t>
  </si>
  <si>
    <t xml:space="preserve">src/billing.ts paymentFailed: 7d grace, 3 dunning emails, read-only — billing.test.ts | v006: F-V02+F-V07 fixed: recovery path added; read-only now enforced on all writes, reads open</t>
  </si>
  <si>
    <t xml:space="preserve">src/billing.ts seatCheck 80%/100% prompts — billing.test.ts</t>
  </si>
  <si>
    <t xml:space="preserve">src/billing.ts invoices with GST/VAT fields — billing.test.ts | v006: F-V04 fixed: role + positive-amount guards</t>
  </si>
  <si>
    <t xml:space="preserve">src/billing.ts cancel save-offer + exit survey — billing.test.ts</t>
  </si>
  <si>
    <t xml:space="preserve">Security &amp; compliance</t>
  </si>
  <si>
    <t xml:space="preserve">SCR-6 Settings</t>
  </si>
  <si>
    <t xml:space="preserve">docs/least-privilege.md scope→feature 1:1 map</t>
  </si>
  <si>
    <t xml:space="preserve">docs/data-flow-retention.md drafted — PUBLISH to live trust page pending</t>
  </si>
  <si>
    <t xml:space="preserve">TLS + vault pattern in config/docs — LIVE at-rest/vault verification pending infra</t>
  </si>
  <si>
    <t xml:space="preserve">src/audit.ts admin-sensitive action log — audit.test.ts</t>
  </si>
  <si>
    <t xml:space="preserve">E2E test + demo</t>
  </si>
  <si>
    <t xml:space="preserve">security/SECURITY.md + threat-model.md + scripts/security-evidence.sh (npm audit, dep tree, coverage archive) — sandbox half DONE; pen-test vendor = Senthil</t>
  </si>
  <si>
    <t xml:space="preserve">src/audit.ts exportData + deleteMyData self-serve — audit.test.ts</t>
  </si>
  <si>
    <t xml:space="preserve">src/sfClient.ts exp backoff+jitter + circuit breaker — sfClient.test.ts | v006: F-V06 fixed: real backoff sleep by default; F-V05 FIFO ledger caps</t>
  </si>
  <si>
    <t xml:space="preserve">Analytics &amp; telemetry</t>
  </si>
  <si>
    <t xml:space="preserve">src/analytics.ts funnel install→setup→aha→habit — analytics.test.ts</t>
  </si>
  <si>
    <t xml:space="preserve">src/analytics.ts trackError release-tagged + errorSpike alert — analytics.test.ts</t>
  </si>
  <si>
    <t xml:space="preserve">src/analytics.ts heatmap over feature bags — analytics.test.ts</t>
  </si>
  <si>
    <t xml:space="preserve">src/analytics.ts weeklyEmail body — analytics.test.ts</t>
  </si>
  <si>
    <t xml:space="preserve">src/analytics.ts healthScore usage+billing+support — analytics.test.ts</t>
  </si>
  <si>
    <t xml:space="preserve">src/analytics.ts exportCsv — analytics.test.ts</t>
  </si>
  <si>
    <t xml:space="preserve">src/analytics.ts setThresholds configurable — analytics.test.ts</t>
  </si>
  <si>
    <t xml:space="preserve">Onboarding &amp; support</t>
  </si>
  <si>
    <t xml:space="preserve">SCR-1/9</t>
  </si>
  <si>
    <t xml:space="preserve">src/onboarding.ts checklist aha at 3/4 steps — onboarding.test.ts</t>
  </si>
  <si>
    <t xml:space="preserve">src/views.ts — all 7 web screens carry an empty state naming the next action (test/views.test.ts asserts it per screen); widget shells unchanged. GAP-V2 closed the 2-of-9 gap.</t>
  </si>
  <si>
    <t xml:space="preserve">Integration test + manual QA</t>
  </si>
  <si>
    <t xml:space="preserve">src/helpCenter.ts + test — 15 launch articles (getting-started→troubleshooting) + title-weighted token search, /help routes; e2e verified</t>
  </si>
  <si>
    <t xml:space="preserve">src/supportChat.ts + test — built-in chat with &lt;4-business-hr SLA engine (Mon-Fri 9-18 IST, weekend/night rollover math tested), breach flags, operator queue; vendor decision deferred — engine works as-is (TeleField precedent)</t>
  </si>
  <si>
    <t xml:space="preserve">src/onboarding.ts shouldAskReview once-after-aha — onboarding.test.ts (built early with E8)</t>
  </si>
  <si>
    <t xml:space="preserve">src/demoMode.ts + test — isolated demo- namespace seeding (5 calls, 3 WA threads, live cadence, 2 enrollments), idempotent re-seed, real-org write guard; VIDEO half needs live-org capture (launch/asset-plan.md script ready)</t>
  </si>
  <si>
    <t xml:space="preserve">Manual QA</t>
  </si>
  <si>
    <t xml:space="preserve">src/statusPage.ts + test — public status from breaker state (platform-bound components degrade, dial/billing stay up) + investigating/identified/resolved incident template</t>
  </si>
  <si>
    <t xml:space="preserve">Quality engineering</t>
  </si>
  <si>
    <t xml:space="preserve">jest coverageThreshold 100x4 (D13 supersedes &gt;=70) — CI fails below 100%</t>
  </si>
  <si>
    <t xml:space="preserve">test/app.e2e.test.ts smoke + ci.yml e2e-smoke job gating deploy</t>
  </si>
  <si>
    <t xml:space="preserve">src/analytics.ts p95WithinBudget api 500ms / ui 2000ms — analytics.test.ts</t>
  </si>
  <si>
    <t xml:space="preserve">load/k6-load.js 5x-launch harness (100 rps, p95&lt;500) — LIVE run pending infra</t>
  </si>
  <si>
    <t xml:space="preserve">test/a11y.test.ts — jest-axe over ALL 9 screens x populated+empty (18 assertions), was 2 screens. Stays In progress: live-UI/screen-reader pass is Senthil's half.</t>
  </si>
  <si>
    <t xml:space="preserve">src/backup.ts + test/backup.test.ts — snapshot→wipe→restore drill, sha256 integrity verify, divergence blocks ship; live pg variant scripted (live-sweep step 9)</t>
  </si>
  <si>
    <t xml:space="preserve">src/resilience.ts + /status route + chaos e2e — breaker-driven degraded mode, user banner, queued-writes comms, auto-recovery</t>
  </si>
  <si>
    <t xml:space="preserve">ci.yml deploy-blue-green job — LIVE slot-swap verification pending infra</t>
  </si>
  <si>
    <t xml:space="preserve">Launch &amp; listing</t>
  </si>
  <si>
    <t xml:space="preserve">launch/listing-copy-ab.md — variants A (outcome-led) + B (pain-led) awaiting pick</t>
  </si>
  <si>
    <t xml:space="preserve">launch/asset-plan.md — 5-shot list + 2-min video script per AppExchange specs; capture needs live org</t>
  </si>
  <si>
    <t xml:space="preserve">src/pricingPage.ts + test — plan matrix + 7-item FAQ generated from billing.ts exported constants (single source; sync asserted in tests)</t>
  </si>
  <si>
    <t xml:space="preserve">src/trustPage.ts + test — data handling, least-privilege scopes, subprocessors, retention + residency from config single source</t>
  </si>
  <si>
    <t xml:space="preserve">src/dryRun.ts + test — submission dry-run engine READY 11/11 automated (DR-01..11 file+content checks) with 4 human/live items DR-12..15; REVIEW_PACK.md for external second reviewer — human sign-off (DR-12) = Senthil nominee</t>
  </si>
  <si>
    <t xml:space="preserve">src/runbook.ts + test — executable runbook: 12 steps / 5 phases, automated pre-flight file checks, rollback triggers wired to the real p95 budgets (api 500ms / ui 2s) + 3x error-spike rule, 4-row comms tree; zero-baseline guard tested</t>
  </si>
  <si>
    <t xml:space="preserve">src/listingSeo.ts + test — SEO iteration engine: promote/keep/ignore per term with CTR+install-rate thresholds and 100-impression floor, title suggestion from strongest term, A/B install-rate signal with near-tie + thin-data guards; LIVE half needs post-listing search-term data</t>
  </si>
  <si>
    <t xml:space="preserve">src/designPartners.ts + test — 10-slot tracker: invited→scheduled→reviewed|declined with guards, 3-day stale-nudge queue (longest-silent first), honest exit math separating reviews from G-02 paying-stranger installs; LIVE half (actual outreach + scheduling) = Senthil</t>
  </si>
  <si>
    <t xml:space="preserve">REVIEW FINDINGS — mirrored from tracker v006 (dispositions live there)</t>
  </si>
  <si>
    <t xml:space="preserve">Pass 1 (22:09): billing, store, lifecycle, sfClient, featureCore + write entry points. Pass 2 (22:34): the remaining ~28 modules — dialer, callLogger, cadence, coaching, analytics, flowActions, onboarding, notifications, audit, permissions, permSets, sfAuth, resilience, backup, config, app, helpCenter, supportChat, demoMode, statusPage, pricingPage, trustPage, dryRun, runbook, designPartners, listingSeo, sweepChecks, softphoneAdapter — plus an external verification sweep vs live Open CTI docs and an artifact-gap audit. COLD REVIEW NOW COMPLETE. Dispositions column is Senthil's.</t>
  </si>
  <si>
    <t xml:space="preserve">Severity</t>
  </si>
  <si>
    <t xml:space="preserve">Module(s)</t>
  </si>
  <si>
    <t xml:space="preserve">Finding</t>
  </si>
  <si>
    <t xml:space="preserve">Resolution</t>
  </si>
  <si>
    <t xml:space="preserve">Sibling precedent</t>
  </si>
  <si>
    <t xml:space="preserve">Disposition (Senthil)</t>
  </si>
  <si>
    <t xml:space="preserve">F-V01</t>
  </si>
  <si>
    <t xml:space="preserve">store.ts / lifecycle.ts</t>
  </si>
  <si>
    <t xml:space="preserve">Retention sweep deleted feature bags only — user ROLE records survived forever and the account tombstone kept install source + lifecycle timestamps. Published "permanently deleted" policy (trust page, data-flow doc) was breached.</t>
  </si>
  <si>
    <t xml:space="preserve">FIXED — sweep now deletes all org roles (store.deleteRolesForOrg) and writes a minimal tombstone (orgId, deleted, deletedAt only); regression asserts post-sweep snapshot contains no user ids.</t>
  </si>
  <si>
    <t xml:space="preserve">FlowCast F-007</t>
  </si>
  <si>
    <t xml:space="preserve">F-V02</t>
  </si>
  <si>
    <t xml:space="preserve">billing.ts</t>
  </si>
  <si>
    <t xml:space="preserve">No payment-recovery path: grace/read-only was a one-way street — a successful payment could not restore active status, reset dunning, or clear grace. Help article HC-10 promised "restores full access immediately"; the code could not deliver it.</t>
  </si>
  <si>
    <t xml:space="preserve">FIXED — paymentRecovered(): grace|read-only → active, dunningEmails 0, graceStartedAt cleared, billing.recovered notification; recovering an active account rejected.</t>
  </si>
  <si>
    <t xml:space="preserve">ShiftDesk F-001 / OnCall F-005</t>
  </si>
  <si>
    <t xml:space="preserve">F-V03</t>
  </si>
  <si>
    <t xml:space="preserve">Trial expiry unenforced: after trialEndsAt the org stayed status=trialing with full write access forever, and the banner showed "Trial: 0 day(s) remaining" indefinitely. The 14-day trial was a label.</t>
  </si>
  <si>
    <t xml:space="preserve">FIXED — writeBlocked() treats expired trial as blocked ("Trial ended — choose a plan"), banner states it plainly; choosing a plan unblocks. Old test that pinned the buggy 0-days banner corrected.</t>
  </si>
  <si>
    <t xml:space="preserve">ShiftDesk F-013 class</t>
  </si>
  <si>
    <t xml:space="preserve">F-V04</t>
  </si>
  <si>
    <t xml:space="preserve">issueInvoice was the only unguarded billing mutation: no role check (any caller) and no amount validation — zero, negative, and NaN invoices accepted.</t>
  </si>
  <si>
    <t xml:space="preserve">FIXED — assertCan billing.manage + positive-finite amount guard; signature now takes userId.</t>
  </si>
  <si>
    <t xml:space="preserve">ShiftDesk F-005 class</t>
  </si>
  <si>
    <t xml:space="preserve">F-V05</t>
  </si>
  <si>
    <t xml:space="preserve">store.ts</t>
  </si>
  <si>
    <t xml:space="preserve">Every per-org ledger unbounded (notifications 2-per-event, analytics events, audit, activities...) — memory growth defect in a long-lived process; dunning alone kept appending.</t>
  </si>
  <si>
    <t xml:space="preserve">FIXED — FIFO cap 10,000 per (org, kind) with droppedCount() telemetry; oldest evicted; "current subscription = last item" semantics regression-pinned. Live Postgres gets a retention policy instead (noted for deploy).</t>
  </si>
  <si>
    <t xml:space="preserve">ST-070 infra</t>
  </si>
  <si>
    <t xml:space="preserve">FlowCast F-001 / ShiftDesk F-003</t>
  </si>
  <si>
    <t xml:space="preserve">F-V06</t>
  </si>
  <si>
    <t xml:space="preserve">sfClient.ts</t>
  </si>
  <si>
    <t xml:space="preserve">Exponential backoff was a NO-OP in production: default sleep was () =&gt; Promise.resolve() — every retry against a struggling platform API fired with zero delay, defeating the documented backoff and hammering Salesforce during 429/503 storms. Tests always injected their own sleep, so 100% coverage never caught it.</t>
  </si>
  <si>
    <t xml:space="preserve">FIXED — default sleep is a real setTimeout wait; fake-timer regression asserts a pending 375ms timer between attempts on a bare new SfClient().</t>
  </si>
  <si>
    <t xml:space="preserve">ShiftDesk F-004 (exact class)</t>
  </si>
  <si>
    <t xml:space="preserve">F-V07</t>
  </si>
  <si>
    <t xml:space="preserve">featureCore.ts / billing.ts</t>
  </si>
  <si>
    <t xml:space="preserve">read-only status was enforced NOWHERE — an org 8 days into failed payment (or past trial expiry, per F-V03) kept full write access across dial, logging, cadences, and Flow actions. ST-060 had no teeth.</t>
  </si>
  <si>
    <t xml:space="preserve">FIXED — writeBlocked() gate + featureCore.assertWritable() wired into the mutating entry points of dialer, callLogger, cadence (create+enroll), flowActions; coaching reads stay open (ST-060 reads-allowed semantics pinned).</t>
  </si>
  <si>
    <t xml:space="preserve">New (portfolio first: billing-status enforcement)</t>
  </si>
  <si>
    <t xml:space="preserve">OBS-V1</t>
  </si>
  <si>
    <t xml:space="preserve">Low</t>
  </si>
  <si>
    <t xml:space="preserve">analytics.ts</t>
  </si>
  <si>
    <t xml:space="preserve">exportCsv joins fields with commas and no RFC-4180 quoting. Current fields (funnel stage names + counts) cannot contain commas, so not a live defect — but any future field with a comma corrupts the export.</t>
  </si>
  <si>
    <t xml:space="preserve">NO FIX — logged for disposition; quote-all-fields is a 5-line change if ST-076 scope grows.</t>
  </si>
  <si>
    <t xml:space="preserve">ShiftDesk F-006 class (pre-emptive)</t>
  </si>
  <si>
    <t xml:space="preserve">OBS-V2</t>
  </si>
  <si>
    <t xml:space="preserve">Circuit half-open allows unlimited concurrent probes after cooldown: every caller in the half-open window passes the gate until failures re-accumulate. A single-probe half-open is stricter.</t>
  </si>
  <si>
    <t xml:space="preserve">NO FIX — matches FlowCast OBS-002 (also pending disposition); current behaviour recovers correctly, just less politely.</t>
  </si>
  <si>
    <t xml:space="preserve">FlowCast OBS-002</t>
  </si>
  <si>
    <t xml:space="preserve">F-V08</t>
  </si>
  <si>
    <t xml:space="preserve">audit.ts</t>
  </si>
  <si>
    <t xml:space="preserve">Self-serve delete (ST-069, promised in HC-12) purged the feature bags only: the org's user ROLE records and its OAuth tokens survived. Same published-policy breach as F-V01, on the other deletion path.</t>
  </si>
  <si>
    <t xml:space="preserve">FIXED — deleteMyData now purges bags, deletes all org roles and wipes tokens, and returns {rolesDeleted, tokensWiped}; the audit line is written after the purge so the deletion stays evidenced. 3 regressions incl. cross-org isolation.</t>
  </si>
  <si>
    <t xml:space="preserve">VoiceBridge F-V01 (same class, other path)</t>
  </si>
  <si>
    <t xml:space="preserve">F-V09</t>
  </si>
  <si>
    <t xml:space="preserve">writeBlocked() never considered status 'cancelled'. A cancelled org kept full write access indefinitely — the F-V07 gate had a hole exactly where the pricing page promises 'cancel any time'.</t>
  </si>
  <si>
    <t xml:space="preserve">FIXED — cancelled now blocks writes with its own reason; reads and export stay open (2 regressions pin that data is never held hostage).</t>
  </si>
  <si>
    <t xml:space="preserve">ST-063/ST-060</t>
  </si>
  <si>
    <t xml:space="preserve">New (extends F-V07)</t>
  </si>
  <si>
    <t xml:space="preserve">F-V10</t>
  </si>
  <si>
    <t xml:space="preserve">app.ts / softphoneAdapter.ts</t>
  </si>
  <si>
    <t xml:space="preserve">ARTIFACT GAP: the Open CTI softphone has always POSTed hang-ups to /log, and no such route existed. Every hang-up in a live org would have 404'd into the adapter's 'saved locally' branch and the activity would never reach the record — the product's headline feature (F2 auto-logging) silently dead.</t>
  </si>
  <si>
    <t xml:space="preserve">FIXED — /log route added: closes the call via dialer.transition and writes the activity via callLogger.ingest in one hop, externalId call:&lt;id&gt; so provider replays dedupe. 4 supertest regressions (happy path, empty note, replay, unknown id → clean 400).</t>
  </si>
  <si>
    <t xml:space="preserve">ST-011..020 / R-V5</t>
  </si>
  <si>
    <t xml:space="preserve">TestPulse missing Custom UI resource; FlowCast GAP-1/2</t>
  </si>
  <si>
    <t xml:space="preserve">F-V11</t>
  </si>
  <si>
    <t xml:space="preserve">softphoneAdapter.ts</t>
  </si>
  <si>
    <t xml:space="preserve">The failed-hang-up branch told the rep 'Saved locally — will sync when the connection recovers' and then dropped the log on the floor. Nothing queued it, nothing retried it. A promise in the UI with no code behind it.</t>
  </si>
  <si>
    <t xml:space="preserve">FIXED — pending queue on adapter state, flushPending() drains oldest-first and stops at the first failure to preserve order, pollStatus() flushes automatically on recovery; banner shows the waiting count. 3 regressions incl. partial-flush ordering.</t>
  </si>
  <si>
    <t xml:space="preserve">ST-091 / ST-014</t>
  </si>
  <si>
    <t xml:space="preserve">FlowCast F-002 class (promise vs behaviour)</t>
  </si>
  <si>
    <t xml:space="preserve">F-V12</t>
  </si>
  <si>
    <t xml:space="preserve">dial() hard-coded callState='connected' the moment /dial returned — but /dial returns state 'dialing'. A ringing call read 'Connected' on the rep's panel, and coaching connect-rate would have been read against a state the UI contradicted. The pass-1 test suite asserted the wrong behaviour because the mock returned no state at all.</t>
  </si>
  <si>
    <t xml:space="preserve">FIXED — the panel mirrors the server's state machine (Ringing vs Connected); the existing mock corrected to the real /dial shape. 2 regressions incl. a stateless response never reading as connected.</t>
  </si>
  <si>
    <t xml:space="preserve">New</t>
  </si>
  <si>
    <t xml:space="preserve">F-V13</t>
  </si>
  <si>
    <t xml:space="preserve">designPartners.ts</t>
  </si>
  <si>
    <t xml:space="preserve">exitMath.reviewTargetMet compared reviews against SLOTS (10). The S11 exit criterion is FIRST 3 REVIEWS. The 'honest exit math' story would have reported a met gate as unmet anywhere between 3 and 9 reviews.</t>
  </si>
  <si>
    <t xml:space="preserve">FIXED — REVIEW_TARGET = 3 exported and reported alongside the count; G-02 paying-stranger math untouched and still separate. 2 regressions.</t>
  </si>
  <si>
    <t xml:space="preserve">F-V14</t>
  </si>
  <si>
    <t xml:space="preserve">featureCore.ts</t>
  </si>
  <si>
    <t xml:space="preserve">importData() creates records and was not behind the F-V07 write gate — a read-only or expired-trial org could still bulk-import rows.</t>
  </si>
  <si>
    <t xml:space="preserve">FIXED — assertWritable() on the import entry point; setup/customise/pause deliberately stay open so an admin can always fix their configuration. 2 regressions.</t>
  </si>
  <si>
    <t xml:space="preserve">ST-x9 pattern</t>
  </si>
  <si>
    <t xml:space="preserve">Extends F-V07</t>
  </si>
  <si>
    <t xml:space="preserve">F-V15</t>
  </si>
  <si>
    <t xml:space="preserve">cadence.ts</t>
  </si>
  <si>
    <t xml:space="preserve">Four gaps on one module: enroll() skipped requireEnabled (a paused cadence still enrolled); the same contact could be enrolled twice in one cadence, so dueSteps returned them twice and the rep called them twice the same day; advance() mutated state with no write gate; and dueSteps/advance cast the cadence lookup with 'as Cadence', so one enrollment outliving its cadence crashed the whole due list.</t>
  </si>
  <si>
    <t xml:space="preserve">FIXED — enabled gate on enroll, duplicate-active-enrolment refused (re-enrolment allowed once complete), assertWritable on advance, orphan enrolments skipped in dueSteps and named clearly in advance. 5 regressions.</t>
  </si>
  <si>
    <t xml:space="preserve">ST-021..030</t>
  </si>
  <si>
    <t xml:space="preserve">Extends F-V07; FlowCast F-006 (duplicate sends)</t>
  </si>
  <si>
    <t xml:space="preserve">F-V16</t>
  </si>
  <si>
    <t xml:space="preserve">cadence.ts / callLogger.ts / flowActions.ts</t>
  </si>
  <si>
    <t xml:space="preserve">Three declared settings governed nothing: maxActiveCadences (no cap enforced anywhere), logCalls/logWhatsApp (an admin who switched WhatsApp logging off kept getting WhatsApp activities written to records), allowInLoops (a Flow loop invoking StartCall per record could dial a whole list view).</t>
  </si>
  <si>
    <t xml:space="preserve">FIXED — all three now enforced with named errors; allowInLoops stays default-off and refuses loop-context invocations. 3 regressions + a null-limit default-fallback case.</t>
  </si>
  <si>
    <t xml:space="preserve">ST-023/ST-013/ST-043</t>
  </si>
  <si>
    <t xml:space="preserve">FlowCast F-005 (nudgesPerMonth unenforceable); OnCall F-008 (dead config knobs)</t>
  </si>
  <si>
    <t xml:space="preserve">F-V17</t>
  </si>
  <si>
    <t xml:space="preserve">coaching.ts</t>
  </si>
  <si>
    <t xml:space="preserve">scorecard() is a read and pushed a Scorecard record on every call; leaderboard() multiplied it by the number of reps. A manager refreshing the leaderboard registered as feature usage in the ST-073 heatmap and burned the F-V05 FIFO budget.</t>
  </si>
  <si>
    <t xml:space="preserve">FIXED — scorecard() is pure; a new snapshot() is the only write path and obeys the billing gate. 2 regressions incl. heatmap staying at zero after repeated reads.</t>
  </si>
  <si>
    <t xml:space="preserve">ST-032/ST-073</t>
  </si>
  <si>
    <t xml:space="preserve">F-V18</t>
  </si>
  <si>
    <t xml:space="preserve">onboarding.ts</t>
  </si>
  <si>
    <t xml:space="preserve">complete() re-emitted the 'aha' funnel event on EVERY completion once three steps were done, so a single org could inflate the aha count — and activation &gt;40% is an S11 exit gate measured from that funnel.</t>
  </si>
  <si>
    <t xml:space="preserve">FIXED — aha tracked once per org; the single-shot review ask is unaffected and its clock is now injectable. 2 regressions.</t>
  </si>
  <si>
    <t xml:space="preserve">ST-078/ST-071</t>
  </si>
  <si>
    <t xml:space="preserve">supportChat.ts / designPartners.ts / store.ts</t>
  </si>
  <si>
    <t xml:space="preserve">Ids derived from list length (chat-&lt;org&gt;-&lt;len+1&gt;, DP-&lt;len+1&gt;). After the pass-1 F-V05 FIFO cap pins list length at MAX_PER_KIND, every new ticket takes the same id — respond() would answer the wrong ticket. A defect created by the interaction of a pass-1 fix with untouched code.</t>
  </si>
  <si>
    <t xml:space="preserve">FIXED — store.nextSeq(org, kind) monotonic counter, reset with purgeOrg so a reinstall starts clean. 3 regressions incl. one that fills the bag to the cap first.</t>
  </si>
  <si>
    <t xml:space="preserve">ST-081/ST-100</t>
  </si>
  <si>
    <t xml:space="preserve">New (interaction defect — pass-1 fix x pass-2 module)</t>
  </si>
  <si>
    <t xml:space="preserve">F-V20</t>
  </si>
  <si>
    <t xml:space="preserve">pricingPage.ts</t>
  </si>
  <si>
    <t xml:space="preserve">The 'smallest commitment' FAQ answer took the first key of SEAT_PRICE as the cheapest plan. Reorder the plan constants and the published pricing page starts quoting the most expensive tier as the entry price.</t>
  </si>
  <si>
    <t xml:space="preserve">FIXED — cheapest computed by price; regression asserts no dearer tier appears in that answer.</t>
  </si>
  <si>
    <t xml:space="preserve">VER-V01</t>
  </si>
  <si>
    <t xml:space="preserve">widget/softphone.html</t>
  </si>
  <si>
    <t xml:space="preserve">LIVE-BLOCKING (external verification vs the Open CTI Lightning method reference): the softphone page never loaded opencti_min.js. The Open CTI API is not injected into the adapter frame automatically — 'sforce' would be undefined, the whole in-org bootstrap silently no-ops, and the softphone is dead in the org with no error anywhere. Two clean cold reviews did not catch it because the jsdom tests inject a mocked API.</t>
  </si>
  <si>
    <t xml:space="preserve">FIXED — &lt;script src="/support/api/67.0/lightning/opencti_min.js"&gt; added; a regression asserts the tag exists and that its version matches sfdx sourceApiVersion.</t>
  </si>
  <si>
    <t xml:space="preserve">R-V5 / ST-001</t>
  </si>
  <si>
    <t xml:space="preserve">FlowCast VER-001 (exact class: silent day-one failure after clean reviews)</t>
  </si>
  <si>
    <t xml:space="preserve">VER-V02</t>
  </si>
  <si>
    <t xml:space="preserve">widget/softphone.html / softphoneAdapter.ts</t>
  </si>
  <si>
    <t xml:space="preserve">LIVE-BLOCKING: enableClickToDial() was never called. The documented contract is that the phone system must be enabled before a registered onClickToDial listener fires — click-to-dial, the headline demo moment, would have done nothing in the org.</t>
  </si>
  <si>
    <t xml:space="preserve">FIXED — enableClickToDial() added to the OpenCtiApi interface and called first in init(); regression pins the ordering (enable before listener).</t>
  </si>
  <si>
    <t xml:space="preserve">ST-001/ST-002</t>
  </si>
  <si>
    <t xml:space="preserve">VER-V03</t>
  </si>
  <si>
    <t xml:space="preserve">notifyInitializationComplete() was never called, so Salesforce keeps the softphone's loading icon and can fall through to reqStandbyUrl.</t>
  </si>
  <si>
    <t xml:space="preserve">FIXED — called last in init(); regression pins it as the final lifecycle call.</t>
  </si>
  <si>
    <t xml:space="preserve">R-V5</t>
  </si>
  <si>
    <t xml:space="preserve">VER-V04</t>
  </si>
  <si>
    <t xml:space="preserve">sfpackage/sfdx-project.json</t>
  </si>
  <si>
    <t xml:space="preserve">sourceApiVersion was 61.0 (Summer '24) — two years stale as of this release. Verified current GA is 67.0 (Summer '26); 68.0 is Winter '27 preview.</t>
  </si>
  <si>
    <t xml:space="preserve">FIXED — 67.0, and the Open CTI script path is pinned to the same version with a regression asserting the two never drift apart.</t>
  </si>
  <si>
    <t xml:space="preserve">LC-2/D18</t>
  </si>
  <si>
    <t xml:space="preserve">TestPulse runtime nodejs20→22 (same staleness class)</t>
  </si>
  <si>
    <t xml:space="preserve">VER-V05</t>
  </si>
  <si>
    <t xml:space="preserve">Info</t>
  </si>
  <si>
    <t xml:space="preserve">VERIFIED CORRECT, no change: the in-org bootstrap already wraps onClickToDial as { listener: fn } (not a bare callback) and uses sforce.opencti.SCREENPOP_TYPE.SOBJECT, both matching the live method reference. Pinned by regression so a future refactor cannot quietly break them.</t>
  </si>
  <si>
    <t xml:space="preserve">NO CHANGE — verified against live docs and pinned.</t>
  </si>
  <si>
    <t xml:space="preserve">GAP-V1</t>
  </si>
  <si>
    <t xml:space="preserve">docs/ launch/ security/ load/ .github/</t>
  </si>
  <si>
    <t xml:space="preserve">ARTIFACT-GAP AUDIT: every file referenced by the dry-run engine, the runbook pre-flight and the 12-step sweep was checked to exist on disk (ci.yml, k6-load.js, least-privilege.md, data-flow-retention.md, SECURITY.md, threat-model.md, listing-copy-ab.md, asset-plan.md, salesforce-dev-org-guide.md, sweep.ts, widget shells). All present — the only missing artifact found was the /log route (F-V10).</t>
  </si>
  <si>
    <t xml:space="preserve">NO CHANGE — audit clean apart from F-V10.</t>
  </si>
  <si>
    <t xml:space="preserve">ST-097/ST-098</t>
  </si>
  <si>
    <t xml:space="preserve">FlowCast GAP-1/2 (missing CI + blue/green workflows)</t>
  </si>
  <si>
    <t xml:space="preserve">OBS-V3</t>
  </si>
  <si>
    <t xml:space="preserve">init() discards the setInterval handle, so status polling cannot be stopped and a re-init would start a second poller. Harmless in the utility-bar lifecycle (the frame is torn down with the panel), but it is a leak if the panel is ever re-initialised in place.</t>
  </si>
  <si>
    <t xml:space="preserve">NO FIX — logged for disposition; returning the handle is a 2-line change.</t>
  </si>
  <si>
    <t xml:space="preserve">OBS-V4</t>
  </si>
  <si>
    <t xml:space="preserve">notifications.ts</t>
  </si>
  <si>
    <t xml:space="preserve">notify() always writes both an in-app and an email notification with no per-org or per-user preference. Every feature event emails every actor. Not wrong today (volumes are low), but it is the sort of thing a design partner complains about in week two.</t>
  </si>
  <si>
    <t xml:space="preserve">NO FIX — logged for disposition; needs a product call on notification preferences before code.</t>
  </si>
  <si>
    <t xml:space="preserve">ST-x10 pattern</t>
  </si>
  <si>
    <t xml:space="preserve">EngageOS opt-in precedent</t>
  </si>
  <si>
    <t xml:space="preserve">REVIEW FINDINGS — adversarial cold-review, VoiceBridge codebase</t>
  </si>
  <si>
    <t xml:space="preserve">GAP-V2</t>
  </si>
  <si>
    <t xml:space="preserve">Screens_Wireframes vs widget/ + sfpackage/</t>
  </si>
  <si>
    <t xml:space="preserve">SCREEN-SURFACE GAP: the spec sheet names 9 screens; the codebase shipped 2 (softphone.html, settings.html). Meanwhile ST-005/015/025/035/045 (5 x P0, 25 pts) each claim the feature 'works on the Lightning utility-bar softphone + LWC surface end-to-end' and are marked Done, ST-079 claims empty states on EVERY screen, and ST-089 claims a WCAG pass on primary flows. No LWC bundle exists anywhere in sfpackage/ (callCenters, permissionsets, staticresources only).</t>
  </si>
  <si>
    <t xml:space="preserve">FIXED (code half) — 7 screens built as typed view-models + one accessible renderer (src/views.ts), wired to the live modules via src/screenData.ts and served at /ui/:orgId[/:screenId?format=html]; WCAG audit widened to 9 screens x populated+empty. The 5 surface stories are deliberately NOT re-flipped: see D-V2.</t>
  </si>
  <si>
    <t xml:space="preserve">ST-005/015/025/035/045, ST-079, ST-089</t>
  </si>
  <si>
    <t xml:space="preserve">TestPulse missing Custom UI resource; MeetSync missing web layer</t>
  </si>
  <si>
    <t xml:space="preserve">D-V2</t>
  </si>
  <si>
    <t xml:space="preserve">Decision</t>
  </si>
  <si>
    <t xml:space="preserve">docs/d18-packaging-decision.md vs story text</t>
  </si>
  <si>
    <t xml:space="preserve">CONTRADICTION NEEDING YOUR RULING: D18 recommends a hybrid-minimal 2GP shim with zero Apex and no LWC (smallest security-review scope). Five story texts demand an LWC surface. Both cannot be true.</t>
  </si>
  <si>
    <t xml:space="preserve">OPEN — (a) add LWC bundles to the package, accepting a larger security-review scope, or (b) keep the static-resource/web surface and reword the five story texts to match what ships. The screens built in v0.14.0 are valid under either.</t>
  </si>
  <si>
    <t xml:space="preserve">ST-005/015/025/035/045, D18</t>
  </si>
  <si>
    <t xml:space="preserve">VER-V06</t>
  </si>
  <si>
    <t xml:space="preserve">docs/, src/config.ts, src/sfAuth.ts, src/sweepChecks.ts</t>
  </si>
  <si>
    <t xml:space="preserve">LIVE-BLOCKING (external verification vs the live ISVforce guide): new CONNECTED APPS CANNOT BE CREATED as of the Spring '26 release — External Client Apps replace them. Step 2 of the 30-minute dev-org guide instructs 'Setup -&gt; App Manager -&gt; New Connected App'; that option is not in the org. Sweep checks A1/A2, operator step O1 and the data-flow diagram encoded the same assumption. The dev-org day would have stalled in the first ten minutes.</t>
  </si>
  <si>
    <t xml:space="preserve">FIXED — ECA across config, sfAuth, sweep checks, dev-org guide, live-sweep pack, D18 doc and data-flow diagram; docs/oauth-security-controls.md written; dry-run gains DR-16.</t>
  </si>
  <si>
    <t xml:space="preserve">ST-051,LC-2,D18</t>
  </si>
  <si>
    <t xml:space="preserve">FlowCast VER-001 / OnCall VER-OC1 (silent day-one failure after clean cold reviews)</t>
  </si>
  <si>
    <t xml:space="preserve">VER-V07</t>
  </si>
  <si>
    <t xml:space="preserve">src/sfAuth.ts, src/app.ts</t>
  </si>
  <si>
    <t xml:space="preserve">MANDATORY CONTROL MISSING: PKCE on the authorization-code flow, required of every partner CA/ECA regardless of public or confidential client, deadline 11 May 2026, enforceable by interoperability suspension since 25 June 2026. Our flow had no code_challenge and no state parameter at all — which also left the install open to OAuth CSRF.</t>
  </si>
  <si>
    <t xml:space="preserve">FIXED — beginInstall() mints an S256 challenge and a single-use state; the verifier never leaves the server; GET /oauth/start is the only entry point. 6 regressions: replay, forged state, expiry, verifier-not-in-URL, challenge-derivation, distinctness.</t>
  </si>
  <si>
    <t xml:space="preserve">ST-051,LC-3</t>
  </si>
  <si>
    <t xml:space="preserve">MeetSync M-F15 (no OAuth CSRF state)</t>
  </si>
  <si>
    <t xml:space="preserve">VER-V08</t>
  </si>
  <si>
    <t xml:space="preserve">src/sfAuth.ts, src/config.ts</t>
  </si>
  <si>
    <t xml:space="preserve">MANDATORY CONTROLS MISSING: refresh-token rotation and a refresh-token idle timeout of at most 30 days. We stored a refresh token indefinitely and, when the platform returned no new one, silently reused the old — so after an idle spell the app would present a token Salesforce had already invalidated and surface a raw OAuth error to the rep.</t>
  </si>
  <si>
    <t xml:space="preserve">FIXED — SF_REFRESH_IDLE_DAYS (default 30, ceiling enforced at config load); an idle token throws REAUTH_REQUIRED with a reconnect instruction WITHOUT calling the platform; a refresh returning no new token records a NO_ROTATION anomaly.</t>
  </si>
  <si>
    <t xml:space="preserve">ST-055,LC-3</t>
  </si>
  <si>
    <t xml:space="preserve">OnCall VER-OC3 (token TTL + single-use refresh)</t>
  </si>
  <si>
    <t xml:space="preserve">VER-V09</t>
  </si>
  <si>
    <t xml:space="preserve">src/config.ts, src/sweepChecks.ts, docs/</t>
  </si>
  <si>
    <t xml:space="preserve">MANDATORY CONTROL MISSING: refresh-token IP allowlist. Nothing in env, sweep or guide mentioned it, so the dev-org day would have ended with an ECA that could not be self-attested as compliant.</t>
  </si>
  <si>
    <t xml:space="preserve">FIXED — SF_REFRESH_IP_ALLOWLIST parsed into config, sweep check A9 fails when unset, A10 guards the idle ceiling, and operator step O5 self-attests all four controls AFTER the flow is proven (attestation locks the configuration).</t>
  </si>
  <si>
    <t xml:space="preserve">LC-3</t>
  </si>
  <si>
    <t xml:space="preserve">VER-V10</t>
  </si>
  <si>
    <t xml:space="preserve">ST-059 / LC-1 / LC-9 / Financial_Model</t>
  </si>
  <si>
    <t xml:space="preserve">VERIFIED, CHANGES A DECISION: AppExchange Checkout is NOT mandatory for a paid listing. The alternative is an ISVforce licence agreement with every customer order reported through the Channel Order Application (COA). Revenue share 15% ISVforce / 25% OEM; $999 security-review fee per paid-app submission; ~$150 annual listing renewal; 5-9 months typical for a first listing end to end.</t>
  </si>
  <si>
    <t xml:space="preserve">NO CODE CHANGE — ST-059's provider abstraction already covers both paths. Raised as D-V3; the lead-time figure feeds the D15 sequencing math and LC-1 urgency.</t>
  </si>
  <si>
    <t xml:space="preserve">ST-059,LC-1,LC-9,D15</t>
  </si>
  <si>
    <t xml:space="preserve">TestPulse D18 (per-user pricing fact that blocked partner-console setup)</t>
  </si>
  <si>
    <t xml:space="preserve">src/app.ts, src/permissions.ts, src/auth.ts</t>
  </si>
  <si>
    <t xml:space="preserve">CLOSED (was logged unfixed in v0.14.0): identity was caller-declared — every route read userId from the request body and assertCan() trusted it, so anyone who knew an org id and an owner's user id acted as owner.</t>
  </si>
  <si>
    <t xml:space="preserve">FIXED — HMAC-SHA256 sessions over (orgId, userId, issuedAt), constant-time verification, minted only at /oauth/callback, required on every org-scoped route; mismatched claims refused as forgery; VB_SESSION_SECRET required at boot with a 32-char floor; 401/403/400 separated. Dev header auth was deliberately NOT added — there is no bypass to leave switched on by accident.</t>
  </si>
  <si>
    <t xml:space="preserve">ST-054,ST-007/017/027/037/047,LC-3</t>
  </si>
  <si>
    <t xml:space="preserve">MeetSync M-F11 (exact class)</t>
  </si>
  <si>
    <t xml:space="preserve">OBS-V5</t>
  </si>
  <si>
    <t xml:space="preserve">src/store.ts</t>
  </si>
  <si>
    <t xml:space="preserve">The PKCE map has no sweep: an abandoned install leaves its entry until the process restarts. Entries are tiny and single-use, and the R-V4 in-memory constraint already bounds the process, so this is noted rather than engineered.</t>
  </si>
  <si>
    <t xml:space="preserve">NO FIX — logged for disposition; a TTL sweep is a few lines once the Postgres adapter lands.</t>
  </si>
  <si>
    <t xml:space="preserve">VoiceBridge F-V05 class (bounded ledgers)</t>
  </si>
  <si>
    <t xml:space="preserve">F-V22</t>
  </si>
  <si>
    <t xml:space="preserve">Sprint_Board (product workbook)</t>
  </si>
  <si>
    <t xml:space="preserve">OFF-BY-ONE IN THE BOARD'S OWN FORMULAS, inherited from every prior version: the TOTAL Done formula sat in E16 (the S12 row) as =SUM(E4:E15), so S12 showed 95 'Done' out of 1 story and the TOTAL Done cell E17 was empty. The board has been misreporting itself for the whole build; caught by recalculating v014 and reading the numbers rather than trusting them.</t>
  </si>
  <si>
    <t xml:space="preserve">FIXED — E16 now carries the same per-sprint COUNTIFS as every other row and E17 is =SUM(E4:E16). Board now reads 96 of 100 (Done + code-complete), agreeing with the tracker rollup computed in a different file.</t>
  </si>
  <si>
    <t xml:space="preserve">Board integrity</t>
  </si>
  <si>
    <t xml:space="preserve">MeetSync Sprint_Board Done-formula defect (same sheet, different cause)</t>
  </si>
  <si>
    <t xml:space="preserve">GAP-V3</t>
  </si>
  <si>
    <t xml:space="preserve">Critical</t>
  </si>
  <si>
    <t xml:space="preserve">src/app.ts, package.json, (missing) src/server.ts</t>
  </si>
  <si>
    <t xml:space="preserve">NO PROCESS AND NO PRODUCTION OAUTH GATEWAY. createApp() has existed since S1 and nothing ever called listen(); package.json had no start script; the only OAuthGateway implementations were test doubles in test/. The ECA callback, sweep check A7's /health probe, the k6 harness and the softphone's /dial and /log posts all addressed a server that could not be started — and the install flow the 30-minute guide describes had no code path at all. 41 suites at 100% coverage proved every module worked; no product existed around them.</t>
  </si>
  <si>
    <t xml:space="preserve">FIXED — src/server.ts + src/main.ts + npm start/dev; src/sfGateway.ts talks to the real token endpoint with code_verifier and classifies 5xx as retryable, 4xx as terminal; guide step 4 now brings the service up before the sweep.</t>
  </si>
  <si>
    <t xml:space="preserve">ST-051,ST-086,ST-088</t>
  </si>
  <si>
    <t xml:space="preserve">OnCall GAP-OC1 / EngageOS GAP-E1 (exact class)</t>
  </si>
  <si>
    <t xml:space="preserve">GAP-V4</t>
  </si>
  <si>
    <t xml:space="preserve">src/backup.ts, src/lifecycle.ts, src/sweepChecks.ts, (missing) db/</t>
  </si>
  <si>
    <t xml:space="preserve">NO SCHEMA behind a published policy. Sweep check A5 demanded DATABASE_URL, the ST-090 drill ran backup/restore, and lifecycle.sweep() enforced a 30-day deletion policy the trust page publishes — every one of them against an in-memory Map, with no table, no migration and no runner anywhere in the repo.</t>
  </si>
  <si>
    <t xml:space="preserve">FIXED — 5 ordered migrations + npm run migrate + a tested planner (filename order, never re-run, checksum drift is a hard error). Org-scoped tables cascade on delete so the F-V01/F-V08 breach class cannot recur at the storage layer. See R-V11 for what is still open.</t>
  </si>
  <si>
    <t xml:space="preserve">ST-052,ST-090,R-V4</t>
  </si>
  <si>
    <t xml:space="preserve">OnCall GAP-OC2 / EngageOS GAP-E2</t>
  </si>
  <si>
    <t xml:space="preserve">.github/workflows/ci.yml</t>
  </si>
  <si>
    <t xml:space="preserve">CI pinned Node 20 on both jobs. Node 20 reached end of life in April 2026; the local toolchain already runs 22, so CI was validating against a runtime nobody ships on.</t>
  </si>
  <si>
    <t xml:space="preserve">FIXED — Node 22, with a regression that fails the build if a past-EOL pin returns.</t>
  </si>
  <si>
    <t xml:space="preserve">ST-085/086</t>
  </si>
  <si>
    <t xml:space="preserve">TestPulse nodejs20→22; VoiceBridge VER-V04 sourceApiVersion 61.0→67.0</t>
  </si>
  <si>
    <t xml:space="preserve">F-V23</t>
  </si>
  <si>
    <t xml:space="preserve">src/app.ts /ui routes</t>
  </si>
  <si>
    <t xml:space="preserve">INTRODUCED IN v0.14.0 AND CAUGHT BY PASS 3: the seven new screen routes took the org id from the URL and verified nothing, so any caller who knew or guessed an org id could read that org's plan and billing status, invoice list, activation funnel, feature-usage heatmap and open support conversations. Strictly worse than F-V21, which at least required a plausible user id. Closing GAP-V2 opened this; only a review aimed at the newly added surface would have found it.</t>
  </si>
  <si>
    <t xml:space="preserve">FIXED — /ui is behind the session boundary; the org served is the session's org, and a URL claiming another org is 403.</t>
  </si>
  <si>
    <t xml:space="preserve">GAP-V2,ST-005/015/025/035/045</t>
  </si>
  <si>
    <t xml:space="preserve">MeetSync M-F12 (unauthenticated analytics/admin endpoints)</t>
  </si>
  <si>
    <t xml:space="preserve">F-V24</t>
  </si>
  <si>
    <t xml:space="preserve">src/store.ts, src/app.ts /oauth/start</t>
  </si>
  <si>
    <t xml:space="preserve">The PKCE verifier map had no cap and no sweep, and /oauth/start is a public route — so an unauthenticated caller could grow it indefinitely. OBS-V5 logged this as low on the assumption that only real installs wrote to it; making the route public changed the risk and nobody re-read the observation.</t>
  </si>
  <si>
    <t xml:space="preserve">FIXED — expired entries swept on write, FIFO cap at 10k, size observable. Lesson: an observation's severity is a function of who can reach the code, and that changes when routes change.</t>
  </si>
  <si>
    <t xml:space="preserve">VoiceBridge F-V05 (bounded ledgers)</t>
  </si>
  <si>
    <t xml:space="preserve">F-V25</t>
  </si>
  <si>
    <t xml:space="preserve">src/sfGateway.ts</t>
  </si>
  <si>
    <t xml:space="preserve">No timeout on the Salesforce token endpoint: a hung endpoint hung the install or refresh indefinitely, holding a request open with no status and no user-visible failure.</t>
  </si>
  <si>
    <t xml:space="preserve">FIXED — 10s AbortController, classified retryable with a named user action.</t>
  </si>
  <si>
    <t xml:space="preserve">ST-051,ST-055</t>
  </si>
  <si>
    <t xml:space="preserve">MeetSync M-F21 (request held open with no status)</t>
  </si>
  <si>
    <t xml:space="preserve">F-V26</t>
  </si>
  <si>
    <t xml:space="preserve">src/server.ts</t>
  </si>
  <si>
    <t xml:space="preserve">server.close() waits for every open connection, so one long-lived client could hold the process past the orchestrator's kill window and turn a rolling deploy (ST-092) into a hard kill mid-request. Also F-V26b: the listening log printed the requested port rather than the bound one, so PORT=0 logged 'listening on 0'.</t>
  </si>
  <si>
    <t xml:space="preserve">FIXED — drain() exported and tested on both the clean and the forced path; bound port read from server.address().</t>
  </si>
  <si>
    <t xml:space="preserve">F-V27</t>
  </si>
  <si>
    <t xml:space="preserve">src/flowActions.ts</t>
  </si>
  <si>
    <t xml:space="preserve">FLOATING PROMISE BROKE THE FAILURE PATH: invoke() assigned the promise returned by dialer.dial / cadence.enroll / notifier.notify to `output` without awaiting, so a rejection escaped the try/catch that records the failed run and rethrows. Flow's retry contract depends on that path. TypeScript accepts a floating promise as a valid expression, so nothing flagged it.</t>
  </si>
  <si>
    <t xml:space="preserve">FIXED — collaborator calls awaited across the whole source, not just the site that failed; pinned by the existing failed-invocation regression, which had been passing against the broken code only because the throw happened synchronously before conversion.</t>
  </si>
  <si>
    <t xml:space="preserve">ST-041..050</t>
  </si>
  <si>
    <t xml:space="preserve">MeetSync M-F21 (promise rejection escaping a handler)</t>
  </si>
  <si>
    <t xml:space="preserve">F-V28</t>
  </si>
  <si>
    <t xml:space="preserve">src/cadence.ts, src/callLogger.ts, src/designPartners.ts</t>
  </si>
  <si>
    <t xml:space="preserve">GUARDS THAT SURVIVED ONLY ON THE EXECUTION MODEL: the cadence limit, the F-V15 duplicate-enrollment check, the activity dedupe and the ten-slot partner cap are read-decide-write sequences. Synchronous code could not be interrupted between the read and the write; the R-V11 conversion put an await there, so two concurrent requests both pass the check and both write — a limit of 10 admits 11, a retried webhook logs twice. The logic is unchanged and correct; the guarantee underneath it was removed. 339 passing tests could not detect it because each test awaits its calls in turn.</t>
  </si>
  <si>
    <t xml:space="preserve">FIXED — per-(org,resource) serial queue in src/locks.ts wrapping each guard; 11 regressions firing calls concurrently. Scope limit logged as R-V15: one process only, so ST-092 blue/green needs database-enforced constraints instead.</t>
  </si>
  <si>
    <t xml:space="preserve">ST-021..030, ST-011..020, ST-100</t>
  </si>
  <si>
    <t xml:space="preserve">New class — introduced by the R-V11 conversion, not present before it</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</si>
</sst>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b val="true"/>
      <sz val="10"/>
      <name val="Arial"/>
      <family val="0"/>
      <charset val="1"/>
    </font>
    <font>
      <b val="true"/>
      <sz val="12"/>
      <name val="Arial"/>
      <family val="0"/>
      <charset val="1"/>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7B241C"/>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7B24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5" t="s">
        <v>14</v>
      </c>
      <c r="B6" s="5" t="s">
        <v>15</v>
      </c>
      <c r="C6" s="5" t="s">
        <v>8</v>
      </c>
      <c r="D6" s="5" t="s">
        <v>16</v>
      </c>
      <c r="E6" s="5" t="s">
        <v>10</v>
      </c>
    </row>
    <row r="7" customFormat="false" ht="15" hidden="false" customHeight="true" outlineLevel="0" collapsed="false">
      <c r="A7" s="6" t="s">
        <v>17</v>
      </c>
      <c r="B7" s="6" t="s">
        <v>18</v>
      </c>
      <c r="C7" s="6" t="s">
        <v>8</v>
      </c>
      <c r="D7" s="6" t="s">
        <v>19</v>
      </c>
      <c r="E7" s="6" t="s">
        <v>10</v>
      </c>
    </row>
    <row r="8" customFormat="false" ht="23.25" hidden="false" customHeight="true" outlineLevel="0" collapsed="false">
      <c r="A8" s="6" t="s">
        <v>20</v>
      </c>
      <c r="B8" s="6" t="s">
        <v>21</v>
      </c>
      <c r="C8" s="6" t="s">
        <v>8</v>
      </c>
      <c r="D8" s="6" t="s">
        <v>22</v>
      </c>
      <c r="E8" s="6" t="s">
        <v>10</v>
      </c>
    </row>
    <row r="9" customFormat="false" ht="23.25" hidden="false" customHeight="true" outlineLevel="0" collapsed="false">
      <c r="A9" s="6" t="s">
        <v>23</v>
      </c>
      <c r="B9" s="6" t="s">
        <v>24</v>
      </c>
      <c r="C9" s="6" t="s">
        <v>8</v>
      </c>
      <c r="D9" s="6" t="s">
        <v>25</v>
      </c>
      <c r="E9" s="6" t="s">
        <v>10</v>
      </c>
    </row>
    <row r="10" customFormat="false" ht="23.25" hidden="false" customHeight="true" outlineLevel="0" collapsed="false">
      <c r="A10" s="6" t="s">
        <v>26</v>
      </c>
      <c r="B10" s="6" t="s">
        <v>27</v>
      </c>
      <c r="C10" s="6" t="s">
        <v>8</v>
      </c>
      <c r="D10" s="6" t="s">
        <v>28</v>
      </c>
      <c r="E10" s="6" t="s">
        <v>10</v>
      </c>
    </row>
    <row r="11" customFormat="false" ht="15" hidden="false" customHeight="true" outlineLevel="0" collapsed="false">
      <c r="A11" s="6" t="s">
        <v>29</v>
      </c>
      <c r="B11" s="6" t="s">
        <v>30</v>
      </c>
      <c r="C11" s="6" t="s">
        <v>8</v>
      </c>
      <c r="D11" s="6" t="s">
        <v>31</v>
      </c>
      <c r="E11" s="6" t="s">
        <v>10</v>
      </c>
    </row>
    <row r="12" customFormat="false" ht="15" hidden="false" customHeight="true" outlineLevel="0" collapsed="false">
      <c r="A12" s="6" t="s">
        <v>32</v>
      </c>
      <c r="B12" s="6"/>
      <c r="C12" s="6"/>
      <c r="D12" s="6" t="s">
        <v>33</v>
      </c>
      <c r="E12" s="6" t="s">
        <v>34</v>
      </c>
    </row>
    <row r="13" customFormat="false" ht="68.25" hidden="false" customHeight="true" outlineLevel="0" collapsed="false">
      <c r="A13" s="7" t="s">
        <v>32</v>
      </c>
      <c r="B13" s="7" t="s">
        <v>35</v>
      </c>
      <c r="C13" s="7" t="s">
        <v>8</v>
      </c>
      <c r="D13" s="7" t="s">
        <v>36</v>
      </c>
      <c r="E13" s="7" t="s">
        <v>10</v>
      </c>
    </row>
    <row r="14" customFormat="false" ht="149.25" hidden="false" customHeight="true" outlineLevel="0" collapsed="false">
      <c r="A14" s="7" t="s">
        <v>37</v>
      </c>
      <c r="B14" s="7" t="s">
        <v>38</v>
      </c>
      <c r="C14" s="7" t="s">
        <v>8</v>
      </c>
      <c r="D14" s="7" t="s">
        <v>39</v>
      </c>
      <c r="E14" s="7" t="s">
        <v>10</v>
      </c>
    </row>
    <row r="15" customFormat="false" ht="135.75" hidden="false" customHeight="true" outlineLevel="0" collapsed="false">
      <c r="A15" s="7" t="s">
        <v>40</v>
      </c>
      <c r="B15" s="7" t="s">
        <v>41</v>
      </c>
      <c r="C15" s="7" t="s">
        <v>8</v>
      </c>
      <c r="D15" s="7" t="s">
        <v>42</v>
      </c>
      <c r="E15" s="7" t="s">
        <v>10</v>
      </c>
    </row>
    <row r="16" customFormat="false" ht="122.25" hidden="false" customHeight="true" outlineLevel="0" collapsed="false">
      <c r="A16" s="7" t="s">
        <v>43</v>
      </c>
      <c r="B16" s="7" t="s">
        <v>44</v>
      </c>
      <c r="C16" s="7" t="s">
        <v>8</v>
      </c>
      <c r="D16" s="7" t="s">
        <v>45</v>
      </c>
      <c r="E16" s="7" t="s">
        <v>10</v>
      </c>
    </row>
    <row r="17" customFormat="false" ht="108.75" hidden="false" customHeight="true" outlineLevel="0" collapsed="false">
      <c r="A17" s="7" t="s">
        <v>46</v>
      </c>
      <c r="B17" s="7" t="s">
        <v>47</v>
      </c>
      <c r="C17" s="7" t="s">
        <v>8</v>
      </c>
      <c r="D17" s="7" t="s">
        <v>48</v>
      </c>
      <c r="E17" s="7" t="s">
        <v>10</v>
      </c>
    </row>
    <row r="18" customFormat="false" ht="108.75" hidden="false" customHeight="true" outlineLevel="0" collapsed="false">
      <c r="A18" s="7" t="s">
        <v>49</v>
      </c>
      <c r="B18" s="7" t="s">
        <v>50</v>
      </c>
      <c r="C18" s="7" t="s">
        <v>8</v>
      </c>
      <c r="D18" s="7" t="s">
        <v>51</v>
      </c>
      <c r="E18" s="7" t="s">
        <v>10</v>
      </c>
    </row>
    <row r="19" customFormat="false" ht="122.25" hidden="false" customHeight="true" outlineLevel="0" collapsed="false">
      <c r="A19" s="7" t="s">
        <v>52</v>
      </c>
      <c r="B19" s="7" t="s">
        <v>53</v>
      </c>
      <c r="C19" s="7" t="s">
        <v>8</v>
      </c>
      <c r="D19" s="7" t="s">
        <v>54</v>
      </c>
      <c r="E19" s="7" t="s">
        <v>10</v>
      </c>
    </row>
    <row r="20" customFormat="false" ht="95.25" hidden="false" customHeight="true" outlineLevel="0" collapsed="false">
      <c r="A20" s="7" t="s">
        <v>55</v>
      </c>
      <c r="B20" s="7" t="s">
        <v>56</v>
      </c>
      <c r="C20" s="7" t="s">
        <v>8</v>
      </c>
      <c r="D20" s="7" t="s">
        <v>57</v>
      </c>
      <c r="E20" s="7" t="s">
        <v>10</v>
      </c>
    </row>
    <row r="21" customFormat="false" ht="108.75" hidden="false" customHeight="true" outlineLevel="0" collapsed="false">
      <c r="A21" s="7" t="s">
        <v>58</v>
      </c>
      <c r="B21" s="7" t="s">
        <v>59</v>
      </c>
      <c r="C21" s="7" t="s">
        <v>8</v>
      </c>
      <c r="D21" s="7" t="s">
        <v>60</v>
      </c>
      <c r="E21" s="7" t="s">
        <v>10</v>
      </c>
    </row>
    <row r="22" customFormat="false" ht="81.75" hidden="false" customHeight="true" outlineLevel="0" collapsed="false">
      <c r="A22" s="7" t="s">
        <v>61</v>
      </c>
      <c r="B22" s="7" t="s">
        <v>62</v>
      </c>
      <c r="C22" s="7" t="s">
        <v>8</v>
      </c>
      <c r="D22" s="7" t="s">
        <v>63</v>
      </c>
      <c r="E22" s="7" t="s">
        <v>10</v>
      </c>
    </row>
    <row r="23" customFormat="false" ht="135.8" hidden="false" customHeight="false" outlineLevel="0" collapsed="false">
      <c r="A23" s="7" t="s">
        <v>64</v>
      </c>
      <c r="B23" s="7" t="s">
        <v>65</v>
      </c>
      <c r="C23" s="7" t="s">
        <v>8</v>
      </c>
      <c r="D23" s="7" t="s">
        <v>66</v>
      </c>
      <c r="E23" s="7"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67</v>
      </c>
    </row>
    <row r="3" customFormat="false" ht="27.75" hidden="false" customHeight="true" outlineLevel="0" collapsed="false">
      <c r="A3" s="6" t="s">
        <v>68</v>
      </c>
    </row>
    <row r="4" customFormat="false" ht="27.75" hidden="false" customHeight="true" outlineLevel="0" collapsed="false">
      <c r="A4" s="6" t="s">
        <v>69</v>
      </c>
    </row>
    <row r="5" customFormat="false" ht="27.75" hidden="false" customHeight="true" outlineLevel="0" collapsed="false">
      <c r="A5" s="6" t="s">
        <v>70</v>
      </c>
    </row>
    <row r="6" customFormat="false" ht="27.75" hidden="false" customHeight="true" outlineLevel="0" collapsed="false">
      <c r="A6" s="6" t="s">
        <v>71</v>
      </c>
    </row>
    <row r="7" customFormat="false" ht="27.75" hidden="false" customHeight="true" outlineLevel="0" collapsed="false">
      <c r="A7" s="6"/>
    </row>
    <row r="8" customFormat="false" ht="55.5" hidden="false" customHeight="true" outlineLevel="0" collapsed="false">
      <c r="A8" s="6" t="s">
        <v>72</v>
      </c>
    </row>
    <row r="9" customFormat="false" ht="27.75" hidden="false" customHeight="true" outlineLevel="0" collapsed="false">
      <c r="A9" s="6"/>
    </row>
    <row r="10" customFormat="false" ht="27.75" hidden="false" customHeight="true" outlineLevel="0" collapsed="false">
      <c r="A10" s="6"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34"/>
    <col collapsed="false" customWidth="true" hidden="false" outlineLevel="0" max="4" min="4" style="1" width="40"/>
  </cols>
  <sheetData>
    <row r="1" customFormat="false" ht="17.25" hidden="false" customHeight="true" outlineLevel="0" collapsed="false">
      <c r="A1" s="2" t="s">
        <v>74</v>
      </c>
    </row>
    <row r="3" customFormat="false" ht="15" hidden="false" customHeight="true" outlineLevel="0" collapsed="false">
      <c r="A3" s="3" t="s">
        <v>75</v>
      </c>
      <c r="B3" s="3" t="s">
        <v>76</v>
      </c>
      <c r="C3" s="3" t="s">
        <v>77</v>
      </c>
      <c r="D3" s="3" t="s">
        <v>78</v>
      </c>
    </row>
    <row r="4" customFormat="false" ht="30" hidden="false" customHeight="true" outlineLevel="0" collapsed="false">
      <c r="A4" s="4" t="s">
        <v>79</v>
      </c>
      <c r="B4" s="4" t="s">
        <v>80</v>
      </c>
      <c r="C4" s="4" t="s">
        <v>81</v>
      </c>
      <c r="D4" s="4" t="s">
        <v>82</v>
      </c>
    </row>
    <row r="5" customFormat="false" ht="30" hidden="false" customHeight="true" outlineLevel="0" collapsed="false">
      <c r="A5" s="4" t="s">
        <v>83</v>
      </c>
      <c r="B5" s="4" t="s">
        <v>84</v>
      </c>
      <c r="C5" s="4" t="s">
        <v>81</v>
      </c>
      <c r="D5" s="4" t="s">
        <v>85</v>
      </c>
    </row>
    <row r="6" customFormat="false" ht="30" hidden="false" customHeight="true" outlineLevel="0" collapsed="false">
      <c r="A6" s="4" t="s">
        <v>86</v>
      </c>
      <c r="B6" s="4" t="s">
        <v>87</v>
      </c>
      <c r="C6" s="4" t="s">
        <v>81</v>
      </c>
      <c r="D6" s="4" t="s">
        <v>88</v>
      </c>
    </row>
    <row r="7" customFormat="false" ht="30" hidden="false" customHeight="true" outlineLevel="0" collapsed="false">
      <c r="A7" s="4" t="s">
        <v>89</v>
      </c>
      <c r="B7" s="4" t="s">
        <v>90</v>
      </c>
      <c r="C7" s="4" t="s">
        <v>81</v>
      </c>
      <c r="D7" s="4" t="s">
        <v>91</v>
      </c>
    </row>
    <row r="8" customFormat="false" ht="30" hidden="false" customHeight="true" outlineLevel="0" collapsed="false">
      <c r="A8" s="4" t="s">
        <v>92</v>
      </c>
      <c r="B8" s="4" t="s">
        <v>93</v>
      </c>
      <c r="C8" s="4" t="s">
        <v>81</v>
      </c>
      <c r="D8" s="4" t="s">
        <v>94</v>
      </c>
    </row>
    <row r="10" customFormat="false" ht="15" hidden="false" customHeight="true" outlineLevel="0" collapsed="false">
      <c r="A10" s="3" t="s">
        <v>95</v>
      </c>
      <c r="B10" s="3" t="s">
        <v>96</v>
      </c>
      <c r="C10" s="3"/>
      <c r="D10" s="3"/>
    </row>
    <row r="11" customFormat="false" ht="25.5" hidden="false" customHeight="true" outlineLevel="0" collapsed="false">
      <c r="A11" s="4" t="s">
        <v>97</v>
      </c>
      <c r="B11" s="4" t="s">
        <v>98</v>
      </c>
      <c r="C11" s="4"/>
      <c r="D11" s="4"/>
    </row>
    <row r="12" customFormat="false" ht="25.5" hidden="false" customHeight="true" outlineLevel="0" collapsed="false">
      <c r="A12" s="4" t="s">
        <v>99</v>
      </c>
      <c r="B12" s="4" t="s">
        <v>100</v>
      </c>
      <c r="C12" s="4"/>
      <c r="D12" s="4"/>
    </row>
    <row r="13" customFormat="false" ht="25.5" hidden="false" customHeight="true" outlineLevel="0" collapsed="false">
      <c r="A13" s="4" t="s">
        <v>101</v>
      </c>
      <c r="B13" s="4" t="s">
        <v>102</v>
      </c>
      <c r="C13" s="4"/>
      <c r="D13" s="4"/>
    </row>
  </sheetData>
  <mergeCells count="3">
    <mergeCell ref="B11:D11"/>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4" min="4" style="1" width="44"/>
    <col collapsed="false" customWidth="true" hidden="false" outlineLevel="0" max="5" min="5" style="1" width="24"/>
  </cols>
  <sheetData>
    <row r="1" customFormat="false" ht="17.25" hidden="false" customHeight="true" outlineLevel="0" collapsed="false">
      <c r="A1" s="2" t="s">
        <v>103</v>
      </c>
    </row>
    <row r="3" customFormat="false" ht="15" hidden="false" customHeight="true" outlineLevel="0" collapsed="false">
      <c r="A3" s="3" t="s">
        <v>104</v>
      </c>
      <c r="B3" s="3" t="s">
        <v>105</v>
      </c>
      <c r="C3" s="3" t="s">
        <v>106</v>
      </c>
      <c r="D3" s="3" t="s">
        <v>107</v>
      </c>
      <c r="E3" s="3" t="s">
        <v>108</v>
      </c>
      <c r="F3" s="1" t="s">
        <v>109</v>
      </c>
    </row>
    <row r="4" customFormat="false" ht="25.5" hidden="false" customHeight="true" outlineLevel="0" collapsed="false">
      <c r="A4" s="4" t="n">
        <v>1</v>
      </c>
      <c r="B4" s="4" t="s">
        <v>110</v>
      </c>
      <c r="C4" s="4" t="s">
        <v>111</v>
      </c>
      <c r="D4" s="4" t="s">
        <v>112</v>
      </c>
      <c r="E4" s="5"/>
      <c r="F4" s="1" t="s">
        <v>113</v>
      </c>
    </row>
    <row r="5" customFormat="false" ht="25.5" hidden="false" customHeight="true" outlineLevel="0" collapsed="false">
      <c r="A5" s="4" t="n">
        <v>2</v>
      </c>
      <c r="B5" s="4" t="s">
        <v>114</v>
      </c>
      <c r="C5" s="4" t="s">
        <v>115</v>
      </c>
      <c r="D5" s="4" t="s">
        <v>116</v>
      </c>
      <c r="E5" s="5"/>
      <c r="F5" s="1" t="s">
        <v>117</v>
      </c>
    </row>
    <row r="6" customFormat="false" ht="25.5" hidden="false" customHeight="true" outlineLevel="0" collapsed="false">
      <c r="A6" s="4" t="n">
        <v>3</v>
      </c>
      <c r="B6" s="4" t="s">
        <v>118</v>
      </c>
      <c r="C6" s="4" t="s">
        <v>119</v>
      </c>
      <c r="D6" s="4" t="s">
        <v>120</v>
      </c>
      <c r="E6" s="5"/>
      <c r="F6" s="1" t="s">
        <v>121</v>
      </c>
    </row>
    <row r="7" customFormat="false" ht="25.5" hidden="false" customHeight="true" outlineLevel="0" collapsed="false">
      <c r="A7" s="4" t="n">
        <v>4</v>
      </c>
      <c r="B7" s="4" t="s">
        <v>122</v>
      </c>
      <c r="C7" s="4" t="s">
        <v>123</v>
      </c>
      <c r="D7" s="4" t="s">
        <v>124</v>
      </c>
      <c r="E7" s="5"/>
      <c r="F7" s="1" t="s">
        <v>125</v>
      </c>
    </row>
    <row r="8" customFormat="false" ht="25.5" hidden="false" customHeight="true" outlineLevel="0" collapsed="false">
      <c r="A8" s="4" t="n">
        <v>5</v>
      </c>
      <c r="B8" s="4" t="s">
        <v>126</v>
      </c>
      <c r="C8" s="4" t="s">
        <v>127</v>
      </c>
      <c r="D8" s="4" t="s">
        <v>128</v>
      </c>
      <c r="E8" s="5"/>
      <c r="F8" s="1" t="s">
        <v>129</v>
      </c>
    </row>
    <row r="9" customFormat="false" ht="25.5" hidden="false" customHeight="true" outlineLevel="0" collapsed="false">
      <c r="A9" s="4" t="n">
        <v>6</v>
      </c>
      <c r="B9" s="4" t="s">
        <v>130</v>
      </c>
      <c r="C9" s="4" t="s">
        <v>131</v>
      </c>
      <c r="D9" s="4" t="s">
        <v>132</v>
      </c>
      <c r="E9" s="5"/>
      <c r="F9" s="1" t="s">
        <v>133</v>
      </c>
    </row>
    <row r="10" customFormat="false" ht="25.5" hidden="false" customHeight="true" outlineLevel="0" collapsed="false">
      <c r="A10" s="4" t="n">
        <v>7</v>
      </c>
      <c r="B10" s="4" t="s">
        <v>134</v>
      </c>
      <c r="C10" s="4" t="s">
        <v>135</v>
      </c>
      <c r="D10" s="4" t="s">
        <v>136</v>
      </c>
      <c r="E10" s="5"/>
      <c r="F10" s="1" t="s">
        <v>137</v>
      </c>
    </row>
    <row r="11" customFormat="false" ht="25.5" hidden="false" customHeight="true" outlineLevel="0" collapsed="false">
      <c r="A11" s="4" t="n">
        <v>8</v>
      </c>
      <c r="B11" s="4" t="s">
        <v>138</v>
      </c>
      <c r="C11" s="4" t="s">
        <v>139</v>
      </c>
      <c r="D11" s="4" t="s">
        <v>140</v>
      </c>
      <c r="E11" s="5"/>
      <c r="F11" s="1" t="s">
        <v>141</v>
      </c>
    </row>
    <row r="12" customFormat="false" ht="25.5" hidden="false" customHeight="true" outlineLevel="0" collapsed="false">
      <c r="A12" s="4" t="n">
        <v>9</v>
      </c>
      <c r="B12" s="4" t="s">
        <v>142</v>
      </c>
      <c r="C12" s="4" t="s">
        <v>143</v>
      </c>
      <c r="D12" s="4" t="s">
        <v>144</v>
      </c>
      <c r="E12" s="5"/>
      <c r="F12" s="1" t="s">
        <v>145</v>
      </c>
    </row>
    <row r="13" customFormat="false" ht="90.75" hidden="false" customHeight="true" outlineLevel="0" collapsed="false">
      <c r="A13" s="4"/>
      <c r="B13" s="4" t="s">
        <v>146</v>
      </c>
      <c r="C13" s="4" t="s">
        <v>147</v>
      </c>
      <c r="D13" s="4"/>
      <c r="E13"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s>
  <sheetData>
    <row r="1" customFormat="false" ht="17.25" hidden="false" customHeight="true" outlineLevel="0" collapsed="false">
      <c r="A1" s="2" t="s">
        <v>148</v>
      </c>
    </row>
    <row r="3" customFormat="false" ht="15" hidden="false" customHeight="true" outlineLevel="0" collapsed="false">
      <c r="A3" s="3" t="s">
        <v>149</v>
      </c>
      <c r="B3" s="3" t="s">
        <v>150</v>
      </c>
      <c r="C3" s="3" t="s">
        <v>151</v>
      </c>
      <c r="D3" s="3" t="s">
        <v>152</v>
      </c>
      <c r="E3" s="3" t="s">
        <v>153</v>
      </c>
      <c r="F3" s="3" t="s">
        <v>154</v>
      </c>
      <c r="G3" s="3" t="s">
        <v>5</v>
      </c>
    </row>
    <row r="4" customFormat="false" ht="25.5" hidden="false" customHeight="true" outlineLevel="0" collapsed="false">
      <c r="A4" s="4" t="s">
        <v>155</v>
      </c>
      <c r="B4" s="4" t="s">
        <v>156</v>
      </c>
      <c r="C4" s="4" t="s">
        <v>157</v>
      </c>
      <c r="D4" s="4" t="n">
        <v>5</v>
      </c>
      <c r="E4" s="4" t="s">
        <v>158</v>
      </c>
      <c r="F4" s="4" t="s">
        <v>159</v>
      </c>
      <c r="G4" s="4" t="s">
        <v>160</v>
      </c>
    </row>
    <row r="5" customFormat="false" ht="25.5" hidden="false" customHeight="true" outlineLevel="0" collapsed="false">
      <c r="A5" s="4" t="s">
        <v>161</v>
      </c>
      <c r="B5" s="4" t="s">
        <v>156</v>
      </c>
      <c r="C5" s="4" t="s">
        <v>162</v>
      </c>
      <c r="D5" s="4" t="n">
        <v>8</v>
      </c>
      <c r="E5" s="4" t="s">
        <v>158</v>
      </c>
      <c r="F5" s="4" t="s">
        <v>159</v>
      </c>
      <c r="G5" s="4" t="s">
        <v>160</v>
      </c>
    </row>
    <row r="6" customFormat="false" ht="25.5" hidden="false" customHeight="true" outlineLevel="0" collapsed="false">
      <c r="A6" s="4" t="s">
        <v>163</v>
      </c>
      <c r="B6" s="4" t="s">
        <v>156</v>
      </c>
      <c r="C6" s="4" t="s">
        <v>164</v>
      </c>
      <c r="D6" s="4" t="n">
        <v>5</v>
      </c>
      <c r="E6" s="4" t="s">
        <v>165</v>
      </c>
      <c r="F6" s="4" t="s">
        <v>159</v>
      </c>
      <c r="G6" s="4" t="s">
        <v>160</v>
      </c>
    </row>
    <row r="7" customFormat="false" ht="25.5" hidden="false" customHeight="true" outlineLevel="0" collapsed="false">
      <c r="A7" s="4" t="s">
        <v>166</v>
      </c>
      <c r="B7" s="4" t="s">
        <v>156</v>
      </c>
      <c r="C7" s="4" t="s">
        <v>167</v>
      </c>
      <c r="D7" s="4" t="n">
        <v>3</v>
      </c>
      <c r="E7" s="4" t="s">
        <v>158</v>
      </c>
      <c r="F7" s="4" t="s">
        <v>159</v>
      </c>
      <c r="G7" s="4" t="s">
        <v>160</v>
      </c>
    </row>
    <row r="8" customFormat="false" ht="25.5" hidden="false" customHeight="true" outlineLevel="0" collapsed="false">
      <c r="A8" s="4" t="s">
        <v>168</v>
      </c>
      <c r="B8" s="4" t="s">
        <v>156</v>
      </c>
      <c r="C8" s="4" t="s">
        <v>169</v>
      </c>
      <c r="D8" s="4" t="n">
        <v>5</v>
      </c>
      <c r="E8" s="4" t="s">
        <v>158</v>
      </c>
      <c r="F8" s="4" t="s">
        <v>170</v>
      </c>
      <c r="G8" s="4" t="s">
        <v>160</v>
      </c>
    </row>
    <row r="9" customFormat="false" ht="25.5" hidden="false" customHeight="true" outlineLevel="0" collapsed="false">
      <c r="A9" s="4" t="s">
        <v>171</v>
      </c>
      <c r="B9" s="4" t="s">
        <v>156</v>
      </c>
      <c r="C9" s="4" t="s">
        <v>172</v>
      </c>
      <c r="D9" s="4" t="n">
        <v>3</v>
      </c>
      <c r="E9" s="4" t="s">
        <v>165</v>
      </c>
      <c r="F9" s="4" t="s">
        <v>170</v>
      </c>
      <c r="G9" s="4" t="s">
        <v>160</v>
      </c>
    </row>
    <row r="10" customFormat="false" ht="25.5" hidden="false" customHeight="true" outlineLevel="0" collapsed="false">
      <c r="A10" s="4" t="s">
        <v>173</v>
      </c>
      <c r="B10" s="4" t="s">
        <v>156</v>
      </c>
      <c r="C10" s="4" t="s">
        <v>174</v>
      </c>
      <c r="D10" s="4" t="n">
        <v>3</v>
      </c>
      <c r="E10" s="4" t="s">
        <v>165</v>
      </c>
      <c r="F10" s="4" t="s">
        <v>170</v>
      </c>
      <c r="G10" s="4" t="s">
        <v>160</v>
      </c>
    </row>
    <row r="11" customFormat="false" ht="25.5" hidden="false" customHeight="true" outlineLevel="0" collapsed="false">
      <c r="A11" s="4" t="s">
        <v>175</v>
      </c>
      <c r="B11" s="4" t="s">
        <v>156</v>
      </c>
      <c r="C11" s="4" t="s">
        <v>176</v>
      </c>
      <c r="D11" s="4" t="n">
        <v>2</v>
      </c>
      <c r="E11" s="4" t="s">
        <v>177</v>
      </c>
      <c r="F11" s="4" t="s">
        <v>170</v>
      </c>
      <c r="G11" s="4" t="s">
        <v>160</v>
      </c>
    </row>
    <row r="12" customFormat="false" ht="25.5" hidden="false" customHeight="true" outlineLevel="0" collapsed="false">
      <c r="A12" s="4" t="s">
        <v>178</v>
      </c>
      <c r="B12" s="4" t="s">
        <v>156</v>
      </c>
      <c r="C12" s="4" t="s">
        <v>179</v>
      </c>
      <c r="D12" s="4" t="n">
        <v>5</v>
      </c>
      <c r="E12" s="4" t="s">
        <v>165</v>
      </c>
      <c r="F12" s="4" t="s">
        <v>170</v>
      </c>
      <c r="G12" s="4" t="s">
        <v>160</v>
      </c>
    </row>
    <row r="13" customFormat="false" ht="25.5" hidden="false" customHeight="true" outlineLevel="0" collapsed="false">
      <c r="A13" s="4" t="s">
        <v>180</v>
      </c>
      <c r="B13" s="4" t="s">
        <v>156</v>
      </c>
      <c r="C13" s="4" t="s">
        <v>181</v>
      </c>
      <c r="D13" s="4" t="n">
        <v>3</v>
      </c>
      <c r="E13" s="4" t="s">
        <v>177</v>
      </c>
      <c r="F13" s="4" t="s">
        <v>170</v>
      </c>
      <c r="G13" s="4" t="s">
        <v>160</v>
      </c>
    </row>
    <row r="14" customFormat="false" ht="25.5" hidden="false" customHeight="true" outlineLevel="0" collapsed="false">
      <c r="A14" s="4" t="s">
        <v>182</v>
      </c>
      <c r="B14" s="4" t="s">
        <v>183</v>
      </c>
      <c r="C14" s="4" t="s">
        <v>184</v>
      </c>
      <c r="D14" s="4" t="n">
        <v>5</v>
      </c>
      <c r="E14" s="4" t="s">
        <v>158</v>
      </c>
      <c r="F14" s="4" t="s">
        <v>170</v>
      </c>
      <c r="G14" s="4" t="s">
        <v>160</v>
      </c>
    </row>
    <row r="15" customFormat="false" ht="25.5" hidden="false" customHeight="true" outlineLevel="0" collapsed="false">
      <c r="A15" s="4" t="s">
        <v>185</v>
      </c>
      <c r="B15" s="4" t="s">
        <v>183</v>
      </c>
      <c r="C15" s="4" t="s">
        <v>186</v>
      </c>
      <c r="D15" s="4" t="n">
        <v>8</v>
      </c>
      <c r="E15" s="4" t="s">
        <v>158</v>
      </c>
      <c r="F15" s="4" t="s">
        <v>170</v>
      </c>
      <c r="G15" s="4" t="s">
        <v>160</v>
      </c>
    </row>
    <row r="16" customFormat="false" ht="25.5" hidden="false" customHeight="true" outlineLevel="0" collapsed="false">
      <c r="A16" s="4" t="s">
        <v>187</v>
      </c>
      <c r="B16" s="4" t="s">
        <v>183</v>
      </c>
      <c r="C16" s="4" t="s">
        <v>188</v>
      </c>
      <c r="D16" s="4" t="n">
        <v>5</v>
      </c>
      <c r="E16" s="4" t="s">
        <v>165</v>
      </c>
      <c r="F16" s="4" t="s">
        <v>170</v>
      </c>
      <c r="G16" s="4" t="s">
        <v>160</v>
      </c>
    </row>
    <row r="17" customFormat="false" ht="25.5" hidden="false" customHeight="true" outlineLevel="0" collapsed="false">
      <c r="A17" s="4" t="s">
        <v>189</v>
      </c>
      <c r="B17" s="4" t="s">
        <v>183</v>
      </c>
      <c r="C17" s="4" t="s">
        <v>190</v>
      </c>
      <c r="D17" s="4" t="n">
        <v>3</v>
      </c>
      <c r="E17" s="4" t="s">
        <v>158</v>
      </c>
      <c r="F17" s="4" t="s">
        <v>170</v>
      </c>
      <c r="G17" s="4" t="s">
        <v>160</v>
      </c>
    </row>
    <row r="18" customFormat="false" ht="25.5" hidden="false" customHeight="true" outlineLevel="0" collapsed="false">
      <c r="A18" s="4" t="s">
        <v>191</v>
      </c>
      <c r="B18" s="4" t="s">
        <v>183</v>
      </c>
      <c r="C18" s="4" t="s">
        <v>192</v>
      </c>
      <c r="D18" s="4" t="n">
        <v>5</v>
      </c>
      <c r="E18" s="4" t="s">
        <v>158</v>
      </c>
      <c r="F18" s="4" t="s">
        <v>193</v>
      </c>
      <c r="G18" s="4" t="s">
        <v>160</v>
      </c>
    </row>
    <row r="19" customFormat="false" ht="25.5" hidden="false" customHeight="true" outlineLevel="0" collapsed="false">
      <c r="A19" s="4" t="s">
        <v>194</v>
      </c>
      <c r="B19" s="4" t="s">
        <v>183</v>
      </c>
      <c r="C19" s="4" t="s">
        <v>195</v>
      </c>
      <c r="D19" s="4" t="n">
        <v>3</v>
      </c>
      <c r="E19" s="4" t="s">
        <v>165</v>
      </c>
      <c r="F19" s="4" t="s">
        <v>193</v>
      </c>
      <c r="G19" s="4" t="s">
        <v>160</v>
      </c>
    </row>
    <row r="20" customFormat="false" ht="25.5" hidden="false" customHeight="true" outlineLevel="0" collapsed="false">
      <c r="A20" s="4" t="s">
        <v>196</v>
      </c>
      <c r="B20" s="4" t="s">
        <v>183</v>
      </c>
      <c r="C20" s="4" t="s">
        <v>197</v>
      </c>
      <c r="D20" s="4" t="n">
        <v>3</v>
      </c>
      <c r="E20" s="4" t="s">
        <v>165</v>
      </c>
      <c r="F20" s="4" t="s">
        <v>193</v>
      </c>
      <c r="G20" s="4" t="s">
        <v>160</v>
      </c>
    </row>
    <row r="21" customFormat="false" ht="25.5" hidden="false" customHeight="true" outlineLevel="0" collapsed="false">
      <c r="A21" s="4" t="s">
        <v>198</v>
      </c>
      <c r="B21" s="4" t="s">
        <v>183</v>
      </c>
      <c r="C21" s="4" t="s">
        <v>199</v>
      </c>
      <c r="D21" s="4" t="n">
        <v>2</v>
      </c>
      <c r="E21" s="4" t="s">
        <v>177</v>
      </c>
      <c r="F21" s="4" t="s">
        <v>193</v>
      </c>
      <c r="G21" s="4" t="s">
        <v>160</v>
      </c>
    </row>
    <row r="22" customFormat="false" ht="25.5" hidden="false" customHeight="true" outlineLevel="0" collapsed="false">
      <c r="A22" s="4" t="s">
        <v>200</v>
      </c>
      <c r="B22" s="4" t="s">
        <v>183</v>
      </c>
      <c r="C22" s="4" t="s">
        <v>201</v>
      </c>
      <c r="D22" s="4" t="n">
        <v>5</v>
      </c>
      <c r="E22" s="4" t="s">
        <v>165</v>
      </c>
      <c r="F22" s="4" t="s">
        <v>193</v>
      </c>
      <c r="G22" s="4" t="s">
        <v>160</v>
      </c>
    </row>
    <row r="23" customFormat="false" ht="25.5" hidden="false" customHeight="true" outlineLevel="0" collapsed="false">
      <c r="A23" s="4" t="s">
        <v>202</v>
      </c>
      <c r="B23" s="4" t="s">
        <v>183</v>
      </c>
      <c r="C23" s="4" t="s">
        <v>203</v>
      </c>
      <c r="D23" s="4" t="n">
        <v>3</v>
      </c>
      <c r="E23" s="4" t="s">
        <v>177</v>
      </c>
      <c r="F23" s="4" t="s">
        <v>193</v>
      </c>
      <c r="G23" s="4" t="s">
        <v>160</v>
      </c>
    </row>
    <row r="24" customFormat="false" ht="25.5" hidden="false" customHeight="true" outlineLevel="0" collapsed="false">
      <c r="A24" s="4" t="s">
        <v>204</v>
      </c>
      <c r="B24" s="4" t="s">
        <v>205</v>
      </c>
      <c r="C24" s="4" t="s">
        <v>206</v>
      </c>
      <c r="D24" s="4" t="n">
        <v>5</v>
      </c>
      <c r="E24" s="4" t="s">
        <v>158</v>
      </c>
      <c r="F24" s="4" t="s">
        <v>207</v>
      </c>
      <c r="G24" s="4" t="s">
        <v>160</v>
      </c>
    </row>
    <row r="25" customFormat="false" ht="25.5" hidden="false" customHeight="true" outlineLevel="0" collapsed="false">
      <c r="A25" s="4" t="s">
        <v>208</v>
      </c>
      <c r="B25" s="4" t="s">
        <v>205</v>
      </c>
      <c r="C25" s="4" t="s">
        <v>209</v>
      </c>
      <c r="D25" s="4" t="n">
        <v>8</v>
      </c>
      <c r="E25" s="4" t="s">
        <v>158</v>
      </c>
      <c r="F25" s="4" t="s">
        <v>207</v>
      </c>
      <c r="G25" s="4" t="s">
        <v>160</v>
      </c>
    </row>
    <row r="26" customFormat="false" ht="25.5" hidden="false" customHeight="true" outlineLevel="0" collapsed="false">
      <c r="A26" s="4" t="s">
        <v>210</v>
      </c>
      <c r="B26" s="4" t="s">
        <v>205</v>
      </c>
      <c r="C26" s="4" t="s">
        <v>211</v>
      </c>
      <c r="D26" s="4" t="n">
        <v>5</v>
      </c>
      <c r="E26" s="4" t="s">
        <v>165</v>
      </c>
      <c r="F26" s="4" t="s">
        <v>207</v>
      </c>
      <c r="G26" s="4" t="s">
        <v>160</v>
      </c>
    </row>
    <row r="27" customFormat="false" ht="25.5" hidden="false" customHeight="true" outlineLevel="0" collapsed="false">
      <c r="A27" s="4" t="s">
        <v>212</v>
      </c>
      <c r="B27" s="4" t="s">
        <v>205</v>
      </c>
      <c r="C27" s="4" t="s">
        <v>213</v>
      </c>
      <c r="D27" s="4" t="n">
        <v>3</v>
      </c>
      <c r="E27" s="4" t="s">
        <v>158</v>
      </c>
      <c r="F27" s="4" t="s">
        <v>207</v>
      </c>
      <c r="G27" s="4" t="s">
        <v>160</v>
      </c>
    </row>
    <row r="28" customFormat="false" ht="25.5" hidden="false" customHeight="true" outlineLevel="0" collapsed="false">
      <c r="A28" s="4" t="s">
        <v>214</v>
      </c>
      <c r="B28" s="4" t="s">
        <v>205</v>
      </c>
      <c r="C28" s="4" t="s">
        <v>215</v>
      </c>
      <c r="D28" s="4" t="n">
        <v>5</v>
      </c>
      <c r="E28" s="4" t="s">
        <v>158</v>
      </c>
      <c r="F28" s="4" t="s">
        <v>207</v>
      </c>
      <c r="G28" s="4" t="s">
        <v>160</v>
      </c>
    </row>
    <row r="29" customFormat="false" ht="25.5" hidden="false" customHeight="true" outlineLevel="0" collapsed="false">
      <c r="A29" s="4" t="s">
        <v>216</v>
      </c>
      <c r="B29" s="4" t="s">
        <v>205</v>
      </c>
      <c r="C29" s="4" t="s">
        <v>217</v>
      </c>
      <c r="D29" s="4" t="n">
        <v>3</v>
      </c>
      <c r="E29" s="4" t="s">
        <v>165</v>
      </c>
      <c r="F29" s="4" t="s">
        <v>207</v>
      </c>
      <c r="G29" s="4" t="s">
        <v>160</v>
      </c>
    </row>
    <row r="30" customFormat="false" ht="25.5" hidden="false" customHeight="true" outlineLevel="0" collapsed="false">
      <c r="A30" s="4" t="s">
        <v>218</v>
      </c>
      <c r="B30" s="4" t="s">
        <v>205</v>
      </c>
      <c r="C30" s="4" t="s">
        <v>219</v>
      </c>
      <c r="D30" s="4" t="n">
        <v>3</v>
      </c>
      <c r="E30" s="4" t="s">
        <v>165</v>
      </c>
      <c r="F30" s="4" t="s">
        <v>207</v>
      </c>
      <c r="G30" s="4" t="s">
        <v>160</v>
      </c>
    </row>
    <row r="31" customFormat="false" ht="25.5" hidden="false" customHeight="true" outlineLevel="0" collapsed="false">
      <c r="A31" s="4" t="s">
        <v>220</v>
      </c>
      <c r="B31" s="4" t="s">
        <v>205</v>
      </c>
      <c r="C31" s="4" t="s">
        <v>221</v>
      </c>
      <c r="D31" s="4" t="n">
        <v>2</v>
      </c>
      <c r="E31" s="4" t="s">
        <v>177</v>
      </c>
      <c r="F31" s="4" t="s">
        <v>207</v>
      </c>
      <c r="G31" s="4" t="s">
        <v>160</v>
      </c>
    </row>
    <row r="32" customFormat="false" ht="25.5" hidden="false" customHeight="true" outlineLevel="0" collapsed="false">
      <c r="A32" s="4" t="s">
        <v>222</v>
      </c>
      <c r="B32" s="4" t="s">
        <v>205</v>
      </c>
      <c r="C32" s="4" t="s">
        <v>223</v>
      </c>
      <c r="D32" s="4" t="n">
        <v>5</v>
      </c>
      <c r="E32" s="4" t="s">
        <v>165</v>
      </c>
      <c r="F32" s="4" t="s">
        <v>207</v>
      </c>
      <c r="G32" s="4" t="s">
        <v>160</v>
      </c>
    </row>
    <row r="33" customFormat="false" ht="25.5" hidden="false" customHeight="true" outlineLevel="0" collapsed="false">
      <c r="A33" s="4" t="s">
        <v>224</v>
      </c>
      <c r="B33" s="4" t="s">
        <v>205</v>
      </c>
      <c r="C33" s="4" t="s">
        <v>225</v>
      </c>
      <c r="D33" s="4" t="n">
        <v>3</v>
      </c>
      <c r="E33" s="4" t="s">
        <v>177</v>
      </c>
      <c r="F33" s="4" t="s">
        <v>207</v>
      </c>
      <c r="G33" s="4" t="s">
        <v>160</v>
      </c>
    </row>
    <row r="34" customFormat="false" ht="25.5" hidden="false" customHeight="true" outlineLevel="0" collapsed="false">
      <c r="A34" s="4" t="s">
        <v>226</v>
      </c>
      <c r="B34" s="4" t="s">
        <v>227</v>
      </c>
      <c r="C34" s="4" t="s">
        <v>228</v>
      </c>
      <c r="D34" s="4" t="n">
        <v>5</v>
      </c>
      <c r="E34" s="4" t="s">
        <v>158</v>
      </c>
      <c r="F34" s="4" t="s">
        <v>229</v>
      </c>
      <c r="G34" s="4" t="s">
        <v>160</v>
      </c>
    </row>
    <row r="35" customFormat="false" ht="25.5" hidden="false" customHeight="true" outlineLevel="0" collapsed="false">
      <c r="A35" s="4" t="s">
        <v>230</v>
      </c>
      <c r="B35" s="4" t="s">
        <v>227</v>
      </c>
      <c r="C35" s="4" t="s">
        <v>231</v>
      </c>
      <c r="D35" s="4" t="n">
        <v>8</v>
      </c>
      <c r="E35" s="4" t="s">
        <v>158</v>
      </c>
      <c r="F35" s="4" t="s">
        <v>229</v>
      </c>
      <c r="G35" s="4" t="s">
        <v>160</v>
      </c>
    </row>
    <row r="36" customFormat="false" ht="25.5" hidden="false" customHeight="true" outlineLevel="0" collapsed="false">
      <c r="A36" s="4" t="s">
        <v>232</v>
      </c>
      <c r="B36" s="4" t="s">
        <v>227</v>
      </c>
      <c r="C36" s="4" t="s">
        <v>233</v>
      </c>
      <c r="D36" s="4" t="n">
        <v>5</v>
      </c>
      <c r="E36" s="4" t="s">
        <v>165</v>
      </c>
      <c r="F36" s="4" t="s">
        <v>229</v>
      </c>
      <c r="G36" s="4" t="s">
        <v>160</v>
      </c>
    </row>
    <row r="37" customFormat="false" ht="25.5" hidden="false" customHeight="true" outlineLevel="0" collapsed="false">
      <c r="A37" s="4" t="s">
        <v>234</v>
      </c>
      <c r="B37" s="4" t="s">
        <v>227</v>
      </c>
      <c r="C37" s="4" t="s">
        <v>235</v>
      </c>
      <c r="D37" s="4" t="n">
        <v>3</v>
      </c>
      <c r="E37" s="4" t="s">
        <v>158</v>
      </c>
      <c r="F37" s="4" t="s">
        <v>229</v>
      </c>
      <c r="G37" s="4" t="s">
        <v>160</v>
      </c>
    </row>
    <row r="38" customFormat="false" ht="25.5" hidden="false" customHeight="true" outlineLevel="0" collapsed="false">
      <c r="A38" s="4" t="s">
        <v>236</v>
      </c>
      <c r="B38" s="4" t="s">
        <v>227</v>
      </c>
      <c r="C38" s="4" t="s">
        <v>237</v>
      </c>
      <c r="D38" s="4" t="n">
        <v>5</v>
      </c>
      <c r="E38" s="4" t="s">
        <v>158</v>
      </c>
      <c r="F38" s="4" t="s">
        <v>229</v>
      </c>
      <c r="G38" s="4" t="s">
        <v>160</v>
      </c>
    </row>
    <row r="39" customFormat="false" ht="25.5" hidden="false" customHeight="true" outlineLevel="0" collapsed="false">
      <c r="A39" s="4" t="s">
        <v>238</v>
      </c>
      <c r="B39" s="4" t="s">
        <v>227</v>
      </c>
      <c r="C39" s="4" t="s">
        <v>239</v>
      </c>
      <c r="D39" s="4" t="n">
        <v>3</v>
      </c>
      <c r="E39" s="4" t="s">
        <v>165</v>
      </c>
      <c r="F39" s="4" t="s">
        <v>229</v>
      </c>
      <c r="G39" s="4" t="s">
        <v>160</v>
      </c>
    </row>
    <row r="40" customFormat="false" ht="25.5" hidden="false" customHeight="true" outlineLevel="0" collapsed="false">
      <c r="A40" s="4" t="s">
        <v>240</v>
      </c>
      <c r="B40" s="4" t="s">
        <v>227</v>
      </c>
      <c r="C40" s="4" t="s">
        <v>241</v>
      </c>
      <c r="D40" s="4" t="n">
        <v>3</v>
      </c>
      <c r="E40" s="4" t="s">
        <v>165</v>
      </c>
      <c r="F40" s="4" t="s">
        <v>229</v>
      </c>
      <c r="G40" s="4" t="s">
        <v>160</v>
      </c>
    </row>
    <row r="41" customFormat="false" ht="25.5" hidden="false" customHeight="true" outlineLevel="0" collapsed="false">
      <c r="A41" s="4" t="s">
        <v>242</v>
      </c>
      <c r="B41" s="4" t="s">
        <v>227</v>
      </c>
      <c r="C41" s="4" t="s">
        <v>243</v>
      </c>
      <c r="D41" s="4" t="n">
        <v>2</v>
      </c>
      <c r="E41" s="4" t="s">
        <v>177</v>
      </c>
      <c r="F41" s="4" t="s">
        <v>229</v>
      </c>
      <c r="G41" s="4" t="s">
        <v>160</v>
      </c>
    </row>
    <row r="42" customFormat="false" ht="25.5" hidden="false" customHeight="true" outlineLevel="0" collapsed="false">
      <c r="A42" s="4" t="s">
        <v>244</v>
      </c>
      <c r="B42" s="4" t="s">
        <v>227</v>
      </c>
      <c r="C42" s="4" t="s">
        <v>245</v>
      </c>
      <c r="D42" s="4" t="n">
        <v>5</v>
      </c>
      <c r="E42" s="4" t="s">
        <v>165</v>
      </c>
      <c r="F42" s="4" t="s">
        <v>229</v>
      </c>
      <c r="G42" s="4" t="s">
        <v>160</v>
      </c>
    </row>
    <row r="43" customFormat="false" ht="25.5" hidden="false" customHeight="true" outlineLevel="0" collapsed="false">
      <c r="A43" s="4" t="s">
        <v>246</v>
      </c>
      <c r="B43" s="4" t="s">
        <v>227</v>
      </c>
      <c r="C43" s="4" t="s">
        <v>247</v>
      </c>
      <c r="D43" s="4" t="n">
        <v>3</v>
      </c>
      <c r="E43" s="4" t="s">
        <v>177</v>
      </c>
      <c r="F43" s="4" t="s">
        <v>229</v>
      </c>
      <c r="G43" s="4" t="s">
        <v>160</v>
      </c>
    </row>
    <row r="44" customFormat="false" ht="25.5" hidden="false" customHeight="true" outlineLevel="0" collapsed="false">
      <c r="A44" s="4" t="s">
        <v>248</v>
      </c>
      <c r="B44" s="4" t="s">
        <v>249</v>
      </c>
      <c r="C44" s="4" t="s">
        <v>250</v>
      </c>
      <c r="D44" s="4" t="n">
        <v>5</v>
      </c>
      <c r="E44" s="4" t="s">
        <v>158</v>
      </c>
      <c r="F44" s="4" t="s">
        <v>251</v>
      </c>
      <c r="G44" s="4" t="s">
        <v>160</v>
      </c>
    </row>
    <row r="45" customFormat="false" ht="25.5" hidden="false" customHeight="true" outlineLevel="0" collapsed="false">
      <c r="A45" s="4" t="s">
        <v>252</v>
      </c>
      <c r="B45" s="4" t="s">
        <v>249</v>
      </c>
      <c r="C45" s="4" t="s">
        <v>253</v>
      </c>
      <c r="D45" s="4" t="n">
        <v>8</v>
      </c>
      <c r="E45" s="4" t="s">
        <v>158</v>
      </c>
      <c r="F45" s="4" t="s">
        <v>251</v>
      </c>
      <c r="G45" s="4" t="s">
        <v>160</v>
      </c>
    </row>
    <row r="46" customFormat="false" ht="25.5" hidden="false" customHeight="true" outlineLevel="0" collapsed="false">
      <c r="A46" s="4" t="s">
        <v>254</v>
      </c>
      <c r="B46" s="4" t="s">
        <v>249</v>
      </c>
      <c r="C46" s="4" t="s">
        <v>255</v>
      </c>
      <c r="D46" s="4" t="n">
        <v>5</v>
      </c>
      <c r="E46" s="4" t="s">
        <v>165</v>
      </c>
      <c r="F46" s="4" t="s">
        <v>251</v>
      </c>
      <c r="G46" s="4" t="s">
        <v>160</v>
      </c>
    </row>
    <row r="47" customFormat="false" ht="25.5" hidden="false" customHeight="true" outlineLevel="0" collapsed="false">
      <c r="A47" s="4" t="s">
        <v>256</v>
      </c>
      <c r="B47" s="4" t="s">
        <v>249</v>
      </c>
      <c r="C47" s="4" t="s">
        <v>257</v>
      </c>
      <c r="D47" s="4" t="n">
        <v>3</v>
      </c>
      <c r="E47" s="4" t="s">
        <v>158</v>
      </c>
      <c r="F47" s="4" t="s">
        <v>251</v>
      </c>
      <c r="G47" s="4" t="s">
        <v>160</v>
      </c>
    </row>
    <row r="48" customFormat="false" ht="25.5" hidden="false" customHeight="true" outlineLevel="0" collapsed="false">
      <c r="A48" s="4" t="s">
        <v>258</v>
      </c>
      <c r="B48" s="4" t="s">
        <v>249</v>
      </c>
      <c r="C48" s="4" t="s">
        <v>259</v>
      </c>
      <c r="D48" s="4" t="n">
        <v>5</v>
      </c>
      <c r="E48" s="4" t="s">
        <v>158</v>
      </c>
      <c r="F48" s="4" t="s">
        <v>251</v>
      </c>
      <c r="G48" s="4" t="s">
        <v>160</v>
      </c>
    </row>
    <row r="49" customFormat="false" ht="25.5" hidden="false" customHeight="true" outlineLevel="0" collapsed="false">
      <c r="A49" s="4" t="s">
        <v>260</v>
      </c>
      <c r="B49" s="4" t="s">
        <v>249</v>
      </c>
      <c r="C49" s="4" t="s">
        <v>261</v>
      </c>
      <c r="D49" s="4" t="n">
        <v>3</v>
      </c>
      <c r="E49" s="4" t="s">
        <v>165</v>
      </c>
      <c r="F49" s="4" t="s">
        <v>251</v>
      </c>
      <c r="G49" s="4" t="s">
        <v>160</v>
      </c>
    </row>
    <row r="50" customFormat="false" ht="25.5" hidden="false" customHeight="true" outlineLevel="0" collapsed="false">
      <c r="A50" s="4" t="s">
        <v>262</v>
      </c>
      <c r="B50" s="4" t="s">
        <v>249</v>
      </c>
      <c r="C50" s="4" t="s">
        <v>263</v>
      </c>
      <c r="D50" s="4" t="n">
        <v>3</v>
      </c>
      <c r="E50" s="4" t="s">
        <v>165</v>
      </c>
      <c r="F50" s="4" t="s">
        <v>251</v>
      </c>
      <c r="G50" s="4" t="s">
        <v>160</v>
      </c>
    </row>
    <row r="51" customFormat="false" ht="25.5" hidden="false" customHeight="true" outlineLevel="0" collapsed="false">
      <c r="A51" s="4" t="s">
        <v>264</v>
      </c>
      <c r="B51" s="4" t="s">
        <v>249</v>
      </c>
      <c r="C51" s="4" t="s">
        <v>265</v>
      </c>
      <c r="D51" s="4" t="n">
        <v>2</v>
      </c>
      <c r="E51" s="4" t="s">
        <v>177</v>
      </c>
      <c r="F51" s="4" t="s">
        <v>251</v>
      </c>
      <c r="G51" s="4" t="s">
        <v>160</v>
      </c>
    </row>
    <row r="52" customFormat="false" ht="25.5" hidden="false" customHeight="true" outlineLevel="0" collapsed="false">
      <c r="A52" s="4" t="s">
        <v>266</v>
      </c>
      <c r="B52" s="4" t="s">
        <v>249</v>
      </c>
      <c r="C52" s="4" t="s">
        <v>267</v>
      </c>
      <c r="D52" s="4" t="n">
        <v>5</v>
      </c>
      <c r="E52" s="4" t="s">
        <v>165</v>
      </c>
      <c r="F52" s="4" t="s">
        <v>251</v>
      </c>
      <c r="G52" s="4" t="s">
        <v>160</v>
      </c>
    </row>
    <row r="53" customFormat="false" ht="25.5" hidden="false" customHeight="true" outlineLevel="0" collapsed="false">
      <c r="A53" s="4" t="s">
        <v>268</v>
      </c>
      <c r="B53" s="4" t="s">
        <v>249</v>
      </c>
      <c r="C53" s="4" t="s">
        <v>269</v>
      </c>
      <c r="D53" s="4" t="n">
        <v>3</v>
      </c>
      <c r="E53" s="4" t="s">
        <v>177</v>
      </c>
      <c r="F53" s="4" t="s">
        <v>251</v>
      </c>
      <c r="G53" s="4" t="s">
        <v>160</v>
      </c>
    </row>
    <row r="54" customFormat="false" ht="25.5" hidden="false" customHeight="true" outlineLevel="0" collapsed="false">
      <c r="A54" s="4" t="s">
        <v>270</v>
      </c>
      <c r="B54" s="4" t="s">
        <v>271</v>
      </c>
      <c r="C54" s="4" t="s">
        <v>272</v>
      </c>
      <c r="D54" s="4" t="n">
        <v>5</v>
      </c>
      <c r="E54" s="4" t="s">
        <v>158</v>
      </c>
      <c r="F54" s="4" t="s">
        <v>273</v>
      </c>
      <c r="G54" s="4" t="s">
        <v>160</v>
      </c>
    </row>
    <row r="55" customFormat="false" ht="25.5" hidden="false" customHeight="true" outlineLevel="0" collapsed="false">
      <c r="A55" s="4" t="s">
        <v>274</v>
      </c>
      <c r="B55" s="4" t="s">
        <v>271</v>
      </c>
      <c r="C55" s="4" t="s">
        <v>275</v>
      </c>
      <c r="D55" s="4" t="n">
        <v>3</v>
      </c>
      <c r="E55" s="4" t="s">
        <v>158</v>
      </c>
      <c r="F55" s="4" t="s">
        <v>273</v>
      </c>
      <c r="G55" s="4" t="s">
        <v>160</v>
      </c>
    </row>
    <row r="56" customFormat="false" ht="25.5" hidden="false" customHeight="true" outlineLevel="0" collapsed="false">
      <c r="A56" s="4" t="s">
        <v>276</v>
      </c>
      <c r="B56" s="4" t="s">
        <v>271</v>
      </c>
      <c r="C56" s="4" t="s">
        <v>277</v>
      </c>
      <c r="D56" s="4" t="n">
        <v>3</v>
      </c>
      <c r="E56" s="4" t="s">
        <v>165</v>
      </c>
      <c r="F56" s="4" t="s">
        <v>159</v>
      </c>
      <c r="G56" s="4" t="s">
        <v>160</v>
      </c>
    </row>
    <row r="57" customFormat="false" ht="25.5" hidden="false" customHeight="true" outlineLevel="0" collapsed="false">
      <c r="A57" s="4" t="s">
        <v>278</v>
      </c>
      <c r="B57" s="4" t="s">
        <v>271</v>
      </c>
      <c r="C57" s="4" t="s">
        <v>279</v>
      </c>
      <c r="D57" s="4" t="n">
        <v>5</v>
      </c>
      <c r="E57" s="4" t="s">
        <v>158</v>
      </c>
      <c r="F57" s="4" t="s">
        <v>159</v>
      </c>
      <c r="G57" s="4" t="s">
        <v>160</v>
      </c>
    </row>
    <row r="58" customFormat="false" ht="25.5" hidden="false" customHeight="true" outlineLevel="0" collapsed="false">
      <c r="A58" s="4" t="s">
        <v>280</v>
      </c>
      <c r="B58" s="4" t="s">
        <v>271</v>
      </c>
      <c r="C58" s="4" t="s">
        <v>281</v>
      </c>
      <c r="D58" s="4" t="n">
        <v>3</v>
      </c>
      <c r="E58" s="4" t="s">
        <v>158</v>
      </c>
      <c r="F58" s="4" t="s">
        <v>273</v>
      </c>
      <c r="G58" s="4" t="s">
        <v>160</v>
      </c>
    </row>
    <row r="59" customFormat="false" ht="25.5" hidden="false" customHeight="true" outlineLevel="0" collapsed="false">
      <c r="A59" s="4" t="s">
        <v>282</v>
      </c>
      <c r="B59" s="4" t="s">
        <v>271</v>
      </c>
      <c r="C59" s="4" t="s">
        <v>283</v>
      </c>
      <c r="D59" s="4" t="n">
        <v>2</v>
      </c>
      <c r="E59" s="4" t="s">
        <v>165</v>
      </c>
      <c r="F59" s="4" t="s">
        <v>273</v>
      </c>
      <c r="G59" s="4" t="s">
        <v>160</v>
      </c>
    </row>
    <row r="60" customFormat="false" ht="25.5" hidden="false" customHeight="true" outlineLevel="0" collapsed="false">
      <c r="A60" s="4" t="s">
        <v>284</v>
      </c>
      <c r="B60" s="4" t="s">
        <v>285</v>
      </c>
      <c r="C60" s="4" t="s">
        <v>286</v>
      </c>
      <c r="D60" s="4" t="n">
        <v>5</v>
      </c>
      <c r="E60" s="4" t="s">
        <v>158</v>
      </c>
      <c r="F60" s="4" t="s">
        <v>229</v>
      </c>
      <c r="G60" s="4" t="s">
        <v>160</v>
      </c>
    </row>
    <row r="61" customFormat="false" ht="25.5" hidden="false" customHeight="true" outlineLevel="0" collapsed="false">
      <c r="A61" s="4" t="s">
        <v>287</v>
      </c>
      <c r="B61" s="4" t="s">
        <v>285</v>
      </c>
      <c r="C61" s="4" t="s">
        <v>288</v>
      </c>
      <c r="D61" s="4" t="n">
        <v>5</v>
      </c>
      <c r="E61" s="4" t="s">
        <v>158</v>
      </c>
      <c r="F61" s="4" t="s">
        <v>229</v>
      </c>
      <c r="G61" s="4" t="s">
        <v>160</v>
      </c>
    </row>
    <row r="62" customFormat="false" ht="25.5" hidden="false" customHeight="true" outlineLevel="0" collapsed="false">
      <c r="A62" s="4" t="s">
        <v>289</v>
      </c>
      <c r="B62" s="4" t="s">
        <v>285</v>
      </c>
      <c r="C62" s="4" t="s">
        <v>290</v>
      </c>
      <c r="D62" s="4" t="n">
        <v>8</v>
      </c>
      <c r="E62" s="4" t="s">
        <v>158</v>
      </c>
      <c r="F62" s="4" t="s">
        <v>229</v>
      </c>
      <c r="G62" s="4" t="s">
        <v>291</v>
      </c>
    </row>
    <row r="63" customFormat="false" ht="25.5" hidden="false" customHeight="true" outlineLevel="0" collapsed="false">
      <c r="A63" s="4" t="s">
        <v>292</v>
      </c>
      <c r="B63" s="4" t="s">
        <v>285</v>
      </c>
      <c r="C63" s="4" t="s">
        <v>293</v>
      </c>
      <c r="D63" s="4" t="n">
        <v>3</v>
      </c>
      <c r="E63" s="4" t="s">
        <v>165</v>
      </c>
      <c r="F63" s="4" t="s">
        <v>294</v>
      </c>
      <c r="G63" s="4" t="s">
        <v>160</v>
      </c>
    </row>
    <row r="64" customFormat="false" ht="25.5" hidden="false" customHeight="true" outlineLevel="0" collapsed="false">
      <c r="A64" s="4" t="s">
        <v>295</v>
      </c>
      <c r="B64" s="4" t="s">
        <v>285</v>
      </c>
      <c r="C64" s="4" t="s">
        <v>296</v>
      </c>
      <c r="D64" s="4" t="n">
        <v>3</v>
      </c>
      <c r="E64" s="4" t="s">
        <v>165</v>
      </c>
      <c r="F64" s="4" t="s">
        <v>294</v>
      </c>
      <c r="G64" s="4" t="s">
        <v>160</v>
      </c>
    </row>
    <row r="65" customFormat="false" ht="25.5" hidden="false" customHeight="true" outlineLevel="0" collapsed="false">
      <c r="A65" s="4" t="s">
        <v>297</v>
      </c>
      <c r="B65" s="4" t="s">
        <v>285</v>
      </c>
      <c r="C65" s="4" t="s">
        <v>298</v>
      </c>
      <c r="D65" s="4" t="n">
        <v>3</v>
      </c>
      <c r="E65" s="4" t="s">
        <v>177</v>
      </c>
      <c r="F65" s="4" t="s">
        <v>294</v>
      </c>
      <c r="G65" s="4" t="s">
        <v>160</v>
      </c>
    </row>
    <row r="66" customFormat="false" ht="25.5" hidden="false" customHeight="true" outlineLevel="0" collapsed="false">
      <c r="A66" s="4" t="s">
        <v>299</v>
      </c>
      <c r="B66" s="4" t="s">
        <v>285</v>
      </c>
      <c r="C66" s="4" t="s">
        <v>300</v>
      </c>
      <c r="D66" s="4" t="n">
        <v>3</v>
      </c>
      <c r="E66" s="4" t="s">
        <v>165</v>
      </c>
      <c r="F66" s="4" t="s">
        <v>294</v>
      </c>
      <c r="G66" s="4" t="s">
        <v>160</v>
      </c>
    </row>
    <row r="67" customFormat="false" ht="25.5" hidden="false" customHeight="true" outlineLevel="0" collapsed="false">
      <c r="A67" s="4" t="s">
        <v>301</v>
      </c>
      <c r="B67" s="4" t="s">
        <v>302</v>
      </c>
      <c r="C67" s="4" t="s">
        <v>303</v>
      </c>
      <c r="D67" s="4" t="n">
        <v>3</v>
      </c>
      <c r="E67" s="4" t="s">
        <v>158</v>
      </c>
      <c r="F67" s="4" t="s">
        <v>294</v>
      </c>
      <c r="G67" s="4" t="s">
        <v>160</v>
      </c>
    </row>
    <row r="68" customFormat="false" ht="25.5" hidden="false" customHeight="true" outlineLevel="0" collapsed="false">
      <c r="A68" s="4" t="s">
        <v>304</v>
      </c>
      <c r="B68" s="4" t="s">
        <v>302</v>
      </c>
      <c r="C68" s="4" t="s">
        <v>305</v>
      </c>
      <c r="D68" s="4" t="n">
        <v>3</v>
      </c>
      <c r="E68" s="4" t="s">
        <v>158</v>
      </c>
      <c r="F68" s="4" t="s">
        <v>251</v>
      </c>
      <c r="G68" s="4" t="s">
        <v>291</v>
      </c>
    </row>
    <row r="69" customFormat="false" ht="25.5" hidden="false" customHeight="true" outlineLevel="0" collapsed="false">
      <c r="A69" s="4" t="s">
        <v>306</v>
      </c>
      <c r="B69" s="4" t="s">
        <v>302</v>
      </c>
      <c r="C69" s="4" t="s">
        <v>307</v>
      </c>
      <c r="D69" s="4" t="n">
        <v>5</v>
      </c>
      <c r="E69" s="4" t="s">
        <v>158</v>
      </c>
      <c r="F69" s="4" t="s">
        <v>251</v>
      </c>
      <c r="G69" s="4" t="s">
        <v>291</v>
      </c>
    </row>
    <row r="70" customFormat="false" ht="25.5" hidden="false" customHeight="true" outlineLevel="0" collapsed="false">
      <c r="A70" s="4" t="s">
        <v>308</v>
      </c>
      <c r="B70" s="4" t="s">
        <v>302</v>
      </c>
      <c r="C70" s="4" t="s">
        <v>309</v>
      </c>
      <c r="D70" s="4" t="n">
        <v>5</v>
      </c>
      <c r="E70" s="4" t="s">
        <v>165</v>
      </c>
      <c r="F70" s="4" t="s">
        <v>251</v>
      </c>
      <c r="G70" s="4" t="s">
        <v>160</v>
      </c>
    </row>
    <row r="71" customFormat="false" ht="25.5" hidden="false" customHeight="true" outlineLevel="0" collapsed="false">
      <c r="A71" s="4" t="s">
        <v>310</v>
      </c>
      <c r="B71" s="4" t="s">
        <v>302</v>
      </c>
      <c r="C71" s="4" t="s">
        <v>311</v>
      </c>
      <c r="D71" s="4" t="n">
        <v>8</v>
      </c>
      <c r="E71" s="4" t="s">
        <v>158</v>
      </c>
      <c r="F71" s="4" t="s">
        <v>312</v>
      </c>
      <c r="G71" s="4" t="s">
        <v>313</v>
      </c>
    </row>
    <row r="72" customFormat="false" ht="25.5" hidden="false" customHeight="true" outlineLevel="0" collapsed="false">
      <c r="A72" s="4" t="s">
        <v>314</v>
      </c>
      <c r="B72" s="4" t="s">
        <v>302</v>
      </c>
      <c r="C72" s="4" t="s">
        <v>315</v>
      </c>
      <c r="D72" s="4" t="n">
        <v>5</v>
      </c>
      <c r="E72" s="4" t="s">
        <v>158</v>
      </c>
      <c r="F72" s="4" t="s">
        <v>312</v>
      </c>
      <c r="G72" s="4" t="s">
        <v>160</v>
      </c>
    </row>
    <row r="73" customFormat="false" ht="25.5" hidden="false" customHeight="true" outlineLevel="0" collapsed="false">
      <c r="A73" s="4" t="s">
        <v>316</v>
      </c>
      <c r="B73" s="4" t="s">
        <v>302</v>
      </c>
      <c r="C73" s="4" t="s">
        <v>317</v>
      </c>
      <c r="D73" s="4" t="n">
        <v>5</v>
      </c>
      <c r="E73" s="4" t="s">
        <v>158</v>
      </c>
      <c r="F73" s="4" t="s">
        <v>251</v>
      </c>
      <c r="G73" s="4" t="s">
        <v>160</v>
      </c>
    </row>
    <row r="74" customFormat="false" ht="25.5" hidden="false" customHeight="true" outlineLevel="0" collapsed="false">
      <c r="A74" s="4" t="s">
        <v>318</v>
      </c>
      <c r="B74" s="4" t="s">
        <v>319</v>
      </c>
      <c r="C74" s="4" t="s">
        <v>320</v>
      </c>
      <c r="D74" s="4" t="n">
        <v>5</v>
      </c>
      <c r="E74" s="4" t="s">
        <v>158</v>
      </c>
      <c r="F74" s="4" t="s">
        <v>193</v>
      </c>
      <c r="G74" s="4" t="s">
        <v>160</v>
      </c>
    </row>
    <row r="75" customFormat="false" ht="25.5" hidden="false" customHeight="true" outlineLevel="0" collapsed="false">
      <c r="A75" s="4" t="s">
        <v>321</v>
      </c>
      <c r="B75" s="4" t="s">
        <v>319</v>
      </c>
      <c r="C75" s="4" t="s">
        <v>322</v>
      </c>
      <c r="D75" s="4" t="n">
        <v>3</v>
      </c>
      <c r="E75" s="4" t="s">
        <v>158</v>
      </c>
      <c r="F75" s="4" t="s">
        <v>193</v>
      </c>
      <c r="G75" s="4" t="s">
        <v>160</v>
      </c>
    </row>
    <row r="76" customFormat="false" ht="25.5" hidden="false" customHeight="true" outlineLevel="0" collapsed="false">
      <c r="A76" s="4" t="s">
        <v>323</v>
      </c>
      <c r="B76" s="4" t="s">
        <v>319</v>
      </c>
      <c r="C76" s="4" t="s">
        <v>324</v>
      </c>
      <c r="D76" s="4" t="n">
        <v>3</v>
      </c>
      <c r="E76" s="4" t="s">
        <v>177</v>
      </c>
      <c r="F76" s="4" t="s">
        <v>251</v>
      </c>
      <c r="G76" s="4" t="s">
        <v>160</v>
      </c>
    </row>
    <row r="77" customFormat="false" ht="25.5" hidden="false" customHeight="true" outlineLevel="0" collapsed="false">
      <c r="A77" s="4" t="s">
        <v>325</v>
      </c>
      <c r="B77" s="4" t="s">
        <v>319</v>
      </c>
      <c r="C77" s="4" t="s">
        <v>326</v>
      </c>
      <c r="D77" s="4" t="n">
        <v>2</v>
      </c>
      <c r="E77" s="4" t="s">
        <v>177</v>
      </c>
      <c r="F77" s="4" t="s">
        <v>251</v>
      </c>
      <c r="G77" s="4" t="s">
        <v>160</v>
      </c>
    </row>
    <row r="78" customFormat="false" ht="25.5" hidden="false" customHeight="true" outlineLevel="0" collapsed="false">
      <c r="A78" s="4" t="s">
        <v>327</v>
      </c>
      <c r="B78" s="4" t="s">
        <v>319</v>
      </c>
      <c r="C78" s="4" t="s">
        <v>328</v>
      </c>
      <c r="D78" s="4" t="n">
        <v>5</v>
      </c>
      <c r="E78" s="4" t="s">
        <v>165</v>
      </c>
      <c r="F78" s="4" t="s">
        <v>251</v>
      </c>
      <c r="G78" s="4" t="s">
        <v>160</v>
      </c>
    </row>
    <row r="79" customFormat="false" ht="25.5" hidden="false" customHeight="true" outlineLevel="0" collapsed="false">
      <c r="A79" s="4" t="s">
        <v>329</v>
      </c>
      <c r="B79" s="4" t="s">
        <v>319</v>
      </c>
      <c r="C79" s="4" t="s">
        <v>330</v>
      </c>
      <c r="D79" s="4" t="n">
        <v>3</v>
      </c>
      <c r="E79" s="4" t="s">
        <v>177</v>
      </c>
      <c r="F79" s="4" t="s">
        <v>251</v>
      </c>
      <c r="G79" s="4" t="s">
        <v>160</v>
      </c>
    </row>
    <row r="80" customFormat="false" ht="25.5" hidden="false" customHeight="true" outlineLevel="0" collapsed="false">
      <c r="A80" s="4" t="s">
        <v>331</v>
      </c>
      <c r="B80" s="4" t="s">
        <v>319</v>
      </c>
      <c r="C80" s="4" t="s">
        <v>332</v>
      </c>
      <c r="D80" s="4" t="n">
        <v>3</v>
      </c>
      <c r="E80" s="4" t="s">
        <v>177</v>
      </c>
      <c r="F80" s="4" t="s">
        <v>251</v>
      </c>
      <c r="G80" s="4" t="s">
        <v>160</v>
      </c>
    </row>
    <row r="81" customFormat="false" ht="25.5" hidden="false" customHeight="true" outlineLevel="0" collapsed="false">
      <c r="A81" s="4" t="s">
        <v>333</v>
      </c>
      <c r="B81" s="4" t="s">
        <v>334</v>
      </c>
      <c r="C81" s="4" t="s">
        <v>335</v>
      </c>
      <c r="D81" s="4" t="n">
        <v>5</v>
      </c>
      <c r="E81" s="4" t="s">
        <v>158</v>
      </c>
      <c r="F81" s="4" t="s">
        <v>207</v>
      </c>
      <c r="G81" s="4" t="s">
        <v>160</v>
      </c>
    </row>
    <row r="82" customFormat="false" ht="25.5" hidden="false" customHeight="true" outlineLevel="0" collapsed="false">
      <c r="A82" s="4" t="s">
        <v>336</v>
      </c>
      <c r="B82" s="4" t="s">
        <v>334</v>
      </c>
      <c r="C82" s="4" t="s">
        <v>337</v>
      </c>
      <c r="D82" s="4" t="n">
        <v>3</v>
      </c>
      <c r="E82" s="4" t="s">
        <v>165</v>
      </c>
      <c r="F82" s="4" t="s">
        <v>207</v>
      </c>
      <c r="G82" s="4" t="s">
        <v>160</v>
      </c>
    </row>
    <row r="83" customFormat="false" ht="25.5" hidden="false" customHeight="true" outlineLevel="0" collapsed="false">
      <c r="A83" s="4" t="s">
        <v>338</v>
      </c>
      <c r="B83" s="4" t="s">
        <v>334</v>
      </c>
      <c r="C83" s="4" t="s">
        <v>339</v>
      </c>
      <c r="D83" s="4" t="n">
        <v>5</v>
      </c>
      <c r="E83" s="4" t="s">
        <v>165</v>
      </c>
      <c r="F83" s="4" t="s">
        <v>340</v>
      </c>
      <c r="G83" s="4" t="s">
        <v>160</v>
      </c>
    </row>
    <row r="84" customFormat="false" ht="25.5" hidden="false" customHeight="true" outlineLevel="0" collapsed="false">
      <c r="A84" s="4" t="s">
        <v>341</v>
      </c>
      <c r="B84" s="4" t="s">
        <v>334</v>
      </c>
      <c r="C84" s="4" t="s">
        <v>342</v>
      </c>
      <c r="D84" s="4" t="n">
        <v>3</v>
      </c>
      <c r="E84" s="4" t="s">
        <v>158</v>
      </c>
      <c r="F84" s="4" t="s">
        <v>340</v>
      </c>
      <c r="G84" s="4" t="s">
        <v>160</v>
      </c>
    </row>
    <row r="85" customFormat="false" ht="25.5" hidden="false" customHeight="true" outlineLevel="0" collapsed="false">
      <c r="A85" s="4" t="s">
        <v>343</v>
      </c>
      <c r="B85" s="4" t="s">
        <v>334</v>
      </c>
      <c r="C85" s="4" t="s">
        <v>344</v>
      </c>
      <c r="D85" s="4" t="n">
        <v>3</v>
      </c>
      <c r="E85" s="4" t="s">
        <v>165</v>
      </c>
      <c r="F85" s="4" t="s">
        <v>345</v>
      </c>
      <c r="G85" s="4" t="s">
        <v>160</v>
      </c>
    </row>
    <row r="86" customFormat="false" ht="25.5" hidden="false" customHeight="true" outlineLevel="0" collapsed="false">
      <c r="A86" s="4" t="s">
        <v>346</v>
      </c>
      <c r="B86" s="4" t="s">
        <v>334</v>
      </c>
      <c r="C86" s="4" t="s">
        <v>347</v>
      </c>
      <c r="D86" s="4" t="n">
        <v>5</v>
      </c>
      <c r="E86" s="4" t="s">
        <v>165</v>
      </c>
      <c r="F86" s="4" t="s">
        <v>340</v>
      </c>
      <c r="G86" s="4" t="s">
        <v>291</v>
      </c>
    </row>
    <row r="87" customFormat="false" ht="25.5" hidden="false" customHeight="true" outlineLevel="0" collapsed="false">
      <c r="A87" s="4" t="s">
        <v>348</v>
      </c>
      <c r="B87" s="4" t="s">
        <v>334</v>
      </c>
      <c r="C87" s="4" t="s">
        <v>349</v>
      </c>
      <c r="D87" s="4" t="n">
        <v>2</v>
      </c>
      <c r="E87" s="4" t="s">
        <v>177</v>
      </c>
      <c r="F87" s="4" t="s">
        <v>340</v>
      </c>
      <c r="G87" s="4" t="s">
        <v>160</v>
      </c>
    </row>
    <row r="88" customFormat="false" ht="25.5" hidden="false" customHeight="true" outlineLevel="0" collapsed="false">
      <c r="A88" s="4" t="s">
        <v>350</v>
      </c>
      <c r="B88" s="4" t="s">
        <v>351</v>
      </c>
      <c r="C88" s="4" t="s">
        <v>352</v>
      </c>
      <c r="D88" s="4" t="n">
        <v>5</v>
      </c>
      <c r="E88" s="4" t="s">
        <v>158</v>
      </c>
      <c r="F88" s="4" t="s">
        <v>170</v>
      </c>
      <c r="G88" s="4" t="s">
        <v>160</v>
      </c>
    </row>
    <row r="89" customFormat="false" ht="25.5" hidden="false" customHeight="true" outlineLevel="0" collapsed="false">
      <c r="A89" s="4" t="s">
        <v>353</v>
      </c>
      <c r="B89" s="4" t="s">
        <v>351</v>
      </c>
      <c r="C89" s="4" t="s">
        <v>354</v>
      </c>
      <c r="D89" s="4" t="n">
        <v>5</v>
      </c>
      <c r="E89" s="4" t="s">
        <v>158</v>
      </c>
      <c r="F89" s="4" t="s">
        <v>193</v>
      </c>
      <c r="G89" s="4" t="s">
        <v>160</v>
      </c>
    </row>
    <row r="90" customFormat="false" ht="25.5" hidden="false" customHeight="true" outlineLevel="0" collapsed="false">
      <c r="A90" s="4" t="s">
        <v>355</v>
      </c>
      <c r="B90" s="4" t="s">
        <v>351</v>
      </c>
      <c r="C90" s="4" t="s">
        <v>356</v>
      </c>
      <c r="D90" s="4" t="n">
        <v>3</v>
      </c>
      <c r="E90" s="4" t="s">
        <v>158</v>
      </c>
      <c r="F90" s="4" t="s">
        <v>251</v>
      </c>
      <c r="G90" s="4" t="s">
        <v>160</v>
      </c>
    </row>
    <row r="91" customFormat="false" ht="25.5" hidden="false" customHeight="true" outlineLevel="0" collapsed="false">
      <c r="A91" s="4" t="s">
        <v>357</v>
      </c>
      <c r="B91" s="4" t="s">
        <v>351</v>
      </c>
      <c r="C91" s="4" t="s">
        <v>358</v>
      </c>
      <c r="D91" s="4" t="n">
        <v>5</v>
      </c>
      <c r="E91" s="4" t="s">
        <v>165</v>
      </c>
      <c r="F91" s="4" t="s">
        <v>251</v>
      </c>
      <c r="G91" s="4" t="s">
        <v>291</v>
      </c>
    </row>
    <row r="92" customFormat="false" ht="25.5" hidden="false" customHeight="true" outlineLevel="0" collapsed="false">
      <c r="A92" s="4" t="s">
        <v>359</v>
      </c>
      <c r="B92" s="4" t="s">
        <v>351</v>
      </c>
      <c r="C92" s="4" t="s">
        <v>360</v>
      </c>
      <c r="D92" s="4" t="n">
        <v>3</v>
      </c>
      <c r="E92" s="4" t="s">
        <v>165</v>
      </c>
      <c r="F92" s="4" t="s">
        <v>312</v>
      </c>
      <c r="G92" s="4" t="s">
        <v>160</v>
      </c>
    </row>
    <row r="93" customFormat="false" ht="25.5" hidden="false" customHeight="true" outlineLevel="0" collapsed="false">
      <c r="A93" s="4" t="s">
        <v>361</v>
      </c>
      <c r="B93" s="4" t="s">
        <v>351</v>
      </c>
      <c r="C93" s="4" t="s">
        <v>362</v>
      </c>
      <c r="D93" s="4" t="n">
        <v>3</v>
      </c>
      <c r="E93" s="4" t="s">
        <v>165</v>
      </c>
      <c r="F93" s="4" t="s">
        <v>312</v>
      </c>
      <c r="G93" s="4" t="s">
        <v>160</v>
      </c>
    </row>
    <row r="94" customFormat="false" ht="25.5" hidden="false" customHeight="true" outlineLevel="0" collapsed="false">
      <c r="A94" s="4" t="s">
        <v>363</v>
      </c>
      <c r="B94" s="4" t="s">
        <v>351</v>
      </c>
      <c r="C94" s="4" t="s">
        <v>364</v>
      </c>
      <c r="D94" s="4" t="n">
        <v>3</v>
      </c>
      <c r="E94" s="4" t="s">
        <v>177</v>
      </c>
      <c r="F94" s="4" t="s">
        <v>312</v>
      </c>
      <c r="G94" s="4" t="s">
        <v>160</v>
      </c>
    </row>
    <row r="95" customFormat="false" ht="25.5" hidden="false" customHeight="true" outlineLevel="0" collapsed="false">
      <c r="A95" s="4" t="s">
        <v>365</v>
      </c>
      <c r="B95" s="4" t="s">
        <v>351</v>
      </c>
      <c r="C95" s="4" t="s">
        <v>366</v>
      </c>
      <c r="D95" s="4" t="n">
        <v>3</v>
      </c>
      <c r="E95" s="4" t="s">
        <v>177</v>
      </c>
      <c r="F95" s="4" t="s">
        <v>251</v>
      </c>
      <c r="G95" s="4" t="s">
        <v>291</v>
      </c>
    </row>
    <row r="96" customFormat="false" ht="25.5" hidden="false" customHeight="true" outlineLevel="0" collapsed="false">
      <c r="A96" s="4" t="s">
        <v>367</v>
      </c>
      <c r="B96" s="4" t="s">
        <v>368</v>
      </c>
      <c r="C96" s="4" t="s">
        <v>369</v>
      </c>
      <c r="D96" s="4" t="n">
        <v>3</v>
      </c>
      <c r="E96" s="4" t="s">
        <v>158</v>
      </c>
      <c r="F96" s="4" t="s">
        <v>312</v>
      </c>
      <c r="G96" s="4" t="s">
        <v>370</v>
      </c>
    </row>
    <row r="97" customFormat="false" ht="25.5" hidden="false" customHeight="true" outlineLevel="0" collapsed="false">
      <c r="A97" s="4" t="s">
        <v>371</v>
      </c>
      <c r="B97" s="4" t="s">
        <v>368</v>
      </c>
      <c r="C97" s="4" t="s">
        <v>372</v>
      </c>
      <c r="D97" s="4" t="n">
        <v>5</v>
      </c>
      <c r="E97" s="4" t="s">
        <v>158</v>
      </c>
      <c r="F97" s="4" t="s">
        <v>312</v>
      </c>
      <c r="G97" s="4" t="s">
        <v>370</v>
      </c>
    </row>
    <row r="98" customFormat="false" ht="25.5" hidden="false" customHeight="true" outlineLevel="0" collapsed="false">
      <c r="A98" s="4" t="s">
        <v>373</v>
      </c>
      <c r="B98" s="4" t="s">
        <v>368</v>
      </c>
      <c r="C98" s="4" t="s">
        <v>374</v>
      </c>
      <c r="D98" s="4" t="n">
        <v>3</v>
      </c>
      <c r="E98" s="4" t="s">
        <v>158</v>
      </c>
      <c r="F98" s="4" t="s">
        <v>340</v>
      </c>
      <c r="G98" s="4" t="s">
        <v>160</v>
      </c>
    </row>
    <row r="99" customFormat="false" ht="25.5" hidden="false" customHeight="true" outlineLevel="0" collapsed="false">
      <c r="A99" s="4" t="s">
        <v>375</v>
      </c>
      <c r="B99" s="4" t="s">
        <v>368</v>
      </c>
      <c r="C99" s="4" t="s">
        <v>376</v>
      </c>
      <c r="D99" s="4" t="n">
        <v>3</v>
      </c>
      <c r="E99" s="4" t="s">
        <v>158</v>
      </c>
      <c r="F99" s="4" t="s">
        <v>340</v>
      </c>
      <c r="G99" s="4" t="s">
        <v>160</v>
      </c>
    </row>
    <row r="100" customFormat="false" ht="25.5" hidden="false" customHeight="true" outlineLevel="0" collapsed="false">
      <c r="A100" s="4" t="s">
        <v>377</v>
      </c>
      <c r="B100" s="4" t="s">
        <v>368</v>
      </c>
      <c r="C100" s="4" t="s">
        <v>378</v>
      </c>
      <c r="D100" s="4" t="n">
        <v>3</v>
      </c>
      <c r="E100" s="4" t="s">
        <v>158</v>
      </c>
      <c r="F100" s="4" t="s">
        <v>340</v>
      </c>
      <c r="G100" s="4" t="s">
        <v>313</v>
      </c>
    </row>
    <row r="101" customFormat="false" ht="25.5" hidden="false" customHeight="true" outlineLevel="0" collapsed="false">
      <c r="A101" s="4" t="s">
        <v>379</v>
      </c>
      <c r="B101" s="4" t="s">
        <v>368</v>
      </c>
      <c r="C101" s="4" t="s">
        <v>380</v>
      </c>
      <c r="D101" s="4" t="n">
        <v>3</v>
      </c>
      <c r="E101" s="4" t="s">
        <v>165</v>
      </c>
      <c r="F101" s="4" t="s">
        <v>345</v>
      </c>
      <c r="G101" s="4" t="s">
        <v>160</v>
      </c>
    </row>
    <row r="102" customFormat="false" ht="25.5" hidden="false" customHeight="true" outlineLevel="0" collapsed="false">
      <c r="A102" s="4" t="s">
        <v>381</v>
      </c>
      <c r="B102" s="4" t="s">
        <v>368</v>
      </c>
      <c r="C102" s="4" t="s">
        <v>382</v>
      </c>
      <c r="D102" s="4" t="n">
        <v>2</v>
      </c>
      <c r="E102" s="4" t="s">
        <v>177</v>
      </c>
      <c r="F102" s="4" t="s">
        <v>383</v>
      </c>
      <c r="G102" s="4" t="s">
        <v>291</v>
      </c>
    </row>
    <row r="103" customFormat="false" ht="25.5" hidden="false" customHeight="true" outlineLevel="0" collapsed="false">
      <c r="A103" s="4" t="s">
        <v>384</v>
      </c>
      <c r="B103" s="4" t="s">
        <v>368</v>
      </c>
      <c r="C103" s="4" t="s">
        <v>385</v>
      </c>
      <c r="D103" s="4" t="n">
        <v>2</v>
      </c>
      <c r="E103" s="4" t="s">
        <v>165</v>
      </c>
      <c r="F103" s="4" t="s">
        <v>345</v>
      </c>
      <c r="G103" s="4" t="s">
        <v>291</v>
      </c>
    </row>
    <row r="105" customFormat="false" ht="30" hidden="false" customHeight="true" outlineLevel="0" collapsed="false">
      <c r="A105" s="8" t="s">
        <v>386</v>
      </c>
      <c r="B105" s="8"/>
      <c r="C105" s="8"/>
      <c r="D105" s="8"/>
      <c r="E105" s="8"/>
      <c r="F105" s="8"/>
      <c r="G105" s="8"/>
    </row>
  </sheetData>
  <mergeCells count="1">
    <mergeCell ref="A105:G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387</v>
      </c>
    </row>
    <row r="3" customFormat="false" ht="15" hidden="false" customHeight="true" outlineLevel="0" collapsed="false">
      <c r="A3" s="3" t="s">
        <v>154</v>
      </c>
      <c r="B3" s="3" t="s">
        <v>388</v>
      </c>
      <c r="C3" s="3" t="s">
        <v>389</v>
      </c>
      <c r="D3" s="3" t="s">
        <v>152</v>
      </c>
      <c r="E3" s="3" t="s">
        <v>160</v>
      </c>
      <c r="F3" s="3" t="s">
        <v>390</v>
      </c>
    </row>
    <row r="4" customFormat="false" ht="31.5" hidden="false" customHeight="true" outlineLevel="0" collapsed="false">
      <c r="A4" s="4" t="s">
        <v>391</v>
      </c>
      <c r="B4" s="4" t="s">
        <v>392</v>
      </c>
      <c r="C4" s="4" t="n">
        <f aca="false">COUNTIF(Full_Backlog!F4:F103,"S0")</f>
        <v>0</v>
      </c>
      <c r="D4" s="4" t="n">
        <f aca="false">SUMIF(Full_Backlog!F4:F103,"S0",Full_Backlog!D4:D103)</f>
        <v>0</v>
      </c>
      <c r="E4" s="4" t="n">
        <f aca="false">COUNTIFS(Full_Backlog!$F$4:$F$103,$A4,Full_Backlog!$G$4:$G$103,"Done")+COUNTIFS(Full_Backlog!$F$4:$F$103,$A4,Full_Backlog!$G$4:$G$103,"Code-complete (pending live)")</f>
        <v>0</v>
      </c>
      <c r="F4" s="4" t="s">
        <v>393</v>
      </c>
    </row>
    <row r="5" customFormat="false" ht="31.5" hidden="false" customHeight="true" outlineLevel="0" collapsed="false">
      <c r="A5" s="4" t="s">
        <v>273</v>
      </c>
      <c r="B5" s="4" t="s">
        <v>394</v>
      </c>
      <c r="C5" s="4" t="n">
        <f aca="false">COUNTIF(Full_Backlog!F4:F103,"S1")</f>
        <v>4</v>
      </c>
      <c r="D5" s="4" t="n">
        <f aca="false">SUMIF(Full_Backlog!F4:F103,"S1",Full_Backlog!D4:D103)</f>
        <v>13</v>
      </c>
      <c r="E5" s="4" t="n">
        <f aca="false">COUNTIFS(Full_Backlog!$F$4:$F$103,$A5,Full_Backlog!$G$4:$G$103,"Done")+COUNTIFS(Full_Backlog!$F$4:$F$103,$A5,Full_Backlog!$G$4:$G$103,"Code-complete (pending live)")</f>
        <v>4</v>
      </c>
      <c r="F5" s="4" t="s">
        <v>395</v>
      </c>
    </row>
    <row r="6" customFormat="false" ht="31.5" hidden="false" customHeight="true" outlineLevel="0" collapsed="false">
      <c r="A6" s="4" t="s">
        <v>159</v>
      </c>
      <c r="B6" s="4" t="s">
        <v>396</v>
      </c>
      <c r="C6" s="4" t="n">
        <f aca="false">COUNTIF(Full_Backlog!F4:F103,"S2")</f>
        <v>6</v>
      </c>
      <c r="D6" s="4" t="n">
        <f aca="false">SUMIF(Full_Backlog!F4:F103,"S2",Full_Backlog!D4:D103)</f>
        <v>29</v>
      </c>
      <c r="E6" s="4" t="n">
        <f aca="false">COUNTIFS(Full_Backlog!$F$4:$F$103,$A6,Full_Backlog!$G$4:$G$103,"Done")+COUNTIFS(Full_Backlog!$F$4:$F$103,$A6,Full_Backlog!$G$4:$G$103,"Code-complete (pending live)")</f>
        <v>6</v>
      </c>
      <c r="F6" s="4" t="s">
        <v>397</v>
      </c>
    </row>
    <row r="7" customFormat="false" ht="31.5" hidden="false" customHeight="true" outlineLevel="0" collapsed="false">
      <c r="A7" s="4" t="s">
        <v>170</v>
      </c>
      <c r="B7" s="4" t="s">
        <v>398</v>
      </c>
      <c r="C7" s="4" t="n">
        <f aca="false">COUNTIF(Full_Backlog!F4:F103,"S3")</f>
        <v>11</v>
      </c>
      <c r="D7" s="4" t="n">
        <f aca="false">SUMIF(Full_Backlog!F4:F103,"S3",Full_Backlog!D4:D103)</f>
        <v>47</v>
      </c>
      <c r="E7" s="4" t="n">
        <f aca="false">COUNTIFS(Full_Backlog!$F$4:$F$103,$A7,Full_Backlog!$G$4:$G$103,"Done")+COUNTIFS(Full_Backlog!$F$4:$F$103,$A7,Full_Backlog!$G$4:$G$103,"Code-complete (pending live)")</f>
        <v>11</v>
      </c>
      <c r="F7" s="4" t="s">
        <v>399</v>
      </c>
    </row>
    <row r="8" customFormat="false" ht="31.5" hidden="false" customHeight="true" outlineLevel="0" collapsed="false">
      <c r="A8" s="4" t="s">
        <v>193</v>
      </c>
      <c r="B8" s="4" t="s">
        <v>400</v>
      </c>
      <c r="C8" s="4" t="n">
        <f aca="false">COUNTIF(Full_Backlog!F4:F103,"S4")</f>
        <v>9</v>
      </c>
      <c r="D8" s="4" t="n">
        <f aca="false">SUMIF(Full_Backlog!F4:F103,"S4",Full_Backlog!D4:D103)</f>
        <v>34</v>
      </c>
      <c r="E8" s="4" t="n">
        <f aca="false">COUNTIFS(Full_Backlog!$F$4:$F$103,$A8,Full_Backlog!$G$4:$G$103,"Done")+COUNTIFS(Full_Backlog!$F$4:$F$103,$A8,Full_Backlog!$G$4:$G$103,"Code-complete (pending live)")</f>
        <v>9</v>
      </c>
      <c r="F8" s="4" t="s">
        <v>401</v>
      </c>
    </row>
    <row r="9" customFormat="false" ht="31.5" hidden="false" customHeight="true" outlineLevel="0" collapsed="false">
      <c r="A9" s="4" t="s">
        <v>207</v>
      </c>
      <c r="B9" s="4" t="s">
        <v>402</v>
      </c>
      <c r="C9" s="4" t="n">
        <f aca="false">COUNTIF(Full_Backlog!F4:F103,"S5")</f>
        <v>12</v>
      </c>
      <c r="D9" s="4" t="n">
        <f aca="false">SUMIF(Full_Backlog!F4:F103,"S5",Full_Backlog!D4:D103)</f>
        <v>50</v>
      </c>
      <c r="E9" s="4" t="n">
        <f aca="false">COUNTIFS(Full_Backlog!$F$4:$F$103,$A9,Full_Backlog!$G$4:$G$103,"Done")+COUNTIFS(Full_Backlog!$F$4:$F$103,$A9,Full_Backlog!$G$4:$G$103,"Code-complete (pending live)")</f>
        <v>12</v>
      </c>
      <c r="F9" s="4" t="s">
        <v>403</v>
      </c>
    </row>
    <row r="10" customFormat="false" ht="31.5" hidden="false" customHeight="true" outlineLevel="0" collapsed="false">
      <c r="A10" s="4" t="s">
        <v>229</v>
      </c>
      <c r="B10" s="4" t="s">
        <v>404</v>
      </c>
      <c r="C10" s="4" t="n">
        <f aca="false">COUNTIF(Full_Backlog!F4:F103,"S6")</f>
        <v>13</v>
      </c>
      <c r="D10" s="4" t="n">
        <f aca="false">SUMIF(Full_Backlog!F4:F103,"S6",Full_Backlog!D4:D103)</f>
        <v>60</v>
      </c>
      <c r="E10" s="4" t="n">
        <f aca="false">COUNTIFS(Full_Backlog!$F$4:$F$103,$A10,Full_Backlog!$G$4:$G$103,"Done")+COUNTIFS(Full_Backlog!$F$4:$F$103,$A10,Full_Backlog!$G$4:$G$103,"Code-complete (pending live)")</f>
        <v>13</v>
      </c>
      <c r="F10" s="4" t="s">
        <v>405</v>
      </c>
    </row>
    <row r="11" customFormat="false" ht="31.5" hidden="false" customHeight="true" outlineLevel="0" collapsed="false">
      <c r="A11" s="4" t="s">
        <v>294</v>
      </c>
      <c r="B11" s="4" t="s">
        <v>406</v>
      </c>
      <c r="C11" s="4" t="n">
        <f aca="false">COUNTIF(Full_Backlog!F4:F103,"S7")</f>
        <v>5</v>
      </c>
      <c r="D11" s="4" t="n">
        <f aca="false">SUMIF(Full_Backlog!F4:F103,"S7",Full_Backlog!D4:D103)</f>
        <v>15</v>
      </c>
      <c r="E11" s="4" t="n">
        <f aca="false">COUNTIFS(Full_Backlog!$F$4:$F$103,$A11,Full_Backlog!$G$4:$G$103,"Done")+COUNTIFS(Full_Backlog!$F$4:$F$103,$A11,Full_Backlog!$G$4:$G$103,"Code-complete (pending live)")</f>
        <v>5</v>
      </c>
      <c r="F11" s="4" t="s">
        <v>407</v>
      </c>
    </row>
    <row r="12" customFormat="false" ht="31.5" hidden="false" customHeight="true" outlineLevel="0" collapsed="false">
      <c r="A12" s="4" t="s">
        <v>251</v>
      </c>
      <c r="B12" s="4" t="s">
        <v>408</v>
      </c>
      <c r="C12" s="4" t="n">
        <f aca="false">COUNTIF(Full_Backlog!F4:F103,"S8")</f>
        <v>22</v>
      </c>
      <c r="D12" s="4" t="n">
        <f aca="false">SUMIF(Full_Backlog!F4:F103,"S8",Full_Backlog!D4:D103)</f>
        <v>87</v>
      </c>
      <c r="E12" s="4" t="n">
        <f aca="false">COUNTIFS(Full_Backlog!$F$4:$F$103,$A12,Full_Backlog!$G$4:$G$103,"Done")+COUNTIFS(Full_Backlog!$F$4:$F$103,$A12,Full_Backlog!$G$4:$G$103,"Code-complete (pending live)")</f>
        <v>22</v>
      </c>
      <c r="F12" s="4" t="s">
        <v>409</v>
      </c>
    </row>
    <row r="13" customFormat="false" ht="31.5" hidden="false" customHeight="true" outlineLevel="0" collapsed="false">
      <c r="A13" s="4" t="s">
        <v>312</v>
      </c>
      <c r="B13" s="4" t="s">
        <v>410</v>
      </c>
      <c r="C13" s="4" t="n">
        <f aca="false">COUNTIF(Full_Backlog!F4:F103,"S9")</f>
        <v>7</v>
      </c>
      <c r="D13" s="4" t="n">
        <f aca="false">SUMIF(Full_Backlog!F4:F103,"S9",Full_Backlog!D4:D103)</f>
        <v>30</v>
      </c>
      <c r="E13" s="4" t="n">
        <f aca="false">COUNTIFS(Full_Backlog!$F$4:$F$103,$A13,Full_Backlog!$G$4:$G$103,"Done")+COUNTIFS(Full_Backlog!$F$4:$F$103,$A13,Full_Backlog!$G$4:$G$103,"Code-complete (pending live)")</f>
        <v>4</v>
      </c>
      <c r="F13" s="4" t="s">
        <v>411</v>
      </c>
    </row>
    <row r="14" customFormat="false" ht="31.5" hidden="false" customHeight="true" outlineLevel="0" collapsed="false">
      <c r="A14" s="4" t="s">
        <v>340</v>
      </c>
      <c r="B14" s="4" t="s">
        <v>412</v>
      </c>
      <c r="C14" s="4" t="n">
        <f aca="false">COUNTIF(Full_Backlog!F4:F103,"S10")</f>
        <v>7</v>
      </c>
      <c r="D14" s="4" t="n">
        <f aca="false">SUMIF(Full_Backlog!F4:F103,"S10",Full_Backlog!D4:D103)</f>
        <v>24</v>
      </c>
      <c r="E14" s="4" t="n">
        <f aca="false">COUNTIFS(Full_Backlog!$F$4:$F$103,$A14,Full_Backlog!$G$4:$G$103,"Done")+COUNTIFS(Full_Backlog!$F$4:$F$103,$A14,Full_Backlog!$G$4:$G$103,"Code-complete (pending live)")</f>
        <v>6</v>
      </c>
      <c r="F14" s="4" t="s">
        <v>413</v>
      </c>
    </row>
    <row r="15" customFormat="false" ht="31.5" hidden="false" customHeight="true" outlineLevel="0" collapsed="false">
      <c r="A15" s="4" t="s">
        <v>345</v>
      </c>
      <c r="B15" s="4" t="s">
        <v>414</v>
      </c>
      <c r="C15" s="4" t="n">
        <f aca="false">COUNTIF(Full_Backlog!F4:F103,"S11")</f>
        <v>3</v>
      </c>
      <c r="D15" s="4" t="n">
        <f aca="false">SUMIF(Full_Backlog!F4:F103,"S11",Full_Backlog!D4:D103)</f>
        <v>8</v>
      </c>
      <c r="E15" s="4" t="n">
        <f aca="false">COUNTIFS(Full_Backlog!$F$4:$F$103,$A15,Full_Backlog!$G$4:$G$103,"Done")+COUNTIFS(Full_Backlog!$F$4:$F$103,$A15,Full_Backlog!$G$4:$G$103,"Code-complete (pending live)")</f>
        <v>3</v>
      </c>
      <c r="F15" s="4" t="s">
        <v>415</v>
      </c>
    </row>
    <row r="16" customFormat="false" ht="31.5" hidden="false" customHeight="true" outlineLevel="0" collapsed="false">
      <c r="A16" s="4" t="s">
        <v>383</v>
      </c>
      <c r="B16" s="4" t="s">
        <v>416</v>
      </c>
      <c r="C16" s="4" t="n">
        <f aca="false">COUNTIF(Full_Backlog!F4:F103,"S12")</f>
        <v>1</v>
      </c>
      <c r="D16" s="4" t="n">
        <f aca="false">SUMIF(Full_Backlog!F4:F103,"S12",Full_Backlog!D4:D103)</f>
        <v>2</v>
      </c>
      <c r="E16" s="9" t="n">
        <f aca="false">COUNTIFS(Full_Backlog!$F$4:$F$103,$A16,Full_Backlog!$G$4:$G$103,"Done")+COUNTIFS(Full_Backlog!$F$4:$F$103,$A16,Full_Backlog!$G$4:$G$103,"Code-complete (pending live)")</f>
        <v>1</v>
      </c>
      <c r="F16" s="4" t="s">
        <v>417</v>
      </c>
    </row>
    <row r="17" customFormat="false" ht="15" hidden="false" customHeight="true" outlineLevel="0" collapsed="false">
      <c r="B17" s="10" t="s">
        <v>418</v>
      </c>
      <c r="C17" s="10" t="n">
        <f aca="false">SUM(C4:C16)</f>
        <v>100</v>
      </c>
      <c r="D17" s="10" t="n">
        <f aca="false">SUM(D4:D16)</f>
        <v>399</v>
      </c>
      <c r="E17" s="10" t="n">
        <f aca="false">SUM(E4:E16)</f>
        <v>96</v>
      </c>
    </row>
    <row r="18" customFormat="false" ht="27.75" hidden="false" customHeight="true" outlineLevel="0" collapsed="false">
      <c r="B18" s="8" t="s">
        <v>419</v>
      </c>
      <c r="C18" s="8"/>
      <c r="D18" s="8"/>
      <c r="E18" s="8"/>
      <c r="F18" s="8"/>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9" min="2" style="1" width="11"/>
  </cols>
  <sheetData>
    <row r="1" customFormat="false" ht="17.25" hidden="false" customHeight="true" outlineLevel="0" collapsed="false">
      <c r="A1" s="2" t="s">
        <v>420</v>
      </c>
    </row>
    <row r="3" customFormat="false" ht="15" hidden="false" customHeight="true" outlineLevel="0" collapsed="false">
      <c r="A3" s="3" t="s">
        <v>421</v>
      </c>
      <c r="B3" s="3" t="s">
        <v>422</v>
      </c>
    </row>
    <row r="4" customFormat="false" ht="15" hidden="false" customHeight="true" outlineLevel="0" collapsed="false">
      <c r="A4" s="5" t="s">
        <v>423</v>
      </c>
      <c r="B4" s="5" t="n">
        <v>4</v>
      </c>
    </row>
    <row r="5" customFormat="false" ht="15" hidden="false" customHeight="true" outlineLevel="0" collapsed="false">
      <c r="A5" s="5" t="s">
        <v>424</v>
      </c>
      <c r="B5" s="5" t="n">
        <v>0.1</v>
      </c>
    </row>
    <row r="6" customFormat="false" ht="15" hidden="false" customHeight="true" outlineLevel="0" collapsed="false">
      <c r="A6" s="5" t="s">
        <v>425</v>
      </c>
      <c r="B6" s="5" t="n">
        <v>0.3</v>
      </c>
    </row>
    <row r="7" customFormat="false" ht="15" hidden="false" customHeight="true" outlineLevel="0" collapsed="false">
      <c r="A7" s="5" t="s">
        <v>426</v>
      </c>
      <c r="B7" s="5" t="n">
        <v>600</v>
      </c>
    </row>
    <row r="8" customFormat="false" ht="15" hidden="false" customHeight="true" outlineLevel="0" collapsed="false">
      <c r="A8" s="5" t="s">
        <v>427</v>
      </c>
      <c r="B8" s="5" t="n">
        <v>0.012</v>
      </c>
    </row>
    <row r="9" customFormat="false" ht="15" hidden="false" customHeight="true" outlineLevel="0" collapsed="false">
      <c r="A9" s="5" t="s">
        <v>428</v>
      </c>
      <c r="B9" s="5" t="n">
        <v>0.15</v>
      </c>
    </row>
    <row r="10" customFormat="false" ht="15" hidden="false" customHeight="true" outlineLevel="0" collapsed="false">
      <c r="A10" s="5" t="s">
        <v>429</v>
      </c>
      <c r="B10" s="5" t="n">
        <v>40000</v>
      </c>
    </row>
    <row r="11" customFormat="false" ht="15" hidden="false" customHeight="true" outlineLevel="0" collapsed="false">
      <c r="A11" s="5" t="s">
        <v>430</v>
      </c>
      <c r="B11" s="5" t="n">
        <v>0.03</v>
      </c>
    </row>
    <row r="12" customFormat="false" ht="15" hidden="false" customHeight="true" outlineLevel="0" collapsed="false">
      <c r="A12" s="11" t="s">
        <v>431</v>
      </c>
    </row>
    <row r="14" customFormat="false" ht="15" hidden="false" customHeight="true" outlineLevel="0" collapsed="false">
      <c r="A14" s="3" t="s">
        <v>432</v>
      </c>
      <c r="B14" s="3" t="s">
        <v>433</v>
      </c>
      <c r="C14" s="3" t="s">
        <v>434</v>
      </c>
      <c r="D14" s="3" t="s">
        <v>435</v>
      </c>
      <c r="E14" s="3" t="s">
        <v>436</v>
      </c>
      <c r="F14" s="3" t="s">
        <v>437</v>
      </c>
      <c r="G14" s="3" t="s">
        <v>438</v>
      </c>
      <c r="H14" s="3" t="s">
        <v>439</v>
      </c>
      <c r="I14" s="3" t="s">
        <v>440</v>
      </c>
      <c r="J14" s="3" t="s">
        <v>441</v>
      </c>
      <c r="K14" s="3" t="s">
        <v>442</v>
      </c>
      <c r="L14" s="3" t="s">
        <v>443</v>
      </c>
      <c r="M14" s="3" t="s">
        <v>444</v>
      </c>
      <c r="N14" s="3" t="s">
        <v>445</v>
      </c>
      <c r="O14" s="3" t="s">
        <v>446</v>
      </c>
      <c r="P14" s="3" t="s">
        <v>447</v>
      </c>
      <c r="Q14" s="3" t="s">
        <v>448</v>
      </c>
      <c r="R14" s="3" t="s">
        <v>449</v>
      </c>
      <c r="S14" s="3" t="s">
        <v>450</v>
      </c>
    </row>
    <row r="15" customFormat="false" ht="15" hidden="false" customHeight="true" outlineLevel="0" collapsed="false">
      <c r="A15" s="10" t="s">
        <v>451</v>
      </c>
      <c r="B15" s="11" t="n">
        <f aca="false">$B$4</f>
        <v>4</v>
      </c>
      <c r="C15" s="11" t="n">
        <f aca="false">B15*(1+$B$5)</f>
        <v>4.4</v>
      </c>
      <c r="D15" s="11" t="n">
        <f aca="false">C15*(1+$B$5)</f>
        <v>4.84</v>
      </c>
      <c r="E15" s="11" t="n">
        <f aca="false">D15*(1+$B$5)</f>
        <v>5.324</v>
      </c>
      <c r="F15" s="11" t="n">
        <f aca="false">E15*(1+$B$5)</f>
        <v>5.8564</v>
      </c>
      <c r="G15" s="11" t="n">
        <f aca="false">F15*(1+$B$5)</f>
        <v>6.44204</v>
      </c>
      <c r="H15" s="11" t="n">
        <f aca="false">G15*(1+$B$5)</f>
        <v>7.086244</v>
      </c>
      <c r="I15" s="11" t="n">
        <f aca="false">H15*(1+$B$5)</f>
        <v>7.79486840000001</v>
      </c>
      <c r="J15" s="11" t="n">
        <f aca="false">I15*(1+$B$5)</f>
        <v>8.57435524000001</v>
      </c>
      <c r="K15" s="11" t="n">
        <f aca="false">J15*(1+$B$5)</f>
        <v>9.43179076400001</v>
      </c>
      <c r="L15" s="11" t="n">
        <f aca="false">K15*(1+$B$5)</f>
        <v>10.3749698404</v>
      </c>
      <c r="M15" s="11" t="n">
        <f aca="false">L15*(1+$B$5)</f>
        <v>11.41246682444</v>
      </c>
      <c r="N15" s="11" t="n">
        <f aca="false">M15*(1+$B$5)</f>
        <v>12.553713506884</v>
      </c>
      <c r="O15" s="11" t="n">
        <f aca="false">N15*(1+$B$5)</f>
        <v>13.8090848575724</v>
      </c>
      <c r="P15" s="11" t="n">
        <f aca="false">O15*(1+$B$5)</f>
        <v>15.1899933433297</v>
      </c>
      <c r="Q15" s="11" t="n">
        <f aca="false">P15*(1+$B$5)</f>
        <v>16.7089926776626</v>
      </c>
      <c r="R15" s="11" t="n">
        <f aca="false">Q15*(1+$B$5)</f>
        <v>18.3798919454289</v>
      </c>
      <c r="S15" s="11" t="n">
        <f aca="false">R15*(1+$B$5)</f>
        <v>20.2178811399718</v>
      </c>
    </row>
    <row r="16" customFormat="false" ht="15" hidden="false" customHeight="true" outlineLevel="0" collapsed="false">
      <c r="A16" s="10" t="s">
        <v>452</v>
      </c>
      <c r="B16" s="11" t="n">
        <f aca="false">ROUND(B15*$B$6,1)</f>
        <v>1.2</v>
      </c>
      <c r="C16" s="11" t="n">
        <f aca="false">ROUND(C15*$B$6,1)</f>
        <v>1.3</v>
      </c>
      <c r="D16" s="11" t="n">
        <f aca="false">ROUND(D15*$B$6,1)</f>
        <v>1.5</v>
      </c>
      <c r="E16" s="11" t="n">
        <f aca="false">ROUND(E15*$B$6,1)</f>
        <v>1.6</v>
      </c>
      <c r="F16" s="11" t="n">
        <f aca="false">ROUND(F15*$B$6,1)</f>
        <v>1.8</v>
      </c>
      <c r="G16" s="11" t="n">
        <f aca="false">ROUND(G15*$B$6,1)</f>
        <v>1.9</v>
      </c>
      <c r="H16" s="11" t="n">
        <f aca="false">ROUND(H15*$B$6,1)</f>
        <v>2.1</v>
      </c>
      <c r="I16" s="11" t="n">
        <f aca="false">ROUND(I15*$B$6,1)</f>
        <v>2.3</v>
      </c>
      <c r="J16" s="11" t="n">
        <f aca="false">ROUND(J15*$B$6,1)</f>
        <v>2.6</v>
      </c>
      <c r="K16" s="11" t="n">
        <f aca="false">ROUND(K15*$B$6,1)</f>
        <v>2.8</v>
      </c>
      <c r="L16" s="11" t="n">
        <f aca="false">ROUND(L15*$B$6,1)</f>
        <v>3.1</v>
      </c>
      <c r="M16" s="11" t="n">
        <f aca="false">ROUND(M15*$B$6,1)</f>
        <v>3.4</v>
      </c>
      <c r="N16" s="11" t="n">
        <f aca="false">ROUND(N15*$B$6,1)</f>
        <v>3.8</v>
      </c>
      <c r="O16" s="11" t="n">
        <f aca="false">ROUND(O15*$B$6,1)</f>
        <v>4.1</v>
      </c>
      <c r="P16" s="11" t="n">
        <f aca="false">ROUND(P15*$B$6,1)</f>
        <v>4.6</v>
      </c>
      <c r="Q16" s="11" t="n">
        <f aca="false">ROUND(Q15*$B$6,1)</f>
        <v>5</v>
      </c>
      <c r="R16" s="11" t="n">
        <f aca="false">ROUND(R15*$B$6,1)</f>
        <v>5.5</v>
      </c>
      <c r="S16" s="11" t="n">
        <f aca="false">ROUND(S15*$B$6,1)</f>
        <v>6.1</v>
      </c>
    </row>
    <row r="17" customFormat="false" ht="15" hidden="false" customHeight="true" outlineLevel="0" collapsed="false">
      <c r="A17" s="10" t="s">
        <v>453</v>
      </c>
      <c r="B17" s="11" t="n">
        <f aca="false">B16</f>
        <v>1.2</v>
      </c>
      <c r="C17" s="11" t="n">
        <f aca="false">ROUND(B17*(1-$B$8)+C16,1)</f>
        <v>2.5</v>
      </c>
      <c r="D17" s="11" t="n">
        <f aca="false">ROUND(C17*(1-$B$8)+D16,1)</f>
        <v>4</v>
      </c>
      <c r="E17" s="11" t="n">
        <f aca="false">ROUND(D17*(1-$B$8)+E16,1)</f>
        <v>5.6</v>
      </c>
      <c r="F17" s="11" t="n">
        <f aca="false">ROUND(E17*(1-$B$8)+F16,1)</f>
        <v>7.3</v>
      </c>
      <c r="G17" s="11" t="n">
        <f aca="false">ROUND(F17*(1-$B$8)+G16,1)</f>
        <v>9.1</v>
      </c>
      <c r="H17" s="11" t="n">
        <f aca="false">ROUND(G17*(1-$B$8)+H16,1)</f>
        <v>11.1</v>
      </c>
      <c r="I17" s="11" t="n">
        <f aca="false">ROUND(H17*(1-$B$8)+I16,1)</f>
        <v>13.3</v>
      </c>
      <c r="J17" s="11" t="n">
        <f aca="false">ROUND(I17*(1-$B$8)+J16,1)</f>
        <v>15.7</v>
      </c>
      <c r="K17" s="11" t="n">
        <f aca="false">ROUND(J17*(1-$B$8)+K16,1)</f>
        <v>18.3</v>
      </c>
      <c r="L17" s="11" t="n">
        <f aca="false">ROUND(K17*(1-$B$8)+L16,1)</f>
        <v>21.2</v>
      </c>
      <c r="M17" s="11" t="n">
        <f aca="false">ROUND(L17*(1-$B$8)+M16,1)</f>
        <v>24.3</v>
      </c>
      <c r="N17" s="11" t="n">
        <f aca="false">ROUND(M17*(1-$B$8)+N16,1)</f>
        <v>27.8</v>
      </c>
      <c r="O17" s="11" t="n">
        <f aca="false">ROUND(N17*(1-$B$8)+O16,1)</f>
        <v>31.6</v>
      </c>
      <c r="P17" s="11" t="n">
        <f aca="false">ROUND(O17*(1-$B$8)+P16,1)</f>
        <v>35.8</v>
      </c>
      <c r="Q17" s="11" t="n">
        <f aca="false">ROUND(P17*(1-$B$8)+Q16,1)</f>
        <v>40.4</v>
      </c>
      <c r="R17" s="11" t="n">
        <f aca="false">ROUND(Q17*(1-$B$8)+R16,1)</f>
        <v>45.4</v>
      </c>
      <c r="S17" s="11" t="n">
        <f aca="false">ROUND(R17*(1-$B$8)+S16,1)</f>
        <v>51</v>
      </c>
    </row>
    <row r="18" customFormat="false" ht="15" hidden="false" customHeight="true" outlineLevel="0" collapsed="false">
      <c r="A18" s="10" t="s">
        <v>454</v>
      </c>
      <c r="B18" s="11" t="n">
        <f aca="false">ROUND(B17*$B$7*(1-$B$9),0)</f>
        <v>612</v>
      </c>
      <c r="C18" s="11" t="n">
        <f aca="false">ROUND(C17*$B$7*(1-$B$9),0)</f>
        <v>1275</v>
      </c>
      <c r="D18" s="11" t="n">
        <f aca="false">ROUND(D17*$B$7*(1-$B$9),0)</f>
        <v>2040</v>
      </c>
      <c r="E18" s="11" t="n">
        <f aca="false">ROUND(E17*$B$7*(1-$B$9),0)</f>
        <v>2856</v>
      </c>
      <c r="F18" s="11" t="n">
        <f aca="false">ROUND(F17*$B$7*(1-$B$9),0)</f>
        <v>3723</v>
      </c>
      <c r="G18" s="11" t="n">
        <f aca="false">ROUND(G17*$B$7*(1-$B$9),0)</f>
        <v>4641</v>
      </c>
      <c r="H18" s="11" t="n">
        <f aca="false">ROUND(H17*$B$7*(1-$B$9),0)</f>
        <v>5661</v>
      </c>
      <c r="I18" s="11" t="n">
        <f aca="false">ROUND(I17*$B$7*(1-$B$9),0)</f>
        <v>6783</v>
      </c>
      <c r="J18" s="11" t="n">
        <f aca="false">ROUND(J17*$B$7*(1-$B$9),0)</f>
        <v>8007</v>
      </c>
      <c r="K18" s="11" t="n">
        <f aca="false">ROUND(K17*$B$7*(1-$B$9),0)</f>
        <v>9333</v>
      </c>
      <c r="L18" s="11" t="n">
        <f aca="false">ROUND(L17*$B$7*(1-$B$9),0)</f>
        <v>10812</v>
      </c>
      <c r="M18" s="11" t="n">
        <f aca="false">ROUND(M17*$B$7*(1-$B$9),0)</f>
        <v>12393</v>
      </c>
      <c r="N18" s="11" t="n">
        <f aca="false">ROUND(N17*$B$7*(1-$B$9),0)</f>
        <v>14178</v>
      </c>
      <c r="O18" s="11" t="n">
        <f aca="false">ROUND(O17*$B$7*(1-$B$9),0)</f>
        <v>16116</v>
      </c>
      <c r="P18" s="11" t="n">
        <f aca="false">ROUND(P17*$B$7*(1-$B$9),0)</f>
        <v>18258</v>
      </c>
      <c r="Q18" s="11" t="n">
        <f aca="false">ROUND(Q17*$B$7*(1-$B$9),0)</f>
        <v>20604</v>
      </c>
      <c r="R18" s="11" t="n">
        <f aca="false">ROUND(R17*$B$7*(1-$B$9),0)</f>
        <v>23154</v>
      </c>
      <c r="S18" s="11" t="n">
        <f aca="false">ROUND(S17*$B$7*(1-$B$9),0)</f>
        <v>26010</v>
      </c>
    </row>
    <row r="19" customFormat="false" ht="15" hidden="false" customHeight="true" outlineLevel="0" collapsed="false">
      <c r="A19" s="10" t="s">
        <v>455</v>
      </c>
      <c r="B19" s="11" t="n">
        <f aca="false">$B$10</f>
        <v>40000</v>
      </c>
      <c r="C19" s="11" t="n">
        <f aca="false">ROUND(B19*(1+$B$11),0)</f>
        <v>41200</v>
      </c>
      <c r="D19" s="11" t="n">
        <f aca="false">ROUND(C19*(1+$B$11),0)</f>
        <v>42436</v>
      </c>
      <c r="E19" s="11" t="n">
        <f aca="false">ROUND(D19*(1+$B$11),0)</f>
        <v>43709</v>
      </c>
      <c r="F19" s="11" t="n">
        <f aca="false">ROUND(E19*(1+$B$11),0)</f>
        <v>45020</v>
      </c>
      <c r="G19" s="11" t="n">
        <f aca="false">ROUND(F19*(1+$B$11),0)</f>
        <v>46371</v>
      </c>
      <c r="H19" s="11" t="n">
        <f aca="false">ROUND(G19*(1+$B$11),0)</f>
        <v>47762</v>
      </c>
      <c r="I19" s="11" t="n">
        <f aca="false">ROUND(H19*(1+$B$11),0)</f>
        <v>49195</v>
      </c>
      <c r="J19" s="11" t="n">
        <f aca="false">ROUND(I19*(1+$B$11),0)</f>
        <v>50671</v>
      </c>
      <c r="K19" s="11" t="n">
        <f aca="false">ROUND(J19*(1+$B$11),0)</f>
        <v>52191</v>
      </c>
      <c r="L19" s="11" t="n">
        <f aca="false">ROUND(K19*(1+$B$11),0)</f>
        <v>53757</v>
      </c>
      <c r="M19" s="11" t="n">
        <f aca="false">ROUND(L19*(1+$B$11),0)</f>
        <v>55370</v>
      </c>
      <c r="N19" s="11" t="n">
        <f aca="false">ROUND(M19*(1+$B$11),0)</f>
        <v>57031</v>
      </c>
      <c r="O19" s="11" t="n">
        <f aca="false">ROUND(N19*(1+$B$11),0)</f>
        <v>58742</v>
      </c>
      <c r="P19" s="11" t="n">
        <f aca="false">ROUND(O19*(1+$B$11),0)</f>
        <v>60504</v>
      </c>
      <c r="Q19" s="11" t="n">
        <f aca="false">ROUND(P19*(1+$B$11),0)</f>
        <v>62319</v>
      </c>
      <c r="R19" s="11" t="n">
        <f aca="false">ROUND(Q19*(1+$B$11),0)</f>
        <v>64189</v>
      </c>
      <c r="S19" s="11" t="n">
        <f aca="false">ROUND(R19*(1+$B$11),0)</f>
        <v>66115</v>
      </c>
    </row>
    <row r="20" customFormat="false" ht="15" hidden="false" customHeight="true" outlineLevel="0" collapsed="false">
      <c r="A20" s="10" t="s">
        <v>456</v>
      </c>
      <c r="B20" s="11" t="n">
        <f aca="false">B18-B19</f>
        <v>-39388</v>
      </c>
      <c r="C20" s="11" t="n">
        <f aca="false">C18-C19</f>
        <v>-39925</v>
      </c>
      <c r="D20" s="11" t="n">
        <f aca="false">D18-D19</f>
        <v>-40396</v>
      </c>
      <c r="E20" s="11" t="n">
        <f aca="false">E18-E19</f>
        <v>-40853</v>
      </c>
      <c r="F20" s="11" t="n">
        <f aca="false">F18-F19</f>
        <v>-41297</v>
      </c>
      <c r="G20" s="11" t="n">
        <f aca="false">G18-G19</f>
        <v>-41730</v>
      </c>
      <c r="H20" s="11" t="n">
        <f aca="false">H18-H19</f>
        <v>-42101</v>
      </c>
      <c r="I20" s="11" t="n">
        <f aca="false">I18-I19</f>
        <v>-42412</v>
      </c>
      <c r="J20" s="11" t="n">
        <f aca="false">J18-J19</f>
        <v>-42664</v>
      </c>
      <c r="K20" s="11" t="n">
        <f aca="false">K18-K19</f>
        <v>-42858</v>
      </c>
      <c r="L20" s="11" t="n">
        <f aca="false">L18-L19</f>
        <v>-42945</v>
      </c>
      <c r="M20" s="11" t="n">
        <f aca="false">M18-M19</f>
        <v>-42977</v>
      </c>
      <c r="N20" s="11" t="n">
        <f aca="false">N18-N19</f>
        <v>-42853</v>
      </c>
      <c r="O20" s="11" t="n">
        <f aca="false">O18-O19</f>
        <v>-42626</v>
      </c>
      <c r="P20" s="11" t="n">
        <f aca="false">P18-P19</f>
        <v>-42246</v>
      </c>
      <c r="Q20" s="11" t="n">
        <f aca="false">Q18-Q19</f>
        <v>-41715</v>
      </c>
      <c r="R20" s="11" t="n">
        <f aca="false">R18-R19</f>
        <v>-41035</v>
      </c>
      <c r="S20" s="11" t="n">
        <f aca="false">S18-S19</f>
        <v>-40105</v>
      </c>
    </row>
    <row r="21" customFormat="false" ht="15" hidden="false" customHeight="true" outlineLevel="0" collapsed="false">
      <c r="A21" s="10" t="s">
        <v>457</v>
      </c>
      <c r="B21" s="11" t="n">
        <f aca="false">B20</f>
        <v>-39388</v>
      </c>
      <c r="C21" s="11" t="n">
        <f aca="false">B21+C20</f>
        <v>-79313</v>
      </c>
      <c r="D21" s="11" t="n">
        <f aca="false">C21+D20</f>
        <v>-119709</v>
      </c>
      <c r="E21" s="11" t="n">
        <f aca="false">D21+E20</f>
        <v>-160562</v>
      </c>
      <c r="F21" s="11" t="n">
        <f aca="false">E21+F20</f>
        <v>-201859</v>
      </c>
      <c r="G21" s="11" t="n">
        <f aca="false">F21+G20</f>
        <v>-243589</v>
      </c>
      <c r="H21" s="11" t="n">
        <f aca="false">G21+H20</f>
        <v>-285690</v>
      </c>
      <c r="I21" s="11" t="n">
        <f aca="false">H21+I20</f>
        <v>-328102</v>
      </c>
      <c r="J21" s="11" t="n">
        <f aca="false">I21+J20</f>
        <v>-370766</v>
      </c>
      <c r="K21" s="11" t="n">
        <f aca="false">J21+K20</f>
        <v>-413624</v>
      </c>
      <c r="L21" s="11" t="n">
        <f aca="false">K21+L20</f>
        <v>-456569</v>
      </c>
      <c r="M21" s="11" t="n">
        <f aca="false">L21+M20</f>
        <v>-499546</v>
      </c>
      <c r="N21" s="11" t="n">
        <f aca="false">M21+N20</f>
        <v>-542399</v>
      </c>
      <c r="O21" s="11" t="n">
        <f aca="false">N21+O20</f>
        <v>-585025</v>
      </c>
      <c r="P21" s="11" t="n">
        <f aca="false">O21+P20</f>
        <v>-627271</v>
      </c>
      <c r="Q21" s="11" t="n">
        <f aca="false">P21+Q20</f>
        <v>-668986</v>
      </c>
      <c r="R21" s="11" t="n">
        <f aca="false">Q21+R20</f>
        <v>-710021</v>
      </c>
      <c r="S21" s="11" t="n">
        <f aca="false">R21+S20</f>
        <v>-750126</v>
      </c>
    </row>
    <row r="23" customFormat="false" ht="42" hidden="false" customHeight="true" outlineLevel="0" collapsed="false">
      <c r="A23" s="8" t="s">
        <v>458</v>
      </c>
      <c r="B23" s="8"/>
      <c r="C23" s="8"/>
      <c r="D23" s="8"/>
      <c r="E23" s="8"/>
      <c r="F23" s="8"/>
      <c r="G23" s="8"/>
      <c r="H23" s="8"/>
      <c r="I23" s="8"/>
      <c r="J23" s="8"/>
      <c r="K23" s="8"/>
      <c r="L23" s="8"/>
      <c r="M23" s="8"/>
      <c r="N23" s="8"/>
      <c r="O23" s="8"/>
      <c r="P23" s="8"/>
      <c r="Q23" s="8"/>
      <c r="R23" s="8"/>
      <c r="S23" s="8"/>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459</v>
      </c>
    </row>
    <row r="3" customFormat="false" ht="15" hidden="false" customHeight="true" outlineLevel="0" collapsed="false">
      <c r="A3" s="3" t="s">
        <v>460</v>
      </c>
      <c r="B3" s="3" t="s">
        <v>461</v>
      </c>
      <c r="C3" s="3" t="s">
        <v>462</v>
      </c>
      <c r="D3" s="3" t="s">
        <v>463</v>
      </c>
    </row>
    <row r="4" customFormat="false" ht="25.5" hidden="false" customHeight="true" outlineLevel="0" collapsed="false">
      <c r="A4" s="4" t="s">
        <v>464</v>
      </c>
      <c r="B4" s="4" t="s">
        <v>465</v>
      </c>
      <c r="C4" s="4" t="s">
        <v>466</v>
      </c>
      <c r="D4" s="4" t="s">
        <v>294</v>
      </c>
    </row>
    <row r="5" customFormat="false" ht="25.5" hidden="false" customHeight="true" outlineLevel="0" collapsed="false">
      <c r="A5" s="4" t="s">
        <v>464</v>
      </c>
      <c r="B5" s="4" t="s">
        <v>467</v>
      </c>
      <c r="C5" s="4" t="s">
        <v>468</v>
      </c>
      <c r="D5" s="4" t="s">
        <v>251</v>
      </c>
    </row>
    <row r="6" customFormat="false" ht="25.5" hidden="false" customHeight="true" outlineLevel="0" collapsed="false">
      <c r="A6" s="4" t="s">
        <v>464</v>
      </c>
      <c r="B6" s="4" t="s">
        <v>469</v>
      </c>
      <c r="C6" s="4" t="s">
        <v>466</v>
      </c>
      <c r="D6" s="4" t="s">
        <v>251</v>
      </c>
    </row>
    <row r="7" customFormat="false" ht="25.5" hidden="false" customHeight="true" outlineLevel="0" collapsed="false">
      <c r="A7" s="4" t="s">
        <v>464</v>
      </c>
      <c r="B7" s="4" t="s">
        <v>470</v>
      </c>
      <c r="C7" s="4" t="s">
        <v>468</v>
      </c>
      <c r="D7" s="4" t="s">
        <v>312</v>
      </c>
    </row>
    <row r="8" customFormat="false" ht="25.5" hidden="false" customHeight="true" outlineLevel="0" collapsed="false">
      <c r="A8" s="4" t="s">
        <v>464</v>
      </c>
      <c r="B8" s="4" t="s">
        <v>471</v>
      </c>
      <c r="C8" s="4" t="s">
        <v>472</v>
      </c>
      <c r="D8" s="4" t="s">
        <v>312</v>
      </c>
    </row>
    <row r="9" customFormat="false" ht="25.5" hidden="false" customHeight="true" outlineLevel="0" collapsed="false">
      <c r="A9" s="4" t="s">
        <v>414</v>
      </c>
      <c r="B9" s="4" t="s">
        <v>473</v>
      </c>
      <c r="C9" s="4" t="s">
        <v>468</v>
      </c>
      <c r="D9" s="4" t="s">
        <v>345</v>
      </c>
    </row>
    <row r="10" customFormat="false" ht="25.5" hidden="false" customHeight="true" outlineLevel="0" collapsed="false">
      <c r="A10" s="4" t="s">
        <v>414</v>
      </c>
      <c r="B10" s="4" t="s">
        <v>474</v>
      </c>
      <c r="C10" s="4" t="s">
        <v>466</v>
      </c>
      <c r="D10" s="4" t="s">
        <v>345</v>
      </c>
    </row>
    <row r="11" customFormat="false" ht="25.5" hidden="false" customHeight="true" outlineLevel="0" collapsed="false">
      <c r="A11" s="4" t="s">
        <v>414</v>
      </c>
      <c r="B11" s="4" t="s">
        <v>475</v>
      </c>
      <c r="C11" s="4" t="s">
        <v>466</v>
      </c>
      <c r="D11" s="4" t="s">
        <v>345</v>
      </c>
    </row>
    <row r="12" customFormat="false" ht="25.5" hidden="false" customHeight="true" outlineLevel="0" collapsed="false">
      <c r="A12" s="4" t="s">
        <v>414</v>
      </c>
      <c r="B12" s="4" t="s">
        <v>476</v>
      </c>
      <c r="C12" s="4" t="s">
        <v>477</v>
      </c>
      <c r="D12" s="4" t="s">
        <v>345</v>
      </c>
    </row>
    <row r="13" customFormat="false" ht="25.5" hidden="false" customHeight="true" outlineLevel="0" collapsed="false">
      <c r="A13" s="4" t="s">
        <v>478</v>
      </c>
      <c r="B13" s="4" t="s">
        <v>479</v>
      </c>
      <c r="C13" s="4" t="s">
        <v>468</v>
      </c>
      <c r="D13" s="4" t="s">
        <v>383</v>
      </c>
    </row>
    <row r="14" customFormat="false" ht="25.5" hidden="false" customHeight="true" outlineLevel="0" collapsed="false">
      <c r="A14" s="4" t="s">
        <v>478</v>
      </c>
      <c r="B14" s="4" t="s">
        <v>480</v>
      </c>
      <c r="C14" s="4" t="s">
        <v>468</v>
      </c>
      <c r="D14" s="4" t="s">
        <v>383</v>
      </c>
    </row>
    <row r="15" customFormat="false" ht="25.5" hidden="false" customHeight="true" outlineLevel="0" collapsed="false">
      <c r="A15" s="4" t="s">
        <v>478</v>
      </c>
      <c r="B15" s="4" t="s">
        <v>481</v>
      </c>
      <c r="C15" s="4" t="s">
        <v>466</v>
      </c>
      <c r="D15" s="4" t="s">
        <v>482</v>
      </c>
    </row>
    <row r="16" customFormat="false" ht="25.5" hidden="false" customHeight="true" outlineLevel="0" collapsed="false">
      <c r="A16" s="4" t="s">
        <v>478</v>
      </c>
      <c r="B16" s="4" t="s">
        <v>483</v>
      </c>
      <c r="C16" s="4" t="s">
        <v>468</v>
      </c>
      <c r="D16" s="4" t="s">
        <v>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12"/>
  </cols>
  <sheetData>
    <row r="1" customFormat="false" ht="17.25" hidden="false" customHeight="true" outlineLevel="0" collapsed="false">
      <c r="A1" s="2" t="s">
        <v>484</v>
      </c>
    </row>
    <row r="3" customFormat="false" ht="15" hidden="false" customHeight="true" outlineLevel="0" collapsed="false">
      <c r="A3" s="3" t="s">
        <v>104</v>
      </c>
      <c r="B3" s="3" t="s">
        <v>485</v>
      </c>
      <c r="C3" s="3" t="s">
        <v>5</v>
      </c>
    </row>
    <row r="4" customFormat="false" ht="25.5" hidden="false" customHeight="true" outlineLevel="0" collapsed="false">
      <c r="A4" s="4" t="n">
        <v>1</v>
      </c>
      <c r="B4" s="4" t="s">
        <v>486</v>
      </c>
      <c r="C4" s="4" t="s">
        <v>487</v>
      </c>
    </row>
    <row r="5" customFormat="false" ht="25.5" hidden="false" customHeight="true" outlineLevel="0" collapsed="false">
      <c r="A5" s="4" t="n">
        <v>2</v>
      </c>
      <c r="B5" s="4" t="s">
        <v>488</v>
      </c>
      <c r="C5" s="4" t="s">
        <v>489</v>
      </c>
    </row>
    <row r="6" customFormat="false" ht="25.5" hidden="false" customHeight="true" outlineLevel="0" collapsed="false">
      <c r="A6" s="4" t="n">
        <v>3</v>
      </c>
      <c r="B6" s="4" t="s">
        <v>490</v>
      </c>
      <c r="C6" s="4" t="s">
        <v>491</v>
      </c>
    </row>
    <row r="7" customFormat="false" ht="25.5" hidden="false" customHeight="true" outlineLevel="0" collapsed="false">
      <c r="A7" s="4" t="n">
        <v>4</v>
      </c>
      <c r="B7" s="4" t="s">
        <v>492</v>
      </c>
      <c r="C7" s="4" t="s">
        <v>493</v>
      </c>
    </row>
    <row r="8" customFormat="false" ht="25.5" hidden="false" customHeight="true" outlineLevel="0" collapsed="false">
      <c r="A8" s="4" t="n">
        <v>5</v>
      </c>
      <c r="B8" s="4" t="s">
        <v>494</v>
      </c>
      <c r="C8" s="4" t="s">
        <v>487</v>
      </c>
    </row>
    <row r="9" customFormat="false" ht="25.5" hidden="false" customHeight="true" outlineLevel="0" collapsed="false">
      <c r="A9" s="4" t="n">
        <v>6</v>
      </c>
      <c r="B9" s="4" t="s">
        <v>495</v>
      </c>
      <c r="C9" s="4" t="s">
        <v>487</v>
      </c>
    </row>
    <row r="10" customFormat="false" ht="25.5" hidden="false" customHeight="true" outlineLevel="0" collapsed="false">
      <c r="A10" s="4" t="n">
        <v>7</v>
      </c>
      <c r="B10" s="4" t="s">
        <v>496</v>
      </c>
      <c r="C10" s="4" t="s">
        <v>487</v>
      </c>
    </row>
    <row r="11" customFormat="false" ht="25.5" hidden="false" customHeight="true" outlineLevel="0" collapsed="false">
      <c r="A11" s="4" t="n">
        <v>8</v>
      </c>
      <c r="B11" s="4" t="s">
        <v>497</v>
      </c>
      <c r="C11" s="4" t="s">
        <v>487</v>
      </c>
    </row>
    <row r="12" customFormat="false" ht="25.5" hidden="false" customHeight="true" outlineLevel="0" collapsed="false">
      <c r="A12" s="4" t="n">
        <v>9</v>
      </c>
      <c r="B12" s="4" t="s">
        <v>498</v>
      </c>
      <c r="C12" s="4" t="s">
        <v>499</v>
      </c>
    </row>
    <row r="13" customFormat="false" ht="25.5" hidden="false" customHeight="true" outlineLevel="0" collapsed="false">
      <c r="A13" s="4" t="n">
        <v>10</v>
      </c>
      <c r="B13" s="4" t="s">
        <v>500</v>
      </c>
      <c r="C13" s="4" t="s">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44"/>
  </cols>
  <sheetData>
    <row r="1" customFormat="false" ht="17.25" hidden="false" customHeight="true" outlineLevel="0" collapsed="false">
      <c r="A1" s="2" t="s">
        <v>501</v>
      </c>
    </row>
    <row r="3" customFormat="false" ht="15" hidden="false" customHeight="true" outlineLevel="0" collapsed="false">
      <c r="A3" s="3" t="s">
        <v>502</v>
      </c>
      <c r="B3" s="3" t="s">
        <v>433</v>
      </c>
      <c r="C3" s="3" t="s">
        <v>435</v>
      </c>
      <c r="D3" s="3" t="s">
        <v>438</v>
      </c>
      <c r="E3" s="3" t="s">
        <v>444</v>
      </c>
      <c r="F3" s="3" t="s">
        <v>503</v>
      </c>
    </row>
    <row r="4" customFormat="false" ht="25.5" hidden="false" customHeight="true" outlineLevel="0" collapsed="false">
      <c r="A4" s="5" t="s">
        <v>504</v>
      </c>
      <c r="B4" s="5" t="s">
        <v>505</v>
      </c>
      <c r="C4" s="5" t="s">
        <v>506</v>
      </c>
      <c r="D4" s="5" t="s">
        <v>507</v>
      </c>
      <c r="E4" s="5" t="s">
        <v>508</v>
      </c>
      <c r="F4" s="5" t="s">
        <v>509</v>
      </c>
    </row>
    <row r="5" customFormat="false" ht="25.5" hidden="false" customHeight="true" outlineLevel="0" collapsed="false">
      <c r="A5" s="5" t="s">
        <v>510</v>
      </c>
      <c r="B5" s="5" t="s">
        <v>511</v>
      </c>
      <c r="C5" s="5" t="s">
        <v>512</v>
      </c>
      <c r="D5" s="5" t="s">
        <v>513</v>
      </c>
      <c r="E5" s="5" t="s">
        <v>514</v>
      </c>
      <c r="F5" s="5" t="s">
        <v>515</v>
      </c>
    </row>
    <row r="6" customFormat="false" ht="25.5" hidden="false" customHeight="true" outlineLevel="0" collapsed="false">
      <c r="A6" s="5" t="s">
        <v>516</v>
      </c>
      <c r="B6" s="5" t="s">
        <v>517</v>
      </c>
      <c r="C6" s="5" t="s">
        <v>518</v>
      </c>
      <c r="D6" s="5" t="s">
        <v>519</v>
      </c>
      <c r="E6" s="5" t="s">
        <v>520</v>
      </c>
      <c r="F6" s="5" t="s">
        <v>521</v>
      </c>
    </row>
    <row r="7" customFormat="false" ht="25.5" hidden="false" customHeight="true" outlineLevel="0" collapsed="false">
      <c r="A7" s="5" t="s">
        <v>522</v>
      </c>
      <c r="B7" s="5" t="s">
        <v>523</v>
      </c>
      <c r="C7" s="5" t="s">
        <v>524</v>
      </c>
      <c r="D7" s="5" t="s">
        <v>525</v>
      </c>
      <c r="E7" s="5" t="s">
        <v>525</v>
      </c>
      <c r="F7" s="5" t="s">
        <v>526</v>
      </c>
    </row>
    <row r="8" customFormat="false" ht="25.5" hidden="false" customHeight="true" outlineLevel="0" collapsed="false">
      <c r="A8" s="5" t="s">
        <v>527</v>
      </c>
      <c r="B8" s="5" t="s">
        <v>528</v>
      </c>
      <c r="C8" s="5" t="s">
        <v>529</v>
      </c>
      <c r="D8" s="5" t="s">
        <v>530</v>
      </c>
      <c r="E8" s="5" t="s">
        <v>531</v>
      </c>
      <c r="F8" s="5" t="s">
        <v>532</v>
      </c>
    </row>
    <row r="9" customFormat="false" ht="25.5" hidden="false" customHeight="true" outlineLevel="0" collapsed="false">
      <c r="A9" s="5" t="s">
        <v>533</v>
      </c>
      <c r="B9" s="5" t="s">
        <v>534</v>
      </c>
      <c r="C9" s="5" t="s">
        <v>535</v>
      </c>
      <c r="D9" s="5" t="s">
        <v>536</v>
      </c>
      <c r="E9" s="5" t="s">
        <v>536</v>
      </c>
      <c r="F9" s="5" t="s">
        <v>537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538</v>
      </c>
    </row>
    <row r="3" customFormat="false" ht="15" hidden="false" customHeight="true" outlineLevel="0" collapsed="false">
      <c r="A3" s="3" t="s">
        <v>539</v>
      </c>
      <c r="B3" s="3" t="s">
        <v>540</v>
      </c>
      <c r="C3" s="3" t="s">
        <v>541</v>
      </c>
      <c r="D3" s="3" t="s">
        <v>542</v>
      </c>
    </row>
    <row r="4" customFormat="false" ht="30" hidden="false" customHeight="true" outlineLevel="0" collapsed="false">
      <c r="A4" s="4" t="s">
        <v>543</v>
      </c>
      <c r="B4" s="4" t="s">
        <v>544</v>
      </c>
      <c r="C4" s="4" t="s">
        <v>544</v>
      </c>
      <c r="D4" s="4" t="s">
        <v>545</v>
      </c>
    </row>
    <row r="5" customFormat="false" ht="30" hidden="false" customHeight="true" outlineLevel="0" collapsed="false">
      <c r="A5" s="4" t="s">
        <v>546</v>
      </c>
      <c r="B5" s="4" t="s">
        <v>544</v>
      </c>
      <c r="C5" s="4" t="s">
        <v>547</v>
      </c>
      <c r="D5" s="4" t="s">
        <v>548</v>
      </c>
    </row>
    <row r="6" customFormat="false" ht="30" hidden="false" customHeight="true" outlineLevel="0" collapsed="false">
      <c r="A6" s="4" t="s">
        <v>549</v>
      </c>
      <c r="B6" s="4" t="s">
        <v>544</v>
      </c>
      <c r="C6" s="4" t="s">
        <v>547</v>
      </c>
      <c r="D6" s="4" t="s">
        <v>550</v>
      </c>
    </row>
    <row r="7" customFormat="false" ht="359.25" hidden="false" customHeight="true" outlineLevel="0" collapsed="false">
      <c r="A7" s="4" t="s">
        <v>551</v>
      </c>
      <c r="B7" s="4" t="s">
        <v>552</v>
      </c>
      <c r="C7" s="4" t="s">
        <v>553</v>
      </c>
      <c r="D7" s="4" t="s">
        <v>554</v>
      </c>
    </row>
    <row r="8" customFormat="false" ht="258.75" hidden="false" customHeight="true" outlineLevel="0" collapsed="false">
      <c r="A8" s="4" t="s">
        <v>555</v>
      </c>
      <c r="B8" s="4" t="s">
        <v>556</v>
      </c>
      <c r="C8" s="4" t="s">
        <v>553</v>
      </c>
      <c r="D8" s="4" t="s">
        <v>557</v>
      </c>
    </row>
    <row r="9" customFormat="false" ht="404.25" hidden="false" customHeight="true" outlineLevel="0" collapsed="false">
      <c r="A9" s="4" t="s">
        <v>558</v>
      </c>
      <c r="B9" s="4" t="s">
        <v>559</v>
      </c>
      <c r="C9" s="4" t="s">
        <v>553</v>
      </c>
      <c r="D9" s="4" t="s">
        <v>560</v>
      </c>
    </row>
    <row r="10" customFormat="false" ht="370.5" hidden="false" customHeight="true" outlineLevel="0" collapsed="false">
      <c r="A10" s="4" t="s">
        <v>561</v>
      </c>
      <c r="B10" s="4" t="s">
        <v>562</v>
      </c>
      <c r="C10" s="4" t="s">
        <v>563</v>
      </c>
      <c r="D10" s="4" t="s">
        <v>564</v>
      </c>
    </row>
    <row r="11" customFormat="false" ht="325.5" hidden="false" customHeight="true" outlineLevel="0" collapsed="false">
      <c r="A11" s="4" t="s">
        <v>565</v>
      </c>
      <c r="B11" s="4" t="s">
        <v>566</v>
      </c>
      <c r="C11" s="4" t="s">
        <v>563</v>
      </c>
      <c r="D11" s="4" t="s">
        <v>567</v>
      </c>
    </row>
    <row r="12" customFormat="false" ht="381.75" hidden="false" customHeight="true" outlineLevel="0" collapsed="false">
      <c r="A12" s="4" t="s">
        <v>568</v>
      </c>
      <c r="B12" s="4" t="s">
        <v>569</v>
      </c>
      <c r="C12" s="4" t="s">
        <v>563</v>
      </c>
      <c r="D12" s="4" t="s">
        <v>570</v>
      </c>
    </row>
    <row r="13" customFormat="false" ht="191.75" hidden="false" customHeight="false" outlineLevel="0" collapsed="false">
      <c r="A13" s="4" t="s">
        <v>571</v>
      </c>
      <c r="B13" s="4" t="s">
        <v>572</v>
      </c>
      <c r="C13" s="4" t="s">
        <v>553</v>
      </c>
      <c r="D13" s="4" t="s">
        <v>573</v>
      </c>
    </row>
    <row r="14" customFormat="false" ht="270.1" hidden="false" customHeight="false" outlineLevel="0" collapsed="false">
      <c r="A14" s="4" t="s">
        <v>574</v>
      </c>
      <c r="B14" s="4" t="s">
        <v>575</v>
      </c>
      <c r="C14" s="4" t="s">
        <v>576</v>
      </c>
      <c r="D14" s="4" t="s">
        <v>577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7"/>
    <col collapsed="false" customWidth="true" hidden="false" outlineLevel="0" max="3" min="3" style="1" width="7"/>
    <col collapsed="false" customWidth="true" hidden="false" outlineLevel="0" max="4" min="4" style="1" width="72"/>
    <col collapsed="false" customWidth="true" hidden="false" outlineLevel="0" max="5" min="5" style="1" width="26"/>
    <col collapsed="false" customWidth="true" hidden="false" outlineLevel="0" max="7" min="6" style="1" width="30"/>
    <col collapsed="false" customWidth="true" hidden="false" outlineLevel="0" max="8" min="8" style="1" width="16"/>
  </cols>
  <sheetData>
    <row r="1" customFormat="false" ht="15" hidden="false" customHeight="true" outlineLevel="0" collapsed="false">
      <c r="A1" s="12" t="s">
        <v>578</v>
      </c>
    </row>
    <row r="2" customFormat="false" ht="15" hidden="false" customHeight="true" outlineLevel="0" collapsed="false">
      <c r="A2" s="13" t="s">
        <v>579</v>
      </c>
    </row>
    <row r="3" customFormat="false" ht="15" hidden="false" customHeight="true" outlineLevel="0" collapsed="false">
      <c r="A3" s="14" t="s">
        <v>149</v>
      </c>
      <c r="B3" s="14" t="s">
        <v>580</v>
      </c>
      <c r="C3" s="14" t="s">
        <v>154</v>
      </c>
      <c r="D3" s="14" t="s">
        <v>581</v>
      </c>
      <c r="E3" s="14" t="s">
        <v>582</v>
      </c>
      <c r="F3" s="14" t="s">
        <v>583</v>
      </c>
      <c r="G3" s="14" t="s">
        <v>584</v>
      </c>
      <c r="H3" s="14" t="s">
        <v>585</v>
      </c>
    </row>
    <row r="4" customFormat="false" ht="45.75" hidden="false" customHeight="true" outlineLevel="0" collapsed="false">
      <c r="A4" s="6" t="s">
        <v>586</v>
      </c>
      <c r="B4" s="6" t="s">
        <v>15</v>
      </c>
      <c r="C4" s="6" t="s">
        <v>587</v>
      </c>
      <c r="D4" s="6" t="s">
        <v>588</v>
      </c>
      <c r="E4" s="6" t="s">
        <v>589</v>
      </c>
      <c r="F4" s="6" t="s">
        <v>590</v>
      </c>
      <c r="G4" s="6" t="s">
        <v>591</v>
      </c>
      <c r="H4" s="6" t="s">
        <v>592</v>
      </c>
    </row>
    <row r="5" customFormat="false" ht="45.75" hidden="false" customHeight="true" outlineLevel="0" collapsed="false">
      <c r="A5" s="6" t="s">
        <v>593</v>
      </c>
      <c r="B5" s="6" t="s">
        <v>15</v>
      </c>
      <c r="C5" s="6" t="s">
        <v>273</v>
      </c>
      <c r="D5" s="6" t="s">
        <v>594</v>
      </c>
      <c r="E5" s="6" t="s">
        <v>595</v>
      </c>
      <c r="F5" s="6" t="s">
        <v>596</v>
      </c>
      <c r="G5" s="6" t="s">
        <v>597</v>
      </c>
      <c r="H5" s="6" t="s">
        <v>598</v>
      </c>
    </row>
    <row r="6" customFormat="false" ht="45.75" hidden="false" customHeight="true" outlineLevel="0" collapsed="false">
      <c r="A6" s="6" t="s">
        <v>598</v>
      </c>
      <c r="B6" s="6" t="s">
        <v>15</v>
      </c>
      <c r="C6" s="6" t="s">
        <v>159</v>
      </c>
      <c r="D6" s="6" t="s">
        <v>599</v>
      </c>
      <c r="E6" s="6" t="s">
        <v>600</v>
      </c>
      <c r="F6" s="6" t="s">
        <v>601</v>
      </c>
      <c r="G6" s="6" t="s">
        <v>591</v>
      </c>
      <c r="H6" s="6" t="s">
        <v>602</v>
      </c>
    </row>
    <row r="7" customFormat="false" ht="45.75" hidden="false" customHeight="true" outlineLevel="0" collapsed="false">
      <c r="A7" s="6" t="s">
        <v>602</v>
      </c>
      <c r="B7" s="6" t="s">
        <v>15</v>
      </c>
      <c r="C7" s="6" t="s">
        <v>170</v>
      </c>
      <c r="D7" s="6" t="s">
        <v>603</v>
      </c>
      <c r="E7" s="6" t="s">
        <v>604</v>
      </c>
      <c r="F7" s="6" t="s">
        <v>605</v>
      </c>
      <c r="G7" s="6" t="s">
        <v>591</v>
      </c>
      <c r="H7" s="6" t="s">
        <v>606</v>
      </c>
    </row>
    <row r="8" customFormat="false" ht="34.5" hidden="false" customHeight="true" outlineLevel="0" collapsed="false">
      <c r="A8" s="6" t="s">
        <v>606</v>
      </c>
      <c r="B8" s="6" t="s">
        <v>15</v>
      </c>
      <c r="C8" s="6" t="s">
        <v>193</v>
      </c>
      <c r="D8" s="6" t="s">
        <v>607</v>
      </c>
      <c r="E8" s="6" t="s">
        <v>608</v>
      </c>
      <c r="F8" s="6" t="s">
        <v>609</v>
      </c>
      <c r="G8" s="6" t="s">
        <v>591</v>
      </c>
      <c r="H8" s="6" t="s">
        <v>610</v>
      </c>
    </row>
    <row r="9" customFormat="false" ht="34.5" hidden="false" customHeight="true" outlineLevel="0" collapsed="false">
      <c r="A9" s="6" t="s">
        <v>610</v>
      </c>
      <c r="B9" s="6" t="s">
        <v>15</v>
      </c>
      <c r="C9" s="6" t="s">
        <v>207</v>
      </c>
      <c r="D9" s="6" t="s">
        <v>611</v>
      </c>
      <c r="E9" s="6" t="s">
        <v>612</v>
      </c>
      <c r="F9" s="6" t="s">
        <v>613</v>
      </c>
      <c r="G9" s="6" t="s">
        <v>614</v>
      </c>
      <c r="H9" s="6" t="s">
        <v>615</v>
      </c>
    </row>
    <row r="10" customFormat="false" ht="45.75" hidden="false" customHeight="true" outlineLevel="0" collapsed="false">
      <c r="A10" s="6" t="s">
        <v>615</v>
      </c>
      <c r="B10" s="6" t="s">
        <v>15</v>
      </c>
      <c r="C10" s="6" t="s">
        <v>229</v>
      </c>
      <c r="D10" s="6" t="s">
        <v>616</v>
      </c>
      <c r="E10" s="6" t="s">
        <v>617</v>
      </c>
      <c r="F10" s="6" t="s">
        <v>618</v>
      </c>
      <c r="G10" s="6" t="s">
        <v>619</v>
      </c>
      <c r="H10" s="6" t="s">
        <v>620</v>
      </c>
    </row>
    <row r="11" customFormat="false" ht="34.5" hidden="false" customHeight="true" outlineLevel="0" collapsed="false">
      <c r="A11" s="6" t="s">
        <v>620</v>
      </c>
      <c r="B11" s="6" t="s">
        <v>15</v>
      </c>
      <c r="C11" s="6" t="s">
        <v>294</v>
      </c>
      <c r="D11" s="6" t="s">
        <v>621</v>
      </c>
      <c r="E11" s="6" t="s">
        <v>622</v>
      </c>
      <c r="F11" s="6" t="s">
        <v>623</v>
      </c>
      <c r="G11" s="6" t="s">
        <v>591</v>
      </c>
      <c r="H11" s="6" t="s">
        <v>624</v>
      </c>
    </row>
    <row r="12" customFormat="false" ht="79.5" hidden="false" customHeight="true" outlineLevel="0" collapsed="false">
      <c r="A12" s="6" t="s">
        <v>624</v>
      </c>
      <c r="B12" s="6" t="s">
        <v>15</v>
      </c>
      <c r="C12" s="6" t="s">
        <v>251</v>
      </c>
      <c r="D12" s="6" t="s">
        <v>625</v>
      </c>
      <c r="E12" s="6" t="s">
        <v>626</v>
      </c>
      <c r="F12" s="6" t="s">
        <v>627</v>
      </c>
      <c r="G12" s="6" t="s">
        <v>628</v>
      </c>
      <c r="H12" s="6" t="s">
        <v>629</v>
      </c>
    </row>
    <row r="13" customFormat="false" ht="34.5" hidden="false" customHeight="true" outlineLevel="0" collapsed="false">
      <c r="A13" s="6" t="s">
        <v>629</v>
      </c>
      <c r="B13" s="6" t="s">
        <v>15</v>
      </c>
      <c r="C13" s="6" t="s">
        <v>587</v>
      </c>
      <c r="D13" s="6" t="s">
        <v>630</v>
      </c>
      <c r="E13" s="6" t="s">
        <v>631</v>
      </c>
      <c r="F13" s="6" t="s">
        <v>632</v>
      </c>
      <c r="G13" s="6" t="s">
        <v>591</v>
      </c>
      <c r="H13" s="6" t="s">
        <v>633</v>
      </c>
    </row>
    <row r="14" customFormat="false" ht="34.5" hidden="false" customHeight="true" outlineLevel="0" collapsed="false">
      <c r="A14" s="6" t="s">
        <v>633</v>
      </c>
      <c r="B14" s="6" t="s">
        <v>15</v>
      </c>
      <c r="C14" s="6" t="s">
        <v>587</v>
      </c>
      <c r="D14" s="6" t="s">
        <v>634</v>
      </c>
      <c r="E14" s="6" t="s">
        <v>635</v>
      </c>
      <c r="F14" s="6" t="s">
        <v>636</v>
      </c>
      <c r="G14" s="6" t="s">
        <v>637</v>
      </c>
      <c r="H14" s="6" t="s">
        <v>638</v>
      </c>
    </row>
    <row r="15" customFormat="false" ht="23.25" hidden="false" customHeight="true" outlineLevel="0" collapsed="false">
      <c r="A15" s="6" t="s">
        <v>639</v>
      </c>
      <c r="B15" s="6" t="s">
        <v>18</v>
      </c>
      <c r="C15" s="6" t="s">
        <v>587</v>
      </c>
      <c r="D15" s="6" t="s">
        <v>640</v>
      </c>
      <c r="E15" s="6" t="s">
        <v>635</v>
      </c>
      <c r="F15" s="6" t="s">
        <v>641</v>
      </c>
      <c r="G15" s="6" t="s">
        <v>591</v>
      </c>
      <c r="H15" s="6" t="s">
        <v>642</v>
      </c>
    </row>
    <row r="16" customFormat="false" ht="79.5" hidden="false" customHeight="true" outlineLevel="0" collapsed="false">
      <c r="A16" s="6" t="s">
        <v>642</v>
      </c>
      <c r="B16" s="6" t="s">
        <v>18</v>
      </c>
      <c r="C16" s="6" t="s">
        <v>312</v>
      </c>
      <c r="D16" s="6" t="s">
        <v>643</v>
      </c>
      <c r="E16" s="6" t="s">
        <v>644</v>
      </c>
      <c r="F16" s="6" t="s">
        <v>645</v>
      </c>
      <c r="G16" s="6" t="s">
        <v>646</v>
      </c>
      <c r="H16" s="6" t="s">
        <v>647</v>
      </c>
    </row>
    <row r="17" customFormat="false" ht="79.5" hidden="false" customHeight="true" outlineLevel="0" collapsed="false">
      <c r="A17" s="6" t="s">
        <v>647</v>
      </c>
      <c r="B17" s="6" t="s">
        <v>18</v>
      </c>
      <c r="C17" s="6" t="s">
        <v>587</v>
      </c>
      <c r="D17" s="6" t="s">
        <v>648</v>
      </c>
      <c r="E17" s="6" t="s">
        <v>649</v>
      </c>
      <c r="F17" s="6" t="s">
        <v>650</v>
      </c>
      <c r="G17" s="6" t="s">
        <v>651</v>
      </c>
      <c r="H17" s="6" t="s">
        <v>652</v>
      </c>
    </row>
    <row r="18" customFormat="false" ht="57" hidden="false" customHeight="true" outlineLevel="0" collapsed="false">
      <c r="A18" s="6" t="s">
        <v>652</v>
      </c>
      <c r="B18" s="6" t="s">
        <v>18</v>
      </c>
      <c r="C18" s="6" t="s">
        <v>587</v>
      </c>
      <c r="D18" s="6" t="s">
        <v>653</v>
      </c>
      <c r="E18" s="6" t="s">
        <v>631</v>
      </c>
      <c r="F18" s="6" t="s">
        <v>654</v>
      </c>
      <c r="G18" s="6" t="s">
        <v>637</v>
      </c>
      <c r="H18" s="6" t="s">
        <v>655</v>
      </c>
    </row>
    <row r="19" customFormat="false" ht="15" hidden="false" customHeight="true" outlineLevel="0" collapsed="false">
      <c r="A19" s="6" t="s">
        <v>656</v>
      </c>
      <c r="B19" s="6" t="s">
        <v>21</v>
      </c>
      <c r="C19" s="6" t="s">
        <v>587</v>
      </c>
      <c r="D19" s="6" t="s">
        <v>657</v>
      </c>
      <c r="E19" s="6" t="s">
        <v>635</v>
      </c>
      <c r="F19" s="6" t="s">
        <v>658</v>
      </c>
      <c r="G19" s="6" t="s">
        <v>591</v>
      </c>
      <c r="H19" s="6" t="s">
        <v>659</v>
      </c>
    </row>
    <row r="20" customFormat="false" ht="124.5" hidden="false" customHeight="true" outlineLevel="0" collapsed="false">
      <c r="A20" s="6" t="s">
        <v>659</v>
      </c>
      <c r="B20" s="6" t="s">
        <v>21</v>
      </c>
      <c r="C20" s="6" t="s">
        <v>340</v>
      </c>
      <c r="D20" s="6" t="s">
        <v>660</v>
      </c>
      <c r="E20" s="6" t="s">
        <v>661</v>
      </c>
      <c r="F20" s="6" t="s">
        <v>662</v>
      </c>
      <c r="G20" s="6" t="s">
        <v>663</v>
      </c>
      <c r="H20" s="6" t="s">
        <v>664</v>
      </c>
    </row>
    <row r="21" customFormat="false" ht="57" hidden="false" customHeight="true" outlineLevel="0" collapsed="false">
      <c r="A21" s="6" t="s">
        <v>664</v>
      </c>
      <c r="B21" s="6" t="s">
        <v>21</v>
      </c>
      <c r="C21" s="6" t="s">
        <v>587</v>
      </c>
      <c r="D21" s="6" t="s">
        <v>665</v>
      </c>
      <c r="E21" s="6" t="s">
        <v>631</v>
      </c>
      <c r="F21" s="6" t="s">
        <v>666</v>
      </c>
      <c r="G21" s="6" t="s">
        <v>667</v>
      </c>
      <c r="H21" s="6" t="s">
        <v>668</v>
      </c>
    </row>
    <row r="22" customFormat="false" ht="15" hidden="false" customHeight="true" outlineLevel="0" collapsed="false">
      <c r="A22" s="6" t="s">
        <v>669</v>
      </c>
      <c r="B22" s="6" t="s">
        <v>24</v>
      </c>
      <c r="C22" s="6" t="s">
        <v>587</v>
      </c>
      <c r="D22" s="6" t="s">
        <v>670</v>
      </c>
      <c r="E22" s="6" t="s">
        <v>635</v>
      </c>
      <c r="F22" s="6" t="s">
        <v>671</v>
      </c>
      <c r="G22" s="6" t="s">
        <v>591</v>
      </c>
      <c r="H22" s="6" t="s">
        <v>672</v>
      </c>
    </row>
    <row r="23" customFormat="false" ht="90.75" hidden="false" customHeight="true" outlineLevel="0" collapsed="false">
      <c r="A23" s="6" t="s">
        <v>672</v>
      </c>
      <c r="B23" s="6" t="s">
        <v>24</v>
      </c>
      <c r="C23" s="6" t="s">
        <v>345</v>
      </c>
      <c r="D23" s="6" t="s">
        <v>673</v>
      </c>
      <c r="E23" s="6" t="s">
        <v>674</v>
      </c>
      <c r="F23" s="6" t="s">
        <v>675</v>
      </c>
      <c r="G23" s="6" t="s">
        <v>676</v>
      </c>
      <c r="H23" s="6" t="s">
        <v>677</v>
      </c>
    </row>
    <row r="24" customFormat="false" ht="57" hidden="false" customHeight="true" outlineLevel="0" collapsed="false">
      <c r="A24" s="6" t="s">
        <v>677</v>
      </c>
      <c r="B24" s="6" t="s">
        <v>24</v>
      </c>
      <c r="C24" s="6" t="s">
        <v>383</v>
      </c>
      <c r="D24" s="6" t="s">
        <v>678</v>
      </c>
      <c r="E24" s="6" t="s">
        <v>381</v>
      </c>
      <c r="F24" s="6" t="s">
        <v>679</v>
      </c>
      <c r="G24" s="6" t="s">
        <v>680</v>
      </c>
      <c r="H24" s="6" t="s">
        <v>681</v>
      </c>
    </row>
    <row r="25" customFormat="false" ht="102" hidden="false" customHeight="true" outlineLevel="0" collapsed="false">
      <c r="A25" s="6" t="s">
        <v>681</v>
      </c>
      <c r="B25" s="6" t="s">
        <v>24</v>
      </c>
      <c r="C25" s="6" t="s">
        <v>587</v>
      </c>
      <c r="D25" s="6" t="s">
        <v>682</v>
      </c>
      <c r="E25" s="6" t="s">
        <v>683</v>
      </c>
      <c r="F25" s="6" t="s">
        <v>684</v>
      </c>
      <c r="G25" s="6" t="s">
        <v>685</v>
      </c>
      <c r="H25" s="6" t="s">
        <v>686</v>
      </c>
    </row>
    <row r="26" customFormat="false" ht="45.75" hidden="false" customHeight="true" outlineLevel="0" collapsed="false">
      <c r="A26" s="6" t="s">
        <v>687</v>
      </c>
      <c r="B26" s="6" t="s">
        <v>27</v>
      </c>
      <c r="C26" s="6" t="s">
        <v>587</v>
      </c>
      <c r="D26" s="6" t="s">
        <v>688</v>
      </c>
      <c r="E26" s="6" t="s">
        <v>689</v>
      </c>
      <c r="F26" s="6" t="s">
        <v>690</v>
      </c>
      <c r="G26" s="6" t="s">
        <v>591</v>
      </c>
      <c r="H26" s="6" t="s">
        <v>691</v>
      </c>
    </row>
    <row r="27" customFormat="false" ht="147" hidden="false" customHeight="true" outlineLevel="0" collapsed="false">
      <c r="A27" s="6" t="s">
        <v>691</v>
      </c>
      <c r="B27" s="6" t="s">
        <v>27</v>
      </c>
      <c r="C27" s="6" t="s">
        <v>587</v>
      </c>
      <c r="D27" s="6" t="s">
        <v>692</v>
      </c>
      <c r="E27" s="6" t="s">
        <v>693</v>
      </c>
      <c r="F27" s="6" t="s">
        <v>694</v>
      </c>
      <c r="G27" s="6" t="s">
        <v>695</v>
      </c>
      <c r="H27" s="6" t="s">
        <v>696</v>
      </c>
    </row>
    <row r="28" customFormat="false" ht="79.5" hidden="false" customHeight="true" outlineLevel="0" collapsed="false">
      <c r="A28" s="6" t="s">
        <v>696</v>
      </c>
      <c r="B28" s="6" t="s">
        <v>27</v>
      </c>
      <c r="C28" s="6" t="s">
        <v>587</v>
      </c>
      <c r="D28" s="6" t="s">
        <v>697</v>
      </c>
      <c r="E28" s="6" t="s">
        <v>631</v>
      </c>
      <c r="F28" s="6" t="s">
        <v>698</v>
      </c>
      <c r="G28" s="6" t="s">
        <v>685</v>
      </c>
      <c r="H28" s="6" t="s">
        <v>11</v>
      </c>
    </row>
    <row r="29" customFormat="false" ht="45.75" hidden="false" customHeight="true" outlineLevel="0" collapsed="false">
      <c r="A29" s="6" t="s">
        <v>699</v>
      </c>
      <c r="B29" s="6" t="s">
        <v>30</v>
      </c>
      <c r="C29" s="6" t="s">
        <v>587</v>
      </c>
      <c r="D29" s="6" t="s">
        <v>700</v>
      </c>
      <c r="E29" s="6" t="s">
        <v>631</v>
      </c>
      <c r="F29" s="6" t="s">
        <v>701</v>
      </c>
      <c r="G29" s="6" t="s">
        <v>591</v>
      </c>
      <c r="H29" s="6" t="s">
        <v>702</v>
      </c>
    </row>
    <row r="30" customFormat="false" ht="113.25" hidden="false" customHeight="true" outlineLevel="0" collapsed="false">
      <c r="A30" s="6" t="s">
        <v>702</v>
      </c>
      <c r="B30" s="6" t="s">
        <v>30</v>
      </c>
      <c r="C30" s="6" t="s">
        <v>587</v>
      </c>
      <c r="D30" s="6" t="s">
        <v>703</v>
      </c>
      <c r="E30" s="6" t="s">
        <v>704</v>
      </c>
      <c r="F30" s="6" t="s">
        <v>705</v>
      </c>
      <c r="G30" s="6" t="s">
        <v>706</v>
      </c>
      <c r="H30" s="6" t="s">
        <v>707</v>
      </c>
    </row>
    <row r="31" customFormat="false" ht="79.5" hidden="false" customHeight="true" outlineLevel="0" collapsed="false">
      <c r="A31" s="6" t="s">
        <v>707</v>
      </c>
      <c r="B31" s="6" t="s">
        <v>30</v>
      </c>
      <c r="C31" s="6" t="s">
        <v>587</v>
      </c>
      <c r="D31" s="6" t="s">
        <v>708</v>
      </c>
      <c r="E31" s="6" t="s">
        <v>631</v>
      </c>
      <c r="F31" s="6" t="s">
        <v>709</v>
      </c>
      <c r="G31" s="6" t="s">
        <v>710</v>
      </c>
      <c r="H31" s="6" t="s">
        <v>14</v>
      </c>
    </row>
    <row r="32" customFormat="false" ht="54.75" hidden="false" customHeight="true" outlineLevel="0" collapsed="false">
      <c r="A32" s="7" t="s">
        <v>711</v>
      </c>
      <c r="B32" s="7" t="s">
        <v>35</v>
      </c>
      <c r="C32" s="7" t="s">
        <v>587</v>
      </c>
      <c r="D32" s="7" t="s">
        <v>712</v>
      </c>
      <c r="E32" s="7" t="s">
        <v>631</v>
      </c>
      <c r="F32" s="7" t="s">
        <v>713</v>
      </c>
      <c r="G32" s="7" t="s">
        <v>591</v>
      </c>
      <c r="H32" s="7" t="s">
        <v>714</v>
      </c>
    </row>
    <row r="33" customFormat="false" ht="95.25" hidden="false" customHeight="true" outlineLevel="0" collapsed="false">
      <c r="A33" s="7" t="s">
        <v>714</v>
      </c>
      <c r="B33" s="7" t="s">
        <v>35</v>
      </c>
      <c r="C33" s="7" t="s">
        <v>587</v>
      </c>
      <c r="D33" s="7" t="s">
        <v>715</v>
      </c>
      <c r="E33" s="7" t="s">
        <v>716</v>
      </c>
      <c r="F33" s="7" t="s">
        <v>717</v>
      </c>
      <c r="G33" s="7" t="s">
        <v>718</v>
      </c>
      <c r="H33" s="7" t="s">
        <v>719</v>
      </c>
    </row>
    <row r="34" customFormat="false" ht="95.25" hidden="false" customHeight="true" outlineLevel="0" collapsed="false">
      <c r="A34" s="7" t="s">
        <v>719</v>
      </c>
      <c r="B34" s="7" t="s">
        <v>35</v>
      </c>
      <c r="C34" s="7" t="s">
        <v>587</v>
      </c>
      <c r="D34" s="7" t="s">
        <v>720</v>
      </c>
      <c r="E34" s="7" t="s">
        <v>721</v>
      </c>
      <c r="F34" s="7" t="s">
        <v>722</v>
      </c>
      <c r="G34" s="7" t="s">
        <v>723</v>
      </c>
      <c r="H34" s="7" t="s">
        <v>724</v>
      </c>
    </row>
    <row r="35" customFormat="false" ht="68.25" hidden="false" customHeight="true" outlineLevel="0" collapsed="false">
      <c r="A35" s="7" t="s">
        <v>724</v>
      </c>
      <c r="B35" s="7" t="s">
        <v>35</v>
      </c>
      <c r="C35" s="7" t="s">
        <v>587</v>
      </c>
      <c r="D35" s="7" t="s">
        <v>725</v>
      </c>
      <c r="E35" s="7" t="s">
        <v>631</v>
      </c>
      <c r="F35" s="7" t="s">
        <v>726</v>
      </c>
      <c r="G35" s="7" t="s">
        <v>685</v>
      </c>
      <c r="H35" s="7" t="s">
        <v>17</v>
      </c>
    </row>
    <row r="36" customFormat="false" ht="162" hidden="false" customHeight="true" outlineLevel="0" collapsed="false">
      <c r="A36" s="7" t="s">
        <v>727</v>
      </c>
      <c r="B36" s="7"/>
      <c r="C36" s="7"/>
      <c r="D36" s="7"/>
      <c r="E36" s="7"/>
      <c r="F36" s="7"/>
      <c r="G36" s="7"/>
      <c r="H36" s="7"/>
    </row>
    <row r="37" customFormat="false" ht="41.25" hidden="false" customHeight="true" outlineLevel="0" collapsed="false">
      <c r="A37" s="7" t="s">
        <v>728</v>
      </c>
      <c r="B37" s="7" t="s">
        <v>729</v>
      </c>
      <c r="C37" s="7" t="s">
        <v>587</v>
      </c>
      <c r="D37" s="7" t="s">
        <v>730</v>
      </c>
      <c r="E37" s="7" t="s">
        <v>631</v>
      </c>
      <c r="F37" s="7" t="s">
        <v>731</v>
      </c>
      <c r="G37" s="7" t="s">
        <v>591</v>
      </c>
      <c r="H37" s="7" t="s">
        <v>732</v>
      </c>
    </row>
    <row r="38" customFormat="false" ht="122.25" hidden="false" customHeight="true" outlineLevel="0" collapsed="false">
      <c r="A38" s="7" t="s">
        <v>732</v>
      </c>
      <c r="B38" s="7" t="s">
        <v>733</v>
      </c>
      <c r="C38" s="7" t="s">
        <v>587</v>
      </c>
      <c r="D38" s="7" t="s">
        <v>734</v>
      </c>
      <c r="E38" s="7" t="s">
        <v>735</v>
      </c>
      <c r="F38" s="7" t="s">
        <v>736</v>
      </c>
      <c r="G38" s="7" t="s">
        <v>737</v>
      </c>
      <c r="H38" s="7" t="s">
        <v>738</v>
      </c>
    </row>
    <row r="39" customFormat="false" ht="162" hidden="false" customHeight="true" outlineLevel="0" collapsed="false">
      <c r="A39" s="7" t="s">
        <v>738</v>
      </c>
      <c r="B39" s="7" t="s">
        <v>38</v>
      </c>
      <c r="C39" s="7" t="s">
        <v>587</v>
      </c>
      <c r="D39" s="7" t="s">
        <v>739</v>
      </c>
      <c r="E39" s="7" t="s">
        <v>740</v>
      </c>
      <c r="F39" s="7" t="s">
        <v>741</v>
      </c>
      <c r="G39" s="7" t="s">
        <v>742</v>
      </c>
      <c r="H39" s="7" t="s">
        <v>743</v>
      </c>
    </row>
    <row r="40" customFormat="false" ht="95.25" hidden="false" customHeight="true" outlineLevel="0" collapsed="false">
      <c r="A40" s="7" t="s">
        <v>743</v>
      </c>
      <c r="B40" s="7" t="s">
        <v>38</v>
      </c>
      <c r="C40" s="7" t="s">
        <v>587</v>
      </c>
      <c r="D40" s="7" t="s">
        <v>744</v>
      </c>
      <c r="E40" s="7" t="s">
        <v>745</v>
      </c>
      <c r="F40" s="7" t="s">
        <v>746</v>
      </c>
      <c r="G40" s="7" t="s">
        <v>747</v>
      </c>
      <c r="H40" s="7" t="s">
        <v>748</v>
      </c>
    </row>
    <row r="41" customFormat="false" ht="95.25" hidden="false" customHeight="true" outlineLevel="0" collapsed="false">
      <c r="A41" s="7" t="s">
        <v>748</v>
      </c>
      <c r="B41" s="7" t="s">
        <v>38</v>
      </c>
      <c r="C41" s="7" t="s">
        <v>587</v>
      </c>
      <c r="D41" s="7" t="s">
        <v>749</v>
      </c>
      <c r="E41" s="7" t="s">
        <v>750</v>
      </c>
      <c r="F41" s="7" t="s">
        <v>751</v>
      </c>
      <c r="G41" s="7" t="s">
        <v>752</v>
      </c>
      <c r="H41" s="7" t="s">
        <v>753</v>
      </c>
    </row>
    <row r="42" customFormat="false" ht="81.75" hidden="false" customHeight="true" outlineLevel="0" collapsed="false">
      <c r="A42" s="7" t="s">
        <v>753</v>
      </c>
      <c r="B42" s="7" t="s">
        <v>38</v>
      </c>
      <c r="C42" s="7" t="s">
        <v>587</v>
      </c>
      <c r="D42" s="7" t="s">
        <v>754</v>
      </c>
      <c r="E42" s="7" t="s">
        <v>631</v>
      </c>
      <c r="F42" s="7" t="s">
        <v>755</v>
      </c>
      <c r="G42" s="7" t="s">
        <v>685</v>
      </c>
      <c r="H42" s="7" t="s">
        <v>20</v>
      </c>
    </row>
    <row r="43" customFormat="false" ht="54.75" hidden="false" customHeight="true" outlineLevel="0" collapsed="false">
      <c r="A43" s="7" t="s">
        <v>756</v>
      </c>
      <c r="B43" s="7" t="s">
        <v>41</v>
      </c>
      <c r="C43" s="7" t="s">
        <v>587</v>
      </c>
      <c r="D43" s="7" t="s">
        <v>757</v>
      </c>
      <c r="E43" s="7" t="s">
        <v>758</v>
      </c>
      <c r="F43" s="7" t="s">
        <v>759</v>
      </c>
      <c r="G43" s="7" t="s">
        <v>591</v>
      </c>
      <c r="H43" s="7" t="s">
        <v>760</v>
      </c>
    </row>
    <row r="44" customFormat="false" ht="135.75" hidden="false" customHeight="true" outlineLevel="0" collapsed="false">
      <c r="A44" s="7" t="s">
        <v>760</v>
      </c>
      <c r="B44" s="7" t="s">
        <v>41</v>
      </c>
      <c r="C44" s="7" t="s">
        <v>587</v>
      </c>
      <c r="D44" s="7" t="s">
        <v>761</v>
      </c>
      <c r="E44" s="7" t="s">
        <v>762</v>
      </c>
      <c r="F44" s="7" t="s">
        <v>763</v>
      </c>
      <c r="G44" s="7" t="s">
        <v>591</v>
      </c>
      <c r="H44" s="7" t="s">
        <v>764</v>
      </c>
    </row>
    <row r="45" customFormat="false" ht="108.75" hidden="false" customHeight="true" outlineLevel="0" collapsed="false">
      <c r="A45" s="7" t="s">
        <v>764</v>
      </c>
      <c r="B45" s="7" t="s">
        <v>41</v>
      </c>
      <c r="C45" s="7" t="s">
        <v>587</v>
      </c>
      <c r="D45" s="7" t="s">
        <v>765</v>
      </c>
      <c r="E45" s="7" t="s">
        <v>766</v>
      </c>
      <c r="F45" s="7" t="s">
        <v>767</v>
      </c>
      <c r="G45" s="7" t="s">
        <v>768</v>
      </c>
      <c r="H45" s="7" t="s">
        <v>769</v>
      </c>
    </row>
    <row r="46" customFormat="false" ht="54.75" hidden="false" customHeight="true" outlineLevel="0" collapsed="false">
      <c r="A46" s="7" t="s">
        <v>769</v>
      </c>
      <c r="B46" s="7" t="s">
        <v>41</v>
      </c>
      <c r="C46" s="7" t="s">
        <v>587</v>
      </c>
      <c r="D46" s="7" t="s">
        <v>770</v>
      </c>
      <c r="E46" s="7" t="s">
        <v>771</v>
      </c>
      <c r="F46" s="7" t="s">
        <v>772</v>
      </c>
      <c r="G46" s="7" t="s">
        <v>591</v>
      </c>
      <c r="H46" s="7" t="s">
        <v>773</v>
      </c>
    </row>
    <row r="47" customFormat="false" ht="108.75" hidden="false" customHeight="true" outlineLevel="0" collapsed="false">
      <c r="A47" s="7" t="s">
        <v>773</v>
      </c>
      <c r="B47" s="7" t="s">
        <v>41</v>
      </c>
      <c r="C47" s="7" t="s">
        <v>587</v>
      </c>
      <c r="D47" s="7" t="s">
        <v>774</v>
      </c>
      <c r="E47" s="7" t="s">
        <v>775</v>
      </c>
      <c r="F47" s="7" t="s">
        <v>776</v>
      </c>
      <c r="G47" s="7" t="s">
        <v>777</v>
      </c>
      <c r="H47" s="7" t="s">
        <v>778</v>
      </c>
    </row>
    <row r="48" customFormat="false" ht="81.75" hidden="false" customHeight="true" outlineLevel="0" collapsed="false">
      <c r="A48" s="7" t="s">
        <v>778</v>
      </c>
      <c r="B48" s="7" t="s">
        <v>41</v>
      </c>
      <c r="C48" s="7" t="s">
        <v>587</v>
      </c>
      <c r="D48" s="7" t="s">
        <v>779</v>
      </c>
      <c r="E48" s="7" t="s">
        <v>631</v>
      </c>
      <c r="F48" s="7" t="s">
        <v>780</v>
      </c>
      <c r="G48" s="7" t="s">
        <v>685</v>
      </c>
      <c r="H48" s="7" t="s">
        <v>23</v>
      </c>
    </row>
    <row r="49" customFormat="false" ht="68.25" hidden="false" customHeight="true" outlineLevel="0" collapsed="false">
      <c r="A49" s="7" t="s">
        <v>781</v>
      </c>
      <c r="B49" s="7" t="s">
        <v>44</v>
      </c>
      <c r="C49" s="7" t="s">
        <v>587</v>
      </c>
      <c r="D49" s="7" t="s">
        <v>782</v>
      </c>
      <c r="E49" s="7" t="s">
        <v>783</v>
      </c>
      <c r="F49" s="7" t="s">
        <v>784</v>
      </c>
      <c r="G49" s="7" t="s">
        <v>591</v>
      </c>
      <c r="H49" s="7" t="s">
        <v>785</v>
      </c>
    </row>
    <row r="50" customFormat="false" ht="81.75" hidden="false" customHeight="true" outlineLevel="0" collapsed="false">
      <c r="A50" s="7" t="s">
        <v>785</v>
      </c>
      <c r="B50" s="7" t="s">
        <v>44</v>
      </c>
      <c r="C50" s="7" t="s">
        <v>587</v>
      </c>
      <c r="D50" s="7" t="s">
        <v>786</v>
      </c>
      <c r="E50" s="7" t="s">
        <v>787</v>
      </c>
      <c r="F50" s="7" t="s">
        <v>788</v>
      </c>
      <c r="G50" s="7" t="s">
        <v>789</v>
      </c>
      <c r="H50" s="7" t="s">
        <v>790</v>
      </c>
    </row>
    <row r="51" customFormat="false" ht="108.75" hidden="false" customHeight="true" outlineLevel="0" collapsed="false">
      <c r="A51" s="7" t="s">
        <v>790</v>
      </c>
      <c r="B51" s="7" t="s">
        <v>44</v>
      </c>
      <c r="C51" s="7" t="s">
        <v>587</v>
      </c>
      <c r="D51" s="7" t="s">
        <v>791</v>
      </c>
      <c r="E51" s="7" t="s">
        <v>792</v>
      </c>
      <c r="F51" s="7" t="s">
        <v>793</v>
      </c>
      <c r="G51" s="7" t="s">
        <v>794</v>
      </c>
      <c r="H51" s="7" t="s">
        <v>795</v>
      </c>
    </row>
    <row r="52" customFormat="false" ht="135.75" hidden="false" customHeight="true" outlineLevel="0" collapsed="false">
      <c r="A52" s="7" t="s">
        <v>795</v>
      </c>
      <c r="B52" s="7" t="s">
        <v>44</v>
      </c>
      <c r="C52" s="7" t="s">
        <v>587</v>
      </c>
      <c r="D52" s="7" t="s">
        <v>796</v>
      </c>
      <c r="E52" s="7" t="s">
        <v>797</v>
      </c>
      <c r="F52" s="7" t="s">
        <v>798</v>
      </c>
      <c r="G52" s="7" t="s">
        <v>591</v>
      </c>
      <c r="H52" s="7" t="s">
        <v>799</v>
      </c>
    </row>
    <row r="53" customFormat="false" ht="81.75" hidden="false" customHeight="true" outlineLevel="0" collapsed="false">
      <c r="A53" s="7" t="s">
        <v>799</v>
      </c>
      <c r="B53" s="7" t="s">
        <v>44</v>
      </c>
      <c r="C53" s="7" t="s">
        <v>587</v>
      </c>
      <c r="D53" s="7" t="s">
        <v>800</v>
      </c>
      <c r="E53" s="7" t="s">
        <v>631</v>
      </c>
      <c r="F53" s="7" t="s">
        <v>801</v>
      </c>
      <c r="G53" s="7" t="s">
        <v>802</v>
      </c>
      <c r="H53" s="7" t="s">
        <v>26</v>
      </c>
    </row>
    <row r="54" customFormat="false" ht="95.25" hidden="false" customHeight="true" outlineLevel="0" collapsed="false">
      <c r="A54" s="7" t="s">
        <v>803</v>
      </c>
      <c r="B54" s="7" t="s">
        <v>47</v>
      </c>
      <c r="C54" s="7" t="s">
        <v>587</v>
      </c>
      <c r="D54" s="7" t="s">
        <v>804</v>
      </c>
      <c r="E54" s="7" t="s">
        <v>805</v>
      </c>
      <c r="F54" s="7" t="s">
        <v>806</v>
      </c>
      <c r="G54" s="7" t="s">
        <v>591</v>
      </c>
      <c r="H54" s="7" t="s">
        <v>807</v>
      </c>
    </row>
    <row r="55" customFormat="false" ht="108.75" hidden="false" customHeight="true" outlineLevel="0" collapsed="false">
      <c r="A55" s="7" t="s">
        <v>807</v>
      </c>
      <c r="B55" s="7" t="s">
        <v>47</v>
      </c>
      <c r="C55" s="7" t="s">
        <v>587</v>
      </c>
      <c r="D55" s="7" t="s">
        <v>808</v>
      </c>
      <c r="E55" s="7" t="s">
        <v>809</v>
      </c>
      <c r="F55" s="7" t="s">
        <v>810</v>
      </c>
      <c r="G55" s="7" t="s">
        <v>811</v>
      </c>
      <c r="H55" s="7" t="s">
        <v>812</v>
      </c>
    </row>
    <row r="56" customFormat="false" ht="122.25" hidden="false" customHeight="true" outlineLevel="0" collapsed="false">
      <c r="A56" s="7" t="s">
        <v>812</v>
      </c>
      <c r="B56" s="7" t="s">
        <v>47</v>
      </c>
      <c r="C56" s="7" t="s">
        <v>587</v>
      </c>
      <c r="D56" s="7" t="s">
        <v>813</v>
      </c>
      <c r="E56" s="7" t="s">
        <v>814</v>
      </c>
      <c r="F56" s="7" t="s">
        <v>815</v>
      </c>
      <c r="G56" s="7" t="s">
        <v>816</v>
      </c>
      <c r="H56" s="7" t="s">
        <v>817</v>
      </c>
    </row>
    <row r="57" customFormat="false" ht="54.75" hidden="false" customHeight="true" outlineLevel="0" collapsed="false">
      <c r="A57" s="7" t="s">
        <v>817</v>
      </c>
      <c r="B57" s="7" t="s">
        <v>47</v>
      </c>
      <c r="C57" s="7" t="s">
        <v>587</v>
      </c>
      <c r="D57" s="7" t="s">
        <v>818</v>
      </c>
      <c r="E57" s="7" t="s">
        <v>631</v>
      </c>
      <c r="F57" s="7" t="s">
        <v>819</v>
      </c>
      <c r="G57" s="7" t="s">
        <v>820</v>
      </c>
      <c r="H57" s="7" t="s">
        <v>29</v>
      </c>
    </row>
    <row r="58" customFormat="false" ht="95.25" hidden="false" customHeight="true" outlineLevel="0" collapsed="false">
      <c r="A58" s="7" t="s">
        <v>821</v>
      </c>
      <c r="B58" s="7" t="s">
        <v>50</v>
      </c>
      <c r="C58" s="7" t="s">
        <v>587</v>
      </c>
      <c r="D58" s="7" t="s">
        <v>822</v>
      </c>
      <c r="E58" s="7" t="s">
        <v>823</v>
      </c>
      <c r="F58" s="7" t="s">
        <v>824</v>
      </c>
      <c r="G58" s="7" t="s">
        <v>591</v>
      </c>
      <c r="H58" s="7" t="s">
        <v>825</v>
      </c>
    </row>
    <row r="59" customFormat="false" ht="68.25" hidden="false" customHeight="true" outlineLevel="0" collapsed="false">
      <c r="A59" s="7" t="s">
        <v>825</v>
      </c>
      <c r="B59" s="7" t="s">
        <v>50</v>
      </c>
      <c r="C59" s="7" t="s">
        <v>587</v>
      </c>
      <c r="D59" s="7" t="s">
        <v>826</v>
      </c>
      <c r="E59" s="7" t="s">
        <v>558</v>
      </c>
      <c r="F59" s="7" t="s">
        <v>827</v>
      </c>
      <c r="G59" s="7" t="s">
        <v>591</v>
      </c>
      <c r="H59" s="7" t="s">
        <v>828</v>
      </c>
    </row>
    <row r="60" customFormat="false" ht="95.25" hidden="false" customHeight="true" outlineLevel="0" collapsed="false">
      <c r="A60" s="7" t="s">
        <v>828</v>
      </c>
      <c r="B60" s="7" t="s">
        <v>50</v>
      </c>
      <c r="C60" s="7" t="s">
        <v>587</v>
      </c>
      <c r="D60" s="7" t="s">
        <v>829</v>
      </c>
      <c r="E60" s="7" t="s">
        <v>558</v>
      </c>
      <c r="F60" s="7" t="s">
        <v>830</v>
      </c>
      <c r="G60" s="7" t="s">
        <v>831</v>
      </c>
      <c r="H60" s="7" t="s">
        <v>832</v>
      </c>
    </row>
    <row r="61" customFormat="false" ht="68.25" hidden="false" customHeight="true" outlineLevel="0" collapsed="false">
      <c r="A61" s="7" t="s">
        <v>832</v>
      </c>
      <c r="B61" s="7" t="s">
        <v>50</v>
      </c>
      <c r="C61" s="7" t="s">
        <v>587</v>
      </c>
      <c r="D61" s="7" t="s">
        <v>833</v>
      </c>
      <c r="E61" s="7" t="s">
        <v>834</v>
      </c>
      <c r="F61" s="7" t="s">
        <v>835</v>
      </c>
      <c r="G61" s="7" t="s">
        <v>836</v>
      </c>
      <c r="H61" s="7" t="s">
        <v>32</v>
      </c>
    </row>
    <row r="62" customFormat="false" ht="81.75" hidden="false" customHeight="true" outlineLevel="0" collapsed="false">
      <c r="A62" s="7" t="s">
        <v>837</v>
      </c>
      <c r="B62" s="7" t="s">
        <v>53</v>
      </c>
      <c r="C62" s="7" t="s">
        <v>587</v>
      </c>
      <c r="D62" s="7" t="s">
        <v>838</v>
      </c>
      <c r="E62" s="7" t="s">
        <v>558</v>
      </c>
      <c r="F62" s="7" t="s">
        <v>839</v>
      </c>
      <c r="G62" s="7" t="s">
        <v>591</v>
      </c>
      <c r="H62" s="7" t="s">
        <v>840</v>
      </c>
    </row>
    <row r="63" customFormat="false" ht="68.25" hidden="false" customHeight="true" outlineLevel="0" collapsed="false">
      <c r="A63" s="7" t="s">
        <v>840</v>
      </c>
      <c r="B63" s="7" t="s">
        <v>53</v>
      </c>
      <c r="C63" s="7" t="s">
        <v>587</v>
      </c>
      <c r="D63" s="7" t="s">
        <v>841</v>
      </c>
      <c r="E63" s="7" t="s">
        <v>558</v>
      </c>
      <c r="F63" s="7" t="s">
        <v>842</v>
      </c>
      <c r="G63" s="7" t="s">
        <v>843</v>
      </c>
      <c r="H63" s="7" t="s">
        <v>844</v>
      </c>
    </row>
    <row r="64" customFormat="false" ht="95.25" hidden="false" customHeight="true" outlineLevel="0" collapsed="false">
      <c r="A64" s="7" t="s">
        <v>844</v>
      </c>
      <c r="B64" s="7" t="s">
        <v>53</v>
      </c>
      <c r="C64" s="7" t="s">
        <v>587</v>
      </c>
      <c r="D64" s="7" t="s">
        <v>845</v>
      </c>
      <c r="E64" s="7" t="s">
        <v>846</v>
      </c>
      <c r="F64" s="7" t="s">
        <v>847</v>
      </c>
      <c r="G64" s="7" t="s">
        <v>848</v>
      </c>
      <c r="H64" s="7" t="s">
        <v>849</v>
      </c>
    </row>
    <row r="65" customFormat="false" ht="54.75" hidden="false" customHeight="true" outlineLevel="0" collapsed="false">
      <c r="A65" s="7" t="s">
        <v>849</v>
      </c>
      <c r="B65" s="7" t="s">
        <v>53</v>
      </c>
      <c r="C65" s="7" t="s">
        <v>587</v>
      </c>
      <c r="D65" s="7" t="s">
        <v>850</v>
      </c>
      <c r="E65" s="7" t="s">
        <v>631</v>
      </c>
      <c r="F65" s="7" t="s">
        <v>851</v>
      </c>
      <c r="G65" s="7" t="s">
        <v>852</v>
      </c>
      <c r="H65" s="7" t="s">
        <v>37</v>
      </c>
    </row>
    <row r="66" customFormat="false" ht="54.75" hidden="false" customHeight="true" outlineLevel="0" collapsed="false">
      <c r="A66" s="7" t="s">
        <v>853</v>
      </c>
      <c r="B66" s="7" t="s">
        <v>56</v>
      </c>
      <c r="C66" s="7" t="s">
        <v>587</v>
      </c>
      <c r="D66" s="7" t="s">
        <v>854</v>
      </c>
      <c r="E66" s="7" t="s">
        <v>558</v>
      </c>
      <c r="F66" s="7" t="s">
        <v>855</v>
      </c>
      <c r="G66" s="7" t="s">
        <v>591</v>
      </c>
      <c r="H66" s="7" t="s">
        <v>856</v>
      </c>
    </row>
    <row r="67" customFormat="false" ht="81.75" hidden="false" customHeight="true" outlineLevel="0" collapsed="false">
      <c r="A67" s="7" t="s">
        <v>856</v>
      </c>
      <c r="B67" s="7" t="s">
        <v>56</v>
      </c>
      <c r="C67" s="7" t="s">
        <v>587</v>
      </c>
      <c r="D67" s="7" t="s">
        <v>857</v>
      </c>
      <c r="E67" s="7" t="s">
        <v>858</v>
      </c>
      <c r="F67" s="7" t="s">
        <v>859</v>
      </c>
      <c r="G67" s="7" t="s">
        <v>860</v>
      </c>
      <c r="H67" s="7" t="s">
        <v>861</v>
      </c>
    </row>
    <row r="68" customFormat="false" ht="68.25" hidden="false" customHeight="true" outlineLevel="0" collapsed="false">
      <c r="A68" s="7" t="s">
        <v>861</v>
      </c>
      <c r="B68" s="7" t="s">
        <v>56</v>
      </c>
      <c r="C68" s="7" t="s">
        <v>587</v>
      </c>
      <c r="D68" s="7" t="s">
        <v>862</v>
      </c>
      <c r="E68" s="7" t="s">
        <v>631</v>
      </c>
      <c r="F68" s="7" t="s">
        <v>863</v>
      </c>
      <c r="G68" s="7" t="s">
        <v>864</v>
      </c>
      <c r="H68" s="7" t="s">
        <v>40</v>
      </c>
    </row>
    <row r="69" customFormat="false" ht="81.75" hidden="false" customHeight="true" outlineLevel="0" collapsed="false">
      <c r="A69" s="7" t="s">
        <v>865</v>
      </c>
      <c r="B69" s="7" t="s">
        <v>59</v>
      </c>
      <c r="C69" s="7" t="s">
        <v>587</v>
      </c>
      <c r="D69" s="7" t="s">
        <v>866</v>
      </c>
      <c r="E69" s="7" t="s">
        <v>867</v>
      </c>
      <c r="F69" s="7" t="s">
        <v>868</v>
      </c>
      <c r="G69" s="7" t="s">
        <v>591</v>
      </c>
      <c r="H69" s="7" t="s">
        <v>869</v>
      </c>
    </row>
    <row r="70" customFormat="false" ht="95.25" hidden="false" customHeight="true" outlineLevel="0" collapsed="false">
      <c r="A70" s="7" t="s">
        <v>869</v>
      </c>
      <c r="B70" s="7" t="s">
        <v>59</v>
      </c>
      <c r="C70" s="7" t="s">
        <v>587</v>
      </c>
      <c r="D70" s="7" t="s">
        <v>870</v>
      </c>
      <c r="E70" s="7" t="s">
        <v>871</v>
      </c>
      <c r="F70" s="7" t="s">
        <v>872</v>
      </c>
      <c r="G70" s="7" t="s">
        <v>591</v>
      </c>
      <c r="H70" s="7" t="s">
        <v>873</v>
      </c>
    </row>
    <row r="71" customFormat="false" ht="68.25" hidden="false" customHeight="true" outlineLevel="0" collapsed="false">
      <c r="A71" s="7" t="s">
        <v>873</v>
      </c>
      <c r="B71" s="7" t="s">
        <v>59</v>
      </c>
      <c r="C71" s="7" t="s">
        <v>587</v>
      </c>
      <c r="D71" s="7" t="s">
        <v>874</v>
      </c>
      <c r="E71" s="7" t="s">
        <v>558</v>
      </c>
      <c r="F71" s="7" t="s">
        <v>875</v>
      </c>
      <c r="G71" s="7" t="s">
        <v>876</v>
      </c>
      <c r="H71" s="7" t="s">
        <v>877</v>
      </c>
    </row>
    <row r="72" customFormat="false" ht="54.75" hidden="false" customHeight="true" outlineLevel="0" collapsed="false">
      <c r="A72" s="7" t="s">
        <v>877</v>
      </c>
      <c r="B72" s="7" t="s">
        <v>59</v>
      </c>
      <c r="C72" s="7" t="s">
        <v>587</v>
      </c>
      <c r="D72" s="7" t="s">
        <v>878</v>
      </c>
      <c r="E72" s="7" t="s">
        <v>631</v>
      </c>
      <c r="F72" s="7" t="s">
        <v>879</v>
      </c>
      <c r="G72" s="7" t="s">
        <v>880</v>
      </c>
      <c r="H72" s="7" t="s">
        <v>43</v>
      </c>
    </row>
    <row r="73" customFormat="false" ht="54.75" hidden="false" customHeight="true" outlineLevel="0" collapsed="false">
      <c r="A73" s="7" t="s">
        <v>881</v>
      </c>
      <c r="B73" s="7" t="s">
        <v>62</v>
      </c>
      <c r="C73" s="7" t="s">
        <v>587</v>
      </c>
      <c r="D73" s="7" t="s">
        <v>882</v>
      </c>
      <c r="E73" s="7" t="s">
        <v>558</v>
      </c>
      <c r="F73" s="7" t="s">
        <v>883</v>
      </c>
      <c r="G73" s="7" t="s">
        <v>884</v>
      </c>
      <c r="H73" s="7" t="s">
        <v>885</v>
      </c>
    </row>
    <row r="74" customFormat="false" ht="81.75" hidden="false" customHeight="true" outlineLevel="0" collapsed="false">
      <c r="A74" s="7" t="s">
        <v>885</v>
      </c>
      <c r="B74" s="7" t="s">
        <v>62</v>
      </c>
      <c r="C74" s="7" t="s">
        <v>587</v>
      </c>
      <c r="D74" s="7" t="s">
        <v>886</v>
      </c>
      <c r="E74" s="7" t="s">
        <v>846</v>
      </c>
      <c r="F74" s="7" t="s">
        <v>887</v>
      </c>
      <c r="G74" s="7" t="s">
        <v>591</v>
      </c>
      <c r="H74" s="7" t="s">
        <v>888</v>
      </c>
    </row>
    <row r="75" customFormat="false" ht="95.25" hidden="false" customHeight="true" outlineLevel="0" collapsed="false">
      <c r="A75" s="7" t="s">
        <v>888</v>
      </c>
      <c r="B75" s="7" t="s">
        <v>62</v>
      </c>
      <c r="C75" s="7" t="s">
        <v>587</v>
      </c>
      <c r="D75" s="7" t="s">
        <v>889</v>
      </c>
      <c r="E75" s="7" t="s">
        <v>558</v>
      </c>
      <c r="F75" s="7" t="s">
        <v>890</v>
      </c>
      <c r="G75" s="7" t="s">
        <v>591</v>
      </c>
      <c r="H75" s="7" t="s">
        <v>891</v>
      </c>
    </row>
    <row r="76" customFormat="false" ht="68.25" hidden="false" customHeight="true" outlineLevel="0" collapsed="false">
      <c r="A76" s="7" t="s">
        <v>891</v>
      </c>
      <c r="B76" s="7" t="s">
        <v>62</v>
      </c>
      <c r="C76" s="7" t="s">
        <v>587</v>
      </c>
      <c r="D76" s="7" t="s">
        <v>892</v>
      </c>
      <c r="E76" s="7" t="s">
        <v>834</v>
      </c>
      <c r="F76" s="7" t="s">
        <v>893</v>
      </c>
      <c r="G76" s="7" t="s">
        <v>894</v>
      </c>
      <c r="H76" s="7" t="s">
        <v>46</v>
      </c>
    </row>
    <row r="77" customFormat="false" ht="55.2" hidden="false" customHeight="false" outlineLevel="0" collapsed="false">
      <c r="A77" s="7" t="s">
        <v>895</v>
      </c>
      <c r="B77" s="7" t="s">
        <v>65</v>
      </c>
      <c r="C77" s="7" t="s">
        <v>587</v>
      </c>
      <c r="D77" s="7" t="s">
        <v>896</v>
      </c>
      <c r="E77" s="7" t="s">
        <v>897</v>
      </c>
      <c r="F77" s="7" t="s">
        <v>898</v>
      </c>
      <c r="G77" s="7" t="s">
        <v>591</v>
      </c>
      <c r="H77" s="7" t="s">
        <v>899</v>
      </c>
    </row>
    <row r="78" customFormat="false" ht="122.35" hidden="false" customHeight="false" outlineLevel="0" collapsed="false">
      <c r="A78" s="7" t="s">
        <v>899</v>
      </c>
      <c r="B78" s="7" t="s">
        <v>65</v>
      </c>
      <c r="C78" s="7" t="s">
        <v>587</v>
      </c>
      <c r="D78" s="7" t="s">
        <v>900</v>
      </c>
      <c r="E78" s="7" t="s">
        <v>901</v>
      </c>
      <c r="F78" s="7" t="s">
        <v>902</v>
      </c>
      <c r="G78" s="7" t="s">
        <v>591</v>
      </c>
      <c r="H78" s="7" t="s">
        <v>903</v>
      </c>
    </row>
    <row r="79" customFormat="false" ht="55.2" hidden="false" customHeight="false" outlineLevel="0" collapsed="false">
      <c r="A79" s="7" t="s">
        <v>903</v>
      </c>
      <c r="B79" s="7" t="s">
        <v>65</v>
      </c>
      <c r="C79" s="7" t="s">
        <v>587</v>
      </c>
      <c r="D79" s="7" t="s">
        <v>904</v>
      </c>
      <c r="E79" s="7" t="s">
        <v>905</v>
      </c>
      <c r="F79" s="7" t="s">
        <v>906</v>
      </c>
      <c r="G79" s="7" t="s">
        <v>907</v>
      </c>
      <c r="H79" s="7" t="s">
        <v>908</v>
      </c>
    </row>
    <row r="80" customFormat="false" ht="82.05" hidden="false" customHeight="false" outlineLevel="0" collapsed="false">
      <c r="A80" s="7" t="s">
        <v>908</v>
      </c>
      <c r="B80" s="7" t="s">
        <v>65</v>
      </c>
      <c r="C80" s="7" t="s">
        <v>587</v>
      </c>
      <c r="D80" s="7" t="s">
        <v>909</v>
      </c>
      <c r="E80" s="7" t="s">
        <v>910</v>
      </c>
      <c r="F80" s="7" t="s">
        <v>911</v>
      </c>
      <c r="G80" s="7" t="s">
        <v>912</v>
      </c>
      <c r="H80" s="7" t="s">
        <v>913</v>
      </c>
    </row>
    <row r="81" customFormat="false" ht="55.2" hidden="false" customHeight="false" outlineLevel="0" collapsed="false">
      <c r="A81" s="7" t="s">
        <v>913</v>
      </c>
      <c r="B81" s="7" t="s">
        <v>65</v>
      </c>
      <c r="C81" s="7" t="s">
        <v>587</v>
      </c>
      <c r="D81" s="7" t="s">
        <v>914</v>
      </c>
      <c r="E81" s="7" t="s">
        <v>631</v>
      </c>
      <c r="F81" s="7" t="s">
        <v>915</v>
      </c>
      <c r="G81" s="7" t="s">
        <v>916</v>
      </c>
      <c r="H81" s="7"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4"/>
    <col collapsed="false" customWidth="true" hidden="false" outlineLevel="0" max="4" min="4" style="1" width="58"/>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0"/>
    <col collapsed="false" customWidth="true" hidden="false" outlineLevel="0" max="10" min="9" style="1" width="26"/>
    <col collapsed="false" customWidth="true" hidden="false" outlineLevel="0" max="11" min="11" style="1" width="64"/>
  </cols>
  <sheetData>
    <row r="1" customFormat="false" ht="15" hidden="false" customHeight="true" outlineLevel="0" collapsed="false">
      <c r="A1" s="12" t="s">
        <v>917</v>
      </c>
    </row>
    <row r="2" customFormat="false" ht="15" hidden="false" customHeight="true" outlineLevel="0" collapsed="false">
      <c r="A2" s="13" t="s">
        <v>918</v>
      </c>
    </row>
    <row r="3" customFormat="false" ht="15" hidden="false" customHeight="true" outlineLevel="0" collapsed="false">
      <c r="A3" s="14" t="s">
        <v>919</v>
      </c>
      <c r="B3" s="14" t="s">
        <v>150</v>
      </c>
      <c r="C3" s="14" t="s">
        <v>920</v>
      </c>
      <c r="D3" s="14" t="s">
        <v>151</v>
      </c>
      <c r="E3" s="14" t="s">
        <v>152</v>
      </c>
      <c r="F3" s="14" t="s">
        <v>153</v>
      </c>
      <c r="G3" s="14" t="s">
        <v>154</v>
      </c>
      <c r="H3" s="14" t="s">
        <v>921</v>
      </c>
      <c r="I3" s="14" t="s">
        <v>922</v>
      </c>
      <c r="J3" s="14" t="s">
        <v>5</v>
      </c>
      <c r="K3" s="14" t="s">
        <v>923</v>
      </c>
    </row>
    <row r="4" customFormat="false" ht="23.25" hidden="false" customHeight="true" outlineLevel="0" collapsed="false">
      <c r="A4" s="6" t="s">
        <v>155</v>
      </c>
      <c r="B4" s="6" t="s">
        <v>156</v>
      </c>
      <c r="C4" s="6" t="s">
        <v>79</v>
      </c>
      <c r="D4" s="6" t="s">
        <v>157</v>
      </c>
      <c r="E4" s="6" t="n">
        <v>5</v>
      </c>
      <c r="F4" s="6" t="s">
        <v>158</v>
      </c>
      <c r="G4" s="6" t="s">
        <v>159</v>
      </c>
      <c r="H4" s="6" t="s">
        <v>924</v>
      </c>
      <c r="I4" s="6" t="s">
        <v>925</v>
      </c>
      <c r="J4" s="6" t="s">
        <v>160</v>
      </c>
      <c r="K4" s="6" t="s">
        <v>926</v>
      </c>
    </row>
    <row r="5" customFormat="false" ht="23.25" hidden="false" customHeight="true" outlineLevel="0" collapsed="false">
      <c r="A5" s="6" t="s">
        <v>161</v>
      </c>
      <c r="B5" s="6" t="s">
        <v>156</v>
      </c>
      <c r="C5" s="6" t="s">
        <v>79</v>
      </c>
      <c r="D5" s="6" t="s">
        <v>162</v>
      </c>
      <c r="E5" s="6" t="n">
        <v>8</v>
      </c>
      <c r="F5" s="6" t="s">
        <v>158</v>
      </c>
      <c r="G5" s="6" t="s">
        <v>159</v>
      </c>
      <c r="H5" s="6" t="s">
        <v>924</v>
      </c>
      <c r="I5" s="6" t="s">
        <v>925</v>
      </c>
      <c r="J5" s="6" t="s">
        <v>160</v>
      </c>
      <c r="K5" s="6" t="s">
        <v>927</v>
      </c>
    </row>
    <row r="6" customFormat="false" ht="23.25" hidden="false" customHeight="true" outlineLevel="0" collapsed="false">
      <c r="A6" s="6" t="s">
        <v>163</v>
      </c>
      <c r="B6" s="6" t="s">
        <v>156</v>
      </c>
      <c r="C6" s="6" t="s">
        <v>79</v>
      </c>
      <c r="D6" s="6" t="s">
        <v>164</v>
      </c>
      <c r="E6" s="6" t="n">
        <v>5</v>
      </c>
      <c r="F6" s="6" t="s">
        <v>165</v>
      </c>
      <c r="G6" s="6" t="s">
        <v>159</v>
      </c>
      <c r="H6" s="6" t="s">
        <v>924</v>
      </c>
      <c r="I6" s="6" t="s">
        <v>925</v>
      </c>
      <c r="J6" s="6" t="s">
        <v>160</v>
      </c>
      <c r="K6" s="6" t="s">
        <v>928</v>
      </c>
    </row>
    <row r="7" customFormat="false" ht="23.25" hidden="false" customHeight="true" outlineLevel="0" collapsed="false">
      <c r="A7" s="6" t="s">
        <v>166</v>
      </c>
      <c r="B7" s="6" t="s">
        <v>156</v>
      </c>
      <c r="C7" s="6" t="s">
        <v>79</v>
      </c>
      <c r="D7" s="6" t="s">
        <v>167</v>
      </c>
      <c r="E7" s="6" t="n">
        <v>3</v>
      </c>
      <c r="F7" s="6" t="s">
        <v>158</v>
      </c>
      <c r="G7" s="6" t="s">
        <v>159</v>
      </c>
      <c r="H7" s="6" t="s">
        <v>924</v>
      </c>
      <c r="I7" s="6" t="s">
        <v>925</v>
      </c>
      <c r="J7" s="6" t="s">
        <v>160</v>
      </c>
      <c r="K7" s="6" t="s">
        <v>929</v>
      </c>
    </row>
    <row r="8" customFormat="false" ht="23.25" hidden="false" customHeight="true" outlineLevel="0" collapsed="false">
      <c r="A8" s="6" t="s">
        <v>168</v>
      </c>
      <c r="B8" s="6" t="s">
        <v>156</v>
      </c>
      <c r="C8" s="6" t="s">
        <v>79</v>
      </c>
      <c r="D8" s="6" t="s">
        <v>169</v>
      </c>
      <c r="E8" s="6" t="n">
        <v>5</v>
      </c>
      <c r="F8" s="6" t="s">
        <v>158</v>
      </c>
      <c r="G8" s="6" t="s">
        <v>170</v>
      </c>
      <c r="H8" s="6" t="s">
        <v>924</v>
      </c>
      <c r="I8" s="6" t="s">
        <v>925</v>
      </c>
      <c r="J8" s="6" t="s">
        <v>160</v>
      </c>
      <c r="K8" s="6" t="s">
        <v>930</v>
      </c>
    </row>
    <row r="9" customFormat="false" ht="23.25" hidden="false" customHeight="true" outlineLevel="0" collapsed="false">
      <c r="A9" s="6" t="s">
        <v>171</v>
      </c>
      <c r="B9" s="6" t="s">
        <v>156</v>
      </c>
      <c r="C9" s="6" t="s">
        <v>79</v>
      </c>
      <c r="D9" s="6" t="s">
        <v>172</v>
      </c>
      <c r="E9" s="6" t="n">
        <v>3</v>
      </c>
      <c r="F9" s="6" t="s">
        <v>165</v>
      </c>
      <c r="G9" s="6" t="s">
        <v>170</v>
      </c>
      <c r="H9" s="6" t="s">
        <v>924</v>
      </c>
      <c r="I9" s="6" t="s">
        <v>925</v>
      </c>
      <c r="J9" s="6" t="s">
        <v>160</v>
      </c>
      <c r="K9" s="6" t="s">
        <v>931</v>
      </c>
    </row>
    <row r="10" customFormat="false" ht="23.25" hidden="false" customHeight="true" outlineLevel="0" collapsed="false">
      <c r="A10" s="6" t="s">
        <v>173</v>
      </c>
      <c r="B10" s="6" t="s">
        <v>156</v>
      </c>
      <c r="C10" s="6" t="s">
        <v>79</v>
      </c>
      <c r="D10" s="6" t="s">
        <v>174</v>
      </c>
      <c r="E10" s="6" t="n">
        <v>3</v>
      </c>
      <c r="F10" s="6" t="s">
        <v>165</v>
      </c>
      <c r="G10" s="6" t="s">
        <v>170</v>
      </c>
      <c r="H10" s="6" t="s">
        <v>924</v>
      </c>
      <c r="I10" s="6" t="s">
        <v>925</v>
      </c>
      <c r="J10" s="6" t="s">
        <v>160</v>
      </c>
      <c r="K10" s="6" t="s">
        <v>932</v>
      </c>
    </row>
    <row r="11" customFormat="false" ht="23.25" hidden="false" customHeight="true" outlineLevel="0" collapsed="false">
      <c r="A11" s="6" t="s">
        <v>175</v>
      </c>
      <c r="B11" s="6" t="s">
        <v>156</v>
      </c>
      <c r="C11" s="6" t="s">
        <v>79</v>
      </c>
      <c r="D11" s="6" t="s">
        <v>176</v>
      </c>
      <c r="E11" s="6" t="n">
        <v>2</v>
      </c>
      <c r="F11" s="6" t="s">
        <v>177</v>
      </c>
      <c r="G11" s="6" t="s">
        <v>170</v>
      </c>
      <c r="H11" s="6" t="s">
        <v>924</v>
      </c>
      <c r="I11" s="6" t="s">
        <v>925</v>
      </c>
      <c r="J11" s="6" t="s">
        <v>160</v>
      </c>
      <c r="K11" s="6" t="s">
        <v>933</v>
      </c>
    </row>
    <row r="12" customFormat="false" ht="23.25" hidden="false" customHeight="true" outlineLevel="0" collapsed="false">
      <c r="A12" s="6" t="s">
        <v>178</v>
      </c>
      <c r="B12" s="6" t="s">
        <v>156</v>
      </c>
      <c r="C12" s="6" t="s">
        <v>79</v>
      </c>
      <c r="D12" s="6" t="s">
        <v>179</v>
      </c>
      <c r="E12" s="6" t="n">
        <v>5</v>
      </c>
      <c r="F12" s="6" t="s">
        <v>165</v>
      </c>
      <c r="G12" s="6" t="s">
        <v>170</v>
      </c>
      <c r="H12" s="6" t="s">
        <v>924</v>
      </c>
      <c r="I12" s="6" t="s">
        <v>925</v>
      </c>
      <c r="J12" s="6" t="s">
        <v>160</v>
      </c>
      <c r="K12" s="6" t="s">
        <v>934</v>
      </c>
    </row>
    <row r="13" customFormat="false" ht="23.25" hidden="false" customHeight="true" outlineLevel="0" collapsed="false">
      <c r="A13" s="6" t="s">
        <v>180</v>
      </c>
      <c r="B13" s="6" t="s">
        <v>156</v>
      </c>
      <c r="C13" s="6" t="s">
        <v>79</v>
      </c>
      <c r="D13" s="6" t="s">
        <v>181</v>
      </c>
      <c r="E13" s="6" t="n">
        <v>3</v>
      </c>
      <c r="F13" s="6" t="s">
        <v>177</v>
      </c>
      <c r="G13" s="6" t="s">
        <v>170</v>
      </c>
      <c r="H13" s="6" t="s">
        <v>924</v>
      </c>
      <c r="I13" s="6" t="s">
        <v>925</v>
      </c>
      <c r="J13" s="6" t="s">
        <v>160</v>
      </c>
      <c r="K13" s="6" t="s">
        <v>935</v>
      </c>
    </row>
    <row r="14" customFormat="false" ht="23.25" hidden="false" customHeight="true" outlineLevel="0" collapsed="false">
      <c r="A14" s="6" t="s">
        <v>182</v>
      </c>
      <c r="B14" s="6" t="s">
        <v>183</v>
      </c>
      <c r="C14" s="6" t="s">
        <v>83</v>
      </c>
      <c r="D14" s="6" t="s">
        <v>184</v>
      </c>
      <c r="E14" s="6" t="n">
        <v>5</v>
      </c>
      <c r="F14" s="6" t="s">
        <v>158</v>
      </c>
      <c r="G14" s="6" t="s">
        <v>170</v>
      </c>
      <c r="H14" s="6" t="s">
        <v>936</v>
      </c>
      <c r="I14" s="6" t="s">
        <v>925</v>
      </c>
      <c r="J14" s="6" t="s">
        <v>160</v>
      </c>
      <c r="K14" s="6" t="s">
        <v>937</v>
      </c>
    </row>
    <row r="15" customFormat="false" ht="23.25" hidden="false" customHeight="true" outlineLevel="0" collapsed="false">
      <c r="A15" s="6" t="s">
        <v>185</v>
      </c>
      <c r="B15" s="6" t="s">
        <v>183</v>
      </c>
      <c r="C15" s="6" t="s">
        <v>83</v>
      </c>
      <c r="D15" s="6" t="s">
        <v>186</v>
      </c>
      <c r="E15" s="6" t="n">
        <v>8</v>
      </c>
      <c r="F15" s="6" t="s">
        <v>158</v>
      </c>
      <c r="G15" s="6" t="s">
        <v>170</v>
      </c>
      <c r="H15" s="6" t="s">
        <v>936</v>
      </c>
      <c r="I15" s="6" t="s">
        <v>925</v>
      </c>
      <c r="J15" s="6" t="s">
        <v>160</v>
      </c>
      <c r="K15" s="6" t="s">
        <v>938</v>
      </c>
    </row>
    <row r="16" customFormat="false" ht="23.25" hidden="false" customHeight="true" outlineLevel="0" collapsed="false">
      <c r="A16" s="6" t="s">
        <v>187</v>
      </c>
      <c r="B16" s="6" t="s">
        <v>183</v>
      </c>
      <c r="C16" s="6" t="s">
        <v>83</v>
      </c>
      <c r="D16" s="6" t="s">
        <v>188</v>
      </c>
      <c r="E16" s="6" t="n">
        <v>5</v>
      </c>
      <c r="F16" s="6" t="s">
        <v>165</v>
      </c>
      <c r="G16" s="6" t="s">
        <v>170</v>
      </c>
      <c r="H16" s="6" t="s">
        <v>936</v>
      </c>
      <c r="I16" s="6" t="s">
        <v>925</v>
      </c>
      <c r="J16" s="6" t="s">
        <v>160</v>
      </c>
      <c r="K16" s="6" t="s">
        <v>928</v>
      </c>
    </row>
    <row r="17" customFormat="false" ht="23.25" hidden="false" customHeight="true" outlineLevel="0" collapsed="false">
      <c r="A17" s="6" t="s">
        <v>189</v>
      </c>
      <c r="B17" s="6" t="s">
        <v>183</v>
      </c>
      <c r="C17" s="6" t="s">
        <v>83</v>
      </c>
      <c r="D17" s="6" t="s">
        <v>190</v>
      </c>
      <c r="E17" s="6" t="n">
        <v>3</v>
      </c>
      <c r="F17" s="6" t="s">
        <v>158</v>
      </c>
      <c r="G17" s="6" t="s">
        <v>170</v>
      </c>
      <c r="H17" s="6" t="s">
        <v>936</v>
      </c>
      <c r="I17" s="6" t="s">
        <v>925</v>
      </c>
      <c r="J17" s="6" t="s">
        <v>160</v>
      </c>
      <c r="K17" s="6" t="s">
        <v>939</v>
      </c>
    </row>
    <row r="18" customFormat="false" ht="23.25" hidden="false" customHeight="true" outlineLevel="0" collapsed="false">
      <c r="A18" s="6" t="s">
        <v>191</v>
      </c>
      <c r="B18" s="6" t="s">
        <v>183</v>
      </c>
      <c r="C18" s="6" t="s">
        <v>83</v>
      </c>
      <c r="D18" s="6" t="s">
        <v>192</v>
      </c>
      <c r="E18" s="6" t="n">
        <v>5</v>
      </c>
      <c r="F18" s="6" t="s">
        <v>158</v>
      </c>
      <c r="G18" s="6" t="s">
        <v>193</v>
      </c>
      <c r="H18" s="6" t="s">
        <v>936</v>
      </c>
      <c r="I18" s="6" t="s">
        <v>925</v>
      </c>
      <c r="J18" s="6" t="s">
        <v>160</v>
      </c>
      <c r="K18" s="6" t="s">
        <v>930</v>
      </c>
    </row>
    <row r="19" customFormat="false" ht="23.25" hidden="false" customHeight="true" outlineLevel="0" collapsed="false">
      <c r="A19" s="6" t="s">
        <v>194</v>
      </c>
      <c r="B19" s="6" t="s">
        <v>183</v>
      </c>
      <c r="C19" s="6" t="s">
        <v>83</v>
      </c>
      <c r="D19" s="6" t="s">
        <v>195</v>
      </c>
      <c r="E19" s="6" t="n">
        <v>3</v>
      </c>
      <c r="F19" s="6" t="s">
        <v>165</v>
      </c>
      <c r="G19" s="6" t="s">
        <v>193</v>
      </c>
      <c r="H19" s="6" t="s">
        <v>936</v>
      </c>
      <c r="I19" s="6" t="s">
        <v>925</v>
      </c>
      <c r="J19" s="6" t="s">
        <v>160</v>
      </c>
      <c r="K19" s="6" t="s">
        <v>931</v>
      </c>
    </row>
    <row r="20" customFormat="false" ht="23.25" hidden="false" customHeight="true" outlineLevel="0" collapsed="false">
      <c r="A20" s="6" t="s">
        <v>196</v>
      </c>
      <c r="B20" s="6" t="s">
        <v>183</v>
      </c>
      <c r="C20" s="6" t="s">
        <v>83</v>
      </c>
      <c r="D20" s="6" t="s">
        <v>197</v>
      </c>
      <c r="E20" s="6" t="n">
        <v>3</v>
      </c>
      <c r="F20" s="6" t="s">
        <v>165</v>
      </c>
      <c r="G20" s="6" t="s">
        <v>193</v>
      </c>
      <c r="H20" s="6" t="s">
        <v>936</v>
      </c>
      <c r="I20" s="6" t="s">
        <v>925</v>
      </c>
      <c r="J20" s="6" t="s">
        <v>160</v>
      </c>
      <c r="K20" s="6" t="s">
        <v>932</v>
      </c>
    </row>
    <row r="21" customFormat="false" ht="23.25" hidden="false" customHeight="true" outlineLevel="0" collapsed="false">
      <c r="A21" s="6" t="s">
        <v>198</v>
      </c>
      <c r="B21" s="6" t="s">
        <v>183</v>
      </c>
      <c r="C21" s="6" t="s">
        <v>83</v>
      </c>
      <c r="D21" s="6" t="s">
        <v>199</v>
      </c>
      <c r="E21" s="6" t="n">
        <v>2</v>
      </c>
      <c r="F21" s="6" t="s">
        <v>177</v>
      </c>
      <c r="G21" s="6" t="s">
        <v>193</v>
      </c>
      <c r="H21" s="6" t="s">
        <v>936</v>
      </c>
      <c r="I21" s="6" t="s">
        <v>925</v>
      </c>
      <c r="J21" s="6" t="s">
        <v>160</v>
      </c>
      <c r="K21" s="6" t="s">
        <v>933</v>
      </c>
    </row>
    <row r="22" customFormat="false" ht="23.25" hidden="false" customHeight="true" outlineLevel="0" collapsed="false">
      <c r="A22" s="6" t="s">
        <v>200</v>
      </c>
      <c r="B22" s="6" t="s">
        <v>183</v>
      </c>
      <c r="C22" s="6" t="s">
        <v>83</v>
      </c>
      <c r="D22" s="6" t="s">
        <v>201</v>
      </c>
      <c r="E22" s="6" t="n">
        <v>5</v>
      </c>
      <c r="F22" s="6" t="s">
        <v>165</v>
      </c>
      <c r="G22" s="6" t="s">
        <v>193</v>
      </c>
      <c r="H22" s="6" t="s">
        <v>936</v>
      </c>
      <c r="I22" s="6" t="s">
        <v>925</v>
      </c>
      <c r="J22" s="6" t="s">
        <v>160</v>
      </c>
      <c r="K22" s="6" t="s">
        <v>934</v>
      </c>
    </row>
    <row r="23" customFormat="false" ht="23.25" hidden="false" customHeight="true" outlineLevel="0" collapsed="false">
      <c r="A23" s="6" t="s">
        <v>202</v>
      </c>
      <c r="B23" s="6" t="s">
        <v>183</v>
      </c>
      <c r="C23" s="6" t="s">
        <v>83</v>
      </c>
      <c r="D23" s="6" t="s">
        <v>203</v>
      </c>
      <c r="E23" s="6" t="n">
        <v>3</v>
      </c>
      <c r="F23" s="6" t="s">
        <v>177</v>
      </c>
      <c r="G23" s="6" t="s">
        <v>193</v>
      </c>
      <c r="H23" s="6" t="s">
        <v>936</v>
      </c>
      <c r="I23" s="6" t="s">
        <v>925</v>
      </c>
      <c r="J23" s="6" t="s">
        <v>160</v>
      </c>
      <c r="K23" s="6" t="s">
        <v>935</v>
      </c>
    </row>
    <row r="24" customFormat="false" ht="23.25" hidden="false" customHeight="true" outlineLevel="0" collapsed="false">
      <c r="A24" s="6" t="s">
        <v>204</v>
      </c>
      <c r="B24" s="6" t="s">
        <v>205</v>
      </c>
      <c r="C24" s="6" t="s">
        <v>86</v>
      </c>
      <c r="D24" s="6" t="s">
        <v>206</v>
      </c>
      <c r="E24" s="6" t="n">
        <v>5</v>
      </c>
      <c r="F24" s="6" t="s">
        <v>158</v>
      </c>
      <c r="G24" s="6" t="s">
        <v>207</v>
      </c>
      <c r="H24" s="6" t="s">
        <v>940</v>
      </c>
      <c r="I24" s="6" t="s">
        <v>925</v>
      </c>
      <c r="J24" s="6" t="s">
        <v>160</v>
      </c>
      <c r="K24" s="6" t="s">
        <v>941</v>
      </c>
    </row>
    <row r="25" customFormat="false" ht="23.25" hidden="false" customHeight="true" outlineLevel="0" collapsed="false">
      <c r="A25" s="6" t="s">
        <v>208</v>
      </c>
      <c r="B25" s="6" t="s">
        <v>205</v>
      </c>
      <c r="C25" s="6" t="s">
        <v>86</v>
      </c>
      <c r="D25" s="6" t="s">
        <v>209</v>
      </c>
      <c r="E25" s="6" t="n">
        <v>8</v>
      </c>
      <c r="F25" s="6" t="s">
        <v>158</v>
      </c>
      <c r="G25" s="6" t="s">
        <v>207</v>
      </c>
      <c r="H25" s="6" t="s">
        <v>940</v>
      </c>
      <c r="I25" s="6" t="s">
        <v>925</v>
      </c>
      <c r="J25" s="6" t="s">
        <v>160</v>
      </c>
      <c r="K25" s="6" t="s">
        <v>942</v>
      </c>
    </row>
    <row r="26" customFormat="false" ht="23.25" hidden="false" customHeight="true" outlineLevel="0" collapsed="false">
      <c r="A26" s="6" t="s">
        <v>210</v>
      </c>
      <c r="B26" s="6" t="s">
        <v>205</v>
      </c>
      <c r="C26" s="6" t="s">
        <v>86</v>
      </c>
      <c r="D26" s="6" t="s">
        <v>211</v>
      </c>
      <c r="E26" s="6" t="n">
        <v>5</v>
      </c>
      <c r="F26" s="6" t="s">
        <v>165</v>
      </c>
      <c r="G26" s="6" t="s">
        <v>207</v>
      </c>
      <c r="H26" s="6" t="s">
        <v>940</v>
      </c>
      <c r="I26" s="6" t="s">
        <v>925</v>
      </c>
      <c r="J26" s="6" t="s">
        <v>160</v>
      </c>
      <c r="K26" s="6" t="s">
        <v>928</v>
      </c>
    </row>
    <row r="27" customFormat="false" ht="23.25" hidden="false" customHeight="true" outlineLevel="0" collapsed="false">
      <c r="A27" s="6" t="s">
        <v>212</v>
      </c>
      <c r="B27" s="6" t="s">
        <v>205</v>
      </c>
      <c r="C27" s="6" t="s">
        <v>86</v>
      </c>
      <c r="D27" s="6" t="s">
        <v>213</v>
      </c>
      <c r="E27" s="6" t="n">
        <v>3</v>
      </c>
      <c r="F27" s="6" t="s">
        <v>158</v>
      </c>
      <c r="G27" s="6" t="s">
        <v>207</v>
      </c>
      <c r="H27" s="6" t="s">
        <v>940</v>
      </c>
      <c r="I27" s="6" t="s">
        <v>925</v>
      </c>
      <c r="J27" s="6" t="s">
        <v>160</v>
      </c>
      <c r="K27" s="6" t="s">
        <v>943</v>
      </c>
    </row>
    <row r="28" customFormat="false" ht="23.25" hidden="false" customHeight="true" outlineLevel="0" collapsed="false">
      <c r="A28" s="6" t="s">
        <v>214</v>
      </c>
      <c r="B28" s="6" t="s">
        <v>205</v>
      </c>
      <c r="C28" s="6" t="s">
        <v>86</v>
      </c>
      <c r="D28" s="6" t="s">
        <v>215</v>
      </c>
      <c r="E28" s="6" t="n">
        <v>5</v>
      </c>
      <c r="F28" s="6" t="s">
        <v>158</v>
      </c>
      <c r="G28" s="6" t="s">
        <v>207</v>
      </c>
      <c r="H28" s="6" t="s">
        <v>940</v>
      </c>
      <c r="I28" s="6" t="s">
        <v>925</v>
      </c>
      <c r="J28" s="6" t="s">
        <v>160</v>
      </c>
      <c r="K28" s="6" t="s">
        <v>930</v>
      </c>
    </row>
    <row r="29" customFormat="false" ht="23.25" hidden="false" customHeight="true" outlineLevel="0" collapsed="false">
      <c r="A29" s="6" t="s">
        <v>216</v>
      </c>
      <c r="B29" s="6" t="s">
        <v>205</v>
      </c>
      <c r="C29" s="6" t="s">
        <v>86</v>
      </c>
      <c r="D29" s="6" t="s">
        <v>217</v>
      </c>
      <c r="E29" s="6" t="n">
        <v>3</v>
      </c>
      <c r="F29" s="6" t="s">
        <v>165</v>
      </c>
      <c r="G29" s="6" t="s">
        <v>207</v>
      </c>
      <c r="H29" s="6" t="s">
        <v>940</v>
      </c>
      <c r="I29" s="6" t="s">
        <v>925</v>
      </c>
      <c r="J29" s="6" t="s">
        <v>160</v>
      </c>
      <c r="K29" s="6" t="s">
        <v>931</v>
      </c>
    </row>
    <row r="30" customFormat="false" ht="23.25" hidden="false" customHeight="true" outlineLevel="0" collapsed="false">
      <c r="A30" s="6" t="s">
        <v>218</v>
      </c>
      <c r="B30" s="6" t="s">
        <v>205</v>
      </c>
      <c r="C30" s="6" t="s">
        <v>86</v>
      </c>
      <c r="D30" s="6" t="s">
        <v>219</v>
      </c>
      <c r="E30" s="6" t="n">
        <v>3</v>
      </c>
      <c r="F30" s="6" t="s">
        <v>165</v>
      </c>
      <c r="G30" s="6" t="s">
        <v>207</v>
      </c>
      <c r="H30" s="6" t="s">
        <v>940</v>
      </c>
      <c r="I30" s="6" t="s">
        <v>925</v>
      </c>
      <c r="J30" s="6" t="s">
        <v>160</v>
      </c>
      <c r="K30" s="6" t="s">
        <v>932</v>
      </c>
    </row>
    <row r="31" customFormat="false" ht="23.25" hidden="false" customHeight="true" outlineLevel="0" collapsed="false">
      <c r="A31" s="6" t="s">
        <v>220</v>
      </c>
      <c r="B31" s="6" t="s">
        <v>205</v>
      </c>
      <c r="C31" s="6" t="s">
        <v>86</v>
      </c>
      <c r="D31" s="6" t="s">
        <v>221</v>
      </c>
      <c r="E31" s="6" t="n">
        <v>2</v>
      </c>
      <c r="F31" s="6" t="s">
        <v>177</v>
      </c>
      <c r="G31" s="6" t="s">
        <v>207</v>
      </c>
      <c r="H31" s="6" t="s">
        <v>940</v>
      </c>
      <c r="I31" s="6" t="s">
        <v>925</v>
      </c>
      <c r="J31" s="6" t="s">
        <v>160</v>
      </c>
      <c r="K31" s="6" t="s">
        <v>933</v>
      </c>
    </row>
    <row r="32" customFormat="false" ht="23.25" hidden="false" customHeight="true" outlineLevel="0" collapsed="false">
      <c r="A32" s="6" t="s">
        <v>222</v>
      </c>
      <c r="B32" s="6" t="s">
        <v>205</v>
      </c>
      <c r="C32" s="6" t="s">
        <v>86</v>
      </c>
      <c r="D32" s="6" t="s">
        <v>223</v>
      </c>
      <c r="E32" s="6" t="n">
        <v>5</v>
      </c>
      <c r="F32" s="6" t="s">
        <v>165</v>
      </c>
      <c r="G32" s="6" t="s">
        <v>207</v>
      </c>
      <c r="H32" s="6" t="s">
        <v>940</v>
      </c>
      <c r="I32" s="6" t="s">
        <v>925</v>
      </c>
      <c r="J32" s="6" t="s">
        <v>160</v>
      </c>
      <c r="K32" s="6" t="s">
        <v>934</v>
      </c>
    </row>
    <row r="33" customFormat="false" ht="23.25" hidden="false" customHeight="true" outlineLevel="0" collapsed="false">
      <c r="A33" s="6" t="s">
        <v>224</v>
      </c>
      <c r="B33" s="6" t="s">
        <v>205</v>
      </c>
      <c r="C33" s="6" t="s">
        <v>86</v>
      </c>
      <c r="D33" s="6" t="s">
        <v>225</v>
      </c>
      <c r="E33" s="6" t="n">
        <v>3</v>
      </c>
      <c r="F33" s="6" t="s">
        <v>177</v>
      </c>
      <c r="G33" s="6" t="s">
        <v>207</v>
      </c>
      <c r="H33" s="6" t="s">
        <v>940</v>
      </c>
      <c r="I33" s="6" t="s">
        <v>925</v>
      </c>
      <c r="J33" s="6" t="s">
        <v>160</v>
      </c>
      <c r="K33" s="6" t="s">
        <v>935</v>
      </c>
    </row>
    <row r="34" customFormat="false" ht="23.25" hidden="false" customHeight="true" outlineLevel="0" collapsed="false">
      <c r="A34" s="6" t="s">
        <v>226</v>
      </c>
      <c r="B34" s="6" t="s">
        <v>227</v>
      </c>
      <c r="C34" s="6" t="s">
        <v>89</v>
      </c>
      <c r="D34" s="6" t="s">
        <v>228</v>
      </c>
      <c r="E34" s="6" t="n">
        <v>5</v>
      </c>
      <c r="F34" s="6" t="s">
        <v>158</v>
      </c>
      <c r="G34" s="6" t="s">
        <v>229</v>
      </c>
      <c r="H34" s="6" t="s">
        <v>944</v>
      </c>
      <c r="I34" s="6" t="s">
        <v>925</v>
      </c>
      <c r="J34" s="6" t="s">
        <v>160</v>
      </c>
      <c r="K34" s="6" t="s">
        <v>945</v>
      </c>
    </row>
    <row r="35" customFormat="false" ht="23.25" hidden="false" customHeight="true" outlineLevel="0" collapsed="false">
      <c r="A35" s="6" t="s">
        <v>230</v>
      </c>
      <c r="B35" s="6" t="s">
        <v>227</v>
      </c>
      <c r="C35" s="6" t="s">
        <v>89</v>
      </c>
      <c r="D35" s="6" t="s">
        <v>231</v>
      </c>
      <c r="E35" s="6" t="n">
        <v>8</v>
      </c>
      <c r="F35" s="6" t="s">
        <v>158</v>
      </c>
      <c r="G35" s="6" t="s">
        <v>229</v>
      </c>
      <c r="H35" s="6" t="s">
        <v>944</v>
      </c>
      <c r="I35" s="6" t="s">
        <v>925</v>
      </c>
      <c r="J35" s="6" t="s">
        <v>160</v>
      </c>
      <c r="K35" s="6" t="s">
        <v>946</v>
      </c>
    </row>
    <row r="36" customFormat="false" ht="23.25" hidden="false" customHeight="true" outlineLevel="0" collapsed="false">
      <c r="A36" s="6" t="s">
        <v>232</v>
      </c>
      <c r="B36" s="6" t="s">
        <v>227</v>
      </c>
      <c r="C36" s="6" t="s">
        <v>89</v>
      </c>
      <c r="D36" s="6" t="s">
        <v>233</v>
      </c>
      <c r="E36" s="6" t="n">
        <v>5</v>
      </c>
      <c r="F36" s="6" t="s">
        <v>165</v>
      </c>
      <c r="G36" s="6" t="s">
        <v>229</v>
      </c>
      <c r="H36" s="6" t="s">
        <v>944</v>
      </c>
      <c r="I36" s="6" t="s">
        <v>925</v>
      </c>
      <c r="J36" s="6" t="s">
        <v>160</v>
      </c>
      <c r="K36" s="6" t="s">
        <v>928</v>
      </c>
    </row>
    <row r="37" customFormat="false" ht="23.25" hidden="false" customHeight="true" outlineLevel="0" collapsed="false">
      <c r="A37" s="6" t="s">
        <v>234</v>
      </c>
      <c r="B37" s="6" t="s">
        <v>227</v>
      </c>
      <c r="C37" s="6" t="s">
        <v>89</v>
      </c>
      <c r="D37" s="6" t="s">
        <v>235</v>
      </c>
      <c r="E37" s="6" t="n">
        <v>3</v>
      </c>
      <c r="F37" s="6" t="s">
        <v>158</v>
      </c>
      <c r="G37" s="6" t="s">
        <v>229</v>
      </c>
      <c r="H37" s="6" t="s">
        <v>944</v>
      </c>
      <c r="I37" s="6" t="s">
        <v>925</v>
      </c>
      <c r="J37" s="6" t="s">
        <v>160</v>
      </c>
      <c r="K37" s="6" t="s">
        <v>947</v>
      </c>
    </row>
    <row r="38" customFormat="false" ht="23.25" hidden="false" customHeight="true" outlineLevel="0" collapsed="false">
      <c r="A38" s="6" t="s">
        <v>236</v>
      </c>
      <c r="B38" s="6" t="s">
        <v>227</v>
      </c>
      <c r="C38" s="6" t="s">
        <v>89</v>
      </c>
      <c r="D38" s="6" t="s">
        <v>237</v>
      </c>
      <c r="E38" s="6" t="n">
        <v>5</v>
      </c>
      <c r="F38" s="6" t="s">
        <v>158</v>
      </c>
      <c r="G38" s="6" t="s">
        <v>229</v>
      </c>
      <c r="H38" s="6" t="s">
        <v>944</v>
      </c>
      <c r="I38" s="6" t="s">
        <v>925</v>
      </c>
      <c r="J38" s="6" t="s">
        <v>160</v>
      </c>
      <c r="K38" s="6" t="s">
        <v>930</v>
      </c>
    </row>
    <row r="39" customFormat="false" ht="23.25" hidden="false" customHeight="true" outlineLevel="0" collapsed="false">
      <c r="A39" s="6" t="s">
        <v>238</v>
      </c>
      <c r="B39" s="6" t="s">
        <v>227</v>
      </c>
      <c r="C39" s="6" t="s">
        <v>89</v>
      </c>
      <c r="D39" s="6" t="s">
        <v>239</v>
      </c>
      <c r="E39" s="6" t="n">
        <v>3</v>
      </c>
      <c r="F39" s="6" t="s">
        <v>165</v>
      </c>
      <c r="G39" s="6" t="s">
        <v>229</v>
      </c>
      <c r="H39" s="6" t="s">
        <v>944</v>
      </c>
      <c r="I39" s="6" t="s">
        <v>925</v>
      </c>
      <c r="J39" s="6" t="s">
        <v>160</v>
      </c>
      <c r="K39" s="6" t="s">
        <v>931</v>
      </c>
    </row>
    <row r="40" customFormat="false" ht="23.25" hidden="false" customHeight="true" outlineLevel="0" collapsed="false">
      <c r="A40" s="6" t="s">
        <v>240</v>
      </c>
      <c r="B40" s="6" t="s">
        <v>227</v>
      </c>
      <c r="C40" s="6" t="s">
        <v>89</v>
      </c>
      <c r="D40" s="6" t="s">
        <v>241</v>
      </c>
      <c r="E40" s="6" t="n">
        <v>3</v>
      </c>
      <c r="F40" s="6" t="s">
        <v>165</v>
      </c>
      <c r="G40" s="6" t="s">
        <v>229</v>
      </c>
      <c r="H40" s="6" t="s">
        <v>944</v>
      </c>
      <c r="I40" s="6" t="s">
        <v>925</v>
      </c>
      <c r="J40" s="6" t="s">
        <v>160</v>
      </c>
      <c r="K40" s="6" t="s">
        <v>932</v>
      </c>
    </row>
    <row r="41" customFormat="false" ht="23.25" hidden="false" customHeight="true" outlineLevel="0" collapsed="false">
      <c r="A41" s="6" t="s">
        <v>242</v>
      </c>
      <c r="B41" s="6" t="s">
        <v>227</v>
      </c>
      <c r="C41" s="6" t="s">
        <v>89</v>
      </c>
      <c r="D41" s="6" t="s">
        <v>243</v>
      </c>
      <c r="E41" s="6" t="n">
        <v>2</v>
      </c>
      <c r="F41" s="6" t="s">
        <v>177</v>
      </c>
      <c r="G41" s="6" t="s">
        <v>229</v>
      </c>
      <c r="H41" s="6" t="s">
        <v>944</v>
      </c>
      <c r="I41" s="6" t="s">
        <v>925</v>
      </c>
      <c r="J41" s="6" t="s">
        <v>160</v>
      </c>
      <c r="K41" s="6" t="s">
        <v>933</v>
      </c>
    </row>
    <row r="42" customFormat="false" ht="23.25" hidden="false" customHeight="true" outlineLevel="0" collapsed="false">
      <c r="A42" s="6" t="s">
        <v>244</v>
      </c>
      <c r="B42" s="6" t="s">
        <v>227</v>
      </c>
      <c r="C42" s="6" t="s">
        <v>89</v>
      </c>
      <c r="D42" s="6" t="s">
        <v>245</v>
      </c>
      <c r="E42" s="6" t="n">
        <v>5</v>
      </c>
      <c r="F42" s="6" t="s">
        <v>165</v>
      </c>
      <c r="G42" s="6" t="s">
        <v>229</v>
      </c>
      <c r="H42" s="6" t="s">
        <v>944</v>
      </c>
      <c r="I42" s="6" t="s">
        <v>925</v>
      </c>
      <c r="J42" s="6" t="s">
        <v>160</v>
      </c>
      <c r="K42" s="6" t="s">
        <v>934</v>
      </c>
    </row>
    <row r="43" customFormat="false" ht="23.25" hidden="false" customHeight="true" outlineLevel="0" collapsed="false">
      <c r="A43" s="6" t="s">
        <v>246</v>
      </c>
      <c r="B43" s="6" t="s">
        <v>227</v>
      </c>
      <c r="C43" s="6" t="s">
        <v>89</v>
      </c>
      <c r="D43" s="6" t="s">
        <v>247</v>
      </c>
      <c r="E43" s="6" t="n">
        <v>3</v>
      </c>
      <c r="F43" s="6" t="s">
        <v>177</v>
      </c>
      <c r="G43" s="6" t="s">
        <v>229</v>
      </c>
      <c r="H43" s="6" t="s">
        <v>944</v>
      </c>
      <c r="I43" s="6" t="s">
        <v>925</v>
      </c>
      <c r="J43" s="6" t="s">
        <v>160</v>
      </c>
      <c r="K43" s="6" t="s">
        <v>935</v>
      </c>
    </row>
    <row r="44" customFormat="false" ht="23.25" hidden="false" customHeight="true" outlineLevel="0" collapsed="false">
      <c r="A44" s="6" t="s">
        <v>248</v>
      </c>
      <c r="B44" s="6" t="s">
        <v>249</v>
      </c>
      <c r="C44" s="6" t="s">
        <v>92</v>
      </c>
      <c r="D44" s="6" t="s">
        <v>250</v>
      </c>
      <c r="E44" s="6" t="n">
        <v>5</v>
      </c>
      <c r="F44" s="6" t="s">
        <v>158</v>
      </c>
      <c r="G44" s="6" t="s">
        <v>251</v>
      </c>
      <c r="H44" s="6" t="s">
        <v>948</v>
      </c>
      <c r="I44" s="6" t="s">
        <v>925</v>
      </c>
      <c r="J44" s="6" t="s">
        <v>160</v>
      </c>
      <c r="K44" s="6" t="s">
        <v>949</v>
      </c>
    </row>
    <row r="45" customFormat="false" ht="23.25" hidden="false" customHeight="true" outlineLevel="0" collapsed="false">
      <c r="A45" s="6" t="s">
        <v>252</v>
      </c>
      <c r="B45" s="6" t="s">
        <v>249</v>
      </c>
      <c r="C45" s="6" t="s">
        <v>92</v>
      </c>
      <c r="D45" s="6" t="s">
        <v>253</v>
      </c>
      <c r="E45" s="6" t="n">
        <v>8</v>
      </c>
      <c r="F45" s="6" t="s">
        <v>158</v>
      </c>
      <c r="G45" s="6" t="s">
        <v>251</v>
      </c>
      <c r="H45" s="6" t="s">
        <v>948</v>
      </c>
      <c r="I45" s="6" t="s">
        <v>925</v>
      </c>
      <c r="J45" s="6" t="s">
        <v>160</v>
      </c>
      <c r="K45" s="6" t="s">
        <v>950</v>
      </c>
    </row>
    <row r="46" customFormat="false" ht="23.25" hidden="false" customHeight="true" outlineLevel="0" collapsed="false">
      <c r="A46" s="6" t="s">
        <v>254</v>
      </c>
      <c r="B46" s="6" t="s">
        <v>249</v>
      </c>
      <c r="C46" s="6" t="s">
        <v>92</v>
      </c>
      <c r="D46" s="6" t="s">
        <v>255</v>
      </c>
      <c r="E46" s="6" t="n">
        <v>5</v>
      </c>
      <c r="F46" s="6" t="s">
        <v>165</v>
      </c>
      <c r="G46" s="6" t="s">
        <v>251</v>
      </c>
      <c r="H46" s="6" t="s">
        <v>948</v>
      </c>
      <c r="I46" s="6" t="s">
        <v>925</v>
      </c>
      <c r="J46" s="6" t="s">
        <v>160</v>
      </c>
      <c r="K46" s="6" t="s">
        <v>928</v>
      </c>
    </row>
    <row r="47" customFormat="false" ht="23.25" hidden="false" customHeight="true" outlineLevel="0" collapsed="false">
      <c r="A47" s="6" t="s">
        <v>256</v>
      </c>
      <c r="B47" s="6" t="s">
        <v>249</v>
      </c>
      <c r="C47" s="6" t="s">
        <v>92</v>
      </c>
      <c r="D47" s="6" t="s">
        <v>257</v>
      </c>
      <c r="E47" s="6" t="n">
        <v>3</v>
      </c>
      <c r="F47" s="6" t="s">
        <v>158</v>
      </c>
      <c r="G47" s="6" t="s">
        <v>251</v>
      </c>
      <c r="H47" s="6" t="s">
        <v>948</v>
      </c>
      <c r="I47" s="6" t="s">
        <v>925</v>
      </c>
      <c r="J47" s="6" t="s">
        <v>160</v>
      </c>
      <c r="K47" s="6" t="s">
        <v>951</v>
      </c>
    </row>
    <row r="48" customFormat="false" ht="23.25" hidden="false" customHeight="true" outlineLevel="0" collapsed="false">
      <c r="A48" s="6" t="s">
        <v>258</v>
      </c>
      <c r="B48" s="6" t="s">
        <v>249</v>
      </c>
      <c r="C48" s="6" t="s">
        <v>92</v>
      </c>
      <c r="D48" s="6" t="s">
        <v>259</v>
      </c>
      <c r="E48" s="6" t="n">
        <v>5</v>
      </c>
      <c r="F48" s="6" t="s">
        <v>158</v>
      </c>
      <c r="G48" s="6" t="s">
        <v>251</v>
      </c>
      <c r="H48" s="6" t="s">
        <v>948</v>
      </c>
      <c r="I48" s="6" t="s">
        <v>925</v>
      </c>
      <c r="J48" s="6" t="s">
        <v>160</v>
      </c>
      <c r="K48" s="6" t="s">
        <v>930</v>
      </c>
    </row>
    <row r="49" customFormat="false" ht="23.25" hidden="false" customHeight="true" outlineLevel="0" collapsed="false">
      <c r="A49" s="6" t="s">
        <v>260</v>
      </c>
      <c r="B49" s="6" t="s">
        <v>249</v>
      </c>
      <c r="C49" s="6" t="s">
        <v>92</v>
      </c>
      <c r="D49" s="6" t="s">
        <v>261</v>
      </c>
      <c r="E49" s="6" t="n">
        <v>3</v>
      </c>
      <c r="F49" s="6" t="s">
        <v>165</v>
      </c>
      <c r="G49" s="6" t="s">
        <v>251</v>
      </c>
      <c r="H49" s="6" t="s">
        <v>948</v>
      </c>
      <c r="I49" s="6" t="s">
        <v>925</v>
      </c>
      <c r="J49" s="6" t="s">
        <v>160</v>
      </c>
      <c r="K49" s="6" t="s">
        <v>931</v>
      </c>
    </row>
    <row r="50" customFormat="false" ht="23.25" hidden="false" customHeight="true" outlineLevel="0" collapsed="false">
      <c r="A50" s="6" t="s">
        <v>262</v>
      </c>
      <c r="B50" s="6" t="s">
        <v>249</v>
      </c>
      <c r="C50" s="6" t="s">
        <v>92</v>
      </c>
      <c r="D50" s="6" t="s">
        <v>263</v>
      </c>
      <c r="E50" s="6" t="n">
        <v>3</v>
      </c>
      <c r="F50" s="6" t="s">
        <v>165</v>
      </c>
      <c r="G50" s="6" t="s">
        <v>251</v>
      </c>
      <c r="H50" s="6" t="s">
        <v>948</v>
      </c>
      <c r="I50" s="6" t="s">
        <v>925</v>
      </c>
      <c r="J50" s="6" t="s">
        <v>160</v>
      </c>
      <c r="K50" s="6" t="s">
        <v>932</v>
      </c>
    </row>
    <row r="51" customFormat="false" ht="23.25" hidden="false" customHeight="true" outlineLevel="0" collapsed="false">
      <c r="A51" s="6" t="s">
        <v>264</v>
      </c>
      <c r="B51" s="6" t="s">
        <v>249</v>
      </c>
      <c r="C51" s="6" t="s">
        <v>92</v>
      </c>
      <c r="D51" s="6" t="s">
        <v>265</v>
      </c>
      <c r="E51" s="6" t="n">
        <v>2</v>
      </c>
      <c r="F51" s="6" t="s">
        <v>177</v>
      </c>
      <c r="G51" s="6" t="s">
        <v>251</v>
      </c>
      <c r="H51" s="6" t="s">
        <v>948</v>
      </c>
      <c r="I51" s="6" t="s">
        <v>925</v>
      </c>
      <c r="J51" s="6" t="s">
        <v>160</v>
      </c>
      <c r="K51" s="6" t="s">
        <v>933</v>
      </c>
    </row>
    <row r="52" customFormat="false" ht="23.25" hidden="false" customHeight="true" outlineLevel="0" collapsed="false">
      <c r="A52" s="6" t="s">
        <v>266</v>
      </c>
      <c r="B52" s="6" t="s">
        <v>249</v>
      </c>
      <c r="C52" s="6" t="s">
        <v>92</v>
      </c>
      <c r="D52" s="6" t="s">
        <v>267</v>
      </c>
      <c r="E52" s="6" t="n">
        <v>5</v>
      </c>
      <c r="F52" s="6" t="s">
        <v>165</v>
      </c>
      <c r="G52" s="6" t="s">
        <v>251</v>
      </c>
      <c r="H52" s="6" t="s">
        <v>948</v>
      </c>
      <c r="I52" s="6" t="s">
        <v>925</v>
      </c>
      <c r="J52" s="6" t="s">
        <v>160</v>
      </c>
      <c r="K52" s="6" t="s">
        <v>934</v>
      </c>
    </row>
    <row r="53" customFormat="false" ht="23.25" hidden="false" customHeight="true" outlineLevel="0" collapsed="false">
      <c r="A53" s="6" t="s">
        <v>268</v>
      </c>
      <c r="B53" s="6" t="s">
        <v>249</v>
      </c>
      <c r="C53" s="6" t="s">
        <v>92</v>
      </c>
      <c r="D53" s="6" t="s">
        <v>269</v>
      </c>
      <c r="E53" s="6" t="n">
        <v>3</v>
      </c>
      <c r="F53" s="6" t="s">
        <v>177</v>
      </c>
      <c r="G53" s="6" t="s">
        <v>251</v>
      </c>
      <c r="H53" s="6" t="s">
        <v>948</v>
      </c>
      <c r="I53" s="6" t="s">
        <v>925</v>
      </c>
      <c r="J53" s="6" t="s">
        <v>160</v>
      </c>
      <c r="K53" s="6" t="s">
        <v>935</v>
      </c>
    </row>
    <row r="54" customFormat="false" ht="23.25" hidden="false" customHeight="true" outlineLevel="0" collapsed="false">
      <c r="A54" s="6" t="s">
        <v>270</v>
      </c>
      <c r="B54" s="6" t="s">
        <v>271</v>
      </c>
      <c r="C54" s="6" t="s">
        <v>952</v>
      </c>
      <c r="D54" s="6" t="s">
        <v>272</v>
      </c>
      <c r="E54" s="6" t="n">
        <v>5</v>
      </c>
      <c r="F54" s="6" t="s">
        <v>158</v>
      </c>
      <c r="G54" s="6" t="s">
        <v>273</v>
      </c>
      <c r="H54" s="6" t="s">
        <v>953</v>
      </c>
      <c r="I54" s="6" t="s">
        <v>925</v>
      </c>
      <c r="J54" s="6" t="s">
        <v>160</v>
      </c>
      <c r="K54" s="6" t="s">
        <v>954</v>
      </c>
    </row>
    <row r="55" customFormat="false" ht="23.25" hidden="false" customHeight="true" outlineLevel="0" collapsed="false">
      <c r="A55" s="6" t="s">
        <v>274</v>
      </c>
      <c r="B55" s="6" t="s">
        <v>271</v>
      </c>
      <c r="C55" s="6" t="s">
        <v>952</v>
      </c>
      <c r="D55" s="6" t="s">
        <v>275</v>
      </c>
      <c r="E55" s="6" t="n">
        <v>3</v>
      </c>
      <c r="F55" s="6" t="s">
        <v>158</v>
      </c>
      <c r="G55" s="6" t="s">
        <v>273</v>
      </c>
      <c r="H55" s="6" t="s">
        <v>953</v>
      </c>
      <c r="I55" s="6" t="s">
        <v>925</v>
      </c>
      <c r="J55" s="6" t="s">
        <v>160</v>
      </c>
      <c r="K55" s="6" t="s">
        <v>955</v>
      </c>
    </row>
    <row r="56" customFormat="false" ht="23.25" hidden="false" customHeight="true" outlineLevel="0" collapsed="false">
      <c r="A56" s="6" t="s">
        <v>276</v>
      </c>
      <c r="B56" s="6" t="s">
        <v>271</v>
      </c>
      <c r="C56" s="6" t="s">
        <v>952</v>
      </c>
      <c r="D56" s="6" t="s">
        <v>277</v>
      </c>
      <c r="E56" s="6" t="n">
        <v>3</v>
      </c>
      <c r="F56" s="6" t="s">
        <v>165</v>
      </c>
      <c r="G56" s="6" t="s">
        <v>159</v>
      </c>
      <c r="H56" s="6" t="s">
        <v>953</v>
      </c>
      <c r="I56" s="6" t="s">
        <v>925</v>
      </c>
      <c r="J56" s="6" t="s">
        <v>160</v>
      </c>
      <c r="K56" s="6" t="s">
        <v>956</v>
      </c>
    </row>
    <row r="57" customFormat="false" ht="23.25" hidden="false" customHeight="true" outlineLevel="0" collapsed="false">
      <c r="A57" s="6" t="s">
        <v>278</v>
      </c>
      <c r="B57" s="6" t="s">
        <v>271</v>
      </c>
      <c r="C57" s="6" t="s">
        <v>952</v>
      </c>
      <c r="D57" s="6" t="s">
        <v>279</v>
      </c>
      <c r="E57" s="6" t="n">
        <v>5</v>
      </c>
      <c r="F57" s="6" t="s">
        <v>158</v>
      </c>
      <c r="G57" s="6" t="s">
        <v>159</v>
      </c>
      <c r="H57" s="6" t="s">
        <v>953</v>
      </c>
      <c r="I57" s="6" t="s">
        <v>925</v>
      </c>
      <c r="J57" s="6" t="s">
        <v>160</v>
      </c>
      <c r="K57" s="6" t="s">
        <v>957</v>
      </c>
    </row>
    <row r="58" customFormat="false" ht="23.25" hidden="false" customHeight="true" outlineLevel="0" collapsed="false">
      <c r="A58" s="6" t="s">
        <v>280</v>
      </c>
      <c r="B58" s="6" t="s">
        <v>271</v>
      </c>
      <c r="C58" s="6" t="s">
        <v>952</v>
      </c>
      <c r="D58" s="6" t="s">
        <v>281</v>
      </c>
      <c r="E58" s="6" t="n">
        <v>3</v>
      </c>
      <c r="F58" s="6" t="s">
        <v>158</v>
      </c>
      <c r="G58" s="6" t="s">
        <v>273</v>
      </c>
      <c r="H58" s="6" t="s">
        <v>953</v>
      </c>
      <c r="I58" s="6" t="s">
        <v>925</v>
      </c>
      <c r="J58" s="6" t="s">
        <v>160</v>
      </c>
      <c r="K58" s="6" t="s">
        <v>958</v>
      </c>
    </row>
    <row r="59" customFormat="false" ht="23.25" hidden="false" customHeight="true" outlineLevel="0" collapsed="false">
      <c r="A59" s="6" t="s">
        <v>282</v>
      </c>
      <c r="B59" s="6" t="s">
        <v>271</v>
      </c>
      <c r="C59" s="6" t="s">
        <v>952</v>
      </c>
      <c r="D59" s="6" t="s">
        <v>283</v>
      </c>
      <c r="E59" s="6" t="n">
        <v>2</v>
      </c>
      <c r="F59" s="6" t="s">
        <v>165</v>
      </c>
      <c r="G59" s="6" t="s">
        <v>273</v>
      </c>
      <c r="H59" s="6" t="s">
        <v>953</v>
      </c>
      <c r="I59" s="6" t="s">
        <v>925</v>
      </c>
      <c r="J59" s="6" t="s">
        <v>160</v>
      </c>
      <c r="K59" s="6" t="s">
        <v>959</v>
      </c>
    </row>
    <row r="60" customFormat="false" ht="23.25" hidden="false" customHeight="true" outlineLevel="0" collapsed="false">
      <c r="A60" s="6" t="s">
        <v>284</v>
      </c>
      <c r="B60" s="6" t="s">
        <v>285</v>
      </c>
      <c r="C60" s="6" t="s">
        <v>960</v>
      </c>
      <c r="D60" s="6" t="s">
        <v>286</v>
      </c>
      <c r="E60" s="6" t="n">
        <v>5</v>
      </c>
      <c r="F60" s="6" t="s">
        <v>158</v>
      </c>
      <c r="G60" s="6" t="s">
        <v>229</v>
      </c>
      <c r="H60" s="6" t="s">
        <v>961</v>
      </c>
      <c r="I60" s="6" t="s">
        <v>925</v>
      </c>
      <c r="J60" s="6" t="s">
        <v>160</v>
      </c>
      <c r="K60" s="6" t="s">
        <v>962</v>
      </c>
    </row>
    <row r="61" customFormat="false" ht="23.25" hidden="false" customHeight="true" outlineLevel="0" collapsed="false">
      <c r="A61" s="6" t="s">
        <v>287</v>
      </c>
      <c r="B61" s="6" t="s">
        <v>285</v>
      </c>
      <c r="C61" s="6" t="s">
        <v>960</v>
      </c>
      <c r="D61" s="6" t="s">
        <v>288</v>
      </c>
      <c r="E61" s="6" t="n">
        <v>5</v>
      </c>
      <c r="F61" s="6" t="s">
        <v>158</v>
      </c>
      <c r="G61" s="6" t="s">
        <v>229</v>
      </c>
      <c r="H61" s="6" t="s">
        <v>961</v>
      </c>
      <c r="I61" s="6" t="s">
        <v>925</v>
      </c>
      <c r="J61" s="6" t="s">
        <v>160</v>
      </c>
      <c r="K61" s="6" t="s">
        <v>963</v>
      </c>
    </row>
    <row r="62" customFormat="false" ht="23.25" hidden="false" customHeight="true" outlineLevel="0" collapsed="false">
      <c r="A62" s="6" t="s">
        <v>289</v>
      </c>
      <c r="B62" s="6" t="s">
        <v>285</v>
      </c>
      <c r="C62" s="6" t="s">
        <v>960</v>
      </c>
      <c r="D62" s="6" t="s">
        <v>290</v>
      </c>
      <c r="E62" s="6" t="n">
        <v>8</v>
      </c>
      <c r="F62" s="6" t="s">
        <v>158</v>
      </c>
      <c r="G62" s="6" t="s">
        <v>229</v>
      </c>
      <c r="H62" s="6" t="s">
        <v>961</v>
      </c>
      <c r="I62" s="6" t="s">
        <v>925</v>
      </c>
      <c r="J62" s="6" t="s">
        <v>291</v>
      </c>
      <c r="K62" s="6" t="s">
        <v>964</v>
      </c>
    </row>
    <row r="63" customFormat="false" ht="23.25" hidden="false" customHeight="true" outlineLevel="0" collapsed="false">
      <c r="A63" s="6" t="s">
        <v>292</v>
      </c>
      <c r="B63" s="6" t="s">
        <v>285</v>
      </c>
      <c r="C63" s="6" t="s">
        <v>960</v>
      </c>
      <c r="D63" s="6" t="s">
        <v>293</v>
      </c>
      <c r="E63" s="6" t="n">
        <v>3</v>
      </c>
      <c r="F63" s="6" t="s">
        <v>165</v>
      </c>
      <c r="G63" s="6" t="s">
        <v>294</v>
      </c>
      <c r="H63" s="6" t="s">
        <v>961</v>
      </c>
      <c r="I63" s="6" t="s">
        <v>925</v>
      </c>
      <c r="J63" s="6" t="s">
        <v>160</v>
      </c>
      <c r="K63" s="6" t="s">
        <v>965</v>
      </c>
    </row>
    <row r="64" customFormat="false" ht="23.25" hidden="false" customHeight="true" outlineLevel="0" collapsed="false">
      <c r="A64" s="6" t="s">
        <v>295</v>
      </c>
      <c r="B64" s="6" t="s">
        <v>285</v>
      </c>
      <c r="C64" s="6" t="s">
        <v>960</v>
      </c>
      <c r="D64" s="6" t="s">
        <v>296</v>
      </c>
      <c r="E64" s="6" t="n">
        <v>3</v>
      </c>
      <c r="F64" s="6" t="s">
        <v>165</v>
      </c>
      <c r="G64" s="6" t="s">
        <v>294</v>
      </c>
      <c r="H64" s="6" t="s">
        <v>961</v>
      </c>
      <c r="I64" s="6" t="s">
        <v>925</v>
      </c>
      <c r="J64" s="6" t="s">
        <v>160</v>
      </c>
      <c r="K64" s="6" t="s">
        <v>966</v>
      </c>
    </row>
    <row r="65" customFormat="false" ht="23.25" hidden="false" customHeight="true" outlineLevel="0" collapsed="false">
      <c r="A65" s="6" t="s">
        <v>297</v>
      </c>
      <c r="B65" s="6" t="s">
        <v>285</v>
      </c>
      <c r="C65" s="6" t="s">
        <v>960</v>
      </c>
      <c r="D65" s="6" t="s">
        <v>298</v>
      </c>
      <c r="E65" s="6" t="n">
        <v>3</v>
      </c>
      <c r="F65" s="6" t="s">
        <v>177</v>
      </c>
      <c r="G65" s="6" t="s">
        <v>294</v>
      </c>
      <c r="H65" s="6" t="s">
        <v>961</v>
      </c>
      <c r="I65" s="6" t="s">
        <v>925</v>
      </c>
      <c r="J65" s="6" t="s">
        <v>160</v>
      </c>
      <c r="K65" s="6" t="s">
        <v>967</v>
      </c>
    </row>
    <row r="66" customFormat="false" ht="23.25" hidden="false" customHeight="true" outlineLevel="0" collapsed="false">
      <c r="A66" s="6" t="s">
        <v>299</v>
      </c>
      <c r="B66" s="6" t="s">
        <v>285</v>
      </c>
      <c r="C66" s="6" t="s">
        <v>960</v>
      </c>
      <c r="D66" s="6" t="s">
        <v>300</v>
      </c>
      <c r="E66" s="6" t="n">
        <v>3</v>
      </c>
      <c r="F66" s="6" t="s">
        <v>165</v>
      </c>
      <c r="G66" s="6" t="s">
        <v>294</v>
      </c>
      <c r="H66" s="6" t="s">
        <v>961</v>
      </c>
      <c r="I66" s="6" t="s">
        <v>925</v>
      </c>
      <c r="J66" s="6" t="s">
        <v>160</v>
      </c>
      <c r="K66" s="6" t="s">
        <v>968</v>
      </c>
    </row>
    <row r="67" customFormat="false" ht="23.25" hidden="false" customHeight="true" outlineLevel="0" collapsed="false">
      <c r="A67" s="6" t="s">
        <v>301</v>
      </c>
      <c r="B67" s="6" t="s">
        <v>302</v>
      </c>
      <c r="C67" s="6" t="s">
        <v>969</v>
      </c>
      <c r="D67" s="6" t="s">
        <v>303</v>
      </c>
      <c r="E67" s="6" t="n">
        <v>3</v>
      </c>
      <c r="F67" s="6" t="s">
        <v>158</v>
      </c>
      <c r="G67" s="6" t="s">
        <v>294</v>
      </c>
      <c r="H67" s="6" t="s">
        <v>970</v>
      </c>
      <c r="I67" s="6" t="s">
        <v>925</v>
      </c>
      <c r="J67" s="6" t="s">
        <v>160</v>
      </c>
      <c r="K67" s="6" t="s">
        <v>971</v>
      </c>
    </row>
    <row r="68" customFormat="false" ht="23.25" hidden="false" customHeight="true" outlineLevel="0" collapsed="false">
      <c r="A68" s="6" t="s">
        <v>304</v>
      </c>
      <c r="B68" s="6" t="s">
        <v>302</v>
      </c>
      <c r="C68" s="6" t="s">
        <v>969</v>
      </c>
      <c r="D68" s="6" t="s">
        <v>305</v>
      </c>
      <c r="E68" s="6" t="n">
        <v>3</v>
      </c>
      <c r="F68" s="6" t="s">
        <v>158</v>
      </c>
      <c r="G68" s="6" t="s">
        <v>251</v>
      </c>
      <c r="H68" s="6" t="s">
        <v>970</v>
      </c>
      <c r="I68" s="6" t="s">
        <v>925</v>
      </c>
      <c r="J68" s="6" t="s">
        <v>291</v>
      </c>
      <c r="K68" s="6" t="s">
        <v>972</v>
      </c>
    </row>
    <row r="69" customFormat="false" ht="23.25" hidden="false" customHeight="true" outlineLevel="0" collapsed="false">
      <c r="A69" s="6" t="s">
        <v>306</v>
      </c>
      <c r="B69" s="6" t="s">
        <v>302</v>
      </c>
      <c r="C69" s="6" t="s">
        <v>969</v>
      </c>
      <c r="D69" s="6" t="s">
        <v>307</v>
      </c>
      <c r="E69" s="6" t="n">
        <v>5</v>
      </c>
      <c r="F69" s="6" t="s">
        <v>158</v>
      </c>
      <c r="G69" s="6" t="s">
        <v>251</v>
      </c>
      <c r="H69" s="6" t="s">
        <v>970</v>
      </c>
      <c r="I69" s="6" t="s">
        <v>925</v>
      </c>
      <c r="J69" s="6" t="s">
        <v>291</v>
      </c>
      <c r="K69" s="6" t="s">
        <v>973</v>
      </c>
    </row>
    <row r="70" customFormat="false" ht="23.25" hidden="false" customHeight="true" outlineLevel="0" collapsed="false">
      <c r="A70" s="6" t="s">
        <v>308</v>
      </c>
      <c r="B70" s="6" t="s">
        <v>302</v>
      </c>
      <c r="C70" s="6" t="s">
        <v>969</v>
      </c>
      <c r="D70" s="6" t="s">
        <v>309</v>
      </c>
      <c r="E70" s="6" t="n">
        <v>5</v>
      </c>
      <c r="F70" s="6" t="s">
        <v>165</v>
      </c>
      <c r="G70" s="6" t="s">
        <v>251</v>
      </c>
      <c r="H70" s="6" t="s">
        <v>970</v>
      </c>
      <c r="I70" s="6" t="s">
        <v>925</v>
      </c>
      <c r="J70" s="6" t="s">
        <v>160</v>
      </c>
      <c r="K70" s="6" t="s">
        <v>974</v>
      </c>
    </row>
    <row r="71" customFormat="false" ht="15" hidden="false" customHeight="true" outlineLevel="0" collapsed="false">
      <c r="A71" s="6" t="s">
        <v>310</v>
      </c>
      <c r="B71" s="6" t="s">
        <v>302</v>
      </c>
      <c r="C71" s="6" t="s">
        <v>969</v>
      </c>
      <c r="D71" s="6" t="s">
        <v>311</v>
      </c>
      <c r="E71" s="6" t="n">
        <v>8</v>
      </c>
      <c r="F71" s="6" t="s">
        <v>158</v>
      </c>
      <c r="G71" s="6" t="s">
        <v>312</v>
      </c>
      <c r="H71" s="6" t="s">
        <v>970</v>
      </c>
      <c r="I71" s="6" t="s">
        <v>975</v>
      </c>
      <c r="J71" s="6" t="s">
        <v>313</v>
      </c>
      <c r="K71" s="6" t="s">
        <v>976</v>
      </c>
    </row>
    <row r="72" customFormat="false" ht="23.25" hidden="false" customHeight="true" outlineLevel="0" collapsed="false">
      <c r="A72" s="6" t="s">
        <v>314</v>
      </c>
      <c r="B72" s="6" t="s">
        <v>302</v>
      </c>
      <c r="C72" s="6" t="s">
        <v>969</v>
      </c>
      <c r="D72" s="6" t="s">
        <v>315</v>
      </c>
      <c r="E72" s="6" t="n">
        <v>5</v>
      </c>
      <c r="F72" s="6" t="s">
        <v>158</v>
      </c>
      <c r="G72" s="6" t="s">
        <v>312</v>
      </c>
      <c r="H72" s="6" t="s">
        <v>970</v>
      </c>
      <c r="I72" s="6" t="s">
        <v>925</v>
      </c>
      <c r="J72" s="6" t="s">
        <v>160</v>
      </c>
      <c r="K72" s="6" t="s">
        <v>977</v>
      </c>
    </row>
    <row r="73" customFormat="false" ht="23.25" hidden="false" customHeight="true" outlineLevel="0" collapsed="false">
      <c r="A73" s="6" t="s">
        <v>316</v>
      </c>
      <c r="B73" s="6" t="s">
        <v>302</v>
      </c>
      <c r="C73" s="6" t="s">
        <v>969</v>
      </c>
      <c r="D73" s="6" t="s">
        <v>317</v>
      </c>
      <c r="E73" s="6" t="n">
        <v>5</v>
      </c>
      <c r="F73" s="6" t="s">
        <v>158</v>
      </c>
      <c r="G73" s="6" t="s">
        <v>251</v>
      </c>
      <c r="H73" s="6" t="s">
        <v>970</v>
      </c>
      <c r="I73" s="6" t="s">
        <v>925</v>
      </c>
      <c r="J73" s="6" t="s">
        <v>160</v>
      </c>
      <c r="K73" s="6" t="s">
        <v>978</v>
      </c>
    </row>
    <row r="74" customFormat="false" ht="23.25" hidden="false" customHeight="true" outlineLevel="0" collapsed="false">
      <c r="A74" s="6" t="s">
        <v>318</v>
      </c>
      <c r="B74" s="6" t="s">
        <v>319</v>
      </c>
      <c r="C74" s="6" t="s">
        <v>979</v>
      </c>
      <c r="D74" s="6" t="s">
        <v>320</v>
      </c>
      <c r="E74" s="6" t="n">
        <v>5</v>
      </c>
      <c r="F74" s="6" t="s">
        <v>158</v>
      </c>
      <c r="G74" s="6" t="s">
        <v>193</v>
      </c>
      <c r="H74" s="6" t="s">
        <v>944</v>
      </c>
      <c r="I74" s="6" t="s">
        <v>925</v>
      </c>
      <c r="J74" s="6" t="s">
        <v>160</v>
      </c>
      <c r="K74" s="6" t="s">
        <v>980</v>
      </c>
    </row>
    <row r="75" customFormat="false" ht="23.25" hidden="false" customHeight="true" outlineLevel="0" collapsed="false">
      <c r="A75" s="6" t="s">
        <v>321</v>
      </c>
      <c r="B75" s="6" t="s">
        <v>319</v>
      </c>
      <c r="C75" s="6" t="s">
        <v>979</v>
      </c>
      <c r="D75" s="6" t="s">
        <v>322</v>
      </c>
      <c r="E75" s="6" t="n">
        <v>3</v>
      </c>
      <c r="F75" s="6" t="s">
        <v>158</v>
      </c>
      <c r="G75" s="6" t="s">
        <v>193</v>
      </c>
      <c r="H75" s="6" t="s">
        <v>944</v>
      </c>
      <c r="I75" s="6" t="s">
        <v>925</v>
      </c>
      <c r="J75" s="6" t="s">
        <v>160</v>
      </c>
      <c r="K75" s="6" t="s">
        <v>981</v>
      </c>
    </row>
    <row r="76" customFormat="false" ht="23.25" hidden="false" customHeight="true" outlineLevel="0" collapsed="false">
      <c r="A76" s="6" t="s">
        <v>323</v>
      </c>
      <c r="B76" s="6" t="s">
        <v>319</v>
      </c>
      <c r="C76" s="6" t="s">
        <v>979</v>
      </c>
      <c r="D76" s="6" t="s">
        <v>324</v>
      </c>
      <c r="E76" s="6" t="n">
        <v>3</v>
      </c>
      <c r="F76" s="6" t="s">
        <v>177</v>
      </c>
      <c r="G76" s="6" t="s">
        <v>251</v>
      </c>
      <c r="H76" s="6" t="s">
        <v>944</v>
      </c>
      <c r="I76" s="6" t="s">
        <v>925</v>
      </c>
      <c r="J76" s="6" t="s">
        <v>160</v>
      </c>
      <c r="K76" s="6" t="s">
        <v>982</v>
      </c>
    </row>
    <row r="77" customFormat="false" ht="23.25" hidden="false" customHeight="true" outlineLevel="0" collapsed="false">
      <c r="A77" s="6" t="s">
        <v>325</v>
      </c>
      <c r="B77" s="6" t="s">
        <v>319</v>
      </c>
      <c r="C77" s="6" t="s">
        <v>979</v>
      </c>
      <c r="D77" s="6" t="s">
        <v>326</v>
      </c>
      <c r="E77" s="6" t="n">
        <v>2</v>
      </c>
      <c r="F77" s="6" t="s">
        <v>177</v>
      </c>
      <c r="G77" s="6" t="s">
        <v>251</v>
      </c>
      <c r="H77" s="6" t="s">
        <v>944</v>
      </c>
      <c r="I77" s="6" t="s">
        <v>925</v>
      </c>
      <c r="J77" s="6" t="s">
        <v>160</v>
      </c>
      <c r="K77" s="6" t="s">
        <v>983</v>
      </c>
    </row>
    <row r="78" customFormat="false" ht="23.25" hidden="false" customHeight="true" outlineLevel="0" collapsed="false">
      <c r="A78" s="6" t="s">
        <v>327</v>
      </c>
      <c r="B78" s="6" t="s">
        <v>319</v>
      </c>
      <c r="C78" s="6" t="s">
        <v>979</v>
      </c>
      <c r="D78" s="6" t="s">
        <v>328</v>
      </c>
      <c r="E78" s="6" t="n">
        <v>5</v>
      </c>
      <c r="F78" s="6" t="s">
        <v>165</v>
      </c>
      <c r="G78" s="6" t="s">
        <v>251</v>
      </c>
      <c r="H78" s="6" t="s">
        <v>944</v>
      </c>
      <c r="I78" s="6" t="s">
        <v>925</v>
      </c>
      <c r="J78" s="6" t="s">
        <v>160</v>
      </c>
      <c r="K78" s="6" t="s">
        <v>984</v>
      </c>
    </row>
    <row r="79" customFormat="false" ht="23.25" hidden="false" customHeight="true" outlineLevel="0" collapsed="false">
      <c r="A79" s="6" t="s">
        <v>329</v>
      </c>
      <c r="B79" s="6" t="s">
        <v>319</v>
      </c>
      <c r="C79" s="6" t="s">
        <v>979</v>
      </c>
      <c r="D79" s="6" t="s">
        <v>330</v>
      </c>
      <c r="E79" s="6" t="n">
        <v>3</v>
      </c>
      <c r="F79" s="6" t="s">
        <v>177</v>
      </c>
      <c r="G79" s="6" t="s">
        <v>251</v>
      </c>
      <c r="H79" s="6" t="s">
        <v>944</v>
      </c>
      <c r="I79" s="6" t="s">
        <v>925</v>
      </c>
      <c r="J79" s="6" t="s">
        <v>160</v>
      </c>
      <c r="K79" s="6" t="s">
        <v>985</v>
      </c>
    </row>
    <row r="80" customFormat="false" ht="23.25" hidden="false" customHeight="true" outlineLevel="0" collapsed="false">
      <c r="A80" s="6" t="s">
        <v>331</v>
      </c>
      <c r="B80" s="6" t="s">
        <v>319</v>
      </c>
      <c r="C80" s="6" t="s">
        <v>979</v>
      </c>
      <c r="D80" s="6" t="s">
        <v>332</v>
      </c>
      <c r="E80" s="6" t="n">
        <v>3</v>
      </c>
      <c r="F80" s="6" t="s">
        <v>177</v>
      </c>
      <c r="G80" s="6" t="s">
        <v>251</v>
      </c>
      <c r="H80" s="6" t="s">
        <v>944</v>
      </c>
      <c r="I80" s="6" t="s">
        <v>925</v>
      </c>
      <c r="J80" s="6" t="s">
        <v>160</v>
      </c>
      <c r="K80" s="6" t="s">
        <v>986</v>
      </c>
    </row>
    <row r="81" customFormat="false" ht="23.25" hidden="false" customHeight="true" outlineLevel="0" collapsed="false">
      <c r="A81" s="6" t="s">
        <v>333</v>
      </c>
      <c r="B81" s="6" t="s">
        <v>334</v>
      </c>
      <c r="C81" s="6" t="s">
        <v>987</v>
      </c>
      <c r="D81" s="6" t="s">
        <v>335</v>
      </c>
      <c r="E81" s="6" t="n">
        <v>5</v>
      </c>
      <c r="F81" s="6" t="s">
        <v>158</v>
      </c>
      <c r="G81" s="6" t="s">
        <v>207</v>
      </c>
      <c r="H81" s="6" t="s">
        <v>988</v>
      </c>
      <c r="I81" s="6" t="s">
        <v>925</v>
      </c>
      <c r="J81" s="6" t="s">
        <v>160</v>
      </c>
      <c r="K81" s="6" t="s">
        <v>989</v>
      </c>
    </row>
    <row r="82" customFormat="false" ht="23.25" hidden="false" customHeight="true" outlineLevel="0" collapsed="false">
      <c r="A82" s="6" t="s">
        <v>336</v>
      </c>
      <c r="B82" s="6" t="s">
        <v>334</v>
      </c>
      <c r="C82" s="6" t="s">
        <v>987</v>
      </c>
      <c r="D82" s="6" t="s">
        <v>337</v>
      </c>
      <c r="E82" s="6" t="n">
        <v>3</v>
      </c>
      <c r="F82" s="6" t="s">
        <v>165</v>
      </c>
      <c r="G82" s="6" t="s">
        <v>207</v>
      </c>
      <c r="H82" s="6" t="s">
        <v>988</v>
      </c>
      <c r="I82" s="6" t="s">
        <v>925</v>
      </c>
      <c r="J82" s="6" t="s">
        <v>160</v>
      </c>
      <c r="K82" s="6" t="s">
        <v>990</v>
      </c>
    </row>
    <row r="83" customFormat="false" ht="15" hidden="false" customHeight="true" outlineLevel="0" collapsed="false">
      <c r="A83" s="6" t="s">
        <v>338</v>
      </c>
      <c r="B83" s="6" t="s">
        <v>334</v>
      </c>
      <c r="C83" s="6" t="s">
        <v>987</v>
      </c>
      <c r="D83" s="6" t="s">
        <v>339</v>
      </c>
      <c r="E83" s="6" t="n">
        <v>5</v>
      </c>
      <c r="F83" s="6" t="s">
        <v>165</v>
      </c>
      <c r="G83" s="6" t="s">
        <v>340</v>
      </c>
      <c r="H83" s="6" t="s">
        <v>988</v>
      </c>
      <c r="I83" s="6" t="s">
        <v>991</v>
      </c>
      <c r="J83" s="6" t="s">
        <v>160</v>
      </c>
      <c r="K83" s="6" t="s">
        <v>992</v>
      </c>
    </row>
    <row r="84" customFormat="false" ht="15" hidden="false" customHeight="true" outlineLevel="0" collapsed="false">
      <c r="A84" s="6" t="s">
        <v>341</v>
      </c>
      <c r="B84" s="6" t="s">
        <v>334</v>
      </c>
      <c r="C84" s="6" t="s">
        <v>987</v>
      </c>
      <c r="D84" s="6" t="s">
        <v>342</v>
      </c>
      <c r="E84" s="6" t="n">
        <v>3</v>
      </c>
      <c r="F84" s="6" t="s">
        <v>158</v>
      </c>
      <c r="G84" s="6" t="s">
        <v>340</v>
      </c>
      <c r="H84" s="6" t="s">
        <v>988</v>
      </c>
      <c r="I84" s="6" t="s">
        <v>975</v>
      </c>
      <c r="J84" s="6" t="s">
        <v>160</v>
      </c>
      <c r="K84" s="6" t="s">
        <v>993</v>
      </c>
    </row>
    <row r="85" customFormat="false" ht="23.25" hidden="false" customHeight="true" outlineLevel="0" collapsed="false">
      <c r="A85" s="6" t="s">
        <v>343</v>
      </c>
      <c r="B85" s="6" t="s">
        <v>334</v>
      </c>
      <c r="C85" s="6" t="s">
        <v>987</v>
      </c>
      <c r="D85" s="6" t="s">
        <v>344</v>
      </c>
      <c r="E85" s="6" t="n">
        <v>3</v>
      </c>
      <c r="F85" s="6" t="s">
        <v>165</v>
      </c>
      <c r="G85" s="6" t="s">
        <v>345</v>
      </c>
      <c r="H85" s="6" t="s">
        <v>988</v>
      </c>
      <c r="I85" s="6" t="s">
        <v>925</v>
      </c>
      <c r="J85" s="6" t="s">
        <v>160</v>
      </c>
      <c r="K85" s="6" t="s">
        <v>994</v>
      </c>
    </row>
    <row r="86" customFormat="false" ht="15" hidden="false" customHeight="true" outlineLevel="0" collapsed="false">
      <c r="A86" s="6" t="s">
        <v>346</v>
      </c>
      <c r="B86" s="6" t="s">
        <v>334</v>
      </c>
      <c r="C86" s="6" t="s">
        <v>987</v>
      </c>
      <c r="D86" s="6" t="s">
        <v>347</v>
      </c>
      <c r="E86" s="6" t="n">
        <v>5</v>
      </c>
      <c r="F86" s="6" t="s">
        <v>165</v>
      </c>
      <c r="G86" s="6" t="s">
        <v>340</v>
      </c>
      <c r="H86" s="6" t="s">
        <v>988</v>
      </c>
      <c r="I86" s="6" t="s">
        <v>991</v>
      </c>
      <c r="J86" s="6" t="s">
        <v>291</v>
      </c>
      <c r="K86" s="6" t="s">
        <v>995</v>
      </c>
    </row>
    <row r="87" customFormat="false" ht="15" hidden="false" customHeight="true" outlineLevel="0" collapsed="false">
      <c r="A87" s="6" t="s">
        <v>348</v>
      </c>
      <c r="B87" s="6" t="s">
        <v>334</v>
      </c>
      <c r="C87" s="6" t="s">
        <v>987</v>
      </c>
      <c r="D87" s="6" t="s">
        <v>349</v>
      </c>
      <c r="E87" s="6" t="n">
        <v>2</v>
      </c>
      <c r="F87" s="6" t="s">
        <v>177</v>
      </c>
      <c r="G87" s="6" t="s">
        <v>340</v>
      </c>
      <c r="H87" s="6" t="s">
        <v>988</v>
      </c>
      <c r="I87" s="6" t="s">
        <v>996</v>
      </c>
      <c r="J87" s="6" t="s">
        <v>160</v>
      </c>
      <c r="K87" s="6" t="s">
        <v>997</v>
      </c>
    </row>
    <row r="88" customFormat="false" ht="23.25" hidden="false" customHeight="true" outlineLevel="0" collapsed="false">
      <c r="A88" s="6" t="s">
        <v>350</v>
      </c>
      <c r="B88" s="6" t="s">
        <v>351</v>
      </c>
      <c r="C88" s="6" t="s">
        <v>998</v>
      </c>
      <c r="D88" s="6" t="s">
        <v>352</v>
      </c>
      <c r="E88" s="6" t="n">
        <v>5</v>
      </c>
      <c r="F88" s="6" t="s">
        <v>158</v>
      </c>
      <c r="G88" s="6" t="s">
        <v>170</v>
      </c>
      <c r="H88" s="6" t="s">
        <v>587</v>
      </c>
      <c r="I88" s="6" t="s">
        <v>925</v>
      </c>
      <c r="J88" s="6" t="s">
        <v>160</v>
      </c>
      <c r="K88" s="6" t="s">
        <v>999</v>
      </c>
    </row>
    <row r="89" customFormat="false" ht="23.25" hidden="false" customHeight="true" outlineLevel="0" collapsed="false">
      <c r="A89" s="6" t="s">
        <v>353</v>
      </c>
      <c r="B89" s="6" t="s">
        <v>351</v>
      </c>
      <c r="C89" s="6" t="s">
        <v>998</v>
      </c>
      <c r="D89" s="6" t="s">
        <v>354</v>
      </c>
      <c r="E89" s="6" t="n">
        <v>5</v>
      </c>
      <c r="F89" s="6" t="s">
        <v>158</v>
      </c>
      <c r="G89" s="6" t="s">
        <v>193</v>
      </c>
      <c r="H89" s="6" t="s">
        <v>587</v>
      </c>
      <c r="I89" s="6" t="s">
        <v>925</v>
      </c>
      <c r="J89" s="6" t="s">
        <v>160</v>
      </c>
      <c r="K89" s="6" t="s">
        <v>1000</v>
      </c>
    </row>
    <row r="90" customFormat="false" ht="23.25" hidden="false" customHeight="true" outlineLevel="0" collapsed="false">
      <c r="A90" s="6" t="s">
        <v>355</v>
      </c>
      <c r="B90" s="6" t="s">
        <v>351</v>
      </c>
      <c r="C90" s="6" t="s">
        <v>998</v>
      </c>
      <c r="D90" s="6" t="s">
        <v>356</v>
      </c>
      <c r="E90" s="6" t="n">
        <v>3</v>
      </c>
      <c r="F90" s="6" t="s">
        <v>158</v>
      </c>
      <c r="G90" s="6" t="s">
        <v>251</v>
      </c>
      <c r="H90" s="6" t="s">
        <v>587</v>
      </c>
      <c r="I90" s="6" t="s">
        <v>925</v>
      </c>
      <c r="J90" s="6" t="s">
        <v>160</v>
      </c>
      <c r="K90" s="6" t="s">
        <v>1001</v>
      </c>
    </row>
    <row r="91" customFormat="false" ht="23.25" hidden="false" customHeight="true" outlineLevel="0" collapsed="false">
      <c r="A91" s="6" t="s">
        <v>357</v>
      </c>
      <c r="B91" s="6" t="s">
        <v>351</v>
      </c>
      <c r="C91" s="6" t="s">
        <v>998</v>
      </c>
      <c r="D91" s="6" t="s">
        <v>358</v>
      </c>
      <c r="E91" s="6" t="n">
        <v>5</v>
      </c>
      <c r="F91" s="6" t="s">
        <v>165</v>
      </c>
      <c r="G91" s="6" t="s">
        <v>251</v>
      </c>
      <c r="H91" s="6" t="s">
        <v>587</v>
      </c>
      <c r="I91" s="6" t="s">
        <v>925</v>
      </c>
      <c r="J91" s="6" t="s">
        <v>291</v>
      </c>
      <c r="K91" s="6" t="s">
        <v>1002</v>
      </c>
    </row>
    <row r="92" customFormat="false" ht="15" hidden="false" customHeight="true" outlineLevel="0" collapsed="false">
      <c r="A92" s="6" t="s">
        <v>359</v>
      </c>
      <c r="B92" s="6" t="s">
        <v>351</v>
      </c>
      <c r="C92" s="6" t="s">
        <v>998</v>
      </c>
      <c r="D92" s="6" t="s">
        <v>360</v>
      </c>
      <c r="E92" s="6" t="n">
        <v>3</v>
      </c>
      <c r="F92" s="6" t="s">
        <v>165</v>
      </c>
      <c r="G92" s="6" t="s">
        <v>312</v>
      </c>
      <c r="H92" s="6" t="s">
        <v>587</v>
      </c>
      <c r="I92" s="6" t="s">
        <v>991</v>
      </c>
      <c r="J92" s="6" t="s">
        <v>160</v>
      </c>
      <c r="K92" s="6" t="s">
        <v>1003</v>
      </c>
    </row>
    <row r="93" customFormat="false" ht="15" hidden="false" customHeight="true" outlineLevel="0" collapsed="false">
      <c r="A93" s="6" t="s">
        <v>361</v>
      </c>
      <c r="B93" s="6" t="s">
        <v>351</v>
      </c>
      <c r="C93" s="6" t="s">
        <v>998</v>
      </c>
      <c r="D93" s="6" t="s">
        <v>362</v>
      </c>
      <c r="E93" s="6" t="n">
        <v>3</v>
      </c>
      <c r="F93" s="6" t="s">
        <v>165</v>
      </c>
      <c r="G93" s="6" t="s">
        <v>312</v>
      </c>
      <c r="H93" s="6" t="s">
        <v>587</v>
      </c>
      <c r="I93" s="6" t="s">
        <v>991</v>
      </c>
      <c r="J93" s="6" t="s">
        <v>160</v>
      </c>
      <c r="K93" s="6" t="s">
        <v>1004</v>
      </c>
    </row>
    <row r="94" customFormat="false" ht="15" hidden="false" customHeight="true" outlineLevel="0" collapsed="false">
      <c r="A94" s="6" t="s">
        <v>363</v>
      </c>
      <c r="B94" s="6" t="s">
        <v>351</v>
      </c>
      <c r="C94" s="6" t="s">
        <v>998</v>
      </c>
      <c r="D94" s="6" t="s">
        <v>364</v>
      </c>
      <c r="E94" s="6" t="n">
        <v>3</v>
      </c>
      <c r="F94" s="6" t="s">
        <v>177</v>
      </c>
      <c r="G94" s="6" t="s">
        <v>312</v>
      </c>
      <c r="H94" s="6" t="s">
        <v>587</v>
      </c>
      <c r="I94" s="6" t="s">
        <v>996</v>
      </c>
      <c r="J94" s="6" t="s">
        <v>160</v>
      </c>
      <c r="K94" s="6" t="s">
        <v>1005</v>
      </c>
    </row>
    <row r="95" customFormat="false" ht="23.25" hidden="false" customHeight="true" outlineLevel="0" collapsed="false">
      <c r="A95" s="6" t="s">
        <v>365</v>
      </c>
      <c r="B95" s="6" t="s">
        <v>351</v>
      </c>
      <c r="C95" s="6" t="s">
        <v>998</v>
      </c>
      <c r="D95" s="6" t="s">
        <v>366</v>
      </c>
      <c r="E95" s="6" t="n">
        <v>3</v>
      </c>
      <c r="F95" s="6" t="s">
        <v>177</v>
      </c>
      <c r="G95" s="6" t="s">
        <v>251</v>
      </c>
      <c r="H95" s="6" t="s">
        <v>587</v>
      </c>
      <c r="I95" s="6" t="s">
        <v>925</v>
      </c>
      <c r="J95" s="6" t="s">
        <v>291</v>
      </c>
      <c r="K95" s="6" t="s">
        <v>1006</v>
      </c>
    </row>
    <row r="96" customFormat="false" ht="15" hidden="false" customHeight="true" outlineLevel="0" collapsed="false">
      <c r="A96" s="6" t="s">
        <v>367</v>
      </c>
      <c r="B96" s="6" t="s">
        <v>368</v>
      </c>
      <c r="C96" s="6" t="s">
        <v>1007</v>
      </c>
      <c r="D96" s="6" t="s">
        <v>369</v>
      </c>
      <c r="E96" s="6" t="n">
        <v>3</v>
      </c>
      <c r="F96" s="6" t="s">
        <v>158</v>
      </c>
      <c r="G96" s="6" t="s">
        <v>312</v>
      </c>
      <c r="H96" s="6" t="s">
        <v>587</v>
      </c>
      <c r="I96" s="6" t="s">
        <v>975</v>
      </c>
      <c r="J96" s="6" t="s">
        <v>370</v>
      </c>
      <c r="K96" s="6" t="s">
        <v>1008</v>
      </c>
    </row>
    <row r="97" customFormat="false" ht="15" hidden="false" customHeight="true" outlineLevel="0" collapsed="false">
      <c r="A97" s="6" t="s">
        <v>371</v>
      </c>
      <c r="B97" s="6" t="s">
        <v>368</v>
      </c>
      <c r="C97" s="6" t="s">
        <v>1007</v>
      </c>
      <c r="D97" s="6" t="s">
        <v>372</v>
      </c>
      <c r="E97" s="6" t="n">
        <v>5</v>
      </c>
      <c r="F97" s="6" t="s">
        <v>158</v>
      </c>
      <c r="G97" s="6" t="s">
        <v>312</v>
      </c>
      <c r="H97" s="6" t="s">
        <v>587</v>
      </c>
      <c r="I97" s="6" t="s">
        <v>975</v>
      </c>
      <c r="J97" s="6" t="s">
        <v>370</v>
      </c>
      <c r="K97" s="6" t="s">
        <v>1009</v>
      </c>
    </row>
    <row r="98" customFormat="false" ht="15" hidden="false" customHeight="true" outlineLevel="0" collapsed="false">
      <c r="A98" s="6" t="s">
        <v>373</v>
      </c>
      <c r="B98" s="6" t="s">
        <v>368</v>
      </c>
      <c r="C98" s="6" t="s">
        <v>1007</v>
      </c>
      <c r="D98" s="6" t="s">
        <v>374</v>
      </c>
      <c r="E98" s="6" t="n">
        <v>3</v>
      </c>
      <c r="F98" s="6" t="s">
        <v>158</v>
      </c>
      <c r="G98" s="6" t="s">
        <v>340</v>
      </c>
      <c r="H98" s="6" t="s">
        <v>587</v>
      </c>
      <c r="I98" s="6" t="s">
        <v>975</v>
      </c>
      <c r="J98" s="6" t="s">
        <v>160</v>
      </c>
      <c r="K98" s="6" t="s">
        <v>1010</v>
      </c>
    </row>
    <row r="99" customFormat="false" ht="15" hidden="false" customHeight="true" outlineLevel="0" collapsed="false">
      <c r="A99" s="6" t="s">
        <v>375</v>
      </c>
      <c r="B99" s="6" t="s">
        <v>368</v>
      </c>
      <c r="C99" s="6" t="s">
        <v>1007</v>
      </c>
      <c r="D99" s="6" t="s">
        <v>376</v>
      </c>
      <c r="E99" s="6" t="n">
        <v>3</v>
      </c>
      <c r="F99" s="6" t="s">
        <v>158</v>
      </c>
      <c r="G99" s="6" t="s">
        <v>340</v>
      </c>
      <c r="H99" s="6" t="s">
        <v>587</v>
      </c>
      <c r="I99" s="6" t="s">
        <v>975</v>
      </c>
      <c r="J99" s="6" t="s">
        <v>160</v>
      </c>
      <c r="K99" s="6" t="s">
        <v>1011</v>
      </c>
    </row>
    <row r="100" customFormat="false" ht="15" hidden="false" customHeight="true" outlineLevel="0" collapsed="false">
      <c r="A100" s="6" t="s">
        <v>377</v>
      </c>
      <c r="B100" s="6" t="s">
        <v>368</v>
      </c>
      <c r="C100" s="6" t="s">
        <v>1007</v>
      </c>
      <c r="D100" s="6" t="s">
        <v>378</v>
      </c>
      <c r="E100" s="6" t="n">
        <v>3</v>
      </c>
      <c r="F100" s="6" t="s">
        <v>158</v>
      </c>
      <c r="G100" s="6" t="s">
        <v>340</v>
      </c>
      <c r="H100" s="6" t="s">
        <v>587</v>
      </c>
      <c r="I100" s="6" t="s">
        <v>975</v>
      </c>
      <c r="J100" s="6" t="s">
        <v>313</v>
      </c>
      <c r="K100" s="6" t="s">
        <v>1012</v>
      </c>
    </row>
    <row r="101" customFormat="false" ht="15" hidden="false" customHeight="true" outlineLevel="0" collapsed="false">
      <c r="A101" s="6" t="s">
        <v>379</v>
      </c>
      <c r="B101" s="6" t="s">
        <v>368</v>
      </c>
      <c r="C101" s="6" t="s">
        <v>1007</v>
      </c>
      <c r="D101" s="6" t="s">
        <v>380</v>
      </c>
      <c r="E101" s="6" t="n">
        <v>3</v>
      </c>
      <c r="F101" s="6" t="s">
        <v>165</v>
      </c>
      <c r="G101" s="6" t="s">
        <v>345</v>
      </c>
      <c r="H101" s="6" t="s">
        <v>587</v>
      </c>
      <c r="I101" s="6" t="s">
        <v>991</v>
      </c>
      <c r="J101" s="6" t="s">
        <v>160</v>
      </c>
      <c r="K101" s="6" t="s">
        <v>1013</v>
      </c>
    </row>
    <row r="102" customFormat="false" ht="15" hidden="false" customHeight="true" outlineLevel="0" collapsed="false">
      <c r="A102" s="6" t="s">
        <v>381</v>
      </c>
      <c r="B102" s="6" t="s">
        <v>368</v>
      </c>
      <c r="C102" s="6" t="s">
        <v>1007</v>
      </c>
      <c r="D102" s="6" t="s">
        <v>382</v>
      </c>
      <c r="E102" s="6" t="n">
        <v>2</v>
      </c>
      <c r="F102" s="6" t="s">
        <v>177</v>
      </c>
      <c r="G102" s="6" t="s">
        <v>383</v>
      </c>
      <c r="H102" s="6" t="s">
        <v>587</v>
      </c>
      <c r="I102" s="6" t="s">
        <v>996</v>
      </c>
      <c r="J102" s="6" t="s">
        <v>291</v>
      </c>
      <c r="K102" s="6" t="s">
        <v>1014</v>
      </c>
    </row>
    <row r="103" customFormat="false" ht="15" hidden="false" customHeight="true" outlineLevel="0" collapsed="false">
      <c r="A103" s="6" t="s">
        <v>384</v>
      </c>
      <c r="B103" s="6" t="s">
        <v>368</v>
      </c>
      <c r="C103" s="6" t="s">
        <v>1007</v>
      </c>
      <c r="D103" s="6" t="s">
        <v>385</v>
      </c>
      <c r="E103" s="6" t="n">
        <v>2</v>
      </c>
      <c r="F103" s="6" t="s">
        <v>165</v>
      </c>
      <c r="G103" s="6" t="s">
        <v>345</v>
      </c>
      <c r="H103" s="6" t="s">
        <v>587</v>
      </c>
      <c r="I103" s="6" t="s">
        <v>991</v>
      </c>
      <c r="J103" s="6" t="s">
        <v>291</v>
      </c>
      <c r="K103" s="6" t="s">
        <v>1015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20"/>
    <col collapsed="false" customWidth="true" hidden="false" outlineLevel="0" max="4" min="4" style="1" width="70"/>
    <col collapsed="false" customWidth="true" hidden="false" outlineLevel="0" max="5" min="5" style="1" width="60"/>
    <col collapsed="false" customWidth="true" hidden="false" outlineLevel="0" max="6" min="6" style="1" width="10"/>
    <col collapsed="false" customWidth="true" hidden="false" outlineLevel="0" max="7" min="7" style="1" width="22"/>
    <col collapsed="false" customWidth="true" hidden="false" outlineLevel="0" max="8" min="8" style="1" width="20"/>
  </cols>
  <sheetData>
    <row r="1" customFormat="false" ht="15" hidden="false" customHeight="true" outlineLevel="0" collapsed="false">
      <c r="A1" s="12" t="s">
        <v>1016</v>
      </c>
    </row>
    <row r="2" customFormat="false" ht="1222.5" hidden="false" customHeight="true" outlineLevel="0" collapsed="false">
      <c r="A2" s="7" t="s">
        <v>1017</v>
      </c>
    </row>
    <row r="3" customFormat="false" ht="15" hidden="false" customHeight="true" outlineLevel="0" collapsed="false">
      <c r="A3" s="15" t="s">
        <v>149</v>
      </c>
      <c r="B3" s="15" t="s">
        <v>1018</v>
      </c>
      <c r="C3" s="15" t="s">
        <v>1019</v>
      </c>
      <c r="D3" s="15" t="s">
        <v>1020</v>
      </c>
      <c r="E3" s="15" t="s">
        <v>1021</v>
      </c>
      <c r="F3" s="15" t="s">
        <v>151</v>
      </c>
      <c r="G3" s="15" t="s">
        <v>1022</v>
      </c>
      <c r="H3" s="15" t="s">
        <v>1023</v>
      </c>
    </row>
    <row r="4" customFormat="false" ht="34.5" hidden="false" customHeight="true" outlineLevel="0" collapsed="false">
      <c r="A4" s="6" t="s">
        <v>1024</v>
      </c>
      <c r="B4" s="6" t="s">
        <v>544</v>
      </c>
      <c r="C4" s="6" t="s">
        <v>1025</v>
      </c>
      <c r="D4" s="6" t="s">
        <v>1026</v>
      </c>
      <c r="E4" s="6" t="s">
        <v>1027</v>
      </c>
      <c r="F4" s="6" t="s">
        <v>274</v>
      </c>
      <c r="G4" s="6" t="s">
        <v>1028</v>
      </c>
      <c r="H4" s="6"/>
    </row>
    <row r="5" customFormat="false" ht="34.5" hidden="false" customHeight="true" outlineLevel="0" collapsed="false">
      <c r="A5" s="6" t="s">
        <v>1029</v>
      </c>
      <c r="B5" s="6" t="s">
        <v>544</v>
      </c>
      <c r="C5" s="6" t="s">
        <v>1030</v>
      </c>
      <c r="D5" s="6" t="s">
        <v>1031</v>
      </c>
      <c r="E5" s="6" t="s">
        <v>1032</v>
      </c>
      <c r="F5" s="6" t="s">
        <v>292</v>
      </c>
      <c r="G5" s="6" t="s">
        <v>1033</v>
      </c>
      <c r="H5" s="6"/>
    </row>
    <row r="6" customFormat="false" ht="34.5" hidden="false" customHeight="true" outlineLevel="0" collapsed="false">
      <c r="A6" s="6" t="s">
        <v>1034</v>
      </c>
      <c r="B6" s="6" t="s">
        <v>544</v>
      </c>
      <c r="C6" s="6" t="s">
        <v>1030</v>
      </c>
      <c r="D6" s="6" t="s">
        <v>1035</v>
      </c>
      <c r="E6" s="6" t="s">
        <v>1036</v>
      </c>
      <c r="F6" s="6" t="s">
        <v>284</v>
      </c>
      <c r="G6" s="6" t="s">
        <v>1037</v>
      </c>
      <c r="H6" s="6"/>
    </row>
    <row r="7" customFormat="false" ht="23.25" hidden="false" customHeight="true" outlineLevel="0" collapsed="false">
      <c r="A7" s="6" t="s">
        <v>1038</v>
      </c>
      <c r="B7" s="6" t="s">
        <v>547</v>
      </c>
      <c r="C7" s="6" t="s">
        <v>1030</v>
      </c>
      <c r="D7" s="6" t="s">
        <v>1039</v>
      </c>
      <c r="E7" s="6" t="s">
        <v>1040</v>
      </c>
      <c r="F7" s="6" t="s">
        <v>297</v>
      </c>
      <c r="G7" s="6" t="s">
        <v>1041</v>
      </c>
      <c r="H7" s="6"/>
    </row>
    <row r="8" customFormat="false" ht="34.5" hidden="false" customHeight="true" outlineLevel="0" collapsed="false">
      <c r="A8" s="6" t="s">
        <v>1042</v>
      </c>
      <c r="B8" s="6" t="s">
        <v>547</v>
      </c>
      <c r="C8" s="6" t="s">
        <v>1043</v>
      </c>
      <c r="D8" s="6" t="s">
        <v>1044</v>
      </c>
      <c r="E8" s="6" t="s">
        <v>1045</v>
      </c>
      <c r="F8" s="6" t="s">
        <v>1046</v>
      </c>
      <c r="G8" s="6" t="s">
        <v>1047</v>
      </c>
      <c r="H8" s="6"/>
    </row>
    <row r="9" customFormat="false" ht="45.75" hidden="false" customHeight="true" outlineLevel="0" collapsed="false">
      <c r="A9" s="6" t="s">
        <v>1048</v>
      </c>
      <c r="B9" s="6" t="s">
        <v>544</v>
      </c>
      <c r="C9" s="6" t="s">
        <v>1049</v>
      </c>
      <c r="D9" s="6" t="s">
        <v>1050</v>
      </c>
      <c r="E9" s="6" t="s">
        <v>1051</v>
      </c>
      <c r="F9" s="6" t="s">
        <v>316</v>
      </c>
      <c r="G9" s="6" t="s">
        <v>1052</v>
      </c>
      <c r="H9" s="6"/>
    </row>
    <row r="10" customFormat="false" ht="45.75" hidden="false" customHeight="true" outlineLevel="0" collapsed="false">
      <c r="A10" s="6" t="s">
        <v>1053</v>
      </c>
      <c r="B10" s="6" t="s">
        <v>544</v>
      </c>
      <c r="C10" s="6" t="s">
        <v>1054</v>
      </c>
      <c r="D10" s="6" t="s">
        <v>1055</v>
      </c>
      <c r="E10" s="6" t="s">
        <v>1056</v>
      </c>
      <c r="F10" s="6" t="s">
        <v>292</v>
      </c>
      <c r="G10" s="6" t="s">
        <v>1057</v>
      </c>
      <c r="H10" s="6"/>
    </row>
    <row r="11" customFormat="false" ht="34.5" hidden="false" customHeight="true" outlineLevel="0" collapsed="false">
      <c r="A11" s="6" t="s">
        <v>1058</v>
      </c>
      <c r="B11" s="6" t="s">
        <v>1059</v>
      </c>
      <c r="C11" s="6" t="s">
        <v>1060</v>
      </c>
      <c r="D11" s="6" t="s">
        <v>1061</v>
      </c>
      <c r="E11" s="6" t="s">
        <v>1062</v>
      </c>
      <c r="F11" s="6" t="s">
        <v>329</v>
      </c>
      <c r="G11" s="6" t="s">
        <v>1063</v>
      </c>
      <c r="H11" s="6"/>
    </row>
    <row r="12" customFormat="false" ht="34.5" hidden="false" customHeight="true" outlineLevel="0" collapsed="false">
      <c r="A12" s="6" t="s">
        <v>1064</v>
      </c>
      <c r="B12" s="6" t="s">
        <v>1059</v>
      </c>
      <c r="C12" s="6" t="s">
        <v>1049</v>
      </c>
      <c r="D12" s="6" t="s">
        <v>1065</v>
      </c>
      <c r="E12" s="6" t="s">
        <v>1066</v>
      </c>
      <c r="F12" s="6" t="s">
        <v>316</v>
      </c>
      <c r="G12" s="6" t="s">
        <v>1067</v>
      </c>
      <c r="H12" s="6"/>
    </row>
    <row r="13" customFormat="false" ht="54.75" hidden="false" customHeight="true" outlineLevel="0" collapsed="false">
      <c r="A13" s="7" t="s">
        <v>1068</v>
      </c>
      <c r="B13" s="7" t="s">
        <v>544</v>
      </c>
      <c r="C13" s="7" t="s">
        <v>1069</v>
      </c>
      <c r="D13" s="7" t="s">
        <v>1070</v>
      </c>
      <c r="E13" s="7" t="s">
        <v>1071</v>
      </c>
      <c r="F13" s="7" t="s">
        <v>314</v>
      </c>
      <c r="G13" s="7" t="s">
        <v>1072</v>
      </c>
      <c r="H13" s="7"/>
    </row>
    <row r="14" customFormat="false" ht="41.25" hidden="false" customHeight="true" outlineLevel="0" collapsed="false">
      <c r="A14" s="7" t="s">
        <v>1073</v>
      </c>
      <c r="B14" s="7" t="s">
        <v>544</v>
      </c>
      <c r="C14" s="7" t="s">
        <v>1030</v>
      </c>
      <c r="D14" s="7" t="s">
        <v>1074</v>
      </c>
      <c r="E14" s="7" t="s">
        <v>1075</v>
      </c>
      <c r="F14" s="7" t="s">
        <v>1076</v>
      </c>
      <c r="G14" s="7" t="s">
        <v>1077</v>
      </c>
      <c r="H14" s="7"/>
    </row>
    <row r="15" customFormat="false" ht="54.75" hidden="false" customHeight="true" outlineLevel="0" collapsed="false">
      <c r="A15" s="7" t="s">
        <v>1078</v>
      </c>
      <c r="B15" s="7" t="s">
        <v>544</v>
      </c>
      <c r="C15" s="7" t="s">
        <v>1079</v>
      </c>
      <c r="D15" s="7" t="s">
        <v>1080</v>
      </c>
      <c r="E15" s="7" t="s">
        <v>1081</v>
      </c>
      <c r="F15" s="7" t="s">
        <v>1082</v>
      </c>
      <c r="G15" s="7" t="s">
        <v>1083</v>
      </c>
      <c r="H15" s="7"/>
    </row>
    <row r="16" customFormat="false" ht="54.75" hidden="false" customHeight="true" outlineLevel="0" collapsed="false">
      <c r="A16" s="7" t="s">
        <v>1084</v>
      </c>
      <c r="B16" s="7" t="s">
        <v>544</v>
      </c>
      <c r="C16" s="7" t="s">
        <v>1085</v>
      </c>
      <c r="D16" s="7" t="s">
        <v>1086</v>
      </c>
      <c r="E16" s="7" t="s">
        <v>1087</v>
      </c>
      <c r="F16" s="7" t="s">
        <v>1088</v>
      </c>
      <c r="G16" s="7" t="s">
        <v>1089</v>
      </c>
      <c r="H16" s="7"/>
    </row>
    <row r="17" customFormat="false" ht="68.25" hidden="false" customHeight="true" outlineLevel="0" collapsed="false">
      <c r="A17" s="7" t="s">
        <v>1090</v>
      </c>
      <c r="B17" s="7" t="s">
        <v>547</v>
      </c>
      <c r="C17" s="7" t="s">
        <v>1085</v>
      </c>
      <c r="D17" s="7" t="s">
        <v>1091</v>
      </c>
      <c r="E17" s="7" t="s">
        <v>1092</v>
      </c>
      <c r="F17" s="7" t="s">
        <v>161</v>
      </c>
      <c r="G17" s="7" t="s">
        <v>1093</v>
      </c>
      <c r="H17" s="7"/>
    </row>
    <row r="18" customFormat="false" ht="41.25" hidden="false" customHeight="true" outlineLevel="0" collapsed="false">
      <c r="A18" s="7" t="s">
        <v>1094</v>
      </c>
      <c r="B18" s="7" t="s">
        <v>547</v>
      </c>
      <c r="C18" s="7" t="s">
        <v>1095</v>
      </c>
      <c r="D18" s="7" t="s">
        <v>1096</v>
      </c>
      <c r="E18" s="7" t="s">
        <v>1097</v>
      </c>
      <c r="F18" s="7" t="s">
        <v>384</v>
      </c>
      <c r="G18" s="7" t="s">
        <v>1093</v>
      </c>
      <c r="H18" s="7"/>
    </row>
    <row r="19" customFormat="false" ht="41.25" hidden="false" customHeight="true" outlineLevel="0" collapsed="false">
      <c r="A19" s="7" t="s">
        <v>1098</v>
      </c>
      <c r="B19" s="7" t="s">
        <v>547</v>
      </c>
      <c r="C19" s="7" t="s">
        <v>1099</v>
      </c>
      <c r="D19" s="7" t="s">
        <v>1100</v>
      </c>
      <c r="E19" s="7" t="s">
        <v>1101</v>
      </c>
      <c r="F19" s="7" t="s">
        <v>1102</v>
      </c>
      <c r="G19" s="7" t="s">
        <v>1103</v>
      </c>
      <c r="H19" s="7"/>
    </row>
    <row r="20" customFormat="false" ht="81.75" hidden="false" customHeight="true" outlineLevel="0" collapsed="false">
      <c r="A20" s="7" t="s">
        <v>1104</v>
      </c>
      <c r="B20" s="7" t="s">
        <v>547</v>
      </c>
      <c r="C20" s="7" t="s">
        <v>1105</v>
      </c>
      <c r="D20" s="7" t="s">
        <v>1106</v>
      </c>
      <c r="E20" s="7" t="s">
        <v>1107</v>
      </c>
      <c r="F20" s="7" t="s">
        <v>1108</v>
      </c>
      <c r="G20" s="7" t="s">
        <v>1109</v>
      </c>
      <c r="H20" s="7"/>
    </row>
    <row r="21" customFormat="false" ht="68.25" hidden="false" customHeight="true" outlineLevel="0" collapsed="false">
      <c r="A21" s="7" t="s">
        <v>1110</v>
      </c>
      <c r="B21" s="7" t="s">
        <v>547</v>
      </c>
      <c r="C21" s="7" t="s">
        <v>1111</v>
      </c>
      <c r="D21" s="7" t="s">
        <v>1112</v>
      </c>
      <c r="E21" s="7" t="s">
        <v>1113</v>
      </c>
      <c r="F21" s="7" t="s">
        <v>1114</v>
      </c>
      <c r="G21" s="7" t="s">
        <v>1115</v>
      </c>
      <c r="H21" s="7"/>
    </row>
    <row r="22" customFormat="false" ht="54.75" hidden="false" customHeight="true" outlineLevel="0" collapsed="false">
      <c r="A22" s="7" t="s">
        <v>1116</v>
      </c>
      <c r="B22" s="7" t="s">
        <v>547</v>
      </c>
      <c r="C22" s="7" t="s">
        <v>1117</v>
      </c>
      <c r="D22" s="7" t="s">
        <v>1118</v>
      </c>
      <c r="E22" s="7" t="s">
        <v>1119</v>
      </c>
      <c r="F22" s="7" t="s">
        <v>1120</v>
      </c>
      <c r="G22" s="7" t="s">
        <v>1093</v>
      </c>
      <c r="H22" s="7"/>
    </row>
    <row r="23" customFormat="false" ht="41.25" hidden="false" customHeight="true" outlineLevel="0" collapsed="false">
      <c r="A23" s="7" t="s">
        <v>1121</v>
      </c>
      <c r="B23" s="7" t="s">
        <v>547</v>
      </c>
      <c r="C23" s="7" t="s">
        <v>1122</v>
      </c>
      <c r="D23" s="7" t="s">
        <v>1123</v>
      </c>
      <c r="E23" s="7" t="s">
        <v>1124</v>
      </c>
      <c r="F23" s="7" t="s">
        <v>1125</v>
      </c>
      <c r="G23" s="7" t="s">
        <v>1093</v>
      </c>
      <c r="H23" s="7"/>
    </row>
    <row r="24" customFormat="false" ht="54.75" hidden="false" customHeight="true" outlineLevel="0" collapsed="false">
      <c r="A24" s="7" t="s">
        <v>905</v>
      </c>
      <c r="B24" s="7" t="s">
        <v>547</v>
      </c>
      <c r="C24" s="7" t="s">
        <v>1126</v>
      </c>
      <c r="D24" s="7" t="s">
        <v>1127</v>
      </c>
      <c r="E24" s="7" t="s">
        <v>1128</v>
      </c>
      <c r="F24" s="7" t="s">
        <v>1129</v>
      </c>
      <c r="G24" s="7" t="s">
        <v>1130</v>
      </c>
      <c r="H24" s="7"/>
    </row>
    <row r="25" customFormat="false" ht="41.25" hidden="false" customHeight="true" outlineLevel="0" collapsed="false">
      <c r="A25" s="7" t="s">
        <v>1131</v>
      </c>
      <c r="B25" s="7" t="s">
        <v>1059</v>
      </c>
      <c r="C25" s="7" t="s">
        <v>1132</v>
      </c>
      <c r="D25" s="7" t="s">
        <v>1133</v>
      </c>
      <c r="E25" s="7" t="s">
        <v>1134</v>
      </c>
      <c r="F25" s="7" t="s">
        <v>373</v>
      </c>
      <c r="G25" s="7" t="s">
        <v>1093</v>
      </c>
      <c r="H25" s="7"/>
    </row>
    <row r="26" customFormat="false" ht="81.75" hidden="false" customHeight="true" outlineLevel="0" collapsed="false">
      <c r="A26" s="7" t="s">
        <v>1135</v>
      </c>
      <c r="B26" s="7" t="s">
        <v>544</v>
      </c>
      <c r="C26" s="7" t="s">
        <v>1136</v>
      </c>
      <c r="D26" s="7" t="s">
        <v>1137</v>
      </c>
      <c r="E26" s="7" t="s">
        <v>1138</v>
      </c>
      <c r="F26" s="7" t="s">
        <v>1139</v>
      </c>
      <c r="G26" s="7" t="s">
        <v>1140</v>
      </c>
      <c r="H26" s="7"/>
    </row>
    <row r="27" customFormat="false" ht="54.75" hidden="false" customHeight="true" outlineLevel="0" collapsed="false">
      <c r="A27" s="7" t="s">
        <v>1141</v>
      </c>
      <c r="B27" s="7" t="s">
        <v>544</v>
      </c>
      <c r="C27" s="7" t="s">
        <v>1142</v>
      </c>
      <c r="D27" s="7" t="s">
        <v>1143</v>
      </c>
      <c r="E27" s="7" t="s">
        <v>1144</v>
      </c>
      <c r="F27" s="7" t="s">
        <v>1145</v>
      </c>
      <c r="G27" s="7" t="s">
        <v>1093</v>
      </c>
      <c r="H27" s="7"/>
    </row>
    <row r="28" customFormat="false" ht="41.25" hidden="false" customHeight="true" outlineLevel="0" collapsed="false">
      <c r="A28" s="7" t="s">
        <v>1146</v>
      </c>
      <c r="B28" s="7" t="s">
        <v>547</v>
      </c>
      <c r="C28" s="7" t="s">
        <v>1142</v>
      </c>
      <c r="D28" s="7" t="s">
        <v>1147</v>
      </c>
      <c r="E28" s="7" t="s">
        <v>1148</v>
      </c>
      <c r="F28" s="7" t="s">
        <v>1149</v>
      </c>
      <c r="G28" s="7" t="s">
        <v>1093</v>
      </c>
      <c r="H28" s="7"/>
    </row>
    <row r="29" customFormat="false" ht="41.25" hidden="false" customHeight="true" outlineLevel="0" collapsed="false">
      <c r="A29" s="7" t="s">
        <v>1150</v>
      </c>
      <c r="B29" s="7" t="s">
        <v>547</v>
      </c>
      <c r="C29" s="7" t="s">
        <v>1151</v>
      </c>
      <c r="D29" s="7" t="s">
        <v>1152</v>
      </c>
      <c r="E29" s="7" t="s">
        <v>1153</v>
      </c>
      <c r="F29" s="7" t="s">
        <v>1154</v>
      </c>
      <c r="G29" s="7" t="s">
        <v>1155</v>
      </c>
      <c r="H29" s="7"/>
    </row>
    <row r="30" customFormat="false" ht="54.75" hidden="false" customHeight="true" outlineLevel="0" collapsed="false">
      <c r="A30" s="7" t="s">
        <v>1156</v>
      </c>
      <c r="B30" s="7" t="s">
        <v>1157</v>
      </c>
      <c r="C30" s="7" t="s">
        <v>1136</v>
      </c>
      <c r="D30" s="7" t="s">
        <v>1158</v>
      </c>
      <c r="E30" s="7" t="s">
        <v>1159</v>
      </c>
      <c r="F30" s="7" t="s">
        <v>1149</v>
      </c>
      <c r="G30" s="7" t="s">
        <v>587</v>
      </c>
      <c r="H30" s="7"/>
    </row>
    <row r="31" customFormat="false" ht="68.25" hidden="false" customHeight="true" outlineLevel="0" collapsed="false">
      <c r="A31" s="7" t="s">
        <v>1160</v>
      </c>
      <c r="B31" s="7" t="s">
        <v>1157</v>
      </c>
      <c r="C31" s="7" t="s">
        <v>1161</v>
      </c>
      <c r="D31" s="7" t="s">
        <v>1162</v>
      </c>
      <c r="E31" s="7" t="s">
        <v>1163</v>
      </c>
      <c r="F31" s="7" t="s">
        <v>1164</v>
      </c>
      <c r="G31" s="7" t="s">
        <v>1165</v>
      </c>
      <c r="H31" s="7"/>
    </row>
    <row r="32" customFormat="false" ht="54.75" hidden="false" customHeight="true" outlineLevel="0" collapsed="false">
      <c r="A32" s="7" t="s">
        <v>1166</v>
      </c>
      <c r="B32" s="7" t="s">
        <v>1059</v>
      </c>
      <c r="C32" s="7" t="s">
        <v>1085</v>
      </c>
      <c r="D32" s="7" t="s">
        <v>1167</v>
      </c>
      <c r="E32" s="7" t="s">
        <v>1168</v>
      </c>
      <c r="F32" s="7" t="s">
        <v>1149</v>
      </c>
      <c r="G32" s="7" t="s">
        <v>587</v>
      </c>
      <c r="H32" s="7"/>
    </row>
    <row r="33" customFormat="false" ht="54.75" hidden="false" customHeight="true" outlineLevel="0" collapsed="false">
      <c r="A33" s="7" t="s">
        <v>1169</v>
      </c>
      <c r="B33" s="7" t="s">
        <v>1059</v>
      </c>
      <c r="C33" s="7" t="s">
        <v>1170</v>
      </c>
      <c r="D33" s="7" t="s">
        <v>1171</v>
      </c>
      <c r="E33" s="7" t="s">
        <v>1172</v>
      </c>
      <c r="F33" s="7" t="s">
        <v>1173</v>
      </c>
      <c r="G33" s="7" t="s">
        <v>1174</v>
      </c>
      <c r="H33" s="7"/>
    </row>
    <row r="34" customFormat="false" ht="135.75" hidden="false" customHeight="true" outlineLevel="0" collapsed="false">
      <c r="A34" s="7" t="s">
        <v>1175</v>
      </c>
      <c r="B34" s="7"/>
      <c r="C34" s="7"/>
      <c r="D34" s="7"/>
      <c r="E34" s="7"/>
      <c r="F34" s="7"/>
      <c r="G34" s="7"/>
      <c r="H34" s="7"/>
    </row>
    <row r="35" customFormat="false" ht="81.75" hidden="false" customHeight="true" outlineLevel="0" collapsed="false">
      <c r="A35" s="7" t="s">
        <v>1176</v>
      </c>
      <c r="B35" s="7" t="s">
        <v>544</v>
      </c>
      <c r="C35" s="7" t="s">
        <v>1177</v>
      </c>
      <c r="D35" s="7" t="s">
        <v>1178</v>
      </c>
      <c r="E35" s="7" t="s">
        <v>1179</v>
      </c>
      <c r="F35" s="7" t="s">
        <v>1180</v>
      </c>
      <c r="G35" s="7" t="s">
        <v>1181</v>
      </c>
      <c r="H35" s="7"/>
    </row>
    <row r="36" customFormat="false" ht="54.75" hidden="false" customHeight="true" outlineLevel="0" collapsed="false">
      <c r="A36" s="7" t="s">
        <v>1182</v>
      </c>
      <c r="B36" s="7" t="s">
        <v>1183</v>
      </c>
      <c r="C36" s="7" t="s">
        <v>1184</v>
      </c>
      <c r="D36" s="7" t="s">
        <v>1185</v>
      </c>
      <c r="E36" s="7" t="s">
        <v>1186</v>
      </c>
      <c r="F36" s="7" t="s">
        <v>1187</v>
      </c>
      <c r="G36" s="7" t="s">
        <v>1093</v>
      </c>
      <c r="H36" s="7"/>
    </row>
    <row r="37" customFormat="false" ht="81.75" hidden="false" customHeight="true" outlineLevel="0" collapsed="false">
      <c r="A37" s="7" t="s">
        <v>1188</v>
      </c>
      <c r="B37" s="7" t="s">
        <v>544</v>
      </c>
      <c r="C37" s="7" t="s">
        <v>1189</v>
      </c>
      <c r="D37" s="7" t="s">
        <v>1190</v>
      </c>
      <c r="E37" s="7" t="s">
        <v>1191</v>
      </c>
      <c r="F37" s="7" t="s">
        <v>1192</v>
      </c>
      <c r="G37" s="7" t="s">
        <v>1193</v>
      </c>
      <c r="H37" s="7"/>
    </row>
    <row r="38" customFormat="false" ht="68.25" hidden="false" customHeight="true" outlineLevel="0" collapsed="false">
      <c r="A38" s="7" t="s">
        <v>1194</v>
      </c>
      <c r="B38" s="7" t="s">
        <v>544</v>
      </c>
      <c r="C38" s="7" t="s">
        <v>1195</v>
      </c>
      <c r="D38" s="7" t="s">
        <v>1196</v>
      </c>
      <c r="E38" s="7" t="s">
        <v>1197</v>
      </c>
      <c r="F38" s="7" t="s">
        <v>1198</v>
      </c>
      <c r="G38" s="7" t="s">
        <v>1199</v>
      </c>
      <c r="H38" s="7"/>
    </row>
    <row r="39" customFormat="false" ht="68.25" hidden="false" customHeight="true" outlineLevel="0" collapsed="false">
      <c r="A39" s="7" t="s">
        <v>1200</v>
      </c>
      <c r="B39" s="7" t="s">
        <v>544</v>
      </c>
      <c r="C39" s="7" t="s">
        <v>1201</v>
      </c>
      <c r="D39" s="7" t="s">
        <v>1202</v>
      </c>
      <c r="E39" s="7" t="s">
        <v>1203</v>
      </c>
      <c r="F39" s="7" t="s">
        <v>1204</v>
      </c>
      <c r="G39" s="7" t="s">
        <v>1205</v>
      </c>
      <c r="H39" s="7"/>
    </row>
    <row r="40" customFormat="false" ht="54.75" hidden="false" customHeight="true" outlineLevel="0" collapsed="false">
      <c r="A40" s="7" t="s">
        <v>1206</v>
      </c>
      <c r="B40" s="7" t="s">
        <v>547</v>
      </c>
      <c r="C40" s="7" t="s">
        <v>1207</v>
      </c>
      <c r="D40" s="7" t="s">
        <v>1208</v>
      </c>
      <c r="E40" s="7" t="s">
        <v>1209</v>
      </c>
      <c r="F40" s="7" t="s">
        <v>1210</v>
      </c>
      <c r="G40" s="7" t="s">
        <v>1093</v>
      </c>
      <c r="H40" s="7"/>
    </row>
    <row r="41" customFormat="false" ht="68.25" hidden="false" customHeight="true" outlineLevel="0" collapsed="false">
      <c r="A41" s="7" t="s">
        <v>1211</v>
      </c>
      <c r="B41" s="7" t="s">
        <v>1157</v>
      </c>
      <c r="C41" s="7" t="s">
        <v>1212</v>
      </c>
      <c r="D41" s="7" t="s">
        <v>1213</v>
      </c>
      <c r="E41" s="7" t="s">
        <v>1214</v>
      </c>
      <c r="F41" s="7" t="s">
        <v>1215</v>
      </c>
      <c r="G41" s="7" t="s">
        <v>1216</v>
      </c>
      <c r="H41" s="7"/>
    </row>
    <row r="42" customFormat="false" ht="68.25" hidden="false" customHeight="true" outlineLevel="0" collapsed="false">
      <c r="A42" s="7" t="s">
        <v>750</v>
      </c>
      <c r="B42" s="7" t="s">
        <v>544</v>
      </c>
      <c r="C42" s="7" t="s">
        <v>1217</v>
      </c>
      <c r="D42" s="7" t="s">
        <v>1218</v>
      </c>
      <c r="E42" s="7" t="s">
        <v>1219</v>
      </c>
      <c r="F42" s="7" t="s">
        <v>1220</v>
      </c>
      <c r="G42" s="7" t="s">
        <v>1221</v>
      </c>
      <c r="H42" s="7"/>
    </row>
    <row r="43" customFormat="false" ht="41.25" hidden="false" customHeight="true" outlineLevel="0" collapsed="false">
      <c r="A43" s="7" t="s">
        <v>1222</v>
      </c>
      <c r="B43" s="7" t="s">
        <v>1059</v>
      </c>
      <c r="C43" s="7" t="s">
        <v>1223</v>
      </c>
      <c r="D43" s="7" t="s">
        <v>1224</v>
      </c>
      <c r="E43" s="7" t="s">
        <v>1225</v>
      </c>
      <c r="F43" s="7" t="s">
        <v>270</v>
      </c>
      <c r="G43" s="7" t="s">
        <v>1226</v>
      </c>
      <c r="H43" s="7"/>
    </row>
    <row r="44" customFormat="false" ht="68.25" hidden="false" customHeight="true" outlineLevel="0" collapsed="false">
      <c r="A44" s="7" t="s">
        <v>1227</v>
      </c>
      <c r="B44" s="7" t="s">
        <v>547</v>
      </c>
      <c r="C44" s="7" t="s">
        <v>1228</v>
      </c>
      <c r="D44" s="7" t="s">
        <v>1229</v>
      </c>
      <c r="E44" s="7" t="s">
        <v>1230</v>
      </c>
      <c r="F44" s="7" t="s">
        <v>1231</v>
      </c>
      <c r="G44" s="7" t="s">
        <v>1232</v>
      </c>
      <c r="H44" s="7"/>
    </row>
    <row r="45" customFormat="false" ht="95.25" hidden="false" customHeight="true" outlineLevel="0" collapsed="false">
      <c r="A45" s="7" t="s">
        <v>1233</v>
      </c>
      <c r="B45" s="7" t="s">
        <v>1234</v>
      </c>
      <c r="C45" s="7" t="s">
        <v>1235</v>
      </c>
      <c r="D45" s="7" t="s">
        <v>1236</v>
      </c>
      <c r="E45" s="7" t="s">
        <v>1237</v>
      </c>
      <c r="F45" s="7" t="s">
        <v>1238</v>
      </c>
      <c r="G45" s="7" t="s">
        <v>1239</v>
      </c>
      <c r="H45" s="7"/>
    </row>
    <row r="46" customFormat="false" ht="68.25" hidden="false" customHeight="true" outlineLevel="0" collapsed="false">
      <c r="A46" s="7" t="s">
        <v>1240</v>
      </c>
      <c r="B46" s="7" t="s">
        <v>1234</v>
      </c>
      <c r="C46" s="7" t="s">
        <v>1241</v>
      </c>
      <c r="D46" s="7" t="s">
        <v>1242</v>
      </c>
      <c r="E46" s="7" t="s">
        <v>1243</v>
      </c>
      <c r="F46" s="7" t="s">
        <v>1244</v>
      </c>
      <c r="G46" s="7" t="s">
        <v>1245</v>
      </c>
      <c r="H46" s="7"/>
    </row>
    <row r="47" customFormat="false" ht="54.75" hidden="false" customHeight="true" outlineLevel="0" collapsed="false">
      <c r="A47" s="7" t="s">
        <v>771</v>
      </c>
      <c r="B47" s="7" t="s">
        <v>1059</v>
      </c>
      <c r="C47" s="7" t="s">
        <v>1246</v>
      </c>
      <c r="D47" s="7" t="s">
        <v>1247</v>
      </c>
      <c r="E47" s="7" t="s">
        <v>1248</v>
      </c>
      <c r="F47" s="7" t="s">
        <v>1249</v>
      </c>
      <c r="G47" s="7" t="s">
        <v>1250</v>
      </c>
      <c r="H47" s="7"/>
    </row>
    <row r="48" customFormat="false" ht="95.25" hidden="false" customHeight="true" outlineLevel="0" collapsed="false">
      <c r="A48" s="7" t="s">
        <v>1251</v>
      </c>
      <c r="B48" s="7" t="s">
        <v>1234</v>
      </c>
      <c r="C48" s="7" t="s">
        <v>1252</v>
      </c>
      <c r="D48" s="7" t="s">
        <v>1253</v>
      </c>
      <c r="E48" s="7" t="s">
        <v>1254</v>
      </c>
      <c r="F48" s="7" t="s">
        <v>1255</v>
      </c>
      <c r="G48" s="7" t="s">
        <v>1256</v>
      </c>
      <c r="H48" s="7"/>
    </row>
    <row r="49" customFormat="false" ht="54.75" hidden="false" customHeight="true" outlineLevel="0" collapsed="false">
      <c r="A49" s="7" t="s">
        <v>1257</v>
      </c>
      <c r="B49" s="7" t="s">
        <v>547</v>
      </c>
      <c r="C49" s="7" t="s">
        <v>1258</v>
      </c>
      <c r="D49" s="7" t="s">
        <v>1259</v>
      </c>
      <c r="E49" s="7" t="s">
        <v>1260</v>
      </c>
      <c r="F49" s="7" t="s">
        <v>270</v>
      </c>
      <c r="G49" s="7" t="s">
        <v>1261</v>
      </c>
      <c r="H49" s="7"/>
    </row>
    <row r="50" customFormat="false" ht="41.25" hidden="false" customHeight="true" outlineLevel="0" collapsed="false">
      <c r="A50" s="7" t="s">
        <v>1262</v>
      </c>
      <c r="B50" s="7" t="s">
        <v>547</v>
      </c>
      <c r="C50" s="7" t="s">
        <v>1263</v>
      </c>
      <c r="D50" s="7" t="s">
        <v>1264</v>
      </c>
      <c r="E50" s="7" t="s">
        <v>1265</v>
      </c>
      <c r="F50" s="7" t="s">
        <v>1266</v>
      </c>
      <c r="G50" s="7" t="s">
        <v>1267</v>
      </c>
      <c r="H50" s="7"/>
    </row>
    <row r="51" customFormat="false" ht="54.75" hidden="false" customHeight="true" outlineLevel="0" collapsed="false">
      <c r="A51" s="7" t="s">
        <v>1268</v>
      </c>
      <c r="B51" s="7" t="s">
        <v>547</v>
      </c>
      <c r="C51" s="7" t="s">
        <v>1269</v>
      </c>
      <c r="D51" s="7" t="s">
        <v>1270</v>
      </c>
      <c r="E51" s="7" t="s">
        <v>1271</v>
      </c>
      <c r="F51" s="7" t="s">
        <v>365</v>
      </c>
      <c r="G51" s="7" t="s">
        <v>1093</v>
      </c>
      <c r="H51" s="7"/>
    </row>
    <row r="52" customFormat="false" ht="68.25" hidden="false" customHeight="true" outlineLevel="0" collapsed="false">
      <c r="A52" s="7" t="s">
        <v>1272</v>
      </c>
      <c r="B52" s="7" t="s">
        <v>544</v>
      </c>
      <c r="C52" s="7" t="s">
        <v>1273</v>
      </c>
      <c r="D52" s="7" t="s">
        <v>1274</v>
      </c>
      <c r="E52" s="7" t="s">
        <v>1275</v>
      </c>
      <c r="F52" s="7" t="s">
        <v>1276</v>
      </c>
      <c r="G52" s="7" t="s">
        <v>1277</v>
      </c>
      <c r="H52" s="7"/>
    </row>
    <row r="53" customFormat="false" ht="108.95" hidden="false" customHeight="false" outlineLevel="0" collapsed="false">
      <c r="A53" s="7" t="s">
        <v>1278</v>
      </c>
      <c r="B53" s="7" t="s">
        <v>544</v>
      </c>
      <c r="C53" s="7" t="s">
        <v>1279</v>
      </c>
      <c r="D53" s="7" t="s">
        <v>1280</v>
      </c>
      <c r="E53" s="7" t="s">
        <v>1281</v>
      </c>
      <c r="F53" s="7" t="s">
        <v>1282</v>
      </c>
      <c r="G53" s="7" t="s">
        <v>1283</v>
      </c>
      <c r="H53"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2026-09-05T18:47:12Z</dcterms:created>
  <dc:creator>openpyxl</dc:creator>
  <dc:description/>
  <dc:language>en-US</dc:language>
  <cp:lastModifiedBy/>
  <dcterms:modified xsi:type="dcterms:W3CDTF">2026-09-13T16:30:00Z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