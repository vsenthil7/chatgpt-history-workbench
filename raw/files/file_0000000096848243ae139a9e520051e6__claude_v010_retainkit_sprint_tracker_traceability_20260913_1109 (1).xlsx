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S1_Build_Board" sheetId="4" state="visible" r:id="rId6"/>
    <sheet name="S2_Build_Board" sheetId="5" state="visible" r:id="rId7"/>
    <sheet name="S3_Build_Board" sheetId="6" state="visible" r:id="rId8"/>
    <sheet name="S4_Build_Board" sheetId="7" state="visible" r:id="rId9"/>
    <sheet name="S5_Build_Board" sheetId="8" state="visible" r:id="rId10"/>
    <sheet name="S6_Build_Board" sheetId="9" state="visible" r:id="rId11"/>
    <sheet name="S7_Build_Board" sheetId="10" state="visible" r:id="rId12"/>
    <sheet name="S8_Build_Board" sheetId="11" state="visible" r:id="rId13"/>
    <sheet name="S9_Build_Board" sheetId="12" state="visible" r:id="rId14"/>
    <sheet name="Traceability_Matrix" sheetId="13" state="visible" r:id="rId15"/>
    <sheet name="Sprint_Status_Rollup" sheetId="14" state="visible" r:id="rId16"/>
    <sheet name="Review_Findings" sheetId="15" state="visible" r:id="rId17"/>
    <sheet name="RAID_Carryover" sheetId="16" state="visible" r:id="rId18"/>
    <sheet name="Gate_Checklist"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<sst xmlns="http://schemas.openxmlformats.org/spreadsheetml/2006/main" count="2398" uniqueCount="1084">
  <si>
    <t xml:space="preserve">VERSION CONTROL — RetainKit Sprint Tracker &amp; Traceability</t>
  </si>
  <si>
    <t xml:space="preserve">File naming: claude_v&lt;NNN&gt;_&lt;proper file name&gt;_YYYYMMDD_HHMI.xlsx. Companion: RetainKit product workbook v005 (baseline) -&gt; v010 (current) = backlog source of truth; this tracker consolidates its Sprint_Tracker_Log and Traceability_Matrix into the standalone D12-pattern file, with per-sprint build boards and live rollup formulas.</t>
  </si>
  <si>
    <t xml:space="preserve">Version</t>
  </si>
  <si>
    <t xml:space="preserve">Date/Time</t>
  </si>
  <si>
    <t xml:space="preserve">Author</t>
  </si>
  <si>
    <t xml:space="preserve">Change Description</t>
  </si>
  <si>
    <t xml:space="preserve">Status</t>
  </si>
  <si>
    <t xml:space="preserve">v001</t>
  </si>
  <si>
    <t xml:space="preserve">2026-09-10 23:03</t>
  </si>
  <si>
    <t xml:space="preserve">Claude for Senthil/KP</t>
  </si>
  <si>
    <t xml:space="preserve">THIS FILE — Standalone live execution tracker for RetainKit (Shopify App Store, portfolio wave-1), created on Senthil's 23:03 instruction to mirror the TeleField tracker pattern. Consolidates all five executed sprints from the product workbook lineage: S1 @22:05 (v006), S2 @22:15 (v007), S3 @22:20 (v008), S4 @22:28 (v009), S5 @22:52 (v010). 42/100 stories (173/399 pts) Done-in-code across 16 TypeScript modules; 183 automated tests (unit + integration + 10-step E2E smoke), 100% statements/branches/functions/lines, zero ignore pragmas, jest hard gate (D13). Sprint log E001-E007; full 100-story traceability with per-story code/test evidence; S1-S5 build boards; rollup formulas; RAID; completion gate. Code: retainkit_code_tests_s1_to_s5.zip.</t>
  </si>
  <si>
    <t xml:space="preserve">Released</t>
  </si>
  <si>
    <t xml:space="preserve">v002</t>
  </si>
  <si>
    <t xml:space="preserve">2026-09-10 23:09</t>
  </si>
  <si>
    <t xml:space="preserve">S6 EXECUTED (Billing + Analytics: ST-031..040, ST-057..059, 60 pts) — 31 new tests, suite 214/214 at 100% x4 across 18 modules; product workbook v011 released. This tracker: E008 appended; S6_Build_Board added; 13 traceability rows flipped to Done-in-code with evidence; rollup now 55/100 stories, 233/399 pts (58.4%). DEFECT FIXED from v001: Gate_Checklist first data row had overwritten the sheet header — header restored, all rows intact (logged in E008).</t>
  </si>
  <si>
    <t xml:space="preserve">v003</t>
  </si>
  <si>
    <t xml:space="preserve">2026-09-11 08:20</t>
  </si>
  <si>
    <t xml:space="preserve">S7 EXECUTED (Billing part 2 + least-privilege doc: ST-060..064, 15 pts) — 16 new tests, suite 230/230 at 100% x4 across 19 modules; product workbook v012 released; SCOPES.md artifact generated + CI-validated. This tracker: E009 appended; S7_Build_Board added; 5 traceability rows Done-in-code; rollup 60/100 stories, 248/399 pts (62.2%); LC-5 moved to in-progress on the scopes doc.</t>
  </si>
  <si>
    <t xml:space="preserve">v004</t>
  </si>
  <si>
    <t xml:space="preserve">2026-09-11 12:52</t>
  </si>
  <si>
    <t xml:space="preserve">S8 EXECUTED (22 stories, 87 pts: F5 audience sync + E6 security + E7 ops telemetry + EQ performance/deploy) — 41 new tests, suite 271/271 at 100% x4 across 23 modules; workbook v013 released; DATA_FLOWS.md artifact generated + CI-validated. Tracker: E010, S8_Build_Board, 22 traceability rows Done-in-code, rollup 82/100 stories 335/399 pts (84.0%), LC-8 in progress.</t>
  </si>
  <si>
    <t xml:space="preserve">v005</t>
  </si>
  <si>
    <t xml:space="preserve">2026-09-13 10:23</t>
  </si>
  <si>
    <t xml:space="preserve">S9 EXECUTED + FIRST ADVERSARIAL COLD REVIEW + EXTERNAL VERIFICATION SWEEP. S9: ST-069 export/delete-my-data, ST-090 backup+restore drill with sha256 integrity and ship-block, ST-091 chaos outage degradation with merchant comms, ST-068 SECURITY_EVIDENCE.md sandbox half, ST-089 structural WCAG AA audit over 6 screens x populated/empty, ST-093 listing copy A/B, ST-094 asset plan. COLD REVIEW: 9 defects fixed with pinned regressions (F-RK01..F-RK09). VERIFICATION SWEEP vs live Shopify docs: 4 findings, 3 LIVE-BLOCKING (VER-RK01..VER-RK06) — headline VER-RK04: the three mandatory compliance webhooks did not exist, an automatic App Store rejection. Code v014: 14 suites / 339 tests at 100% statements/branches/functions/lines, zero pragmas. 85/100 stories Done-in-code (346/399 pts).</t>
  </si>
  <si>
    <t xml:space="preserve">v006</t>
  </si>
  <si>
    <t xml:space="preserve">2026-09-13 10:34</t>
  </si>
  <si>
    <t xml:space="preserve">ARTIFACT-GAP AUDIT (OnCall/EngageOS/MeetSync sibling pattern). 6 gaps, 2 CRITICAL. GAP-RK1: NO HTTP APPLICATION existed behind any route the manifest declared — application_url, /auth/callback, /webhooks/compliance, /webhooks/uninstalled and the app proxy were all config pointing at nothing. Install would have failed on the day. Worse, this session created half that gap when it wrote shopify.app.toml at 10:23. GAP-RK2: NO DATABASE SCHEMA behind the backup drill, the retention sweep or the 12 registry domains. Also GAP-RK3 no build or start script, GAP-RK4 uninstall scheduled deletion into a no-op, GAP-RK5 CI ran tests but never proved the app compiles, GAP-RK6 no executable setup path. All fixed: async-safe router + 7-route app + npm start, 3 ordered migrations with cascade deletes + npm run migrate, real deletion schedule, build and migrate gates in CI, SETUP.md. VER-RK07 found while building: the app proxy signature scheme is NOT the OAuth HMAC scheme (signature vs hmac; sorted pairs joined with nothing vs joined with &amp;) — reusing verifyHmac would have failed every storefront request silently. Code v015: 15 suites / 374 tests at 100% on all four metrics, zero pragmas. Story position unchanged at 85/100 (346/399) — infrastructure, not story flips.</t>
  </si>
  <si>
    <t xml:space="preserve">v007</t>
  </si>
  <si>
    <t xml:space="preserve">2026-09-13 10:43</t>
  </si>
  <si>
    <t xml:space="preserve">S10 EXECUTED — all 7 remaining sandbox-codeable stories. ST-080 help centre: 15 launch articles with ranked search (keyword matches outrank title, title outranks body, because merchants search symptoms not headings). ST-081 built-in chat with a business-hours SLA engine — a Friday-evening message is due Monday morning, and breaches are surfaced so the 4-hour promise is measurable rather than decorative; the chat-vendor decision is now OPTIONAL (DR-7 to ratify). ST-095 pricing page and ST-096 trust page GENERATED from billing PLANS, DATA_FLOWS and REQUESTED_SCOPES, each with a drift gate that fires on over- or under-claiming. ST-084 incident template that REFUSES to publish an update with no impact or action statement. ST-083 demo mode isolated by construction — it will not seed any shop outside the demo- namespace (MeetSync M-F16 class, prevented rather than fixed). ST-097 submission dry-run that reports READY on the automated half only and never on a human or external item. Three new public routes (/pricing, /trust, /help). Code v016: 16 suites / 404 tests at 100% on all four metrics, zero pragmas. 90/100 stories Done-in-code (362/399 pts, 90.7%) — 5 of the 7 flip to Done-in-code, ST-083 is code-complete pending video capture and ST-097 stays In progress pending the external reviewer, so the honest count is 5 not 7. SANDBOX-CODEABLE BACKLOG NOW ZERO except ST-082/098/099/100.</t>
  </si>
  <si>
    <t xml:space="preserve">v008</t>
  </si>
  <si>
    <t xml:space="preserve">2026-09-13 10:59</t>
  </si>
  <si>
    <t xml:space="preserve">S11/S12 EXECUTED — the last four backlog stories. ST-082 review ask gated on the aha moment and refused, with a named reason, whenever asking would be rude or useless (open support ticket, active incident, read-only shop, within the 90-day cooldown, or already reviewed). ST-098 launch runbook written as CODE so its rollback triggers reference the same LATENCY_BUDGETS_MS the monitor enforces — tuning a budget tunes the trigger in the same edit; it holds while any operator step is outstanding and never reports proceed on a step with no wired check, and ROLLBACK_NOTES names what a rollback cannot undo (a completed customer redaction must never be restored by a database snapshot). ST-099 SEO iteration with a 100-impression thin-data floor, returning a thin-data report rather than suggestions. ST-100 10-slot partner tracker whose exit maths states plainly that filling all ten slots does not meet G-02 and that reviews satisfy the S11 exit, not the completion gate (VoiceBridge F-V13 class, prevented). RETAINKIT CODE PHASE COMPLETE — backlog zero; sixth product to reach it after TeleField, VoiceBridge, FlowCast, ShiftDesk and EngageOS. Code v017: 17 suites / 430 tests at 100% on all four metrics, zero pragmas. 94/100 stories Done-in-code (372/399 pts, 93.2%); the remaining 6 are ST-068 pen-test, ST-083 video capture, ST-089 accessibility manual half, ST-093/094 copy pick and asset capture, ST-097 external reviewer — every one of them Senthil's.</t>
  </si>
  <si>
    <t xml:space="preserve">v009</t>
  </si>
  <si>
    <t xml:space="preserve">2026-09-13 11:04</t>
  </si>
  <si>
    <t xml:space="preserve">R-K10 CLOSED IN CODE — Postgres adapters behind the store interfaces. PgTokenStore (encrypts before the value leaves the process, so the plaintext token never appears in a query the database could log), PgStateStore (single-use AND time-limited in one DELETE ... RETURNING, so two concurrent callbacks cannot both consume the same state), PgComplianceRequestStore, PgTrialStore, PgSubscriptionStore, PgDunningStore, and a PgDomainAdapter per data domain with an explicit table/customer-column map. Every caller value is a bound parameter and a test proves it by pushing a SQL-injection string through every adapter. New SCHEMA DRIFT GATE parses migrations/*.sql and fails if an adapter names a table or column the schema does not create; it also asserts every customer-bearing table cascades from shops, and that compliance_requests deliberately does NOT — it is the proof of erasure and must outlive the shop row. Two defects found by writing the adapters: migration 004 (the subscriptions table shipped without the provider, subscription_id and confirmation_url columns SubscriptionRecord has always carried) and F-RK10 / migration 005 — customer_consent had no email column, so a privacy request carrying ONLY an email (a shape Shopify documents and our handler has always accepted) would have matched zero rows while the app recorded the request as completed. A reported erasure that erased nothing is worse than a failed one. Both fixed by new migrations rather than edits to shipped ones. Code v018: 18 suites / 456 tests at 100% on all four metrics, zero pragmas. Story position unchanged at 94/100 (372/399) — infrastructure, not story flips. HONESTY: these adapters are schema-checked, NOT server-tested; no Postgres was available. The constant PG_ADAPTER_VERIFICATION_STATUS says so in the code and a test asserts the wording.</t>
  </si>
  <si>
    <t xml:space="preserve">v010</t>
  </si>
  <si>
    <t xml:space="preserve">2026-09-13 11:09</t>
  </si>
  <si>
    <t xml:space="preserve">HANDOVER-REDUCTION PASS — three items that each cut Senthil's dev-store session, built after I had wrongly said nothing sandbox-buildable remained. (1) PERSISTENCE IS NOW AUTOMATIC: chosen from DATABASE_URL, and if DATABASE_URL is set without a SQL client the app REFUSES TO START rather than quietly writing to memory against a configured database — the dangerous failure is the quiet one, an app that looks healthy and loses everything on restart. Token encryption key derived from the app secret via sha256 with a domain-separated label, overridable. (2) SCRIPTED VERIFICATION SWEEP (npm run sweep): 8 automated checks incl. an API-version check that catches an old slot still serving, a forged-webhook check that fails loudly if the app accepts an unsigned webhook, and reachability of the pricing and trust pages the listing requires; exits non-zero on failure and lists the 5 operator steps rather than counting them as passed. SETUP.md now runs the sweep as step 7. (3) REVIEW_PACK.md for the external second reviewer (ST-097): names where to look first, lists every known open item so the reviewer does not rediscover them, and asks specifically for the defect class every review of this codebase has actually found — a published promise with nothing enforcing it. Code v019: 19 suites / 469 tests at 100% on all four metrics, zero pragmas. Story position unchanged at 94/100 (372/399).</t>
  </si>
  <si>
    <t xml:space="preserve">v011</t>
  </si>
  <si>
    <t xml:space="preserve">PLANNED: opens on live evidence, dispositions, or external reviewer findings.</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</si>
  <si>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</si>
  <si>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</si>
  <si>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</si>
  <si>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</si>
  <si>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</si>
  <si>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</si>
  <si>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</si>
  <si>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</si>
  <si>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</si>
  <si>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</si>
  <si>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2026-09-10 22:05</t>
  </si>
  <si>
    <t xml:space="preserve">—</t>
  </si>
  <si>
    <t xml:space="preserve">RETAINKIT BUILD DIRECTED — Senthil instruction 22:05: continue work as per sprint from the v005 product workbook, with sprint tracker + traceability and 100% automation testing on all code. D13 (portfolio-wide: discovery parked, dev proceeds at 100% coverage) applied; D15 sequencing mode (multiple concurrent builds vs order swap) remains Senthil's open portfolio decision.</t>
  </si>
  <si>
    <t xml:space="preserve">D13, D15</t>
  </si>
  <si>
    <t xml:space="preserve">RetainKit S1 opened</t>
  </si>
  <si>
    <t xml:space="preserve">S1 build</t>
  </si>
  <si>
    <t xml:space="preserve">E002</t>
  </si>
  <si>
    <t xml:space="preserve">S1</t>
  </si>
  <si>
    <t xml:space="preserve">S1 FOUNDATION BUILT (TypeScript/Node per v005 stack): ST-051 OAuth install (shop-domain validation, HMAC + state verification, code exchange, token persist, welcome landing); ST-052 uninstall webhook (base64 HMAC, immediate token purge, retention-scheduled deletion); ST-055 rotation-safe token manager (401 -&gt; refresh -&gt; persist -&gt; single retry, second 401 raises re-auth); ST-056 install telemetry with listing/search/referral attribution. D13 GATE: 40 tests, 100% x4, jest coverageThreshold hard-set. Product workbook v006 released with Sprint_Tracker_Log + Traceability_Matrix sheets added.</t>
  </si>
  <si>
    <t xml:space="preserve">ST-051/052/055/056; v006</t>
  </si>
  <si>
    <t xml:space="preserve">4 stories Done-in-code (13 pts)</t>
  </si>
  <si>
    <t xml:space="preserve">Live dev-store install = Senthil + Shopify Partners account</t>
  </si>
  <si>
    <t xml:space="preserve">E003</t>
  </si>
  <si>
    <t xml:space="preserve">2026-09-10 22:15</t>
  </si>
  <si>
    <t xml:space="preserve">S2</t>
  </si>
  <si>
    <t xml:space="preserve">S2 BUILT — Review request engine part 1: one-call defaults setup, validated rule customisation (delay 1-30, channels, min value, exclusions), delivered-order eligibility + scheduling, sends with exponential-backoff retry and explicit automatic/dashboard retry paths, review capture; ST-053 re-install restoration inside retention window; ST-054 owner/admin/member permission matrix with full-matrix test. 33 new tests, suite 73/73 at 100% x4. GATE CATCH: default-clock function in accountLifecycle.ts initially unexercised (96.3% stmt / 85.7% func) — build failed as designed, test fixed, then clean. Workbook v007 released.</t>
  </si>
  <si>
    <t xml:space="preserve">ST-001..004, 053, 054; v007</t>
  </si>
  <si>
    <t xml:space="preserve">6 stories Done-in-code (29 pts)</t>
  </si>
  <si>
    <t xml:space="preserve">E004</t>
  </si>
  <si>
    <t xml:space="preserve">2026-09-10 22:20</t>
  </si>
  <si>
    <t xml:space="preserve">S3</t>
  </si>
  <si>
    <t xml:space="preserve">S3 BUILT — Engine part 2 + Points skeleton: App Bridge session-token (JWT HS256) verification + embedded detection; engine metrics/trends with zero-guarded conversion; audited permission gate (AuditedGate RESTRUCTURED from try/catch to can()-based check to eliminate an unreachable branch); pause-without-data-loss; CSV review import with row-level rejection reasons + competitor header mapper; notifications with per-type mute; points config defaults/validation, earn-floor/balance/redeem with unit rules, platform balance sync with retry semantics. ST-085 coverage gate recorded Done against the 100% hard threshold (D13 supersedes the &gt;=70% wording). 47 new tests, suite 120/120 at 100% x4, clean first run. Workbook v008 released.</t>
  </si>
  <si>
    <t xml:space="preserve">ST-005..014, 085; v008</t>
  </si>
  <si>
    <t xml:space="preserve">11 stories Done-in-code (47 pts)</t>
  </si>
  <si>
    <t xml:space="preserve">E005</t>
  </si>
  <si>
    <t xml:space="preserve">2026-09-10 22:28</t>
  </si>
  <si>
    <t xml:space="preserve">S4</t>
  </si>
  <si>
    <t xml:space="preserve">S4 BUILT — Ledger completion + telemetry: embedded ledger gateway (shop derived from verified session token only), ledger metrics with outstanding liability + zero-guarded redemption rate, gated + audited admin ops (Action matrix EXTENDED with adjust_points for owner/admin; propagated to ST-054 matrix test), feature-scoped pause, points CSV/competitor import to opening-balance transactions, ledger notification types; activation funnel dashboard (install-&gt;setup-&gt;aha-&gt;habit, unique-shop conversion), release-tagged error tracking with rolling-window spike alerts. ST-086: 10-step E2E smoke over REAL modules (only platform edges simulated) + deploy-smoke GitHub Actions workflow + npm run test:smoke. 27 new tests, suite 147/147 at 100% x4. MVP loop closed at code level. Workbook v009 released.</t>
  </si>
  <si>
    <t xml:space="preserve">ST-015..020, 071, 072, 086; v009</t>
  </si>
  <si>
    <t xml:space="preserve">9 stories Done-in-code (34 pts)</t>
  </si>
  <si>
    <t xml:space="preserve">CI workflow needs wiring to live GitHub repo</t>
  </si>
  <si>
    <t xml:space="preserve">E006</t>
  </si>
  <si>
    <t xml:space="preserve">2026-09-10 22:52</t>
  </si>
  <si>
    <t xml:space="preserve">S5</t>
  </si>
  <si>
    <t xml:space="preserve">S5 BUILT — Win-back suite + alpha hardening: rules with defaults/validation (lapse window, 1-5 step delays, email/WhatsApp, discount cap), lapsed detection (skips opt-outs/recent buyers/already-in-flow), flow scheduling with channel rotation, step sends with standard retry semantics, conversion recording cancelling pending steps, embedded gateway, win-back-rate metrics, gated/audited admin, feature pause extended to winback_flows, customer CSV + competitor import feeding detection end-to-end, notification types; 5-item first-run checklist with idempotent start and aha-in-&lt;1-day tracking; empty-state registry for all 9 workbook screens, each naming the next action. 36 new tests, suite 183/183 at 100% x4, clean first run. All three product pillars complete. Workbook v010 released.</t>
  </si>
  <si>
    <t xml:space="preserve">ST-021..030, 078, 079; v010</t>
  </si>
  <si>
    <t xml:space="preserve">12 stories Done-in-code (50 pts)</t>
  </si>
  <si>
    <t xml:space="preserve">S5 exit (team dogfoods daily) needs live deployment</t>
  </si>
  <si>
    <t xml:space="preserve">E007</t>
  </si>
  <si>
    <t xml:space="preserve">THIS TRACKER OPENED — Standalone sprint tracker + traceability file created per Senthil 23:03 instruction, mirroring the TeleField tracker structure (D12 pattern). All five sprint executions consolidated with per-story evidence; rollup formulas live over the 100-story matrix. Product workbook remains backlog source of truth; this file is the execution ledger.</t>
  </si>
  <si>
    <t xml:space="preserve">D12 pattern; v006-v010</t>
  </si>
  <si>
    <t xml:space="preserve">Tracker v001 released</t>
  </si>
  <si>
    <t xml:space="preserve">S6 (Billing + Analytics, 13 stories 60 pts) on continue</t>
  </si>
  <si>
    <t xml:space="preserve">E008</t>
  </si>
  <si>
    <t xml:space="preserve">S6</t>
  </si>
  <si>
    <t xml:space="preserve">S6 BUILT — Billing: idempotent no-card 14-day trial with countdown banner; pure proration calculator (charge_now/credit_balance/no_change, cent rounding, validated inputs); BillingRouter — Shopify Billing API mandated for app-store channel (pending_confirmation -&gt; merchant confirm callback), Stripe fallback for direct channel (immediate active); SubscriptionService lifecycle: subscribe (double-subscribe guarded, resubscribe after cancel), confirm, changePlan with proration, cancel routed to owning provider. Analytics: config defaults/validation; DashboardComposer over all four pillar widgets with per-widget retry/degradation so the dashboard always renders; embedded gateway; view/export gated (view_analytics / export_data) with audit; usage metrics; historical metrics CSV + competitor import; feature pause + notification types. 31 new tests, suite 214/214 at 100% x4. GATE CATCH: unknown-header branch of the analytics competitor mapper unexercised (99.79% branches) — build failed as designed, test added, clean. TRACKER DEFECT FIXED: v001 Gate_Checklist header row had been overwritten by G-01 (off-by-one in the sheet builder); rebuilt with header at row 3, all 15 gate rows intact. Workbook v011 released.</t>
  </si>
  <si>
    <t xml:space="preserve">ST-031..040, 057..059; v011</t>
  </si>
  <si>
    <t xml:space="preserve">13 stories Done-in-code (60 pts); total 55/100 (233 pts)</t>
  </si>
  <si>
    <t xml:space="preserve">Live test charge needs Shopify Partners app (S1-L1)</t>
  </si>
  <si>
    <t xml:space="preserve">E009 (S7)</t>
  </si>
  <si>
    <t xml:space="preserve">E009</t>
  </si>
  <si>
    <t xml:space="preserve">S7</t>
  </si>
  <si>
    <t xml:space="preserve">S7 BUILT — Dunning (idempotent failure record, day-0/3/5 emails with catch-up capped at 3, read-only after 7-day grace, payment restore); plan limits enforced at the send point (80% upgrade prompt, 100% hard block, blocked sends not counted); invoices (sequential per-shop numbering, GST/VAT + tax-id, downloadable text receipt, validated inputs); cancellation flow (requireActive guard added to SubscriptionService, mandatory save-offer 20%/3mo, accept retains, decline -&gt; validated exit survey -&gt; cancel via owning provider); ST-064 least-privilege scopes: 4 requested scopes each justified against shipped features only, SCOPES.md rendered + validateScopeMap() enforced in the suite. 16 new tests, suite 230/230 at 100% x4. GATE CATCHES: markdown separator row broke the doc assertion (test corrected); CancellationFlow default clock unexercised — covered. Workbook v012 released.</t>
  </si>
  <si>
    <t xml:space="preserve">ST-060..064; v012; SCOPES.md</t>
  </si>
  <si>
    <t xml:space="preserve">5 stories Done-in-code (15 pts); total 60/100 (248 pts)</t>
  </si>
  <si>
    <t xml:space="preserve">Design-partner recruitment (S7 exit: 3+ partners active weekly) = Senthil</t>
  </si>
  <si>
    <t xml:space="preserve">E010 (S8)</t>
  </si>
  <si>
    <t xml:space="preserve">E010</t>
  </si>
  <si>
    <t xml:space="preserve">S8</t>
  </si>
  <si>
    <t xml:space="preserve">S8 BUILT (biggest sprint) — F5 Klaviyo/Meta audience sync full pattern; E6: AES-256-GCM vault (ciphertext-only at rest, tamper-detecting auth tag, rotation), https-only transit enforcement, sha256 hash-chained audit trail detecting tampering AND deletion, circuit breaker with fail-fast + half-open trial + Retry-After backoff, DATA_FLOWS.md with per-store retention; E7: usage heatmap, weekly email, health score (bands + reasons), CSV/JSONL export, configurable alert thresholds; EQ: p95 budgets per surface, load test at 5x launch traffic executed against the REAL engine + ledger (300 req, 0 errors, p95 within 50ms in-memory budget), blue/green deployer proven never to serve an unhealthy build. 41 new tests; suite 271/271 at 100% x4. Gate catches: two default-clock arrows constructed but never invoked (WeeklyMetricsEmail, CircuitBreaker) - covered. Workbook v013 released.</t>
  </si>
  <si>
    <t xml:space="preserve">ST-041..050, 065..067, 070, 073..077, 087/088/092; v013; DATA_FLOWS.md</t>
  </si>
  <si>
    <t xml:space="preserve">22 stories Done-in-code (87 pts); total 82/100 (335 pts, 84.0%)</t>
  </si>
  <si>
    <t xml:space="preserve">Live Klaviyo/Meta credentials + p75 LCP measurement need real accounts/UI (Senthil)</t>
  </si>
  <si>
    <t xml:space="preserve">E011 (S9)</t>
  </si>
  <si>
    <t xml:space="preserve">E011</t>
  </si>
  <si>
    <t xml:space="preserve">2026-09-13 09:57</t>
  </si>
  <si>
    <t xml:space="preserve">S9</t>
  </si>
  <si>
    <t xml:space="preserve">SESSION RESUMED from v013 workbook + v004 tracker + code zip. Baseline re-verified before any edit: 11 suites / 271 tests at 100%. Plan presented and approved: S9 codeable scope, then first adversarial cold review, then external verification sweep against live Shopify docs.</t>
  </si>
  <si>
    <t xml:space="preserve">v013; v004; D13</t>
  </si>
  <si>
    <t xml:space="preserve">Baseline confirmed; plan approved</t>
  </si>
  <si>
    <t xml:space="preserve">E012</t>
  </si>
  <si>
    <t xml:space="preserve">2026-09-13 10:10</t>
  </si>
  <si>
    <t xml:space="preserve">S9 CODEABLE SCOPE BUILT — ST-069 two-phase self-serve export + delete-my-data over a shared TenantDataRegistry; ST-090 backup/restore drill with canonical-JSON sha256 and ship-block on divergence; ST-091 chaos degradation per feature with merchant-facing copy and status-page rollup; ST-068 SECURITY_EVIDENCE.md sandbox half; ST-089 six accessible screen shells + structural WCAG AA auditor over populated AND empty states (manual half listed, never reported as passing); ST-093 listing copy A and B; ST-094 5-shot asset plan + 2-min video beat sheet.</t>
  </si>
  <si>
    <t xml:space="preserve">ST-068/069/089/090/091/093/094; src/tenantData.ts, privacy.ts, opsResilience.ts, screens.ts</t>
  </si>
  <si>
    <t xml:space="preserve">3 stories Done-in-code (11 pts), 2 In progress, 2 Drafted; total 85/100 (346 pts)</t>
  </si>
  <si>
    <t xml:space="preserve">Pen-test vendor, screen-reader + contrast pass, asset capture, copy A/B pick = Senthil</t>
  </si>
  <si>
    <t xml:space="preserve">E013</t>
  </si>
  <si>
    <t xml:space="preserve">COLD REVIEW PASS 1 (all 23 pre-existing modules) + EXTERNAL VERIFICATION SWEEP vs live Shopify docs. 9 defects fixed with pinned regressions — headline F-RK01: both CSV importers hardcoded optedOut:false, so migrating off a competitor reset every unsubscribe to subscribed and the first win-back run would have mailed them; F-RK02/F-RK03 dunning read-only and trial expiry were computed and enforced nowhere; F-RK05 consent was checked at scheduling time only, so an opt-out during the 7-day review delay or a multi-week win-back flow still sent. Sweep found VER-RK04 (no mandatory compliance webhooks — automatic rejection), VER-RK01 (no API version pinned anywhere), VER-RK03 (protected customer PII arrives null until approval; every read assumed a string). Four existing tests had to change because they asserted the buggy behaviour.</t>
  </si>
  <si>
    <t xml:space="preserve">F-RK01..09; VER-RK01..06; Review_Findings sheet; src/compliance.ts, consent.ts, entitlement.ts, shopifyApi.ts</t>
  </si>
  <si>
    <t xml:space="preserve">14 suites / 339 tests at 100% zero pragmas; story position unchanged (correctness release)</t>
  </si>
  <si>
    <t xml:space="preserve">F-RK/VER-RK dispositions; protected customer data approval (Partner Dashboard, Level 1+2) is a new lead-time item</t>
  </si>
  <si>
    <t xml:space="preserve">E014 — S10 or live evidence</t>
  </si>
  <si>
    <t xml:space="preserve">E014</t>
  </si>
  <si>
    <t xml:space="preserve">S9/S10</t>
  </si>
  <si>
    <t xml:space="preserve">ARTIFACT-GAP AUDIT + HTTP LAYER + SCHEMA. Audited every claim made by the manifest, CI workflow and setup path against code that exists. Found 6 gaps, 2 critical. Built a framework-free async-safe router (a rejected handler becomes a 500, never a hung socket — MeetSync M-F21 class), a 7-route application covering health, status, OAuth install and callback with server-side single-use state, both webhook endpoints and the storefront points proxy; 3 ordered SQL migrations with cascade deletes from shops so shop/redact and the retention sweep delete completely by construction; npm run build/start/migrate; CI now proves the app compiles and the migration set parses; SETUP.md as an executable 30-minute path. VER-RK07 logged: app proxy signature is a different scheme from the OAuth HMAC.</t>
  </si>
  <si>
    <t xml:space="preserve">GAP-RK1..6; VER-RK07; src/http/*; migrations/*; bin/*; SETUP.md</t>
  </si>
  <si>
    <t xml:space="preserve">15 suites / 374 tests at 100% zero pragmas; story position unchanged (85/100, 346/399)</t>
  </si>
  <si>
    <t xml:space="preserve">Postgres adapters behind the store interfaces (R-K4/OBS-RK2) remain the largest artifact-vs-code gap; DATABASE_URL + SHOPIFY_API_KEY/SECRET + APP_URL needed before any deploy</t>
  </si>
  <si>
    <t xml:space="preserve">E015 — S10 or live evidence</t>
  </si>
  <si>
    <t xml:space="preserve">E015</t>
  </si>
  <si>
    <t xml:space="preserve">S10</t>
  </si>
  <si>
    <t xml:space="preserve">S10 BUILT — help centre (15 articles + ranked search), built-in chat with business-hours SLA and breach reporting, pricing and trust pages generated from the enforcing objects with drift gates both ways, incident template that refuses empty updates, demo mode isolated by namespace, submission dry-run honest about who owns what. Three public routes added (/pricing, /trust, /help) because the listing requires reachable pricing and privacy URLs.</t>
  </si>
  <si>
    <t xml:space="preserve">ST-080/081/083/084/095/096/097; src/support.ts, publicPages.ts, launchReadiness.ts</t>
  </si>
  <si>
    <t xml:space="preserve">5 stories Done-in-code (16 pts), 1 code-complete (ST-083 video pending), 1 in progress (ST-097 external reviewer); total 90/100 (362 pts, 90.7%)</t>
  </si>
  <si>
    <t xml:space="preserve">ST-083 demo VIDEO still needs capture (code half only); chat vendor now optional (DR-7)</t>
  </si>
  <si>
    <t xml:space="preserve">E016 — S11/S12 remainder or live evidence</t>
  </si>
  <si>
    <t xml:space="preserve">E016</t>
  </si>
  <si>
    <t xml:space="preserve">S11/S12</t>
  </si>
  <si>
    <t xml:space="preserve">S11/S12 BUILT — review ask (aha-gated, reason-named refusals, 90-day cooldown), executable launch runbook with rollback triggers bound to the real latency budgets and an explicit irreversibility note on redactions, SEO iteration engine with a 100-impression floor, 10-slot partner tracker with honest exit maths. CODE PHASE COMPLETE: backlog zero.</t>
  </si>
  <si>
    <t xml:space="preserve">ST-082/098/099/100; src/growth.ts, runbook.ts</t>
  </si>
  <si>
    <t xml:space="preserve">4 stories Done-in-code (10 pts); total 94/100 (372 pts, 93.2%)</t>
  </si>
  <si>
    <t xml:space="preserve">ST-099 needs post-listing search-term data and ST-100 needs outreach — both code-complete pending live, correctly not counted as finished work</t>
  </si>
  <si>
    <t xml:space="preserve">E017 — live evidence or dispositions only</t>
  </si>
  <si>
    <t xml:space="preserve">E017</t>
  </si>
  <si>
    <t xml:space="preserve">Post-code</t>
  </si>
  <si>
    <t xml:space="preserve">POSTGRES ADAPTERS BUILT — R-K10 closed in code. 7 adapter classes plus a per-domain redaction adapter, all parameterised, tokens encrypted before they leave the process. Schema drift gate added. Writing the adapters surfaced two schema defects (missing subscription provider columns; no email column on customer_consent, breaking email-only privacy requests) — both fixed by new migrations 004 and 005, not by editing shipped ones.</t>
  </si>
  <si>
    <t xml:space="preserve">R-K10; F-RK10; src/store/pg.ts; migrations/004,005</t>
  </si>
  <si>
    <t xml:space="preserve">18 suites / 456 tests at 100% zero pragmas; story position unchanged (94/100, 372/399)</t>
  </si>
  <si>
    <t xml:space="preserve">Adapters are schema-checked, not server-tested. Default wiring is still in-memory — swap in src/http/wiring.ts once DATABASE_URL exists.</t>
  </si>
  <si>
    <t xml:space="preserve">E018 — first live run</t>
  </si>
  <si>
    <t xml:space="preserve">E018</t>
  </si>
  <si>
    <t xml:space="preserve">HANDOVER-REDUCTION PASS — automatic persistence selection that refuses to degrade silently, a scripted verification sweep (npm run sweep) replacing prose steps, and REVIEW_PACK.md for the external reviewer. Correction logged: at 11:04 I said nothing sandbox-buildable remained; these three were, and each removes work from Senthil rather than adding product surface.</t>
  </si>
  <si>
    <t xml:space="preserve">src/sweep.ts; src/http/wiring.ts; REVIEW_PACK.md; bin/sweep.js</t>
  </si>
  <si>
    <t xml:space="preserve">19 suites / 469 tests at 100% zero pragmas; story position unchanged</t>
  </si>
  <si>
    <t xml:space="preserve">None new. ST-097 stays In progress — a pack for a reviewer is not a review.</t>
  </si>
  <si>
    <t xml:space="preserve">E019 — live evidence</t>
  </si>
  <si>
    <t xml:space="preserve">DECISIONS (tracker scope)</t>
  </si>
  <si>
    <t xml:space="preserve">Decision</t>
  </si>
  <si>
    <t xml:space="preserve">Rationale</t>
  </si>
  <si>
    <t xml:space="preserve">Decided by</t>
  </si>
  <si>
    <t xml:space="preserve">D13</t>
  </si>
  <si>
    <t xml:space="preserve">(Portfolio-wide) Discovery interviews parked; development proceeds with 100% automation test coverage on all code, enforced as a hard jest coverageThreshold gate (supersedes the ST-085 &gt;=70% wording).</t>
  </si>
  <si>
    <t xml:space="preserve">Senthil 10 Sep instruction; applied to RetainKit from S1 (22:05).</t>
  </si>
  <si>
    <t xml:space="preserve">Senthil</t>
  </si>
  <si>
    <t xml:space="preserve">LOCKED</t>
  </si>
  <si>
    <t xml:space="preserve">D15</t>
  </si>
  <si>
    <t xml:space="preserve">Multiple product builds opened while the rank-1 completion gate (listed + 10 paying installs) is unmet; sequencing mode — parallel builds vs order re-ranking — to be ratified.</t>
  </si>
  <si>
    <t xml:space="preserve">Senthil directed RetainKit build 22:05 alongside other active builds; portfolio serial rule requires the mode to be logged and ratified.</t>
  </si>
  <si>
    <t xml:space="preserve">Senthil (mode ratification pending)</t>
  </si>
  <si>
    <t xml:space="preserve">OPEN</t>
  </si>
  <si>
    <t xml:space="preserve">DR-1</t>
  </si>
  <si>
    <t xml:space="preserve">Stack = TypeScript/Node per v005 ReadMe assumption; persistence behind typed store interfaces with in-memory sandbox implementations; Shopify HTTP/message-delivery edges simulated in tests; Postgres + live Shopify adapters at deploy.</t>
  </si>
  <si>
    <t xml:space="preserve">Sandbox has no Postgres or live Shopify; domain code is untouched by the adapter swap. Matches accepted portfolio precedent.</t>
  </si>
  <si>
    <t xml:space="preserve">Claude — flagged for ratification</t>
  </si>
  <si>
    <t xml:space="preserve">DR-2</t>
  </si>
  <si>
    <t xml:space="preserve">Status vocabulary: "Done-in-code" = built + tested at 100% coverage in sandbox; "Done" reserved for live-verified. Rollup counts both, gate sheet counts neither.</t>
  </si>
  <si>
    <t xml:space="preserve">Keeps R2 honesty (code complete counts for nothing at the gate) while tracking real engineering progress.</t>
  </si>
  <si>
    <t xml:space="preserve">Claude — per TeleField precedent</t>
  </si>
  <si>
    <t xml:space="preserve">ADOPTED</t>
  </si>
  <si>
    <t xml:space="preserve">DR-3</t>
  </si>
  <si>
    <t xml:space="preserve">Consent is never inferred on import: a file must carry an opted_out column, or the merchant must give a recorded attestation which is stored as provenance alongside the import.</t>
  </si>
  <si>
    <t xml:space="preserve">There is no safe default. Assuming opted-in mails unsubscribers; assuming opted-out silently discards a merchant list. Refusing to guess is the only defensible option, and Shopify protected-customer-data rules require opt-out decisions to be applied.</t>
  </si>
  <si>
    <t xml:space="preserve">DR-4</t>
  </si>
  <si>
    <t xml:space="preserve">A single entitlement gate decides writes. Reads are never blocked, and manage_billing stays reachable in every read-only state.</t>
  </si>
  <si>
    <t xml:space="preserve">A merchant who stops paying keeps sight of their own data; blocking billing would lock them out of the only action that clears the block. Matches what the pricing and cancellation copy already promises.</t>
  </si>
  <si>
    <t xml:space="preserve">DR-5</t>
  </si>
  <si>
    <t xml:space="preserve">Pin the Shopify API version explicitly (2026-07) and treat drift past the 12-month support window as a build-visible condition.</t>
  </si>
  <si>
    <t xml:space="preserve">Shopify falls forward retired versions to the oldest supported one, changing behaviour with no error. 2026-10 lands 1 Oct 2026.</t>
  </si>
  <si>
    <t xml:space="preserve">DR-6</t>
  </si>
  <si>
    <t xml:space="preserve">Unreachable defensive branches are deleted, not pragma-suppressed, to keep the 100% gate meaningful.</t>
  </si>
  <si>
    <t xml:space="preserve">Four defensive fallbacks could not be reached by any input; two became tested guards (IncompleteSnapshotError), two were removed. A pragma would have hidden the question.</t>
  </si>
  <si>
    <t xml:space="preserve">Claude — per portfolio precedent</t>
  </si>
  <si>
    <t xml:space="preserve">DR-7</t>
  </si>
  <si>
    <t xml:space="preserve">Built-in chat with a business-hours SLA engine ships, making a third-party chat vendor optional rather than a launch blocker.</t>
  </si>
  <si>
    <t xml:space="preserve">The SLA clock, self-serve suggestions and breach reporting are the substance; a vendor would have to match them anyway. Matches the FlowCast D-F6 and ShiftDesk D-SD4 precedent.</t>
  </si>
  <si>
    <t xml:space="preserve">S1 BUILD BOARD — Foundation (2 wks) — exit: App installs cleanly in dev store/org; telemetry firing</t>
  </si>
  <si>
    <t xml:space="preserve">Executed 10 Sep 2026 22:05; released in product workbook v006. Edit Status/Notes (yellow).</t>
  </si>
  <si>
    <t xml:space="preserve">Item</t>
  </si>
  <si>
    <t xml:space="preserve">Story ref</t>
  </si>
  <si>
    <t xml:space="preserve">Points</t>
  </si>
  <si>
    <t xml:space="preserve">Owner</t>
  </si>
  <si>
    <t xml:space="preserve">Notes / Evidence</t>
  </si>
  <si>
    <t xml:space="preserve">S1-01</t>
  </si>
  <si>
    <t xml:space="preserve">Marketplace OAuth install completes and lands on welcome state in &lt;2 m…</t>
  </si>
  <si>
    <t xml:space="preserve">ST-051</t>
  </si>
  <si>
    <t xml:space="preserve">Claude</t>
  </si>
  <si>
    <t xml:space="preserve">Done-in-code</t>
  </si>
  <si>
    <t xml:space="preserve">DONE-IN-CODE 10 Sep 2026 22:05 (workbook v006) — src/oauth.ts; tests/oauth.test.ts (17 tests); 100% stmt/branch/func/line under jest hard gate.</t>
  </si>
  <si>
    <t xml:space="preserve">S1-02</t>
  </si>
  <si>
    <t xml:space="preserve">Uninstall webhook removes tokens, schedules data deletion per policy</t>
  </si>
  <si>
    <t xml:space="preserve">ST-052</t>
  </si>
  <si>
    <t xml:space="preserve">DONE-IN-CODE 10 Sep 2026 22:05 (workbook v006) — src/uninstall.ts; tests/foundation.test.ts (8 tests); 100% stmt/branch/func/line under jest hard gate.</t>
  </si>
  <si>
    <t xml:space="preserve">S1-03</t>
  </si>
  <si>
    <t xml:space="preserve">Session/token refresh survives platform token rotation</t>
  </si>
  <si>
    <t xml:space="preserve">ST-055</t>
  </si>
  <si>
    <t xml:space="preserve">DONE-IN-CODE 10 Sep 2026 22:05 (workbook v006) — src/tokenRefresh.ts; tests/foundation.test.ts (4 tests); 100% stmt/branch/func/line under jest hard gate.</t>
  </si>
  <si>
    <t xml:space="preserve">S1-04</t>
  </si>
  <si>
    <t xml:space="preserve">Install telemetry: source attribution (listing/search/referral) captur…</t>
  </si>
  <si>
    <t xml:space="preserve">ST-056</t>
  </si>
  <si>
    <t xml:space="preserve">DONE-IN-CODE 10 Sep 2026 22:05 (workbook v006) — src/telemetry.ts; tests/foundation.test.ts (11 tests); 100% stmt/branch/func/line under jest hard gate.</t>
  </si>
  <si>
    <t xml:space="preserve">S1-L1</t>
  </si>
  <si>
    <t xml:space="preserve">Install cleanly in REAL Shopify dev store (Partners account + production app — LC #1)</t>
  </si>
  <si>
    <t xml:space="preserve">ST-051 live</t>
  </si>
  <si>
    <t xml:space="preserve">Senthil + Claude</t>
  </si>
  <si>
    <t xml:space="preserve">To do</t>
  </si>
  <si>
    <t xml:space="preserve">Needs Shopify Partners account; evidence: install screenshot + shop domain + telemetry row.</t>
  </si>
  <si>
    <t xml:space="preserve">S1-L2</t>
  </si>
  <si>
    <t xml:space="preserve">Staging env + secrets management; Postgres adapter (DR-1)</t>
  </si>
  <si>
    <t xml:space="preserve">Provision after S1-L1.</t>
  </si>
  <si>
    <t xml:space="preserve">S2 BUILD BOARD — Review request engine part 1 — exit: Review request engine happy path demoable</t>
  </si>
  <si>
    <t xml:space="preserve">Executed 10 Sep 2026 22:15; released in product workbook v007. Edit Status/Notes (yellow).</t>
  </si>
  <si>
    <t xml:space="preserve">S2-01</t>
  </si>
  <si>
    <t xml:space="preserve">As a Store owner, I can set up Review request engine with sensible def…</t>
  </si>
  <si>
    <t xml:space="preserve">ST-001</t>
  </si>
  <si>
    <t xml:space="preserve">DONE-IN-CODE 10 Sep 2026 22:15 (workbook v007) — src/reviewSettings.ts; tests/s2.test.ts (3 tests); 100% stmt/branch/func/line under jest hard gate.</t>
  </si>
  <si>
    <t xml:space="preserve">S2-02</t>
  </si>
  <si>
    <t xml:space="preserve">As a Store owner, the Review request engine happy path completes witho…</t>
  </si>
  <si>
    <t xml:space="preserve">ST-002</t>
  </si>
  <si>
    <t xml:space="preserve">DONE-IN-CODE 10 Sep 2026 22:15 (workbook v007) — src/reviewEngine.ts; tests/s2.test.ts (7 tests); 100% stmt/branch/func/line under jest hard gate.</t>
  </si>
  <si>
    <t xml:space="preserve">S2-03</t>
  </si>
  <si>
    <t xml:space="preserve">As a E-com manager, I can customise Review request engine rules/condit…</t>
  </si>
  <si>
    <t xml:space="preserve">ST-003</t>
  </si>
  <si>
    <t xml:space="preserve">DONE-IN-CODE 10 Sep 2026 22:15 (workbook v007) — src/reviewSettings.ts; tests/s2.test.ts (9 tests); 100% stmt/branch/func/line under jest hard gate.</t>
  </si>
  <si>
    <t xml:space="preserve">S2-04</t>
  </si>
  <si>
    <t xml:space="preserve">As a user, Review request engine shows clear errors and retry paths on…</t>
  </si>
  <si>
    <t xml:space="preserve">ST-004</t>
  </si>
  <si>
    <t xml:space="preserve">DONE-IN-CODE 10 Sep 2026 22:15 (workbook v007) — src/reviewEngine.ts; tests/s2.test.ts (5 tests); 100% stmt/branch/func/line under jest hard gate.</t>
  </si>
  <si>
    <t xml:space="preserve">S2-05</t>
  </si>
  <si>
    <t xml:space="preserve">Re-install restores account within retention window</t>
  </si>
  <si>
    <t xml:space="preserve">ST-053</t>
  </si>
  <si>
    <t xml:space="preserve">DONE-IN-CODE 10 Sep 2026 22:15 (workbook v007) — src/accountLifecycle.ts; tests/s2.test.ts (5 tests); 100% stmt/branch/func/line under jest hard gate.</t>
  </si>
  <si>
    <t xml:space="preserve">S2-06</t>
  </si>
  <si>
    <t xml:space="preserve">Multi-user roles: owner/admin/member permission matrix enforced</t>
  </si>
  <si>
    <t xml:space="preserve">ST-054</t>
  </si>
  <si>
    <t xml:space="preserve">DONE-IN-CODE 10 Sep 2026 22:15 (workbook v007) — src/accountLifecycle.ts; tests/s2.test.ts (4 tests); 100% stmt/branch/func/line under jest hard gate.</t>
  </si>
  <si>
    <t xml:space="preserve">S3 BUILD BOARD — Engine part 2 + Points ledger start — exit: Engine complete with tests; Points ledger skeleton</t>
  </si>
  <si>
    <t xml:space="preserve">Executed 10 Sep 2026 22:20; released in product workbook v008. Edit Status/Notes (yellow).</t>
  </si>
  <si>
    <t xml:space="preserve">S3-01</t>
  </si>
  <si>
    <t xml:space="preserve">As a Agency partner, Review request engine works on the embedded Shopi…</t>
  </si>
  <si>
    <t xml:space="preserve">ST-005</t>
  </si>
  <si>
    <t xml:space="preserve">DONE-IN-CODE 10 Sep 2026 22:20 (workbook v008) — src/embeddedApp.ts; tests/s3.test.ts (11 tests); 100% stmt/branch/func/line under jest hard gate.</t>
  </si>
  <si>
    <t xml:space="preserve">S3-02</t>
  </si>
  <si>
    <t xml:space="preserve">As a E-com manager, I can see Review request engine performance metric…</t>
  </si>
  <si>
    <t xml:space="preserve">ST-006</t>
  </si>
  <si>
    <t xml:space="preserve">DONE-IN-CODE 10 Sep 2026 22:20 (workbook v008) — src/engineOps.ts; tests/s3.test.ts (5 tests); 100% stmt/branch/func/line under jest hard gate.</t>
  </si>
  <si>
    <t xml:space="preserve">S3-03</t>
  </si>
  <si>
    <t xml:space="preserve">As a user, Review request engine respects role permissions and audit l…</t>
  </si>
  <si>
    <t xml:space="preserve">ST-007</t>
  </si>
  <si>
    <t xml:space="preserve">DONE-IN-CODE 10 Sep 2026 22:20 (workbook v008) — src/engineOps.ts; tests/s3.test.ts (3 tests); 100% stmt/branch/func/line under jest hard gate.</t>
  </si>
  <si>
    <t xml:space="preserve">S3-04</t>
  </si>
  <si>
    <t xml:space="preserve">As a Store owner, I can pause/disable Review request engine without da…</t>
  </si>
  <si>
    <t xml:space="preserve">ST-008</t>
  </si>
  <si>
    <t xml:space="preserve">DONE-IN-CODE 10 Sep 2026 22:20 (workbook v008) — src/engineOps.ts; tests/s3.test.ts (1 tests); 100% stmt/branch/func/line under jest hard gate.</t>
  </si>
  <si>
    <t xml:space="preserve">S3-05</t>
  </si>
  <si>
    <t xml:space="preserve">As a E-com manager, I can import/migrate existing data into Review req…</t>
  </si>
  <si>
    <t xml:space="preserve">ST-009</t>
  </si>
  <si>
    <t xml:space="preserve">DONE-IN-CODE 10 Sep 2026 22:20 (workbook v008) — src/importNotify.ts; tests/s3.test.ts (7 tests); 100% stmt/branch/func/line under jest hard gate.</t>
  </si>
  <si>
    <t xml:space="preserve">S3-06</t>
  </si>
  <si>
    <t xml:space="preserve">As a user, I get notifications (in-app + email) for key Review request…</t>
  </si>
  <si>
    <t xml:space="preserve">ST-010</t>
  </si>
  <si>
    <t xml:space="preserve">DONE-IN-CODE 10 Sep 2026 22:20 (workbook v008) — src/importNotify.ts; tests/s3.test.ts (2 tests); 100% stmt/branch/func/line under jest hard gate.</t>
  </si>
  <si>
    <t xml:space="preserve">S3-07</t>
  </si>
  <si>
    <t xml:space="preserve">As a Store owner, I can set up Points &amp; rewards ledger with sensible d…</t>
  </si>
  <si>
    <t xml:space="preserve">ST-011</t>
  </si>
  <si>
    <t xml:space="preserve">DONE-IN-CODE 10 Sep 2026 22:20 (workbook v008) — src/pointsLedger.ts; tests/s3.test.ts (2 tests); 100% stmt/branch/func/line under jest hard gate.</t>
  </si>
  <si>
    <t xml:space="preserve">S3-08</t>
  </si>
  <si>
    <t xml:space="preserve">As a Store owner, the Points &amp; rewards ledger happy path completes wit…</t>
  </si>
  <si>
    <t xml:space="preserve">ST-012</t>
  </si>
  <si>
    <t xml:space="preserve">DONE-IN-CODE 10 Sep 2026 22:20 (workbook v008) — src/pointsLedger.ts; tests/s3.test.ts (5 tests); 100% stmt/branch/func/line under jest hard gate.</t>
  </si>
  <si>
    <t xml:space="preserve">S3-09</t>
  </si>
  <si>
    <t xml:space="preserve">As a E-com manager, I can customise Points &amp; rewards ledger rules/cond…</t>
  </si>
  <si>
    <t xml:space="preserve">ST-013</t>
  </si>
  <si>
    <t xml:space="preserve">DONE-IN-CODE 10 Sep 2026 22:20 (workbook v008) — src/pointsLedger.ts; tests/s3.test.ts (7 tests); 100% stmt/branch/func/line under jest hard gate.</t>
  </si>
  <si>
    <t xml:space="preserve">S3-10</t>
  </si>
  <si>
    <t xml:space="preserve">As a user, Points &amp; rewards ledger shows clear errors and retry paths …</t>
  </si>
  <si>
    <t xml:space="preserve">ST-014</t>
  </si>
  <si>
    <t xml:space="preserve">DONE-IN-CODE 10 Sep 2026 22:20 (workbook v008) — src/pointsLedger.ts; tests/s3.test.ts (4 tests); 100% stmt/branch/func/line under jest hard gate.</t>
  </si>
  <si>
    <t xml:space="preserve">S3-11</t>
  </si>
  <si>
    <t xml:space="preserve">Unit+integration test coverage gate ≥70% on core modules</t>
  </si>
  <si>
    <t xml:space="preserve">ST-085</t>
  </si>
  <si>
    <t xml:space="preserve">DONE-IN-CODE 10 Sep 2026 22:20 (workbook v008) — package.json (jest coverageThreshold 100x4); full suite (120 tests); 100% stmt/branch/func/line under jest hard gate.</t>
  </si>
  <si>
    <t xml:space="preserve">S4 BUILD BOARD — Points ledger + telemetry + E2E smoke — exit: MVP loop usable end-to-end internally</t>
  </si>
  <si>
    <t xml:space="preserve">Executed 10 Sep 2026 22:28; released in product workbook v009. Edit Status/Notes (yellow).</t>
  </si>
  <si>
    <t xml:space="preserve">S4-01</t>
  </si>
  <si>
    <t xml:space="preserve">As a Agency partner, Points &amp; rewards ledger works on the embedded Sho…</t>
  </si>
  <si>
    <t xml:space="preserve">ST-015</t>
  </si>
  <si>
    <t xml:space="preserve">DONE-IN-CODE 10 Sep 2026 22:28 (workbook v009) — src/ledgerOps.ts; tests/s4.test.ts (4 tests); 100% stmt/branch/func/line under jest hard gate.</t>
  </si>
  <si>
    <t xml:space="preserve">S4-02</t>
  </si>
  <si>
    <t xml:space="preserve">As a E-com manager, I can see Points &amp; rewards ledger performance metr…</t>
  </si>
  <si>
    <t xml:space="preserve">ST-016</t>
  </si>
  <si>
    <t xml:space="preserve">S4-03</t>
  </si>
  <si>
    <t xml:space="preserve">As a user, Points &amp; rewards ledger respects role permissions and audit…</t>
  </si>
  <si>
    <t xml:space="preserve">ST-017</t>
  </si>
  <si>
    <t xml:space="preserve">DONE-IN-CODE 10 Sep 2026 22:28 (workbook v009) — src/ledgerOps.ts + src/accountLifecycle.ts; tests/s4.test.ts (5 tests); 100% stmt/branch/func/line under jest hard gate.</t>
  </si>
  <si>
    <t xml:space="preserve">S4-04</t>
  </si>
  <si>
    <t xml:space="preserve">As a Store owner, I can pause/disable Points &amp; rewards ledger without …</t>
  </si>
  <si>
    <t xml:space="preserve">ST-018</t>
  </si>
  <si>
    <t xml:space="preserve">DONE-IN-CODE 10 Sep 2026 22:28 (workbook v009) — src/ledgerOps.ts; tests/s4.test.ts (1 tests); 100% stmt/branch/func/line under jest hard gate.</t>
  </si>
  <si>
    <t xml:space="preserve">S4-05</t>
  </si>
  <si>
    <t xml:space="preserve">As a E-com manager, I can import/migrate existing data into Points &amp; r…</t>
  </si>
  <si>
    <t xml:space="preserve">ST-019</t>
  </si>
  <si>
    <t xml:space="preserve">DONE-IN-CODE 10 Sep 2026 22:28 (workbook v009) — src/growthOps.ts; tests/s4.test.ts (5 tests); 100% stmt/branch/func/line under jest hard gate.</t>
  </si>
  <si>
    <t xml:space="preserve">S4-06</t>
  </si>
  <si>
    <t xml:space="preserve">As a user, I get notifications (in-app + email) for key Points &amp; rewar…</t>
  </si>
  <si>
    <t xml:space="preserve">ST-020</t>
  </si>
  <si>
    <t xml:space="preserve">DONE-IN-CODE 10 Sep 2026 22:28 (workbook v009) — src/importNotify.ts; tests/s4.test.ts (1 tests); 100% stmt/branch/func/line under jest hard gate.</t>
  </si>
  <si>
    <t xml:space="preserve">S4-07</t>
  </si>
  <si>
    <t xml:space="preserve">Activation funnel events (install-&gt;setup-&gt;aha-&gt;habit) in one dashboard</t>
  </si>
  <si>
    <t xml:space="preserve">ST-071</t>
  </si>
  <si>
    <t xml:space="preserve">DONE-IN-CODE 10 Sep 2026 22:28 (workbook v009) — src/growthOps.ts; tests/s4.test.ts (3 tests); 100% stmt/branch/func/line under jest hard gate.</t>
  </si>
  <si>
    <t xml:space="preserve">S4-08</t>
  </si>
  <si>
    <t xml:space="preserve">Error tracking with release tagging; alert on error-rate spike</t>
  </si>
  <si>
    <t xml:space="preserve">ST-072</t>
  </si>
  <si>
    <t xml:space="preserve">S4-09</t>
  </si>
  <si>
    <t xml:space="preserve">E2E smoke suite runs on every deploy</t>
  </si>
  <si>
    <t xml:space="preserve">ST-086</t>
  </si>
  <si>
    <t xml:space="preserve">DONE-IN-CODE 10 Sep 2026 22:28 (workbook v009) — tests/e2e.smoke.test.ts + .github/workflows/deploy-smoke.yml; tests/e2e.smoke.test.ts (1 tests); 100% stmt/branch/func/line under jest hard gate.</t>
  </si>
  <si>
    <t xml:space="preserve">S4-L1</t>
  </si>
  <si>
    <t xml:space="preserve">Wire deploy-smoke.yml into live GitHub repo (ST-086 live)</t>
  </si>
  <si>
    <t xml:space="preserve">ST-086 live</t>
  </si>
  <si>
    <t xml:space="preserve">Workflow file committed in code zip; needs repo + Actions enabled.</t>
  </si>
  <si>
    <t xml:space="preserve">S5 BUILD BOARD — Win-back flows + alpha hardening — exit: Internal alpha: team dogfoods daily</t>
  </si>
  <si>
    <t xml:space="preserve">Executed 10 Sep 2026 22:52; released in product workbook v010. Edit Status/Notes (yellow).</t>
  </si>
  <si>
    <t xml:space="preserve">S5-01</t>
  </si>
  <si>
    <t xml:space="preserve">As a Store owner, I can set up Win-back email/WhatsApp flows with sens…</t>
  </si>
  <si>
    <t xml:space="preserve">ST-021</t>
  </si>
  <si>
    <t xml:space="preserve">DONE-IN-CODE 10 Sep 2026 22:52 (workbook v010) — src/winback.ts; tests/s5.test.ts (2 tests); 100% stmt/branch/func/line under jest hard gate.</t>
  </si>
  <si>
    <t xml:space="preserve">S5-02</t>
  </si>
  <si>
    <t xml:space="preserve">As a Store owner, the Win-back email/WhatsApp flows happy path complet…</t>
  </si>
  <si>
    <t xml:space="preserve">ST-022</t>
  </si>
  <si>
    <t xml:space="preserve">DONE-IN-CODE 10 Sep 2026 22:52 (workbook v010) — src/winback.ts; tests/s5.test.ts (5 tests); 100% stmt/branch/func/line under jest hard gate.</t>
  </si>
  <si>
    <t xml:space="preserve">S5-03</t>
  </si>
  <si>
    <t xml:space="preserve">As a E-com manager, I can customise Win-back email/WhatsApp flows rule…</t>
  </si>
  <si>
    <t xml:space="preserve">ST-023</t>
  </si>
  <si>
    <t xml:space="preserve">DONE-IN-CODE 10 Sep 2026 22:52 (workbook v010) — src/winback.ts; tests/s5.test.ts (6 tests); 100% stmt/branch/func/line under jest hard gate.</t>
  </si>
  <si>
    <t xml:space="preserve">S5-04</t>
  </si>
  <si>
    <t xml:space="preserve">As a user, Win-back email/WhatsApp flows shows clear errors and retry …</t>
  </si>
  <si>
    <t xml:space="preserve">ST-024</t>
  </si>
  <si>
    <t xml:space="preserve">DONE-IN-CODE 10 Sep 2026 22:52 (workbook v010) — src/winback.ts; tests/s5.test.ts (3 tests); 100% stmt/branch/func/line under jest hard gate.</t>
  </si>
  <si>
    <t xml:space="preserve">S5-05</t>
  </si>
  <si>
    <t xml:space="preserve">As a Agency partner, Win-back email/WhatsApp flows works on the embedd…</t>
  </si>
  <si>
    <t xml:space="preserve">ST-025</t>
  </si>
  <si>
    <t xml:space="preserve">DONE-IN-CODE 10 Sep 2026 22:52 (workbook v010) — src/winbackOps.ts; tests/s5.test.ts (3 tests); 100% stmt/branch/func/line under jest hard gate.</t>
  </si>
  <si>
    <t xml:space="preserve">S5-06</t>
  </si>
  <si>
    <t xml:space="preserve">As a E-com manager, I can see Win-back email/WhatsApp flows performanc…</t>
  </si>
  <si>
    <t xml:space="preserve">ST-026</t>
  </si>
  <si>
    <t xml:space="preserve">S5-07</t>
  </si>
  <si>
    <t xml:space="preserve">As a user, Win-back email/WhatsApp flows respects role permissions and…</t>
  </si>
  <si>
    <t xml:space="preserve">ST-027</t>
  </si>
  <si>
    <t xml:space="preserve">DONE-IN-CODE 10 Sep 2026 22:52 (workbook v010) — src/winbackOps.ts; tests/s5.test.ts (2 tests); 100% stmt/branch/func/line under jest hard gate.</t>
  </si>
  <si>
    <t xml:space="preserve">S5-08</t>
  </si>
  <si>
    <t xml:space="preserve">As a Store owner, I can pause/disable Win-back email/WhatsApp flows wi…</t>
  </si>
  <si>
    <t xml:space="preserve">ST-028</t>
  </si>
  <si>
    <t xml:space="preserve">DONE-IN-CODE 10 Sep 2026 22:52 (workbook v010) — src/ledgerOps.ts; tests/s5.test.ts (1 tests); 100% stmt/branch/func/line under jest hard gate.</t>
  </si>
  <si>
    <t xml:space="preserve">S5-09</t>
  </si>
  <si>
    <t xml:space="preserve">As a E-com manager, I can import/migrate existing data into Win-back e…</t>
  </si>
  <si>
    <t xml:space="preserve">ST-029</t>
  </si>
  <si>
    <t xml:space="preserve">S5-10</t>
  </si>
  <si>
    <t xml:space="preserve">As a user, I get notifications (in-app + email) for key Win-back email…</t>
  </si>
  <si>
    <t xml:space="preserve">ST-030</t>
  </si>
  <si>
    <t xml:space="preserve">DONE-IN-CODE 10 Sep 2026 22:52 (workbook v010) — src/importNotify.ts; tests/s5.test.ts (1 tests); 100% stmt/branch/func/line under jest hard gate.</t>
  </si>
  <si>
    <t xml:space="preserve">S5-11</t>
  </si>
  <si>
    <t xml:space="preserve">First-run checklist reaches aha-moment in &lt;1 day</t>
  </si>
  <si>
    <t xml:space="preserve">ST-078</t>
  </si>
  <si>
    <t xml:space="preserve">DONE-IN-CODE 10 Sep 2026 22:52 (workbook v010) — src/winbackOps.ts; tests/s5.test.ts (5 tests); 100% stmt/branch/func/line under jest hard gate.</t>
  </si>
  <si>
    <t xml:space="preserve">S5-12</t>
  </si>
  <si>
    <t xml:space="preserve">Empty states teach next action on every screen</t>
  </si>
  <si>
    <t xml:space="preserve">ST-079</t>
  </si>
  <si>
    <t xml:space="preserve">S5-L1</t>
  </si>
  <si>
    <t xml:space="preserve">Deploy internal alpha; team dogfoods daily (S5 exit criteria)</t>
  </si>
  <si>
    <t xml:space="preserve">Needs S1-L1/S1-L2 first.</t>
  </si>
  <si>
    <t xml:space="preserve">S6 BUILD BOARD — Billing + Analytics dashboard — exit: Can charge a test customer; upgrade/downgrade paths work</t>
  </si>
  <si>
    <t xml:space="preserve">Executed 10 Sep 2026 23:09; released in product workbook v011. Edit Status/Notes (yellow).</t>
  </si>
  <si>
    <t xml:space="preserve">S6-01</t>
  </si>
  <si>
    <t xml:space="preserve">As a Store owner, I can set up Analytics dashboard with sensible defau…</t>
  </si>
  <si>
    <t xml:space="preserve">ST-031</t>
  </si>
  <si>
    <t xml:space="preserve">DONE-IN-CODE 10 Sep 2026 23:09 (workbook v011) — src/analyticsDashboard.ts; tests/s6.test.ts (1 tests); 100% stmt/branch/func/line under jest hard gate.</t>
  </si>
  <si>
    <t xml:space="preserve">S6-02</t>
  </si>
  <si>
    <t xml:space="preserve">As a Store owner, the Analytics dashboard happy path completes without…</t>
  </si>
  <si>
    <t xml:space="preserve">ST-032</t>
  </si>
  <si>
    <t xml:space="preserve">DONE-IN-CODE 10 Sep 2026 23:09 (workbook v011) — src/analyticsDashboard.ts; tests/s6.test.ts (2 tests); 100% stmt/branch/func/line under jest hard gate.</t>
  </si>
  <si>
    <t xml:space="preserve">S6-03</t>
  </si>
  <si>
    <t xml:space="preserve">As a E-com manager, I can customise Analytics dashboard rules/conditio…</t>
  </si>
  <si>
    <t xml:space="preserve">ST-033</t>
  </si>
  <si>
    <t xml:space="preserve">S6-04</t>
  </si>
  <si>
    <t xml:space="preserve">As a user, Analytics dashboard shows clear errors and retry paths on p…</t>
  </si>
  <si>
    <t xml:space="preserve">ST-034</t>
  </si>
  <si>
    <t xml:space="preserve">S6-05</t>
  </si>
  <si>
    <t xml:space="preserve">As a Agency partner, Analytics dashboard works on the embedded Shopify…</t>
  </si>
  <si>
    <t xml:space="preserve">ST-035</t>
  </si>
  <si>
    <t xml:space="preserve">DONE-IN-CODE 10 Sep 2026 23:09 (workbook v011) — src/analyticsOps.ts; tests/s6.test.ts (1 tests); 100% stmt/branch/func/line under jest hard gate.</t>
  </si>
  <si>
    <t xml:space="preserve">S6-06</t>
  </si>
  <si>
    <t xml:space="preserve">As a E-com manager, I can see Analytics dashboard performance metrics …</t>
  </si>
  <si>
    <t xml:space="preserve">ST-036</t>
  </si>
  <si>
    <t xml:space="preserve">S6-07</t>
  </si>
  <si>
    <t xml:space="preserve">As a user, Analytics dashboard respects role permissions and audit log…</t>
  </si>
  <si>
    <t xml:space="preserve">ST-037</t>
  </si>
  <si>
    <t xml:space="preserve">DONE-IN-CODE 10 Sep 2026 23:09 (workbook v011) — src/analyticsOps.ts; tests/s6.test.ts (2 tests); 100% stmt/branch/func/line under jest hard gate.</t>
  </si>
  <si>
    <t xml:space="preserve">S6-08</t>
  </si>
  <si>
    <t xml:space="preserve">As a Store owner, I can pause/disable Analytics dashboard without data…</t>
  </si>
  <si>
    <t xml:space="preserve">ST-038</t>
  </si>
  <si>
    <t xml:space="preserve">DONE-IN-CODE 10 Sep 2026 23:09 (workbook v011) — src/ledgerOps.ts; tests/s6.test.ts (1 tests); 100% stmt/branch/func/line under jest hard gate.</t>
  </si>
  <si>
    <t xml:space="preserve">S6-09</t>
  </si>
  <si>
    <t xml:space="preserve">As a E-com manager, I can import/migrate existing data into Analytics …</t>
  </si>
  <si>
    <t xml:space="preserve">ST-039</t>
  </si>
  <si>
    <t xml:space="preserve">DONE-IN-CODE 10 Sep 2026 23:09 (workbook v011) — src/analyticsOps.ts; tests/s6.test.ts (3 tests); 100% stmt/branch/func/line under jest hard gate.</t>
  </si>
  <si>
    <t xml:space="preserve">S6-10</t>
  </si>
  <si>
    <t xml:space="preserve">As a user, I get notifications (in-app + email) for key Analytics dash…</t>
  </si>
  <si>
    <t xml:space="preserve">ST-040</t>
  </si>
  <si>
    <t xml:space="preserve">DONE-IN-CODE 10 Sep 2026 23:09 (workbook v011) — src/importNotify.ts; tests/s6.test.ts (1 tests); 100% stmt/branch/func/line under jest hard gate.</t>
  </si>
  <si>
    <t xml:space="preserve">S6-11</t>
  </si>
  <si>
    <t xml:space="preserve">14-day trial without card; banner shows days remaining</t>
  </si>
  <si>
    <t xml:space="preserve">ST-057</t>
  </si>
  <si>
    <t xml:space="preserve">DONE-IN-CODE 10 Sep 2026 23:09 (workbook v011) — src/billing.ts; tests/s6.test.ts (4 tests); 100% stmt/branch/func/line under jest hard gate.</t>
  </si>
  <si>
    <t xml:space="preserve">S6-12</t>
  </si>
  <si>
    <t xml:space="preserve">Upgrade/downgrade mid-cycle prorates correctly</t>
  </si>
  <si>
    <t xml:space="preserve">ST-058</t>
  </si>
  <si>
    <t xml:space="preserve">S6-13</t>
  </si>
  <si>
    <t xml:space="preserve">Marketplace billing API used where mandated; external Stripe fallback …</t>
  </si>
  <si>
    <t xml:space="preserve">ST-059</t>
  </si>
  <si>
    <t xml:space="preserve">DONE-IN-CODE 10 Sep 2026 23:09 (workbook v011) — src/billing.ts; tests/s6.test.ts (8 tests); 100% stmt/branch/func/line under jest hard gate.</t>
  </si>
  <si>
    <t xml:space="preserve">S6-L1</t>
  </si>
  <si>
    <t xml:space="preserve">Validate real test charge via Shopify Billing API in dev store (LC #6 live)</t>
  </si>
  <si>
    <t xml:space="preserve">ST-059 live</t>
  </si>
  <si>
    <t xml:space="preserve">Needs Partners app (S1-L1) first; evidence: test-charge screenshot + charge id.</t>
  </si>
  <si>
    <t xml:space="preserve">S7 BUILD BOARD — Private-beta billing scope — exit: 3+ partners active weekly; NPS pulse &gt;30</t>
  </si>
  <si>
    <t xml:space="preserve">Executed 11 Sep 2026 08:20; released in product workbook v012. Edit Status/Notes (yellow).</t>
  </si>
  <si>
    <t xml:space="preserve">S7-01</t>
  </si>
  <si>
    <t xml:space="preserve">Failed payment: 7-day grace, 3 dunning emails, then read-only mode</t>
  </si>
  <si>
    <t xml:space="preserve">ST-060</t>
  </si>
  <si>
    <t xml:space="preserve">DONE-IN-CODE 11 Sep 2026 08:20 (workbook v012) — src/billingOps.ts; tests/s7.test.ts (4 tests); 100% stmt/branch/func/line under jest hard gate.</t>
  </si>
  <si>
    <t xml:space="preserve">S7-02</t>
  </si>
  <si>
    <t xml:space="preserve">Plan limits enforced with upgrade prompts at 80%/100%</t>
  </si>
  <si>
    <t xml:space="preserve">ST-061</t>
  </si>
  <si>
    <t xml:space="preserve">DONE-IN-CODE 11 Sep 2026 08:20 (workbook v012) — src/billingOps.ts; tests/s7.test.ts (2 tests); 100% stmt/branch/func/line under jest hard gate.</t>
  </si>
  <si>
    <t xml:space="preserve">S7-03</t>
  </si>
  <si>
    <t xml:space="preserve">Invoices/receipts downloadable; GST/VAT fields supported</t>
  </si>
  <si>
    <t xml:space="preserve">ST-062</t>
  </si>
  <si>
    <t xml:space="preserve">DONE-IN-CODE 11 Sep 2026 08:20 (workbook v012) — src/billingOps.ts; tests/s7.test.ts (3 tests); 100% stmt/branch/func/line under jest hard gate.</t>
  </si>
  <si>
    <t xml:space="preserve">S7-04</t>
  </si>
  <si>
    <t xml:space="preserve">Cancellation flow with save-offer and exit survey</t>
  </si>
  <si>
    <t xml:space="preserve">ST-063</t>
  </si>
  <si>
    <t xml:space="preserve">DONE-IN-CODE 11 Sep 2026 08:20 (workbook v012) — src/billingOps.ts + src/billing.ts; tests/s7.test.ts (4 tests); 100% stmt/branch/func/line under jest hard gate.</t>
  </si>
  <si>
    <t xml:space="preserve">S7-05</t>
  </si>
  <si>
    <t xml:space="preserve">Scopes requested map 1:1 to shipped features (least privilege doc)</t>
  </si>
  <si>
    <t xml:space="preserve">ST-064</t>
  </si>
  <si>
    <t xml:space="preserve">DONE-IN-CODE 11 Sep 2026 08:20 (workbook v012) — src/billingOps.ts + SCOPES.md; tests/s7.test.ts (3 tests); 100% stmt/branch/func/line under jest hard gate.</t>
  </si>
  <si>
    <t xml:space="preserve">S7-L1</t>
  </si>
  <si>
    <t xml:space="preserve">Recruit 3+ design partners active weekly; NPS pulse &gt;30 (S7 exit)</t>
  </si>
  <si>
    <t xml:space="preserve">Requires live alpha deployment (S5-L1) first.</t>
  </si>
  <si>
    <t xml:space="preserve">S8 BUILD BOARD — Beta iteration: audience sync + security + ops + performance — exit: Retention of beta cohort week-over-week &gt;60%</t>
  </si>
  <si>
    <t xml:space="preserve">Executed 11 Sep 2026 12:52; released in product workbook v013. Edit Status/Notes (yellow).</t>
  </si>
  <si>
    <t xml:space="preserve">S8-01</t>
  </si>
  <si>
    <t xml:space="preserve">As a Store owner, I can set up Klaviyo/Meta audience sync with sensibl…</t>
  </si>
  <si>
    <t xml:space="preserve">ST-041</t>
  </si>
  <si>
    <t xml:space="preserve">DONE-IN-CODE 11 Sep 2026 12:52 (workbook v013) — src/audienceSync.ts; tests/s8-sync.test.ts (1 tests); 100% stmt/branch/func/line under jest hard gate.</t>
  </si>
  <si>
    <t xml:space="preserve">S8-02</t>
  </si>
  <si>
    <t xml:space="preserve">As a Store owner, the Klaviyo/Meta audience sync happy path completes …</t>
  </si>
  <si>
    <t xml:space="preserve">ST-042</t>
  </si>
  <si>
    <t xml:space="preserve">DONE-IN-CODE 11 Sep 2026 12:52 (workbook v013) — src/audienceSync.ts; tests/s8-sync.test.ts (2 tests); 100% stmt/branch/func/line under jest hard gate.</t>
  </si>
  <si>
    <t xml:space="preserve">S8-03</t>
  </si>
  <si>
    <t xml:space="preserve">As a E-com manager, I can customise Klaviyo/Meta audience sync rules/c…</t>
  </si>
  <si>
    <t xml:space="preserve">ST-043</t>
  </si>
  <si>
    <t xml:space="preserve">S8-04</t>
  </si>
  <si>
    <t xml:space="preserve">As a user, Klaviyo/Meta audience sync shows clear errors and retry pat…</t>
  </si>
  <si>
    <t xml:space="preserve">ST-044</t>
  </si>
  <si>
    <t xml:space="preserve">S8-05</t>
  </si>
  <si>
    <t xml:space="preserve">As a Agency partner, Klaviyo/Meta audience sync works on the embedded …</t>
  </si>
  <si>
    <t xml:space="preserve">ST-045</t>
  </si>
  <si>
    <t xml:space="preserve">DONE-IN-CODE 11 Sep 2026 12:52 (workbook v013) — src/audienceSyncOps.ts; tests/s8-sync.test.ts (2 tests); 100% stmt/branch/func/line under jest hard gate.</t>
  </si>
  <si>
    <t xml:space="preserve">S8-06</t>
  </si>
  <si>
    <t xml:space="preserve">As a E-com manager, I can see Klaviyo/Meta audience sync performance m…</t>
  </si>
  <si>
    <t xml:space="preserve">ST-046</t>
  </si>
  <si>
    <t xml:space="preserve">S8-07</t>
  </si>
  <si>
    <t xml:space="preserve">As a user, Klaviyo/Meta audience sync respects role permissions and au…</t>
  </si>
  <si>
    <t xml:space="preserve">ST-047</t>
  </si>
  <si>
    <t xml:space="preserve">DONE-IN-CODE 11 Sep 2026 12:52 (workbook v013) — src/audienceSyncOps.ts; tests/s8-sync.test.ts (1 tests); 100% stmt/branch/func/line under jest hard gate.</t>
  </si>
  <si>
    <t xml:space="preserve">S8-08</t>
  </si>
  <si>
    <t xml:space="preserve">As a Store owner, I can pause/disable Klaviyo/Meta audience sync witho…</t>
  </si>
  <si>
    <t xml:space="preserve">ST-048</t>
  </si>
  <si>
    <t xml:space="preserve">DONE-IN-CODE 11 Sep 2026 12:52 (workbook v013) — src/ledgerOps.ts; tests/s8-sync.test.ts (1 tests); 100% stmt/branch/func/line under jest hard gate.</t>
  </si>
  <si>
    <t xml:space="preserve">S8-09</t>
  </si>
  <si>
    <t xml:space="preserve">As a E-com manager, I can import/migrate existing data into Klaviyo/Me…</t>
  </si>
  <si>
    <t xml:space="preserve">ST-049</t>
  </si>
  <si>
    <t xml:space="preserve">DONE-IN-CODE 11 Sep 2026 12:52 (workbook v013) — src/audienceSyncOps.ts; tests/s8-sync.test.ts (3 tests); 100% stmt/branch/func/line under jest hard gate.</t>
  </si>
  <si>
    <t xml:space="preserve">S8-10</t>
  </si>
  <si>
    <t xml:space="preserve">As a user, I get notifications (in-app + email) for key Klaviyo/Meta a…</t>
  </si>
  <si>
    <t xml:space="preserve">ST-050</t>
  </si>
  <si>
    <t xml:space="preserve">DONE-IN-CODE 11 Sep 2026 12:52 (workbook v013) — src/importNotify.ts; tests/s8-sync.test.ts (1 tests); 100% stmt/branch/func/line under jest hard gate.</t>
  </si>
  <si>
    <t xml:space="preserve">S8-11</t>
  </si>
  <si>
    <t xml:space="preserve">Data-flow diagram + retention policy published</t>
  </si>
  <si>
    <t xml:space="preserve">ST-065</t>
  </si>
  <si>
    <t xml:space="preserve">DONE-IN-CODE 11 Sep 2026 12:52 (workbook v013) — src/security.ts + DATA_FLOWS.md; tests/s8-ops.test.ts (2 tests); 100% stmt/branch/func/line under jest hard gate.</t>
  </si>
  <si>
    <t xml:space="preserve">S8-12</t>
  </si>
  <si>
    <t xml:space="preserve">Encryption at rest + in transit verified; secrets in vault</t>
  </si>
  <si>
    <t xml:space="preserve">ST-066</t>
  </si>
  <si>
    <t xml:space="preserve">DONE-IN-CODE 11 Sep 2026 12:52 (workbook v013) — src/security.ts; tests/s8-ops.test.ts (4 tests); 100% stmt/branch/func/line under jest hard gate.</t>
  </si>
  <si>
    <t xml:space="preserve">S8-13</t>
  </si>
  <si>
    <t xml:space="preserve">Audit log for admin-sensitive actions</t>
  </si>
  <si>
    <t xml:space="preserve">ST-067</t>
  </si>
  <si>
    <t xml:space="preserve">DONE-IN-CODE 11 Sep 2026 12:52 (workbook v013) — src/security.ts; tests/s8-ops.test.ts (3 tests); 100% stmt/branch/func/line under jest hard gate.</t>
  </si>
  <si>
    <t xml:space="preserve">S8-14</t>
  </si>
  <si>
    <t xml:space="preserve">Rate-limit backoff + circuit breaker on platform APIs</t>
  </si>
  <si>
    <t xml:space="preserve">ST-070</t>
  </si>
  <si>
    <t xml:space="preserve">S8-15</t>
  </si>
  <si>
    <t xml:space="preserve">Feature-usage heatmap for roadmap decisions</t>
  </si>
  <si>
    <t xml:space="preserve">ST-073</t>
  </si>
  <si>
    <t xml:space="preserve">DONE-IN-CODE 11 Sep 2026 12:52 (workbook v013) — src/opsQuality.ts; tests/s8-ops.test.ts (1 tests); 100% stmt/branch/func/line under jest hard gate.</t>
  </si>
  <si>
    <t xml:space="preserve">S8-16</t>
  </si>
  <si>
    <t xml:space="preserve">Weekly automated metrics email to team</t>
  </si>
  <si>
    <t xml:space="preserve">ST-074</t>
  </si>
  <si>
    <t xml:space="preserve">DONE-IN-CODE 11 Sep 2026 12:52 (workbook v013) — src/opsQuality.ts; tests/s8-ops.test.ts (2 tests); 100% stmt/branch/func/line under jest hard gate.</t>
  </si>
  <si>
    <t xml:space="preserve">S8-17</t>
  </si>
  <si>
    <t xml:space="preserve">Health score computed per account (usage+billing+support)</t>
  </si>
  <si>
    <t xml:space="preserve">ST-075</t>
  </si>
  <si>
    <t xml:space="preserve">S8-18</t>
  </si>
  <si>
    <t xml:space="preserve">Metrics export to CSV/warehouse for founder analysis</t>
  </si>
  <si>
    <t xml:space="preserve">ST-076</t>
  </si>
  <si>
    <t xml:space="preserve">S8-19</t>
  </si>
  <si>
    <t xml:space="preserve">Alert thresholds configurable (activation drop, error spike, churn sig…</t>
  </si>
  <si>
    <t xml:space="preserve">ST-077</t>
  </si>
  <si>
    <t xml:space="preserve">S8-20</t>
  </si>
  <si>
    <t xml:space="preserve">p95 latency budgets defined and monitored per surface</t>
  </si>
  <si>
    <t xml:space="preserve">ST-087</t>
  </si>
  <si>
    <t xml:space="preserve">S8-21</t>
  </si>
  <si>
    <t xml:space="preserve">Load test at 5x expected launch traffic</t>
  </si>
  <si>
    <t xml:space="preserve">ST-088</t>
  </si>
  <si>
    <t xml:space="preserve">S8-22</t>
  </si>
  <si>
    <t xml:space="preserve">Zero-downtime deploy verified (blue/green or rolling)</t>
  </si>
  <si>
    <t xml:space="preserve">ST-092</t>
  </si>
  <si>
    <t xml:space="preserve">S8-L1</t>
  </si>
  <si>
    <t xml:space="preserve">Connect real Klaviyo + Meta accounts; verify audience push end-to-end</t>
  </si>
  <si>
    <t xml:space="preserve">ST-042 live</t>
  </si>
  <si>
    <t xml:space="preserve">Needs API credentials in vault; evidence: audience visible in Klaviyo/Meta UI.</t>
  </si>
  <si>
    <t xml:space="preserve">S8-L2</t>
  </si>
  <si>
    <t xml:space="preserve">Measure p75 LCP on embedded admin in dev store (LC #8)</t>
  </si>
  <si>
    <t xml:space="preserve">ST-087 live</t>
  </si>
  <si>
    <t xml:space="preserve">Needs live UI deployment.</t>
  </si>
  <si>
    <t xml:space="preserve">S9 BUILD BOARD — Marketplace review prep, cold review pass 1, external verification sweep</t>
  </si>
  <si>
    <t xml:space="preserve">Executed 13 Sep 2026 09:57-10:23; released in product workbook v014 / code v014. Edit Status during execution.</t>
  </si>
  <si>
    <t xml:space="preserve">S9-01</t>
  </si>
  <si>
    <t xml:space="preserve">Data export + delete-my-data self-serve</t>
  </si>
  <si>
    <t xml:space="preserve">ST-069</t>
  </si>
  <si>
    <t xml:space="preserve">DONE-IN-CODE 13 Sep 10:10 (v014) — src/privacy.ts + src/tenantData.ts; two-phase confirm with 15-min TTL; sweeps the SAME registry the compliance webhooks use, so the two deletion paths cannot drift. tests/s9.test.ts.</t>
  </si>
  <si>
    <t xml:space="preserve">S9-02</t>
  </si>
  <si>
    <t xml:space="preserve">Backup + restore drill executed</t>
  </si>
  <si>
    <t xml:space="preserve">ST-090</t>
  </si>
  <si>
    <t xml:space="preserve">DONE-IN-CODE 13 Sep 10:10 (v014) — src/opsResilience.ts; canonical-JSON sha256, wipe-and-restore, divergence raises RestoreIntegrityError and sets shipBlock. A lossy-restore case proves the drill fails when it should. tests/s9.test.ts.</t>
  </si>
  <si>
    <t xml:space="preserve">S9-03</t>
  </si>
  <si>
    <t xml:space="preserve">Chaos test: platform API outage degrades gracefully with user comms</t>
  </si>
  <si>
    <t xml:space="preserve">ST-091</t>
  </si>
  <si>
    <t xml:space="preserve">DONE-IN-CODE 13 Sep 10:10 (v014) — src/opsResilience.ts; per-feature mode (normal/read_only/queued/unavailable), non-empty merchant copy asserted for every non-normal mode, dataLossRisk false everywhere, status-page rollup to operational/degraded/major_outage. tests/s9.test.ts.</t>
  </si>
  <si>
    <t xml:space="preserve">S9-04</t>
  </si>
  <si>
    <t xml:space="preserve">Pen-test (or platform-required evidence) completed and archived</t>
  </si>
  <si>
    <t xml:space="preserve">ST-068</t>
  </si>
  <si>
    <t xml:space="preserve">Claude/Senthil</t>
  </si>
  <si>
    <t xml:space="preserve">In progress</t>
  </si>
  <si>
    <t xml:space="preserve">SANDBOX HALF DONE 13 Sep 10:23 (v014) — SECURITY_EVIDENCE.md covers data handling, privacy-law compliance, access control and resilience with test references. The vendor penetration test and its archived report are Senthil’s half and are NOT represented as done.</t>
  </si>
  <si>
    <t xml:space="preserve">S9-05</t>
  </si>
  <si>
    <t xml:space="preserve">Accessibility WCAG AA pass on primary flows</t>
  </si>
  <si>
    <t xml:space="preserve">ST-089</t>
  </si>
  <si>
    <t xml:space="preserve">AUTOMATED HALF DONE 13 Sep 10:23 (v014) — src/screens.ts: 6 primary screens as accessible shells, audited in populated AND empty states; 8 structural rules each proven to fire on a real violation. Manual half listed explicitly in MANUAL_A11Y_CHECKS (contrast on the live admin theme, screen-reader pass, keyboard-only traversal, 200% zoom) and never reported as passing.</t>
  </si>
  <si>
    <t xml:space="preserve">S9-06</t>
  </si>
  <si>
    <t xml:space="preserve">Marketplace listing copy A + B variants drafted and reviewed</t>
  </si>
  <si>
    <t xml:space="preserve">ST-093</t>
  </si>
  <si>
    <t xml:space="preserve">Drafted</t>
  </si>
  <si>
    <t xml:space="preserve">DRAFTED 13 Sep 10:23 (v014) — LISTING_COPY.md; variant A outcome-led, variant B problem-led, shared search terms. Recommendation recorded (A for the listing, B for outbound and pricing page). The pick is Senthil’s.</t>
  </si>
  <si>
    <t xml:space="preserve">S9-07</t>
  </si>
  <si>
    <t xml:space="preserve">5 screenshots + 2-min demo video meet platform asset specs</t>
  </si>
  <si>
    <t xml:space="preserve">ST-094</t>
  </si>
  <si>
    <t xml:space="preserve">DRAFTED 13 Sep 10:23 (v014) — ASSET_PLAN.md; 5 shots each mapped to an existing screen shell, video beat sheet. Dimensions deliberately NOT stated: they were not verified this session, and a sibling shipped a spec from memory that was wrong by a whole format. Confirm in the Partner Dashboard at capture time.</t>
  </si>
  <si>
    <t xml:space="preserve">S9-08</t>
  </si>
  <si>
    <t xml:space="preserve">COLD REVIEW PASS 1 — all 23 pre-existing modules</t>
  </si>
  <si>
    <t xml:space="preserve">Done</t>
  </si>
  <si>
    <t xml:space="preserve">9 defects fixed with pinned regressions (F-RK01..F-RK09, Review_Findings sheet). Four existing tests changed because they asserted the buggy behaviour — the L-V2 lesson from VoiceBridge recurring.</t>
  </si>
  <si>
    <t xml:space="preserve">S9-09</t>
  </si>
  <si>
    <t xml:space="preserve">EXTERNAL VERIFICATION SWEEP vs live Shopify docs</t>
  </si>
  <si>
    <t xml:space="preserve">6 findings (VER-RK01..06), 3 live-blocking. VERIFICATION_SWEEP.md. Also confirmed two things we had right and left alone.</t>
  </si>
  <si>
    <t xml:space="preserve">S9-10</t>
  </si>
  <si>
    <t xml:space="preserve">Mandatory compliance webhooks built</t>
  </si>
  <si>
    <t xml:space="preserve">LC-4</t>
  </si>
  <si>
    <t xml:space="preserve">src/compliance.ts + shopify.app.toml compliance_topics + a manifest drift gate (tests/s9-manifest.test.ts) that fails the build if the manifest and the code disagree. Closes the code half of LC-4, which had sat "In progress" since v001 while the handlers did not exist.</t>
  </si>
  <si>
    <t xml:space="preserve">TRACEABILITY MATRIX — 100 stories: module -&gt; epic -&gt; story -&gt; screen -&gt; verification -&gt; status (edit yellow)</t>
  </si>
  <si>
    <t xml:space="preserve">Source: product workbook v010 Full_Backlog (single source of truth, D12 pattern). Done-in-code rows carry code/test evidence per D13 (183-test suite, 100% x4, jest hard gate). Status dropdown; Status/Evidence editable (yellow).</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</si>
  <si>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</si>
  <si>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</si>
  <si>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</si>
  <si>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</si>
  <si>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</si>
  <si>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</si>
  <si>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</si>
  <si>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</si>
  <si>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F1</t>
  </si>
  <si>
    <t xml:space="preserve">Review request engine</t>
  </si>
  <si>
    <t xml:space="preserve">As a Store owner, I can set up Review request engine with sensible defaults in one screen</t>
  </si>
  <si>
    <t xml:space="preserve">P0</t>
  </si>
  <si>
    <t xml:space="preserve">SCR-3 Review engine workspace</t>
  </si>
  <si>
    <t xml:space="preserve">Automated: unit + integration, 100% coverage (D13)</t>
  </si>
  <si>
    <t xml:space="preserve">As a Store owner, the Review request engine happy path completes without documentation</t>
  </si>
  <si>
    <t xml:space="preserve">As a E-com manager, I can customise Review request engine rules/conditions for my workflow</t>
  </si>
  <si>
    <t xml:space="preserve">P1</t>
  </si>
  <si>
    <t xml:space="preserve">As a user, Review request engine shows clear errors and retry paths on platform API failures</t>
  </si>
  <si>
    <t xml:space="preserve">As a Agency partner, Review request engine works on the embedded Shopify admin app surface end-to-end</t>
  </si>
  <si>
    <t xml:space="preserve">As a E-com manager, I can see Review request engine performance metrics and trends</t>
  </si>
  <si>
    <t xml:space="preserve">As a user, Review request engine respects role permissions and audit logging</t>
  </si>
  <si>
    <t xml:space="preserve">As a Store owner, I can pause/disable Review request engine without data loss</t>
  </si>
  <si>
    <t xml:space="preserve">P2</t>
  </si>
  <si>
    <t xml:space="preserve">As a E-com manager, I can import/migrate existing data into Review request engine (CSV + competitor importer)</t>
  </si>
  <si>
    <t xml:space="preserve">As a user, I get notifications (in-app + email) for key Review request engine events with per-type mute</t>
  </si>
  <si>
    <t xml:space="preserve">F2</t>
  </si>
  <si>
    <t xml:space="preserve">Points &amp; rewards ledger</t>
  </si>
  <si>
    <t xml:space="preserve">As a Store owner, I can set up Points &amp; rewards ledger with sensible defaults in one screen</t>
  </si>
  <si>
    <t xml:space="preserve">SCR-4 Points ledger builder</t>
  </si>
  <si>
    <t xml:space="preserve">As a Store owner, the Points &amp; rewards ledger happy path completes without documentation</t>
  </si>
  <si>
    <t xml:space="preserve">As a E-com manager, I can customise Points &amp; rewards ledger rules/conditions for my workflow</t>
  </si>
  <si>
    <t xml:space="preserve">As a user, Points &amp; rewards ledger shows clear errors and retry paths on platform API failures</t>
  </si>
  <si>
    <t xml:space="preserve">As a Agency partner, Points &amp; rewards ledger works on the embedded Shopify admin app surface end-to-end</t>
  </si>
  <si>
    <t xml:space="preserve">As a E-com manager, I can see Points &amp; rewards ledger performance metrics and trends</t>
  </si>
  <si>
    <t xml:space="preserve">As a user, Points &amp; rewards ledger respects role permissions and audit logging</t>
  </si>
  <si>
    <t xml:space="preserve">As a Store owner, I can pause/disable Points &amp; rewards ledger without data loss</t>
  </si>
  <si>
    <t xml:space="preserve">As a E-com manager, I can import/migrate existing data into Points &amp; rewards ledger (CSV + competitor importer)</t>
  </si>
  <si>
    <t xml:space="preserve">As a user, I get notifications (in-app + email) for key Points &amp; rewards ledger events with per-type mute</t>
  </si>
  <si>
    <t xml:space="preserve">F3</t>
  </si>
  <si>
    <t xml:space="preserve">Win-back email/WhatsApp flows</t>
  </si>
  <si>
    <t xml:space="preserve">As a Store owner, I can set up Win-back email/WhatsApp flows with sensible defaults in one screen</t>
  </si>
  <si>
    <t xml:space="preserve">SCR-5 Win-back flows view</t>
  </si>
  <si>
    <t xml:space="preserve">As a Store owner, the Win-back email/WhatsApp flows happy path completes without documentation</t>
  </si>
  <si>
    <t xml:space="preserve">As a E-com manager, I can customise Win-back email/WhatsApp flows rules/conditions for my workflow</t>
  </si>
  <si>
    <t xml:space="preserve">As a user, Win-back email/WhatsApp flows shows clear errors and retry paths on platform API failures</t>
  </si>
  <si>
    <t xml:space="preserve">As a Agency partner, Win-back email/WhatsApp flows works on the embedded Shopify admin app surface end-to-end</t>
  </si>
  <si>
    <t xml:space="preserve">As a E-com manager, I can see Win-back email/WhatsApp flows performance metrics and trends</t>
  </si>
  <si>
    <t xml:space="preserve">As a user, Win-back email/WhatsApp flows respects role permissions and audit logging</t>
  </si>
  <si>
    <t xml:space="preserve">As a Store owner, I can pause/disable Win-back email/WhatsApp flows without data loss</t>
  </si>
  <si>
    <t xml:space="preserve">As a E-com manager, I can import/migrate existing data into Win-back email/WhatsApp flows (CSV + competitor importer)</t>
  </si>
  <si>
    <t xml:space="preserve">As a user, I get notifications (in-app + email) for key Win-back email/WhatsApp flows events with per-type mute</t>
  </si>
  <si>
    <t xml:space="preserve">F4</t>
  </si>
  <si>
    <t xml:space="preserve">Analytics dashboard</t>
  </si>
  <si>
    <t xml:space="preserve">As a Store owner, I can set up Analytics dashboard with sensible defaults in one screen</t>
  </si>
  <si>
    <t xml:space="preserve">SCR-8 Analytics</t>
  </si>
  <si>
    <t xml:space="preserve">As a Store owner, the Analytics dashboard happy path completes without documentation</t>
  </si>
  <si>
    <t xml:space="preserve">As a E-com manager, I can customise Analytics dashboard rules/conditions for my workflow</t>
  </si>
  <si>
    <t xml:space="preserve">As a user, Analytics dashboard shows clear errors and retry paths on platform API failures</t>
  </si>
  <si>
    <t xml:space="preserve">As a Agency partner, Analytics dashboard works on the embedded Shopify admin app surface end-to-end</t>
  </si>
  <si>
    <t xml:space="preserve">As a E-com manager, I can see Analytics dashboard performance metrics and trends</t>
  </si>
  <si>
    <t xml:space="preserve">As a user, Analytics dashboard respects role permissions and audit logging</t>
  </si>
  <si>
    <t xml:space="preserve">As a Store owner, I can pause/disable Analytics dashboard without data loss</t>
  </si>
  <si>
    <t xml:space="preserve">As a E-com manager, I can import/migrate existing data into Analytics dashboard (CSV + competitor importer)</t>
  </si>
  <si>
    <t xml:space="preserve">As a user, I get notifications (in-app + email) for key Analytics dashboard events with per-type mute</t>
  </si>
  <si>
    <t xml:space="preserve">F5</t>
  </si>
  <si>
    <t xml:space="preserve">Klaviyo/Meta audience sync</t>
  </si>
  <si>
    <t xml:space="preserve">As a Store owner, I can set up Klaviyo/Meta audience sync with sensible defaults in one screen</t>
  </si>
  <si>
    <t xml:space="preserve">SCR-6 Settings (integrations)</t>
  </si>
  <si>
    <t xml:space="preserve">As a Store owner, the Klaviyo/Meta audience sync happy path completes without documentation</t>
  </si>
  <si>
    <t xml:space="preserve">As a E-com manager, I can customise Klaviyo/Meta audience sync rules/conditions for my workflow</t>
  </si>
  <si>
    <t xml:space="preserve">As a user, Klaviyo/Meta audience sync shows clear errors and retry paths on platform API failures</t>
  </si>
  <si>
    <t xml:space="preserve">As a Agency partner, Klaviyo/Meta audience sync works on the embedded Shopify admin app surface end-to-end</t>
  </si>
  <si>
    <t xml:space="preserve">As a E-com manager, I can see Klaviyo/Meta audience sync performance metrics and trends</t>
  </si>
  <si>
    <t xml:space="preserve">As a user, Klaviyo/Meta audience sync respects role permissions and audit logging</t>
  </si>
  <si>
    <t xml:space="preserve">As a Store owner, I can pause/disable Klaviyo/Meta audience sync without data loss</t>
  </si>
  <si>
    <t xml:space="preserve">As a E-com manager, I can import/migrate existing data into Klaviyo/Meta audience sync (CSV + competitor importer)</t>
  </si>
  <si>
    <t xml:space="preserve">As a user, I get notifications (in-app + email) for key Klaviyo/Meta audience sync events with per-type mute</t>
  </si>
  <si>
    <t xml:space="preserve">E1</t>
  </si>
  <si>
    <t xml:space="preserve">Platform foundation (install/auth)</t>
  </si>
  <si>
    <t xml:space="preserve">Marketplace OAuth install completes and lands on welcome state in &lt;2 min</t>
  </si>
  <si>
    <t xml:space="preserve">SCR-1 Onboarding</t>
  </si>
  <si>
    <t xml:space="preserve">Install telemetry: source attribution (listing/search/referral) captured</t>
  </si>
  <si>
    <t xml:space="preserve">E5</t>
  </si>
  <si>
    <t xml:space="preserve">Billing &amp; plans</t>
  </si>
  <si>
    <t xml:space="preserve">SCR-7 Billing</t>
  </si>
  <si>
    <t xml:space="preserve">Marketplace billing API used where mandated; external Stripe fallback elsewhere</t>
  </si>
  <si>
    <t xml:space="preserve">E6</t>
  </si>
  <si>
    <t xml:space="preserve">Security &amp; compliance</t>
  </si>
  <si>
    <t xml:space="preserve">SCR-6 Settings / LC-1..10</t>
  </si>
  <si>
    <t xml:space="preserve">CI validator + doc artifact (SCOPES.md)</t>
  </si>
  <si>
    <t xml:space="preserve">CI validator + doc artifact (DATA_FLOWS.md)</t>
  </si>
  <si>
    <t xml:space="preserve">Evidence archived + gate review</t>
  </si>
  <si>
    <t xml:space="preserve">SANDBOX HALF 13 Sep 2026 10:23 (workbook v014) — SECURITY_EVIDENCE.md. Vendor penetration test + archived report = Senthil. Not claimed as done.</t>
  </si>
  <si>
    <t xml:space="preserve">DONE-IN-CODE 13 Sep 2026 10:10 (workbook v014) — src/privacy.ts + src/tenantData.ts; two-phase confirm, 15-min TTL, shared registry with the compliance webhooks; tests/s9.test.ts.</t>
  </si>
  <si>
    <t xml:space="preserve">E7</t>
  </si>
  <si>
    <t xml:space="preserve">Telemetry &amp; metrics</t>
  </si>
  <si>
    <t xml:space="preserve">SCR-8 (internal)</t>
  </si>
  <si>
    <t xml:space="preserve">Alert thresholds configurable (activation drop, error spike, churn signal)</t>
  </si>
  <si>
    <t xml:space="preserve">E8</t>
  </si>
  <si>
    <t xml:space="preserve">Onboarding, docs &amp; support</t>
  </si>
  <si>
    <t xml:space="preserve">SCR-1 / SCR-9 Help</t>
  </si>
  <si>
    <t xml:space="preserve">ST-080</t>
  </si>
  <si>
    <t xml:space="preserve">Help center with 15 launch articles + search</t>
  </si>
  <si>
    <t xml:space="preserve">Integration test + manual QA</t>
  </si>
  <si>
    <t xml:space="preserve">DONE-IN-CODE 13 Sep 2026 10:43 (workbook v016) — src/support.ts; 15 articles, ranked search, GET /help index/search/article; tests/s10.test.ts.</t>
  </si>
  <si>
    <t xml:space="preserve">ST-081</t>
  </si>
  <si>
    <t xml:space="preserve">In-app chat with &lt;4 business-hr first response</t>
  </si>
  <si>
    <t xml:space="preserve">E2E test + demo</t>
  </si>
  <si>
    <t xml:space="preserve">DONE-IN-CODE 13 Sep 2026 10:43 (workbook v016) — src/support.ts SupportDesk; 4-business-hour first response, weekend-aware, self-serve suggestions, breach query. Chat vendor now optional (DR-7).</t>
  </si>
  <si>
    <t xml:space="preserve">ST-082</t>
  </si>
  <si>
    <t xml:space="preserve">In-app review ask after aha-moment (marketplace rating engine)</t>
  </si>
  <si>
    <t xml:space="preserve">S11</t>
  </si>
  <si>
    <t xml:space="preserve">DONE-IN-CODE 13 Sep 2026 10:59 (workbook v017) — src/growth.ts decideAsk; every refusal carries a named reason so "why did nobody see the ask" is answerable; tests/s11.test.ts.</t>
  </si>
  <si>
    <t xml:space="preserve">ST-083</t>
  </si>
  <si>
    <t xml:space="preserve">Demo video (2 min) + interactive sandbox/demo data mode</t>
  </si>
  <si>
    <t xml:space="preserve">Code-complete</t>
  </si>
  <si>
    <t xml:space="preserve">CODE HALF DONE 13 Sep 2026 10:43 (workbook v016) — src/launchReadiness.ts demo mode, refuses any shop outside the demo- namespace. The 2-minute VIDEO still needs capture (ASSET_PLAN.md).</t>
  </si>
  <si>
    <t xml:space="preserve">ST-084</t>
  </si>
  <si>
    <t xml:space="preserve">Status page + incident comms template</t>
  </si>
  <si>
    <t xml:space="preserve">Manual QA</t>
  </si>
  <si>
    <t xml:space="preserve">DONE-IN-CODE 13 Sep 2026 10:43 (workbook v016) — src/publicPages.ts incident template + GET /status; refuses to publish an update with no impact or action statement.</t>
  </si>
  <si>
    <t xml:space="preserve">EQ</t>
  </si>
  <si>
    <t xml:space="preserve">Quality engineering</t>
  </si>
  <si>
    <t xml:space="preserve">CI / all surfaces</t>
  </si>
  <si>
    <t xml:space="preserve">AUTOMATED HALF 13 Sep 2026 10:23 (workbook v014) — src/screens.ts, 6 screens x populated/empty, 8 structural rules each proven to fire; tests/s9-a11y.test.ts. Contrast, screen-reader, keyboard and 200%-zoom passes need the live embedded surface.</t>
  </si>
  <si>
    <t xml:space="preserve">DONE-IN-CODE 13 Sep 2026 10:10 (workbook v014) — src/opsResilience.ts runBackupRestoreDrill; sha256 integrity, ship-block on divergence; lossy-restore case proves the drill fails when it should; tests/s9.test.ts.</t>
  </si>
  <si>
    <t xml:space="preserve">DONE-IN-CODE 13 Sep 2026 10:10 (workbook v014) — src/opsResilience.ts degrade()/statusPage(); per-feature mode with non-empty merchant copy, no data-loss path; tests/s9.test.ts.</t>
  </si>
  <si>
    <t xml:space="preserve">EL</t>
  </si>
  <si>
    <t xml:space="preserve">Listing &amp; launch</t>
  </si>
  <si>
    <t xml:space="preserve">Listing assets (external)</t>
  </si>
  <si>
    <t xml:space="preserve">DRAFTED 13 Sep 2026 10:23 (workbook v014) — LISTING_COPY.md variants A and B + recommendation. Pick is Senthil’s.</t>
  </si>
  <si>
    <t xml:space="preserve">DRAFTED 13 Sep 2026 10:23 (workbook v014) — ASSET_PLAN.md 5 shots mapped to existing screen shells + video beat sheet. Dimensions to be confirmed in the Partner Dashboard at capture time.</t>
  </si>
  <si>
    <t xml:space="preserve">ST-095</t>
  </si>
  <si>
    <t xml:space="preserve">Pricing page/plan matrix published with FAQ</t>
  </si>
  <si>
    <t xml:space="preserve">DONE-IN-CODE 13 Sep 2026 10:43 (workbook v016) — generated from billing PLANS with a drift gate; GET /pricing; 6-item FAQ.</t>
  </si>
  <si>
    <t xml:space="preserve">ST-096</t>
  </si>
  <si>
    <t xml:space="preserve">Security/trust page (data handling, subprocessors) live</t>
  </si>
  <si>
    <t xml:space="preserve">DONE-IN-CODE 13 Sep 2026 10:43 (workbook v016) — generated from DATA_FLOWS + REQUESTED_SCOPES with a two-way drift gate; GET /trust. Subprocessor regions marked to be confirmed at deploy.</t>
  </si>
  <si>
    <t xml:space="preserve">ST-097</t>
  </si>
  <si>
    <t xml:space="preserve">Submission dry-run against platform checklist by second reviewer</t>
  </si>
  <si>
    <t xml:space="preserve">ENGINE DONE 13 Sep 2026 10:43 (workbook v016) — runSubmissionDryRun reports READY on the automated half only. The SECOND REVIEWER is external and remains Senthil’s: an AI reviewing its own work is not independent.</t>
  </si>
  <si>
    <t xml:space="preserve">ST-098</t>
  </si>
  <si>
    <t xml:space="preserve">Launch-day runbook: monitoring, rollback, comms tree</t>
  </si>
  <si>
    <t xml:space="preserve">DONE-IN-CODE 13 Sep 2026 10:59 (workbook v017) — src/runbook.ts; 14 steps across 4 phases, rollback triggers bound to LATENCY_BUDGETS_MS, verdict holds while operator steps are outstanding.</t>
  </si>
  <si>
    <t xml:space="preserve">ST-099</t>
  </si>
  <si>
    <t xml:space="preserve">Post-launch listing SEO iteration 1 from search-term data</t>
  </si>
  <si>
    <t xml:space="preserve">S12</t>
  </si>
  <si>
    <t xml:space="preserve">DONE-IN-CODE 13 Sep 2026 10:59 (workbook v017) — src/growth.ts buildSeoReport; 100-impression floor. The live half needs post-listing search-term data, which cannot exist before launch.</t>
  </si>
  <si>
    <t xml:space="preserve">ST-100</t>
  </si>
  <si>
    <t xml:space="preserve">First 10 design-partner reviews scheduled</t>
  </si>
  <si>
    <t xml:space="preserve">DONE-IN-CODE 13 Sep 2026 10:59 (workbook v017) — src/growth.ts partnerProgress/assignSlot; only paying strangers count toward G-02. Outreach itself is Senthil’s.</t>
  </si>
  <si>
    <t xml:space="preserve">SPRINT STATUS ROLLUP — live formulas over Traceability_Matrix</t>
  </si>
  <si>
    <t xml:space="preserve">Do not edit computed cells. 'Done' counts Done-in-code + Done. Exit criteria from product workbook Sprint_Board.</t>
  </si>
  <si>
    <t xml:space="preserve">Focus</t>
  </si>
  <si>
    <t xml:space="preserve">Stories</t>
  </si>
  <si>
    <t xml:space="preserve">Done points</t>
  </si>
  <si>
    <t xml:space="preserve">% points done</t>
  </si>
  <si>
    <t xml:space="preserve">RAG (manual)</t>
  </si>
  <si>
    <t xml:space="preserve">Exit criteria</t>
  </si>
  <si>
    <t xml:space="preserve">Foundation (2 wks)</t>
  </si>
  <si>
    <t xml:space="preserve">GREEN — 4/4 done-in-code; live install pending</t>
  </si>
  <si>
    <t xml:space="preserve">App installs cleanly in dev store/org; telemetry firing</t>
  </si>
  <si>
    <t xml:space="preserve">Core feature Review request engine - part 1</t>
  </si>
  <si>
    <t xml:space="preserve">GREEN — 6/6 done-in-code</t>
  </si>
  <si>
    <t xml:space="preserve">Review request engine happy path demoable</t>
  </si>
  <si>
    <t xml:space="preserve">Engine part 2 + Points &amp; rewards ledger start</t>
  </si>
  <si>
    <t xml:space="preserve">GREEN — 11/11 done-in-code</t>
  </si>
  <si>
    <t xml:space="preserve">Engine complete with tests; Points ledger skeleton</t>
  </si>
  <si>
    <t xml:space="preserve">Core feature Points &amp; rewards ledger</t>
  </si>
  <si>
    <t xml:space="preserve">GREEN — 9/9 done-in-code; E2E smoke evidences the loop</t>
  </si>
  <si>
    <t xml:space="preserve">MVP loop usable end-to-end internally</t>
  </si>
  <si>
    <t xml:space="preserve">Win-back flows + alpha hardening</t>
  </si>
  <si>
    <t xml:space="preserve">GREEN code / AMBER exit — 12/12 done-in-code; dogfood deployment pending</t>
  </si>
  <si>
    <t xml:space="preserve">Internal alpha: team dogfoods daily</t>
  </si>
  <si>
    <t xml:space="preserve">Billing + Analytics dashboard</t>
  </si>
  <si>
    <t xml:space="preserve">GREEN — 13/13 done-in-code; live test charge pending</t>
  </si>
  <si>
    <t xml:space="preserve">Can charge a test customer; upgrade/downgrade paths work</t>
  </si>
  <si>
    <t xml:space="preserve">Private beta (design partners)</t>
  </si>
  <si>
    <t xml:space="preserve">GREEN code — 5/5 done-in-code; partner recruitment (exit) pending</t>
  </si>
  <si>
    <t xml:space="preserve">3+ partners active weekly; NPS pulse &gt;30</t>
  </si>
  <si>
    <t xml:space="preserve">Beta iteration + Klaviyo/Meta audience sync</t>
  </si>
  <si>
    <t xml:space="preserve">GREEN code — 22/22 done-in-code; live Klaviyo/Meta + LCP pending</t>
  </si>
  <si>
    <t xml:space="preserve">Retention of beta cohort week-over-week &gt;60%</t>
  </si>
  <si>
    <t xml:space="preserve">Marketplace review prep</t>
  </si>
  <si>
    <t xml:space="preserve">AMBER — 3/7 done-in-code, 2 in progress (both awaiting Senthil’s half), 2 drafted. Cold review + verification sweep complete; the compliance-webhook gap that would have failed review is closed in code.</t>
  </si>
  <si>
    <t xml:space="preserve">Review submission accepted into queue</t>
  </si>
  <si>
    <t xml:space="preserve">Review remediation + docs</t>
  </si>
  <si>
    <t xml:space="preserve">GREEN code — 6/7 done-in-code, ST-083 code half only (video capture pending), ST-097 engine done with the external reviewer outstanding.</t>
  </si>
  <si>
    <t xml:space="preserve">Marketplace approval obtained</t>
  </si>
  <si>
    <t xml:space="preserve">Launch</t>
  </si>
  <si>
    <t xml:space="preserve">GREEN code — all stories done-in-code. Exit criteria are live-gated (installs, reviews, activation) and cannot be met from the sandbox.</t>
  </si>
  <si>
    <t xml:space="preserve">First 10 installs; first 3 reviews; activation &gt;40%</t>
  </si>
  <si>
    <t xml:space="preserve">Iterate &amp; scale decision</t>
  </si>
  <si>
    <t xml:space="preserve">Growth model doc with CAC/LTV first estimates</t>
  </si>
  <si>
    <t xml:space="preserve">TOTAL</t>
  </si>
  <si>
    <t xml:space="preserve">(S1-S12)</t>
  </si>
  <si>
    <t xml:space="preserve">REVIEW FINDINGS — cold review pass 1 + external verification sweep, 13 Sep 2026</t>
  </si>
  <si>
    <t xml:space="preserve">Every FIXED row has a pinned regression test. Every OPEN row needs a Senthil disposition. Coverage was 100% throughout and caught none of these.</t>
  </si>
  <si>
    <t xml:space="preserve">Type</t>
  </si>
  <si>
    <t xml:space="preserve">Module</t>
  </si>
  <si>
    <t xml:space="preserve">Finding</t>
  </si>
  <si>
    <t xml:space="preserve">Impact</t>
  </si>
  <si>
    <t xml:space="preserve">Status / Disposition</t>
  </si>
  <si>
    <t xml:space="preserve">F-RK01</t>
  </si>
  <si>
    <t xml:space="preserve">Defect</t>
  </si>
  <si>
    <t xml:space="preserve">winbackOps.ts, audienceSyncOps.ts</t>
  </si>
  <si>
    <t xml:space="preserve">Both CSV importers hardcoded optedOut:false, discarding any opt-out column in the source file.</t>
  </si>
  <si>
    <t xml:space="preserve">SEVERE. The importer exists so merchants migrate off a competitor — the file it reads is exactly the file carrying the unsubscribes. Every one was reset to subscribed, and the first win-back run would have mailed them. Marketing-consent breach and a failure of Shopify’s requirement to apply opt-out decisions.</t>
  </si>
  <si>
    <t xml:space="preserve">FIXED — new src/consent.ts. An import must carry an opted_out column or a recorded merchant attestation; consent is never inferred. Provenance stored with every import.</t>
  </si>
  <si>
    <t xml:space="preserve">F-RK02</t>
  </si>
  <si>
    <t xml:space="preserve">billingOps.ts</t>
  </si>
  <si>
    <t xml:space="preserve">Dunning computed mode="read_only" after the grace window and nothing in the app ever consulted it.</t>
  </si>
  <si>
    <t xml:space="preserve">A shop whose payment failed kept full write access indefinitely. The state was real; the enforcement was not.</t>
  </si>
  <si>
    <t xml:space="preserve">FIXED — src/entitlement.ts + AuditedGate wiring. Writes blocked, reads never blocked, billing stays reachable, refusal reason audit-logged.</t>
  </si>
  <si>
    <t xml:space="preserve">F-RK03</t>
  </si>
  <si>
    <t xml:space="preserve">billing.ts</t>
  </si>
  <si>
    <t xml:space="preserve">TrialStatus.expired fed a banner and nothing else.</t>
  </si>
  <si>
    <t xml:space="preserve">A merchant could let the 14-day trial lapse and keep sending forever. Same class as VoiceBridge F-V03.</t>
  </si>
  <si>
    <t xml:space="preserve">FIXED — resolved through the same entitlement gate.</t>
  </si>
  <si>
    <t xml:space="preserve">F-RK04</t>
  </si>
  <si>
    <t xml:space="preserve">Dunning sent three emails and flipped to read-only without ever re-attempting the charge.</t>
  </si>
  <si>
    <t xml:space="preserve">Most failed card payments succeed on retry. The app was emailing merchants about a problem it had the means to fix, then punishing them for it. Same class as VoiceBridge F-V02 / OnCall F-005.</t>
  </si>
  <si>
    <t xml:space="preserve">FIXED — PaymentRecovery port; a successful retry clears dunning and sends no email.</t>
  </si>
  <si>
    <t xml:space="preserve">F-RK05</t>
  </si>
  <si>
    <t xml:space="preserve">reviewEngine.ts, winback.ts</t>
  </si>
  <si>
    <t xml:space="preserve">Consent was checked at scheduling time only. Review requests sit for the configured delay (default 7 days) and win-back flows run for weeks.</t>
  </si>
  <si>
    <t xml:space="preserve">A customer who opted out inside that window still received the message. Scheduling-time eligibility is not consent at send time.</t>
  </si>
  <si>
    <t xml:space="preserve">FIXED — ConsentCheck re-read immediately before every send; review request suppressed, remaining win-back steps cancelled and the flow closed.</t>
  </si>
  <si>
    <t xml:space="preserve">F-RK06</t>
  </si>
  <si>
    <t xml:space="preserve">security.ts</t>
  </si>
  <si>
    <t xml:space="preserve">No Retry-After parser existed anywhere, while the backoff helper took milliseconds. Shopify sends Retry-After in seconds.</t>
  </si>
  <si>
    <t xml:space="preserve">The first caller wiring a real HTTP response would have passed 2 into a ms parameter and retried 1000x too fast into an already rate-limited endpoint. Same class as TestPulse F-TP08.</t>
  </si>
  <si>
    <t xml:space="preserve">FIXED — parseRetryAfterHeader() handles seconds, fractional seconds, absolute dates and junk; plus full jitter and a 60s cap (closes portfolio OBS-001 for this product).</t>
  </si>
  <si>
    <t xml:space="preserve">F-RK07</t>
  </si>
  <si>
    <t xml:space="preserve">(absent)</t>
  </si>
  <si>
    <t xml:space="preserve">No single inventory of stored data existed, so deletion paths each carried their own list of stores.</t>
  </si>
  <si>
    <t xml:space="preserve">This is exactly how TestPulse F-TP01 and VoiceBridge F-V01/F-V08 breached published retention policies — one path swept less than another.</t>
  </si>
  <si>
    <t xml:space="preserve">FIXED — TenantDataRegistry with a completeness gate; a new module that skips its deletion adapter fails the suite.</t>
  </si>
  <si>
    <t xml:space="preserve">F-RK08</t>
  </si>
  <si>
    <t xml:space="preserve">Self-serve deletion was irreversible with no confirmation step.</t>
  </si>
  <si>
    <t xml:space="preserve">A misclick would have destroyed a merchant’s account data.</t>
  </si>
  <si>
    <t xml:space="preserve">FIXED — two-phase request/confirm with a 15-minute token TTL.</t>
  </si>
  <si>
    <t xml:space="preserve">F-RK09</t>
  </si>
  <si>
    <t xml:space="preserve">No backup/restore drill existed, so the backup story rested on an assumption.</t>
  </si>
  <si>
    <t xml:space="preserve">A backup never restored is not a backup. Divergence would have been discovered during an incident.</t>
  </si>
  <si>
    <t xml:space="preserve">FIXED — drill runs in code with sha256 integrity verification; divergence sets shipBlock.</t>
  </si>
  <si>
    <t xml:space="preserve">VER-RK01</t>
  </si>
  <si>
    <t xml:space="preserve">(all)</t>
  </si>
  <si>
    <t xml:space="preserve">No Shopify API version pinned anywhere in src/.</t>
  </si>
  <si>
    <t xml:space="preserve">LIVE-BLOCKING. Shopify falls forward retired versions to the oldest supported one — behaviour changes underneath the app with no error.</t>
  </si>
  <si>
    <t xml:space="preserve">FIXED — 2026-07 pinned, drift check against the 12-month support window. 2026-10 lands 1 Oct 2026.</t>
  </si>
  <si>
    <t xml:space="preserve">VER-RK02</t>
  </si>
  <si>
    <t xml:space="preserve">No endpoint builder; REST Admin has been legacy since 1 Oct 2024.</t>
  </si>
  <si>
    <t xml:space="preserve">Building on REST would fail Built-for-Shopify and the LC-3 gate.</t>
  </si>
  <si>
    <t xml:space="preserve">FIXED — graphqlEndpoint() emits versioned GraphQL Admin URLs only.</t>
  </si>
  <si>
    <t xml:space="preserve">VER-RK03</t>
  </si>
  <si>
    <t xml:space="preserve">winback, reviewEngine</t>
  </si>
  <si>
    <t xml:space="preserve">Customer PII is redacted to null unless the app is approved for protected customer data. Every read assumed a string.</t>
  </si>
  <si>
    <t xml:space="preserve">LIVE-BLOCKING. Before approval, win-back and review sends would have produced nothing, silently.</t>
  </si>
  <si>
    <t xml:space="preserve">FIXED — resolveContact() reports redacted (not approved) separately from absent (no email), because the two need different operator action. displayName() degrades instead of rendering nulls.</t>
  </si>
  <si>
    <t xml:space="preserve">VER-RK04</t>
  </si>
  <si>
    <t xml:space="preserve">The three mandatory compliance webhooks (customers/data_request, customers/redact, shop/redact) did not exist.</t>
  </si>
  <si>
    <t xml:space="preserve">LIVE-BLOCKING. Automatic App Store review rejection. LC-4 had read "In progress" since v001 on the strength of an uninstall purge that is a different thing.</t>
  </si>
  <si>
    <t xml:space="preserve">FIXED — src/compliance.ts, declared in shopify.app.toml via compliance_topics, with a manifest drift gate.</t>
  </si>
  <si>
    <t xml:space="preserve">VER-RK05</t>
  </si>
  <si>
    <t xml:space="preserve">(config)</t>
  </si>
  <si>
    <t xml:space="preserve">Compliance topics cannot be registered via the GraphQL webhookSubscriptionCreate mutation; they must be declared in shopify.app.toml.</t>
  </si>
  <si>
    <t xml:space="preserve">Would have cost a live debugging session.</t>
  </si>
  <si>
    <t xml:space="preserve">RECORDED — in the manifest comment and VERIFICATION_SWEEP.md.</t>
  </si>
  <si>
    <t xml:space="preserve">VER-RK06</t>
  </si>
  <si>
    <t xml:space="preserve">compliance.ts</t>
  </si>
  <si>
    <t xml:space="preserve">shop/redact arrives 48h after uninstall; customers/redact can arrive up to six months after the request.</t>
  </si>
  <si>
    <t xml:space="preserve">The handler must tolerate a shop it no longer knows.</t>
  </si>
  <si>
    <t xml:space="preserve">VERIFIED CORRECT — handler is shop-agnostic; pinned by test.</t>
  </si>
  <si>
    <t xml:space="preserve">OBS-RK1</t>
  </si>
  <si>
    <t xml:space="preserve">Observation</t>
  </si>
  <si>
    <t xml:space="preserve">Circuit breaker allows unlimited half-open probes.</t>
  </si>
  <si>
    <t xml:space="preserve">Matches FlowCast OBS-002, VoiceBridge OBS-V2, MeetSync OBS-M1 — portfolio-wide.</t>
  </si>
  <si>
    <t xml:space="preserve">OPEN — Senthil disposition. Recommend one shared decision across all products rather than five.</t>
  </si>
  <si>
    <t xml:space="preserve">OBS-RK2</t>
  </si>
  <si>
    <t xml:space="preserve">(all stores)</t>
  </si>
  <si>
    <t xml:space="preserve">Persistence is still in-memory behind interfaces, so every cap, purge and entitlement decision is process-local.</t>
  </si>
  <si>
    <t xml:space="preserve">Matches MeetSync OBS-M3. Not a defect in the domain code; a deployment gap.</t>
  </si>
  <si>
    <t xml:space="preserve">OPEN — resolves at the Postgres adapter build (R-K4).</t>
  </si>
  <si>
    <t xml:space="preserve">OBS-RK3</t>
  </si>
  <si>
    <t xml:space="preserve">A data_request is answered by delivering the bundle to the store owner; the delivery channel is an injected port with no production adapter yet.</t>
  </si>
  <si>
    <t xml:space="preserve">Shopify requires the data to reach the store owner, not a specific mechanism.</t>
  </si>
  <si>
    <t xml:space="preserve">OPEN — Senthil to choose the channel (email to the shop owner vs in-app download) before live.</t>
  </si>
  <si>
    <t xml:space="preserve">GAP-RK1</t>
  </si>
  <si>
    <t xml:space="preserve">Gap (CRITICAL)</t>
  </si>
  <si>
    <t xml:space="preserve">No HTTP application existed. shopify.app.toml declared application_url, /auth/callback, /webhooks/compliance, /webhooks/uninstalled and an app proxy; none of those routes existed. 25 modules at 100% coverage and nothing that could receive a request.</t>
  </si>
  <si>
    <t xml:space="preserve">Install fails on the day. Shopify could not have completed OAuth, delivered a webhook, or reached the proxy. This session created half the gap by writing the manifest at 10:23 without the routes behind it.</t>
  </si>
  <si>
    <t xml:space="preserve">FIXED — src/http/router.ts + app.ts + wiring.ts; 7 routes; npm start via bin/start.js. Router list is pinned against DECLARED_ROUTES.</t>
  </si>
  <si>
    <t xml:space="preserve">GAP-RK2</t>
  </si>
  <si>
    <t xml:space="preserve">No database schema behind the backup/restore drill, the retention sweep, or the 12 TenantDataRegistry domains.</t>
  </si>
  <si>
    <t xml:space="preserve">The backup drill proved a round-trip through an in-memory map. Nothing described what would actually be backed up or deleted.</t>
  </si>
  <si>
    <t xml:space="preserve">FIXED — migrations/001-003 with every child table cascading from shops, so shop/redact deletes completely by construction rather than by remembering to list tables. compliance_requests deliberately outlives the shop row as proof of erasure.</t>
  </si>
  <si>
    <t xml:space="preserve">GAP-RK3</t>
  </si>
  <si>
    <t xml:space="preserve">Gap</t>
  </si>
  <si>
    <t xml:space="preserve">package.json</t>
  </si>
  <si>
    <t xml:space="preserve">No build and no start script; no tsconfig. The product could not be compiled or run.</t>
  </si>
  <si>
    <t xml:space="preserve">Nothing deployable existed.</t>
  </si>
  <si>
    <t xml:space="preserve">FIXED — tsconfig.json, npm run build, npm start, npm run migrate.</t>
  </si>
  <si>
    <t xml:space="preserve">GAP-RK4</t>
  </si>
  <si>
    <t xml:space="preserve">wiring</t>
  </si>
  <si>
    <t xml:space="preserve">The uninstall handler computed a deletion date and the only available scheduler was a no-op.</t>
  </si>
  <si>
    <t xml:space="preserve">The 30-day retention promise held in tests and nowhere else.</t>
  </si>
  <si>
    <t xml:space="preserve">FIXED — MemoryDeletionSchedule records the date and exposes what is due; pinned by test.</t>
  </si>
  <si>
    <t xml:space="preserve">GAP-RK5</t>
  </si>
  <si>
    <t xml:space="preserve">.github/workflows</t>
  </si>
  <si>
    <t xml:space="preserve">CI ran the test suite only — it never proved the application compiles or that the migration set parses.</t>
  </si>
  <si>
    <t xml:space="preserve">A type error in the HTTP layer would have reached deploy.</t>
  </si>
  <si>
    <t xml:space="preserve">FIXED — build and migrate:dry steps added before the smoke gate.</t>
  </si>
  <si>
    <t xml:space="preserve">GAP-RK6</t>
  </si>
  <si>
    <t xml:space="preserve">No setup path. Sibling products each ship a 30-minute guide; RetainKit had none.</t>
  </si>
  <si>
    <t xml:space="preserve">The dev-store install could not be handed over.</t>
  </si>
  <si>
    <t xml:space="preserve">FIXED — SETUP.md, executable end to end, with the two things the Shopify CLI cannot do called out.</t>
  </si>
  <si>
    <t xml:space="preserve">VER-RK07</t>
  </si>
  <si>
    <t xml:space="preserve">http/proxyAuth.ts</t>
  </si>
  <si>
    <t xml:space="preserve">The app proxy signature scheme differs from the OAuth callback HMAC: param `signature` not `hmac`, and sorted key=value pairs joined with NOTHING rather than "&amp;".</t>
  </si>
  <si>
    <t xml:space="preserve">Reusing verifyHmac for proxy requests would have returned 401 on every storefront request with no error to diagnose. Verified against shopify.dev, 13 Sep 2026.</t>
  </si>
  <si>
    <t xml:space="preserve">FIXED — separate verifyProxySignature + a test asserting the two digests differ over identical params. Replay window of 300s enforced on the proxy timestamp.</t>
  </si>
  <si>
    <t xml:space="preserve">F-RK10</t>
  </si>
  <si>
    <t xml:space="preserve">store/pg.ts + schema</t>
  </si>
  <si>
    <t xml:space="preserve">customer_consent had no email column, and no other table stored one. Shopify’s customers/redact and customers/data_request payloads can identify a customer by email alone — a shape the handler has always accepted.</t>
  </si>
  <si>
    <t xml:space="preserve">An email-only privacy request would have matched zero rows while the app recorded the request as completed. A reported erasure that erased nothing is worse than a failed one, because nobody goes looking.</t>
  </si>
  <si>
    <t xml:space="preserve">FIXED — migration 005 adds customer_consent.email with an index; the adapter matches on either identifier. Pinned by two regressions. Found only because a coverage gap made an unreachable branch visible.</t>
  </si>
  <si>
    <t xml:space="preserve">RAID — seeded from v005/v010 Risk_Register + build findings</t>
  </si>
  <si>
    <t xml:space="preserve">Raised</t>
  </si>
  <si>
    <t xml:space="preserve">Notes / Mitigation</t>
  </si>
  <si>
    <t xml:space="preserve">R-K1</t>
  </si>
  <si>
    <t xml:space="preserve">Risk</t>
  </si>
  <si>
    <t xml:space="preserve">Shopify tightens Built-for-Shopify bar or checkout/extension APIs (High/Medium)</t>
  </si>
  <si>
    <t xml:space="preserve">Open</t>
  </si>
  <si>
    <t xml:space="preserve">Track dev changelog monthly; abstain from deprecated surfaces; GraphQL-only (LC #3).</t>
  </si>
  <si>
    <t xml:space="preserve">R-K2</t>
  </si>
  <si>
    <t xml:space="preserve">Klaviyo/Yotpo bundle retention features free (High/Medium)</t>
  </si>
  <si>
    <t xml:space="preserve">Niche positioning (price band + simplicity); single retention data model; speed.</t>
  </si>
  <si>
    <t xml:space="preserve">R-K3</t>
  </si>
  <si>
    <t xml:space="preserve">Review-app category saturation drives CAC up (Medium/High)</t>
  </si>
  <si>
    <t xml:space="preserve">Lead with loyalty + win-back combo, not reviews alone — all three pillars now built (S5).</t>
  </si>
  <si>
    <t xml:space="preserve">R-K4</t>
  </si>
  <si>
    <t xml:space="preserve">Constraint</t>
  </si>
  <si>
    <t xml:space="preserve">22:05</t>
  </si>
  <si>
    <t xml:space="preserve">Sandbox has no Postgres or live Shopify — persistence in-memory behind typed store interfaces; Shopify HTTP/messaging edges simulated in tests (DR-1)</t>
  </si>
  <si>
    <t xml:space="preserve">Postgres + live adapters at deploy; domain code untouched by the swap. Accepted-pattern precedent.</t>
  </si>
  <si>
    <t xml:space="preserve">R-K5</t>
  </si>
  <si>
    <t xml:space="preserve">22:20</t>
  </si>
  <si>
    <t xml:space="preserve">App Bridge session-token claim shape and webhook HMAC format implemented per public Shopify pattern; pending verification against a real Partners app</t>
  </si>
  <si>
    <t xml:space="preserve">Verify at S1-L1 dev-store install; verification isolated in src/embeddedApp.ts + src/uninstall.ts so a format change is one-module.</t>
  </si>
  <si>
    <t xml:space="preserve">R-K6</t>
  </si>
  <si>
    <t xml:space="preserve">22:28</t>
  </si>
  <si>
    <t xml:space="preserve">deploy-smoke CI workflow committed but not wired to a live GitHub repo</t>
  </si>
  <si>
    <t xml:space="preserve">Wire at repo creation (S4-L1); gate runs locally via npm test / npm run test:smoke meanwhile.</t>
  </si>
  <si>
    <t xml:space="preserve">A-K1</t>
  </si>
  <si>
    <t xml:space="preserve">Assumption</t>
  </si>
  <si>
    <t xml:space="preserve">D13 applies portfolio-wide incl. RetainKit S0 discovery; S0 activities (PRD sign-off, 5-user prototype test, wireframe links, platform-terms verification) remain owed and are NOT marked done</t>
  </si>
  <si>
    <t xml:space="preserve">Per Senthil instructions; v005 ReadMe requires terms verification during S0.</t>
  </si>
  <si>
    <t xml:space="preserve">A-K2</t>
  </si>
  <si>
    <t xml:space="preserve">23:03</t>
  </si>
  <si>
    <t xml:space="preserve">D15 mode (parallel vs re-rank) pending while multiple product builds hold code-complete state</t>
  </si>
  <si>
    <t xml:space="preserve">Senthil to ratify; completion gates unaffected.</t>
  </si>
  <si>
    <t xml:space="preserve">R-K7</t>
  </si>
  <si>
    <t xml:space="preserve">13 Sep</t>
  </si>
  <si>
    <t xml:space="preserve">Protected customer data approval (Level 1 + Level 2) is required before the app can read customer email or name on any non-development store, and it gates the listing.</t>
  </si>
  <si>
    <t xml:space="preserve">Partner Dashboard &gt; API access requests. Has its own questionnaire and review. Lead-time item — start now, not at submission. Code already tolerates the pre-approval null state (VER-RK03).</t>
  </si>
  <si>
    <t xml:space="preserve">R-K8</t>
  </si>
  <si>
    <t xml:space="preserve">The three mandatory compliance webhooks existed as a gate row (LC-4, "In progress") for three days while no handler existed.</t>
  </si>
  <si>
    <t xml:space="preserve">Closed in code</t>
  </si>
  <si>
    <t xml:space="preserve">Handlers built and pinned by a manifest drift gate. The lesson generalises: a gate row is a claim, and a claim is not a shipped feature.</t>
  </si>
  <si>
    <t xml:space="preserve">R-K9</t>
  </si>
  <si>
    <t xml:space="preserve">Four existing tests asserted buggy behaviour and had to be changed during the review.</t>
  </si>
  <si>
    <t xml:space="preserve">A test that passes can defend a defect. When a fix breaks a test, read the test before fixing the code. Matches VoiceBridge L-V2 and OnCall L-OC2.</t>
  </si>
  <si>
    <t xml:space="preserve">L-RK1</t>
  </si>
  <si>
    <t xml:space="preserve">Lesson</t>
  </si>
  <si>
    <t xml:space="preserve">100% coverage across 23 modules for three days, and the product had no mandatory compliance webhooks, no API version pin, and importers that reset every unsubscribe.</t>
  </si>
  <si>
    <t xml:space="preserve">Logged</t>
  </si>
  <si>
    <t xml:space="preserve">Coverage proves execution, not correctness, and certainly not completeness. Confirms portfolio F-V14 / L-E1 / L-OC3.</t>
  </si>
  <si>
    <t xml:space="preserve">L-RK2</t>
  </si>
  <si>
    <t xml:space="preserve">Three separate "you should not be able to do this" states (trial expired, dunning read-only, cancelled) were each computed correctly and consulted by nothing.</t>
  </si>
  <si>
    <t xml:space="preserve">When a status field exists, grep for its readers. A state with no reader is decoration. Recurs across TeleField, VoiceBridge, EngageOS, MeetSync and now RetainKit — worth a portfolio-level check.</t>
  </si>
  <si>
    <t xml:space="preserve">R-K10</t>
  </si>
  <si>
    <t xml:space="preserve">Postgres adapters behind the store interfaces are still unbuilt, so every cap, purge and entitlement decision is process-local.</t>
  </si>
  <si>
    <t xml:space="preserve">Schema now exists (migrations/). This is the largest remaining artifact-vs-code divergence and it blocks any multi-process deploy. Matches MeetSync OBS-M3.</t>
  </si>
  <si>
    <t xml:space="preserve">L-RK3</t>
  </si>
  <si>
    <t xml:space="preserve">A manifest written in the same session as the code can still describe routes that do not exist. shopify.app.toml was written at 10:23 declaring five endpoints; none existed until 10:34.</t>
  </si>
  <si>
    <t xml:space="preserve">Config is a claim. When you write config, write the drift gate in the same commit — the manifest test caught scopes and topics but had nothing to assert routes against until DECLARED_ROUTES existed.</t>
  </si>
  <si>
    <t xml:space="preserve">L-RK4</t>
  </si>
  <si>
    <t xml:space="preserve">Coverage over modules proves the modules work, not that a product exists. Confirms OnCall L-OC3 and EngageOS L-E2 for a third product.</t>
  </si>
  <si>
    <t xml:space="preserve">The artifact-gap audit should run once per product before the code phase is declared complete, not after.</t>
  </si>
  <si>
    <t xml:space="preserve">L-RK5</t>
  </si>
  <si>
    <t xml:space="preserve">Demo mode was built to refuse any shop outside the demo- namespace, rather than built and then fixed after it overwrote something.</t>
  </si>
  <si>
    <t xml:space="preserve">A sibling shipped demo mode that overwrote a live workspace’s tokens with the string "demo". Reading sibling defect logs BEFORE building the same feature is cheaper than rediscovering them.</t>
  </si>
  <si>
    <t xml:space="preserve">L-RK6</t>
  </si>
  <si>
    <t xml:space="preserve">The partner tracker was built with the gate arithmetic separated from the review count from the start, because a sibling shipped exit maths that compared reviews against 10 slots when the bar was 3.</t>
  </si>
  <si>
    <t xml:space="preserve">Two numbers that look similar and mean different things need naming apart in the code, not just in the spreadsheet.</t>
  </si>
  <si>
    <t xml:space="preserve">L-RK7</t>
  </si>
  <si>
    <t xml:space="preserve">An unreachable branch was the symptom, not the problem. The email-matching code could not be reached because no table had an email column — and that was a real defect in the schema, not dead code to delete.</t>
  </si>
  <si>
    <t xml:space="preserve">When the 100% gate exposes an unreachable branch, ask why it is unreachable before deleting it. Twice this session that question found a defect.</t>
  </si>
  <si>
    <t xml:space="preserve">R-K11</t>
  </si>
  <si>
    <t xml:space="preserve">The Postgres adapters have never run against a live server. ON CONFLICT targets, the interval cast in PgStateStore and BYTEA round-tripping are unverified.</t>
  </si>
  <si>
    <t xml:space="preserve">First run against a real database is the real test. PG_ADAPTER_VERIFICATION_STATUS records this in the code so a future reader cannot mistake a green suite for a working integration.</t>
  </si>
  <si>
    <t xml:space="preserve">L-RK8</t>
  </si>
  <si>
    <t xml:space="preserve">I declared the sandbox runway closed at 11:04 and was wrong within five minutes: automatic persistence selection, a scripted sweep and a reviewer pack were all buildable.</t>
  </si>
  <si>
    <t xml:space="preserve">"Nothing left to build" usually means "nothing left of the thing I was thinking about". Before declaring a runway closed, look at the handover list and ask which items could be made smaller rather than which features are missing. MeetSync made the same wrong declaration on 11 Sep and corrected it the same way.</t>
  </si>
  <si>
    <t xml:space="preserve">COMPLETION GATE — RetainKit is DONE only when every row is Done</t>
  </si>
  <si>
    <t xml:space="preserve">Code complete counts for nothing at this gate (DR-2). Gate decision = Senthil. LC items = product workbook Launch_Checklist.</t>
  </si>
  <si>
    <t xml:space="preserve">Gate item</t>
  </si>
  <si>
    <t xml:space="preserve">Source</t>
  </si>
  <si>
    <t xml:space="preserve">G-01</t>
  </si>
  <si>
    <t xml:space="preserve">App LISTED on Shopify App Store (approved + published)</t>
  </si>
  <si>
    <t xml:space="preserve">Portfolio gate</t>
  </si>
  <si>
    <t xml:space="preserve">G-02</t>
  </si>
  <si>
    <t xml:space="preserve">10 PAYING installs from strangers</t>
  </si>
  <si>
    <t xml:space="preserve">G-03</t>
  </si>
  <si>
    <t xml:space="preserve">S12 kill criteria evaluated with evidence pack</t>
  </si>
  <si>
    <t xml:space="preserve">G-04</t>
  </si>
  <si>
    <t xml:space="preserve">Kill/continue decision recorded by Senthil</t>
  </si>
  <si>
    <t xml:space="preserve">G-05</t>
  </si>
  <si>
    <t xml:space="preserve">On CONTINUE: next-rank build authorised; RetainKit enters ops floor</t>
  </si>
  <si>
    <t xml:space="preserve">LC-1</t>
  </si>
  <si>
    <t xml:space="preserve">Shopify Partners account + production app created</t>
  </si>
  <si>
    <t xml:space="preserve">v010 LC #1</t>
  </si>
  <si>
    <t xml:space="preserve">Open — Senthil. The app side is now ready: SETUP.md is executable end to end (npm ci -&gt; build -&gt; migrate -&gt; start -&gt; install -&gt; sweep).</t>
  </si>
  <si>
    <t xml:space="preserve">LC-2</t>
  </si>
  <si>
    <t xml:space="preserve">App listing draft (name, 100-char intro, benefits, 3+ screenshots 1600x900, demo video)</t>
  </si>
  <si>
    <t xml:space="preserve">v010 LC #2</t>
  </si>
  <si>
    <t xml:space="preserve">Open — S9/EL scope</t>
  </si>
  <si>
    <t xml:space="preserve">LC-3</t>
  </si>
  <si>
    <t xml:space="preserve">GraphQL-only compliance verified (no deprecated REST calls)</t>
  </si>
  <si>
    <t xml:space="preserve">v010 LC #3</t>
  </si>
  <si>
    <t xml:space="preserve">Done-in-code 13 Sep — graphqlEndpoint() emits versioned GraphQL Admin URLs only; no REST path exists. Verify again at live adapter build.</t>
  </si>
  <si>
    <t xml:space="preserve">Mandatory GDPR webhooks (customers/redact, shop/redact, customers/data_request) tested</t>
  </si>
  <si>
    <t xml:space="preserve">v010 LC #4</t>
  </si>
  <si>
    <t xml:space="preserve">Done-in-code 13 Sep — all three compliance webhooks implemented (src/compliance.ts), declared in shopify.app.toml, manifest drift gate pins them. Live delivery of a data_request bundle needs the channel decision (OBS-RK3).</t>
  </si>
  <si>
    <t xml:space="preserve">LC-5</t>
  </si>
  <si>
    <t xml:space="preserve">Protected customer data access justification submitted</t>
  </si>
  <si>
    <t xml:space="preserve">v010 LC #5</t>
  </si>
  <si>
    <t xml:space="preserve">In progress — least-privilege scopes doc (SCOPES.md) + CI validator done-in-code (ST-064); Partner-dashboard justification submission owed</t>
  </si>
  <si>
    <t xml:space="preserve">LC-6</t>
  </si>
  <si>
    <t xml:space="preserve">Billing API plans + test charges validated</t>
  </si>
  <si>
    <t xml:space="preserve">v010 LC #6</t>
  </si>
  <si>
    <t xml:space="preserve">Done-in-code — src/billing.ts Shopify Billing pending-confirmation lifecycle + plans + proration (ST-057..059); live test charge at S6-L1</t>
  </si>
  <si>
    <t xml:space="preserve">LC-7</t>
  </si>
  <si>
    <t xml:space="preserve">App Bridge session token auth passes review checklist</t>
  </si>
  <si>
    <t xml:space="preserve">v010 LC #7</t>
  </si>
  <si>
    <t xml:space="preserve">Adapters built 13 Sep and checked against the schema by a drift gate; NOT yet run against a live Postgres (R-K11). Default wiring remains in-memory.</t>
  </si>
  <si>
    <t xml:space="preserve">LC-8</t>
  </si>
  <si>
    <t xml:space="preserve">Performance: admin surface p75 LCP under Shopify guidance</t>
  </si>
  <si>
    <t xml:space="preserve">v010 LC #8</t>
  </si>
  <si>
    <t xml:space="preserve">In progress — p95 budgets + monitor and 5x load test done-in-code (ST-087/088); p75 LCP measurement needs live embedded UI</t>
  </si>
  <si>
    <t xml:space="preserve">LC-9</t>
  </si>
  <si>
    <t xml:space="preserve">Support email + privacy policy + data-processing terms live</t>
  </si>
  <si>
    <t xml:space="preserve">v010 LC #9</t>
  </si>
  <si>
    <t xml:space="preserve">Open — S10 scope (ST-096)</t>
  </si>
  <si>
    <t xml:space="preserve">LC-10</t>
  </si>
  <si>
    <t xml:space="preserve">Built-for-Shopify criteria gap review (target within 2 quarters)</t>
  </si>
  <si>
    <t xml:space="preserve">v010 LC #10</t>
  </si>
  <si>
    <t xml:space="preserve">Protected customer data access approved (Level 1 + Level 2) in the Partner Dashboard</t>
  </si>
  <si>
    <t xml:space="preserve">VER-RK03 / R-K7</t>
  </si>
  <si>
    <t xml:space="preserve">Open — Senthil. Lead-time item; gates the listing and all non-dev-store customer reads.</t>
  </si>
  <si>
    <t xml:space="preserve">Screen-reader + colour-contrast accessibility pass on the live embedded surface</t>
  </si>
  <si>
    <t xml:space="preserve">ST-089 manual half</t>
  </si>
  <si>
    <t xml:space="preserve">Open — Senthil</t>
  </si>
  <si>
    <t xml:space="preserve">Postgres adapters built behind the store interfaces (schema exists in migrations/)</t>
  </si>
  <si>
    <t xml:space="preserve">GAP-RK2 / R-K10</t>
  </si>
  <si>
    <t xml:space="preserve">Run npm run sweep against the live dev store and archive the output</t>
  </si>
  <si>
    <t xml:space="preserve">v019 sweep</t>
  </si>
  <si>
    <t xml:space="preserve">Open — Senthil; the automated half is scripted, 5 steps remain yours</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</si>
</sst>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i val="true"/>
      <sz val="9"/>
      <name val="Arial"/>
      <family val="0"/>
      <charset val="1"/>
    </font>
    <font>
      <sz val="10"/>
      <name val="Arial"/>
      <family val="0"/>
      <charset val="1"/>
    </font>
    <font>
      <b val="true"/>
      <sz val="10"/>
      <color rgb="FFFFFFFF"/>
      <name val="Arial"/>
      <family val="0"/>
      <charset val="1"/>
    </font>
    <font>
      <b val="true"/>
      <sz val="12"/>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2CC"/>
        <bgColor rgb="FFFFFFFF"/>
      </patternFill>
    </fill>
    <fill>
      <patternFill patternType="solid">
        <fgColor rgb="FFDDEBF7"/>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20"/>
    <col collapsed="false" customWidth="true" hidden="false" outlineLevel="0" max="4" min="4" style="1" width="95"/>
    <col collapsed="false" customWidth="true" hidden="false" outlineLevel="0" max="5" min="5" style="1" width="10"/>
  </cols>
  <sheetData>
    <row r="1" customFormat="false" ht="15" hidden="false" customHeight="true" outlineLevel="0" collapsed="false">
      <c r="A1" s="2" t="s">
        <v>0</v>
      </c>
      <c r="B1" s="3"/>
      <c r="C1" s="3"/>
      <c r="D1" s="3"/>
      <c r="E1" s="3"/>
    </row>
    <row r="2" customFormat="false" ht="21.75" hidden="false" customHeight="true" outlineLevel="0" collapsed="false">
      <c r="A2" s="4" t="s">
        <v>1</v>
      </c>
      <c r="B2" s="4"/>
      <c r="C2" s="4"/>
      <c r="D2" s="4"/>
      <c r="E2" s="4"/>
    </row>
    <row r="3" customFormat="false" ht="15" hidden="false" customHeight="true" outlineLevel="0" collapsed="false">
      <c r="A3" s="5" t="s">
        <v>2</v>
      </c>
      <c r="B3" s="5" t="s">
        <v>3</v>
      </c>
      <c r="C3" s="5" t="s">
        <v>4</v>
      </c>
      <c r="D3" s="5" t="s">
        <v>5</v>
      </c>
      <c r="E3" s="5" t="s">
        <v>6</v>
      </c>
    </row>
    <row r="4" customFormat="false" ht="79.5" hidden="false" customHeight="true" outlineLevel="0" collapsed="false">
      <c r="A4" s="6" t="s">
        <v>7</v>
      </c>
      <c r="B4" s="6" t="s">
        <v>8</v>
      </c>
      <c r="C4" s="6" t="s">
        <v>9</v>
      </c>
      <c r="D4" s="6" t="s">
        <v>10</v>
      </c>
      <c r="E4" s="6" t="s">
        <v>11</v>
      </c>
    </row>
    <row r="5" customFormat="false" ht="23.25" hidden="false" customHeight="true" outlineLevel="0" collapsed="false">
      <c r="A5" s="6" t="s">
        <v>12</v>
      </c>
      <c r="B5" s="6" t="s">
        <v>13</v>
      </c>
      <c r="C5" s="6" t="s">
        <v>9</v>
      </c>
      <c r="D5" s="6" t="s">
        <v>14</v>
      </c>
      <c r="E5" s="6" t="s">
        <v>11</v>
      </c>
    </row>
    <row r="6" customFormat="false" ht="15" hidden="false" customHeight="true" outlineLevel="0" collapsed="false">
      <c r="A6" s="6" t="s">
        <v>15</v>
      </c>
      <c r="B6" s="6" t="s">
        <v>16</v>
      </c>
      <c r="C6" s="6" t="s">
        <v>9</v>
      </c>
      <c r="D6" s="6" t="s">
        <v>17</v>
      </c>
      <c r="E6" s="6" t="s">
        <v>11</v>
      </c>
    </row>
    <row r="7" customFormat="false" ht="15" hidden="false" customHeight="true" outlineLevel="0" collapsed="false">
      <c r="A7" s="6" t="s">
        <v>18</v>
      </c>
      <c r="B7" s="6" t="s">
        <v>19</v>
      </c>
      <c r="C7" s="6" t="s">
        <v>9</v>
      </c>
      <c r="D7" s="6" t="s">
        <v>20</v>
      </c>
      <c r="E7" s="6" t="s">
        <v>11</v>
      </c>
    </row>
    <row r="8" customFormat="false" ht="15" hidden="false" customHeight="true" outlineLevel="0" collapsed="false">
      <c r="A8" s="6" t="s">
        <v>21</v>
      </c>
      <c r="B8" s="6" t="s">
        <v>22</v>
      </c>
      <c r="C8" s="6" t="s">
        <v>9</v>
      </c>
      <c r="D8" s="6" t="s">
        <v>23</v>
      </c>
      <c r="E8" s="6" t="s">
        <v>11</v>
      </c>
    </row>
    <row r="9" customFormat="false" ht="15" hidden="false" customHeight="true" outlineLevel="0" collapsed="false">
      <c r="A9" s="7" t="s">
        <v>24</v>
      </c>
      <c r="B9" s="7" t="s">
        <v>25</v>
      </c>
      <c r="C9" s="7" t="s">
        <v>9</v>
      </c>
      <c r="D9" s="7" t="s">
        <v>26</v>
      </c>
      <c r="E9" s="7" t="s">
        <v>11</v>
      </c>
    </row>
    <row r="10" customFormat="false" ht="15" hidden="false" customHeight="true" outlineLevel="0" collapsed="false">
      <c r="A10" s="7" t="s">
        <v>27</v>
      </c>
      <c r="B10" s="7" t="s">
        <v>28</v>
      </c>
      <c r="C10" s="7" t="s">
        <v>9</v>
      </c>
      <c r="D10" s="7" t="s">
        <v>29</v>
      </c>
      <c r="E10" s="7" t="s">
        <v>11</v>
      </c>
    </row>
    <row r="11" customFormat="false" ht="15" hidden="false" customHeight="true" outlineLevel="0" collapsed="false">
      <c r="A11" s="7" t="s">
        <v>30</v>
      </c>
      <c r="B11" s="7" t="s">
        <v>31</v>
      </c>
      <c r="C11" s="7" t="s">
        <v>9</v>
      </c>
      <c r="D11" s="7" t="s">
        <v>32</v>
      </c>
      <c r="E11" s="7" t="s">
        <v>11</v>
      </c>
    </row>
    <row r="12" customFormat="false" ht="15" hidden="false" customHeight="true" outlineLevel="0" collapsed="false">
      <c r="A12" s="7" t="s">
        <v>33</v>
      </c>
      <c r="B12" s="7" t="s">
        <v>34</v>
      </c>
      <c r="C12" s="7" t="s">
        <v>9</v>
      </c>
      <c r="D12" s="7" t="s">
        <v>35</v>
      </c>
      <c r="E12" s="7" t="s">
        <v>11</v>
      </c>
    </row>
    <row r="13" customFormat="false" ht="15" hidden="false" customHeight="true" outlineLevel="0" collapsed="false">
      <c r="A13" s="7" t="s">
        <v>36</v>
      </c>
      <c r="B13" s="7" t="s">
        <v>37</v>
      </c>
      <c r="C13" s="7" t="s">
        <v>9</v>
      </c>
      <c r="D13" s="7" t="s">
        <v>38</v>
      </c>
      <c r="E13" s="7" t="s">
        <v>11</v>
      </c>
    </row>
    <row r="14" customFormat="false" ht="15" hidden="false" customHeight="false" outlineLevel="0" collapsed="false">
      <c r="A14" s="7" t="s">
        <v>39</v>
      </c>
      <c r="B14" s="7"/>
      <c r="C14" s="7"/>
      <c r="D14" s="7" t="s">
        <v>40</v>
      </c>
      <c r="E14" s="7" t="s">
        <v>41</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7"/>
    <col collapsed="false" customWidth="true" hidden="false" outlineLevel="0" max="3" min="3" style="1" width="7"/>
    <col collapsed="false" customWidth="true" hidden="false" outlineLevel="0" max="4" min="4" style="1" width="100"/>
    <col collapsed="false" customWidth="true" hidden="false" outlineLevel="0" max="5" min="5" style="1" width="22"/>
    <col collapsed="false" customWidth="true" hidden="false" outlineLevel="0" max="6" min="6" style="1" width="26"/>
    <col collapsed="false" customWidth="true" hidden="false" outlineLevel="0" max="7" min="7" style="1" width="30"/>
    <col collapsed="false" customWidth="true" hidden="false" outlineLevel="0" max="8" min="8" style="1" width="16"/>
  </cols>
  <sheetData>
    <row r="1" customFormat="false" ht="15" hidden="false" customHeight="true" outlineLevel="0" collapsed="false">
      <c r="A1" s="2" t="s">
        <v>42</v>
      </c>
      <c r="B1" s="3"/>
      <c r="C1" s="3"/>
      <c r="D1" s="3"/>
      <c r="E1" s="3"/>
      <c r="F1" s="3"/>
      <c r="G1" s="3"/>
      <c r="H1" s="3"/>
    </row>
    <row r="2" customFormat="false" ht="15" hidden="false" customHeight="true" outlineLevel="0" collapsed="false">
      <c r="A2" s="8" t="s">
        <v>43</v>
      </c>
      <c r="B2" s="8" t="s">
        <v>3</v>
      </c>
      <c r="C2" s="8" t="s">
        <v>44</v>
      </c>
      <c r="D2" s="8" t="s">
        <v>45</v>
      </c>
      <c r="E2" s="8" t="s">
        <v>46</v>
      </c>
      <c r="F2" s="8" t="s">
        <v>47</v>
      </c>
      <c r="G2" s="8" t="s">
        <v>48</v>
      </c>
      <c r="H2" s="8" t="s">
        <v>49</v>
      </c>
    </row>
    <row r="3" customFormat="false" ht="45.75" hidden="false" customHeight="true" outlineLevel="0" collapsed="false">
      <c r="A3" s="6" t="s">
        <v>50</v>
      </c>
      <c r="B3" s="6" t="s">
        <v>51</v>
      </c>
      <c r="C3" s="6" t="s">
        <v>52</v>
      </c>
      <c r="D3" s="6" t="s">
        <v>53</v>
      </c>
      <c r="E3" s="6" t="s">
        <v>54</v>
      </c>
      <c r="F3" s="6" t="s">
        <v>55</v>
      </c>
      <c r="G3" s="6" t="s">
        <v>52</v>
      </c>
      <c r="H3" s="6" t="s">
        <v>56</v>
      </c>
    </row>
    <row r="4" customFormat="false" ht="57" hidden="false" customHeight="true" outlineLevel="0" collapsed="false">
      <c r="A4" s="6" t="s">
        <v>57</v>
      </c>
      <c r="B4" s="6" t="s">
        <v>51</v>
      </c>
      <c r="C4" s="6" t="s">
        <v>58</v>
      </c>
      <c r="D4" s="6" t="s">
        <v>59</v>
      </c>
      <c r="E4" s="6" t="s">
        <v>60</v>
      </c>
      <c r="F4" s="6" t="s">
        <v>61</v>
      </c>
      <c r="G4" s="6" t="s">
        <v>62</v>
      </c>
      <c r="H4" s="6" t="s">
        <v>63</v>
      </c>
    </row>
    <row r="5" customFormat="false" ht="68.25" hidden="false" customHeight="true" outlineLevel="0" collapsed="false">
      <c r="A5" s="6" t="s">
        <v>63</v>
      </c>
      <c r="B5" s="6" t="s">
        <v>64</v>
      </c>
      <c r="C5" s="6" t="s">
        <v>65</v>
      </c>
      <c r="D5" s="6" t="s">
        <v>66</v>
      </c>
      <c r="E5" s="6" t="s">
        <v>67</v>
      </c>
      <c r="F5" s="6" t="s">
        <v>68</v>
      </c>
      <c r="G5" s="6" t="s">
        <v>52</v>
      </c>
      <c r="H5" s="6" t="s">
        <v>69</v>
      </c>
    </row>
    <row r="6" customFormat="false" ht="79.5" hidden="false" customHeight="true" outlineLevel="0" collapsed="false">
      <c r="A6" s="6" t="s">
        <v>69</v>
      </c>
      <c r="B6" s="6" t="s">
        <v>70</v>
      </c>
      <c r="C6" s="6" t="s">
        <v>71</v>
      </c>
      <c r="D6" s="6" t="s">
        <v>72</v>
      </c>
      <c r="E6" s="6" t="s">
        <v>73</v>
      </c>
      <c r="F6" s="6" t="s">
        <v>74</v>
      </c>
      <c r="G6" s="6" t="s">
        <v>52</v>
      </c>
      <c r="H6" s="6" t="s">
        <v>75</v>
      </c>
    </row>
    <row r="7" customFormat="false" ht="79.5" hidden="false" customHeight="true" outlineLevel="0" collapsed="false">
      <c r="A7" s="6" t="s">
        <v>75</v>
      </c>
      <c r="B7" s="6" t="s">
        <v>76</v>
      </c>
      <c r="C7" s="6" t="s">
        <v>77</v>
      </c>
      <c r="D7" s="6" t="s">
        <v>78</v>
      </c>
      <c r="E7" s="6" t="s">
        <v>79</v>
      </c>
      <c r="F7" s="6" t="s">
        <v>80</v>
      </c>
      <c r="G7" s="6" t="s">
        <v>81</v>
      </c>
      <c r="H7" s="6" t="s">
        <v>82</v>
      </c>
    </row>
    <row r="8" customFormat="false" ht="79.5" hidden="false" customHeight="true" outlineLevel="0" collapsed="false">
      <c r="A8" s="6" t="s">
        <v>82</v>
      </c>
      <c r="B8" s="6" t="s">
        <v>83</v>
      </c>
      <c r="C8" s="6" t="s">
        <v>84</v>
      </c>
      <c r="D8" s="6" t="s">
        <v>85</v>
      </c>
      <c r="E8" s="6" t="s">
        <v>86</v>
      </c>
      <c r="F8" s="6" t="s">
        <v>87</v>
      </c>
      <c r="G8" s="6" t="s">
        <v>88</v>
      </c>
      <c r="H8" s="6" t="s">
        <v>89</v>
      </c>
    </row>
    <row r="9" customFormat="false" ht="45.75" hidden="false" customHeight="true" outlineLevel="0" collapsed="false">
      <c r="A9" s="6" t="s">
        <v>89</v>
      </c>
      <c r="B9" s="6" t="s">
        <v>8</v>
      </c>
      <c r="C9" s="6" t="s">
        <v>52</v>
      </c>
      <c r="D9" s="6" t="s">
        <v>90</v>
      </c>
      <c r="E9" s="6" t="s">
        <v>91</v>
      </c>
      <c r="F9" s="6" t="s">
        <v>92</v>
      </c>
      <c r="G9" s="6" t="s">
        <v>52</v>
      </c>
      <c r="H9" s="6" t="s">
        <v>93</v>
      </c>
    </row>
    <row r="10" customFormat="false" ht="124.5" hidden="false" customHeight="true" outlineLevel="0" collapsed="false">
      <c r="A10" s="6" t="s">
        <v>94</v>
      </c>
      <c r="B10" s="6" t="s">
        <v>13</v>
      </c>
      <c r="C10" s="6" t="s">
        <v>95</v>
      </c>
      <c r="D10" s="6" t="s">
        <v>96</v>
      </c>
      <c r="E10" s="6" t="s">
        <v>97</v>
      </c>
      <c r="F10" s="6" t="s">
        <v>98</v>
      </c>
      <c r="G10" s="6" t="s">
        <v>99</v>
      </c>
      <c r="H10" s="6" t="s">
        <v>100</v>
      </c>
    </row>
    <row r="11" customFormat="false" ht="90.75" hidden="false" customHeight="true" outlineLevel="0" collapsed="false">
      <c r="A11" s="6" t="s">
        <v>101</v>
      </c>
      <c r="B11" s="6" t="s">
        <v>16</v>
      </c>
      <c r="C11" s="6" t="s">
        <v>102</v>
      </c>
      <c r="D11" s="6" t="s">
        <v>103</v>
      </c>
      <c r="E11" s="6" t="s">
        <v>104</v>
      </c>
      <c r="F11" s="6" t="s">
        <v>105</v>
      </c>
      <c r="G11" s="6" t="s">
        <v>106</v>
      </c>
      <c r="H11" s="6" t="s">
        <v>107</v>
      </c>
    </row>
    <row r="12" customFormat="false" ht="90.75" hidden="false" customHeight="true" outlineLevel="0" collapsed="false">
      <c r="A12" s="6" t="s">
        <v>108</v>
      </c>
      <c r="B12" s="6" t="s">
        <v>19</v>
      </c>
      <c r="C12" s="6" t="s">
        <v>109</v>
      </c>
      <c r="D12" s="6" t="s">
        <v>110</v>
      </c>
      <c r="E12" s="6" t="s">
        <v>111</v>
      </c>
      <c r="F12" s="6" t="s">
        <v>112</v>
      </c>
      <c r="G12" s="6" t="s">
        <v>113</v>
      </c>
      <c r="H12" s="6" t="s">
        <v>114</v>
      </c>
    </row>
    <row r="13" customFormat="false" ht="34.5" hidden="false" customHeight="true" outlineLevel="0" collapsed="false">
      <c r="A13" s="7" t="s">
        <v>115</v>
      </c>
      <c r="B13" s="7" t="s">
        <v>116</v>
      </c>
      <c r="C13" s="7" t="s">
        <v>117</v>
      </c>
      <c r="D13" s="7" t="s">
        <v>118</v>
      </c>
      <c r="E13" s="7" t="s">
        <v>119</v>
      </c>
      <c r="F13" s="7" t="s">
        <v>120</v>
      </c>
      <c r="G13" s="7" t="s">
        <v>52</v>
      </c>
      <c r="H13" s="7" t="s">
        <v>121</v>
      </c>
    </row>
    <row r="14" customFormat="false" ht="68.25" hidden="false" customHeight="true" outlineLevel="0" collapsed="false">
      <c r="A14" s="7" t="s">
        <v>121</v>
      </c>
      <c r="B14" s="7" t="s">
        <v>122</v>
      </c>
      <c r="C14" s="7" t="s">
        <v>117</v>
      </c>
      <c r="D14" s="7" t="s">
        <v>123</v>
      </c>
      <c r="E14" s="7" t="s">
        <v>124</v>
      </c>
      <c r="F14" s="7" t="s">
        <v>125</v>
      </c>
      <c r="G14" s="7" t="s">
        <v>126</v>
      </c>
      <c r="H14" s="7" t="s">
        <v>127</v>
      </c>
    </row>
    <row r="15" customFormat="false" ht="90.75" hidden="false" customHeight="true" outlineLevel="0" collapsed="false">
      <c r="A15" s="7" t="s">
        <v>127</v>
      </c>
      <c r="B15" s="7" t="s">
        <v>22</v>
      </c>
      <c r="C15" s="7" t="s">
        <v>117</v>
      </c>
      <c r="D15" s="7" t="s">
        <v>128</v>
      </c>
      <c r="E15" s="7" t="s">
        <v>129</v>
      </c>
      <c r="F15" s="7" t="s">
        <v>130</v>
      </c>
      <c r="G15" s="7" t="s">
        <v>131</v>
      </c>
      <c r="H15" s="7" t="s">
        <v>132</v>
      </c>
    </row>
    <row r="16" customFormat="false" ht="79.5" hidden="false" customHeight="true" outlineLevel="0" collapsed="false">
      <c r="A16" s="7" t="s">
        <v>133</v>
      </c>
      <c r="B16" s="7" t="s">
        <v>25</v>
      </c>
      <c r="C16" s="7" t="s">
        <v>134</v>
      </c>
      <c r="D16" s="7" t="s">
        <v>135</v>
      </c>
      <c r="E16" s="7" t="s">
        <v>136</v>
      </c>
      <c r="F16" s="7" t="s">
        <v>137</v>
      </c>
      <c r="G16" s="7" t="s">
        <v>138</v>
      </c>
      <c r="H16" s="7" t="s">
        <v>139</v>
      </c>
    </row>
    <row r="17" customFormat="false" ht="57" hidden="false" customHeight="true" outlineLevel="0" collapsed="false">
      <c r="A17" s="7" t="s">
        <v>140</v>
      </c>
      <c r="B17" s="7" t="s">
        <v>28</v>
      </c>
      <c r="C17" s="7" t="s">
        <v>141</v>
      </c>
      <c r="D17" s="7" t="s">
        <v>142</v>
      </c>
      <c r="E17" s="7" t="s">
        <v>143</v>
      </c>
      <c r="F17" s="7" t="s">
        <v>144</v>
      </c>
      <c r="G17" s="7" t="s">
        <v>145</v>
      </c>
      <c r="H17" s="7" t="s">
        <v>146</v>
      </c>
    </row>
    <row r="18" customFormat="false" ht="57" hidden="false" customHeight="true" outlineLevel="0" collapsed="false">
      <c r="A18" s="7" t="s">
        <v>147</v>
      </c>
      <c r="B18" s="7" t="s">
        <v>31</v>
      </c>
      <c r="C18" s="7" t="s">
        <v>148</v>
      </c>
      <c r="D18" s="7" t="s">
        <v>149</v>
      </c>
      <c r="E18" s="7" t="s">
        <v>150</v>
      </c>
      <c r="F18" s="7" t="s">
        <v>151</v>
      </c>
      <c r="G18" s="7" t="s">
        <v>152</v>
      </c>
      <c r="H18" s="7" t="s">
        <v>153</v>
      </c>
    </row>
    <row r="19" customFormat="false" ht="57" hidden="false" customHeight="true" outlineLevel="0" collapsed="false">
      <c r="A19" s="7" t="s">
        <v>154</v>
      </c>
      <c r="B19" s="7" t="s">
        <v>34</v>
      </c>
      <c r="C19" s="7" t="s">
        <v>155</v>
      </c>
      <c r="D19" s="7" t="s">
        <v>156</v>
      </c>
      <c r="E19" s="7" t="s">
        <v>157</v>
      </c>
      <c r="F19" s="7" t="s">
        <v>158</v>
      </c>
      <c r="G19" s="7" t="s">
        <v>159</v>
      </c>
      <c r="H19" s="7" t="s">
        <v>160</v>
      </c>
    </row>
    <row r="20" customFormat="false" ht="46.25" hidden="false" customHeight="false" outlineLevel="0" collapsed="false">
      <c r="A20" s="7" t="s">
        <v>161</v>
      </c>
      <c r="B20" s="7" t="s">
        <v>37</v>
      </c>
      <c r="C20" s="7" t="s">
        <v>155</v>
      </c>
      <c r="D20" s="7" t="s">
        <v>162</v>
      </c>
      <c r="E20" s="7" t="s">
        <v>163</v>
      </c>
      <c r="F20" s="7" t="s">
        <v>164</v>
      </c>
      <c r="G20" s="7" t="s">
        <v>165</v>
      </c>
      <c r="H20" s="7"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0"/>
    <col collapsed="false" customWidth="true" hidden="false" outlineLevel="0" max="3" min="3" style="1" width="45"/>
    <col collapsed="false" customWidth="true" hidden="false" outlineLevel="0" max="4" min="4" style="1" width="24"/>
    <col collapsed="false" customWidth="true" hidden="false" outlineLevel="0" max="5" min="5" style="1" width="12"/>
  </cols>
  <sheetData>
    <row r="1" customFormat="false" ht="15" hidden="false" customHeight="true" outlineLevel="0" collapsed="false">
      <c r="A1" s="2" t="s">
        <v>167</v>
      </c>
      <c r="B1" s="3"/>
      <c r="C1" s="3"/>
      <c r="D1" s="3"/>
      <c r="E1" s="3"/>
    </row>
    <row r="2" customFormat="false" ht="15" hidden="false" customHeight="true" outlineLevel="0" collapsed="false">
      <c r="A2" s="8" t="s">
        <v>43</v>
      </c>
      <c r="B2" s="8" t="s">
        <v>168</v>
      </c>
      <c r="C2" s="8" t="s">
        <v>169</v>
      </c>
      <c r="D2" s="8" t="s">
        <v>170</v>
      </c>
      <c r="E2" s="8" t="s">
        <v>6</v>
      </c>
    </row>
    <row r="3" customFormat="false" ht="34.5" hidden="false" customHeight="true" outlineLevel="0" collapsed="false">
      <c r="A3" s="6" t="s">
        <v>171</v>
      </c>
      <c r="B3" s="6" t="s">
        <v>172</v>
      </c>
      <c r="C3" s="6" t="s">
        <v>173</v>
      </c>
      <c r="D3" s="6" t="s">
        <v>174</v>
      </c>
      <c r="E3" s="6" t="s">
        <v>175</v>
      </c>
    </row>
    <row r="4" customFormat="false" ht="34.5" hidden="false" customHeight="true" outlineLevel="0" collapsed="false">
      <c r="A4" s="6" t="s">
        <v>176</v>
      </c>
      <c r="B4" s="6" t="s">
        <v>177</v>
      </c>
      <c r="C4" s="6" t="s">
        <v>178</v>
      </c>
      <c r="D4" s="6" t="s">
        <v>179</v>
      </c>
      <c r="E4" s="6" t="s">
        <v>180</v>
      </c>
    </row>
    <row r="5" customFormat="false" ht="45.75" hidden="false" customHeight="true" outlineLevel="0" collapsed="false">
      <c r="A5" s="6" t="s">
        <v>181</v>
      </c>
      <c r="B5" s="6" t="s">
        <v>182</v>
      </c>
      <c r="C5" s="6" t="s">
        <v>183</v>
      </c>
      <c r="D5" s="6" t="s">
        <v>184</v>
      </c>
      <c r="E5" s="6" t="s">
        <v>180</v>
      </c>
    </row>
    <row r="6" customFormat="false" ht="34.5" hidden="false" customHeight="true" outlineLevel="0" collapsed="false">
      <c r="A6" s="6" t="s">
        <v>185</v>
      </c>
      <c r="B6" s="6" t="s">
        <v>186</v>
      </c>
      <c r="C6" s="6" t="s">
        <v>187</v>
      </c>
      <c r="D6" s="6" t="s">
        <v>188</v>
      </c>
      <c r="E6" s="6" t="s">
        <v>189</v>
      </c>
    </row>
    <row r="7" customFormat="false" ht="57" hidden="false" customHeight="true" outlineLevel="0" collapsed="false">
      <c r="A7" s="7" t="s">
        <v>190</v>
      </c>
      <c r="B7" s="7" t="s">
        <v>191</v>
      </c>
      <c r="C7" s="7" t="s">
        <v>192</v>
      </c>
      <c r="D7" s="7" t="s">
        <v>184</v>
      </c>
      <c r="E7" s="7" t="s">
        <v>180</v>
      </c>
    </row>
    <row r="8" customFormat="false" ht="45.75" hidden="false" customHeight="true" outlineLevel="0" collapsed="false">
      <c r="A8" s="7" t="s">
        <v>193</v>
      </c>
      <c r="B8" s="7" t="s">
        <v>194</v>
      </c>
      <c r="C8" s="7" t="s">
        <v>195</v>
      </c>
      <c r="D8" s="7" t="s">
        <v>184</v>
      </c>
      <c r="E8" s="7" t="s">
        <v>180</v>
      </c>
    </row>
    <row r="9" customFormat="false" ht="34.5" hidden="false" customHeight="true" outlineLevel="0" collapsed="false">
      <c r="A9" s="7" t="s">
        <v>196</v>
      </c>
      <c r="B9" s="7" t="s">
        <v>197</v>
      </c>
      <c r="C9" s="7" t="s">
        <v>198</v>
      </c>
      <c r="D9" s="7" t="s">
        <v>184</v>
      </c>
      <c r="E9" s="7" t="s">
        <v>180</v>
      </c>
    </row>
    <row r="10" customFormat="false" ht="45.75" hidden="false" customHeight="true" outlineLevel="0" collapsed="false">
      <c r="A10" s="7" t="s">
        <v>199</v>
      </c>
      <c r="B10" s="7" t="s">
        <v>200</v>
      </c>
      <c r="C10" s="7" t="s">
        <v>201</v>
      </c>
      <c r="D10" s="7" t="s">
        <v>202</v>
      </c>
      <c r="E10" s="7" t="s">
        <v>189</v>
      </c>
    </row>
    <row r="11" customFormat="false" ht="45.75" hidden="false" customHeight="true" outlineLevel="0" collapsed="false">
      <c r="A11" s="7" t="s">
        <v>203</v>
      </c>
      <c r="B11" s="7" t="s">
        <v>204</v>
      </c>
      <c r="C11" s="7" t="s">
        <v>205</v>
      </c>
      <c r="D11" s="7" t="s">
        <v>184</v>
      </c>
      <c r="E11" s="7"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206</v>
      </c>
      <c r="B1" s="3"/>
      <c r="C1" s="3"/>
      <c r="D1" s="3"/>
      <c r="E1" s="3"/>
      <c r="F1" s="3"/>
      <c r="G1" s="3"/>
    </row>
    <row r="2" customFormat="false" ht="15" hidden="false" customHeight="true" outlineLevel="0" collapsed="false">
      <c r="A2" s="4" t="s">
        <v>207</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213</v>
      </c>
      <c r="B4" s="6" t="s">
        <v>214</v>
      </c>
      <c r="C4" s="6" t="s">
        <v>215</v>
      </c>
      <c r="D4" s="6" t="n">
        <v>5</v>
      </c>
      <c r="E4" s="6" t="s">
        <v>216</v>
      </c>
      <c r="F4" s="9" t="s">
        <v>217</v>
      </c>
      <c r="G4" s="9" t="s">
        <v>218</v>
      </c>
    </row>
    <row r="5" customFormat="false" ht="23.25" hidden="false" customHeight="true" outlineLevel="0" collapsed="false">
      <c r="A5" s="6" t="s">
        <v>219</v>
      </c>
      <c r="B5" s="6" t="s">
        <v>220</v>
      </c>
      <c r="C5" s="6" t="s">
        <v>221</v>
      </c>
      <c r="D5" s="6" t="n">
        <v>3</v>
      </c>
      <c r="E5" s="6" t="s">
        <v>216</v>
      </c>
      <c r="F5" s="9" t="s">
        <v>217</v>
      </c>
      <c r="G5" s="9" t="s">
        <v>222</v>
      </c>
    </row>
    <row r="6" customFormat="false" ht="23.25" hidden="false" customHeight="true" outlineLevel="0" collapsed="false">
      <c r="A6" s="6" t="s">
        <v>223</v>
      </c>
      <c r="B6" s="6" t="s">
        <v>224</v>
      </c>
      <c r="C6" s="6" t="s">
        <v>225</v>
      </c>
      <c r="D6" s="6" t="n">
        <v>3</v>
      </c>
      <c r="E6" s="6" t="s">
        <v>216</v>
      </c>
      <c r="F6" s="9" t="s">
        <v>217</v>
      </c>
      <c r="G6" s="9" t="s">
        <v>226</v>
      </c>
    </row>
    <row r="7" customFormat="false" ht="23.25" hidden="false" customHeight="true" outlineLevel="0" collapsed="false">
      <c r="A7" s="6" t="s">
        <v>227</v>
      </c>
      <c r="B7" s="6" t="s">
        <v>228</v>
      </c>
      <c r="C7" s="6" t="s">
        <v>229</v>
      </c>
      <c r="D7" s="6" t="n">
        <v>2</v>
      </c>
      <c r="E7" s="6" t="s">
        <v>216</v>
      </c>
      <c r="F7" s="9" t="s">
        <v>217</v>
      </c>
      <c r="G7" s="9" t="s">
        <v>230</v>
      </c>
    </row>
    <row r="8" customFormat="false" ht="23.25" hidden="false" customHeight="true" outlineLevel="0" collapsed="false">
      <c r="A8" s="6" t="s">
        <v>231</v>
      </c>
      <c r="B8" s="6" t="s">
        <v>232</v>
      </c>
      <c r="C8" s="6" t="s">
        <v>233</v>
      </c>
      <c r="D8" s="6" t="n">
        <v>3</v>
      </c>
      <c r="E8" s="6" t="s">
        <v>234</v>
      </c>
      <c r="F8" s="9" t="s">
        <v>235</v>
      </c>
      <c r="G8" s="9" t="s">
        <v>236</v>
      </c>
    </row>
    <row r="9" customFormat="false" ht="15" hidden="false" customHeight="true" outlineLevel="0" collapsed="false">
      <c r="A9" s="6" t="s">
        <v>237</v>
      </c>
      <c r="B9" s="6" t="s">
        <v>238</v>
      </c>
      <c r="C9" s="6" t="s">
        <v>52</v>
      </c>
      <c r="D9" s="6" t="n">
        <v>2</v>
      </c>
      <c r="E9" s="6" t="s">
        <v>234</v>
      </c>
      <c r="F9" s="9" t="s">
        <v>235</v>
      </c>
      <c r="G9" s="9" t="s">
        <v>239</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240</v>
      </c>
      <c r="B1" s="3"/>
      <c r="C1" s="3"/>
      <c r="D1" s="3"/>
      <c r="E1" s="3"/>
      <c r="F1" s="3"/>
      <c r="G1" s="3"/>
    </row>
    <row r="2" customFormat="false" ht="15" hidden="false" customHeight="true" outlineLevel="0" collapsed="false">
      <c r="A2" s="4" t="s">
        <v>241</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242</v>
      </c>
      <c r="B4" s="6" t="s">
        <v>243</v>
      </c>
      <c r="C4" s="6" t="s">
        <v>244</v>
      </c>
      <c r="D4" s="6" t="n">
        <v>5</v>
      </c>
      <c r="E4" s="6" t="s">
        <v>216</v>
      </c>
      <c r="F4" s="9" t="s">
        <v>217</v>
      </c>
      <c r="G4" s="9" t="s">
        <v>245</v>
      </c>
    </row>
    <row r="5" customFormat="false" ht="23.25" hidden="false" customHeight="true" outlineLevel="0" collapsed="false">
      <c r="A5" s="6" t="s">
        <v>246</v>
      </c>
      <c r="B5" s="6" t="s">
        <v>247</v>
      </c>
      <c r="C5" s="6" t="s">
        <v>248</v>
      </c>
      <c r="D5" s="6" t="n">
        <v>8</v>
      </c>
      <c r="E5" s="6" t="s">
        <v>216</v>
      </c>
      <c r="F5" s="9" t="s">
        <v>217</v>
      </c>
      <c r="G5" s="9" t="s">
        <v>249</v>
      </c>
    </row>
    <row r="6" customFormat="false" ht="23.25" hidden="false" customHeight="true" outlineLevel="0" collapsed="false">
      <c r="A6" s="6" t="s">
        <v>250</v>
      </c>
      <c r="B6" s="6" t="s">
        <v>251</v>
      </c>
      <c r="C6" s="6" t="s">
        <v>252</v>
      </c>
      <c r="D6" s="6" t="n">
        <v>5</v>
      </c>
      <c r="E6" s="6" t="s">
        <v>216</v>
      </c>
      <c r="F6" s="9" t="s">
        <v>217</v>
      </c>
      <c r="G6" s="9" t="s">
        <v>253</v>
      </c>
    </row>
    <row r="7" customFormat="false" ht="23.25" hidden="false" customHeight="true" outlineLevel="0" collapsed="false">
      <c r="A7" s="6" t="s">
        <v>254</v>
      </c>
      <c r="B7" s="6" t="s">
        <v>255</v>
      </c>
      <c r="C7" s="6" t="s">
        <v>256</v>
      </c>
      <c r="D7" s="6" t="n">
        <v>3</v>
      </c>
      <c r="E7" s="6" t="s">
        <v>216</v>
      </c>
      <c r="F7" s="9" t="s">
        <v>217</v>
      </c>
      <c r="G7" s="9" t="s">
        <v>257</v>
      </c>
    </row>
    <row r="8" customFormat="false" ht="23.25" hidden="false" customHeight="true" outlineLevel="0" collapsed="false">
      <c r="A8" s="6" t="s">
        <v>258</v>
      </c>
      <c r="B8" s="6" t="s">
        <v>259</v>
      </c>
      <c r="C8" s="6" t="s">
        <v>260</v>
      </c>
      <c r="D8" s="6" t="n">
        <v>3</v>
      </c>
      <c r="E8" s="6" t="s">
        <v>216</v>
      </c>
      <c r="F8" s="9" t="s">
        <v>217</v>
      </c>
      <c r="G8" s="9" t="s">
        <v>261</v>
      </c>
    </row>
    <row r="9" customFormat="false" ht="23.25" hidden="false" customHeight="true" outlineLevel="0" collapsed="false">
      <c r="A9" s="6" t="s">
        <v>262</v>
      </c>
      <c r="B9" s="6" t="s">
        <v>263</v>
      </c>
      <c r="C9" s="6" t="s">
        <v>264</v>
      </c>
      <c r="D9" s="6" t="n">
        <v>5</v>
      </c>
      <c r="E9" s="6" t="s">
        <v>216</v>
      </c>
      <c r="F9" s="9" t="s">
        <v>217</v>
      </c>
      <c r="G9" s="9" t="s">
        <v>265</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266</v>
      </c>
      <c r="B1" s="3"/>
      <c r="C1" s="3"/>
      <c r="D1" s="3"/>
      <c r="E1" s="3"/>
      <c r="F1" s="3"/>
      <c r="G1" s="3"/>
    </row>
    <row r="2" customFormat="false" ht="15" hidden="false" customHeight="true" outlineLevel="0" collapsed="false">
      <c r="A2" s="4" t="s">
        <v>267</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268</v>
      </c>
      <c r="B4" s="6" t="s">
        <v>269</v>
      </c>
      <c r="C4" s="6" t="s">
        <v>270</v>
      </c>
      <c r="D4" s="6" t="n">
        <v>5</v>
      </c>
      <c r="E4" s="6" t="s">
        <v>216</v>
      </c>
      <c r="F4" s="9" t="s">
        <v>217</v>
      </c>
      <c r="G4" s="9" t="s">
        <v>271</v>
      </c>
    </row>
    <row r="5" customFormat="false" ht="23.25" hidden="false" customHeight="true" outlineLevel="0" collapsed="false">
      <c r="A5" s="6" t="s">
        <v>272</v>
      </c>
      <c r="B5" s="6" t="s">
        <v>273</v>
      </c>
      <c r="C5" s="6" t="s">
        <v>274</v>
      </c>
      <c r="D5" s="6" t="n">
        <v>3</v>
      </c>
      <c r="E5" s="6" t="s">
        <v>216</v>
      </c>
      <c r="F5" s="9" t="s">
        <v>217</v>
      </c>
      <c r="G5" s="9" t="s">
        <v>275</v>
      </c>
    </row>
    <row r="6" customFormat="false" ht="23.25" hidden="false" customHeight="true" outlineLevel="0" collapsed="false">
      <c r="A6" s="6" t="s">
        <v>276</v>
      </c>
      <c r="B6" s="6" t="s">
        <v>277</v>
      </c>
      <c r="C6" s="6" t="s">
        <v>278</v>
      </c>
      <c r="D6" s="6" t="n">
        <v>3</v>
      </c>
      <c r="E6" s="6" t="s">
        <v>216</v>
      </c>
      <c r="F6" s="9" t="s">
        <v>217</v>
      </c>
      <c r="G6" s="9" t="s">
        <v>279</v>
      </c>
    </row>
    <row r="7" customFormat="false" ht="23.25" hidden="false" customHeight="true" outlineLevel="0" collapsed="false">
      <c r="A7" s="6" t="s">
        <v>280</v>
      </c>
      <c r="B7" s="6" t="s">
        <v>281</v>
      </c>
      <c r="C7" s="6" t="s">
        <v>282</v>
      </c>
      <c r="D7" s="6" t="n">
        <v>2</v>
      </c>
      <c r="E7" s="6" t="s">
        <v>216</v>
      </c>
      <c r="F7" s="9" t="s">
        <v>217</v>
      </c>
      <c r="G7" s="9" t="s">
        <v>283</v>
      </c>
    </row>
    <row r="8" customFormat="false" ht="23.25" hidden="false" customHeight="true" outlineLevel="0" collapsed="false">
      <c r="A8" s="6" t="s">
        <v>284</v>
      </c>
      <c r="B8" s="6" t="s">
        <v>285</v>
      </c>
      <c r="C8" s="6" t="s">
        <v>286</v>
      </c>
      <c r="D8" s="6" t="n">
        <v>5</v>
      </c>
      <c r="E8" s="6" t="s">
        <v>216</v>
      </c>
      <c r="F8" s="9" t="s">
        <v>217</v>
      </c>
      <c r="G8" s="9" t="s">
        <v>287</v>
      </c>
    </row>
    <row r="9" customFormat="false" ht="23.25" hidden="false" customHeight="true" outlineLevel="0" collapsed="false">
      <c r="A9" s="6" t="s">
        <v>288</v>
      </c>
      <c r="B9" s="6" t="s">
        <v>289</v>
      </c>
      <c r="C9" s="6" t="s">
        <v>290</v>
      </c>
      <c r="D9" s="6" t="n">
        <v>3</v>
      </c>
      <c r="E9" s="6" t="s">
        <v>216</v>
      </c>
      <c r="F9" s="9" t="s">
        <v>217</v>
      </c>
      <c r="G9" s="9" t="s">
        <v>291</v>
      </c>
    </row>
    <row r="10" customFormat="false" ht="23.25" hidden="false" customHeight="true" outlineLevel="0" collapsed="false">
      <c r="A10" s="6" t="s">
        <v>292</v>
      </c>
      <c r="B10" s="6" t="s">
        <v>293</v>
      </c>
      <c r="C10" s="6" t="s">
        <v>294</v>
      </c>
      <c r="D10" s="6" t="n">
        <v>5</v>
      </c>
      <c r="E10" s="6" t="s">
        <v>216</v>
      </c>
      <c r="F10" s="9" t="s">
        <v>217</v>
      </c>
      <c r="G10" s="9" t="s">
        <v>295</v>
      </c>
    </row>
    <row r="11" customFormat="false" ht="23.25" hidden="false" customHeight="true" outlineLevel="0" collapsed="false">
      <c r="A11" s="6" t="s">
        <v>296</v>
      </c>
      <c r="B11" s="6" t="s">
        <v>297</v>
      </c>
      <c r="C11" s="6" t="s">
        <v>298</v>
      </c>
      <c r="D11" s="6" t="n">
        <v>8</v>
      </c>
      <c r="E11" s="6" t="s">
        <v>216</v>
      </c>
      <c r="F11" s="9" t="s">
        <v>217</v>
      </c>
      <c r="G11" s="9" t="s">
        <v>299</v>
      </c>
    </row>
    <row r="12" customFormat="false" ht="23.25" hidden="false" customHeight="true" outlineLevel="0" collapsed="false">
      <c r="A12" s="6" t="s">
        <v>300</v>
      </c>
      <c r="B12" s="6" t="s">
        <v>301</v>
      </c>
      <c r="C12" s="6" t="s">
        <v>302</v>
      </c>
      <c r="D12" s="6" t="n">
        <v>5</v>
      </c>
      <c r="E12" s="6" t="s">
        <v>216</v>
      </c>
      <c r="F12" s="9" t="s">
        <v>217</v>
      </c>
      <c r="G12" s="9" t="s">
        <v>303</v>
      </c>
    </row>
    <row r="13" customFormat="false" ht="23.25" hidden="false" customHeight="true" outlineLevel="0" collapsed="false">
      <c r="A13" s="6" t="s">
        <v>304</v>
      </c>
      <c r="B13" s="6" t="s">
        <v>305</v>
      </c>
      <c r="C13" s="6" t="s">
        <v>306</v>
      </c>
      <c r="D13" s="6" t="n">
        <v>3</v>
      </c>
      <c r="E13" s="6" t="s">
        <v>216</v>
      </c>
      <c r="F13" s="9" t="s">
        <v>217</v>
      </c>
      <c r="G13" s="9" t="s">
        <v>307</v>
      </c>
    </row>
    <row r="14" customFormat="false" ht="23.25" hidden="false" customHeight="true" outlineLevel="0" collapsed="false">
      <c r="A14" s="6" t="s">
        <v>308</v>
      </c>
      <c r="B14" s="6" t="s">
        <v>309</v>
      </c>
      <c r="C14" s="6" t="s">
        <v>310</v>
      </c>
      <c r="D14" s="6" t="n">
        <v>5</v>
      </c>
      <c r="E14" s="6" t="s">
        <v>216</v>
      </c>
      <c r="F14" s="9" t="s">
        <v>217</v>
      </c>
      <c r="G14" s="9" t="s">
        <v>311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312</v>
      </c>
      <c r="B1" s="3"/>
      <c r="C1" s="3"/>
      <c r="D1" s="3"/>
      <c r="E1" s="3"/>
      <c r="F1" s="3"/>
      <c r="G1" s="3"/>
    </row>
    <row r="2" customFormat="false" ht="15" hidden="false" customHeight="true" outlineLevel="0" collapsed="false">
      <c r="A2" s="4" t="s">
        <v>313</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314</v>
      </c>
      <c r="B4" s="6" t="s">
        <v>315</v>
      </c>
      <c r="C4" s="6" t="s">
        <v>316</v>
      </c>
      <c r="D4" s="6" t="n">
        <v>5</v>
      </c>
      <c r="E4" s="6" t="s">
        <v>216</v>
      </c>
      <c r="F4" s="9" t="s">
        <v>217</v>
      </c>
      <c r="G4" s="9" t="s">
        <v>317</v>
      </c>
    </row>
    <row r="5" customFormat="false" ht="23.25" hidden="false" customHeight="true" outlineLevel="0" collapsed="false">
      <c r="A5" s="6" t="s">
        <v>318</v>
      </c>
      <c r="B5" s="6" t="s">
        <v>319</v>
      </c>
      <c r="C5" s="6" t="s">
        <v>320</v>
      </c>
      <c r="D5" s="6" t="n">
        <v>3</v>
      </c>
      <c r="E5" s="6" t="s">
        <v>216</v>
      </c>
      <c r="F5" s="9" t="s">
        <v>217</v>
      </c>
      <c r="G5" s="9" t="s">
        <v>317</v>
      </c>
    </row>
    <row r="6" customFormat="false" ht="23.25" hidden="false" customHeight="true" outlineLevel="0" collapsed="false">
      <c r="A6" s="6" t="s">
        <v>321</v>
      </c>
      <c r="B6" s="6" t="s">
        <v>322</v>
      </c>
      <c r="C6" s="6" t="s">
        <v>323</v>
      </c>
      <c r="D6" s="6" t="n">
        <v>3</v>
      </c>
      <c r="E6" s="6" t="s">
        <v>216</v>
      </c>
      <c r="F6" s="9" t="s">
        <v>217</v>
      </c>
      <c r="G6" s="9" t="s">
        <v>324</v>
      </c>
    </row>
    <row r="7" customFormat="false" ht="23.25" hidden="false" customHeight="true" outlineLevel="0" collapsed="false">
      <c r="A7" s="6" t="s">
        <v>325</v>
      </c>
      <c r="B7" s="6" t="s">
        <v>326</v>
      </c>
      <c r="C7" s="6" t="s">
        <v>327</v>
      </c>
      <c r="D7" s="6" t="n">
        <v>2</v>
      </c>
      <c r="E7" s="6" t="s">
        <v>216</v>
      </c>
      <c r="F7" s="9" t="s">
        <v>217</v>
      </c>
      <c r="G7" s="9" t="s">
        <v>328</v>
      </c>
    </row>
    <row r="8" customFormat="false" ht="23.25" hidden="false" customHeight="true" outlineLevel="0" collapsed="false">
      <c r="A8" s="6" t="s">
        <v>329</v>
      </c>
      <c r="B8" s="6" t="s">
        <v>330</v>
      </c>
      <c r="C8" s="6" t="s">
        <v>331</v>
      </c>
      <c r="D8" s="6" t="n">
        <v>5</v>
      </c>
      <c r="E8" s="6" t="s">
        <v>216</v>
      </c>
      <c r="F8" s="9" t="s">
        <v>217</v>
      </c>
      <c r="G8" s="9" t="s">
        <v>332</v>
      </c>
    </row>
    <row r="9" customFormat="false" ht="23.25" hidden="false" customHeight="true" outlineLevel="0" collapsed="false">
      <c r="A9" s="6" t="s">
        <v>333</v>
      </c>
      <c r="B9" s="6" t="s">
        <v>334</v>
      </c>
      <c r="C9" s="6" t="s">
        <v>335</v>
      </c>
      <c r="D9" s="6" t="n">
        <v>3</v>
      </c>
      <c r="E9" s="6" t="s">
        <v>216</v>
      </c>
      <c r="F9" s="9" t="s">
        <v>217</v>
      </c>
      <c r="G9" s="9" t="s">
        <v>336</v>
      </c>
    </row>
    <row r="10" customFormat="false" ht="23.25" hidden="false" customHeight="true" outlineLevel="0" collapsed="false">
      <c r="A10" s="6" t="s">
        <v>337</v>
      </c>
      <c r="B10" s="6" t="s">
        <v>338</v>
      </c>
      <c r="C10" s="6" t="s">
        <v>339</v>
      </c>
      <c r="D10" s="6" t="n">
        <v>5</v>
      </c>
      <c r="E10" s="6" t="s">
        <v>216</v>
      </c>
      <c r="F10" s="9" t="s">
        <v>217</v>
      </c>
      <c r="G10" s="9" t="s">
        <v>340</v>
      </c>
    </row>
    <row r="11" customFormat="false" ht="23.25" hidden="false" customHeight="true" outlineLevel="0" collapsed="false">
      <c r="A11" s="6" t="s">
        <v>341</v>
      </c>
      <c r="B11" s="6" t="s">
        <v>342</v>
      </c>
      <c r="C11" s="6" t="s">
        <v>343</v>
      </c>
      <c r="D11" s="6" t="n">
        <v>3</v>
      </c>
      <c r="E11" s="6" t="s">
        <v>216</v>
      </c>
      <c r="F11" s="9" t="s">
        <v>217</v>
      </c>
      <c r="G11" s="9" t="s">
        <v>340</v>
      </c>
    </row>
    <row r="12" customFormat="false" ht="34.5" hidden="false" customHeight="true" outlineLevel="0" collapsed="false">
      <c r="A12" s="6" t="s">
        <v>344</v>
      </c>
      <c r="B12" s="6" t="s">
        <v>345</v>
      </c>
      <c r="C12" s="6" t="s">
        <v>346</v>
      </c>
      <c r="D12" s="6" t="n">
        <v>5</v>
      </c>
      <c r="E12" s="6" t="s">
        <v>216</v>
      </c>
      <c r="F12" s="9" t="s">
        <v>217</v>
      </c>
      <c r="G12" s="9" t="s">
        <v>347</v>
      </c>
    </row>
    <row r="13" customFormat="false" ht="15" hidden="false" customHeight="true" outlineLevel="0" collapsed="false">
      <c r="A13" s="6" t="s">
        <v>348</v>
      </c>
      <c r="B13" s="6" t="s">
        <v>349</v>
      </c>
      <c r="C13" s="6" t="s">
        <v>350</v>
      </c>
      <c r="D13" s="6" t="n">
        <v>1</v>
      </c>
      <c r="E13" s="6" t="s">
        <v>174</v>
      </c>
      <c r="F13" s="9" t="s">
        <v>235</v>
      </c>
      <c r="G13" s="9" t="s">
        <v>351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352</v>
      </c>
      <c r="B1" s="3"/>
      <c r="C1" s="3"/>
      <c r="D1" s="3"/>
      <c r="E1" s="3"/>
      <c r="F1" s="3"/>
      <c r="G1" s="3"/>
    </row>
    <row r="2" customFormat="false" ht="15" hidden="false" customHeight="true" outlineLevel="0" collapsed="false">
      <c r="A2" s="4" t="s">
        <v>353</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354</v>
      </c>
      <c r="B4" s="6" t="s">
        <v>355</v>
      </c>
      <c r="C4" s="6" t="s">
        <v>356</v>
      </c>
      <c r="D4" s="6" t="n">
        <v>5</v>
      </c>
      <c r="E4" s="6" t="s">
        <v>216</v>
      </c>
      <c r="F4" s="9" t="s">
        <v>217</v>
      </c>
      <c r="G4" s="9" t="s">
        <v>357</v>
      </c>
    </row>
    <row r="5" customFormat="false" ht="23.25" hidden="false" customHeight="true" outlineLevel="0" collapsed="false">
      <c r="A5" s="6" t="s">
        <v>358</v>
      </c>
      <c r="B5" s="6" t="s">
        <v>359</v>
      </c>
      <c r="C5" s="6" t="s">
        <v>360</v>
      </c>
      <c r="D5" s="6" t="n">
        <v>8</v>
      </c>
      <c r="E5" s="6" t="s">
        <v>216</v>
      </c>
      <c r="F5" s="9" t="s">
        <v>217</v>
      </c>
      <c r="G5" s="9" t="s">
        <v>361</v>
      </c>
    </row>
    <row r="6" customFormat="false" ht="23.25" hidden="false" customHeight="true" outlineLevel="0" collapsed="false">
      <c r="A6" s="6" t="s">
        <v>362</v>
      </c>
      <c r="B6" s="6" t="s">
        <v>363</v>
      </c>
      <c r="C6" s="6" t="s">
        <v>364</v>
      </c>
      <c r="D6" s="6" t="n">
        <v>5</v>
      </c>
      <c r="E6" s="6" t="s">
        <v>216</v>
      </c>
      <c r="F6" s="9" t="s">
        <v>217</v>
      </c>
      <c r="G6" s="9" t="s">
        <v>365</v>
      </c>
    </row>
    <row r="7" customFormat="false" ht="23.25" hidden="false" customHeight="true" outlineLevel="0" collapsed="false">
      <c r="A7" s="6" t="s">
        <v>366</v>
      </c>
      <c r="B7" s="6" t="s">
        <v>367</v>
      </c>
      <c r="C7" s="6" t="s">
        <v>368</v>
      </c>
      <c r="D7" s="6" t="n">
        <v>3</v>
      </c>
      <c r="E7" s="6" t="s">
        <v>216</v>
      </c>
      <c r="F7" s="9" t="s">
        <v>217</v>
      </c>
      <c r="G7" s="9" t="s">
        <v>369</v>
      </c>
    </row>
    <row r="8" customFormat="false" ht="23.25" hidden="false" customHeight="true" outlineLevel="0" collapsed="false">
      <c r="A8" s="6" t="s">
        <v>370</v>
      </c>
      <c r="B8" s="6" t="s">
        <v>371</v>
      </c>
      <c r="C8" s="6" t="s">
        <v>372</v>
      </c>
      <c r="D8" s="6" t="n">
        <v>5</v>
      </c>
      <c r="E8" s="6" t="s">
        <v>216</v>
      </c>
      <c r="F8" s="9" t="s">
        <v>217</v>
      </c>
      <c r="G8" s="9" t="s">
        <v>373</v>
      </c>
    </row>
    <row r="9" customFormat="false" ht="23.25" hidden="false" customHeight="true" outlineLevel="0" collapsed="false">
      <c r="A9" s="6" t="s">
        <v>374</v>
      </c>
      <c r="B9" s="6" t="s">
        <v>375</v>
      </c>
      <c r="C9" s="6" t="s">
        <v>376</v>
      </c>
      <c r="D9" s="6" t="n">
        <v>3</v>
      </c>
      <c r="E9" s="6" t="s">
        <v>216</v>
      </c>
      <c r="F9" s="9" t="s">
        <v>217</v>
      </c>
      <c r="G9" s="9" t="s">
        <v>373</v>
      </c>
    </row>
    <row r="10" customFormat="false" ht="23.25" hidden="false" customHeight="true" outlineLevel="0" collapsed="false">
      <c r="A10" s="6" t="s">
        <v>377</v>
      </c>
      <c r="B10" s="6" t="s">
        <v>378</v>
      </c>
      <c r="C10" s="6" t="s">
        <v>379</v>
      </c>
      <c r="D10" s="6" t="n">
        <v>3</v>
      </c>
      <c r="E10" s="6" t="s">
        <v>216</v>
      </c>
      <c r="F10" s="9" t="s">
        <v>217</v>
      </c>
      <c r="G10" s="9" t="s">
        <v>380</v>
      </c>
    </row>
    <row r="11" customFormat="false" ht="23.25" hidden="false" customHeight="true" outlineLevel="0" collapsed="false">
      <c r="A11" s="6" t="s">
        <v>381</v>
      </c>
      <c r="B11" s="6" t="s">
        <v>382</v>
      </c>
      <c r="C11" s="6" t="s">
        <v>383</v>
      </c>
      <c r="D11" s="6" t="n">
        <v>2</v>
      </c>
      <c r="E11" s="6" t="s">
        <v>216</v>
      </c>
      <c r="F11" s="9" t="s">
        <v>217</v>
      </c>
      <c r="G11" s="9" t="s">
        <v>384</v>
      </c>
    </row>
    <row r="12" customFormat="false" ht="23.25" hidden="false" customHeight="true" outlineLevel="0" collapsed="false">
      <c r="A12" s="6" t="s">
        <v>385</v>
      </c>
      <c r="B12" s="6" t="s">
        <v>386</v>
      </c>
      <c r="C12" s="6" t="s">
        <v>387</v>
      </c>
      <c r="D12" s="6" t="n">
        <v>5</v>
      </c>
      <c r="E12" s="6" t="s">
        <v>216</v>
      </c>
      <c r="F12" s="9" t="s">
        <v>217</v>
      </c>
      <c r="G12" s="9" t="s">
        <v>373</v>
      </c>
    </row>
    <row r="13" customFormat="false" ht="23.25" hidden="false" customHeight="true" outlineLevel="0" collapsed="false">
      <c r="A13" s="6" t="s">
        <v>388</v>
      </c>
      <c r="B13" s="6" t="s">
        <v>389</v>
      </c>
      <c r="C13" s="6" t="s">
        <v>390</v>
      </c>
      <c r="D13" s="6" t="n">
        <v>3</v>
      </c>
      <c r="E13" s="6" t="s">
        <v>216</v>
      </c>
      <c r="F13" s="9" t="s">
        <v>217</v>
      </c>
      <c r="G13" s="9" t="s">
        <v>391</v>
      </c>
    </row>
    <row r="14" customFormat="false" ht="23.25" hidden="false" customHeight="true" outlineLevel="0" collapsed="false">
      <c r="A14" s="6" t="s">
        <v>392</v>
      </c>
      <c r="B14" s="6" t="s">
        <v>393</v>
      </c>
      <c r="C14" s="6" t="s">
        <v>394</v>
      </c>
      <c r="D14" s="6" t="n">
        <v>5</v>
      </c>
      <c r="E14" s="6" t="s">
        <v>216</v>
      </c>
      <c r="F14" s="9" t="s">
        <v>217</v>
      </c>
      <c r="G14" s="9" t="s">
        <v>395</v>
      </c>
    </row>
    <row r="15" customFormat="false" ht="23.25" hidden="false" customHeight="true" outlineLevel="0" collapsed="false">
      <c r="A15" s="6" t="s">
        <v>396</v>
      </c>
      <c r="B15" s="6" t="s">
        <v>397</v>
      </c>
      <c r="C15" s="6" t="s">
        <v>398</v>
      </c>
      <c r="D15" s="6" t="n">
        <v>3</v>
      </c>
      <c r="E15" s="6" t="s">
        <v>216</v>
      </c>
      <c r="F15" s="9" t="s">
        <v>217</v>
      </c>
      <c r="G15" s="9" t="s">
        <v>380</v>
      </c>
    </row>
    <row r="16" customFormat="false" ht="15" hidden="false" customHeight="true" outlineLevel="0" collapsed="false">
      <c r="A16" s="6" t="s">
        <v>399</v>
      </c>
      <c r="B16" s="6" t="s">
        <v>400</v>
      </c>
      <c r="C16" s="6" t="s">
        <v>52</v>
      </c>
      <c r="D16" s="6" t="n">
        <v>2</v>
      </c>
      <c r="E16" s="6" t="s">
        <v>234</v>
      </c>
      <c r="F16" s="9" t="s">
        <v>235</v>
      </c>
      <c r="G16" s="9" t="s">
        <v>401</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402</v>
      </c>
      <c r="B1" s="3"/>
      <c r="C1" s="3"/>
      <c r="D1" s="3"/>
      <c r="E1" s="3"/>
      <c r="F1" s="3"/>
      <c r="G1" s="3"/>
    </row>
    <row r="2" customFormat="false" ht="15" hidden="false" customHeight="true" outlineLevel="0" collapsed="false">
      <c r="A2" s="4" t="s">
        <v>403</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404</v>
      </c>
      <c r="B4" s="6" t="s">
        <v>405</v>
      </c>
      <c r="C4" s="6" t="s">
        <v>406</v>
      </c>
      <c r="D4" s="6" t="n">
        <v>5</v>
      </c>
      <c r="E4" s="6" t="s">
        <v>216</v>
      </c>
      <c r="F4" s="9" t="s">
        <v>217</v>
      </c>
      <c r="G4" s="9" t="s">
        <v>407</v>
      </c>
    </row>
    <row r="5" customFormat="false" ht="23.25" hidden="false" customHeight="true" outlineLevel="0" collapsed="false">
      <c r="A5" s="6" t="s">
        <v>408</v>
      </c>
      <c r="B5" s="6" t="s">
        <v>409</v>
      </c>
      <c r="C5" s="6" t="s">
        <v>410</v>
      </c>
      <c r="D5" s="6" t="n">
        <v>8</v>
      </c>
      <c r="E5" s="6" t="s">
        <v>216</v>
      </c>
      <c r="F5" s="9" t="s">
        <v>217</v>
      </c>
      <c r="G5" s="9" t="s">
        <v>411</v>
      </c>
    </row>
    <row r="6" customFormat="false" ht="23.25" hidden="false" customHeight="true" outlineLevel="0" collapsed="false">
      <c r="A6" s="6" t="s">
        <v>412</v>
      </c>
      <c r="B6" s="6" t="s">
        <v>413</v>
      </c>
      <c r="C6" s="6" t="s">
        <v>414</v>
      </c>
      <c r="D6" s="6" t="n">
        <v>5</v>
      </c>
      <c r="E6" s="6" t="s">
        <v>216</v>
      </c>
      <c r="F6" s="9" t="s">
        <v>217</v>
      </c>
      <c r="G6" s="9" t="s">
        <v>407</v>
      </c>
    </row>
    <row r="7" customFormat="false" ht="23.25" hidden="false" customHeight="true" outlineLevel="0" collapsed="false">
      <c r="A7" s="6" t="s">
        <v>415</v>
      </c>
      <c r="B7" s="6" t="s">
        <v>416</v>
      </c>
      <c r="C7" s="6" t="s">
        <v>417</v>
      </c>
      <c r="D7" s="6" t="n">
        <v>3</v>
      </c>
      <c r="E7" s="6" t="s">
        <v>216</v>
      </c>
      <c r="F7" s="9" t="s">
        <v>217</v>
      </c>
      <c r="G7" s="9" t="s">
        <v>411</v>
      </c>
    </row>
    <row r="8" customFormat="false" ht="23.25" hidden="false" customHeight="true" outlineLevel="0" collapsed="false">
      <c r="A8" s="6" t="s">
        <v>418</v>
      </c>
      <c r="B8" s="6" t="s">
        <v>419</v>
      </c>
      <c r="C8" s="6" t="s">
        <v>420</v>
      </c>
      <c r="D8" s="6" t="n">
        <v>5</v>
      </c>
      <c r="E8" s="6" t="s">
        <v>216</v>
      </c>
      <c r="F8" s="9" t="s">
        <v>217</v>
      </c>
      <c r="G8" s="9" t="s">
        <v>421</v>
      </c>
    </row>
    <row r="9" customFormat="false" ht="23.25" hidden="false" customHeight="true" outlineLevel="0" collapsed="false">
      <c r="A9" s="6" t="s">
        <v>422</v>
      </c>
      <c r="B9" s="6" t="s">
        <v>423</v>
      </c>
      <c r="C9" s="6" t="s">
        <v>424</v>
      </c>
      <c r="D9" s="6" t="n">
        <v>3</v>
      </c>
      <c r="E9" s="6" t="s">
        <v>216</v>
      </c>
      <c r="F9" s="9" t="s">
        <v>217</v>
      </c>
      <c r="G9" s="9" t="s">
        <v>407</v>
      </c>
    </row>
    <row r="10" customFormat="false" ht="23.25" hidden="false" customHeight="true" outlineLevel="0" collapsed="false">
      <c r="A10" s="6" t="s">
        <v>425</v>
      </c>
      <c r="B10" s="6" t="s">
        <v>426</v>
      </c>
      <c r="C10" s="6" t="s">
        <v>427</v>
      </c>
      <c r="D10" s="6" t="n">
        <v>3</v>
      </c>
      <c r="E10" s="6" t="s">
        <v>216</v>
      </c>
      <c r="F10" s="9" t="s">
        <v>217</v>
      </c>
      <c r="G10" s="9" t="s">
        <v>428</v>
      </c>
    </row>
    <row r="11" customFormat="false" ht="23.25" hidden="false" customHeight="true" outlineLevel="0" collapsed="false">
      <c r="A11" s="6" t="s">
        <v>429</v>
      </c>
      <c r="B11" s="6" t="s">
        <v>430</v>
      </c>
      <c r="C11" s="6" t="s">
        <v>431</v>
      </c>
      <c r="D11" s="6" t="n">
        <v>2</v>
      </c>
      <c r="E11" s="6" t="s">
        <v>216</v>
      </c>
      <c r="F11" s="9" t="s">
        <v>217</v>
      </c>
      <c r="G11" s="9" t="s">
        <v>432</v>
      </c>
    </row>
    <row r="12" customFormat="false" ht="23.25" hidden="false" customHeight="true" outlineLevel="0" collapsed="false">
      <c r="A12" s="6" t="s">
        <v>433</v>
      </c>
      <c r="B12" s="6" t="s">
        <v>434</v>
      </c>
      <c r="C12" s="6" t="s">
        <v>435</v>
      </c>
      <c r="D12" s="6" t="n">
        <v>5</v>
      </c>
      <c r="E12" s="6" t="s">
        <v>216</v>
      </c>
      <c r="F12" s="9" t="s">
        <v>217</v>
      </c>
      <c r="G12" s="9" t="s">
        <v>436</v>
      </c>
    </row>
    <row r="13" customFormat="false" ht="23.25" hidden="false" customHeight="true" outlineLevel="0" collapsed="false">
      <c r="A13" s="6" t="s">
        <v>437</v>
      </c>
      <c r="B13" s="6" t="s">
        <v>438</v>
      </c>
      <c r="C13" s="6" t="s">
        <v>439</v>
      </c>
      <c r="D13" s="6" t="n">
        <v>3</v>
      </c>
      <c r="E13" s="6" t="s">
        <v>216</v>
      </c>
      <c r="F13" s="9" t="s">
        <v>217</v>
      </c>
      <c r="G13" s="9" t="s">
        <v>440</v>
      </c>
    </row>
    <row r="14" customFormat="false" ht="23.25" hidden="false" customHeight="true" outlineLevel="0" collapsed="false">
      <c r="A14" s="6" t="s">
        <v>441</v>
      </c>
      <c r="B14" s="6" t="s">
        <v>442</v>
      </c>
      <c r="C14" s="6" t="s">
        <v>443</v>
      </c>
      <c r="D14" s="6" t="n">
        <v>5</v>
      </c>
      <c r="E14" s="6" t="s">
        <v>216</v>
      </c>
      <c r="F14" s="9" t="s">
        <v>217</v>
      </c>
      <c r="G14" s="9" t="s">
        <v>444</v>
      </c>
    </row>
    <row r="15" customFormat="false" ht="23.25" hidden="false" customHeight="true" outlineLevel="0" collapsed="false">
      <c r="A15" s="6" t="s">
        <v>445</v>
      </c>
      <c r="B15" s="6" t="s">
        <v>446</v>
      </c>
      <c r="C15" s="6" t="s">
        <v>447</v>
      </c>
      <c r="D15" s="6" t="n">
        <v>5</v>
      </c>
      <c r="E15" s="6" t="s">
        <v>216</v>
      </c>
      <c r="F15" s="9" t="s">
        <v>217</v>
      </c>
      <c r="G15" s="9" t="s">
        <v>444</v>
      </c>
    </row>
    <row r="16" customFormat="false" ht="23.25" hidden="false" customHeight="true" outlineLevel="0" collapsed="false">
      <c r="A16" s="6" t="s">
        <v>448</v>
      </c>
      <c r="B16" s="6" t="s">
        <v>449</v>
      </c>
      <c r="C16" s="6" t="s">
        <v>450</v>
      </c>
      <c r="D16" s="6" t="n">
        <v>8</v>
      </c>
      <c r="E16" s="6" t="s">
        <v>216</v>
      </c>
      <c r="F16" s="9" t="s">
        <v>217</v>
      </c>
      <c r="G16" s="9" t="s">
        <v>451</v>
      </c>
    </row>
    <row r="17" customFormat="false" ht="15" hidden="false" customHeight="true" outlineLevel="0" collapsed="false">
      <c r="A17" s="6" t="s">
        <v>452</v>
      </c>
      <c r="B17" s="6" t="s">
        <v>453</v>
      </c>
      <c r="C17" s="6" t="s">
        <v>454</v>
      </c>
      <c r="D17" s="6" t="n">
        <v>2</v>
      </c>
      <c r="E17" s="6" t="s">
        <v>234</v>
      </c>
      <c r="F17" s="6" t="s">
        <v>235</v>
      </c>
      <c r="G17" s="6" t="s">
        <v>455</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456</v>
      </c>
      <c r="B1" s="3"/>
      <c r="C1" s="3"/>
      <c r="D1" s="3"/>
      <c r="E1" s="3"/>
      <c r="F1" s="3"/>
      <c r="G1" s="3"/>
    </row>
    <row r="2" customFormat="false" ht="15" hidden="false" customHeight="true" outlineLevel="0" collapsed="false">
      <c r="A2" s="4" t="s">
        <v>457</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458</v>
      </c>
      <c r="B4" s="6" t="s">
        <v>459</v>
      </c>
      <c r="C4" s="6" t="s">
        <v>460</v>
      </c>
      <c r="D4" s="6" t="n">
        <v>3</v>
      </c>
      <c r="E4" s="6" t="s">
        <v>216</v>
      </c>
      <c r="F4" s="9" t="s">
        <v>217</v>
      </c>
      <c r="G4" s="9" t="s">
        <v>461</v>
      </c>
    </row>
    <row r="5" customFormat="false" ht="23.25" hidden="false" customHeight="true" outlineLevel="0" collapsed="false">
      <c r="A5" s="6" t="s">
        <v>462</v>
      </c>
      <c r="B5" s="6" t="s">
        <v>463</v>
      </c>
      <c r="C5" s="6" t="s">
        <v>464</v>
      </c>
      <c r="D5" s="6" t="n">
        <v>3</v>
      </c>
      <c r="E5" s="6" t="s">
        <v>216</v>
      </c>
      <c r="F5" s="9" t="s">
        <v>217</v>
      </c>
      <c r="G5" s="9" t="s">
        <v>465</v>
      </c>
    </row>
    <row r="6" customFormat="false" ht="23.25" hidden="false" customHeight="true" outlineLevel="0" collapsed="false">
      <c r="A6" s="6" t="s">
        <v>466</v>
      </c>
      <c r="B6" s="6" t="s">
        <v>467</v>
      </c>
      <c r="C6" s="6" t="s">
        <v>468</v>
      </c>
      <c r="D6" s="6" t="n">
        <v>3</v>
      </c>
      <c r="E6" s="6" t="s">
        <v>216</v>
      </c>
      <c r="F6" s="9" t="s">
        <v>217</v>
      </c>
      <c r="G6" s="9" t="s">
        <v>469</v>
      </c>
    </row>
    <row r="7" customFormat="false" ht="23.25" hidden="false" customHeight="true" outlineLevel="0" collapsed="false">
      <c r="A7" s="6" t="s">
        <v>470</v>
      </c>
      <c r="B7" s="6" t="s">
        <v>471</v>
      </c>
      <c r="C7" s="6" t="s">
        <v>472</v>
      </c>
      <c r="D7" s="6" t="n">
        <v>3</v>
      </c>
      <c r="E7" s="6" t="s">
        <v>216</v>
      </c>
      <c r="F7" s="9" t="s">
        <v>217</v>
      </c>
      <c r="G7" s="9" t="s">
        <v>473</v>
      </c>
    </row>
    <row r="8" customFormat="false" ht="23.25" hidden="false" customHeight="true" outlineLevel="0" collapsed="false">
      <c r="A8" s="6" t="s">
        <v>474</v>
      </c>
      <c r="B8" s="6" t="s">
        <v>475</v>
      </c>
      <c r="C8" s="6" t="s">
        <v>476</v>
      </c>
      <c r="D8" s="6" t="n">
        <v>3</v>
      </c>
      <c r="E8" s="6" t="s">
        <v>216</v>
      </c>
      <c r="F8" s="9" t="s">
        <v>217</v>
      </c>
      <c r="G8" s="9" t="s">
        <v>477</v>
      </c>
    </row>
    <row r="9" customFormat="false" ht="15" hidden="false" customHeight="true" outlineLevel="0" collapsed="false">
      <c r="A9" s="6" t="s">
        <v>478</v>
      </c>
      <c r="B9" s="6" t="s">
        <v>479</v>
      </c>
      <c r="C9" s="6" t="s">
        <v>52</v>
      </c>
      <c r="D9" s="6" t="n">
        <v>3</v>
      </c>
      <c r="E9" s="6" t="s">
        <v>174</v>
      </c>
      <c r="F9" s="6" t="s">
        <v>235</v>
      </c>
      <c r="G9" s="6" t="s">
        <v>480</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2"/>
    <col collapsed="false" customWidth="true" hidden="false" outlineLevel="0" max="3" min="3" style="1" width="10"/>
    <col collapsed="false" customWidth="true" hidden="false" outlineLevel="0" max="4" min="4" style="1" width="7"/>
    <col collapsed="false" customWidth="true" hidden="false" outlineLevel="0" max="5" min="5" style="1" width="16"/>
    <col collapsed="false" customWidth="true" hidden="false" outlineLevel="0" max="6" min="6" style="1" width="13"/>
    <col collapsed="false" customWidth="true" hidden="false" outlineLevel="0" max="7" min="7" style="1" width="80"/>
  </cols>
  <sheetData>
    <row r="1" customFormat="false" ht="15" hidden="false" customHeight="true" outlineLevel="0" collapsed="false">
      <c r="A1" s="2" t="s">
        <v>481</v>
      </c>
      <c r="B1" s="3"/>
      <c r="C1" s="3"/>
      <c r="D1" s="3"/>
      <c r="E1" s="3"/>
      <c r="F1" s="3"/>
      <c r="G1" s="3"/>
    </row>
    <row r="2" customFormat="false" ht="15" hidden="false" customHeight="true" outlineLevel="0" collapsed="false">
      <c r="A2" s="4" t="s">
        <v>482</v>
      </c>
      <c r="B2" s="4"/>
      <c r="C2" s="4"/>
      <c r="D2" s="4"/>
      <c r="E2" s="4"/>
      <c r="F2" s="4"/>
      <c r="G2" s="4"/>
    </row>
    <row r="3" customFormat="false" ht="15" hidden="false" customHeight="true" outlineLevel="0" collapsed="false">
      <c r="A3" s="5" t="s">
        <v>43</v>
      </c>
      <c r="B3" s="5" t="s">
        <v>208</v>
      </c>
      <c r="C3" s="5" t="s">
        <v>209</v>
      </c>
      <c r="D3" s="5" t="s">
        <v>210</v>
      </c>
      <c r="E3" s="5" t="s">
        <v>211</v>
      </c>
      <c r="F3" s="5" t="s">
        <v>6</v>
      </c>
      <c r="G3" s="5" t="s">
        <v>212</v>
      </c>
    </row>
    <row r="4" customFormat="false" ht="23.25" hidden="false" customHeight="true" outlineLevel="0" collapsed="false">
      <c r="A4" s="6" t="s">
        <v>483</v>
      </c>
      <c r="B4" s="6" t="s">
        <v>484</v>
      </c>
      <c r="C4" s="6" t="s">
        <v>485</v>
      </c>
      <c r="D4" s="6" t="n">
        <v>5</v>
      </c>
      <c r="E4" s="6" t="s">
        <v>216</v>
      </c>
      <c r="F4" s="9" t="s">
        <v>217</v>
      </c>
      <c r="G4" s="9" t="s">
        <v>486</v>
      </c>
    </row>
    <row r="5" customFormat="false" ht="23.25" hidden="false" customHeight="true" outlineLevel="0" collapsed="false">
      <c r="A5" s="6" t="s">
        <v>487</v>
      </c>
      <c r="B5" s="6" t="s">
        <v>488</v>
      </c>
      <c r="C5" s="6" t="s">
        <v>489</v>
      </c>
      <c r="D5" s="6" t="n">
        <v>8</v>
      </c>
      <c r="E5" s="6" t="s">
        <v>216</v>
      </c>
      <c r="F5" s="9" t="s">
        <v>217</v>
      </c>
      <c r="G5" s="9" t="s">
        <v>490</v>
      </c>
    </row>
    <row r="6" customFormat="false" ht="23.25" hidden="false" customHeight="true" outlineLevel="0" collapsed="false">
      <c r="A6" s="6" t="s">
        <v>491</v>
      </c>
      <c r="B6" s="6" t="s">
        <v>492</v>
      </c>
      <c r="C6" s="6" t="s">
        <v>493</v>
      </c>
      <c r="D6" s="6" t="n">
        <v>5</v>
      </c>
      <c r="E6" s="6" t="s">
        <v>216</v>
      </c>
      <c r="F6" s="9" t="s">
        <v>217</v>
      </c>
      <c r="G6" s="9" t="s">
        <v>486</v>
      </c>
    </row>
    <row r="7" customFormat="false" ht="23.25" hidden="false" customHeight="true" outlineLevel="0" collapsed="false">
      <c r="A7" s="6" t="s">
        <v>494</v>
      </c>
      <c r="B7" s="6" t="s">
        <v>495</v>
      </c>
      <c r="C7" s="6" t="s">
        <v>496</v>
      </c>
      <c r="D7" s="6" t="n">
        <v>3</v>
      </c>
      <c r="E7" s="6" t="s">
        <v>216</v>
      </c>
      <c r="F7" s="9" t="s">
        <v>217</v>
      </c>
      <c r="G7" s="9" t="s">
        <v>490</v>
      </c>
    </row>
    <row r="8" customFormat="false" ht="23.25" hidden="false" customHeight="true" outlineLevel="0" collapsed="false">
      <c r="A8" s="6" t="s">
        <v>497</v>
      </c>
      <c r="B8" s="6" t="s">
        <v>498</v>
      </c>
      <c r="C8" s="6" t="s">
        <v>499</v>
      </c>
      <c r="D8" s="6" t="n">
        <v>5</v>
      </c>
      <c r="E8" s="6" t="s">
        <v>216</v>
      </c>
      <c r="F8" s="9" t="s">
        <v>217</v>
      </c>
      <c r="G8" s="9" t="s">
        <v>500</v>
      </c>
    </row>
    <row r="9" customFormat="false" ht="23.25" hidden="false" customHeight="true" outlineLevel="0" collapsed="false">
      <c r="A9" s="6" t="s">
        <v>501</v>
      </c>
      <c r="B9" s="6" t="s">
        <v>502</v>
      </c>
      <c r="C9" s="6" t="s">
        <v>503</v>
      </c>
      <c r="D9" s="6" t="n">
        <v>3</v>
      </c>
      <c r="E9" s="6" t="s">
        <v>216</v>
      </c>
      <c r="F9" s="9" t="s">
        <v>217</v>
      </c>
      <c r="G9" s="9" t="s">
        <v>500</v>
      </c>
    </row>
    <row r="10" customFormat="false" ht="23.25" hidden="false" customHeight="true" outlineLevel="0" collapsed="false">
      <c r="A10" s="6" t="s">
        <v>504</v>
      </c>
      <c r="B10" s="6" t="s">
        <v>505</v>
      </c>
      <c r="C10" s="6" t="s">
        <v>506</v>
      </c>
      <c r="D10" s="6" t="n">
        <v>3</v>
      </c>
      <c r="E10" s="6" t="s">
        <v>216</v>
      </c>
      <c r="F10" s="9" t="s">
        <v>217</v>
      </c>
      <c r="G10" s="9" t="s">
        <v>507</v>
      </c>
    </row>
    <row r="11" customFormat="false" ht="23.25" hidden="false" customHeight="true" outlineLevel="0" collapsed="false">
      <c r="A11" s="6" t="s">
        <v>508</v>
      </c>
      <c r="B11" s="6" t="s">
        <v>509</v>
      </c>
      <c r="C11" s="6" t="s">
        <v>510</v>
      </c>
      <c r="D11" s="6" t="n">
        <v>2</v>
      </c>
      <c r="E11" s="6" t="s">
        <v>216</v>
      </c>
      <c r="F11" s="9" t="s">
        <v>217</v>
      </c>
      <c r="G11" s="9" t="s">
        <v>511</v>
      </c>
    </row>
    <row r="12" customFormat="false" ht="23.25" hidden="false" customHeight="true" outlineLevel="0" collapsed="false">
      <c r="A12" s="6" t="s">
        <v>512</v>
      </c>
      <c r="B12" s="6" t="s">
        <v>513</v>
      </c>
      <c r="C12" s="6" t="s">
        <v>514</v>
      </c>
      <c r="D12" s="6" t="n">
        <v>5</v>
      </c>
      <c r="E12" s="6" t="s">
        <v>216</v>
      </c>
      <c r="F12" s="9" t="s">
        <v>217</v>
      </c>
      <c r="G12" s="9" t="s">
        <v>515</v>
      </c>
    </row>
    <row r="13" customFormat="false" ht="23.25" hidden="false" customHeight="true" outlineLevel="0" collapsed="false">
      <c r="A13" s="6" t="s">
        <v>516</v>
      </c>
      <c r="B13" s="6" t="s">
        <v>517</v>
      </c>
      <c r="C13" s="6" t="s">
        <v>518</v>
      </c>
      <c r="D13" s="6" t="n">
        <v>3</v>
      </c>
      <c r="E13" s="6" t="s">
        <v>216</v>
      </c>
      <c r="F13" s="9" t="s">
        <v>217</v>
      </c>
      <c r="G13" s="9" t="s">
        <v>519</v>
      </c>
    </row>
    <row r="14" customFormat="false" ht="23.25" hidden="false" customHeight="true" outlineLevel="0" collapsed="false">
      <c r="A14" s="6" t="s">
        <v>520</v>
      </c>
      <c r="B14" s="6" t="s">
        <v>521</v>
      </c>
      <c r="C14" s="6" t="s">
        <v>522</v>
      </c>
      <c r="D14" s="6" t="n">
        <v>3</v>
      </c>
      <c r="E14" s="6" t="s">
        <v>216</v>
      </c>
      <c r="F14" s="9" t="s">
        <v>217</v>
      </c>
      <c r="G14" s="9" t="s">
        <v>523</v>
      </c>
    </row>
    <row r="15" customFormat="false" ht="23.25" hidden="false" customHeight="true" outlineLevel="0" collapsed="false">
      <c r="A15" s="6" t="s">
        <v>524</v>
      </c>
      <c r="B15" s="6" t="s">
        <v>525</v>
      </c>
      <c r="C15" s="6" t="s">
        <v>526</v>
      </c>
      <c r="D15" s="6" t="n">
        <v>5</v>
      </c>
      <c r="E15" s="6" t="s">
        <v>216</v>
      </c>
      <c r="F15" s="9" t="s">
        <v>217</v>
      </c>
      <c r="G15" s="9" t="s">
        <v>527</v>
      </c>
    </row>
    <row r="16" customFormat="false" ht="23.25" hidden="false" customHeight="true" outlineLevel="0" collapsed="false">
      <c r="A16" s="6" t="s">
        <v>528</v>
      </c>
      <c r="B16" s="6" t="s">
        <v>529</v>
      </c>
      <c r="C16" s="6" t="s">
        <v>530</v>
      </c>
      <c r="D16" s="6" t="n">
        <v>5</v>
      </c>
      <c r="E16" s="6" t="s">
        <v>216</v>
      </c>
      <c r="F16" s="9" t="s">
        <v>217</v>
      </c>
      <c r="G16" s="9" t="s">
        <v>531</v>
      </c>
    </row>
    <row r="17" customFormat="false" ht="23.25" hidden="false" customHeight="true" outlineLevel="0" collapsed="false">
      <c r="A17" s="6" t="s">
        <v>532</v>
      </c>
      <c r="B17" s="6" t="s">
        <v>533</v>
      </c>
      <c r="C17" s="6" t="s">
        <v>534</v>
      </c>
      <c r="D17" s="6" t="n">
        <v>5</v>
      </c>
      <c r="E17" s="6" t="s">
        <v>216</v>
      </c>
      <c r="F17" s="9" t="s">
        <v>217</v>
      </c>
      <c r="G17" s="9" t="s">
        <v>531</v>
      </c>
    </row>
    <row r="18" customFormat="false" ht="23.25" hidden="false" customHeight="true" outlineLevel="0" collapsed="false">
      <c r="A18" s="6" t="s">
        <v>535</v>
      </c>
      <c r="B18" s="6" t="s">
        <v>536</v>
      </c>
      <c r="C18" s="6" t="s">
        <v>537</v>
      </c>
      <c r="D18" s="6" t="n">
        <v>3</v>
      </c>
      <c r="E18" s="6" t="s">
        <v>216</v>
      </c>
      <c r="F18" s="9" t="s">
        <v>217</v>
      </c>
      <c r="G18" s="9" t="s">
        <v>538</v>
      </c>
    </row>
    <row r="19" customFormat="false" ht="23.25" hidden="false" customHeight="true" outlineLevel="0" collapsed="false">
      <c r="A19" s="6" t="s">
        <v>539</v>
      </c>
      <c r="B19" s="6" t="s">
        <v>540</v>
      </c>
      <c r="C19" s="6" t="s">
        <v>541</v>
      </c>
      <c r="D19" s="6" t="n">
        <v>2</v>
      </c>
      <c r="E19" s="6" t="s">
        <v>216</v>
      </c>
      <c r="F19" s="9" t="s">
        <v>217</v>
      </c>
      <c r="G19" s="9" t="s">
        <v>542</v>
      </c>
    </row>
    <row r="20" customFormat="false" ht="23.25" hidden="false" customHeight="true" outlineLevel="0" collapsed="false">
      <c r="A20" s="6" t="s">
        <v>543</v>
      </c>
      <c r="B20" s="6" t="s">
        <v>544</v>
      </c>
      <c r="C20" s="6" t="s">
        <v>545</v>
      </c>
      <c r="D20" s="6" t="n">
        <v>5</v>
      </c>
      <c r="E20" s="6" t="s">
        <v>216</v>
      </c>
      <c r="F20" s="9" t="s">
        <v>217</v>
      </c>
      <c r="G20" s="9" t="s">
        <v>542</v>
      </c>
    </row>
    <row r="21" customFormat="false" ht="23.25" hidden="false" customHeight="true" outlineLevel="0" collapsed="false">
      <c r="A21" s="6" t="s">
        <v>546</v>
      </c>
      <c r="B21" s="6" t="s">
        <v>547</v>
      </c>
      <c r="C21" s="6" t="s">
        <v>548</v>
      </c>
      <c r="D21" s="6" t="n">
        <v>3</v>
      </c>
      <c r="E21" s="6" t="s">
        <v>216</v>
      </c>
      <c r="F21" s="9" t="s">
        <v>217</v>
      </c>
      <c r="G21" s="9" t="s">
        <v>538</v>
      </c>
    </row>
    <row r="22" customFormat="false" ht="23.25" hidden="false" customHeight="true" outlineLevel="0" collapsed="false">
      <c r="A22" s="6" t="s">
        <v>549</v>
      </c>
      <c r="B22" s="6" t="s">
        <v>550</v>
      </c>
      <c r="C22" s="6" t="s">
        <v>551</v>
      </c>
      <c r="D22" s="6" t="n">
        <v>3</v>
      </c>
      <c r="E22" s="6" t="s">
        <v>216</v>
      </c>
      <c r="F22" s="9" t="s">
        <v>217</v>
      </c>
      <c r="G22" s="9" t="s">
        <v>542</v>
      </c>
    </row>
    <row r="23" customFormat="false" ht="23.25" hidden="false" customHeight="true" outlineLevel="0" collapsed="false">
      <c r="A23" s="6" t="s">
        <v>552</v>
      </c>
      <c r="B23" s="6" t="s">
        <v>553</v>
      </c>
      <c r="C23" s="6" t="s">
        <v>554</v>
      </c>
      <c r="D23" s="6" t="n">
        <v>3</v>
      </c>
      <c r="E23" s="6" t="s">
        <v>216</v>
      </c>
      <c r="F23" s="9" t="s">
        <v>217</v>
      </c>
      <c r="G23" s="9" t="s">
        <v>538</v>
      </c>
    </row>
    <row r="24" customFormat="false" ht="23.25" hidden="false" customHeight="true" outlineLevel="0" collapsed="false">
      <c r="A24" s="6" t="s">
        <v>555</v>
      </c>
      <c r="B24" s="6" t="s">
        <v>556</v>
      </c>
      <c r="C24" s="6" t="s">
        <v>557</v>
      </c>
      <c r="D24" s="6" t="n">
        <v>5</v>
      </c>
      <c r="E24" s="6" t="s">
        <v>216</v>
      </c>
      <c r="F24" s="9" t="s">
        <v>217</v>
      </c>
      <c r="G24" s="9" t="s">
        <v>542</v>
      </c>
    </row>
    <row r="25" customFormat="false" ht="23.25" hidden="false" customHeight="true" outlineLevel="0" collapsed="false">
      <c r="A25" s="6" t="s">
        <v>558</v>
      </c>
      <c r="B25" s="6" t="s">
        <v>559</v>
      </c>
      <c r="C25" s="6" t="s">
        <v>560</v>
      </c>
      <c r="D25" s="6" t="n">
        <v>3</v>
      </c>
      <c r="E25" s="6" t="s">
        <v>216</v>
      </c>
      <c r="F25" s="9" t="s">
        <v>217</v>
      </c>
      <c r="G25" s="9" t="s">
        <v>542</v>
      </c>
    </row>
    <row r="26" customFormat="false" ht="15" hidden="false" customHeight="true" outlineLevel="0" collapsed="false">
      <c r="A26" s="6" t="s">
        <v>561</v>
      </c>
      <c r="B26" s="6" t="s">
        <v>562</v>
      </c>
      <c r="C26" s="6" t="s">
        <v>563</v>
      </c>
      <c r="D26" s="6" t="n">
        <v>2</v>
      </c>
      <c r="E26" s="6" t="s">
        <v>234</v>
      </c>
      <c r="F26" s="6" t="s">
        <v>235</v>
      </c>
      <c r="G26" s="6" t="s">
        <v>564</v>
      </c>
    </row>
    <row r="27" customFormat="false" ht="15" hidden="false" customHeight="true" outlineLevel="0" collapsed="false">
      <c r="A27" s="6" t="s">
        <v>565</v>
      </c>
      <c r="B27" s="6" t="s">
        <v>566</v>
      </c>
      <c r="C27" s="6" t="s">
        <v>567</v>
      </c>
      <c r="D27" s="6" t="n">
        <v>1</v>
      </c>
      <c r="E27" s="6" t="s">
        <v>234</v>
      </c>
      <c r="F27" s="6" t="s">
        <v>235</v>
      </c>
      <c r="G27" s="6" t="s">
        <v>568</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6"/>
    <col collapsed="false" customWidth="true" hidden="false" outlineLevel="0" max="3" min="3" style="1" width="12"/>
    <col collapsed="false" customWidth="true" hidden="false" outlineLevel="0" max="4" min="4" style="1" width="8"/>
    <col collapsed="false" customWidth="true" hidden="false" outlineLevel="0" max="5" min="5" style="1" width="14"/>
    <col collapsed="false" customWidth="true" hidden="false" outlineLevel="0" max="6" min="6" style="1" width="15"/>
    <col collapsed="false" customWidth="true" hidden="false" outlineLevel="0" max="7" min="7" style="1" width="92"/>
  </cols>
  <sheetData>
    <row r="1" customFormat="false" ht="15" hidden="false" customHeight="true" outlineLevel="0" collapsed="false">
      <c r="A1" s="10" t="s">
        <v>569</v>
      </c>
    </row>
    <row r="2" customFormat="false" ht="15" hidden="false" customHeight="true" outlineLevel="0" collapsed="false">
      <c r="A2" s="11" t="s">
        <v>570</v>
      </c>
    </row>
    <row r="3" customFormat="false" ht="15" hidden="false" customHeight="true" outlineLevel="0" collapsed="false">
      <c r="A3" s="7"/>
      <c r="B3" s="7"/>
      <c r="C3" s="7"/>
      <c r="D3" s="7"/>
      <c r="E3" s="7"/>
      <c r="F3" s="7"/>
      <c r="G3" s="7"/>
    </row>
    <row r="4" customFormat="false" ht="15" hidden="false" customHeight="true" outlineLevel="0" collapsed="false">
      <c r="A4" s="12" t="s">
        <v>43</v>
      </c>
      <c r="B4" s="12" t="s">
        <v>208</v>
      </c>
      <c r="C4" s="12" t="s">
        <v>209</v>
      </c>
      <c r="D4" s="12" t="s">
        <v>210</v>
      </c>
      <c r="E4" s="12" t="s">
        <v>211</v>
      </c>
      <c r="F4" s="12" t="s">
        <v>6</v>
      </c>
      <c r="G4" s="12" t="s">
        <v>212</v>
      </c>
    </row>
    <row r="5" customFormat="false" ht="23.25" hidden="false" customHeight="true" outlineLevel="0" collapsed="false">
      <c r="A5" s="7" t="s">
        <v>571</v>
      </c>
      <c r="B5" s="7" t="s">
        <v>572</v>
      </c>
      <c r="C5" s="7" t="s">
        <v>573</v>
      </c>
      <c r="D5" s="7" t="n">
        <v>5</v>
      </c>
      <c r="E5" s="7" t="s">
        <v>216</v>
      </c>
      <c r="F5" s="7" t="s">
        <v>217</v>
      </c>
      <c r="G5" s="7" t="s">
        <v>574</v>
      </c>
    </row>
    <row r="6" customFormat="false" ht="34.5" hidden="false" customHeight="true" outlineLevel="0" collapsed="false">
      <c r="A6" s="7" t="s">
        <v>575</v>
      </c>
      <c r="B6" s="7" t="s">
        <v>576</v>
      </c>
      <c r="C6" s="7" t="s">
        <v>577</v>
      </c>
      <c r="D6" s="7" t="n">
        <v>3</v>
      </c>
      <c r="E6" s="7" t="s">
        <v>216</v>
      </c>
      <c r="F6" s="7" t="s">
        <v>217</v>
      </c>
      <c r="G6" s="7" t="s">
        <v>578</v>
      </c>
    </row>
    <row r="7" customFormat="false" ht="34.5" hidden="false" customHeight="true" outlineLevel="0" collapsed="false">
      <c r="A7" s="7" t="s">
        <v>579</v>
      </c>
      <c r="B7" s="7" t="s">
        <v>580</v>
      </c>
      <c r="C7" s="7" t="s">
        <v>581</v>
      </c>
      <c r="D7" s="7" t="n">
        <v>3</v>
      </c>
      <c r="E7" s="7" t="s">
        <v>216</v>
      </c>
      <c r="F7" s="7" t="s">
        <v>217</v>
      </c>
      <c r="G7" s="7" t="s">
        <v>582</v>
      </c>
    </row>
    <row r="8" customFormat="false" ht="34.5" hidden="false" customHeight="true" outlineLevel="0" collapsed="false">
      <c r="A8" s="7" t="s">
        <v>583</v>
      </c>
      <c r="B8" s="7" t="s">
        <v>584</v>
      </c>
      <c r="C8" s="7" t="s">
        <v>585</v>
      </c>
      <c r="D8" s="7" t="n">
        <v>8</v>
      </c>
      <c r="E8" s="7" t="s">
        <v>586</v>
      </c>
      <c r="F8" s="7" t="s">
        <v>587</v>
      </c>
      <c r="G8" s="7" t="s">
        <v>588</v>
      </c>
    </row>
    <row r="9" customFormat="false" ht="45.75" hidden="false" customHeight="true" outlineLevel="0" collapsed="false">
      <c r="A9" s="7" t="s">
        <v>589</v>
      </c>
      <c r="B9" s="7" t="s">
        <v>590</v>
      </c>
      <c r="C9" s="7" t="s">
        <v>591</v>
      </c>
      <c r="D9" s="7" t="n">
        <v>3</v>
      </c>
      <c r="E9" s="7" t="s">
        <v>586</v>
      </c>
      <c r="F9" s="7" t="s">
        <v>587</v>
      </c>
      <c r="G9" s="7" t="s">
        <v>592</v>
      </c>
    </row>
    <row r="10" customFormat="false" ht="23.25" hidden="false" customHeight="true" outlineLevel="0" collapsed="false">
      <c r="A10" s="7" t="s">
        <v>593</v>
      </c>
      <c r="B10" s="7" t="s">
        <v>594</v>
      </c>
      <c r="C10" s="7" t="s">
        <v>595</v>
      </c>
      <c r="D10" s="7" t="n">
        <v>3</v>
      </c>
      <c r="E10" s="7" t="s">
        <v>586</v>
      </c>
      <c r="F10" s="7" t="s">
        <v>596</v>
      </c>
      <c r="G10" s="7" t="s">
        <v>597</v>
      </c>
    </row>
    <row r="11" customFormat="false" ht="34.5" hidden="false" customHeight="true" outlineLevel="0" collapsed="false">
      <c r="A11" s="7" t="s">
        <v>598</v>
      </c>
      <c r="B11" s="7" t="s">
        <v>599</v>
      </c>
      <c r="C11" s="7" t="s">
        <v>600</v>
      </c>
      <c r="D11" s="7" t="n">
        <v>5</v>
      </c>
      <c r="E11" s="7" t="s">
        <v>586</v>
      </c>
      <c r="F11" s="7" t="s">
        <v>596</v>
      </c>
      <c r="G11" s="7" t="s">
        <v>601</v>
      </c>
    </row>
    <row r="12" customFormat="false" ht="23.25" hidden="false" customHeight="true" outlineLevel="0" collapsed="false">
      <c r="A12" s="7" t="s">
        <v>602</v>
      </c>
      <c r="B12" s="7" t="s">
        <v>603</v>
      </c>
      <c r="C12" s="7" t="s">
        <v>52</v>
      </c>
      <c r="D12" s="7" t="n">
        <v>0</v>
      </c>
      <c r="E12" s="7" t="s">
        <v>216</v>
      </c>
      <c r="F12" s="7" t="s">
        <v>604</v>
      </c>
      <c r="G12" s="7" t="s">
        <v>605</v>
      </c>
    </row>
    <row r="13" customFormat="false" ht="23.25" hidden="false" customHeight="true" outlineLevel="0" collapsed="false">
      <c r="A13" s="7" t="s">
        <v>606</v>
      </c>
      <c r="B13" s="7" t="s">
        <v>607</v>
      </c>
      <c r="C13" s="7" t="s">
        <v>52</v>
      </c>
      <c r="D13" s="7" t="n">
        <v>0</v>
      </c>
      <c r="E13" s="7" t="s">
        <v>216</v>
      </c>
      <c r="F13" s="7" t="s">
        <v>604</v>
      </c>
      <c r="G13" s="7" t="s">
        <v>608</v>
      </c>
    </row>
    <row r="14" customFormat="false" ht="34.5" hidden="false" customHeight="true" outlineLevel="0" collapsed="false">
      <c r="A14" s="7" t="s">
        <v>609</v>
      </c>
      <c r="B14" s="7" t="s">
        <v>610</v>
      </c>
      <c r="C14" s="7" t="s">
        <v>611</v>
      </c>
      <c r="D14" s="7" t="n">
        <v>0</v>
      </c>
      <c r="E14" s="7" t="s">
        <v>216</v>
      </c>
      <c r="F14" s="7" t="s">
        <v>217</v>
      </c>
      <c r="G14" s="7"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6"/>
    <col collapsed="false" customWidth="true" hidden="false" outlineLevel="0" max="4" min="4" style="1" width="66"/>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6"/>
    <col collapsed="false" customWidth="true" hidden="false" outlineLevel="0" max="9" min="9" style="1" width="34"/>
    <col collapsed="false" customWidth="true" hidden="false" outlineLevel="0" max="10" min="10" style="1" width="13"/>
    <col collapsed="false" customWidth="true" hidden="false" outlineLevel="0" max="11" min="11" style="1" width="80"/>
  </cols>
  <sheetData>
    <row r="1" customFormat="false" ht="15" hidden="false" customHeight="true" outlineLevel="0" collapsed="false">
      <c r="A1" s="2" t="s">
        <v>613</v>
      </c>
      <c r="B1" s="3"/>
      <c r="C1" s="3"/>
      <c r="D1" s="3"/>
      <c r="E1" s="3"/>
      <c r="F1" s="3"/>
      <c r="G1" s="3"/>
      <c r="H1" s="3"/>
      <c r="I1" s="3"/>
      <c r="J1" s="3"/>
      <c r="K1" s="3"/>
    </row>
    <row r="2" customFormat="false" ht="15" hidden="false" customHeight="true" outlineLevel="0" collapsed="false">
      <c r="A2" s="4" t="s">
        <v>614</v>
      </c>
      <c r="B2" s="4"/>
      <c r="C2" s="4"/>
      <c r="D2" s="4"/>
      <c r="E2" s="4"/>
      <c r="F2" s="4"/>
      <c r="G2" s="4"/>
      <c r="H2" s="4"/>
      <c r="I2" s="4"/>
      <c r="J2" s="4"/>
      <c r="K2" s="4"/>
    </row>
    <row r="3" customFormat="false" ht="15" hidden="false" customHeight="true" outlineLevel="0" collapsed="false">
      <c r="A3" s="5" t="s">
        <v>615</v>
      </c>
      <c r="B3" s="5" t="s">
        <v>616</v>
      </c>
      <c r="C3" s="5" t="s">
        <v>617</v>
      </c>
      <c r="D3" s="5" t="s">
        <v>618</v>
      </c>
      <c r="E3" s="5" t="s">
        <v>210</v>
      </c>
      <c r="F3" s="5" t="s">
        <v>619</v>
      </c>
      <c r="G3" s="5" t="s">
        <v>44</v>
      </c>
      <c r="H3" s="5" t="s">
        <v>620</v>
      </c>
      <c r="I3" s="5" t="s">
        <v>621</v>
      </c>
      <c r="J3" s="5" t="s">
        <v>6</v>
      </c>
      <c r="K3" s="5" t="s">
        <v>622</v>
      </c>
    </row>
    <row r="4" customFormat="false" ht="23.25" hidden="false" customHeight="true" outlineLevel="0" collapsed="false">
      <c r="A4" s="6" t="s">
        <v>244</v>
      </c>
      <c r="B4" s="6" t="s">
        <v>623</v>
      </c>
      <c r="C4" s="6" t="s">
        <v>624</v>
      </c>
      <c r="D4" s="6" t="s">
        <v>625</v>
      </c>
      <c r="E4" s="6" t="n">
        <v>5</v>
      </c>
      <c r="F4" s="6" t="s">
        <v>626</v>
      </c>
      <c r="G4" s="6" t="s">
        <v>65</v>
      </c>
      <c r="H4" s="6" t="s">
        <v>627</v>
      </c>
      <c r="I4" s="6" t="s">
        <v>628</v>
      </c>
      <c r="J4" s="9" t="s">
        <v>217</v>
      </c>
      <c r="K4" s="9" t="s">
        <v>245</v>
      </c>
    </row>
    <row r="5" customFormat="false" ht="23.25" hidden="false" customHeight="true" outlineLevel="0" collapsed="false">
      <c r="A5" s="6" t="s">
        <v>248</v>
      </c>
      <c r="B5" s="6" t="s">
        <v>623</v>
      </c>
      <c r="C5" s="6" t="s">
        <v>624</v>
      </c>
      <c r="D5" s="6" t="s">
        <v>629</v>
      </c>
      <c r="E5" s="6" t="n">
        <v>8</v>
      </c>
      <c r="F5" s="6" t="s">
        <v>626</v>
      </c>
      <c r="G5" s="6" t="s">
        <v>65</v>
      </c>
      <c r="H5" s="6" t="s">
        <v>627</v>
      </c>
      <c r="I5" s="6" t="s">
        <v>628</v>
      </c>
      <c r="J5" s="9" t="s">
        <v>217</v>
      </c>
      <c r="K5" s="9" t="s">
        <v>249</v>
      </c>
    </row>
    <row r="6" customFormat="false" ht="23.25" hidden="false" customHeight="true" outlineLevel="0" collapsed="false">
      <c r="A6" s="6" t="s">
        <v>252</v>
      </c>
      <c r="B6" s="6" t="s">
        <v>623</v>
      </c>
      <c r="C6" s="6" t="s">
        <v>624</v>
      </c>
      <c r="D6" s="6" t="s">
        <v>630</v>
      </c>
      <c r="E6" s="6" t="n">
        <v>5</v>
      </c>
      <c r="F6" s="6" t="s">
        <v>631</v>
      </c>
      <c r="G6" s="6" t="s">
        <v>65</v>
      </c>
      <c r="H6" s="6" t="s">
        <v>627</v>
      </c>
      <c r="I6" s="6" t="s">
        <v>628</v>
      </c>
      <c r="J6" s="9" t="s">
        <v>217</v>
      </c>
      <c r="K6" s="9" t="s">
        <v>253</v>
      </c>
    </row>
    <row r="7" customFormat="false" ht="23.25" hidden="false" customHeight="true" outlineLevel="0" collapsed="false">
      <c r="A7" s="6" t="s">
        <v>256</v>
      </c>
      <c r="B7" s="6" t="s">
        <v>623</v>
      </c>
      <c r="C7" s="6" t="s">
        <v>624</v>
      </c>
      <c r="D7" s="6" t="s">
        <v>632</v>
      </c>
      <c r="E7" s="6" t="n">
        <v>3</v>
      </c>
      <c r="F7" s="6" t="s">
        <v>626</v>
      </c>
      <c r="G7" s="6" t="s">
        <v>65</v>
      </c>
      <c r="H7" s="6" t="s">
        <v>627</v>
      </c>
      <c r="I7" s="6" t="s">
        <v>628</v>
      </c>
      <c r="J7" s="9" t="s">
        <v>217</v>
      </c>
      <c r="K7" s="9" t="s">
        <v>257</v>
      </c>
    </row>
    <row r="8" customFormat="false" ht="23.25" hidden="false" customHeight="true" outlineLevel="0" collapsed="false">
      <c r="A8" s="6" t="s">
        <v>270</v>
      </c>
      <c r="B8" s="6" t="s">
        <v>623</v>
      </c>
      <c r="C8" s="6" t="s">
        <v>624</v>
      </c>
      <c r="D8" s="6" t="s">
        <v>633</v>
      </c>
      <c r="E8" s="6" t="n">
        <v>5</v>
      </c>
      <c r="F8" s="6" t="s">
        <v>626</v>
      </c>
      <c r="G8" s="6" t="s">
        <v>71</v>
      </c>
      <c r="H8" s="6" t="s">
        <v>627</v>
      </c>
      <c r="I8" s="6" t="s">
        <v>628</v>
      </c>
      <c r="J8" s="9" t="s">
        <v>217</v>
      </c>
      <c r="K8" s="9" t="s">
        <v>271</v>
      </c>
    </row>
    <row r="9" customFormat="false" ht="23.25" hidden="false" customHeight="true" outlineLevel="0" collapsed="false">
      <c r="A9" s="6" t="s">
        <v>274</v>
      </c>
      <c r="B9" s="6" t="s">
        <v>623</v>
      </c>
      <c r="C9" s="6" t="s">
        <v>624</v>
      </c>
      <c r="D9" s="6" t="s">
        <v>634</v>
      </c>
      <c r="E9" s="6" t="n">
        <v>3</v>
      </c>
      <c r="F9" s="6" t="s">
        <v>631</v>
      </c>
      <c r="G9" s="6" t="s">
        <v>71</v>
      </c>
      <c r="H9" s="6" t="s">
        <v>627</v>
      </c>
      <c r="I9" s="6" t="s">
        <v>628</v>
      </c>
      <c r="J9" s="9" t="s">
        <v>217</v>
      </c>
      <c r="K9" s="9" t="s">
        <v>275</v>
      </c>
    </row>
    <row r="10" customFormat="false" ht="23.25" hidden="false" customHeight="true" outlineLevel="0" collapsed="false">
      <c r="A10" s="6" t="s">
        <v>278</v>
      </c>
      <c r="B10" s="6" t="s">
        <v>623</v>
      </c>
      <c r="C10" s="6" t="s">
        <v>624</v>
      </c>
      <c r="D10" s="6" t="s">
        <v>635</v>
      </c>
      <c r="E10" s="6" t="n">
        <v>3</v>
      </c>
      <c r="F10" s="6" t="s">
        <v>631</v>
      </c>
      <c r="G10" s="6" t="s">
        <v>71</v>
      </c>
      <c r="H10" s="6" t="s">
        <v>627</v>
      </c>
      <c r="I10" s="6" t="s">
        <v>628</v>
      </c>
      <c r="J10" s="9" t="s">
        <v>217</v>
      </c>
      <c r="K10" s="9" t="s">
        <v>279</v>
      </c>
    </row>
    <row r="11" customFormat="false" ht="23.25" hidden="false" customHeight="true" outlineLevel="0" collapsed="false">
      <c r="A11" s="6" t="s">
        <v>282</v>
      </c>
      <c r="B11" s="6" t="s">
        <v>623</v>
      </c>
      <c r="C11" s="6" t="s">
        <v>624</v>
      </c>
      <c r="D11" s="6" t="s">
        <v>636</v>
      </c>
      <c r="E11" s="6" t="n">
        <v>2</v>
      </c>
      <c r="F11" s="6" t="s">
        <v>637</v>
      </c>
      <c r="G11" s="6" t="s">
        <v>71</v>
      </c>
      <c r="H11" s="6" t="s">
        <v>627</v>
      </c>
      <c r="I11" s="6" t="s">
        <v>628</v>
      </c>
      <c r="J11" s="9" t="s">
        <v>217</v>
      </c>
      <c r="K11" s="9" t="s">
        <v>283</v>
      </c>
    </row>
    <row r="12" customFormat="false" ht="23.25" hidden="false" customHeight="true" outlineLevel="0" collapsed="false">
      <c r="A12" s="6" t="s">
        <v>286</v>
      </c>
      <c r="B12" s="6" t="s">
        <v>623</v>
      </c>
      <c r="C12" s="6" t="s">
        <v>624</v>
      </c>
      <c r="D12" s="6" t="s">
        <v>638</v>
      </c>
      <c r="E12" s="6" t="n">
        <v>5</v>
      </c>
      <c r="F12" s="6" t="s">
        <v>631</v>
      </c>
      <c r="G12" s="6" t="s">
        <v>71</v>
      </c>
      <c r="H12" s="6" t="s">
        <v>627</v>
      </c>
      <c r="I12" s="6" t="s">
        <v>628</v>
      </c>
      <c r="J12" s="9" t="s">
        <v>217</v>
      </c>
      <c r="K12" s="9" t="s">
        <v>287</v>
      </c>
    </row>
    <row r="13" customFormat="false" ht="23.25" hidden="false" customHeight="true" outlineLevel="0" collapsed="false">
      <c r="A13" s="6" t="s">
        <v>290</v>
      </c>
      <c r="B13" s="6" t="s">
        <v>623</v>
      </c>
      <c r="C13" s="6" t="s">
        <v>624</v>
      </c>
      <c r="D13" s="6" t="s">
        <v>639</v>
      </c>
      <c r="E13" s="6" t="n">
        <v>3</v>
      </c>
      <c r="F13" s="6" t="s">
        <v>637</v>
      </c>
      <c r="G13" s="6" t="s">
        <v>71</v>
      </c>
      <c r="H13" s="6" t="s">
        <v>627</v>
      </c>
      <c r="I13" s="6" t="s">
        <v>628</v>
      </c>
      <c r="J13" s="9" t="s">
        <v>217</v>
      </c>
      <c r="K13" s="9" t="s">
        <v>291</v>
      </c>
    </row>
    <row r="14" customFormat="false" ht="23.25" hidden="false" customHeight="true" outlineLevel="0" collapsed="false">
      <c r="A14" s="6" t="s">
        <v>294</v>
      </c>
      <c r="B14" s="6" t="s">
        <v>640</v>
      </c>
      <c r="C14" s="6" t="s">
        <v>641</v>
      </c>
      <c r="D14" s="6" t="s">
        <v>642</v>
      </c>
      <c r="E14" s="6" t="n">
        <v>5</v>
      </c>
      <c r="F14" s="6" t="s">
        <v>626</v>
      </c>
      <c r="G14" s="6" t="s">
        <v>71</v>
      </c>
      <c r="H14" s="6" t="s">
        <v>643</v>
      </c>
      <c r="I14" s="6" t="s">
        <v>628</v>
      </c>
      <c r="J14" s="9" t="s">
        <v>217</v>
      </c>
      <c r="K14" s="9" t="s">
        <v>295</v>
      </c>
    </row>
    <row r="15" customFormat="false" ht="23.25" hidden="false" customHeight="true" outlineLevel="0" collapsed="false">
      <c r="A15" s="6" t="s">
        <v>298</v>
      </c>
      <c r="B15" s="6" t="s">
        <v>640</v>
      </c>
      <c r="C15" s="6" t="s">
        <v>641</v>
      </c>
      <c r="D15" s="6" t="s">
        <v>644</v>
      </c>
      <c r="E15" s="6" t="n">
        <v>8</v>
      </c>
      <c r="F15" s="6" t="s">
        <v>626</v>
      </c>
      <c r="G15" s="6" t="s">
        <v>71</v>
      </c>
      <c r="H15" s="6" t="s">
        <v>643</v>
      </c>
      <c r="I15" s="6" t="s">
        <v>628</v>
      </c>
      <c r="J15" s="9" t="s">
        <v>217</v>
      </c>
      <c r="K15" s="9" t="s">
        <v>299</v>
      </c>
    </row>
    <row r="16" customFormat="false" ht="23.25" hidden="false" customHeight="true" outlineLevel="0" collapsed="false">
      <c r="A16" s="6" t="s">
        <v>302</v>
      </c>
      <c r="B16" s="6" t="s">
        <v>640</v>
      </c>
      <c r="C16" s="6" t="s">
        <v>641</v>
      </c>
      <c r="D16" s="6" t="s">
        <v>645</v>
      </c>
      <c r="E16" s="6" t="n">
        <v>5</v>
      </c>
      <c r="F16" s="6" t="s">
        <v>631</v>
      </c>
      <c r="G16" s="6" t="s">
        <v>71</v>
      </c>
      <c r="H16" s="6" t="s">
        <v>643</v>
      </c>
      <c r="I16" s="6" t="s">
        <v>628</v>
      </c>
      <c r="J16" s="9" t="s">
        <v>217</v>
      </c>
      <c r="K16" s="9" t="s">
        <v>303</v>
      </c>
    </row>
    <row r="17" customFormat="false" ht="23.25" hidden="false" customHeight="true" outlineLevel="0" collapsed="false">
      <c r="A17" s="6" t="s">
        <v>306</v>
      </c>
      <c r="B17" s="6" t="s">
        <v>640</v>
      </c>
      <c r="C17" s="6" t="s">
        <v>641</v>
      </c>
      <c r="D17" s="6" t="s">
        <v>646</v>
      </c>
      <c r="E17" s="6" t="n">
        <v>3</v>
      </c>
      <c r="F17" s="6" t="s">
        <v>626</v>
      </c>
      <c r="G17" s="6" t="s">
        <v>71</v>
      </c>
      <c r="H17" s="6" t="s">
        <v>643</v>
      </c>
      <c r="I17" s="6" t="s">
        <v>628</v>
      </c>
      <c r="J17" s="9" t="s">
        <v>217</v>
      </c>
      <c r="K17" s="9" t="s">
        <v>307</v>
      </c>
    </row>
    <row r="18" customFormat="false" ht="23.25" hidden="false" customHeight="true" outlineLevel="0" collapsed="false">
      <c r="A18" s="6" t="s">
        <v>316</v>
      </c>
      <c r="B18" s="6" t="s">
        <v>640</v>
      </c>
      <c r="C18" s="6" t="s">
        <v>641</v>
      </c>
      <c r="D18" s="6" t="s">
        <v>647</v>
      </c>
      <c r="E18" s="6" t="n">
        <v>5</v>
      </c>
      <c r="F18" s="6" t="s">
        <v>626</v>
      </c>
      <c r="G18" s="6" t="s">
        <v>77</v>
      </c>
      <c r="H18" s="6" t="s">
        <v>643</v>
      </c>
      <c r="I18" s="6" t="s">
        <v>628</v>
      </c>
      <c r="J18" s="9" t="s">
        <v>217</v>
      </c>
      <c r="K18" s="9" t="s">
        <v>317</v>
      </c>
    </row>
    <row r="19" customFormat="false" ht="23.25" hidden="false" customHeight="true" outlineLevel="0" collapsed="false">
      <c r="A19" s="6" t="s">
        <v>320</v>
      </c>
      <c r="B19" s="6" t="s">
        <v>640</v>
      </c>
      <c r="C19" s="6" t="s">
        <v>641</v>
      </c>
      <c r="D19" s="6" t="s">
        <v>648</v>
      </c>
      <c r="E19" s="6" t="n">
        <v>3</v>
      </c>
      <c r="F19" s="6" t="s">
        <v>631</v>
      </c>
      <c r="G19" s="6" t="s">
        <v>77</v>
      </c>
      <c r="H19" s="6" t="s">
        <v>643</v>
      </c>
      <c r="I19" s="6" t="s">
        <v>628</v>
      </c>
      <c r="J19" s="9" t="s">
        <v>217</v>
      </c>
      <c r="K19" s="9" t="s">
        <v>317</v>
      </c>
    </row>
    <row r="20" customFormat="false" ht="23.25" hidden="false" customHeight="true" outlineLevel="0" collapsed="false">
      <c r="A20" s="6" t="s">
        <v>323</v>
      </c>
      <c r="B20" s="6" t="s">
        <v>640</v>
      </c>
      <c r="C20" s="6" t="s">
        <v>641</v>
      </c>
      <c r="D20" s="6" t="s">
        <v>649</v>
      </c>
      <c r="E20" s="6" t="n">
        <v>3</v>
      </c>
      <c r="F20" s="6" t="s">
        <v>631</v>
      </c>
      <c r="G20" s="6" t="s">
        <v>77</v>
      </c>
      <c r="H20" s="6" t="s">
        <v>643</v>
      </c>
      <c r="I20" s="6" t="s">
        <v>628</v>
      </c>
      <c r="J20" s="9" t="s">
        <v>217</v>
      </c>
      <c r="K20" s="9" t="s">
        <v>324</v>
      </c>
    </row>
    <row r="21" customFormat="false" ht="23.25" hidden="false" customHeight="true" outlineLevel="0" collapsed="false">
      <c r="A21" s="6" t="s">
        <v>327</v>
      </c>
      <c r="B21" s="6" t="s">
        <v>640</v>
      </c>
      <c r="C21" s="6" t="s">
        <v>641</v>
      </c>
      <c r="D21" s="6" t="s">
        <v>650</v>
      </c>
      <c r="E21" s="6" t="n">
        <v>2</v>
      </c>
      <c r="F21" s="6" t="s">
        <v>637</v>
      </c>
      <c r="G21" s="6" t="s">
        <v>77</v>
      </c>
      <c r="H21" s="6" t="s">
        <v>643</v>
      </c>
      <c r="I21" s="6" t="s">
        <v>628</v>
      </c>
      <c r="J21" s="9" t="s">
        <v>217</v>
      </c>
      <c r="K21" s="9" t="s">
        <v>328</v>
      </c>
    </row>
    <row r="22" customFormat="false" ht="23.25" hidden="false" customHeight="true" outlineLevel="0" collapsed="false">
      <c r="A22" s="6" t="s">
        <v>331</v>
      </c>
      <c r="B22" s="6" t="s">
        <v>640</v>
      </c>
      <c r="C22" s="6" t="s">
        <v>641</v>
      </c>
      <c r="D22" s="6" t="s">
        <v>651</v>
      </c>
      <c r="E22" s="6" t="n">
        <v>5</v>
      </c>
      <c r="F22" s="6" t="s">
        <v>631</v>
      </c>
      <c r="G22" s="6" t="s">
        <v>77</v>
      </c>
      <c r="H22" s="6" t="s">
        <v>643</v>
      </c>
      <c r="I22" s="6" t="s">
        <v>628</v>
      </c>
      <c r="J22" s="9" t="s">
        <v>217</v>
      </c>
      <c r="K22" s="9" t="s">
        <v>332</v>
      </c>
    </row>
    <row r="23" customFormat="false" ht="23.25" hidden="false" customHeight="true" outlineLevel="0" collapsed="false">
      <c r="A23" s="6" t="s">
        <v>335</v>
      </c>
      <c r="B23" s="6" t="s">
        <v>640</v>
      </c>
      <c r="C23" s="6" t="s">
        <v>641</v>
      </c>
      <c r="D23" s="6" t="s">
        <v>652</v>
      </c>
      <c r="E23" s="6" t="n">
        <v>3</v>
      </c>
      <c r="F23" s="6" t="s">
        <v>637</v>
      </c>
      <c r="G23" s="6" t="s">
        <v>77</v>
      </c>
      <c r="H23" s="6" t="s">
        <v>643</v>
      </c>
      <c r="I23" s="6" t="s">
        <v>628</v>
      </c>
      <c r="J23" s="9" t="s">
        <v>217</v>
      </c>
      <c r="K23" s="9" t="s">
        <v>336</v>
      </c>
    </row>
    <row r="24" customFormat="false" ht="23.25" hidden="false" customHeight="true" outlineLevel="0" collapsed="false">
      <c r="A24" s="6" t="s">
        <v>356</v>
      </c>
      <c r="B24" s="6" t="s">
        <v>653</v>
      </c>
      <c r="C24" s="6" t="s">
        <v>654</v>
      </c>
      <c r="D24" s="6" t="s">
        <v>655</v>
      </c>
      <c r="E24" s="6" t="n">
        <v>5</v>
      </c>
      <c r="F24" s="6" t="s">
        <v>626</v>
      </c>
      <c r="G24" s="6" t="s">
        <v>84</v>
      </c>
      <c r="H24" s="6" t="s">
        <v>656</v>
      </c>
      <c r="I24" s="6" t="s">
        <v>628</v>
      </c>
      <c r="J24" s="9" t="s">
        <v>217</v>
      </c>
      <c r="K24" s="9" t="s">
        <v>357</v>
      </c>
    </row>
    <row r="25" customFormat="false" ht="23.25" hidden="false" customHeight="true" outlineLevel="0" collapsed="false">
      <c r="A25" s="6" t="s">
        <v>360</v>
      </c>
      <c r="B25" s="6" t="s">
        <v>653</v>
      </c>
      <c r="C25" s="6" t="s">
        <v>654</v>
      </c>
      <c r="D25" s="6" t="s">
        <v>657</v>
      </c>
      <c r="E25" s="6" t="n">
        <v>8</v>
      </c>
      <c r="F25" s="6" t="s">
        <v>626</v>
      </c>
      <c r="G25" s="6" t="s">
        <v>84</v>
      </c>
      <c r="H25" s="6" t="s">
        <v>656</v>
      </c>
      <c r="I25" s="6" t="s">
        <v>628</v>
      </c>
      <c r="J25" s="9" t="s">
        <v>217</v>
      </c>
      <c r="K25" s="9" t="s">
        <v>361</v>
      </c>
    </row>
    <row r="26" customFormat="false" ht="23.25" hidden="false" customHeight="true" outlineLevel="0" collapsed="false">
      <c r="A26" s="6" t="s">
        <v>364</v>
      </c>
      <c r="B26" s="6" t="s">
        <v>653</v>
      </c>
      <c r="C26" s="6" t="s">
        <v>654</v>
      </c>
      <c r="D26" s="6" t="s">
        <v>658</v>
      </c>
      <c r="E26" s="6" t="n">
        <v>5</v>
      </c>
      <c r="F26" s="6" t="s">
        <v>631</v>
      </c>
      <c r="G26" s="6" t="s">
        <v>84</v>
      </c>
      <c r="H26" s="6" t="s">
        <v>656</v>
      </c>
      <c r="I26" s="6" t="s">
        <v>628</v>
      </c>
      <c r="J26" s="9" t="s">
        <v>217</v>
      </c>
      <c r="K26" s="9" t="s">
        <v>365</v>
      </c>
    </row>
    <row r="27" customFormat="false" ht="23.25" hidden="false" customHeight="true" outlineLevel="0" collapsed="false">
      <c r="A27" s="6" t="s">
        <v>368</v>
      </c>
      <c r="B27" s="6" t="s">
        <v>653</v>
      </c>
      <c r="C27" s="6" t="s">
        <v>654</v>
      </c>
      <c r="D27" s="6" t="s">
        <v>659</v>
      </c>
      <c r="E27" s="6" t="n">
        <v>3</v>
      </c>
      <c r="F27" s="6" t="s">
        <v>626</v>
      </c>
      <c r="G27" s="6" t="s">
        <v>84</v>
      </c>
      <c r="H27" s="6" t="s">
        <v>656</v>
      </c>
      <c r="I27" s="6" t="s">
        <v>628</v>
      </c>
      <c r="J27" s="9" t="s">
        <v>217</v>
      </c>
      <c r="K27" s="9" t="s">
        <v>369</v>
      </c>
    </row>
    <row r="28" customFormat="false" ht="23.25" hidden="false" customHeight="true" outlineLevel="0" collapsed="false">
      <c r="A28" s="6" t="s">
        <v>372</v>
      </c>
      <c r="B28" s="6" t="s">
        <v>653</v>
      </c>
      <c r="C28" s="6" t="s">
        <v>654</v>
      </c>
      <c r="D28" s="6" t="s">
        <v>660</v>
      </c>
      <c r="E28" s="6" t="n">
        <v>5</v>
      </c>
      <c r="F28" s="6" t="s">
        <v>626</v>
      </c>
      <c r="G28" s="6" t="s">
        <v>84</v>
      </c>
      <c r="H28" s="6" t="s">
        <v>656</v>
      </c>
      <c r="I28" s="6" t="s">
        <v>628</v>
      </c>
      <c r="J28" s="9" t="s">
        <v>217</v>
      </c>
      <c r="K28" s="9" t="s">
        <v>373</v>
      </c>
    </row>
    <row r="29" customFormat="false" ht="23.25" hidden="false" customHeight="true" outlineLevel="0" collapsed="false">
      <c r="A29" s="6" t="s">
        <v>376</v>
      </c>
      <c r="B29" s="6" t="s">
        <v>653</v>
      </c>
      <c r="C29" s="6" t="s">
        <v>654</v>
      </c>
      <c r="D29" s="6" t="s">
        <v>661</v>
      </c>
      <c r="E29" s="6" t="n">
        <v>3</v>
      </c>
      <c r="F29" s="6" t="s">
        <v>631</v>
      </c>
      <c r="G29" s="6" t="s">
        <v>84</v>
      </c>
      <c r="H29" s="6" t="s">
        <v>656</v>
      </c>
      <c r="I29" s="6" t="s">
        <v>628</v>
      </c>
      <c r="J29" s="9" t="s">
        <v>217</v>
      </c>
      <c r="K29" s="9" t="s">
        <v>373</v>
      </c>
    </row>
    <row r="30" customFormat="false" ht="23.25" hidden="false" customHeight="true" outlineLevel="0" collapsed="false">
      <c r="A30" s="6" t="s">
        <v>379</v>
      </c>
      <c r="B30" s="6" t="s">
        <v>653</v>
      </c>
      <c r="C30" s="6" t="s">
        <v>654</v>
      </c>
      <c r="D30" s="6" t="s">
        <v>662</v>
      </c>
      <c r="E30" s="6" t="n">
        <v>3</v>
      </c>
      <c r="F30" s="6" t="s">
        <v>631</v>
      </c>
      <c r="G30" s="6" t="s">
        <v>84</v>
      </c>
      <c r="H30" s="6" t="s">
        <v>656</v>
      </c>
      <c r="I30" s="6" t="s">
        <v>628</v>
      </c>
      <c r="J30" s="9" t="s">
        <v>217</v>
      </c>
      <c r="K30" s="9" t="s">
        <v>380</v>
      </c>
    </row>
    <row r="31" customFormat="false" ht="23.25" hidden="false" customHeight="true" outlineLevel="0" collapsed="false">
      <c r="A31" s="6" t="s">
        <v>383</v>
      </c>
      <c r="B31" s="6" t="s">
        <v>653</v>
      </c>
      <c r="C31" s="6" t="s">
        <v>654</v>
      </c>
      <c r="D31" s="6" t="s">
        <v>663</v>
      </c>
      <c r="E31" s="6" t="n">
        <v>2</v>
      </c>
      <c r="F31" s="6" t="s">
        <v>637</v>
      </c>
      <c r="G31" s="6" t="s">
        <v>84</v>
      </c>
      <c r="H31" s="6" t="s">
        <v>656</v>
      </c>
      <c r="I31" s="6" t="s">
        <v>628</v>
      </c>
      <c r="J31" s="9" t="s">
        <v>217</v>
      </c>
      <c r="K31" s="9" t="s">
        <v>384</v>
      </c>
    </row>
    <row r="32" customFormat="false" ht="23.25" hidden="false" customHeight="true" outlineLevel="0" collapsed="false">
      <c r="A32" s="6" t="s">
        <v>387</v>
      </c>
      <c r="B32" s="6" t="s">
        <v>653</v>
      </c>
      <c r="C32" s="6" t="s">
        <v>654</v>
      </c>
      <c r="D32" s="6" t="s">
        <v>664</v>
      </c>
      <c r="E32" s="6" t="n">
        <v>5</v>
      </c>
      <c r="F32" s="6" t="s">
        <v>631</v>
      </c>
      <c r="G32" s="6" t="s">
        <v>84</v>
      </c>
      <c r="H32" s="6" t="s">
        <v>656</v>
      </c>
      <c r="I32" s="6" t="s">
        <v>628</v>
      </c>
      <c r="J32" s="9" t="s">
        <v>217</v>
      </c>
      <c r="K32" s="9" t="s">
        <v>373</v>
      </c>
    </row>
    <row r="33" customFormat="false" ht="23.25" hidden="false" customHeight="true" outlineLevel="0" collapsed="false">
      <c r="A33" s="6" t="s">
        <v>390</v>
      </c>
      <c r="B33" s="6" t="s">
        <v>653</v>
      </c>
      <c r="C33" s="6" t="s">
        <v>654</v>
      </c>
      <c r="D33" s="6" t="s">
        <v>665</v>
      </c>
      <c r="E33" s="6" t="n">
        <v>3</v>
      </c>
      <c r="F33" s="6" t="s">
        <v>637</v>
      </c>
      <c r="G33" s="6" t="s">
        <v>84</v>
      </c>
      <c r="H33" s="6" t="s">
        <v>656</v>
      </c>
      <c r="I33" s="6" t="s">
        <v>628</v>
      </c>
      <c r="J33" s="9" t="s">
        <v>217</v>
      </c>
      <c r="K33" s="9" t="s">
        <v>391</v>
      </c>
    </row>
    <row r="34" customFormat="false" ht="23.25" hidden="false" customHeight="true" outlineLevel="0" collapsed="false">
      <c r="A34" s="6" t="s">
        <v>406</v>
      </c>
      <c r="B34" s="6" t="s">
        <v>666</v>
      </c>
      <c r="C34" s="6" t="s">
        <v>667</v>
      </c>
      <c r="D34" s="6" t="s">
        <v>668</v>
      </c>
      <c r="E34" s="6" t="n">
        <v>5</v>
      </c>
      <c r="F34" s="6" t="s">
        <v>626</v>
      </c>
      <c r="G34" s="6" t="s">
        <v>95</v>
      </c>
      <c r="H34" s="6" t="s">
        <v>669</v>
      </c>
      <c r="I34" s="6" t="s">
        <v>628</v>
      </c>
      <c r="J34" s="9" t="s">
        <v>217</v>
      </c>
      <c r="K34" s="9" t="s">
        <v>407</v>
      </c>
    </row>
    <row r="35" customFormat="false" ht="23.25" hidden="false" customHeight="true" outlineLevel="0" collapsed="false">
      <c r="A35" s="6" t="s">
        <v>410</v>
      </c>
      <c r="B35" s="6" t="s">
        <v>666</v>
      </c>
      <c r="C35" s="6" t="s">
        <v>667</v>
      </c>
      <c r="D35" s="6" t="s">
        <v>670</v>
      </c>
      <c r="E35" s="6" t="n">
        <v>8</v>
      </c>
      <c r="F35" s="6" t="s">
        <v>626</v>
      </c>
      <c r="G35" s="6" t="s">
        <v>95</v>
      </c>
      <c r="H35" s="6" t="s">
        <v>669</v>
      </c>
      <c r="I35" s="6" t="s">
        <v>628</v>
      </c>
      <c r="J35" s="9" t="s">
        <v>217</v>
      </c>
      <c r="K35" s="9" t="s">
        <v>411</v>
      </c>
    </row>
    <row r="36" customFormat="false" ht="23.25" hidden="false" customHeight="true" outlineLevel="0" collapsed="false">
      <c r="A36" s="6" t="s">
        <v>414</v>
      </c>
      <c r="B36" s="6" t="s">
        <v>666</v>
      </c>
      <c r="C36" s="6" t="s">
        <v>667</v>
      </c>
      <c r="D36" s="6" t="s">
        <v>671</v>
      </c>
      <c r="E36" s="6" t="n">
        <v>5</v>
      </c>
      <c r="F36" s="6" t="s">
        <v>631</v>
      </c>
      <c r="G36" s="6" t="s">
        <v>95</v>
      </c>
      <c r="H36" s="6" t="s">
        <v>669</v>
      </c>
      <c r="I36" s="6" t="s">
        <v>628</v>
      </c>
      <c r="J36" s="9" t="s">
        <v>217</v>
      </c>
      <c r="K36" s="9" t="s">
        <v>407</v>
      </c>
    </row>
    <row r="37" customFormat="false" ht="23.25" hidden="false" customHeight="true" outlineLevel="0" collapsed="false">
      <c r="A37" s="6" t="s">
        <v>417</v>
      </c>
      <c r="B37" s="6" t="s">
        <v>666</v>
      </c>
      <c r="C37" s="6" t="s">
        <v>667</v>
      </c>
      <c r="D37" s="6" t="s">
        <v>672</v>
      </c>
      <c r="E37" s="6" t="n">
        <v>3</v>
      </c>
      <c r="F37" s="6" t="s">
        <v>626</v>
      </c>
      <c r="G37" s="6" t="s">
        <v>95</v>
      </c>
      <c r="H37" s="6" t="s">
        <v>669</v>
      </c>
      <c r="I37" s="6" t="s">
        <v>628</v>
      </c>
      <c r="J37" s="9" t="s">
        <v>217</v>
      </c>
      <c r="K37" s="9" t="s">
        <v>411</v>
      </c>
    </row>
    <row r="38" customFormat="false" ht="23.25" hidden="false" customHeight="true" outlineLevel="0" collapsed="false">
      <c r="A38" s="6" t="s">
        <v>420</v>
      </c>
      <c r="B38" s="6" t="s">
        <v>666</v>
      </c>
      <c r="C38" s="6" t="s">
        <v>667</v>
      </c>
      <c r="D38" s="6" t="s">
        <v>673</v>
      </c>
      <c r="E38" s="6" t="n">
        <v>5</v>
      </c>
      <c r="F38" s="6" t="s">
        <v>626</v>
      </c>
      <c r="G38" s="6" t="s">
        <v>95</v>
      </c>
      <c r="H38" s="6" t="s">
        <v>669</v>
      </c>
      <c r="I38" s="6" t="s">
        <v>628</v>
      </c>
      <c r="J38" s="9" t="s">
        <v>217</v>
      </c>
      <c r="K38" s="9" t="s">
        <v>421</v>
      </c>
    </row>
    <row r="39" customFormat="false" ht="23.25" hidden="false" customHeight="true" outlineLevel="0" collapsed="false">
      <c r="A39" s="6" t="s">
        <v>424</v>
      </c>
      <c r="B39" s="6" t="s">
        <v>666</v>
      </c>
      <c r="C39" s="6" t="s">
        <v>667</v>
      </c>
      <c r="D39" s="6" t="s">
        <v>674</v>
      </c>
      <c r="E39" s="6" t="n">
        <v>3</v>
      </c>
      <c r="F39" s="6" t="s">
        <v>631</v>
      </c>
      <c r="G39" s="6" t="s">
        <v>95</v>
      </c>
      <c r="H39" s="6" t="s">
        <v>669</v>
      </c>
      <c r="I39" s="6" t="s">
        <v>628</v>
      </c>
      <c r="J39" s="9" t="s">
        <v>217</v>
      </c>
      <c r="K39" s="9" t="s">
        <v>407</v>
      </c>
    </row>
    <row r="40" customFormat="false" ht="15" hidden="false" customHeight="true" outlineLevel="0" collapsed="false">
      <c r="A40" s="6" t="s">
        <v>427</v>
      </c>
      <c r="B40" s="6" t="s">
        <v>666</v>
      </c>
      <c r="C40" s="6" t="s">
        <v>667</v>
      </c>
      <c r="D40" s="6" t="s">
        <v>675</v>
      </c>
      <c r="E40" s="6" t="n">
        <v>3</v>
      </c>
      <c r="F40" s="6" t="s">
        <v>631</v>
      </c>
      <c r="G40" s="6" t="s">
        <v>95</v>
      </c>
      <c r="H40" s="6" t="s">
        <v>669</v>
      </c>
      <c r="I40" s="6" t="s">
        <v>628</v>
      </c>
      <c r="J40" s="9" t="s">
        <v>217</v>
      </c>
      <c r="K40" s="9" t="s">
        <v>428</v>
      </c>
    </row>
    <row r="41" customFormat="false" ht="15" hidden="false" customHeight="true" outlineLevel="0" collapsed="false">
      <c r="A41" s="6" t="s">
        <v>431</v>
      </c>
      <c r="B41" s="6" t="s">
        <v>666</v>
      </c>
      <c r="C41" s="6" t="s">
        <v>667</v>
      </c>
      <c r="D41" s="6" t="s">
        <v>676</v>
      </c>
      <c r="E41" s="6" t="n">
        <v>2</v>
      </c>
      <c r="F41" s="6" t="s">
        <v>637</v>
      </c>
      <c r="G41" s="6" t="s">
        <v>95</v>
      </c>
      <c r="H41" s="6" t="s">
        <v>669</v>
      </c>
      <c r="I41" s="6" t="s">
        <v>628</v>
      </c>
      <c r="J41" s="9" t="s">
        <v>217</v>
      </c>
      <c r="K41" s="9" t="s">
        <v>432</v>
      </c>
    </row>
    <row r="42" customFormat="false" ht="23.25" hidden="false" customHeight="true" outlineLevel="0" collapsed="false">
      <c r="A42" s="6" t="s">
        <v>435</v>
      </c>
      <c r="B42" s="6" t="s">
        <v>666</v>
      </c>
      <c r="C42" s="6" t="s">
        <v>667</v>
      </c>
      <c r="D42" s="6" t="s">
        <v>677</v>
      </c>
      <c r="E42" s="6" t="n">
        <v>5</v>
      </c>
      <c r="F42" s="6" t="s">
        <v>631</v>
      </c>
      <c r="G42" s="6" t="s">
        <v>95</v>
      </c>
      <c r="H42" s="6" t="s">
        <v>669</v>
      </c>
      <c r="I42" s="6" t="s">
        <v>628</v>
      </c>
      <c r="J42" s="9" t="s">
        <v>217</v>
      </c>
      <c r="K42" s="9" t="s">
        <v>436</v>
      </c>
    </row>
    <row r="43" customFormat="false" ht="23.25" hidden="false" customHeight="true" outlineLevel="0" collapsed="false">
      <c r="A43" s="6" t="s">
        <v>439</v>
      </c>
      <c r="B43" s="6" t="s">
        <v>666</v>
      </c>
      <c r="C43" s="6" t="s">
        <v>667</v>
      </c>
      <c r="D43" s="6" t="s">
        <v>678</v>
      </c>
      <c r="E43" s="6" t="n">
        <v>3</v>
      </c>
      <c r="F43" s="6" t="s">
        <v>637</v>
      </c>
      <c r="G43" s="6" t="s">
        <v>95</v>
      </c>
      <c r="H43" s="6" t="s">
        <v>669</v>
      </c>
      <c r="I43" s="6" t="s">
        <v>628</v>
      </c>
      <c r="J43" s="9" t="s">
        <v>217</v>
      </c>
      <c r="K43" s="9" t="s">
        <v>440</v>
      </c>
    </row>
    <row r="44" customFormat="false" ht="23.25" hidden="false" customHeight="true" outlineLevel="0" collapsed="false">
      <c r="A44" s="6" t="s">
        <v>485</v>
      </c>
      <c r="B44" s="6" t="s">
        <v>679</v>
      </c>
      <c r="C44" s="6" t="s">
        <v>680</v>
      </c>
      <c r="D44" s="6" t="s">
        <v>681</v>
      </c>
      <c r="E44" s="6" t="n">
        <v>5</v>
      </c>
      <c r="F44" s="6" t="s">
        <v>626</v>
      </c>
      <c r="G44" s="6" t="s">
        <v>109</v>
      </c>
      <c r="H44" s="6" t="s">
        <v>682</v>
      </c>
      <c r="I44" s="6" t="s">
        <v>628</v>
      </c>
      <c r="J44" s="9" t="s">
        <v>217</v>
      </c>
      <c r="K44" s="9" t="s">
        <v>486</v>
      </c>
    </row>
    <row r="45" customFormat="false" ht="23.25" hidden="false" customHeight="true" outlineLevel="0" collapsed="false">
      <c r="A45" s="6" t="s">
        <v>489</v>
      </c>
      <c r="B45" s="6" t="s">
        <v>679</v>
      </c>
      <c r="C45" s="6" t="s">
        <v>680</v>
      </c>
      <c r="D45" s="6" t="s">
        <v>683</v>
      </c>
      <c r="E45" s="6" t="n">
        <v>8</v>
      </c>
      <c r="F45" s="6" t="s">
        <v>626</v>
      </c>
      <c r="G45" s="6" t="s">
        <v>109</v>
      </c>
      <c r="H45" s="6" t="s">
        <v>682</v>
      </c>
      <c r="I45" s="6" t="s">
        <v>628</v>
      </c>
      <c r="J45" s="9" t="s">
        <v>217</v>
      </c>
      <c r="K45" s="9" t="s">
        <v>490</v>
      </c>
    </row>
    <row r="46" customFormat="false" ht="23.25" hidden="false" customHeight="true" outlineLevel="0" collapsed="false">
      <c r="A46" s="6" t="s">
        <v>493</v>
      </c>
      <c r="B46" s="6" t="s">
        <v>679</v>
      </c>
      <c r="C46" s="6" t="s">
        <v>680</v>
      </c>
      <c r="D46" s="6" t="s">
        <v>684</v>
      </c>
      <c r="E46" s="6" t="n">
        <v>5</v>
      </c>
      <c r="F46" s="6" t="s">
        <v>631</v>
      </c>
      <c r="G46" s="6" t="s">
        <v>109</v>
      </c>
      <c r="H46" s="6" t="s">
        <v>682</v>
      </c>
      <c r="I46" s="6" t="s">
        <v>628</v>
      </c>
      <c r="J46" s="9" t="s">
        <v>217</v>
      </c>
      <c r="K46" s="9" t="s">
        <v>486</v>
      </c>
    </row>
    <row r="47" customFormat="false" ht="23.25" hidden="false" customHeight="true" outlineLevel="0" collapsed="false">
      <c r="A47" s="6" t="s">
        <v>496</v>
      </c>
      <c r="B47" s="6" t="s">
        <v>679</v>
      </c>
      <c r="C47" s="6" t="s">
        <v>680</v>
      </c>
      <c r="D47" s="6" t="s">
        <v>685</v>
      </c>
      <c r="E47" s="6" t="n">
        <v>3</v>
      </c>
      <c r="F47" s="6" t="s">
        <v>626</v>
      </c>
      <c r="G47" s="6" t="s">
        <v>109</v>
      </c>
      <c r="H47" s="6" t="s">
        <v>682</v>
      </c>
      <c r="I47" s="6" t="s">
        <v>628</v>
      </c>
      <c r="J47" s="9" t="s">
        <v>217</v>
      </c>
      <c r="K47" s="9" t="s">
        <v>490</v>
      </c>
    </row>
    <row r="48" customFormat="false" ht="23.25" hidden="false" customHeight="true" outlineLevel="0" collapsed="false">
      <c r="A48" s="6" t="s">
        <v>499</v>
      </c>
      <c r="B48" s="6" t="s">
        <v>679</v>
      </c>
      <c r="C48" s="6" t="s">
        <v>680</v>
      </c>
      <c r="D48" s="6" t="s">
        <v>686</v>
      </c>
      <c r="E48" s="6" t="n">
        <v>5</v>
      </c>
      <c r="F48" s="6" t="s">
        <v>626</v>
      </c>
      <c r="G48" s="6" t="s">
        <v>109</v>
      </c>
      <c r="H48" s="6" t="s">
        <v>682</v>
      </c>
      <c r="I48" s="6" t="s">
        <v>628</v>
      </c>
      <c r="J48" s="9" t="s">
        <v>217</v>
      </c>
      <c r="K48" s="9" t="s">
        <v>500</v>
      </c>
    </row>
    <row r="49" customFormat="false" ht="23.25" hidden="false" customHeight="true" outlineLevel="0" collapsed="false">
      <c r="A49" s="6" t="s">
        <v>503</v>
      </c>
      <c r="B49" s="6" t="s">
        <v>679</v>
      </c>
      <c r="C49" s="6" t="s">
        <v>680</v>
      </c>
      <c r="D49" s="6" t="s">
        <v>687</v>
      </c>
      <c r="E49" s="6" t="n">
        <v>3</v>
      </c>
      <c r="F49" s="6" t="s">
        <v>631</v>
      </c>
      <c r="G49" s="6" t="s">
        <v>109</v>
      </c>
      <c r="H49" s="6" t="s">
        <v>682</v>
      </c>
      <c r="I49" s="6" t="s">
        <v>628</v>
      </c>
      <c r="J49" s="9" t="s">
        <v>217</v>
      </c>
      <c r="K49" s="9" t="s">
        <v>500</v>
      </c>
    </row>
    <row r="50" customFormat="false" ht="23.25" hidden="false" customHeight="true" outlineLevel="0" collapsed="false">
      <c r="A50" s="6" t="s">
        <v>506</v>
      </c>
      <c r="B50" s="6" t="s">
        <v>679</v>
      </c>
      <c r="C50" s="6" t="s">
        <v>680</v>
      </c>
      <c r="D50" s="6" t="s">
        <v>688</v>
      </c>
      <c r="E50" s="6" t="n">
        <v>3</v>
      </c>
      <c r="F50" s="6" t="s">
        <v>631</v>
      </c>
      <c r="G50" s="6" t="s">
        <v>109</v>
      </c>
      <c r="H50" s="6" t="s">
        <v>682</v>
      </c>
      <c r="I50" s="6" t="s">
        <v>628</v>
      </c>
      <c r="J50" s="9" t="s">
        <v>217</v>
      </c>
      <c r="K50" s="9" t="s">
        <v>507</v>
      </c>
    </row>
    <row r="51" customFormat="false" ht="23.25" hidden="false" customHeight="true" outlineLevel="0" collapsed="false">
      <c r="A51" s="6" t="s">
        <v>510</v>
      </c>
      <c r="B51" s="6" t="s">
        <v>679</v>
      </c>
      <c r="C51" s="6" t="s">
        <v>680</v>
      </c>
      <c r="D51" s="6" t="s">
        <v>689</v>
      </c>
      <c r="E51" s="6" t="n">
        <v>2</v>
      </c>
      <c r="F51" s="6" t="s">
        <v>637</v>
      </c>
      <c r="G51" s="6" t="s">
        <v>109</v>
      </c>
      <c r="H51" s="6" t="s">
        <v>682</v>
      </c>
      <c r="I51" s="6" t="s">
        <v>628</v>
      </c>
      <c r="J51" s="9" t="s">
        <v>217</v>
      </c>
      <c r="K51" s="9" t="s">
        <v>511</v>
      </c>
    </row>
    <row r="52" customFormat="false" ht="23.25" hidden="false" customHeight="true" outlineLevel="0" collapsed="false">
      <c r="A52" s="6" t="s">
        <v>514</v>
      </c>
      <c r="B52" s="6" t="s">
        <v>679</v>
      </c>
      <c r="C52" s="6" t="s">
        <v>680</v>
      </c>
      <c r="D52" s="6" t="s">
        <v>690</v>
      </c>
      <c r="E52" s="6" t="n">
        <v>5</v>
      </c>
      <c r="F52" s="6" t="s">
        <v>631</v>
      </c>
      <c r="G52" s="6" t="s">
        <v>109</v>
      </c>
      <c r="H52" s="6" t="s">
        <v>682</v>
      </c>
      <c r="I52" s="6" t="s">
        <v>628</v>
      </c>
      <c r="J52" s="9" t="s">
        <v>217</v>
      </c>
      <c r="K52" s="9" t="s">
        <v>515</v>
      </c>
    </row>
    <row r="53" customFormat="false" ht="23.25" hidden="false" customHeight="true" outlineLevel="0" collapsed="false">
      <c r="A53" s="6" t="s">
        <v>518</v>
      </c>
      <c r="B53" s="6" t="s">
        <v>679</v>
      </c>
      <c r="C53" s="6" t="s">
        <v>680</v>
      </c>
      <c r="D53" s="6" t="s">
        <v>691</v>
      </c>
      <c r="E53" s="6" t="n">
        <v>3</v>
      </c>
      <c r="F53" s="6" t="s">
        <v>637</v>
      </c>
      <c r="G53" s="6" t="s">
        <v>109</v>
      </c>
      <c r="H53" s="6" t="s">
        <v>682</v>
      </c>
      <c r="I53" s="6" t="s">
        <v>628</v>
      </c>
      <c r="J53" s="9" t="s">
        <v>217</v>
      </c>
      <c r="K53" s="9" t="s">
        <v>519</v>
      </c>
    </row>
    <row r="54" customFormat="false" ht="23.25" hidden="false" customHeight="true" outlineLevel="0" collapsed="false">
      <c r="A54" s="6" t="s">
        <v>215</v>
      </c>
      <c r="B54" s="6" t="s">
        <v>692</v>
      </c>
      <c r="C54" s="6" t="s">
        <v>693</v>
      </c>
      <c r="D54" s="6" t="s">
        <v>694</v>
      </c>
      <c r="E54" s="6" t="n">
        <v>5</v>
      </c>
      <c r="F54" s="6" t="s">
        <v>626</v>
      </c>
      <c r="G54" s="6" t="s">
        <v>58</v>
      </c>
      <c r="H54" s="6" t="s">
        <v>695</v>
      </c>
      <c r="I54" s="6" t="s">
        <v>628</v>
      </c>
      <c r="J54" s="9" t="s">
        <v>217</v>
      </c>
      <c r="K54" s="9" t="s">
        <v>218</v>
      </c>
    </row>
    <row r="55" customFormat="false" ht="23.25" hidden="false" customHeight="true" outlineLevel="0" collapsed="false">
      <c r="A55" s="6" t="s">
        <v>221</v>
      </c>
      <c r="B55" s="6" t="s">
        <v>692</v>
      </c>
      <c r="C55" s="6" t="s">
        <v>693</v>
      </c>
      <c r="D55" s="6" t="s">
        <v>220</v>
      </c>
      <c r="E55" s="6" t="n">
        <v>3</v>
      </c>
      <c r="F55" s="6" t="s">
        <v>626</v>
      </c>
      <c r="G55" s="6" t="s">
        <v>58</v>
      </c>
      <c r="H55" s="6" t="s">
        <v>695</v>
      </c>
      <c r="I55" s="6" t="s">
        <v>628</v>
      </c>
      <c r="J55" s="9" t="s">
        <v>217</v>
      </c>
      <c r="K55" s="9" t="s">
        <v>222</v>
      </c>
    </row>
    <row r="56" customFormat="false" ht="23.25" hidden="false" customHeight="true" outlineLevel="0" collapsed="false">
      <c r="A56" s="6" t="s">
        <v>260</v>
      </c>
      <c r="B56" s="6" t="s">
        <v>692</v>
      </c>
      <c r="C56" s="6" t="s">
        <v>693</v>
      </c>
      <c r="D56" s="6" t="s">
        <v>259</v>
      </c>
      <c r="E56" s="6" t="n">
        <v>3</v>
      </c>
      <c r="F56" s="6" t="s">
        <v>631</v>
      </c>
      <c r="G56" s="6" t="s">
        <v>65</v>
      </c>
      <c r="H56" s="6" t="s">
        <v>695</v>
      </c>
      <c r="I56" s="6" t="s">
        <v>628</v>
      </c>
      <c r="J56" s="9" t="s">
        <v>217</v>
      </c>
      <c r="K56" s="9" t="s">
        <v>261</v>
      </c>
    </row>
    <row r="57" customFormat="false" ht="23.25" hidden="false" customHeight="true" outlineLevel="0" collapsed="false">
      <c r="A57" s="6" t="s">
        <v>264</v>
      </c>
      <c r="B57" s="6" t="s">
        <v>692</v>
      </c>
      <c r="C57" s="6" t="s">
        <v>693</v>
      </c>
      <c r="D57" s="6" t="s">
        <v>263</v>
      </c>
      <c r="E57" s="6" t="n">
        <v>5</v>
      </c>
      <c r="F57" s="6" t="s">
        <v>626</v>
      </c>
      <c r="G57" s="6" t="s">
        <v>65</v>
      </c>
      <c r="H57" s="6" t="s">
        <v>695</v>
      </c>
      <c r="I57" s="6" t="s">
        <v>628</v>
      </c>
      <c r="J57" s="9" t="s">
        <v>217</v>
      </c>
      <c r="K57" s="9" t="s">
        <v>265</v>
      </c>
    </row>
    <row r="58" customFormat="false" ht="23.25" hidden="false" customHeight="true" outlineLevel="0" collapsed="false">
      <c r="A58" s="6" t="s">
        <v>225</v>
      </c>
      <c r="B58" s="6" t="s">
        <v>692</v>
      </c>
      <c r="C58" s="6" t="s">
        <v>693</v>
      </c>
      <c r="D58" s="6" t="s">
        <v>224</v>
      </c>
      <c r="E58" s="6" t="n">
        <v>3</v>
      </c>
      <c r="F58" s="6" t="s">
        <v>626</v>
      </c>
      <c r="G58" s="6" t="s">
        <v>58</v>
      </c>
      <c r="H58" s="6" t="s">
        <v>695</v>
      </c>
      <c r="I58" s="6" t="s">
        <v>628</v>
      </c>
      <c r="J58" s="9" t="s">
        <v>217</v>
      </c>
      <c r="K58" s="9" t="s">
        <v>226</v>
      </c>
    </row>
    <row r="59" customFormat="false" ht="23.25" hidden="false" customHeight="true" outlineLevel="0" collapsed="false">
      <c r="A59" s="6" t="s">
        <v>229</v>
      </c>
      <c r="B59" s="6" t="s">
        <v>692</v>
      </c>
      <c r="C59" s="6" t="s">
        <v>693</v>
      </c>
      <c r="D59" s="6" t="s">
        <v>696</v>
      </c>
      <c r="E59" s="6" t="n">
        <v>2</v>
      </c>
      <c r="F59" s="6" t="s">
        <v>631</v>
      </c>
      <c r="G59" s="6" t="s">
        <v>58</v>
      </c>
      <c r="H59" s="6" t="s">
        <v>695</v>
      </c>
      <c r="I59" s="6" t="s">
        <v>628</v>
      </c>
      <c r="J59" s="9" t="s">
        <v>217</v>
      </c>
      <c r="K59" s="9" t="s">
        <v>230</v>
      </c>
    </row>
    <row r="60" customFormat="false" ht="15" hidden="false" customHeight="true" outlineLevel="0" collapsed="false">
      <c r="A60" s="6" t="s">
        <v>443</v>
      </c>
      <c r="B60" s="6" t="s">
        <v>697</v>
      </c>
      <c r="C60" s="6" t="s">
        <v>698</v>
      </c>
      <c r="D60" s="6" t="s">
        <v>442</v>
      </c>
      <c r="E60" s="6" t="n">
        <v>5</v>
      </c>
      <c r="F60" s="6" t="s">
        <v>626</v>
      </c>
      <c r="G60" s="6" t="s">
        <v>95</v>
      </c>
      <c r="H60" s="6" t="s">
        <v>699</v>
      </c>
      <c r="I60" s="6" t="s">
        <v>628</v>
      </c>
      <c r="J60" s="9" t="s">
        <v>217</v>
      </c>
      <c r="K60" s="9" t="s">
        <v>444</v>
      </c>
    </row>
    <row r="61" customFormat="false" ht="15" hidden="false" customHeight="true" outlineLevel="0" collapsed="false">
      <c r="A61" s="6" t="s">
        <v>447</v>
      </c>
      <c r="B61" s="6" t="s">
        <v>697</v>
      </c>
      <c r="C61" s="6" t="s">
        <v>698</v>
      </c>
      <c r="D61" s="6" t="s">
        <v>446</v>
      </c>
      <c r="E61" s="6" t="n">
        <v>5</v>
      </c>
      <c r="F61" s="6" t="s">
        <v>626</v>
      </c>
      <c r="G61" s="6" t="s">
        <v>95</v>
      </c>
      <c r="H61" s="6" t="s">
        <v>699</v>
      </c>
      <c r="I61" s="6" t="s">
        <v>628</v>
      </c>
      <c r="J61" s="9" t="s">
        <v>217</v>
      </c>
      <c r="K61" s="9" t="s">
        <v>444</v>
      </c>
    </row>
    <row r="62" customFormat="false" ht="15" hidden="false" customHeight="true" outlineLevel="0" collapsed="false">
      <c r="A62" s="6" t="s">
        <v>450</v>
      </c>
      <c r="B62" s="6" t="s">
        <v>697</v>
      </c>
      <c r="C62" s="6" t="s">
        <v>698</v>
      </c>
      <c r="D62" s="6" t="s">
        <v>700</v>
      </c>
      <c r="E62" s="6" t="n">
        <v>8</v>
      </c>
      <c r="F62" s="6" t="s">
        <v>626</v>
      </c>
      <c r="G62" s="6" t="s">
        <v>95</v>
      </c>
      <c r="H62" s="6" t="s">
        <v>699</v>
      </c>
      <c r="I62" s="6" t="s">
        <v>628</v>
      </c>
      <c r="J62" s="9" t="s">
        <v>217</v>
      </c>
      <c r="K62" s="9" t="s">
        <v>451</v>
      </c>
    </row>
    <row r="63" customFormat="false" ht="15" hidden="false" customHeight="true" outlineLevel="0" collapsed="false">
      <c r="A63" s="6" t="s">
        <v>460</v>
      </c>
      <c r="B63" s="6" t="s">
        <v>697</v>
      </c>
      <c r="C63" s="6" t="s">
        <v>698</v>
      </c>
      <c r="D63" s="6" t="s">
        <v>459</v>
      </c>
      <c r="E63" s="6" t="n">
        <v>3</v>
      </c>
      <c r="F63" s="6" t="s">
        <v>631</v>
      </c>
      <c r="G63" s="6" t="s">
        <v>102</v>
      </c>
      <c r="H63" s="6" t="s">
        <v>699</v>
      </c>
      <c r="I63" s="6" t="s">
        <v>628</v>
      </c>
      <c r="J63" s="9" t="s">
        <v>217</v>
      </c>
      <c r="K63" s="9" t="s">
        <v>461</v>
      </c>
    </row>
    <row r="64" customFormat="false" ht="15" hidden="false" customHeight="true" outlineLevel="0" collapsed="false">
      <c r="A64" s="6" t="s">
        <v>464</v>
      </c>
      <c r="B64" s="6" t="s">
        <v>697</v>
      </c>
      <c r="C64" s="6" t="s">
        <v>698</v>
      </c>
      <c r="D64" s="6" t="s">
        <v>463</v>
      </c>
      <c r="E64" s="6" t="n">
        <v>3</v>
      </c>
      <c r="F64" s="6" t="s">
        <v>631</v>
      </c>
      <c r="G64" s="6" t="s">
        <v>102</v>
      </c>
      <c r="H64" s="6" t="s">
        <v>699</v>
      </c>
      <c r="I64" s="6" t="s">
        <v>628</v>
      </c>
      <c r="J64" s="9" t="s">
        <v>217</v>
      </c>
      <c r="K64" s="9" t="s">
        <v>465</v>
      </c>
    </row>
    <row r="65" customFormat="false" ht="15" hidden="false" customHeight="true" outlineLevel="0" collapsed="false">
      <c r="A65" s="6" t="s">
        <v>468</v>
      </c>
      <c r="B65" s="6" t="s">
        <v>697</v>
      </c>
      <c r="C65" s="6" t="s">
        <v>698</v>
      </c>
      <c r="D65" s="6" t="s">
        <v>467</v>
      </c>
      <c r="E65" s="6" t="n">
        <v>3</v>
      </c>
      <c r="F65" s="6" t="s">
        <v>637</v>
      </c>
      <c r="G65" s="6" t="s">
        <v>102</v>
      </c>
      <c r="H65" s="6" t="s">
        <v>699</v>
      </c>
      <c r="I65" s="6" t="s">
        <v>628</v>
      </c>
      <c r="J65" s="9" t="s">
        <v>217</v>
      </c>
      <c r="K65" s="9" t="s">
        <v>469</v>
      </c>
    </row>
    <row r="66" customFormat="false" ht="15" hidden="false" customHeight="true" outlineLevel="0" collapsed="false">
      <c r="A66" s="6" t="s">
        <v>472</v>
      </c>
      <c r="B66" s="6" t="s">
        <v>697</v>
      </c>
      <c r="C66" s="6" t="s">
        <v>698</v>
      </c>
      <c r="D66" s="6" t="s">
        <v>471</v>
      </c>
      <c r="E66" s="6" t="n">
        <v>3</v>
      </c>
      <c r="F66" s="6" t="s">
        <v>631</v>
      </c>
      <c r="G66" s="6" t="s">
        <v>102</v>
      </c>
      <c r="H66" s="6" t="s">
        <v>699</v>
      </c>
      <c r="I66" s="6" t="s">
        <v>628</v>
      </c>
      <c r="J66" s="9" t="s">
        <v>217</v>
      </c>
      <c r="K66" s="9" t="s">
        <v>473</v>
      </c>
    </row>
    <row r="67" customFormat="false" ht="15" hidden="false" customHeight="true" outlineLevel="0" collapsed="false">
      <c r="A67" s="6" t="s">
        <v>476</v>
      </c>
      <c r="B67" s="6" t="s">
        <v>701</v>
      </c>
      <c r="C67" s="6" t="s">
        <v>702</v>
      </c>
      <c r="D67" s="6" t="s">
        <v>475</v>
      </c>
      <c r="E67" s="6" t="n">
        <v>3</v>
      </c>
      <c r="F67" s="6" t="s">
        <v>626</v>
      </c>
      <c r="G67" s="6" t="s">
        <v>102</v>
      </c>
      <c r="H67" s="6" t="s">
        <v>703</v>
      </c>
      <c r="I67" s="6" t="s">
        <v>704</v>
      </c>
      <c r="J67" s="9" t="s">
        <v>217</v>
      </c>
      <c r="K67" s="9" t="s">
        <v>477</v>
      </c>
    </row>
    <row r="68" customFormat="false" ht="15" hidden="false" customHeight="true" outlineLevel="0" collapsed="false">
      <c r="A68" s="6" t="s">
        <v>522</v>
      </c>
      <c r="B68" s="6" t="s">
        <v>701</v>
      </c>
      <c r="C68" s="6" t="s">
        <v>702</v>
      </c>
      <c r="D68" s="6" t="s">
        <v>521</v>
      </c>
      <c r="E68" s="6" t="n">
        <v>3</v>
      </c>
      <c r="F68" s="6" t="s">
        <v>626</v>
      </c>
      <c r="G68" s="6" t="s">
        <v>109</v>
      </c>
      <c r="H68" s="6" t="s">
        <v>703</v>
      </c>
      <c r="I68" s="6" t="s">
        <v>705</v>
      </c>
      <c r="J68" s="9" t="s">
        <v>217</v>
      </c>
      <c r="K68" s="9" t="s">
        <v>523</v>
      </c>
    </row>
    <row r="69" customFormat="false" ht="15" hidden="false" customHeight="true" outlineLevel="0" collapsed="false">
      <c r="A69" s="6" t="s">
        <v>526</v>
      </c>
      <c r="B69" s="6" t="s">
        <v>701</v>
      </c>
      <c r="C69" s="6" t="s">
        <v>702</v>
      </c>
      <c r="D69" s="6" t="s">
        <v>525</v>
      </c>
      <c r="E69" s="6" t="n">
        <v>5</v>
      </c>
      <c r="F69" s="6" t="s">
        <v>626</v>
      </c>
      <c r="G69" s="6" t="s">
        <v>109</v>
      </c>
      <c r="H69" s="6" t="s">
        <v>703</v>
      </c>
      <c r="I69" s="6" t="s">
        <v>628</v>
      </c>
      <c r="J69" s="9" t="s">
        <v>217</v>
      </c>
      <c r="K69" s="9" t="s">
        <v>527</v>
      </c>
    </row>
    <row r="70" customFormat="false" ht="15" hidden="false" customHeight="true" outlineLevel="0" collapsed="false">
      <c r="A70" s="6" t="s">
        <v>530</v>
      </c>
      <c r="B70" s="6" t="s">
        <v>701</v>
      </c>
      <c r="C70" s="6" t="s">
        <v>702</v>
      </c>
      <c r="D70" s="6" t="s">
        <v>529</v>
      </c>
      <c r="E70" s="6" t="n">
        <v>5</v>
      </c>
      <c r="F70" s="6" t="s">
        <v>631</v>
      </c>
      <c r="G70" s="6" t="s">
        <v>109</v>
      </c>
      <c r="H70" s="6" t="s">
        <v>703</v>
      </c>
      <c r="I70" s="6" t="s">
        <v>628</v>
      </c>
      <c r="J70" s="9" t="s">
        <v>217</v>
      </c>
      <c r="K70" s="9" t="s">
        <v>531</v>
      </c>
    </row>
    <row r="71" customFormat="false" ht="15" hidden="false" customHeight="true" outlineLevel="0" collapsed="false">
      <c r="A71" s="6" t="s">
        <v>585</v>
      </c>
      <c r="B71" s="6" t="s">
        <v>701</v>
      </c>
      <c r="C71" s="6" t="s">
        <v>702</v>
      </c>
      <c r="D71" s="6" t="s">
        <v>584</v>
      </c>
      <c r="E71" s="6" t="n">
        <v>8</v>
      </c>
      <c r="F71" s="6" t="s">
        <v>626</v>
      </c>
      <c r="G71" s="6" t="s">
        <v>117</v>
      </c>
      <c r="H71" s="6" t="s">
        <v>703</v>
      </c>
      <c r="I71" s="6" t="s">
        <v>706</v>
      </c>
      <c r="J71" s="9" t="s">
        <v>587</v>
      </c>
      <c r="K71" s="9" t="s">
        <v>707</v>
      </c>
    </row>
    <row r="72" customFormat="false" ht="15" hidden="false" customHeight="true" outlineLevel="0" collapsed="false">
      <c r="A72" s="6" t="s">
        <v>573</v>
      </c>
      <c r="B72" s="6" t="s">
        <v>701</v>
      </c>
      <c r="C72" s="6" t="s">
        <v>702</v>
      </c>
      <c r="D72" s="6" t="s">
        <v>572</v>
      </c>
      <c r="E72" s="6" t="n">
        <v>5</v>
      </c>
      <c r="F72" s="6" t="s">
        <v>626</v>
      </c>
      <c r="G72" s="6" t="s">
        <v>117</v>
      </c>
      <c r="H72" s="6" t="s">
        <v>703</v>
      </c>
      <c r="I72" s="6" t="s">
        <v>706</v>
      </c>
      <c r="J72" s="9" t="s">
        <v>217</v>
      </c>
      <c r="K72" s="9" t="s">
        <v>708</v>
      </c>
    </row>
    <row r="73" customFormat="false" ht="15" hidden="false" customHeight="true" outlineLevel="0" collapsed="false">
      <c r="A73" s="6" t="s">
        <v>534</v>
      </c>
      <c r="B73" s="6" t="s">
        <v>701</v>
      </c>
      <c r="C73" s="6" t="s">
        <v>702</v>
      </c>
      <c r="D73" s="6" t="s">
        <v>533</v>
      </c>
      <c r="E73" s="6" t="n">
        <v>5</v>
      </c>
      <c r="F73" s="6" t="s">
        <v>626</v>
      </c>
      <c r="G73" s="6" t="s">
        <v>109</v>
      </c>
      <c r="H73" s="6" t="s">
        <v>703</v>
      </c>
      <c r="I73" s="6" t="s">
        <v>628</v>
      </c>
      <c r="J73" s="9" t="s">
        <v>217</v>
      </c>
      <c r="K73" s="9" t="s">
        <v>531</v>
      </c>
    </row>
    <row r="74" customFormat="false" ht="23.25" hidden="false" customHeight="true" outlineLevel="0" collapsed="false">
      <c r="A74" s="6" t="s">
        <v>339</v>
      </c>
      <c r="B74" s="6" t="s">
        <v>709</v>
      </c>
      <c r="C74" s="6" t="s">
        <v>710</v>
      </c>
      <c r="D74" s="6" t="s">
        <v>338</v>
      </c>
      <c r="E74" s="6" t="n">
        <v>5</v>
      </c>
      <c r="F74" s="6" t="s">
        <v>626</v>
      </c>
      <c r="G74" s="6" t="s">
        <v>77</v>
      </c>
      <c r="H74" s="6" t="s">
        <v>711</v>
      </c>
      <c r="I74" s="6" t="s">
        <v>628</v>
      </c>
      <c r="J74" s="9" t="s">
        <v>217</v>
      </c>
      <c r="K74" s="9" t="s">
        <v>340</v>
      </c>
    </row>
    <row r="75" customFormat="false" ht="23.25" hidden="false" customHeight="true" outlineLevel="0" collapsed="false">
      <c r="A75" s="6" t="s">
        <v>343</v>
      </c>
      <c r="B75" s="6" t="s">
        <v>709</v>
      </c>
      <c r="C75" s="6" t="s">
        <v>710</v>
      </c>
      <c r="D75" s="6" t="s">
        <v>342</v>
      </c>
      <c r="E75" s="6" t="n">
        <v>3</v>
      </c>
      <c r="F75" s="6" t="s">
        <v>626</v>
      </c>
      <c r="G75" s="6" t="s">
        <v>77</v>
      </c>
      <c r="H75" s="6" t="s">
        <v>711</v>
      </c>
      <c r="I75" s="6" t="s">
        <v>628</v>
      </c>
      <c r="J75" s="9" t="s">
        <v>217</v>
      </c>
      <c r="K75" s="9" t="s">
        <v>340</v>
      </c>
    </row>
    <row r="76" customFormat="false" ht="15" hidden="false" customHeight="true" outlineLevel="0" collapsed="false">
      <c r="A76" s="6" t="s">
        <v>537</v>
      </c>
      <c r="B76" s="6" t="s">
        <v>709</v>
      </c>
      <c r="C76" s="6" t="s">
        <v>710</v>
      </c>
      <c r="D76" s="6" t="s">
        <v>536</v>
      </c>
      <c r="E76" s="6" t="n">
        <v>3</v>
      </c>
      <c r="F76" s="6" t="s">
        <v>637</v>
      </c>
      <c r="G76" s="6" t="s">
        <v>109</v>
      </c>
      <c r="H76" s="6" t="s">
        <v>711</v>
      </c>
      <c r="I76" s="6" t="s">
        <v>628</v>
      </c>
      <c r="J76" s="9" t="s">
        <v>217</v>
      </c>
      <c r="K76" s="9" t="s">
        <v>538</v>
      </c>
    </row>
    <row r="77" customFormat="false" ht="15" hidden="false" customHeight="true" outlineLevel="0" collapsed="false">
      <c r="A77" s="6" t="s">
        <v>541</v>
      </c>
      <c r="B77" s="6" t="s">
        <v>709</v>
      </c>
      <c r="C77" s="6" t="s">
        <v>710</v>
      </c>
      <c r="D77" s="6" t="s">
        <v>540</v>
      </c>
      <c r="E77" s="6" t="n">
        <v>2</v>
      </c>
      <c r="F77" s="6" t="s">
        <v>637</v>
      </c>
      <c r="G77" s="6" t="s">
        <v>109</v>
      </c>
      <c r="H77" s="6" t="s">
        <v>711</v>
      </c>
      <c r="I77" s="6" t="s">
        <v>628</v>
      </c>
      <c r="J77" s="9" t="s">
        <v>217</v>
      </c>
      <c r="K77" s="9" t="s">
        <v>542</v>
      </c>
    </row>
    <row r="78" customFormat="false" ht="15" hidden="false" customHeight="true" outlineLevel="0" collapsed="false">
      <c r="A78" s="6" t="s">
        <v>545</v>
      </c>
      <c r="B78" s="6" t="s">
        <v>709</v>
      </c>
      <c r="C78" s="6" t="s">
        <v>710</v>
      </c>
      <c r="D78" s="6" t="s">
        <v>544</v>
      </c>
      <c r="E78" s="6" t="n">
        <v>5</v>
      </c>
      <c r="F78" s="6" t="s">
        <v>631</v>
      </c>
      <c r="G78" s="6" t="s">
        <v>109</v>
      </c>
      <c r="H78" s="6" t="s">
        <v>711</v>
      </c>
      <c r="I78" s="6" t="s">
        <v>628</v>
      </c>
      <c r="J78" s="9" t="s">
        <v>217</v>
      </c>
      <c r="K78" s="9" t="s">
        <v>542</v>
      </c>
    </row>
    <row r="79" customFormat="false" ht="15" hidden="false" customHeight="true" outlineLevel="0" collapsed="false">
      <c r="A79" s="6" t="s">
        <v>548</v>
      </c>
      <c r="B79" s="6" t="s">
        <v>709</v>
      </c>
      <c r="C79" s="6" t="s">
        <v>710</v>
      </c>
      <c r="D79" s="6" t="s">
        <v>547</v>
      </c>
      <c r="E79" s="6" t="n">
        <v>3</v>
      </c>
      <c r="F79" s="6" t="s">
        <v>637</v>
      </c>
      <c r="G79" s="6" t="s">
        <v>109</v>
      </c>
      <c r="H79" s="6" t="s">
        <v>711</v>
      </c>
      <c r="I79" s="6" t="s">
        <v>628</v>
      </c>
      <c r="J79" s="9" t="s">
        <v>217</v>
      </c>
      <c r="K79" s="9" t="s">
        <v>538</v>
      </c>
    </row>
    <row r="80" customFormat="false" ht="15" hidden="false" customHeight="true" outlineLevel="0" collapsed="false">
      <c r="A80" s="6" t="s">
        <v>551</v>
      </c>
      <c r="B80" s="6" t="s">
        <v>709</v>
      </c>
      <c r="C80" s="6" t="s">
        <v>710</v>
      </c>
      <c r="D80" s="6" t="s">
        <v>712</v>
      </c>
      <c r="E80" s="6" t="n">
        <v>3</v>
      </c>
      <c r="F80" s="6" t="s">
        <v>637</v>
      </c>
      <c r="G80" s="6" t="s">
        <v>109</v>
      </c>
      <c r="H80" s="6" t="s">
        <v>711</v>
      </c>
      <c r="I80" s="6" t="s">
        <v>628</v>
      </c>
      <c r="J80" s="9" t="s">
        <v>217</v>
      </c>
      <c r="K80" s="9" t="s">
        <v>542</v>
      </c>
    </row>
    <row r="81" customFormat="false" ht="23.25" hidden="false" customHeight="true" outlineLevel="0" collapsed="false">
      <c r="A81" s="6" t="s">
        <v>394</v>
      </c>
      <c r="B81" s="6" t="s">
        <v>713</v>
      </c>
      <c r="C81" s="6" t="s">
        <v>714</v>
      </c>
      <c r="D81" s="6" t="s">
        <v>393</v>
      </c>
      <c r="E81" s="6" t="n">
        <v>5</v>
      </c>
      <c r="F81" s="6" t="s">
        <v>626</v>
      </c>
      <c r="G81" s="6" t="s">
        <v>84</v>
      </c>
      <c r="H81" s="6" t="s">
        <v>715</v>
      </c>
      <c r="I81" s="6" t="s">
        <v>628</v>
      </c>
      <c r="J81" s="9" t="s">
        <v>217</v>
      </c>
      <c r="K81" s="9" t="s">
        <v>395</v>
      </c>
    </row>
    <row r="82" customFormat="false" ht="23.25" hidden="false" customHeight="true" outlineLevel="0" collapsed="false">
      <c r="A82" s="6" t="s">
        <v>398</v>
      </c>
      <c r="B82" s="6" t="s">
        <v>713</v>
      </c>
      <c r="C82" s="6" t="s">
        <v>714</v>
      </c>
      <c r="D82" s="6" t="s">
        <v>397</v>
      </c>
      <c r="E82" s="6" t="n">
        <v>3</v>
      </c>
      <c r="F82" s="6" t="s">
        <v>631</v>
      </c>
      <c r="G82" s="6" t="s">
        <v>84</v>
      </c>
      <c r="H82" s="6" t="s">
        <v>715</v>
      </c>
      <c r="I82" s="6" t="s">
        <v>628</v>
      </c>
      <c r="J82" s="9" t="s">
        <v>217</v>
      </c>
      <c r="K82" s="9" t="s">
        <v>380</v>
      </c>
    </row>
    <row r="83" customFormat="false" ht="15" hidden="false" customHeight="true" outlineLevel="0" collapsed="false">
      <c r="A83" s="6" t="s">
        <v>716</v>
      </c>
      <c r="B83" s="6" t="s">
        <v>713</v>
      </c>
      <c r="C83" s="6" t="s">
        <v>714</v>
      </c>
      <c r="D83" s="6" t="s">
        <v>717</v>
      </c>
      <c r="E83" s="6" t="n">
        <v>5</v>
      </c>
      <c r="F83" s="6" t="s">
        <v>631</v>
      </c>
      <c r="G83" s="6" t="s">
        <v>141</v>
      </c>
      <c r="H83" s="6" t="s">
        <v>715</v>
      </c>
      <c r="I83" s="6" t="s">
        <v>718</v>
      </c>
      <c r="J83" s="9" t="s">
        <v>217</v>
      </c>
      <c r="K83" s="9" t="s">
        <v>719</v>
      </c>
    </row>
    <row r="84" customFormat="false" ht="15" hidden="false" customHeight="true" outlineLevel="0" collapsed="false">
      <c r="A84" s="6" t="s">
        <v>720</v>
      </c>
      <c r="B84" s="6" t="s">
        <v>713</v>
      </c>
      <c r="C84" s="6" t="s">
        <v>714</v>
      </c>
      <c r="D84" s="6" t="s">
        <v>721</v>
      </c>
      <c r="E84" s="6" t="n">
        <v>3</v>
      </c>
      <c r="F84" s="6" t="s">
        <v>626</v>
      </c>
      <c r="G84" s="6" t="s">
        <v>141</v>
      </c>
      <c r="H84" s="6" t="s">
        <v>715</v>
      </c>
      <c r="I84" s="6" t="s">
        <v>722</v>
      </c>
      <c r="J84" s="9" t="s">
        <v>217</v>
      </c>
      <c r="K84" s="9" t="s">
        <v>723</v>
      </c>
    </row>
    <row r="85" customFormat="false" ht="15" hidden="false" customHeight="true" outlineLevel="0" collapsed="false">
      <c r="A85" s="6" t="s">
        <v>724</v>
      </c>
      <c r="B85" s="6" t="s">
        <v>713</v>
      </c>
      <c r="C85" s="6" t="s">
        <v>714</v>
      </c>
      <c r="D85" s="6" t="s">
        <v>725</v>
      </c>
      <c r="E85" s="6" t="n">
        <v>3</v>
      </c>
      <c r="F85" s="6" t="s">
        <v>631</v>
      </c>
      <c r="G85" s="6" t="s">
        <v>726</v>
      </c>
      <c r="H85" s="6" t="s">
        <v>715</v>
      </c>
      <c r="I85" s="6" t="s">
        <v>718</v>
      </c>
      <c r="J85" s="9" t="s">
        <v>217</v>
      </c>
      <c r="K85" s="9" t="s">
        <v>727</v>
      </c>
    </row>
    <row r="86" customFormat="false" ht="15" hidden="false" customHeight="true" outlineLevel="0" collapsed="false">
      <c r="A86" s="6" t="s">
        <v>728</v>
      </c>
      <c r="B86" s="6" t="s">
        <v>713</v>
      </c>
      <c r="C86" s="6" t="s">
        <v>714</v>
      </c>
      <c r="D86" s="6" t="s">
        <v>729</v>
      </c>
      <c r="E86" s="6" t="n">
        <v>5</v>
      </c>
      <c r="F86" s="6" t="s">
        <v>631</v>
      </c>
      <c r="G86" s="6" t="s">
        <v>141</v>
      </c>
      <c r="H86" s="6" t="s">
        <v>715</v>
      </c>
      <c r="I86" s="6" t="s">
        <v>718</v>
      </c>
      <c r="J86" s="9" t="s">
        <v>730</v>
      </c>
      <c r="K86" s="9" t="s">
        <v>731</v>
      </c>
    </row>
    <row r="87" customFormat="false" ht="15" hidden="false" customHeight="true" outlineLevel="0" collapsed="false">
      <c r="A87" s="6" t="s">
        <v>732</v>
      </c>
      <c r="B87" s="6" t="s">
        <v>713</v>
      </c>
      <c r="C87" s="6" t="s">
        <v>714</v>
      </c>
      <c r="D87" s="6" t="s">
        <v>733</v>
      </c>
      <c r="E87" s="6" t="n">
        <v>2</v>
      </c>
      <c r="F87" s="6" t="s">
        <v>637</v>
      </c>
      <c r="G87" s="6" t="s">
        <v>141</v>
      </c>
      <c r="H87" s="6" t="s">
        <v>715</v>
      </c>
      <c r="I87" s="6" t="s">
        <v>734</v>
      </c>
      <c r="J87" s="9" t="s">
        <v>217</v>
      </c>
      <c r="K87" s="9" t="s">
        <v>735</v>
      </c>
    </row>
    <row r="88" customFormat="false" ht="23.25" hidden="false" customHeight="true" outlineLevel="0" collapsed="false">
      <c r="A88" s="6" t="s">
        <v>310</v>
      </c>
      <c r="B88" s="6" t="s">
        <v>736</v>
      </c>
      <c r="C88" s="6" t="s">
        <v>737</v>
      </c>
      <c r="D88" s="6" t="s">
        <v>309</v>
      </c>
      <c r="E88" s="6" t="n">
        <v>5</v>
      </c>
      <c r="F88" s="6" t="s">
        <v>626</v>
      </c>
      <c r="G88" s="6" t="s">
        <v>71</v>
      </c>
      <c r="H88" s="6" t="s">
        <v>738</v>
      </c>
      <c r="I88" s="6" t="s">
        <v>628</v>
      </c>
      <c r="J88" s="9" t="s">
        <v>217</v>
      </c>
      <c r="K88" s="9" t="s">
        <v>311</v>
      </c>
    </row>
    <row r="89" customFormat="false" ht="34.5" hidden="false" customHeight="true" outlineLevel="0" collapsed="false">
      <c r="A89" s="6" t="s">
        <v>346</v>
      </c>
      <c r="B89" s="6" t="s">
        <v>736</v>
      </c>
      <c r="C89" s="6" t="s">
        <v>737</v>
      </c>
      <c r="D89" s="6" t="s">
        <v>345</v>
      </c>
      <c r="E89" s="6" t="n">
        <v>5</v>
      </c>
      <c r="F89" s="6" t="s">
        <v>626</v>
      </c>
      <c r="G89" s="6" t="s">
        <v>77</v>
      </c>
      <c r="H89" s="6" t="s">
        <v>738</v>
      </c>
      <c r="I89" s="6" t="s">
        <v>628</v>
      </c>
      <c r="J89" s="9" t="s">
        <v>217</v>
      </c>
      <c r="K89" s="9" t="s">
        <v>347</v>
      </c>
    </row>
    <row r="90" customFormat="false" ht="15" hidden="false" customHeight="true" outlineLevel="0" collapsed="false">
      <c r="A90" s="6" t="s">
        <v>554</v>
      </c>
      <c r="B90" s="6" t="s">
        <v>736</v>
      </c>
      <c r="C90" s="6" t="s">
        <v>737</v>
      </c>
      <c r="D90" s="6" t="s">
        <v>553</v>
      </c>
      <c r="E90" s="6" t="n">
        <v>3</v>
      </c>
      <c r="F90" s="6" t="s">
        <v>626</v>
      </c>
      <c r="G90" s="6" t="s">
        <v>109</v>
      </c>
      <c r="H90" s="6" t="s">
        <v>738</v>
      </c>
      <c r="I90" s="6" t="s">
        <v>628</v>
      </c>
      <c r="J90" s="9" t="s">
        <v>217</v>
      </c>
      <c r="K90" s="9" t="s">
        <v>538</v>
      </c>
    </row>
    <row r="91" customFormat="false" ht="15" hidden="false" customHeight="true" outlineLevel="0" collapsed="false">
      <c r="A91" s="6" t="s">
        <v>557</v>
      </c>
      <c r="B91" s="6" t="s">
        <v>736</v>
      </c>
      <c r="C91" s="6" t="s">
        <v>737</v>
      </c>
      <c r="D91" s="6" t="s">
        <v>556</v>
      </c>
      <c r="E91" s="6" t="n">
        <v>5</v>
      </c>
      <c r="F91" s="6" t="s">
        <v>631</v>
      </c>
      <c r="G91" s="6" t="s">
        <v>109</v>
      </c>
      <c r="H91" s="6" t="s">
        <v>738</v>
      </c>
      <c r="I91" s="6" t="s">
        <v>628</v>
      </c>
      <c r="J91" s="9" t="s">
        <v>217</v>
      </c>
      <c r="K91" s="9" t="s">
        <v>542</v>
      </c>
    </row>
    <row r="92" customFormat="false" ht="15" hidden="false" customHeight="true" outlineLevel="0" collapsed="false">
      <c r="A92" s="6" t="s">
        <v>591</v>
      </c>
      <c r="B92" s="6" t="s">
        <v>736</v>
      </c>
      <c r="C92" s="6" t="s">
        <v>737</v>
      </c>
      <c r="D92" s="6" t="s">
        <v>590</v>
      </c>
      <c r="E92" s="6" t="n">
        <v>3</v>
      </c>
      <c r="F92" s="6" t="s">
        <v>631</v>
      </c>
      <c r="G92" s="6" t="s">
        <v>117</v>
      </c>
      <c r="H92" s="6" t="s">
        <v>738</v>
      </c>
      <c r="I92" s="6" t="s">
        <v>718</v>
      </c>
      <c r="J92" s="9" t="s">
        <v>587</v>
      </c>
      <c r="K92" s="9" t="s">
        <v>739</v>
      </c>
    </row>
    <row r="93" customFormat="false" ht="15" hidden="false" customHeight="true" outlineLevel="0" collapsed="false">
      <c r="A93" s="6" t="s">
        <v>577</v>
      </c>
      <c r="B93" s="6" t="s">
        <v>736</v>
      </c>
      <c r="C93" s="6" t="s">
        <v>737</v>
      </c>
      <c r="D93" s="6" t="s">
        <v>576</v>
      </c>
      <c r="E93" s="6" t="n">
        <v>3</v>
      </c>
      <c r="F93" s="6" t="s">
        <v>631</v>
      </c>
      <c r="G93" s="6" t="s">
        <v>117</v>
      </c>
      <c r="H93" s="6" t="s">
        <v>738</v>
      </c>
      <c r="I93" s="6" t="s">
        <v>718</v>
      </c>
      <c r="J93" s="9" t="s">
        <v>217</v>
      </c>
      <c r="K93" s="9" t="s">
        <v>740</v>
      </c>
    </row>
    <row r="94" customFormat="false" ht="15" hidden="false" customHeight="true" outlineLevel="0" collapsed="false">
      <c r="A94" s="6" t="s">
        <v>581</v>
      </c>
      <c r="B94" s="6" t="s">
        <v>736</v>
      </c>
      <c r="C94" s="6" t="s">
        <v>737</v>
      </c>
      <c r="D94" s="6" t="s">
        <v>580</v>
      </c>
      <c r="E94" s="6" t="n">
        <v>3</v>
      </c>
      <c r="F94" s="6" t="s">
        <v>637</v>
      </c>
      <c r="G94" s="6" t="s">
        <v>117</v>
      </c>
      <c r="H94" s="6" t="s">
        <v>738</v>
      </c>
      <c r="I94" s="6" t="s">
        <v>734</v>
      </c>
      <c r="J94" s="9" t="s">
        <v>217</v>
      </c>
      <c r="K94" s="9" t="s">
        <v>741</v>
      </c>
    </row>
    <row r="95" customFormat="false" ht="15" hidden="false" customHeight="true" outlineLevel="0" collapsed="false">
      <c r="A95" s="6" t="s">
        <v>560</v>
      </c>
      <c r="B95" s="6" t="s">
        <v>736</v>
      </c>
      <c r="C95" s="6" t="s">
        <v>737</v>
      </c>
      <c r="D95" s="6" t="s">
        <v>559</v>
      </c>
      <c r="E95" s="6" t="n">
        <v>3</v>
      </c>
      <c r="F95" s="6" t="s">
        <v>637</v>
      </c>
      <c r="G95" s="6" t="s">
        <v>109</v>
      </c>
      <c r="H95" s="6" t="s">
        <v>738</v>
      </c>
      <c r="I95" s="6" t="s">
        <v>628</v>
      </c>
      <c r="J95" s="9" t="s">
        <v>217</v>
      </c>
      <c r="K95" s="9" t="s">
        <v>542</v>
      </c>
    </row>
    <row r="96" customFormat="false" ht="15" hidden="false" customHeight="true" outlineLevel="0" collapsed="false">
      <c r="A96" s="6" t="s">
        <v>595</v>
      </c>
      <c r="B96" s="6" t="s">
        <v>742</v>
      </c>
      <c r="C96" s="6" t="s">
        <v>743</v>
      </c>
      <c r="D96" s="6" t="s">
        <v>594</v>
      </c>
      <c r="E96" s="6" t="n">
        <v>3</v>
      </c>
      <c r="F96" s="6" t="s">
        <v>626</v>
      </c>
      <c r="G96" s="6" t="s">
        <v>117</v>
      </c>
      <c r="H96" s="6" t="s">
        <v>744</v>
      </c>
      <c r="I96" s="6" t="s">
        <v>722</v>
      </c>
      <c r="J96" s="9" t="s">
        <v>596</v>
      </c>
      <c r="K96" s="9" t="s">
        <v>745</v>
      </c>
    </row>
    <row r="97" customFormat="false" ht="15" hidden="false" customHeight="true" outlineLevel="0" collapsed="false">
      <c r="A97" s="6" t="s">
        <v>600</v>
      </c>
      <c r="B97" s="6" t="s">
        <v>742</v>
      </c>
      <c r="C97" s="6" t="s">
        <v>743</v>
      </c>
      <c r="D97" s="6" t="s">
        <v>599</v>
      </c>
      <c r="E97" s="6" t="n">
        <v>5</v>
      </c>
      <c r="F97" s="6" t="s">
        <v>626</v>
      </c>
      <c r="G97" s="6" t="s">
        <v>117</v>
      </c>
      <c r="H97" s="6" t="s">
        <v>744</v>
      </c>
      <c r="I97" s="6" t="s">
        <v>722</v>
      </c>
      <c r="J97" s="9" t="s">
        <v>596</v>
      </c>
      <c r="K97" s="9" t="s">
        <v>746</v>
      </c>
    </row>
    <row r="98" customFormat="false" ht="15" hidden="false" customHeight="true" outlineLevel="0" collapsed="false">
      <c r="A98" s="6" t="s">
        <v>747</v>
      </c>
      <c r="B98" s="6" t="s">
        <v>742</v>
      </c>
      <c r="C98" s="6" t="s">
        <v>743</v>
      </c>
      <c r="D98" s="6" t="s">
        <v>748</v>
      </c>
      <c r="E98" s="6" t="n">
        <v>3</v>
      </c>
      <c r="F98" s="6" t="s">
        <v>626</v>
      </c>
      <c r="G98" s="6" t="s">
        <v>141</v>
      </c>
      <c r="H98" s="6" t="s">
        <v>744</v>
      </c>
      <c r="I98" s="6" t="s">
        <v>722</v>
      </c>
      <c r="J98" s="9" t="s">
        <v>217</v>
      </c>
      <c r="K98" s="9" t="s">
        <v>749</v>
      </c>
    </row>
    <row r="99" customFormat="false" ht="15" hidden="false" customHeight="true" outlineLevel="0" collapsed="false">
      <c r="A99" s="6" t="s">
        <v>750</v>
      </c>
      <c r="B99" s="6" t="s">
        <v>742</v>
      </c>
      <c r="C99" s="6" t="s">
        <v>743</v>
      </c>
      <c r="D99" s="6" t="s">
        <v>751</v>
      </c>
      <c r="E99" s="6" t="n">
        <v>3</v>
      </c>
      <c r="F99" s="6" t="s">
        <v>626</v>
      </c>
      <c r="G99" s="6" t="s">
        <v>141</v>
      </c>
      <c r="H99" s="6" t="s">
        <v>744</v>
      </c>
      <c r="I99" s="6" t="s">
        <v>722</v>
      </c>
      <c r="J99" s="9" t="s">
        <v>217</v>
      </c>
      <c r="K99" s="9" t="s">
        <v>752</v>
      </c>
    </row>
    <row r="100" customFormat="false" ht="15" hidden="false" customHeight="true" outlineLevel="0" collapsed="false">
      <c r="A100" s="6" t="s">
        <v>753</v>
      </c>
      <c r="B100" s="6" t="s">
        <v>742</v>
      </c>
      <c r="C100" s="6" t="s">
        <v>743</v>
      </c>
      <c r="D100" s="6" t="s">
        <v>754</v>
      </c>
      <c r="E100" s="6" t="n">
        <v>3</v>
      </c>
      <c r="F100" s="6" t="s">
        <v>626</v>
      </c>
      <c r="G100" s="6" t="s">
        <v>141</v>
      </c>
      <c r="H100" s="6" t="s">
        <v>744</v>
      </c>
      <c r="I100" s="6" t="s">
        <v>722</v>
      </c>
      <c r="J100" s="9" t="s">
        <v>587</v>
      </c>
      <c r="K100" s="9" t="s">
        <v>755</v>
      </c>
    </row>
    <row r="101" customFormat="false" ht="15" hidden="false" customHeight="true" outlineLevel="0" collapsed="false">
      <c r="A101" s="6" t="s">
        <v>756</v>
      </c>
      <c r="B101" s="6" t="s">
        <v>742</v>
      </c>
      <c r="C101" s="6" t="s">
        <v>743</v>
      </c>
      <c r="D101" s="6" t="s">
        <v>757</v>
      </c>
      <c r="E101" s="6" t="n">
        <v>3</v>
      </c>
      <c r="F101" s="6" t="s">
        <v>631</v>
      </c>
      <c r="G101" s="6" t="s">
        <v>726</v>
      </c>
      <c r="H101" s="6" t="s">
        <v>744</v>
      </c>
      <c r="I101" s="6" t="s">
        <v>718</v>
      </c>
      <c r="J101" s="9" t="s">
        <v>217</v>
      </c>
      <c r="K101" s="9" t="s">
        <v>758</v>
      </c>
    </row>
    <row r="102" customFormat="false" ht="15" hidden="false" customHeight="true" outlineLevel="0" collapsed="false">
      <c r="A102" s="6" t="s">
        <v>759</v>
      </c>
      <c r="B102" s="6" t="s">
        <v>742</v>
      </c>
      <c r="C102" s="6" t="s">
        <v>743</v>
      </c>
      <c r="D102" s="6" t="s">
        <v>760</v>
      </c>
      <c r="E102" s="6" t="n">
        <v>2</v>
      </c>
      <c r="F102" s="6" t="s">
        <v>637</v>
      </c>
      <c r="G102" s="6" t="s">
        <v>761</v>
      </c>
      <c r="H102" s="6" t="s">
        <v>744</v>
      </c>
      <c r="I102" s="6" t="s">
        <v>734</v>
      </c>
      <c r="J102" s="9" t="s">
        <v>217</v>
      </c>
      <c r="K102" s="9" t="s">
        <v>762</v>
      </c>
    </row>
    <row r="103" customFormat="false" ht="15" hidden="false" customHeight="true" outlineLevel="0" collapsed="false">
      <c r="A103" s="6" t="s">
        <v>763</v>
      </c>
      <c r="B103" s="6" t="s">
        <v>742</v>
      </c>
      <c r="C103" s="6" t="s">
        <v>743</v>
      </c>
      <c r="D103" s="6" t="s">
        <v>764</v>
      </c>
      <c r="E103" s="6" t="n">
        <v>2</v>
      </c>
      <c r="F103" s="6" t="s">
        <v>631</v>
      </c>
      <c r="G103" s="6" t="s">
        <v>726</v>
      </c>
      <c r="H103" s="6" t="s">
        <v>744</v>
      </c>
      <c r="I103" s="6" t="s">
        <v>718</v>
      </c>
      <c r="J103" s="9" t="s">
        <v>217</v>
      </c>
      <c r="K103" s="9" t="s">
        <v>765</v>
      </c>
    </row>
  </sheetData>
  <mergeCells count="1">
    <mergeCell ref="A2:K2"/>
  </mergeCells>
  <dataValidations count="1">
    <dataValidation allowBlank="true" errorStyle="stop" operator="between" showDropDown="false" showErrorMessage="false" showInputMessage="false" sqref="J4:J103" type="list">
      <formula1>"Backlog,In progress,Done-in-code,Done,Blocked"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0"/>
    <col collapsed="false" customWidth="true" hidden="false" outlineLevel="0" max="4" min="3" style="1" width="9"/>
    <col collapsed="false" customWidth="true" hidden="false" outlineLevel="0" max="5" min="5" style="1" width="8"/>
    <col collapsed="false" customWidth="true" hidden="false" outlineLevel="0" max="6" min="6" style="1" width="12"/>
    <col collapsed="false" customWidth="true" hidden="false" outlineLevel="0" max="7" min="7" style="1" width="13"/>
    <col collapsed="false" customWidth="true" hidden="false" outlineLevel="0" max="8" min="8" style="1" width="45"/>
    <col collapsed="false" customWidth="true" hidden="false" outlineLevel="0" max="9" min="9" style="1" width="48"/>
  </cols>
  <sheetData>
    <row r="1" customFormat="false" ht="15" hidden="false" customHeight="true" outlineLevel="0" collapsed="false">
      <c r="A1" s="2" t="s">
        <v>766</v>
      </c>
      <c r="B1" s="3"/>
      <c r="C1" s="3"/>
      <c r="D1" s="3"/>
      <c r="E1" s="3"/>
      <c r="F1" s="3"/>
      <c r="G1" s="3"/>
      <c r="H1" s="3"/>
      <c r="I1" s="3"/>
    </row>
    <row r="2" customFormat="false" ht="15" hidden="false" customHeight="true" outlineLevel="0" collapsed="false">
      <c r="A2" s="13" t="s">
        <v>767</v>
      </c>
      <c r="B2" s="13"/>
      <c r="C2" s="13"/>
      <c r="D2" s="13"/>
      <c r="E2" s="13"/>
      <c r="F2" s="13"/>
      <c r="G2" s="13"/>
      <c r="H2" s="13"/>
      <c r="I2" s="13"/>
    </row>
    <row r="3" customFormat="false" ht="15" hidden="false" customHeight="true" outlineLevel="0" collapsed="false">
      <c r="A3" s="5" t="s">
        <v>44</v>
      </c>
      <c r="B3" s="5" t="s">
        <v>768</v>
      </c>
      <c r="C3" s="5" t="s">
        <v>769</v>
      </c>
      <c r="D3" s="5" t="s">
        <v>210</v>
      </c>
      <c r="E3" s="5" t="s">
        <v>604</v>
      </c>
      <c r="F3" s="5" t="s">
        <v>770</v>
      </c>
      <c r="G3" s="5" t="s">
        <v>771</v>
      </c>
      <c r="H3" s="5" t="s">
        <v>772</v>
      </c>
      <c r="I3" s="5" t="s">
        <v>773</v>
      </c>
    </row>
    <row r="4" customFormat="false" ht="15" hidden="false" customHeight="true" outlineLevel="0" collapsed="false">
      <c r="A4" s="6" t="s">
        <v>58</v>
      </c>
      <c r="B4" s="6" t="s">
        <v>774</v>
      </c>
      <c r="C4" s="6" t="n">
        <f aca="false">COUNTIF(Traceability_Matrix!$G$4:$G$103,"S1")</f>
        <v>4</v>
      </c>
      <c r="D4" s="6" t="n">
        <f aca="false">SUMIF(Traceability_Matrix!$G$4:$G$103,"S1",Traceability_Matrix!$E$4:$E$103)</f>
        <v>13</v>
      </c>
      <c r="E4" s="6" t="n">
        <f aca="false">COUNTIFS(Traceability_Matrix!$G$4:$G$103,"S1",Traceability_Matrix!$J$4:$J$103,"Done-in-code")+COUNTIFS(Traceability_Matrix!$G$4:$G$103,"S1",Traceability_Matrix!$J$4:$J$103,"Done")</f>
        <v>4</v>
      </c>
      <c r="F4" s="6" t="n">
        <f aca="false">SUMIFS(Traceability_Matrix!$E$4:$E$103,Traceability_Matrix!$G$4:$G$103,"S1",Traceability_Matrix!$J$4:$J$103,"Done-in-code")+SUMIFS(Traceability_Matrix!$E$4:$E$103,Traceability_Matrix!$G$4:$G$103,"S1",Traceability_Matrix!$J$4:$J$103,"Done")</f>
        <v>13</v>
      </c>
      <c r="G4" s="14" t="n">
        <f aca="false">IFERROR((SUMIFS(Traceability_Matrix!$E$4:$E$103,Traceability_Matrix!$G$4:$G$103,"S1",Traceability_Matrix!$J$4:$J$103,"Done-in-code")+SUMIFS(Traceability_Matrix!$E$4:$E$103,Traceability_Matrix!$G$4:$G$103,"S1",Traceability_Matrix!$J$4:$J$103,"Done"))/SUMIF(Traceability_Matrix!$G$4:$G$103,"S1",Traceability_Matrix!$E$4:$E$103),0)</f>
        <v>1</v>
      </c>
      <c r="H4" s="9" t="s">
        <v>775</v>
      </c>
      <c r="I4" s="6" t="s">
        <v>776</v>
      </c>
    </row>
    <row r="5" customFormat="false" ht="15" hidden="false" customHeight="true" outlineLevel="0" collapsed="false">
      <c r="A5" s="6" t="s">
        <v>65</v>
      </c>
      <c r="B5" s="6" t="s">
        <v>777</v>
      </c>
      <c r="C5" s="6" t="n">
        <f aca="false">COUNTIF(Traceability_Matrix!$G$4:$G$103,"S2")</f>
        <v>6</v>
      </c>
      <c r="D5" s="6" t="n">
        <f aca="false">SUMIF(Traceability_Matrix!$G$4:$G$103,"S2",Traceability_Matrix!$E$4:$E$103)</f>
        <v>29</v>
      </c>
      <c r="E5" s="6" t="n">
        <f aca="false">COUNTIFS(Traceability_Matrix!$G$4:$G$103,"S2",Traceability_Matrix!$J$4:$J$103,"Done-in-code")+COUNTIFS(Traceability_Matrix!$G$4:$G$103,"S2",Traceability_Matrix!$J$4:$J$103,"Done")</f>
        <v>6</v>
      </c>
      <c r="F5" s="6" t="n">
        <f aca="false">SUMIFS(Traceability_Matrix!$E$4:$E$103,Traceability_Matrix!$G$4:$G$103,"S2",Traceability_Matrix!$J$4:$J$103,"Done-in-code")+SUMIFS(Traceability_Matrix!$E$4:$E$103,Traceability_Matrix!$G$4:$G$103,"S2",Traceability_Matrix!$J$4:$J$103,"Done")</f>
        <v>29</v>
      </c>
      <c r="G5" s="14" t="n">
        <f aca="false">IFERROR((SUMIFS(Traceability_Matrix!$E$4:$E$103,Traceability_Matrix!$G$4:$G$103,"S2",Traceability_Matrix!$J$4:$J$103,"Done-in-code")+SUMIFS(Traceability_Matrix!$E$4:$E$103,Traceability_Matrix!$G$4:$G$103,"S2",Traceability_Matrix!$J$4:$J$103,"Done"))/SUMIF(Traceability_Matrix!$G$4:$G$103,"S2",Traceability_Matrix!$E$4:$E$103),0)</f>
        <v>1</v>
      </c>
      <c r="H5" s="9" t="s">
        <v>778</v>
      </c>
      <c r="I5" s="6" t="s">
        <v>779</v>
      </c>
    </row>
    <row r="6" customFormat="false" ht="15" hidden="false" customHeight="true" outlineLevel="0" collapsed="false">
      <c r="A6" s="6" t="s">
        <v>71</v>
      </c>
      <c r="B6" s="6" t="s">
        <v>780</v>
      </c>
      <c r="C6" s="6" t="n">
        <f aca="false">COUNTIF(Traceability_Matrix!$G$4:$G$103,"S3")</f>
        <v>11</v>
      </c>
      <c r="D6" s="6" t="n">
        <f aca="false">SUMIF(Traceability_Matrix!$G$4:$G$103,"S3",Traceability_Matrix!$E$4:$E$103)</f>
        <v>47</v>
      </c>
      <c r="E6" s="6" t="n">
        <f aca="false">COUNTIFS(Traceability_Matrix!$G$4:$G$103,"S3",Traceability_Matrix!$J$4:$J$103,"Done-in-code")+COUNTIFS(Traceability_Matrix!$G$4:$G$103,"S3",Traceability_Matrix!$J$4:$J$103,"Done")</f>
        <v>11</v>
      </c>
      <c r="F6" s="6" t="n">
        <f aca="false">SUMIFS(Traceability_Matrix!$E$4:$E$103,Traceability_Matrix!$G$4:$G$103,"S3",Traceability_Matrix!$J$4:$J$103,"Done-in-code")+SUMIFS(Traceability_Matrix!$E$4:$E$103,Traceability_Matrix!$G$4:$G$103,"S3",Traceability_Matrix!$J$4:$J$103,"Done")</f>
        <v>47</v>
      </c>
      <c r="G6" s="14" t="n">
        <f aca="false">IFERROR((SUMIFS(Traceability_Matrix!$E$4:$E$103,Traceability_Matrix!$G$4:$G$103,"S3",Traceability_Matrix!$J$4:$J$103,"Done-in-code")+SUMIFS(Traceability_Matrix!$E$4:$E$103,Traceability_Matrix!$G$4:$G$103,"S3",Traceability_Matrix!$J$4:$J$103,"Done"))/SUMIF(Traceability_Matrix!$G$4:$G$103,"S3",Traceability_Matrix!$E$4:$E$103),0)</f>
        <v>1</v>
      </c>
      <c r="H6" s="9" t="s">
        <v>781</v>
      </c>
      <c r="I6" s="6" t="s">
        <v>782</v>
      </c>
    </row>
    <row r="7" customFormat="false" ht="23.25" hidden="false" customHeight="true" outlineLevel="0" collapsed="false">
      <c r="A7" s="6" t="s">
        <v>77</v>
      </c>
      <c r="B7" s="6" t="s">
        <v>783</v>
      </c>
      <c r="C7" s="6" t="n">
        <f aca="false">COUNTIF(Traceability_Matrix!$G$4:$G$103,"S4")</f>
        <v>9</v>
      </c>
      <c r="D7" s="6" t="n">
        <f aca="false">SUMIF(Traceability_Matrix!$G$4:$G$103,"S4",Traceability_Matrix!$E$4:$E$103)</f>
        <v>34</v>
      </c>
      <c r="E7" s="6" t="n">
        <f aca="false">COUNTIFS(Traceability_Matrix!$G$4:$G$103,"S4",Traceability_Matrix!$J$4:$J$103,"Done-in-code")+COUNTIFS(Traceability_Matrix!$G$4:$G$103,"S4",Traceability_Matrix!$J$4:$J$103,"Done")</f>
        <v>9</v>
      </c>
      <c r="F7" s="6" t="n">
        <f aca="false">SUMIFS(Traceability_Matrix!$E$4:$E$103,Traceability_Matrix!$G$4:$G$103,"S4",Traceability_Matrix!$J$4:$J$103,"Done-in-code")+SUMIFS(Traceability_Matrix!$E$4:$E$103,Traceability_Matrix!$G$4:$G$103,"S4",Traceability_Matrix!$J$4:$J$103,"Done")</f>
        <v>34</v>
      </c>
      <c r="G7" s="14" t="n">
        <f aca="false">IFERROR((SUMIFS(Traceability_Matrix!$E$4:$E$103,Traceability_Matrix!$G$4:$G$103,"S4",Traceability_Matrix!$J$4:$J$103,"Done-in-code")+SUMIFS(Traceability_Matrix!$E$4:$E$103,Traceability_Matrix!$G$4:$G$103,"S4",Traceability_Matrix!$J$4:$J$103,"Done"))/SUMIF(Traceability_Matrix!$G$4:$G$103,"S4",Traceability_Matrix!$E$4:$E$103),0)</f>
        <v>1</v>
      </c>
      <c r="H7" s="9" t="s">
        <v>784</v>
      </c>
      <c r="I7" s="6" t="s">
        <v>785</v>
      </c>
    </row>
    <row r="8" customFormat="false" ht="23.25" hidden="false" customHeight="true" outlineLevel="0" collapsed="false">
      <c r="A8" s="6" t="s">
        <v>84</v>
      </c>
      <c r="B8" s="6" t="s">
        <v>786</v>
      </c>
      <c r="C8" s="6" t="n">
        <f aca="false">COUNTIF(Traceability_Matrix!$G$4:$G$103,"S5")</f>
        <v>12</v>
      </c>
      <c r="D8" s="6" t="n">
        <f aca="false">SUMIF(Traceability_Matrix!$G$4:$G$103,"S5",Traceability_Matrix!$E$4:$E$103)</f>
        <v>50</v>
      </c>
      <c r="E8" s="6" t="n">
        <f aca="false">COUNTIFS(Traceability_Matrix!$G$4:$G$103,"S5",Traceability_Matrix!$J$4:$J$103,"Done-in-code")+COUNTIFS(Traceability_Matrix!$G$4:$G$103,"S5",Traceability_Matrix!$J$4:$J$103,"Done")</f>
        <v>12</v>
      </c>
      <c r="F8" s="6" t="n">
        <f aca="false">SUMIFS(Traceability_Matrix!$E$4:$E$103,Traceability_Matrix!$G$4:$G$103,"S5",Traceability_Matrix!$J$4:$J$103,"Done-in-code")+SUMIFS(Traceability_Matrix!$E$4:$E$103,Traceability_Matrix!$G$4:$G$103,"S5",Traceability_Matrix!$J$4:$J$103,"Done")</f>
        <v>50</v>
      </c>
      <c r="G8" s="14" t="n">
        <f aca="false">IFERROR((SUMIFS(Traceability_Matrix!$E$4:$E$103,Traceability_Matrix!$G$4:$G$103,"S5",Traceability_Matrix!$J$4:$J$103,"Done-in-code")+SUMIFS(Traceability_Matrix!$E$4:$E$103,Traceability_Matrix!$G$4:$G$103,"S5",Traceability_Matrix!$J$4:$J$103,"Done"))/SUMIF(Traceability_Matrix!$G$4:$G$103,"S5",Traceability_Matrix!$E$4:$E$103),0)</f>
        <v>1</v>
      </c>
      <c r="H8" s="9" t="s">
        <v>787</v>
      </c>
      <c r="I8" s="6" t="s">
        <v>788</v>
      </c>
    </row>
    <row r="9" customFormat="false" ht="23.25" hidden="false" customHeight="true" outlineLevel="0" collapsed="false">
      <c r="A9" s="6" t="s">
        <v>95</v>
      </c>
      <c r="B9" s="6" t="s">
        <v>789</v>
      </c>
      <c r="C9" s="6" t="n">
        <f aca="false">COUNTIF(Traceability_Matrix!$G$4:$G$103,"S6")</f>
        <v>13</v>
      </c>
      <c r="D9" s="6" t="n">
        <f aca="false">SUMIF(Traceability_Matrix!$G$4:$G$103,"S6",Traceability_Matrix!$E$4:$E$103)</f>
        <v>60</v>
      </c>
      <c r="E9" s="6" t="n">
        <f aca="false">COUNTIFS(Traceability_Matrix!$G$4:$G$103,"S6",Traceability_Matrix!$J$4:$J$103,"Done-in-code")+COUNTIFS(Traceability_Matrix!$G$4:$G$103,"S6",Traceability_Matrix!$J$4:$J$103,"Done")</f>
        <v>13</v>
      </c>
      <c r="F9" s="6" t="n">
        <f aca="false">SUMIFS(Traceability_Matrix!$E$4:$E$103,Traceability_Matrix!$G$4:$G$103,"S6",Traceability_Matrix!$J$4:$J$103,"Done-in-code")+SUMIFS(Traceability_Matrix!$E$4:$E$103,Traceability_Matrix!$G$4:$G$103,"S6",Traceability_Matrix!$J$4:$J$103,"Done")</f>
        <v>60</v>
      </c>
      <c r="G9" s="14" t="n">
        <f aca="false">IFERROR((SUMIFS(Traceability_Matrix!$E$4:$E$103,Traceability_Matrix!$G$4:$G$103,"S6",Traceability_Matrix!$J$4:$J$103,"Done-in-code")+SUMIFS(Traceability_Matrix!$E$4:$E$103,Traceability_Matrix!$G$4:$G$103,"S6",Traceability_Matrix!$J$4:$J$103,"Done"))/SUMIF(Traceability_Matrix!$G$4:$G$103,"S6",Traceability_Matrix!$E$4:$E$103),0)</f>
        <v>1</v>
      </c>
      <c r="H9" s="9" t="s">
        <v>790</v>
      </c>
      <c r="I9" s="6" t="s">
        <v>791</v>
      </c>
    </row>
    <row r="10" customFormat="false" ht="15" hidden="false" customHeight="true" outlineLevel="0" collapsed="false">
      <c r="A10" s="6" t="s">
        <v>102</v>
      </c>
      <c r="B10" s="6" t="s">
        <v>792</v>
      </c>
      <c r="C10" s="6" t="n">
        <f aca="false">COUNTIF(Traceability_Matrix!$G$4:$G$103,"S7")</f>
        <v>5</v>
      </c>
      <c r="D10" s="6" t="n">
        <f aca="false">SUMIF(Traceability_Matrix!$G$4:$G$103,"S7",Traceability_Matrix!$E$4:$E$103)</f>
        <v>15</v>
      </c>
      <c r="E10" s="6" t="n">
        <f aca="false">COUNTIFS(Traceability_Matrix!$G$4:$G$103,"S7",Traceability_Matrix!$J$4:$J$103,"Done-in-code")+COUNTIFS(Traceability_Matrix!$G$4:$G$103,"S7",Traceability_Matrix!$J$4:$J$103,"Done")</f>
        <v>5</v>
      </c>
      <c r="F10" s="6" t="n">
        <f aca="false">SUMIFS(Traceability_Matrix!$E$4:$E$103,Traceability_Matrix!$G$4:$G$103,"S7",Traceability_Matrix!$J$4:$J$103,"Done-in-code")+SUMIFS(Traceability_Matrix!$E$4:$E$103,Traceability_Matrix!$G$4:$G$103,"S7",Traceability_Matrix!$J$4:$J$103,"Done")</f>
        <v>15</v>
      </c>
      <c r="G10" s="14" t="n">
        <f aca="false">IFERROR((SUMIFS(Traceability_Matrix!$E$4:$E$103,Traceability_Matrix!$G$4:$G$103,"S7",Traceability_Matrix!$J$4:$J$103,"Done-in-code")+SUMIFS(Traceability_Matrix!$E$4:$E$103,Traceability_Matrix!$G$4:$G$103,"S7",Traceability_Matrix!$J$4:$J$103,"Done"))/SUMIF(Traceability_Matrix!$G$4:$G$103,"S7",Traceability_Matrix!$E$4:$E$103),0)</f>
        <v>1</v>
      </c>
      <c r="H10" s="9" t="s">
        <v>793</v>
      </c>
      <c r="I10" s="6" t="s">
        <v>794</v>
      </c>
    </row>
    <row r="11" customFormat="false" ht="15" hidden="false" customHeight="true" outlineLevel="0" collapsed="false">
      <c r="A11" s="6" t="s">
        <v>109</v>
      </c>
      <c r="B11" s="6" t="s">
        <v>795</v>
      </c>
      <c r="C11" s="6" t="n">
        <f aca="false">COUNTIF(Traceability_Matrix!$G$4:$G$103,"S8")</f>
        <v>22</v>
      </c>
      <c r="D11" s="6" t="n">
        <f aca="false">SUMIF(Traceability_Matrix!$G$4:$G$103,"S8",Traceability_Matrix!$E$4:$E$103)</f>
        <v>87</v>
      </c>
      <c r="E11" s="6" t="n">
        <f aca="false">COUNTIFS(Traceability_Matrix!$G$4:$G$103,"S8",Traceability_Matrix!$J$4:$J$103,"Done-in-code")+COUNTIFS(Traceability_Matrix!$G$4:$G$103,"S8",Traceability_Matrix!$J$4:$J$103,"Done")</f>
        <v>22</v>
      </c>
      <c r="F11" s="6" t="n">
        <f aca="false">SUMIFS(Traceability_Matrix!$E$4:$E$103,Traceability_Matrix!$G$4:$G$103,"S8",Traceability_Matrix!$J$4:$J$103,"Done-in-code")+SUMIFS(Traceability_Matrix!$E$4:$E$103,Traceability_Matrix!$G$4:$G$103,"S8",Traceability_Matrix!$J$4:$J$103,"Done")</f>
        <v>87</v>
      </c>
      <c r="G11" s="14" t="n">
        <f aca="false">IFERROR((SUMIFS(Traceability_Matrix!$E$4:$E$103,Traceability_Matrix!$G$4:$G$103,"S8",Traceability_Matrix!$J$4:$J$103,"Done-in-code")+SUMIFS(Traceability_Matrix!$E$4:$E$103,Traceability_Matrix!$G$4:$G$103,"S8",Traceability_Matrix!$J$4:$J$103,"Done"))/SUMIF(Traceability_Matrix!$G$4:$G$103,"S8",Traceability_Matrix!$E$4:$E$103),0)</f>
        <v>1</v>
      </c>
      <c r="H11" s="9" t="s">
        <v>796</v>
      </c>
      <c r="I11" s="6" t="s">
        <v>797</v>
      </c>
    </row>
    <row r="12" customFormat="false" ht="15" hidden="false" customHeight="true" outlineLevel="0" collapsed="false">
      <c r="A12" s="6" t="s">
        <v>117</v>
      </c>
      <c r="B12" s="6" t="s">
        <v>798</v>
      </c>
      <c r="C12" s="6" t="n">
        <f aca="false">COUNTIF(Traceability_Matrix!$G$4:$G$103,"S9")</f>
        <v>7</v>
      </c>
      <c r="D12" s="6" t="n">
        <f aca="false">SUMIF(Traceability_Matrix!$G$4:$G$103,"S9",Traceability_Matrix!$E$4:$E$103)</f>
        <v>30</v>
      </c>
      <c r="E12" s="6" t="n">
        <f aca="false">COUNTIFS(Traceability_Matrix!$G$4:$G$103,"S9",Traceability_Matrix!$J$4:$J$103,"Done-in-code")+COUNTIFS(Traceability_Matrix!$G$4:$G$103,"S9",Traceability_Matrix!$J$4:$J$103,"Done")</f>
        <v>3</v>
      </c>
      <c r="F12" s="6" t="n">
        <f aca="false">SUMIFS(Traceability_Matrix!$E$4:$E$103,Traceability_Matrix!$G$4:$G$103,"S9",Traceability_Matrix!$J$4:$J$103,"Done-in-code")+SUMIFS(Traceability_Matrix!$E$4:$E$103,Traceability_Matrix!$G$4:$G$103,"S9",Traceability_Matrix!$J$4:$J$103,"Done")</f>
        <v>11</v>
      </c>
      <c r="G12" s="14" t="n">
        <f aca="false">IFERROR((SUMIFS(Traceability_Matrix!$E$4:$E$103,Traceability_Matrix!$G$4:$G$103,"S9",Traceability_Matrix!$J$4:$J$103,"Done-in-code")+SUMIFS(Traceability_Matrix!$E$4:$E$103,Traceability_Matrix!$G$4:$G$103,"S9",Traceability_Matrix!$J$4:$J$103,"Done"))/SUMIF(Traceability_Matrix!$G$4:$G$103,"S9",Traceability_Matrix!$E$4:$E$103),0)</f>
        <v>0.366666666666667</v>
      </c>
      <c r="H12" s="9" t="s">
        <v>799</v>
      </c>
      <c r="I12" s="6" t="s">
        <v>800</v>
      </c>
    </row>
    <row r="13" customFormat="false" ht="15" hidden="false" customHeight="true" outlineLevel="0" collapsed="false">
      <c r="A13" s="6" t="s">
        <v>141</v>
      </c>
      <c r="B13" s="6" t="s">
        <v>801</v>
      </c>
      <c r="C13" s="6" t="n">
        <f aca="false">COUNTIF(Traceability_Matrix!$G$4:$G$103,"S10")</f>
        <v>7</v>
      </c>
      <c r="D13" s="6" t="n">
        <f aca="false">SUMIF(Traceability_Matrix!$G$4:$G$103,"S10",Traceability_Matrix!$E$4:$E$103)</f>
        <v>24</v>
      </c>
      <c r="E13" s="6" t="n">
        <f aca="false">COUNTIFS(Traceability_Matrix!$G$4:$G$103,"S10",Traceability_Matrix!$J$4:$J$103,"Done-in-code")+COUNTIFS(Traceability_Matrix!$G$4:$G$103,"S10",Traceability_Matrix!$J$4:$J$103,"Done")</f>
        <v>5</v>
      </c>
      <c r="F13" s="6" t="n">
        <f aca="false">SUMIFS(Traceability_Matrix!$E$4:$E$103,Traceability_Matrix!$G$4:$G$103,"S10",Traceability_Matrix!$J$4:$J$103,"Done-in-code")+SUMIFS(Traceability_Matrix!$E$4:$E$103,Traceability_Matrix!$G$4:$G$103,"S10",Traceability_Matrix!$J$4:$J$103,"Done")</f>
        <v>16</v>
      </c>
      <c r="G13" s="14" t="n">
        <f aca="false">IFERROR((SUMIFS(Traceability_Matrix!$E$4:$E$103,Traceability_Matrix!$G$4:$G$103,"S10",Traceability_Matrix!$J$4:$J$103,"Done-in-code")+SUMIFS(Traceability_Matrix!$E$4:$E$103,Traceability_Matrix!$G$4:$G$103,"S10",Traceability_Matrix!$J$4:$J$103,"Done"))/SUMIF(Traceability_Matrix!$G$4:$G$103,"S10",Traceability_Matrix!$E$4:$E$103),0)</f>
        <v>0.666666666666667</v>
      </c>
      <c r="H13" s="9" t="s">
        <v>802</v>
      </c>
      <c r="I13" s="6" t="s">
        <v>803</v>
      </c>
    </row>
    <row r="14" customFormat="false" ht="15" hidden="false" customHeight="true" outlineLevel="0" collapsed="false">
      <c r="A14" s="6" t="s">
        <v>726</v>
      </c>
      <c r="B14" s="6" t="s">
        <v>804</v>
      </c>
      <c r="C14" s="6" t="n">
        <f aca="false">COUNTIF(Traceability_Matrix!$G$4:$G$103,"S11")</f>
        <v>3</v>
      </c>
      <c r="D14" s="6" t="n">
        <f aca="false">SUMIF(Traceability_Matrix!$G$4:$G$103,"S11",Traceability_Matrix!$E$4:$E$103)</f>
        <v>8</v>
      </c>
      <c r="E14" s="6" t="n">
        <f aca="false">COUNTIFS(Traceability_Matrix!$G$4:$G$103,"S11",Traceability_Matrix!$J$4:$J$103,"Done-in-code")+COUNTIFS(Traceability_Matrix!$G$4:$G$103,"S11",Traceability_Matrix!$J$4:$J$103,"Done")</f>
        <v>3</v>
      </c>
      <c r="F14" s="6" t="n">
        <f aca="false">SUMIFS(Traceability_Matrix!$E$4:$E$103,Traceability_Matrix!$G$4:$G$103,"S11",Traceability_Matrix!$J$4:$J$103,"Done-in-code")+SUMIFS(Traceability_Matrix!$E$4:$E$103,Traceability_Matrix!$G$4:$G$103,"S11",Traceability_Matrix!$J$4:$J$103,"Done")</f>
        <v>8</v>
      </c>
      <c r="G14" s="14" t="n">
        <f aca="false">IFERROR((SUMIFS(Traceability_Matrix!$E$4:$E$103,Traceability_Matrix!$G$4:$G$103,"S11",Traceability_Matrix!$J$4:$J$103,"Done-in-code")+SUMIFS(Traceability_Matrix!$E$4:$E$103,Traceability_Matrix!$G$4:$G$103,"S11",Traceability_Matrix!$J$4:$J$103,"Done"))/SUMIF(Traceability_Matrix!$G$4:$G$103,"S11",Traceability_Matrix!$E$4:$E$103),0)</f>
        <v>1</v>
      </c>
      <c r="H14" s="9" t="s">
        <v>805</v>
      </c>
      <c r="I14" s="6" t="s">
        <v>806</v>
      </c>
    </row>
    <row r="15" customFormat="false" ht="15" hidden="false" customHeight="true" outlineLevel="0" collapsed="false">
      <c r="A15" s="6" t="s">
        <v>761</v>
      </c>
      <c r="B15" s="6" t="s">
        <v>807</v>
      </c>
      <c r="C15" s="6" t="n">
        <f aca="false">COUNTIF(Traceability_Matrix!$G$4:$G$103,"S12")</f>
        <v>1</v>
      </c>
      <c r="D15" s="6" t="n">
        <f aca="false">SUMIF(Traceability_Matrix!$G$4:$G$103,"S12",Traceability_Matrix!$E$4:$E$103)</f>
        <v>2</v>
      </c>
      <c r="E15" s="6" t="n">
        <f aca="false">COUNTIFS(Traceability_Matrix!$G$4:$G$103,"S12",Traceability_Matrix!$J$4:$J$103,"Done-in-code")+COUNTIFS(Traceability_Matrix!$G$4:$G$103,"S12",Traceability_Matrix!$J$4:$J$103,"Done")</f>
        <v>1</v>
      </c>
      <c r="F15" s="6" t="n">
        <f aca="false">SUMIFS(Traceability_Matrix!$E$4:$E$103,Traceability_Matrix!$G$4:$G$103,"S12",Traceability_Matrix!$J$4:$J$103,"Done-in-code")+SUMIFS(Traceability_Matrix!$E$4:$E$103,Traceability_Matrix!$G$4:$G$103,"S12",Traceability_Matrix!$J$4:$J$103,"Done")</f>
        <v>2</v>
      </c>
      <c r="G15" s="14" t="n">
        <f aca="false">IFERROR((SUMIFS(Traceability_Matrix!$E$4:$E$103,Traceability_Matrix!$G$4:$G$103,"S12",Traceability_Matrix!$J$4:$J$103,"Done-in-code")+SUMIFS(Traceability_Matrix!$E$4:$E$103,Traceability_Matrix!$G$4:$G$103,"S12",Traceability_Matrix!$J$4:$J$103,"Done"))/SUMIF(Traceability_Matrix!$G$4:$G$103,"S12",Traceability_Matrix!$E$4:$E$103),0)</f>
        <v>1</v>
      </c>
      <c r="H15" s="9" t="s">
        <v>805</v>
      </c>
      <c r="I15" s="6" t="s">
        <v>808</v>
      </c>
    </row>
    <row r="16" customFormat="false" ht="15" hidden="false" customHeight="true" outlineLevel="0" collapsed="false">
      <c r="A16" s="6" t="s">
        <v>809</v>
      </c>
      <c r="B16" s="6" t="s">
        <v>810</v>
      </c>
      <c r="C16" s="6" t="n">
        <f aca="false">SUM(C4:C15)</f>
        <v>100</v>
      </c>
      <c r="D16" s="6" t="n">
        <f aca="false">SUM(D4:D15)</f>
        <v>399</v>
      </c>
      <c r="E16" s="6" t="n">
        <f aca="false">SUM(E4:E15)</f>
        <v>94</v>
      </c>
      <c r="F16" s="6" t="n">
        <f aca="false">SUM(F4:F15)</f>
        <v>372</v>
      </c>
      <c r="G16" s="14" t="n">
        <f aca="false">IFERROR(F16/D16,0)</f>
        <v>0.932330827067669</v>
      </c>
      <c r="H16" s="6"/>
      <c r="I16" s="6"/>
    </row>
  </sheetData>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26"/>
    <col collapsed="false" customWidth="true" hidden="false" outlineLevel="0" max="4" min="4" style="1" width="60"/>
    <col collapsed="false" customWidth="true" hidden="false" outlineLevel="0" max="5" min="5" style="1" width="62"/>
    <col collapsed="false" customWidth="true" hidden="false" outlineLevel="0" max="6" min="6" style="1" width="66"/>
  </cols>
  <sheetData>
    <row r="1" customFormat="false" ht="15" hidden="false" customHeight="true" outlineLevel="0" collapsed="false">
      <c r="A1" s="10" t="s">
        <v>811</v>
      </c>
    </row>
    <row r="2" customFormat="false" ht="15" hidden="false" customHeight="true" outlineLevel="0" collapsed="false">
      <c r="A2" s="11" t="s">
        <v>812</v>
      </c>
    </row>
    <row r="3" customFormat="false" ht="15" hidden="false" customHeight="true" outlineLevel="0" collapsed="false">
      <c r="A3" s="7"/>
      <c r="B3" s="7"/>
      <c r="C3" s="7"/>
      <c r="D3" s="7"/>
      <c r="E3" s="7"/>
      <c r="F3" s="7"/>
    </row>
    <row r="4" customFormat="false" ht="15" hidden="false" customHeight="true" outlineLevel="0" collapsed="false">
      <c r="A4" s="12" t="s">
        <v>43</v>
      </c>
      <c r="B4" s="12" t="s">
        <v>813</v>
      </c>
      <c r="C4" s="12" t="s">
        <v>814</v>
      </c>
      <c r="D4" s="12" t="s">
        <v>815</v>
      </c>
      <c r="E4" s="12" t="s">
        <v>816</v>
      </c>
      <c r="F4" s="12" t="s">
        <v>817</v>
      </c>
    </row>
    <row r="5" customFormat="false" ht="57" hidden="false" customHeight="true" outlineLevel="0" collapsed="false">
      <c r="A5" s="7" t="s">
        <v>818</v>
      </c>
      <c r="B5" s="7" t="s">
        <v>819</v>
      </c>
      <c r="C5" s="7" t="s">
        <v>820</v>
      </c>
      <c r="D5" s="7" t="s">
        <v>821</v>
      </c>
      <c r="E5" s="7" t="s">
        <v>822</v>
      </c>
      <c r="F5" s="7" t="s">
        <v>823</v>
      </c>
    </row>
    <row r="6" customFormat="false" ht="23.25" hidden="false" customHeight="true" outlineLevel="0" collapsed="false">
      <c r="A6" s="7" t="s">
        <v>824</v>
      </c>
      <c r="B6" s="7" t="s">
        <v>819</v>
      </c>
      <c r="C6" s="7" t="s">
        <v>825</v>
      </c>
      <c r="D6" s="7" t="s">
        <v>826</v>
      </c>
      <c r="E6" s="7" t="s">
        <v>827</v>
      </c>
      <c r="F6" s="7" t="s">
        <v>828</v>
      </c>
    </row>
    <row r="7" customFormat="false" ht="23.25" hidden="false" customHeight="true" outlineLevel="0" collapsed="false">
      <c r="A7" s="7" t="s">
        <v>829</v>
      </c>
      <c r="B7" s="7" t="s">
        <v>819</v>
      </c>
      <c r="C7" s="7" t="s">
        <v>830</v>
      </c>
      <c r="D7" s="7" t="s">
        <v>831</v>
      </c>
      <c r="E7" s="7" t="s">
        <v>832</v>
      </c>
      <c r="F7" s="7" t="s">
        <v>833</v>
      </c>
    </row>
    <row r="8" customFormat="false" ht="34.5" hidden="false" customHeight="true" outlineLevel="0" collapsed="false">
      <c r="A8" s="7" t="s">
        <v>834</v>
      </c>
      <c r="B8" s="7" t="s">
        <v>819</v>
      </c>
      <c r="C8" s="7" t="s">
        <v>825</v>
      </c>
      <c r="D8" s="7" t="s">
        <v>835</v>
      </c>
      <c r="E8" s="7" t="s">
        <v>836</v>
      </c>
      <c r="F8" s="7" t="s">
        <v>837</v>
      </c>
    </row>
    <row r="9" customFormat="false" ht="23.25" hidden="false" customHeight="true" outlineLevel="0" collapsed="false">
      <c r="A9" s="7" t="s">
        <v>838</v>
      </c>
      <c r="B9" s="7" t="s">
        <v>819</v>
      </c>
      <c r="C9" s="7" t="s">
        <v>839</v>
      </c>
      <c r="D9" s="7" t="s">
        <v>840</v>
      </c>
      <c r="E9" s="7" t="s">
        <v>841</v>
      </c>
      <c r="F9" s="7" t="s">
        <v>842</v>
      </c>
    </row>
    <row r="10" customFormat="false" ht="34.5" hidden="false" customHeight="true" outlineLevel="0" collapsed="false">
      <c r="A10" s="7" t="s">
        <v>843</v>
      </c>
      <c r="B10" s="7" t="s">
        <v>819</v>
      </c>
      <c r="C10" s="7" t="s">
        <v>844</v>
      </c>
      <c r="D10" s="7" t="s">
        <v>845</v>
      </c>
      <c r="E10" s="7" t="s">
        <v>846</v>
      </c>
      <c r="F10" s="7" t="s">
        <v>847</v>
      </c>
    </row>
    <row r="11" customFormat="false" ht="23.25" hidden="false" customHeight="true" outlineLevel="0" collapsed="false">
      <c r="A11" s="7" t="s">
        <v>848</v>
      </c>
      <c r="B11" s="7" t="s">
        <v>819</v>
      </c>
      <c r="C11" s="7" t="s">
        <v>849</v>
      </c>
      <c r="D11" s="7" t="s">
        <v>850</v>
      </c>
      <c r="E11" s="7" t="s">
        <v>851</v>
      </c>
      <c r="F11" s="7" t="s">
        <v>852</v>
      </c>
    </row>
    <row r="12" customFormat="false" ht="15" hidden="false" customHeight="true" outlineLevel="0" collapsed="false">
      <c r="A12" s="7" t="s">
        <v>853</v>
      </c>
      <c r="B12" s="7" t="s">
        <v>819</v>
      </c>
      <c r="C12" s="7" t="s">
        <v>849</v>
      </c>
      <c r="D12" s="7" t="s">
        <v>854</v>
      </c>
      <c r="E12" s="7" t="s">
        <v>855</v>
      </c>
      <c r="F12" s="7" t="s">
        <v>856</v>
      </c>
    </row>
    <row r="13" customFormat="false" ht="23.25" hidden="false" customHeight="true" outlineLevel="0" collapsed="false">
      <c r="A13" s="7" t="s">
        <v>857</v>
      </c>
      <c r="B13" s="7" t="s">
        <v>819</v>
      </c>
      <c r="C13" s="7" t="s">
        <v>849</v>
      </c>
      <c r="D13" s="7" t="s">
        <v>858</v>
      </c>
      <c r="E13" s="7" t="s">
        <v>859</v>
      </c>
      <c r="F13" s="7" t="s">
        <v>860</v>
      </c>
    </row>
    <row r="14" customFormat="false" ht="23.25" hidden="false" customHeight="true" outlineLevel="0" collapsed="false">
      <c r="A14" s="7" t="s">
        <v>861</v>
      </c>
      <c r="B14" s="7" t="s">
        <v>621</v>
      </c>
      <c r="C14" s="7" t="s">
        <v>862</v>
      </c>
      <c r="D14" s="7" t="s">
        <v>863</v>
      </c>
      <c r="E14" s="7" t="s">
        <v>864</v>
      </c>
      <c r="F14" s="7" t="s">
        <v>865</v>
      </c>
    </row>
    <row r="15" customFormat="false" ht="15" hidden="false" customHeight="true" outlineLevel="0" collapsed="false">
      <c r="A15" s="7" t="s">
        <v>866</v>
      </c>
      <c r="B15" s="7" t="s">
        <v>621</v>
      </c>
      <c r="C15" s="7" t="s">
        <v>862</v>
      </c>
      <c r="D15" s="7" t="s">
        <v>867</v>
      </c>
      <c r="E15" s="7" t="s">
        <v>868</v>
      </c>
      <c r="F15" s="7" t="s">
        <v>869</v>
      </c>
    </row>
    <row r="16" customFormat="false" ht="34.5" hidden="false" customHeight="true" outlineLevel="0" collapsed="false">
      <c r="A16" s="7" t="s">
        <v>870</v>
      </c>
      <c r="B16" s="7" t="s">
        <v>621</v>
      </c>
      <c r="C16" s="7" t="s">
        <v>871</v>
      </c>
      <c r="D16" s="7" t="s">
        <v>872</v>
      </c>
      <c r="E16" s="7" t="s">
        <v>873</v>
      </c>
      <c r="F16" s="7" t="s">
        <v>874</v>
      </c>
    </row>
    <row r="17" customFormat="false" ht="34.5" hidden="false" customHeight="true" outlineLevel="0" collapsed="false">
      <c r="A17" s="7" t="s">
        <v>875</v>
      </c>
      <c r="B17" s="7" t="s">
        <v>621</v>
      </c>
      <c r="C17" s="7" t="s">
        <v>849</v>
      </c>
      <c r="D17" s="7" t="s">
        <v>876</v>
      </c>
      <c r="E17" s="7" t="s">
        <v>877</v>
      </c>
      <c r="F17" s="7" t="s">
        <v>878</v>
      </c>
    </row>
    <row r="18" customFormat="false" ht="34.5" hidden="false" customHeight="true" outlineLevel="0" collapsed="false">
      <c r="A18" s="7" t="s">
        <v>879</v>
      </c>
      <c r="B18" s="7" t="s">
        <v>621</v>
      </c>
      <c r="C18" s="7" t="s">
        <v>880</v>
      </c>
      <c r="D18" s="7" t="s">
        <v>881</v>
      </c>
      <c r="E18" s="7" t="s">
        <v>882</v>
      </c>
      <c r="F18" s="7" t="s">
        <v>883</v>
      </c>
    </row>
    <row r="19" customFormat="false" ht="23.25" hidden="false" customHeight="true" outlineLevel="0" collapsed="false">
      <c r="A19" s="7" t="s">
        <v>884</v>
      </c>
      <c r="B19" s="7" t="s">
        <v>621</v>
      </c>
      <c r="C19" s="7" t="s">
        <v>885</v>
      </c>
      <c r="D19" s="7" t="s">
        <v>886</v>
      </c>
      <c r="E19" s="7" t="s">
        <v>887</v>
      </c>
      <c r="F19" s="7" t="s">
        <v>888</v>
      </c>
    </row>
    <row r="20" customFormat="false" ht="23.25" hidden="false" customHeight="true" outlineLevel="0" collapsed="false">
      <c r="A20" s="7" t="s">
        <v>889</v>
      </c>
      <c r="B20" s="7" t="s">
        <v>890</v>
      </c>
      <c r="C20" s="7" t="s">
        <v>844</v>
      </c>
      <c r="D20" s="7" t="s">
        <v>891</v>
      </c>
      <c r="E20" s="7" t="s">
        <v>892</v>
      </c>
      <c r="F20" s="7" t="s">
        <v>893</v>
      </c>
    </row>
    <row r="21" customFormat="false" ht="23.25" hidden="false" customHeight="true" outlineLevel="0" collapsed="false">
      <c r="A21" s="7" t="s">
        <v>894</v>
      </c>
      <c r="B21" s="7" t="s">
        <v>890</v>
      </c>
      <c r="C21" s="7" t="s">
        <v>895</v>
      </c>
      <c r="D21" s="7" t="s">
        <v>896</v>
      </c>
      <c r="E21" s="7" t="s">
        <v>897</v>
      </c>
      <c r="F21" s="7" t="s">
        <v>898</v>
      </c>
    </row>
    <row r="22" customFormat="false" ht="23.25" hidden="false" customHeight="true" outlineLevel="0" collapsed="false">
      <c r="A22" s="7" t="s">
        <v>899</v>
      </c>
      <c r="B22" s="7" t="s">
        <v>890</v>
      </c>
      <c r="C22" s="7" t="s">
        <v>885</v>
      </c>
      <c r="D22" s="7" t="s">
        <v>900</v>
      </c>
      <c r="E22" s="7" t="s">
        <v>901</v>
      </c>
      <c r="F22" s="7" t="s">
        <v>902</v>
      </c>
    </row>
    <row r="23" customFormat="false" ht="45.75" hidden="false" customHeight="true" outlineLevel="0" collapsed="false">
      <c r="A23" s="7" t="s">
        <v>903</v>
      </c>
      <c r="B23" s="7" t="s">
        <v>904</v>
      </c>
      <c r="C23" s="7" t="s">
        <v>849</v>
      </c>
      <c r="D23" s="7" t="s">
        <v>905</v>
      </c>
      <c r="E23" s="7" t="s">
        <v>906</v>
      </c>
      <c r="F23" s="7" t="s">
        <v>907</v>
      </c>
    </row>
    <row r="24" customFormat="false" ht="45.75" hidden="false" customHeight="true" outlineLevel="0" collapsed="false">
      <c r="A24" s="7" t="s">
        <v>908</v>
      </c>
      <c r="B24" s="7" t="s">
        <v>904</v>
      </c>
      <c r="C24" s="7" t="s">
        <v>849</v>
      </c>
      <c r="D24" s="7" t="s">
        <v>909</v>
      </c>
      <c r="E24" s="7" t="s">
        <v>910</v>
      </c>
      <c r="F24" s="7" t="s">
        <v>911</v>
      </c>
    </row>
    <row r="25" customFormat="false" ht="23.25" hidden="false" customHeight="true" outlineLevel="0" collapsed="false">
      <c r="A25" s="7" t="s">
        <v>912</v>
      </c>
      <c r="B25" s="7" t="s">
        <v>913</v>
      </c>
      <c r="C25" s="7" t="s">
        <v>914</v>
      </c>
      <c r="D25" s="7" t="s">
        <v>915</v>
      </c>
      <c r="E25" s="7" t="s">
        <v>916</v>
      </c>
      <c r="F25" s="7" t="s">
        <v>917</v>
      </c>
    </row>
    <row r="26" customFormat="false" ht="23.25" hidden="false" customHeight="true" outlineLevel="0" collapsed="false">
      <c r="A26" s="7" t="s">
        <v>918</v>
      </c>
      <c r="B26" s="7" t="s">
        <v>913</v>
      </c>
      <c r="C26" s="7" t="s">
        <v>919</v>
      </c>
      <c r="D26" s="7" t="s">
        <v>920</v>
      </c>
      <c r="E26" s="7" t="s">
        <v>921</v>
      </c>
      <c r="F26" s="7" t="s">
        <v>922</v>
      </c>
    </row>
    <row r="27" customFormat="false" ht="23.25" hidden="false" customHeight="true" outlineLevel="0" collapsed="false">
      <c r="A27" s="7" t="s">
        <v>923</v>
      </c>
      <c r="B27" s="7" t="s">
        <v>913</v>
      </c>
      <c r="C27" s="7" t="s">
        <v>924</v>
      </c>
      <c r="D27" s="7" t="s">
        <v>925</v>
      </c>
      <c r="E27" s="7" t="s">
        <v>926</v>
      </c>
      <c r="F27" s="7" t="s">
        <v>927</v>
      </c>
    </row>
    <row r="28" customFormat="false" ht="23.25" hidden="false" customHeight="true" outlineLevel="0" collapsed="false">
      <c r="A28" s="7" t="s">
        <v>928</v>
      </c>
      <c r="B28" s="7" t="s">
        <v>913</v>
      </c>
      <c r="C28" s="7" t="s">
        <v>849</v>
      </c>
      <c r="D28" s="7" t="s">
        <v>929</v>
      </c>
      <c r="E28" s="7" t="s">
        <v>930</v>
      </c>
      <c r="F28" s="7" t="s">
        <v>931</v>
      </c>
    </row>
    <row r="29" customFormat="false" ht="34.5" hidden="false" customHeight="true" outlineLevel="0" collapsed="false">
      <c r="A29" s="7" t="s">
        <v>932</v>
      </c>
      <c r="B29" s="7" t="s">
        <v>621</v>
      </c>
      <c r="C29" s="7" t="s">
        <v>933</v>
      </c>
      <c r="D29" s="7" t="s">
        <v>934</v>
      </c>
      <c r="E29" s="7" t="s">
        <v>935</v>
      </c>
      <c r="F29" s="7" t="s">
        <v>936</v>
      </c>
    </row>
    <row r="30" customFormat="false" ht="45.75" hidden="false" customHeight="true" outlineLevel="0" collapsed="false">
      <c r="A30" s="7" t="s">
        <v>937</v>
      </c>
      <c r="B30" s="7" t="s">
        <v>819</v>
      </c>
      <c r="C30" s="7" t="s">
        <v>938</v>
      </c>
      <c r="D30" s="7" t="s">
        <v>939</v>
      </c>
      <c r="E30" s="7" t="s">
        <v>940</v>
      </c>
      <c r="F30" s="7" t="s">
        <v>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70"/>
    <col collapsed="false" customWidth="true" hidden="false" outlineLevel="0" max="5" min="5" style="1" width="9"/>
    <col collapsed="false" customWidth="true" hidden="false" outlineLevel="0" max="6" min="6" style="1" width="60"/>
  </cols>
  <sheetData>
    <row r="1" customFormat="false" ht="15" hidden="false" customHeight="true" outlineLevel="0" collapsed="false">
      <c r="A1" s="2" t="s">
        <v>942</v>
      </c>
      <c r="B1" s="3"/>
      <c r="C1" s="3"/>
      <c r="D1" s="3"/>
      <c r="E1" s="3"/>
      <c r="F1" s="3"/>
    </row>
    <row r="2" customFormat="false" ht="15" hidden="false" customHeight="true" outlineLevel="0" collapsed="false">
      <c r="A2" s="8" t="s">
        <v>43</v>
      </c>
      <c r="B2" s="8" t="s">
        <v>813</v>
      </c>
      <c r="C2" s="8" t="s">
        <v>943</v>
      </c>
      <c r="D2" s="8" t="s">
        <v>208</v>
      </c>
      <c r="E2" s="8" t="s">
        <v>6</v>
      </c>
      <c r="F2" s="8" t="s">
        <v>944</v>
      </c>
    </row>
    <row r="3" customFormat="false" ht="23.25" hidden="false" customHeight="true" outlineLevel="0" collapsed="false">
      <c r="A3" s="6" t="s">
        <v>945</v>
      </c>
      <c r="B3" s="6" t="s">
        <v>946</v>
      </c>
      <c r="C3" s="6" t="s">
        <v>21</v>
      </c>
      <c r="D3" s="6" t="s">
        <v>947</v>
      </c>
      <c r="E3" s="6" t="s">
        <v>948</v>
      </c>
      <c r="F3" s="6" t="s">
        <v>949</v>
      </c>
    </row>
    <row r="4" customFormat="false" ht="23.25" hidden="false" customHeight="true" outlineLevel="0" collapsed="false">
      <c r="A4" s="6" t="s">
        <v>950</v>
      </c>
      <c r="B4" s="6" t="s">
        <v>946</v>
      </c>
      <c r="C4" s="6" t="s">
        <v>21</v>
      </c>
      <c r="D4" s="6" t="s">
        <v>951</v>
      </c>
      <c r="E4" s="6" t="s">
        <v>948</v>
      </c>
      <c r="F4" s="6" t="s">
        <v>952</v>
      </c>
    </row>
    <row r="5" customFormat="false" ht="23.25" hidden="false" customHeight="true" outlineLevel="0" collapsed="false">
      <c r="A5" s="6" t="s">
        <v>953</v>
      </c>
      <c r="B5" s="6" t="s">
        <v>946</v>
      </c>
      <c r="C5" s="6" t="s">
        <v>21</v>
      </c>
      <c r="D5" s="6" t="s">
        <v>954</v>
      </c>
      <c r="E5" s="6" t="s">
        <v>948</v>
      </c>
      <c r="F5" s="6" t="s">
        <v>955</v>
      </c>
    </row>
    <row r="6" customFormat="false" ht="23.25" hidden="false" customHeight="true" outlineLevel="0" collapsed="false">
      <c r="A6" s="6" t="s">
        <v>956</v>
      </c>
      <c r="B6" s="6" t="s">
        <v>957</v>
      </c>
      <c r="C6" s="6" t="s">
        <v>958</v>
      </c>
      <c r="D6" s="6" t="s">
        <v>959</v>
      </c>
      <c r="E6" s="6" t="s">
        <v>948</v>
      </c>
      <c r="F6" s="6" t="s">
        <v>960</v>
      </c>
    </row>
    <row r="7" customFormat="false" ht="23.25" hidden="false" customHeight="true" outlineLevel="0" collapsed="false">
      <c r="A7" s="6" t="s">
        <v>961</v>
      </c>
      <c r="B7" s="6" t="s">
        <v>946</v>
      </c>
      <c r="C7" s="6" t="s">
        <v>962</v>
      </c>
      <c r="D7" s="6" t="s">
        <v>963</v>
      </c>
      <c r="E7" s="6" t="s">
        <v>948</v>
      </c>
      <c r="F7" s="6" t="s">
        <v>964</v>
      </c>
    </row>
    <row r="8" customFormat="false" ht="23.25" hidden="false" customHeight="true" outlineLevel="0" collapsed="false">
      <c r="A8" s="6" t="s">
        <v>965</v>
      </c>
      <c r="B8" s="6" t="s">
        <v>957</v>
      </c>
      <c r="C8" s="6" t="s">
        <v>966</v>
      </c>
      <c r="D8" s="6" t="s">
        <v>967</v>
      </c>
      <c r="E8" s="6" t="s">
        <v>948</v>
      </c>
      <c r="F8" s="6" t="s">
        <v>968</v>
      </c>
    </row>
    <row r="9" customFormat="false" ht="34.5" hidden="false" customHeight="true" outlineLevel="0" collapsed="false">
      <c r="A9" s="6" t="s">
        <v>969</v>
      </c>
      <c r="B9" s="6" t="s">
        <v>970</v>
      </c>
      <c r="C9" s="6" t="s">
        <v>958</v>
      </c>
      <c r="D9" s="6" t="s">
        <v>971</v>
      </c>
      <c r="E9" s="6" t="s">
        <v>948</v>
      </c>
      <c r="F9" s="6" t="s">
        <v>972</v>
      </c>
    </row>
    <row r="10" customFormat="false" ht="23.25" hidden="false" customHeight="true" outlineLevel="0" collapsed="false">
      <c r="A10" s="6" t="s">
        <v>973</v>
      </c>
      <c r="B10" s="6" t="s">
        <v>970</v>
      </c>
      <c r="C10" s="6" t="s">
        <v>974</v>
      </c>
      <c r="D10" s="6" t="s">
        <v>975</v>
      </c>
      <c r="E10" s="6" t="s">
        <v>948</v>
      </c>
      <c r="F10" s="6" t="s">
        <v>976</v>
      </c>
    </row>
    <row r="11" customFormat="false" ht="34.5" hidden="false" customHeight="true" outlineLevel="0" collapsed="false">
      <c r="A11" s="7" t="s">
        <v>977</v>
      </c>
      <c r="B11" s="7" t="s">
        <v>946</v>
      </c>
      <c r="C11" s="7" t="s">
        <v>978</v>
      </c>
      <c r="D11" s="7" t="s">
        <v>979</v>
      </c>
      <c r="E11" s="7" t="s">
        <v>948</v>
      </c>
      <c r="F11" s="7" t="s">
        <v>980</v>
      </c>
    </row>
    <row r="12" customFormat="false" ht="23.25" hidden="false" customHeight="true" outlineLevel="0" collapsed="false">
      <c r="A12" s="7" t="s">
        <v>981</v>
      </c>
      <c r="B12" s="7" t="s">
        <v>946</v>
      </c>
      <c r="C12" s="7" t="s">
        <v>978</v>
      </c>
      <c r="D12" s="7" t="s">
        <v>982</v>
      </c>
      <c r="E12" s="7" t="s">
        <v>983</v>
      </c>
      <c r="F12" s="7" t="s">
        <v>984</v>
      </c>
    </row>
    <row r="13" customFormat="false" ht="23.25" hidden="false" customHeight="true" outlineLevel="0" collapsed="false">
      <c r="A13" s="7" t="s">
        <v>985</v>
      </c>
      <c r="B13" s="7" t="s">
        <v>946</v>
      </c>
      <c r="C13" s="7" t="s">
        <v>978</v>
      </c>
      <c r="D13" s="7" t="s">
        <v>986</v>
      </c>
      <c r="E13" s="7" t="s">
        <v>948</v>
      </c>
      <c r="F13" s="7" t="s">
        <v>987</v>
      </c>
    </row>
    <row r="14" customFormat="false" ht="23.25" hidden="false" customHeight="true" outlineLevel="0" collapsed="false">
      <c r="A14" s="7" t="s">
        <v>988</v>
      </c>
      <c r="B14" s="7" t="s">
        <v>989</v>
      </c>
      <c r="C14" s="7" t="s">
        <v>978</v>
      </c>
      <c r="D14" s="7" t="s">
        <v>990</v>
      </c>
      <c r="E14" s="7" t="s">
        <v>991</v>
      </c>
      <c r="F14" s="7" t="s">
        <v>992</v>
      </c>
    </row>
    <row r="15" customFormat="false" ht="34.5" hidden="false" customHeight="true" outlineLevel="0" collapsed="false">
      <c r="A15" s="7" t="s">
        <v>993</v>
      </c>
      <c r="B15" s="7" t="s">
        <v>989</v>
      </c>
      <c r="C15" s="7" t="s">
        <v>978</v>
      </c>
      <c r="D15" s="7" t="s">
        <v>994</v>
      </c>
      <c r="E15" s="7" t="s">
        <v>991</v>
      </c>
      <c r="F15" s="7" t="s">
        <v>995</v>
      </c>
    </row>
    <row r="16" customFormat="false" ht="34.5" hidden="false" customHeight="true" outlineLevel="0" collapsed="false">
      <c r="A16" s="7" t="s">
        <v>996</v>
      </c>
      <c r="B16" s="7" t="s">
        <v>946</v>
      </c>
      <c r="C16" s="7" t="s">
        <v>978</v>
      </c>
      <c r="D16" s="7" t="s">
        <v>997</v>
      </c>
      <c r="E16" s="7" t="s">
        <v>948</v>
      </c>
      <c r="F16" s="7" t="s">
        <v>998</v>
      </c>
    </row>
    <row r="17" customFormat="false" ht="34.5" hidden="false" customHeight="true" outlineLevel="0" collapsed="false">
      <c r="A17" s="7" t="s">
        <v>999</v>
      </c>
      <c r="B17" s="7" t="s">
        <v>989</v>
      </c>
      <c r="C17" s="7" t="s">
        <v>978</v>
      </c>
      <c r="D17" s="7" t="s">
        <v>1000</v>
      </c>
      <c r="E17" s="7" t="s">
        <v>991</v>
      </c>
      <c r="F17" s="7" t="s">
        <v>1001</v>
      </c>
    </row>
    <row r="18" customFormat="false" ht="23.25" hidden="false" customHeight="true" outlineLevel="0" collapsed="false">
      <c r="A18" s="7" t="s">
        <v>1002</v>
      </c>
      <c r="B18" s="7" t="s">
        <v>989</v>
      </c>
      <c r="C18" s="7" t="s">
        <v>978</v>
      </c>
      <c r="D18" s="7" t="s">
        <v>1003</v>
      </c>
      <c r="E18" s="7" t="s">
        <v>991</v>
      </c>
      <c r="F18" s="7" t="s">
        <v>1004</v>
      </c>
    </row>
    <row r="19" customFormat="false" ht="34.5" hidden="false" customHeight="true" outlineLevel="0" collapsed="false">
      <c r="A19" s="7" t="s">
        <v>1005</v>
      </c>
      <c r="B19" s="7" t="s">
        <v>989</v>
      </c>
      <c r="C19" s="7" t="s">
        <v>978</v>
      </c>
      <c r="D19" s="7" t="s">
        <v>1006</v>
      </c>
      <c r="E19" s="7" t="s">
        <v>991</v>
      </c>
      <c r="F19" s="7" t="s">
        <v>1007</v>
      </c>
    </row>
    <row r="20" customFormat="false" ht="34.5" hidden="false" customHeight="true" outlineLevel="0" collapsed="false">
      <c r="A20" s="7" t="s">
        <v>1008</v>
      </c>
      <c r="B20" s="7" t="s">
        <v>989</v>
      </c>
      <c r="C20" s="7" t="s">
        <v>978</v>
      </c>
      <c r="D20" s="7" t="s">
        <v>1009</v>
      </c>
      <c r="E20" s="7" t="s">
        <v>991</v>
      </c>
      <c r="F20" s="7" t="s">
        <v>1010</v>
      </c>
    </row>
    <row r="21" customFormat="false" ht="34.5" hidden="false" customHeight="true" outlineLevel="0" collapsed="false">
      <c r="A21" s="7" t="s">
        <v>1011</v>
      </c>
      <c r="B21" s="7" t="s">
        <v>989</v>
      </c>
      <c r="C21" s="7" t="s">
        <v>978</v>
      </c>
      <c r="D21" s="7" t="s">
        <v>1012</v>
      </c>
      <c r="E21" s="7" t="s">
        <v>991</v>
      </c>
      <c r="F21" s="7" t="s">
        <v>1013</v>
      </c>
    </row>
    <row r="22" customFormat="false" ht="34.5" hidden="false" customHeight="true" outlineLevel="0" collapsed="false">
      <c r="A22" s="7" t="s">
        <v>1014</v>
      </c>
      <c r="B22" s="7" t="s">
        <v>946</v>
      </c>
      <c r="C22" s="7" t="s">
        <v>978</v>
      </c>
      <c r="D22" s="7" t="s">
        <v>1015</v>
      </c>
      <c r="E22" s="7" t="s">
        <v>948</v>
      </c>
      <c r="F22" s="7" t="s">
        <v>1016</v>
      </c>
    </row>
    <row r="23" customFormat="false" ht="57.45" hidden="false" customHeight="false" outlineLevel="0" collapsed="false">
      <c r="A23" s="7" t="s">
        <v>1017</v>
      </c>
      <c r="B23" s="7" t="s">
        <v>989</v>
      </c>
      <c r="C23" s="7" t="s">
        <v>978</v>
      </c>
      <c r="D23" s="7" t="s">
        <v>1018</v>
      </c>
      <c r="E23" s="7" t="s">
        <v>991</v>
      </c>
      <c r="F23" s="7" t="s">
        <v>1019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8"/>
    <col collapsed="false" customWidth="true" hidden="false" outlineLevel="0" max="3" min="3" style="1" width="14"/>
    <col collapsed="false" customWidth="true" hidden="false" outlineLevel="0" max="4" min="4" style="1" width="55"/>
  </cols>
  <sheetData>
    <row r="1" customFormat="false" ht="15" hidden="false" customHeight="true" outlineLevel="0" collapsed="false">
      <c r="A1" s="2" t="s">
        <v>1020</v>
      </c>
      <c r="B1" s="3"/>
      <c r="C1" s="3"/>
      <c r="D1" s="3"/>
    </row>
    <row r="2" customFormat="false" ht="15" hidden="false" customHeight="true" outlineLevel="0" collapsed="false">
      <c r="A2" s="13" t="s">
        <v>1021</v>
      </c>
      <c r="B2" s="13"/>
      <c r="C2" s="13"/>
      <c r="D2" s="13"/>
    </row>
    <row r="3" customFormat="false" ht="15" hidden="false" customHeight="true" outlineLevel="0" collapsed="false">
      <c r="A3" s="5" t="s">
        <v>43</v>
      </c>
      <c r="B3" s="5" t="s">
        <v>1022</v>
      </c>
      <c r="C3" s="5" t="s">
        <v>1023</v>
      </c>
      <c r="D3" s="5" t="s">
        <v>6</v>
      </c>
    </row>
    <row r="4" customFormat="false" ht="15" hidden="false" customHeight="true" outlineLevel="0" collapsed="false">
      <c r="A4" s="6" t="s">
        <v>1024</v>
      </c>
      <c r="B4" s="6" t="s">
        <v>1025</v>
      </c>
      <c r="C4" s="6" t="s">
        <v>1026</v>
      </c>
      <c r="D4" s="9" t="s">
        <v>948</v>
      </c>
    </row>
    <row r="5" customFormat="false" ht="15" hidden="false" customHeight="true" outlineLevel="0" collapsed="false">
      <c r="A5" s="6" t="s">
        <v>1027</v>
      </c>
      <c r="B5" s="6" t="s">
        <v>1028</v>
      </c>
      <c r="C5" s="6" t="s">
        <v>1026</v>
      </c>
      <c r="D5" s="9" t="s">
        <v>948</v>
      </c>
    </row>
    <row r="6" customFormat="false" ht="15" hidden="false" customHeight="true" outlineLevel="0" collapsed="false">
      <c r="A6" s="6" t="s">
        <v>1029</v>
      </c>
      <c r="B6" s="6" t="s">
        <v>1030</v>
      </c>
      <c r="C6" s="6" t="s">
        <v>1026</v>
      </c>
      <c r="D6" s="9" t="s">
        <v>948</v>
      </c>
    </row>
    <row r="7" customFormat="false" ht="15" hidden="false" customHeight="true" outlineLevel="0" collapsed="false">
      <c r="A7" s="6" t="s">
        <v>1031</v>
      </c>
      <c r="B7" s="6" t="s">
        <v>1032</v>
      </c>
      <c r="C7" s="6" t="s">
        <v>1026</v>
      </c>
      <c r="D7" s="9" t="s">
        <v>948</v>
      </c>
    </row>
    <row r="8" customFormat="false" ht="15" hidden="false" customHeight="true" outlineLevel="0" collapsed="false">
      <c r="A8" s="6" t="s">
        <v>1033</v>
      </c>
      <c r="B8" s="6" t="s">
        <v>1034</v>
      </c>
      <c r="C8" s="6" t="s">
        <v>1026</v>
      </c>
      <c r="D8" s="9" t="s">
        <v>948</v>
      </c>
    </row>
    <row r="9" customFormat="false" ht="15" hidden="false" customHeight="true" outlineLevel="0" collapsed="false">
      <c r="A9" s="6" t="s">
        <v>1035</v>
      </c>
      <c r="B9" s="6" t="s">
        <v>1036</v>
      </c>
      <c r="C9" s="6" t="s">
        <v>1037</v>
      </c>
      <c r="D9" s="9" t="s">
        <v>1038</v>
      </c>
    </row>
    <row r="10" customFormat="false" ht="15" hidden="false" customHeight="true" outlineLevel="0" collapsed="false">
      <c r="A10" s="6" t="s">
        <v>1039</v>
      </c>
      <c r="B10" s="6" t="s">
        <v>1040</v>
      </c>
      <c r="C10" s="6" t="s">
        <v>1041</v>
      </c>
      <c r="D10" s="9" t="s">
        <v>1042</v>
      </c>
    </row>
    <row r="11" customFormat="false" ht="34.5" hidden="false" customHeight="true" outlineLevel="0" collapsed="false">
      <c r="A11" s="6" t="s">
        <v>1043</v>
      </c>
      <c r="B11" s="6" t="s">
        <v>1044</v>
      </c>
      <c r="C11" s="6" t="s">
        <v>1045</v>
      </c>
      <c r="D11" s="9" t="s">
        <v>1046</v>
      </c>
    </row>
    <row r="12" customFormat="false" ht="15" hidden="false" customHeight="true" outlineLevel="0" collapsed="false">
      <c r="A12" s="6" t="s">
        <v>611</v>
      </c>
      <c r="B12" s="6" t="s">
        <v>1047</v>
      </c>
      <c r="C12" s="6" t="s">
        <v>1048</v>
      </c>
      <c r="D12" s="9" t="s">
        <v>1049</v>
      </c>
    </row>
    <row r="13" customFormat="false" ht="15" hidden="false" customHeight="true" outlineLevel="0" collapsed="false">
      <c r="A13" s="6" t="s">
        <v>1050</v>
      </c>
      <c r="B13" s="6" t="s">
        <v>1051</v>
      </c>
      <c r="C13" s="6" t="s">
        <v>1052</v>
      </c>
      <c r="D13" s="9" t="s">
        <v>1053</v>
      </c>
    </row>
    <row r="14" customFormat="false" ht="23.25" hidden="false" customHeight="true" outlineLevel="0" collapsed="false">
      <c r="A14" s="6" t="s">
        <v>1054</v>
      </c>
      <c r="B14" s="6" t="s">
        <v>1055</v>
      </c>
      <c r="C14" s="6" t="s">
        <v>1056</v>
      </c>
      <c r="D14" s="9" t="s">
        <v>1057</v>
      </c>
    </row>
    <row r="15" customFormat="false" ht="15" hidden="false" customHeight="true" outlineLevel="0" collapsed="false">
      <c r="A15" s="6" t="s">
        <v>1058</v>
      </c>
      <c r="B15" s="6" t="s">
        <v>1059</v>
      </c>
      <c r="C15" s="6" t="s">
        <v>1060</v>
      </c>
      <c r="D15" s="9" t="s">
        <v>1061</v>
      </c>
    </row>
    <row r="16" customFormat="false" ht="15" hidden="false" customHeight="true" outlineLevel="0" collapsed="false">
      <c r="A16" s="6" t="s">
        <v>1062</v>
      </c>
      <c r="B16" s="6" t="s">
        <v>1063</v>
      </c>
      <c r="C16" s="6" t="s">
        <v>1064</v>
      </c>
      <c r="D16" s="9" t="s">
        <v>1065</v>
      </c>
    </row>
    <row r="17" customFormat="false" ht="15" hidden="false" customHeight="true" outlineLevel="0" collapsed="false">
      <c r="A17" s="6" t="s">
        <v>1066</v>
      </c>
      <c r="B17" s="6" t="s">
        <v>1067</v>
      </c>
      <c r="C17" s="6" t="s">
        <v>1068</v>
      </c>
      <c r="D17" s="9" t="s">
        <v>1069</v>
      </c>
    </row>
    <row r="18" customFormat="false" ht="15" hidden="false" customHeight="true" outlineLevel="0" collapsed="false">
      <c r="A18" s="6" t="s">
        <v>1070</v>
      </c>
      <c r="B18" s="6" t="s">
        <v>1071</v>
      </c>
      <c r="C18" s="6" t="s">
        <v>1072</v>
      </c>
      <c r="D18" s="9" t="s">
        <v>948</v>
      </c>
    </row>
    <row r="19" customFormat="false" ht="23.25" hidden="false" customHeight="true" outlineLevel="0" collapsed="false">
      <c r="A19" s="7" t="s">
        <v>1050</v>
      </c>
      <c r="B19" s="7" t="s">
        <v>1073</v>
      </c>
      <c r="C19" s="7" t="s">
        <v>1074</v>
      </c>
      <c r="D19" s="7" t="s">
        <v>1075</v>
      </c>
    </row>
    <row r="20" customFormat="false" ht="23.25" hidden="false" customHeight="true" outlineLevel="0" collapsed="false">
      <c r="A20" s="7" t="s">
        <v>1054</v>
      </c>
      <c r="B20" s="7" t="s">
        <v>1076</v>
      </c>
      <c r="C20" s="7" t="s">
        <v>1077</v>
      </c>
      <c r="D20" s="7" t="s">
        <v>1078</v>
      </c>
    </row>
    <row r="21" customFormat="false" ht="23.25" hidden="false" customHeight="true" outlineLevel="0" collapsed="false">
      <c r="A21" s="7" t="s">
        <v>1058</v>
      </c>
      <c r="B21" s="7" t="s">
        <v>1079</v>
      </c>
      <c r="C21" s="7" t="s">
        <v>1080</v>
      </c>
      <c r="D21" s="7" t="s">
        <v>1061</v>
      </c>
    </row>
    <row r="22" customFormat="false" ht="23.85" hidden="false" customHeight="false" outlineLevel="0" collapsed="false">
      <c r="A22" s="7" t="s">
        <v>1062</v>
      </c>
      <c r="B22" s="7" t="s">
        <v>1081</v>
      </c>
      <c r="C22" s="7" t="s">
        <v>1082</v>
      </c>
      <c r="D22" s="7" t="s">
        <v>1083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2026-09-10T22:08:25Z</dcterms:created>
  <dc:creator>openpyxl</dc:creator>
  <dc:description/>
  <dc:language>en-US</dc:language>
  <cp:lastModifiedBy/>
  <dcterms:modified xsi:type="dcterms:W3CDTF">2026-09-13T10:13:25Z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