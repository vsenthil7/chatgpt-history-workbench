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Sprint_Tracker_Log" sheetId="12" state="visible" r:id="rId14"/>
    <sheet name="Traceability_Matrix" sheetId="13" state="visible" r:id="rId15"/>
    <sheet name="Review_Finding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<sst xmlns="http://schemas.openxmlformats.org/spreadsheetml/2006/main" count="2495" uniqueCount="1067">
  <si>
    <t xml:space="preserve">VERSION CONTROL — RetainKit</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</si>
  <si>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</si>
  <si>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</si>
  <si>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</si>
  <si>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</si>
  <si>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</si>
  <si>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</si>
  <si>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</si>
  <si>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</si>
  <si>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this product selected for wave-1</t>
  </si>
  <si>
    <t xml:space="preserve">Released</t>
  </si>
  <si>
    <t xml:space="preserve">v005</t>
  </si>
  <si>
    <t xml:space="preserve">2026-09-05 19:34</t>
  </si>
  <si>
    <t xml:space="preserve">Full product workbook for RetainKit on Shopify App Store: spec, screen inventory, 100+ story backlog, live sprint board, 18-month financial model (editable assumptions), GTM execution tasks, platform launch checklist, metric targets, risk register</t>
  </si>
  <si>
    <t xml:space="preserve">v006</t>
  </si>
  <si>
    <t xml:space="preserve">2026-09-10 22:05</t>
  </si>
  <si>
    <t xml:space="preserve">S1 Foundation executed under D13 (100% automation coverage): ST-051/052/055/056 developed + tested (40 tests, 100% stmt/branch/func/line). Added Sprint_Tracker_Log and Traceability_Matrix sheets; Full_Backlog statuses and Sprint_Board Done counts updated.</t>
  </si>
  <si>
    <t xml:space="preserve">v007</t>
  </si>
  <si>
    <t xml:space="preserve">2026-09-10 22:15</t>
  </si>
  <si>
    <t xml:space="preserve">S2 executed under D13: ST-001/002/003/004/053/054 developed + tested (33 new tests; suite 73/73, 100% stmt/branch/func/line, hard gate). Review request engine part 1: defaults setup, rules customisation, eligibility+scheduling+send with retry paths, review capture, re-install restore, role permission matrix. Tracker + traceability updated.</t>
  </si>
  <si>
    <t xml:space="preserve">v008</t>
  </si>
  <si>
    <t xml:space="preserve">2026-09-10 22:20</t>
  </si>
  <si>
    <t xml:space="preserve">S3 executed under D13: ST-005..010, ST-011..014, ST-085 developed + tested (47 new tests; suite 120/120, 100% stmt/branch/func/line, hard gate). Engine part 2: embedded admin session-token verification, metrics/trends, audited permission gate, pause-without-data-loss, CSV + competitor import, notifications with per-type mute. Points ledger skeleton: defaults, validated rules, earn/balance/redeem, platform sync retry paths. ST-085 coverage gate satisfied at 100% (supersedes &gt;=70%).</t>
  </si>
  <si>
    <t xml:space="preserve">v009</t>
  </si>
  <si>
    <t xml:space="preserve">2026-09-10 22:28</t>
  </si>
  <si>
    <t xml:space="preserve">S4 executed under D13: ST-015..020, ST-071, ST-072, ST-086 developed + tested (27 new tests; suite 147/147, 100% stmt/branch/func/line). Ledger completion: embedded session-token gateway, ledger metrics/trends, gated+audited admin ops (new adjust_points permission for owner/admin), feature-scoped pause without data loss, points CSV/competitor import to opening-balance txns, ledger notification types. Telemetry: activation funnel dashboard, release-tagged error tracking with spike alerts. ST-086: E2E smoke suite (full merchant journey across real modules) + GitHub Actions deploy-smoke workflow. MVP loop usable end-to-end internally (S4 exit criteria, code level).</t>
  </si>
  <si>
    <t xml:space="preserve">v010</t>
  </si>
  <si>
    <t xml:space="preserve">2026-09-10 22:52</t>
  </si>
  <si>
    <t xml:space="preserve">S5 executed under D13: ST-021..030, ST-078, ST-079 developed + tested (36 new tests; suite 183/183, 100% stmt/branch/func/line). Win-back flows: defaults/validated rules, lapsed detection, multi-step flows with channel rotation, step sends with retry paths, conversion recording with pending-step cancellation, embedded gateway, metrics (win-back rate), gated+audited admin, feature pause extended, customer CSV/competitor import, notification types. Alpha hardening: first-run checklist with aha-in-&lt;1-day tracking, empty states for all 9 screens each naming the next action. Internal alpha ready at code level (S5 exit criteria).</t>
  </si>
  <si>
    <t xml:space="preserve">v011</t>
  </si>
  <si>
    <t xml:space="preserve">2026-09-10 23:09</t>
  </si>
  <si>
    <t xml:space="preserve">S6 executed under D13: ST-031..040, ST-057..059 developed + tested (31 new tests; suite 214/214, 100% stmt/branch/func/line). Billing: 14-day no-card trial with countdown banner, exact mid-cycle proration (upgrade charge / downgrade credit / no-change), billing router using Shopify Billing API where mandated (pending-confirmation lifecycle) with Stripe fallback for direct channel, full subscription lifecycle (subscribe/confirm/changePlan/cancel, resubscribe after cancel). Analytics: config defaults + validation, cross-pillar dashboard composer with per-widget retry/degradation (dashboard always renders), embedded gateway, gated view/export with audit, usage metrics, historical CSV/competitor import, feature pause + notification types. S6 exit criteria met at code level: can charge a test customer; upgrade/downgrade paths work.</t>
  </si>
  <si>
    <t xml:space="preserve">v012</t>
  </si>
  <si>
    <t xml:space="preserve">2026-09-11 08:20</t>
  </si>
  <si>
    <t xml:space="preserve">S7 executed under D13: ST-060..064 developed + tested (16 new tests; suite 230/230, 100% stmt/branch/func/line across 19 modules). Dunning: idempotent failure recording, emails on days 0/3/5 with catch-up (max 3), read-only after 7-day grace, payment restores. Plan limits: silent &lt;80%, upgrade prompt at 80%, hard block at 100% (blocked requests not counted). Invoices: sequential numbering, GST/VAT computation with tax-id, downloadable text receipts, validation. Cancellation: save-offer (20%/3mo) before every cancel, accept retains, decline records validated exit survey then cancels via owning provider. ST-064: least-privilege SCOPES.md (4 scopes -&gt; shipped features, no speculative scopes) + CI validator. Gate catches this sprint: SCOPES.md separator-row assertion + unexercised CancellationFlow default clock.</t>
  </si>
  <si>
    <t xml:space="preserve">v013</t>
  </si>
  <si>
    <t xml:space="preserve">2026-09-11 12:52</t>
  </si>
  <si>
    <t xml:space="preserve">S8 executed under D13 - biggest sprint (22 stories, 87 pts): ST-041..050 Klaviyo/Meta audience sync (defaults, 4-segment builder always excluding opt-outs, platform x segment push engine with per-job retry paths, embedded gateway with run/log, metrics with success rate, gated admin, feature pause, CSV/competitor import, notifications). E6: DATA_FLOWS.md retention doc + CI validator; AES-256-GCM secrets vault (ciphertext-only at rest, tamper-detecting, rotation) + https enforcement; hash-chained tamper-evident audit log with query; circuit breaker (closed/open/half-open, fail-fast, trial) + Retry-After-aware backoff. E7: feature-usage heatmap, weekly metrics email, account health score with bands+reasons, CSV/JSONL metrics export, configurable alert thresholds. EQ: p95 latency budgets per surface, load test driving the REAL engine+ledger at 5x launch traffic (300 req, 0 errors, p95 within budget), zero-downtime blue/green deployer (traffic never leaves a healthy version). 41 new tests; suite 271/271, 100% x4 across 23 modules.</t>
  </si>
  <si>
    <t xml:space="preserve">v014</t>
  </si>
  <si>
    <t xml:space="preserve">PLANNED: S9 Marketplace review prep (ST-068, ST-069, ST-089, ST-090, ST-091, ST-093, ST-094)</t>
  </si>
  <si>
    <t xml:space="preserve">Planned</t>
  </si>
  <si>
    <t xml:space="preserve">2026-09-13 10:23</t>
  </si>
  <si>
    <t xml:space="preserve">S9 REVIEW PREP + FIRST ADVERSARIAL COLD REVIEW + EXTERNAL VERIFICATION SWEEP. Built: ST-069 export/delete-my-data, ST-090 backup+restore drill (sha256, ship-block), ST-091 chaos degradation with merchant comms; ST-068 SECURITY_EVIDENCE.md and ST-089 structural WCAG audit shipped as explicit halves; ST-093 listing copy A/B and ST-094 asset plan Drafted. Cold review found 9 defects in code at 100% coverage (F-RK01..09) — headline: both CSV importers reset every unsubscribe to subscribed, and three separate read-only/expiry states were enforced nowhere. Verification sweep vs live Shopify docs found 3 live-blocking gaps (VER-RK01..06) — headline: the three MANDATORY compliance webhooks did not exist, an automatic App Store rejection, while gate row LC-4 had read "In progress" since v001. New Review_Findings sheet holds all 18 rows for disposition. Code v014: 14 suites / 339 tests at 100% on all four metrics, zero pragmas. 85/100 stories Done-in-code (346/399 pts).</t>
  </si>
  <si>
    <t xml:space="preserve">v015</t>
  </si>
  <si>
    <t xml:space="preserve">2026-09-13 10:34</t>
  </si>
  <si>
    <t xml:space="preserve">ARTIFACT-GAP AUDIT. 6 gaps, 2 CRITICAL — GAP-RK1 no HTTP application existed behind any route shopify.app.toml declared (this session wrote that manifest at 10:23 and the routes did not exist until 10:34); GAP-RK2 no database schema behind the backup drill, retention sweep or the 12 registry domains. Fixed with an async-safe router, a 7-route app, 3 ordered migrations cascading from shops, npm build/start/migrate, CI build+migration gates, and an executable SETUP.md. VER-RK07 found while building: the app proxy signature scheme is not the OAuth HMAC scheme. Code v015: 15 suites / 374 tests at 100% zero pragmas. Story position deliberately unchanged at 85/100 (346/399) — this is infrastructure, not story flips.</t>
  </si>
  <si>
    <t xml:space="preserve">v016</t>
  </si>
  <si>
    <t xml:space="preserve">2026-09-13 10:43</t>
  </si>
  <si>
    <t xml:space="preserve">S10 EXECUTED — all 7 remaining sandbox-codeable stories. ST-080 help centre: 15 launch articles with ranked search (keyword matches outrank title, title outranks body, because merchants search symptoms not headings). ST-081 built-in chat with a business-hours SLA engine — a Friday-evening message is due Monday morning, and breaches are surfaced so the 4-hour promise is measurable rather than decorative; the chat-vendor decision is now OPTIONAL (DR-7 to ratify). ST-095 pricing page and ST-096 trust page GENERATED from billing PLANS, DATA_FLOWS and REQUESTED_SCOPES, each with a drift gate that fires on over- or under-claiming. ST-084 incident template that REFUSES to publish an update with no impact or action statement. ST-083 demo mode isolated by construction — it will not seed any shop outside the demo- namespace (MeetSync M-F16 class, prevented rather than fixed). ST-097 submission dry-run that reports READY on the automated half only and never on a human or external item. Three new public routes (/pricing, /trust, /help). Code v016: 16 suites / 404 tests at 100% on all four metrics, zero pragmas. 90/100 stories Done-in-code (362/399 pts, 90.7%) — 5 of the 7 flip to Done-in-code, ST-083 is code-complete pending video capture and ST-097 stays In progress pending the external reviewer, so the honest count is 5 not 7. SANDBOX-CODEABLE BACKLOG NOW ZERO except ST-082/098/099/100.</t>
  </si>
  <si>
    <t xml:space="preserve">v017</t>
  </si>
  <si>
    <t xml:space="preserve">2026-09-13 10:59</t>
  </si>
  <si>
    <t xml:space="preserve">S11/S12 EXECUTED — the last four backlog stories. ST-082 review ask gated on the aha moment and refused, with a named reason, whenever asking would be rude or useless (open support ticket, active incident, read-only shop, within the 90-day cooldown, or already reviewed). ST-098 launch runbook written as CODE so its rollback triggers reference the same LATENCY_BUDGETS_MS the monitor enforces — tuning a budget tunes the trigger in the same edit; it holds while any operator step is outstanding and never reports proceed on a step with no wired check, and ROLLBACK_NOTES names what a rollback cannot undo (a completed customer redaction must never be restored by a database snapshot). ST-099 SEO iteration with a 100-impression thin-data floor, returning a thin-data report rather than suggestions. ST-100 10-slot partner tracker whose exit maths states plainly that filling all ten slots does not meet G-02 and that reviews satisfy the S11 exit, not the completion gate (VoiceBridge F-V13 class, prevented). RETAINKIT CODE PHASE COMPLETE — backlog zero; sixth product to reach it after TeleField, VoiceBridge, FlowCast, ShiftDesk and EngageOS. Code v017: 17 suites / 430 tests at 100% on all four metrics, zero pragmas. 94/100 stories Done-in-code (372/399 pts, 93.2%); the remaining 6 are ST-068 pen-test, ST-083 video capture, ST-089 accessibility manual half, ST-093/094 copy pick and asset capture, ST-097 external reviewer — every one of them Senthil's.</t>
  </si>
  <si>
    <t xml:space="preserve">v018</t>
  </si>
  <si>
    <t xml:space="preserve">2026-09-13 11:04</t>
  </si>
  <si>
    <t xml:space="preserve">R-K10 CLOSED IN CODE — Postgres adapters behind the store interfaces. PgTokenStore (encrypts before the value leaves the process, so the plaintext token never appears in a query the database could log), PgStateStore (single-use AND time-limited in one DELETE ... RETURNING, so two concurrent callbacks cannot both consume the same state), PgComplianceRequestStore, PgTrialStore, PgSubscriptionStore, PgDunningStore, and a PgDomainAdapter per data domain with an explicit table/customer-column map. Every caller value is a bound parameter and a test proves it by pushing a SQL-injection string through every adapter. New SCHEMA DRIFT GATE parses migrations/*.sql and fails if an adapter names a table or column the schema does not create; it also asserts every customer-bearing table cascades from shops, and that compliance_requests deliberately does NOT — it is the proof of erasure and must outlive the shop row. Two defects found by writing the adapters: migration 004 (the subscriptions table shipped without the provider, subscription_id and confirmation_url columns SubscriptionRecord has always carried) and F-RK10 / migration 005 — customer_consent had no email column, so a privacy request carrying ONLY an email (a shape Shopify documents and our handler has always accepted) would have matched zero rows while the app recorded the request as completed. A reported erasure that erased nothing is worse than a failed one. Both fixed by new migrations rather than edits to shipped ones. Code v018: 18 suites / 456 tests at 100% on all four metrics, zero pragmas. Story position unchanged at 94/100 (372/399) — infrastructure, not story flips. HONESTY: these adapters are schema-checked, NOT server-tested; no Postgres was available. The constant PG_ADAPTER_VERIFICATION_STATUS says so in the code and a test asserts the wording.</t>
  </si>
  <si>
    <t xml:space="preserve">v019</t>
  </si>
  <si>
    <t xml:space="preserve">2026-09-13 11:09</t>
  </si>
  <si>
    <t xml:space="preserve">HANDOVER-REDUCTION PASS — three items that each cut Senthil's dev-store session, built after I had wrongly said nothing sandbox-buildable remained. (1) PERSISTENCE IS NOW AUTOMATIC: chosen from DATABASE_URL, and if DATABASE_URL is set without a SQL client the app REFUSES TO START rather than quietly writing to memory against a configured database — the dangerous failure is the quiet one, an app that looks healthy and loses everything on restart. Token encryption key derived from the app secret via sha256 with a domain-separated label, overridable. (2) SCRIPTED VERIFICATION SWEEP (npm run sweep): 8 automated checks incl. an API-version check that catches an old slot still serving, a forged-webhook check that fails loudly if the app accepts an unsigned webhook, and reachability of the pricing and trust pages the listing requires; exits non-zero on failure and lists the 5 operator steps rather than counting them as passed. SETUP.md now runs the sweep as step 7. (3) REVIEW_PACK.md for the external second reviewer (ST-097): names where to look first, lists every known open item so the reviewer does not rediscover them, and asks specifically for the defect class every review of this codebase has actually found — a published promise with nothing enforcing it. Code v019: 19 suites / 469 tests at 100% on all four metrics, zero pragmas. Story position unchanged at 94/100 (372/399).</t>
  </si>
  <si>
    <t xml:space="preserve">RetainKit — Post-purchase retention suite: reviews capture, loyalty points, win-back flows in one app</t>
  </si>
  <si>
    <t xml:space="preserve">PLATFORM: Shopify App Store | CATEGORY: Customer Retention / Loyalty</t>
  </si>
  <si>
    <t xml:space="preserve">PROBLEM: Merchants stitch 3-4 apps (reviews+loyalty+email) with double billing and broken data flow</t>
  </si>
  <si>
    <t xml:space="preserve">DIFFERENTIATION: Single retention data model; Built-for-Shopify quality badge target; usage-based pricing</t>
  </si>
  <si>
    <t xml:space="preserve">ICP: DTC merchants $100k-$10M GMV, 1-20 staff, Shopify/Shopify Plus, currently paying for 2+ point apps</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</si>
  <si>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</si>
  <si>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</si>
  <si>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</si>
  <si>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</si>
  <si>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</si>
  <si>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</si>
  <si>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</si>
  <si>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Review request engine</t>
  </si>
  <si>
    <t xml:space="preserve">Review request engine: end-to-end happy path + edge cases + permissions</t>
  </si>
  <si>
    <t xml:space="preserve">Advanced automation, AI beyond listed, multi-language beyond launch set</t>
  </si>
  <si>
    <t xml:space="preserve">p95 &lt;500ms API / &lt;2s UI loads</t>
  </si>
  <si>
    <t xml:space="preserve">Points &amp; rewards ledger</t>
  </si>
  <si>
    <t xml:space="preserve">Points &amp; rewards ledger: end-to-end happy path + edge cases + permissions</t>
  </si>
  <si>
    <t xml:space="preserve">99.5% monthly uptime</t>
  </si>
  <si>
    <t xml:space="preserve">Win-back email/WhatsApp flows</t>
  </si>
  <si>
    <t xml:space="preserve">Win-back email/WhatsApp flows: end-to-end happy path + edge cases + permissions</t>
  </si>
  <si>
    <t xml:space="preserve">WCAG AA</t>
  </si>
  <si>
    <t xml:space="preserve">Analytics dashboard</t>
  </si>
  <si>
    <t xml:space="preserve">Analytics dashboard: end-to-end happy path + edge cases + permissions</t>
  </si>
  <si>
    <t xml:space="preserve">SOC2-track controls</t>
  </si>
  <si>
    <t xml:space="preserve">Klaviyo/Meta audience sync</t>
  </si>
  <si>
    <t xml:space="preserve">Klaviyo/Meta audience sync: end-to-end happy path + edge cases + permissions</t>
  </si>
  <si>
    <t xml:space="preserve">Rate-limit safe (backoff+queue)</t>
  </si>
  <si>
    <t xml:space="preserve">Persona</t>
  </si>
  <si>
    <t xml:space="preserve">Jobs-to-be-done</t>
  </si>
  <si>
    <t xml:space="preserve">Store owner (SMB)</t>
  </si>
  <si>
    <t xml:space="preserve">Owns P&amp;L, buys in &lt;7 days, price-sensitive, decides from reviews + free trial</t>
  </si>
  <si>
    <t xml:space="preserve">E-com manager (mid-market)</t>
  </si>
  <si>
    <t xml:space="preserve">Runs 5-15 apps, cares about support SLA and data export</t>
  </si>
  <si>
    <t xml:space="preserve">Agency partner</t>
  </si>
  <si>
    <t xml:space="preserve">Installs across client portfolio; wants partner rev share + multi-store admin</t>
  </si>
  <si>
    <t xml:space="preserve">SCREEN INVENTORY (attach Figma links in col E during S0)</t>
  </si>
  <si>
    <t xml:space="preserve">#</t>
  </si>
  <si>
    <t xml:space="preserve">Screen</t>
  </si>
  <si>
    <t xml:space="preserve">Purpose</t>
  </si>
  <si>
    <t xml:space="preserve">Key elements</t>
  </si>
  <si>
    <t xml:space="preserve">Wireframe link</t>
  </si>
  <si>
    <t xml:space="preserve">Onboarding / first-run</t>
  </si>
  <si>
    <t xml:space="preserve">Reach aha in &lt;1 day</t>
  </si>
  <si>
    <t xml:space="preserve">Checklist, sample data toggle, connect steps</t>
  </si>
  <si>
    <t xml:space="preserve">Home dashboard</t>
  </si>
  <si>
    <t xml:space="preserve">Daily habit surface</t>
  </si>
  <si>
    <t xml:space="preserve">KPI cards, activity feed, alerts</t>
  </si>
  <si>
    <t xml:space="preserve">Review request engine workspace</t>
  </si>
  <si>
    <t xml:space="preserve">Core value surface</t>
  </si>
  <si>
    <t xml:space="preserve">List+detail, bulk actions, status chips</t>
  </si>
  <si>
    <t xml:space="preserve">Points &amp; rewards ledger builder</t>
  </si>
  <si>
    <t xml:space="preserve">Configure second pillar</t>
  </si>
  <si>
    <t xml:space="preserve">Rule builder, preview, test mode</t>
  </si>
  <si>
    <t xml:space="preserve">Win-back email/WhatsApp flows view</t>
  </si>
  <si>
    <t xml:space="preserve">Differentiator surface</t>
  </si>
  <si>
    <t xml:space="preserve">Timeline/visual, export</t>
  </si>
  <si>
    <t xml:space="preserve">Settings &amp; team</t>
  </si>
  <si>
    <t xml:space="preserve">Roles, notifications, data</t>
  </si>
  <si>
    <t xml:space="preserve">Role matrix, API keys, danger zone</t>
  </si>
  <si>
    <t xml:space="preserve">Billing</t>
  </si>
  <si>
    <t xml:space="preserve">Plan/trial/invoices</t>
  </si>
  <si>
    <t xml:space="preserve">Plan cards, usage meter, invoices</t>
  </si>
  <si>
    <t xml:space="preserve">Analytics</t>
  </si>
  <si>
    <t xml:space="preserve">Prove ROI</t>
  </si>
  <si>
    <t xml:space="preserve">Funnel, cohort, export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</si>
  <si>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</si>
  <si>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</si>
  <si>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</si>
  <si>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</si>
  <si>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</si>
  <si>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</si>
  <si>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</si>
  <si>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</si>
  <si>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</si>
  <si>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</si>
  <si>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</si>
  <si>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</si>
  <si>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Store owner, I can set up Review request engine with sensible defaults in one screen</t>
  </si>
  <si>
    <t xml:space="preserve">P0</t>
  </si>
  <si>
    <t xml:space="preserve">S2</t>
  </si>
  <si>
    <t xml:space="preserve">Done</t>
  </si>
  <si>
    <t xml:space="preserve">ST-002</t>
  </si>
  <si>
    <t xml:space="preserve">As a Store owner, the Review request engine happy path completes without documentation</t>
  </si>
  <si>
    <t xml:space="preserve">ST-003</t>
  </si>
  <si>
    <t xml:space="preserve">As a E-com manager, I can customise Review request engine rules/conditions for my workflow</t>
  </si>
  <si>
    <t xml:space="preserve">P1</t>
  </si>
  <si>
    <t xml:space="preserve">ST-004</t>
  </si>
  <si>
    <t xml:space="preserve">As a user, Review request engine shows clear errors and retry paths on platform API failures</t>
  </si>
  <si>
    <t xml:space="preserve">ST-005</t>
  </si>
  <si>
    <t xml:space="preserve">As a Agency partner, Review request engine works on the embedded Shopify admin app surface end-to-end</t>
  </si>
  <si>
    <t xml:space="preserve">S3</t>
  </si>
  <si>
    <t xml:space="preserve">ST-006</t>
  </si>
  <si>
    <t xml:space="preserve">As a E-com manager, I can see Review request engine performance metrics and trends</t>
  </si>
  <si>
    <t xml:space="preserve">ST-007</t>
  </si>
  <si>
    <t xml:space="preserve">As a user, Review request engine respects role permissions and audit logging</t>
  </si>
  <si>
    <t xml:space="preserve">ST-008</t>
  </si>
  <si>
    <t xml:space="preserve">As a Store owner, I can pause/disable Review request engine without data loss</t>
  </si>
  <si>
    <t xml:space="preserve">P2</t>
  </si>
  <si>
    <t xml:space="preserve">ST-009</t>
  </si>
  <si>
    <t xml:space="preserve">As a E-com manager, I can import/migrate existing data into Review request engine (CSV + competitor importer)</t>
  </si>
  <si>
    <t xml:space="preserve">ST-010</t>
  </si>
  <si>
    <t xml:space="preserve">As a user, I get notifications (in-app + email) for key Review request engine events with per-type mute</t>
  </si>
  <si>
    <t xml:space="preserve">ST-011</t>
  </si>
  <si>
    <t xml:space="preserve">F2</t>
  </si>
  <si>
    <t xml:space="preserve">As a Store owner, I can set up Points &amp; rewards ledger with sensible defaults in one screen</t>
  </si>
  <si>
    <t xml:space="preserve">ST-012</t>
  </si>
  <si>
    <t xml:space="preserve">As a Store owner, the Points &amp; rewards ledger happy path completes without documentation</t>
  </si>
  <si>
    <t xml:space="preserve">ST-013</t>
  </si>
  <si>
    <t xml:space="preserve">As a E-com manager, I can customise Points &amp; rewards ledger rules/conditions for my workflow</t>
  </si>
  <si>
    <t xml:space="preserve">ST-014</t>
  </si>
  <si>
    <t xml:space="preserve">As a user, Points &amp; rewards ledger shows clear errors and retry paths on platform API failures</t>
  </si>
  <si>
    <t xml:space="preserve">ST-015</t>
  </si>
  <si>
    <t xml:space="preserve">As a Agency partner, Points &amp; rewards ledger works on the embedded Shopify admin app surface end-to-end</t>
  </si>
  <si>
    <t xml:space="preserve">S4</t>
  </si>
  <si>
    <t xml:space="preserve">ST-016</t>
  </si>
  <si>
    <t xml:space="preserve">As a E-com manager, I can see Points &amp; rewards ledger performance metrics and trends</t>
  </si>
  <si>
    <t xml:space="preserve">ST-017</t>
  </si>
  <si>
    <t xml:space="preserve">As a user, Points &amp; rewards ledger respects role permissions and audit logging</t>
  </si>
  <si>
    <t xml:space="preserve">ST-018</t>
  </si>
  <si>
    <t xml:space="preserve">As a Store owner, I can pause/disable Points &amp; rewards ledger without data loss</t>
  </si>
  <si>
    <t xml:space="preserve">ST-019</t>
  </si>
  <si>
    <t xml:space="preserve">As a E-com manager, I can import/migrate existing data into Points &amp; rewards ledger (CSV + competitor importer)</t>
  </si>
  <si>
    <t xml:space="preserve">ST-020</t>
  </si>
  <si>
    <t xml:space="preserve">As a user, I get notifications (in-app + email) for key Points &amp; rewards ledger events with per-type mute</t>
  </si>
  <si>
    <t xml:space="preserve">ST-021</t>
  </si>
  <si>
    <t xml:space="preserve">F3</t>
  </si>
  <si>
    <t xml:space="preserve">As a Store owner, I can set up Win-back email/WhatsApp flows with sensible defaults in one screen</t>
  </si>
  <si>
    <t xml:space="preserve">S5</t>
  </si>
  <si>
    <t xml:space="preserve">ST-022</t>
  </si>
  <si>
    <t xml:space="preserve">As a Store owner, the Win-back email/WhatsApp flows happy path completes without documentation</t>
  </si>
  <si>
    <t xml:space="preserve">ST-023</t>
  </si>
  <si>
    <t xml:space="preserve">As a E-com manager, I can customise Win-back email/WhatsApp flows rules/conditions for my workflow</t>
  </si>
  <si>
    <t xml:space="preserve">ST-024</t>
  </si>
  <si>
    <t xml:space="preserve">As a user, Win-back email/WhatsApp flows shows clear errors and retry paths on platform API failures</t>
  </si>
  <si>
    <t xml:space="preserve">ST-025</t>
  </si>
  <si>
    <t xml:space="preserve">As a Agency partner, Win-back email/WhatsApp flows works on the embedded Shopify admin app surface end-to-end</t>
  </si>
  <si>
    <t xml:space="preserve">ST-026</t>
  </si>
  <si>
    <t xml:space="preserve">As a E-com manager, I can see Win-back email/WhatsApp flows performance metrics and trends</t>
  </si>
  <si>
    <t xml:space="preserve">ST-027</t>
  </si>
  <si>
    <t xml:space="preserve">As a user, Win-back email/WhatsApp flows respects role permissions and audit logging</t>
  </si>
  <si>
    <t xml:space="preserve">ST-028</t>
  </si>
  <si>
    <t xml:space="preserve">As a Store owner, I can pause/disable Win-back email/WhatsApp flows without data loss</t>
  </si>
  <si>
    <t xml:space="preserve">ST-029</t>
  </si>
  <si>
    <t xml:space="preserve">As a E-com manager, I can import/migrate existing data into Win-back email/WhatsApp flows (CSV + competitor importer)</t>
  </si>
  <si>
    <t xml:space="preserve">ST-030</t>
  </si>
  <si>
    <t xml:space="preserve">As a user, I get notifications (in-app + email) for key Win-back email/WhatsApp flows events with per-type mute</t>
  </si>
  <si>
    <t xml:space="preserve">ST-031</t>
  </si>
  <si>
    <t xml:space="preserve">F4</t>
  </si>
  <si>
    <t xml:space="preserve">As a Store owner, I can set up Analytics dashboard with sensible defaults in one screen</t>
  </si>
  <si>
    <t xml:space="preserve">S6</t>
  </si>
  <si>
    <t xml:space="preserve">ST-032</t>
  </si>
  <si>
    <t xml:space="preserve">As a Store owner, the Analytics dashboard happy path completes without documentation</t>
  </si>
  <si>
    <t xml:space="preserve">ST-033</t>
  </si>
  <si>
    <t xml:space="preserve">As a E-com manager, I can customise Analytics dashboard rules/conditions for my workflow</t>
  </si>
  <si>
    <t xml:space="preserve">ST-034</t>
  </si>
  <si>
    <t xml:space="preserve">As a user, Analytics dashboard shows clear errors and retry paths on platform API failures</t>
  </si>
  <si>
    <t xml:space="preserve">ST-035</t>
  </si>
  <si>
    <t xml:space="preserve">As a Agency partner, Analytics dashboard works on the embedded Shopify admin app surface end-to-end</t>
  </si>
  <si>
    <t xml:space="preserve">ST-036</t>
  </si>
  <si>
    <t xml:space="preserve">As a E-com manager, I can see Analytics dashboard performance metrics and trends</t>
  </si>
  <si>
    <t xml:space="preserve">ST-037</t>
  </si>
  <si>
    <t xml:space="preserve">As a user, Analytics dashboard respects role permissions and audit logging</t>
  </si>
  <si>
    <t xml:space="preserve">ST-038</t>
  </si>
  <si>
    <t xml:space="preserve">As a Store owner, I can pause/disable Analytics dashboard without data loss</t>
  </si>
  <si>
    <t xml:space="preserve">ST-039</t>
  </si>
  <si>
    <t xml:space="preserve">As a E-com manager, I can import/migrate existing data into Analytics dashboard (CSV + competitor importer)</t>
  </si>
  <si>
    <t xml:space="preserve">ST-040</t>
  </si>
  <si>
    <t xml:space="preserve">As a user, I get notifications (in-app + email) for key Analytics dashboard events with per-type mute</t>
  </si>
  <si>
    <t xml:space="preserve">ST-041</t>
  </si>
  <si>
    <t xml:space="preserve">F5</t>
  </si>
  <si>
    <t xml:space="preserve">As a Store owner, I can set up Klaviyo/Meta audience sync with sensible defaults in one screen</t>
  </si>
  <si>
    <t xml:space="preserve">S8</t>
  </si>
  <si>
    <t xml:space="preserve">ST-042</t>
  </si>
  <si>
    <t xml:space="preserve">As a Store owner, the Klaviyo/Meta audience sync happy path completes without documentation</t>
  </si>
  <si>
    <t xml:space="preserve">ST-043</t>
  </si>
  <si>
    <t xml:space="preserve">As a E-com manager, I can customise Klaviyo/Meta audience sync rules/conditions for my workflow</t>
  </si>
  <si>
    <t xml:space="preserve">ST-044</t>
  </si>
  <si>
    <t xml:space="preserve">As a user, Klaviyo/Meta audience sync shows clear errors and retry paths on platform API failures</t>
  </si>
  <si>
    <t xml:space="preserve">ST-045</t>
  </si>
  <si>
    <t xml:space="preserve">As a Agency partner, Klaviyo/Meta audience sync works on the embedded Shopify admin app surface end-to-end</t>
  </si>
  <si>
    <t xml:space="preserve">ST-046</t>
  </si>
  <si>
    <t xml:space="preserve">As a E-com manager, I can see Klaviyo/Meta audience sync performance metrics and trends</t>
  </si>
  <si>
    <t xml:space="preserve">ST-047</t>
  </si>
  <si>
    <t xml:space="preserve">As a user, Klaviyo/Meta audience sync respects role permissions and audit logging</t>
  </si>
  <si>
    <t xml:space="preserve">ST-048</t>
  </si>
  <si>
    <t xml:space="preserve">As a Store owner, I can pause/disable Klaviyo/Meta audience sync without data loss</t>
  </si>
  <si>
    <t xml:space="preserve">ST-049</t>
  </si>
  <si>
    <t xml:space="preserve">As a E-com manager, I can import/migrate existing data into Klaviyo/Meta audience sync (CSV + competitor importer)</t>
  </si>
  <si>
    <t xml:space="preserve">ST-050</t>
  </si>
  <si>
    <t xml:space="preserve">As a user, I get notifications (in-app + email) for key Klaviyo/Meta audience sync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</si>
  <si>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</si>
  <si>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</si>
  <si>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</si>
  <si>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</si>
  <si>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</si>
  <si>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</si>
  <si>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</si>
  <si>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</si>
  <si>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</si>
  <si>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</si>
  <si>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</si>
  <si>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</si>
  <si>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</si>
  <si>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</si>
  <si>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</si>
  <si>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</si>
  <si>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</si>
  <si>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</si>
  <si>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</si>
  <si>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</si>
  <si>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</si>
  <si>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</si>
  <si>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</si>
  <si>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</si>
  <si>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</si>
  <si>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</si>
  <si>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</si>
  <si>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</si>
  <si>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</si>
  <si>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</si>
  <si>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</si>
  <si>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</si>
  <si>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</si>
  <si>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</si>
  <si>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</si>
  <si>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</si>
  <si>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</si>
  <si>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</si>
  <si>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</si>
  <si>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</si>
  <si>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</si>
  <si>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</si>
  <si>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</si>
  <si>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</si>
  <si>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</si>
  <si>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</si>
  <si>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</si>
  <si>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</si>
  <si>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</si>
  <si>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</si>
  <si>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</si>
  <si>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</si>
  <si>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</si>
  <si>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</si>
  <si>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</si>
  <si>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</si>
  <si>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</si>
  <si>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</si>
  <si>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</si>
  <si>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</si>
  <si>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</si>
  <si>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</si>
  <si>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</si>
  <si>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</si>
  <si>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</si>
  <si>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</si>
  <si>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</si>
  <si>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</si>
  <si>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</si>
  <si>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</si>
  <si>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</si>
  <si>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</si>
  <si>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</si>
  <si>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</si>
  <si>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</si>
  <si>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</si>
  <si>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</si>
  <si>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Code-complete</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</si>
  <si>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</si>
  <si>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</si>
  <si>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</si>
  <si>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</si>
  <si>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</si>
  <si>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</si>
  <si>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</si>
  <si>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</si>
  <si>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</si>
  <si>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</si>
  <si>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</si>
  <si>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</si>
  <si>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</si>
  <si>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</si>
  <si>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</si>
  <si>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</si>
  <si>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</si>
  <si>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</si>
  <si>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</si>
  <si>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</si>
  <si>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</si>
  <si>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</si>
  <si>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Drafted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</si>
  <si>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</si>
  <si>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</si>
  <si>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</si>
  <si>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</si>
  <si>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</si>
  <si>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</si>
  <si>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</si>
  <si>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</si>
  <si>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</si>
  <si>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</si>
  <si>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</si>
  <si>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</si>
  <si>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</si>
  <si>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</si>
  <si>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</si>
  <si>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</si>
  <si>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</si>
  <si>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</si>
  <si>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</si>
  <si>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</si>
  <si>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</si>
  <si>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</si>
  <si>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</si>
  <si>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</si>
  <si>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</si>
  <si>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Review request engine - part 1</t>
  </si>
  <si>
    <t xml:space="preserve">Review request engine happy path demoable</t>
  </si>
  <si>
    <t xml:space="preserve">Core feature Review request engine - part 2 + Points &amp; rewards ledger start</t>
  </si>
  <si>
    <t xml:space="preserve">Review request engine complete with tests; Points &amp; rewards ledger skeleton</t>
  </si>
  <si>
    <t xml:space="preserve">Core feature Points &amp; rewards ledger</t>
  </si>
  <si>
    <t xml:space="preserve">MVP loop usable end-to-end internally</t>
  </si>
  <si>
    <t xml:space="preserve">Feature Win-back email/WhatsApp flows + alpha hardening</t>
  </si>
  <si>
    <t xml:space="preserve">Internal alpha: team dogfoods daily</t>
  </si>
  <si>
    <t xml:space="preserve">Billing + Analytics dashboard</t>
  </si>
  <si>
    <t xml:space="preserve">Can charge a test customer; upgrade/downgrade paths work</t>
  </si>
  <si>
    <t xml:space="preserve">Private beta (design partners)</t>
  </si>
  <si>
    <t xml:space="preserve">3+ partners active weekly; NPS pulse &gt;30</t>
  </si>
  <si>
    <t xml:space="preserve">Beta iteration + Klaviyo/Meta audience sync</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</si>
  <si>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</si>
  <si>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</si>
  <si>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</si>
  <si>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</si>
  <si>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</si>
  <si>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</si>
  <si>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</si>
  <si>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</si>
  <si>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</si>
  <si>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</si>
  <si>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</si>
  <si>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Shopify: installs-led PLG (edit yellow assumptions)</t>
  </si>
  <si>
    <t xml:space="preserve">Assumption</t>
  </si>
  <si>
    <t xml:space="preserve">Value</t>
  </si>
  <si>
    <t xml:space="preserve">Installs/mo (month 1)</t>
  </si>
  <si>
    <t xml:space="preserve">Monthly growth of that</t>
  </si>
  <si>
    <t xml:space="preserve">Free-&gt;paid %</t>
  </si>
  <si>
    <t xml:space="preserve">ARPU $/mo</t>
  </si>
  <si>
    <t xml:space="preserve">Monthly churn</t>
  </si>
  <si>
    <t xml:space="preserve">Marketplace fee</t>
  </si>
  <si>
    <t xml:space="preserve">Team cost month 1 (India-lean $)</t>
  </si>
  <si>
    <t xml:space="preserve">Cost growth/mo</t>
  </si>
  <si>
    <t xml:space="preserve">Fee note: 0% marketplace fee first $1M lifetime rev/yr</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</si>
  <si>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</si>
  <si>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</si>
  <si>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</si>
  <si>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</si>
  <si>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</si>
  <si>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</si>
  <si>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</si>
  <si>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</si>
  <si>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</si>
  <si>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</si>
  <si>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</si>
  <si>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</si>
  <si>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</si>
  <si>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</si>
  <si>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</si>
  <si>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</si>
  <si>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</si>
  <si>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</si>
  <si>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</si>
  <si>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</si>
  <si>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</si>
  <si>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</si>
  <si>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</si>
  <si>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</si>
  <si>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</si>
  <si>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</si>
  <si>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</si>
  <si>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</si>
  <si>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</si>
  <si>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</si>
  <si>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</si>
  <si>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</si>
  <si>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</si>
  <si>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</si>
  <si>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</si>
  <si>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</si>
  <si>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</si>
  <si>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</si>
  <si>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</si>
  <si>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</si>
  <si>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</si>
  <si>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</si>
  <si>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</si>
  <si>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</si>
  <si>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</si>
  <si>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</si>
  <si>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</si>
  <si>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</si>
  <si>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</si>
  <si>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</si>
  <si>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</si>
  <si>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</si>
  <si>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Shopify App Store</t>
  </si>
  <si>
    <t xml:space="preserve">Item</t>
  </si>
  <si>
    <t xml:space="preserve">Shopify Partners account + production app created</t>
  </si>
  <si>
    <t xml:space="preserve">Open</t>
  </si>
  <si>
    <t xml:space="preserve">App listing draft (name, 100-char intro, key benefits, 3+ screenshots 1600x900, demo video)</t>
  </si>
  <si>
    <t xml:space="preserve">GraphQL-only compliance verified (no deprecated REST calls)</t>
  </si>
  <si>
    <t xml:space="preserve">Mandatory GDPR webhooks (customers/redact, shop/redact, customers/data_request) tested</t>
  </si>
  <si>
    <t xml:space="preserve">Protected customer data access justification submitted</t>
  </si>
  <si>
    <t xml:space="preserve">Billing API plans + test charges validated</t>
  </si>
  <si>
    <t xml:space="preserve">App Bridge session token auth passes review checklist</t>
  </si>
  <si>
    <t xml:space="preserve">Performance: admin surface p75 LCP under Shopify guidance</t>
  </si>
  <si>
    <t xml:space="preserve">Support email + privacy policy + data-processing terms live</t>
  </si>
  <si>
    <t xml:space="preserve">Built-for-Shopify criteria gap review (target within 2 quarters)</t>
  </si>
  <si>
    <t xml:space="preserve">LC-K1</t>
  </si>
  <si>
    <t xml:space="preserve">Protected customer data approval (Level 1 + Level 2) requested and granted in the Partner Dashboard</t>
  </si>
  <si>
    <t xml:space="preserve">Open — Senthil. Gates the listing and every customer read on a non-dev store; start now, it has vendor-style lead time.</t>
  </si>
  <si>
    <t xml:space="preserve">LC-K2</t>
  </si>
  <si>
    <t xml:space="preserve">Mandatory compliance webhooks verified live via Shopify CLI webhook trigger</t>
  </si>
  <si>
    <t xml:space="preserve">Code done 13 Sep; live trigger needs the dev store. Note: shop/redact only fires 48h after a real uninstall.</t>
  </si>
  <si>
    <t xml:space="preserve">LC-K3</t>
  </si>
  <si>
    <t xml:space="preserve">Run SETUP.md end to end on a dev store (npm ci -&gt; build -&gt; migrate -&gt; start -&gt; install -&gt; webhook triggers -&gt; proxy check)</t>
  </si>
  <si>
    <t xml:space="preserve">Ready — the app side is executable; needs your Partners account, tunnel and store.</t>
  </si>
  <si>
    <t xml:space="preserve">LC-K4</t>
  </si>
  <si>
    <t xml:space="preserve">Build Postgres adapters behind the store interfaces</t>
  </si>
  <si>
    <t xml:space="preserve">Open — schema exists in migrations/; blocks any multi-process deploy.</t>
  </si>
  <si>
    <t xml:space="preserve">LC-K5</t>
  </si>
  <si>
    <t xml:space="preserve">Run npm run sweep against the dev store and archive the output as evidence</t>
  </si>
  <si>
    <t xml:space="preserve">Open — Senthil. Automated half is scripted; 5 steps are yours (install, CLI webhook triggers, Partner Dashboard delivery check, storefront proxy).</t>
  </si>
  <si>
    <t xml:space="preserve">LC-K6</t>
  </si>
  <si>
    <t xml:space="preserve">Send REVIEW_PACK.md to an external second reviewer</t>
  </si>
  <si>
    <t xml:space="preserve">Open — Senthil. ST-097 cannot close without someone other than the author looking.</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</si>
  <si>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</si>
  <si>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</si>
  <si>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</si>
  <si>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</si>
  <si>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</si>
  <si>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</si>
  <si>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</si>
  <si>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</si>
  <si>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</si>
  <si>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</si>
  <si>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</si>
  <si>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</si>
  <si>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</si>
  <si>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</si>
  <si>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</si>
  <si>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</si>
  <si>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</si>
  <si>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</si>
  <si>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</si>
  <si>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</si>
  <si>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</si>
  <si>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</si>
  <si>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</si>
  <si>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</si>
  <si>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</si>
  <si>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</si>
  <si>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</si>
  <si>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</si>
  <si>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</si>
  <si>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</si>
  <si>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</si>
  <si>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</si>
  <si>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</si>
  <si>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</si>
  <si>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</si>
  <si>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</si>
  <si>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</si>
  <si>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</si>
  <si>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</si>
  <si>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</si>
  <si>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</si>
  <si>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</si>
  <si>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Shopify tightens Built-for-Shopify bar or checkout/extension APIs</t>
  </si>
  <si>
    <t xml:space="preserve">High</t>
  </si>
  <si>
    <t xml:space="preserve">Medium</t>
  </si>
  <si>
    <t xml:space="preserve">Track dev changelog monthly; abstain from deprecated surfaces</t>
  </si>
  <si>
    <t xml:space="preserve">Klaviyo/Yotpo bundle retention features free</t>
  </si>
  <si>
    <t xml:space="preserve">Niche positioning (price band + simplicity); speed</t>
  </si>
  <si>
    <t xml:space="preserve">Review-app category saturation drives CAC up</t>
  </si>
  <si>
    <t xml:space="preserve">Lead with loyalty+winback combo, not reviews alone</t>
  </si>
  <si>
    <t xml:space="preserve">R-K7</t>
  </si>
  <si>
    <t xml:space="preserve">Protected customer data approval gates the listing and all non-dev-store customer reads</t>
  </si>
  <si>
    <t xml:space="preserve">High / Medium</t>
  </si>
  <si>
    <t xml:space="preserve">Request now via Partner Dashboard; code already tolerates the pre-approval null state (VER-RK03).</t>
  </si>
  <si>
    <t xml:space="preserve">R-K8</t>
  </si>
  <si>
    <t xml:space="preserve">A gate row can read "In progress" for days while the feature it names does not exist (LC-4 compliance webhooks)</t>
  </si>
  <si>
    <t xml:space="preserve">High / High</t>
  </si>
  <si>
    <t xml:space="preserve">Gate rows must cite a file and a test. Manifest drift gate now fails the build if config and code disagree.</t>
  </si>
  <si>
    <t xml:space="preserve">R-K10</t>
  </si>
  <si>
    <t xml:space="preserve">In-memory stores are still the only implementation, so caps, purges and entitlement are process-local</t>
  </si>
  <si>
    <t xml:space="preserve">Schema shipped; adapters not. Largest artifact-vs-code divergence. Matches MeetSync OBS-M3.</t>
  </si>
  <si>
    <t xml:space="preserve">R-K11</t>
  </si>
  <si>
    <t xml:space="preserve">Postgres adapters have never run against a live server; ON CONFLICT targets, the interval cast and BYTEA round-trip are unverified</t>
  </si>
  <si>
    <t xml:space="preserve">Medium / High</t>
  </si>
  <si>
    <t xml:space="preserve">First live run is the real test. Recorded in code as PG_ADAPTER_VERIFICATION_STATUS.</t>
  </si>
  <si>
    <t xml:space="preserve">SPRINT TRACKER LOG — RetainKit (append one row per working session)</t>
  </si>
  <si>
    <t xml:space="preserve">Entry</t>
  </si>
  <si>
    <t xml:space="preserve">Date/Time</t>
  </si>
  <si>
    <t xml:space="preserve">Stories touched</t>
  </si>
  <si>
    <t xml:space="preserve">Activity</t>
  </si>
  <si>
    <t xml:space="preserve">Outcome / evidence</t>
  </si>
  <si>
    <t xml:space="preserve">Decision refs</t>
  </si>
  <si>
    <t xml:space="preserve">Next action</t>
  </si>
  <si>
    <t xml:space="preserve">L-001</t>
  </si>
  <si>
    <t xml:space="preserve">Pre-S0</t>
  </si>
  <si>
    <t xml:space="preserve">—</t>
  </si>
  <si>
    <t xml:space="preserve">v005 workbook baselined: spec, 100-story backlog, sprint board, financial model, GTM, launch checklist, risks</t>
  </si>
  <si>
    <t xml:space="preserve">claude_v005_retainkit_shopify_product_workbook_20260905_1934.xlsx</t>
  </si>
  <si>
    <t xml:space="preserve">Open S0 or apply portfolio D13</t>
  </si>
  <si>
    <t xml:space="preserve">L-002</t>
  </si>
  <si>
    <t xml:space="preserve">ST-051, ST-052, ST-055, ST-056</t>
  </si>
  <si>
    <t xml:space="preserve">D13 applied (discovery parked; 100% automation coverage gate). S1 Foundation developed: OAuth install flow, uninstall webhook + scheduled deletion, token-rotation-safe API wrapper, install telemetry w/ source attribution. Jest suite written per module.</t>
  </si>
  <si>
    <t xml:space="preserve">40/40 tests passed; coverage 100% statements/branches/functions/lines on all 4 modules (jest coverageThreshold hard gate = 100). Code: retainkit/src + retainkit/tests.</t>
  </si>
  <si>
    <t xml:space="preserve">D13</t>
  </si>
  <si>
    <t xml:space="preserve">S1 exit gate: install in live dev store + telemetry firing (needs Shopify partner dev store — Senthil action). Then open S2.</t>
  </si>
  <si>
    <t xml:space="preserve">L-003</t>
  </si>
  <si>
    <t xml:space="preserve">ST-001, ST-002, ST-003, ST-004, ST-053, ST-054</t>
  </si>
  <si>
    <t xml:space="preserve">S2 Review request engine part 1 developed: defaults setup service (one-call), rule customisation with validation, delivered-order eligibility + scheduling, send with exponential-backoff retry and explicit user retry paths, review capture, re-install restoration within retention window, owner/admin/member permission matrix.</t>
  </si>
  <si>
    <t xml:space="preserve">33 new tests; full suite 73/73 passed; coverage 100% statements/branches/functions/lines across all 7 modules (jest hard gate). Code: retainkit/src + retainkit/tests.</t>
  </si>
  <si>
    <t xml:space="preserve">S2 exit gate: Review request engine happy path demoable (needs UI shell + dev store — pending). Open S3: engine part 2 + Points &amp; rewards ledger skeleton.</t>
  </si>
  <si>
    <t xml:space="preserve">L-004</t>
  </si>
  <si>
    <t xml:space="preserve">ST-005..ST-010, ST-011..ST-014, ST-085</t>
  </si>
  <si>
    <t xml:space="preserve">S3 developed: App Bridge session-token (JWT HS256) verification + embedded detection; engine metrics summary/trend with zero-guarded conversion; audited permission gate (both outcomes logged); pause/resume with sends suppressed and requests retained; CSV review import with row-level rejection reasons + competitor header mapper; in-app+email notifications with per-type mute. Points ledger skeleton: config defaults/validation, earn-floor/balance/redeem with unit rules, platform balance sync with retry semantics.</t>
  </si>
  <si>
    <t xml:space="preserve">47 new tests; full suite 120/120 passed; coverage 100% statements/branches/functions/lines across all 11 modules. ST-085 evidenced by jest coverageThreshold=100 (D13 supersedes &gt;=70% wording). Gate restructure: AuditedGate rewritten from try/catch to can()-based check to eliminate an unreachable branch.</t>
  </si>
  <si>
    <t xml:space="preserve">S3 exit criteria met at code level (engine complete with tests; ledger skeleton). Open S4: ledger completion + activation funnel/error telemetry + E2E smoke (ST-086 needs CI env - flag).</t>
  </si>
  <si>
    <t xml:space="preserve">L-005</t>
  </si>
  <si>
    <t xml:space="preserve">ST-015..ST-020, ST-071, ST-072, ST-086</t>
  </si>
  <si>
    <t xml:space="preserve">Points ledger completed: embedded gateway (shop always derived from verified session token, never client input), ledger point metrics with liability + zero-guarded redemption rate, permission-gated audited rule updates and manual adjustments (Action matrix extended with adjust_points for owner/admin), feature-scoped pause (engine and ledger pausable independently, data retained), points CSV + competitor import writing opening-balance transactions, points_adjusted/redemption_completed notification types. Growth telemetry: install-&gt;setup-&gt;aha-&gt;habit funnel with unique-shop conversion, error tracker with release tagging and rolling-window spike alerts. E2E smoke: 10-step full merchant journey over real modules (only platform edges simulated) + deploy-smoke GitHub Actions workflow + npm run test:smoke.</t>
  </si>
  <si>
    <t xml:space="preserve">27 new tests; full suite 147/147 passed; coverage 100% statements/branches/functions/lines across all 13 modules, clean on first run. Matrix extension propagated to ST-054 matrix test (owner 8 actions, admin 6, member 2).</t>
  </si>
  <si>
    <t xml:space="preserve">S4 exit criteria met at code level (MVP loop usable end-to-end internally - evidenced by E2E smoke). CI workflow needs wiring to the real GitHub repo (Senthil action). Open S5: Win-back flows + alpha hardening (12 stories, 50 pts).</t>
  </si>
  <si>
    <t xml:space="preserve">L-006</t>
  </si>
  <si>
    <t xml:space="preserve">ST-021..ST-030, ST-078, ST-079</t>
  </si>
  <si>
    <t xml:space="preserve">Win-back suite built on the established F1/F2 patterns: rules with defaults + validation (lapse window, 1-5 step delays, email/WhatsApp channels, discount cap), lapsed-customer detection (skips opt-outs/recent buyers/already-in-flow), flow scheduling with channel rotation, step sends with the standard exponential-backoff retry semantics, conversion recording that cancels pending steps, embedded session-token gateway, win-back-rate metrics + trend, gated/audited rule updates and manual step triggers, feature-pause extended to winback_flows, customer CSV + competitor (Email/Last Purchase) import feeding detection end-to-end. Alpha hardening: 5-item first-run checklist with idempotent start, aha = reviews configured + first test send, &lt;1-day tracking; empty-state registry covering all 9 workbook screens, each with a next-action CTA.</t>
  </si>
  <si>
    <t xml:space="preserve">36 new tests; full suite 183/183 passed; coverage 100% statements/branches/functions/lines across all 15 modules, clean on first run.</t>
  </si>
  <si>
    <t xml:space="preserve">S5 exit criteria (internal alpha: team dogfoods daily) requires live dev-store deployment - Senthil action. Open S6: Billing + Analytics (13 stories, 60 pts) incl. Shopify Billing API vs Stripe fallback (ST-059).</t>
  </si>
  <si>
    <t xml:space="preserve">L-007</t>
  </si>
  <si>
    <t xml:space="preserve">ST-031..ST-040, ST-057, ST-058, ST-059</t>
  </si>
  <si>
    <t xml:space="preserve">Billing built: TrialService (idempotent no-card start, day-countdown banner incl. singular/expired states); pure proration calculator (validated inputs, rounded to cents, charge_now/credit_balance/no_change); BillingRouter mandating Shopify Billing API for app-store channel (appSubscriptionCreate -&gt; pending_confirmation -&gt; confirm callback) with Stripe fallback activating immediately; SubscriptionService lifecycle with double-subscribe guard and resubscribe-after-cancel. Analytics built: config defaults/validation (widgets, range, refresh), DashboardComposer aggregating all four pillar widgets with per-widget retry semantics so one failing source degrades alone and the dashboard always renders, embedded gateway, view/export gated behind view_analytics/export_data with audit, usage metrics with export rate, historical metrics CSV + competitor import, feature pause + weekly_report_ready/export_completed notifications.</t>
  </si>
  <si>
    <t xml:space="preserve">31 new tests; full suite 214/214 passed; coverage 100% x4 across all 18 modules. Gate catch: unknown-header branch of the analytics competitor mapper initially unexercised (99.79% branches) - build failed, test added, clean.</t>
  </si>
  <si>
    <t xml:space="preserve">S6 exit met at code level. Open S7: dunning/limits/invoices/cancellation + least-privilege doc (5 stories, 15 pts). Live test charge needs dev store + Partners app (Senthil).</t>
  </si>
  <si>
    <t xml:space="preserve">L-008</t>
  </si>
  <si>
    <t xml:space="preserve">ST-060, ST-061, ST-062, ST-063, ST-064</t>
  </si>
  <si>
    <t xml:space="preserve">Billing part 2: DunningService (idempotent failure record; emails on days 0/3/5 with single-run catch-up capped at 3; read-only mode after 7-day grace; payment clears and restores). PlanLimitService as the enforcement point before every send (silent below 80%, upgrade prompt from 80%, hard block at 100% with blocked requests not counted). InvoiceService (sequential INV-YYYY-NNNN per shop, GST/VAT computed with cent rounding, optional tax id, downloadable plain-text receipt omitting absent lines, amount/rate validation). CancellationFlow (requireActive guard added to SubscriptionService; save-offer 20%/3mo always shown first; accept retains + records outcome; decline validates reason enum, records exit survey, cancels via owning provider). ST-064: REQUESTED_SCOPES map (read_orders, read_customers, write_customers, write_marketing_events) each justified against shipped features only, rendered to SCOPES.md and enforced by validateScopeMap() in the suite.</t>
  </si>
  <si>
    <t xml:space="preserve">16 new tests; full suite 230/230 passed; coverage 100% x4 across all 19 modules. Two gate catches: markdown separator row broke the doc line-count assertion (test corrected), and CancellationFlow default clock unexercised (95.6% functions) - covered.</t>
  </si>
  <si>
    <t xml:space="preserve">S7 (private-beta billing scope) code-complete. Open S8: Beta iteration - 22 stories incl. Klaviyo/Meta sync (F5), encryption/audit/rate-limit evidence (E6), heatmap + weekly email (E7), help docs (E8), performance budget (ST-087/088). Design-partner recruitment (S7 exit: 3+ partners active) = Senthil action.</t>
  </si>
  <si>
    <t xml:space="preserve">L-009</t>
  </si>
  <si>
    <t xml:space="preserve">ST-041..050, ST-065..067, ST-070, ST-073..077, ST-087, ST-088, ST-092</t>
  </si>
  <si>
    <t xml:space="preserve">F5 audience sync complete on the established feature pattern; E6 security hardening with REAL cryptography (AES-256-GCM vault proving ciphertext-at-rest + tamper detection; sha256 hash-chained audit trail detecting modification and deletion; circuit breaker with fail-fast and half-open trial; https-only enforcement; DATA_FLOWS.md published with per-store retention). E7 ops telemetry (heatmap, weekly email, health score, exports, alert thresholds). EQ: latency budgets, 5x load test executed against the real review engine + points ledger in-suite (300 requests, 0 errors, p95 &lt;= 50ms in-memory budget), blue/green deployer verified to never serve an unhealthy build.</t>
  </si>
  <si>
    <t xml:space="preserve">41 new tests; full suite 271/271 passed; 100% x4 across all 23 modules. Gate catches: two default-clock arrows (WeeklyMetricsEmail, CircuitBreaker) constructed but never invoked - both covered.</t>
  </si>
  <si>
    <t xml:space="preserve">Open S9: Marketplace review prep (ST-068, ST-069, ST-089, ST-090, ST-091, ST-093, ST-094). Live Klaviyo/Meta API credentials + LCP measurement need real accounts (Senthil).</t>
  </si>
  <si>
    <t xml:space="preserve">E001</t>
  </si>
  <si>
    <t xml:space="preserve">RETAINKIT BUILD DIRECTED — Senthil instruction 22:05: continue work as per sprint from the v005 product workbook, with sprint tracker + traceability and 100% automation testing on all code. D13 (portfolio-wide: discovery parked, dev proceeds at 100% coverage) applied; D15 sequencing mode (multiple concurrent builds vs order swap) remains Senthil's open portfolio decision.</t>
  </si>
  <si>
    <t xml:space="preserve">D13, D15</t>
  </si>
  <si>
    <t xml:space="preserve">RetainKit S1 opened</t>
  </si>
  <si>
    <t xml:space="preserve">S1 build</t>
  </si>
  <si>
    <t xml:space="preserve">E002</t>
  </si>
  <si>
    <t xml:space="preserve">S1 FOUNDATION BUILT (TypeScript/Node per v005 stack): ST-051 OAuth install (shop-domain validation, HMAC + state verification, code exchange, token persist, welcome landing); ST-052 uninstall webhook (base64 HMAC, immediate token purge, retention-scheduled deletion); ST-055 rotation-safe token manager (401 -&gt; refresh -&gt; persist -&gt; single retry, second 401 raises re-auth); ST-056 install telemetry with listing/search/referral attribution. D13 GATE: 40 tests, 100% x4, jest coverageThreshold hard-set. Product workbook v006 released with Sprint_Tracker_Log + Traceability_Matrix sheets added.</t>
  </si>
  <si>
    <t xml:space="preserve">ST-051/052/055/056; v006</t>
  </si>
  <si>
    <t xml:space="preserve">4 stories Done-in-code (13 pts)</t>
  </si>
  <si>
    <t xml:space="preserve">Live dev-store install = Senthil + Shopify Partners account</t>
  </si>
  <si>
    <t xml:space="preserve">E003</t>
  </si>
  <si>
    <t xml:space="preserve">S2 BUILT — Review request engine part 1: one-call defaults setup, validated rule customisation (delay 1-30, channels, min value, exclusions), delivered-order eligibility + scheduling, sends with exponential-backoff retry and explicit automatic/dashboard retry paths, review capture; ST-053 re-install restoration inside retention window; ST-054 owner/admin/member permission matrix with full-matrix test. 33 new tests, suite 73/73 at 100% x4. GATE CATCH: default-clock function in accountLifecycle.ts initially unexercised (96.3% stmt / 85.7% func) — build failed as designed, test fixed, then clean. Workbook v007 released.</t>
  </si>
  <si>
    <t xml:space="preserve">ST-001..004, 053, 054; v007</t>
  </si>
  <si>
    <t xml:space="preserve">6 stories Done-in-code (29 pts)</t>
  </si>
  <si>
    <t xml:space="preserve">E004</t>
  </si>
  <si>
    <t xml:space="preserve">S3 BUILT — Engine part 2 + Points skeleton: App Bridge session-token (JWT HS256) verification + embedded detection; engine metrics/trends with zero-guarded conversion; audited permission gate (AuditedGate RESTRUCTURED from try/catch to can()-based check to eliminate an unreachable branch); pause-without-data-loss; CSV review import with row-level rejection reasons + competitor header mapper; notifications with per-type mute; points config defaults/validation, earn-floor/balance/redeem with unit rules, platform balance sync with retry semantics. ST-085 coverage gate recorded Done against the 100% hard threshold (D13 supersedes the &gt;=70% wording). 47 new tests, suite 120/120 at 100% x4, clean first run. Workbook v008 released.</t>
  </si>
  <si>
    <t xml:space="preserve">ST-005..014, 085; v008</t>
  </si>
  <si>
    <t xml:space="preserve">11 stories Done-in-code (47 pts)</t>
  </si>
  <si>
    <t xml:space="preserve">E005</t>
  </si>
  <si>
    <t xml:space="preserve">S4 BUILT — Ledger completion + telemetry: embedded ledger gateway (shop derived from verified session token only), ledger metrics with outstanding liability + zero-guarded redemption rate, gated + audited admin ops (Action matrix EXTENDED with adjust_points for owner/admin; propagated to ST-054 matrix test), feature-scoped pause, points CSV/competitor import to opening-balance transactions, ledger notification types; activation funnel dashboard (install-&gt;setup-&gt;aha-&gt;habit, unique-shop conversion), release-tagged error tracking with rolling-window spike alerts. ST-086: 10-step E2E smoke over REAL modules (only platform edges simulated) + deploy-smoke GitHub Actions workflow + npm run test:smoke. 27 new tests, suite 147/147 at 100% x4. MVP loop closed at code level. Workbook v009 released.</t>
  </si>
  <si>
    <t xml:space="preserve">ST-015..020, 071, 072, 086; v009</t>
  </si>
  <si>
    <t xml:space="preserve">9 stories Done-in-code (34 pts)</t>
  </si>
  <si>
    <t xml:space="preserve">CI workflow needs wiring to live GitHub repo</t>
  </si>
  <si>
    <t xml:space="preserve">E006</t>
  </si>
  <si>
    <t xml:space="preserve">S5 BUILT — Win-back suite + alpha hardening: rules with defaults/validation (lapse window, 1-5 step delays, email/WhatsApp, discount cap), lapsed detection (skips opt-outs/recent buyers/already-in-flow), flow scheduling with channel rotation, step sends with standard retry semantics, conversion recording cancelling pending steps, embedded gateway, win-back-rate metrics, gated/audited admin, feature pause extended to winback_flows, customer CSV + competitor import feeding detection end-to-end, notification types; 5-item first-run checklist with idempotent start and aha-in-&lt;1-day tracking; empty-state registry for all 9 workbook screens, each naming the next action. 36 new tests, suite 183/183 at 100% x4, clean first run. All three product pillars complete. Workbook v010 released.</t>
  </si>
  <si>
    <t xml:space="preserve">ST-021..030, 078, 079; v010</t>
  </si>
  <si>
    <t xml:space="preserve">12 stories Done-in-code (50 pts)</t>
  </si>
  <si>
    <t xml:space="preserve">S5 exit (team dogfoods daily) needs live deployment</t>
  </si>
  <si>
    <t xml:space="preserve">E007</t>
  </si>
  <si>
    <t xml:space="preserve">2026-09-10 23:03</t>
  </si>
  <si>
    <t xml:space="preserve">THIS TRACKER OPENED — Standalone sprint tracker + traceability file created per Senthil 23:03 instruction, mirroring the TeleField tracker structure (D12 pattern). All five sprint executions consolidated with per-story evidence; rollup formulas live over the 100-story matrix. Product workbook remains backlog source of truth; this file is the execution ledger.</t>
  </si>
  <si>
    <t xml:space="preserve">D12 pattern; v006-v010</t>
  </si>
  <si>
    <t xml:space="preserve">Tracker v001 released</t>
  </si>
  <si>
    <t xml:space="preserve">S6 (Billing + Analytics, 13 stories 60 pts) on continue</t>
  </si>
  <si>
    <t xml:space="preserve">E008</t>
  </si>
  <si>
    <t xml:space="preserve">S6 BUILT — Billing: idempotent no-card 14-day trial with countdown banner; pure proration calculator (charge_now/credit_balance/no_change, cent rounding, validated inputs); BillingRouter — Shopify Billing API mandated for app-store channel (pending_confirmation -&gt; merchant confirm callback), Stripe fallback for direct channel (immediate active); SubscriptionService lifecycle: subscribe (double-subscribe guarded, resubscribe after cancel), confirm, changePlan with proration, cancel routed to owning provider. Analytics: config defaults/validation; DashboardComposer over all four pillar widgets with per-widget retry/degradation so the dashboard always renders; embedded gateway; view/export gated (view_analytics / export_data) with audit; usage metrics; historical metrics CSV + competitor import; feature pause + notification types. 31 new tests, suite 214/214 at 100% x4. GATE CATCH: unknown-header branch of the analytics competitor mapper unexercised (99.79% branches) — build failed as designed, test added, clean. TRACKER DEFECT FIXED: v001 Gate_Checklist header row had been overwritten by G-01 (off-by-one in the sheet builder); rebuilt with header at row 3, all 15 gate rows intact. Workbook v011 released.</t>
  </si>
  <si>
    <t xml:space="preserve">ST-031..040, 057..059; v011</t>
  </si>
  <si>
    <t xml:space="preserve">13 stories Done-in-code (60 pts); total 55/100 (233 pts)</t>
  </si>
  <si>
    <t xml:space="preserve">Live test charge needs Shopify Partners app (S1-L1)</t>
  </si>
  <si>
    <t xml:space="preserve">E009 (S7)</t>
  </si>
  <si>
    <t xml:space="preserve">E009</t>
  </si>
  <si>
    <t xml:space="preserve">S7 BUILT — Dunning (idempotent failure record, day-0/3/5 emails with catch-up capped at 3, read-only after 7-day grace, payment restore); plan limits enforced at the send point (80% upgrade prompt, 100% hard block, blocked sends not counted); invoices (sequential per-shop numbering, GST/VAT + tax-id, downloadable text receipt, validated inputs); cancellation flow (requireActive guard added to SubscriptionService, mandatory save-offer 20%/3mo, accept retains, decline -&gt; validated exit survey -&gt; cancel via owning provider); ST-064 least-privilege scopes: 4 requested scopes each justified against shipped features only, SCOPES.md rendered + validateScopeMap() enforced in the suite. 16 new tests, suite 230/230 at 100% x4. GATE CATCHES: markdown separator row broke the doc assertion (test corrected); CancellationFlow default clock unexercised — covered. Workbook v012 released.</t>
  </si>
  <si>
    <t xml:space="preserve">ST-060..064; v012; SCOPES.md</t>
  </si>
  <si>
    <t xml:space="preserve">5 stories Done-in-code (15 pts); total 60/100 (248 pts)</t>
  </si>
  <si>
    <t xml:space="preserve">Design-partner recruitment (S7 exit: 3+ partners active weekly) = Senthil</t>
  </si>
  <si>
    <t xml:space="preserve">E010 (S8)</t>
  </si>
  <si>
    <t xml:space="preserve">E010</t>
  </si>
  <si>
    <t xml:space="preserve">S8 BUILT (biggest sprint) — F5 Klaviyo/Meta audience sync full pattern; E6: AES-256-GCM vault (ciphertext-only at rest, tamper-detecting auth tag, rotation), https-only transit enforcement, sha256 hash-chained audit trail detecting tampering AND deletion, circuit breaker with fail-fast + half-open trial + Retry-After backoff, DATA_FLOWS.md with per-store retention; E7: usage heatmap, weekly email, health score (bands + reasons), CSV/JSONL export, configurable alert thresholds; EQ: p95 budgets per surface, load test at 5x launch traffic executed against the REAL engine + ledger (300 req, 0 errors, p95 within 50ms in-memory budget), blue/green deployer proven never to serve an unhealthy build. 41 new tests; suite 271/271 at 100% x4. Gate catches: two default-clock arrows constructed but never invoked (WeeklyMetricsEmail, CircuitBreaker) - covered. Workbook v013 released.</t>
  </si>
  <si>
    <t xml:space="preserve">ST-041..050, 065..067, 070, 073..077, 087/088/092; v013; DATA_FLOWS.md</t>
  </si>
  <si>
    <t xml:space="preserve">22 stories Done-in-code (87 pts); total 82/100 (335 pts, 84.0%)</t>
  </si>
  <si>
    <t xml:space="preserve">Live Klaviyo/Meta credentials + p75 LCP measurement need real accounts/UI (Senthil)</t>
  </si>
  <si>
    <t xml:space="preserve">E011 (S9)</t>
  </si>
  <si>
    <t xml:space="preserve">E011</t>
  </si>
  <si>
    <t xml:space="preserve">2026-09-13 09:57</t>
  </si>
  <si>
    <t xml:space="preserve">SESSION RESUMED from v013 workbook + v004 tracker + code zip. Baseline re-verified before any edit: 11 suites / 271 tests at 100%. Plan presented and approved: S9 codeable scope, then first adversarial cold review, then external verification sweep against live Shopify docs.</t>
  </si>
  <si>
    <t xml:space="preserve">v013; v004; D13</t>
  </si>
  <si>
    <t xml:space="preserve">Baseline confirmed; plan approved</t>
  </si>
  <si>
    <t xml:space="preserve">E012</t>
  </si>
  <si>
    <t xml:space="preserve">2026-09-13 10:10</t>
  </si>
  <si>
    <t xml:space="preserve">S9 CODEABLE SCOPE BUILT — ST-069 two-phase self-serve export + delete-my-data over a shared TenantDataRegistry; ST-090 backup/restore drill with canonical-JSON sha256 and ship-block on divergence; ST-091 chaos degradation per feature with merchant-facing copy and status-page rollup; ST-068 SECURITY_EVIDENCE.md sandbox half; ST-089 six accessible screen shells + structural WCAG AA auditor over populated AND empty states (manual half listed, never reported as passing); ST-093 listing copy A and B; ST-094 5-shot asset plan + 2-min video beat sheet.</t>
  </si>
  <si>
    <t xml:space="preserve">ST-068/069/089/090/091/093/094; src/tenantData.ts, privacy.ts, opsResilience.ts, screens.ts</t>
  </si>
  <si>
    <t xml:space="preserve">3 stories Done-in-code (11 pts), 2 In progress, 2 Drafted; total 85/100 (346 pts)</t>
  </si>
  <si>
    <t xml:space="preserve">Pen-test vendor, screen-reader + contrast pass, asset capture, copy A/B pick = Senthil</t>
  </si>
  <si>
    <t xml:space="preserve">E013</t>
  </si>
  <si>
    <t xml:space="preserve">COLD REVIEW PASS 1 (all 23 pre-existing modules) + EXTERNAL VERIFICATION SWEEP vs live Shopify docs. 9 defects fixed with pinned regressions — headline F-RK01: both CSV importers hardcoded optedOut:false, so migrating off a competitor reset every unsubscribe to subscribed and the first win-back run would have mailed them; F-RK02/F-RK03 dunning read-only and trial expiry were computed and enforced nowhere; F-RK05 consent was checked at scheduling time only, so an opt-out during the 7-day review delay or a multi-week win-back flow still sent. Sweep found VER-RK04 (no mandatory compliance webhooks — automatic rejection), VER-RK01 (no API version pinned anywhere), VER-RK03 (protected customer PII arrives null until approval; every read assumed a string). Four existing tests had to change because they asserted the buggy behaviour.</t>
  </si>
  <si>
    <t xml:space="preserve">F-RK01..09; VER-RK01..06; Review_Findings sheet; src/compliance.ts, consent.ts, entitlement.ts, shopifyApi.ts</t>
  </si>
  <si>
    <t xml:space="preserve">14 suites / 339 tests at 100% zero pragmas; story position unchanged (correctness release)</t>
  </si>
  <si>
    <t xml:space="preserve">F-RK/VER-RK dispositions; protected customer data approval (Partner Dashboard, Level 1+2) is a new lead-time item</t>
  </si>
  <si>
    <t xml:space="preserve">E014 — S10 or live evidence</t>
  </si>
  <si>
    <t xml:space="preserve">E014</t>
  </si>
  <si>
    <t xml:space="preserve">S9/S10</t>
  </si>
  <si>
    <t xml:space="preserve">ARTIFACT-GAP AUDIT + HTTP LAYER + SCHEMA. Audited every claim made by the manifest, CI workflow and setup path against code that exists. Found 6 gaps, 2 critical. Built a framework-free async-safe router (a rejected handler becomes a 500, never a hung socket — MeetSync M-F21 class), a 7-route application covering health, status, OAuth install and callback with server-side single-use state, both webhook endpoints and the storefront points proxy; 3 ordered SQL migrations with cascade deletes from shops so shop/redact and the retention sweep delete completely by construction; npm run build/start/migrate; CI now proves the app compiles and the migration set parses; SETUP.md as an executable 30-minute path. VER-RK07 logged: app proxy signature is a different scheme from the OAuth HMAC.</t>
  </si>
  <si>
    <t xml:space="preserve">GAP-RK1..6; VER-RK07; src/http/*; migrations/*; bin/*; SETUP.md</t>
  </si>
  <si>
    <t xml:space="preserve">15 suites / 374 tests at 100% zero pragmas; story position unchanged (85/100, 346/399)</t>
  </si>
  <si>
    <t xml:space="preserve">Postgres adapters behind the store interfaces (R-K4/OBS-RK2) remain the largest artifact-vs-code gap; DATABASE_URL + SHOPIFY_API_KEY/SECRET + APP_URL needed before any deploy</t>
  </si>
  <si>
    <t xml:space="preserve">E015 — S10 or live evidence</t>
  </si>
  <si>
    <t xml:space="preserve">E015</t>
  </si>
  <si>
    <t xml:space="preserve">S10 BUILT — help centre (15 articles + ranked search), built-in chat with business-hours SLA and breach reporting, pricing and trust pages generated from the enforcing objects with drift gates both ways, incident template that refuses empty updates, demo mode isolated by namespace, submission dry-run honest about who owns what. Three public routes added (/pricing, /trust, /help) because the listing requires reachable pricing and privacy URLs.</t>
  </si>
  <si>
    <t xml:space="preserve">ST-080/081/083/084/095/096/097; src/support.ts, publicPages.ts, launchReadiness.ts</t>
  </si>
  <si>
    <t xml:space="preserve">5 stories Done-in-code (16 pts), 1 code-complete (ST-083 video pending), 1 in progress (ST-097 external reviewer); total 90/100 (362 pts, 90.7%)</t>
  </si>
  <si>
    <t xml:space="preserve">ST-083 demo VIDEO still needs capture (code half only); chat vendor now optional (DR-7)</t>
  </si>
  <si>
    <t xml:space="preserve">E016 — S11/S12 remainder or live evidence</t>
  </si>
  <si>
    <t xml:space="preserve">E016</t>
  </si>
  <si>
    <t xml:space="preserve">S11/S12</t>
  </si>
  <si>
    <t xml:space="preserve">S11/S12 BUILT — review ask (aha-gated, reason-named refusals, 90-day cooldown), executable launch runbook with rollback triggers bound to the real latency budgets and an explicit irreversibility note on redactions, SEO iteration engine with a 100-impression floor, 10-slot partner tracker with honest exit maths. CODE PHASE COMPLETE: backlog zero.</t>
  </si>
  <si>
    <t xml:space="preserve">ST-082/098/099/100; src/growth.ts, runbook.ts</t>
  </si>
  <si>
    <t xml:space="preserve">4 stories Done-in-code (10 pts); total 94/100 (372 pts, 93.2%)</t>
  </si>
  <si>
    <t xml:space="preserve">ST-099 needs post-listing search-term data and ST-100 needs outreach — both code-complete pending live, correctly not counted as finished work</t>
  </si>
  <si>
    <t xml:space="preserve">E017 — live evidence or dispositions only</t>
  </si>
  <si>
    <t xml:space="preserve">E017</t>
  </si>
  <si>
    <t xml:space="preserve">Post-code</t>
  </si>
  <si>
    <t xml:space="preserve">POSTGRES ADAPTERS BUILT — R-K10 closed in code. 7 adapter classes plus a per-domain redaction adapter, all parameterised, tokens encrypted before they leave the process. Schema drift gate added. Writing the adapters surfaced two schema defects (missing subscription provider columns; no email column on customer_consent, breaking email-only privacy requests) — both fixed by new migrations 004 and 005, not by editing shipped ones.</t>
  </si>
  <si>
    <t xml:space="preserve">R-K10; F-RK10; src/store/pg.ts; migrations/004,005</t>
  </si>
  <si>
    <t xml:space="preserve">18 suites / 456 tests at 100% zero pragmas; story position unchanged (94/100, 372/399)</t>
  </si>
  <si>
    <t xml:space="preserve">Adapters are schema-checked, not server-tested. Default wiring is still in-memory — swap in src/http/wiring.ts once DATABASE_URL exists.</t>
  </si>
  <si>
    <t xml:space="preserve">E018 — first live run</t>
  </si>
  <si>
    <t xml:space="preserve">E018</t>
  </si>
  <si>
    <t xml:space="preserve">HANDOVER-REDUCTION PASS — automatic persistence selection that refuses to degrade silently, a scripted verification sweep (npm run sweep) replacing prose steps, and REVIEW_PACK.md for the external reviewer. Correction logged: at 11:04 I said nothing sandbox-buildable remained; these three were, and each removes work from Senthil rather than adding product surface.</t>
  </si>
  <si>
    <t xml:space="preserve">src/sweep.ts; src/http/wiring.ts; REVIEW_PACK.md; bin/sweep.js</t>
  </si>
  <si>
    <t xml:space="preserve">19 suites / 469 tests at 100% zero pragmas; story position unchanged</t>
  </si>
  <si>
    <t xml:space="preserve">None new. ST-097 stays In progress — a pack for a reviewer is not a review.</t>
  </si>
  <si>
    <t xml:space="preserve">E019 — live evidence</t>
  </si>
  <si>
    <t xml:space="preserve">TRACEABILITY MATRIX — Story -&gt; Code -&gt; Test -&gt; Coverage (updated per sprint)</t>
  </si>
  <si>
    <t xml:space="preserve">Story ID</t>
  </si>
  <si>
    <t xml:space="preserve">Requirement (story)</t>
  </si>
  <si>
    <t xml:space="preserve">Module</t>
  </si>
  <si>
    <t xml:space="preserve">Source file</t>
  </si>
  <si>
    <t xml:space="preserve">Test file</t>
  </si>
  <si>
    <t xml:space="preserve"># Tests</t>
  </si>
  <si>
    <t xml:space="preserve">Coverage Stmt/Branch/Func/Line</t>
  </si>
  <si>
    <t xml:space="preserve">Test result</t>
  </si>
  <si>
    <t xml:space="preserve">OAuth install</t>
  </si>
  <si>
    <t xml:space="preserve">src/oauth.ts</t>
  </si>
  <si>
    <t xml:space="preserve">tests/oauth.test.ts</t>
  </si>
  <si>
    <t xml:space="preserve">100% / 100% / 100% / 100%</t>
  </si>
  <si>
    <t xml:space="preserve">PASS (2026-09-10 22:05)</t>
  </si>
  <si>
    <t xml:space="preserve">Uninstall lifecycle</t>
  </si>
  <si>
    <t xml:space="preserve">src/uninstall.ts</t>
  </si>
  <si>
    <t xml:space="preserve">tests/foundation.test.ts</t>
  </si>
  <si>
    <t xml:space="preserve">Token rotation safety</t>
  </si>
  <si>
    <t xml:space="preserve">src/tokenRefresh.ts</t>
  </si>
  <si>
    <t xml:space="preserve">Install telemetry</t>
  </si>
  <si>
    <t xml:space="preserve">src/telemetry.ts</t>
  </si>
  <si>
    <t xml:space="preserve">Review settings (defaults)</t>
  </si>
  <si>
    <t xml:space="preserve">src/reviewSettings.ts</t>
  </si>
  <si>
    <t xml:space="preserve">tests/s2.test.ts</t>
  </si>
  <si>
    <t xml:space="preserve">PASS (2026-09-10 22:15)</t>
  </si>
  <si>
    <t xml:space="preserve">Review request engine core</t>
  </si>
  <si>
    <t xml:space="preserve">src/reviewEngine.ts</t>
  </si>
  <si>
    <t xml:space="preserve">Rule customisation + validation</t>
  </si>
  <si>
    <t xml:space="preserve">Error handling + retry paths</t>
  </si>
  <si>
    <t xml:space="preserve">Re-install restoration</t>
  </si>
  <si>
    <t xml:space="preserve">src/accountLifecycle.ts</t>
  </si>
  <si>
    <t xml:space="preserve">Role permission matrix</t>
  </si>
  <si>
    <t xml:space="preserve">Embedded admin surface</t>
  </si>
  <si>
    <t xml:space="preserve">src/embeddedApp.ts</t>
  </si>
  <si>
    <t xml:space="preserve">tests/s3.test.ts</t>
  </si>
  <si>
    <t xml:space="preserve">PASS (2026-09-10 22:20)</t>
  </si>
  <si>
    <t xml:space="preserve">Engine metrics + trends</t>
  </si>
  <si>
    <t xml:space="preserve">src/engineOps.ts</t>
  </si>
  <si>
    <t xml:space="preserve">Audited permission gate</t>
  </si>
  <si>
    <t xml:space="preserve">Pause without data loss</t>
  </si>
  <si>
    <t xml:space="preserve">CSV + competitor import</t>
  </si>
  <si>
    <t xml:space="preserve">src/importNotify.ts</t>
  </si>
  <si>
    <t xml:space="preserve">Notifications + per-type mute</t>
  </si>
  <si>
    <t xml:space="preserve">Points config defaults</t>
  </si>
  <si>
    <t xml:space="preserve">src/pointsLedger.ts</t>
  </si>
  <si>
    <t xml:space="preserve">Ledger earn/balance/redeem</t>
  </si>
  <si>
    <t xml:space="preserve">Points rules validation</t>
  </si>
  <si>
    <t xml:space="preserve">Platform sync retry paths</t>
  </si>
  <si>
    <t xml:space="preserve">Coverage gate (100% per D13)</t>
  </si>
  <si>
    <t xml:space="preserve">package.json (jest coverageThreshold)</t>
  </si>
  <si>
    <t xml:space="preserve">full suite</t>
  </si>
  <si>
    <t xml:space="preserve">Embedded ledger gateway</t>
  </si>
  <si>
    <t xml:space="preserve">src/ledgerOps.ts</t>
  </si>
  <si>
    <t xml:space="preserve">tests/s4.test.ts</t>
  </si>
  <si>
    <t xml:space="preserve">PASS (2026-09-10 22:28)</t>
  </si>
  <si>
    <t xml:space="preserve">Ledger metrics + trends</t>
  </si>
  <si>
    <t xml:space="preserve">Gated + audited admin ops</t>
  </si>
  <si>
    <t xml:space="preserve">src/ledgerOps.ts + src/accountLifecycle.ts</t>
  </si>
  <si>
    <t xml:space="preserve">Feature-scoped pause</t>
  </si>
  <si>
    <t xml:space="preserve">Points CSV + competitor import</t>
  </si>
  <si>
    <t xml:space="preserve">src/growthOps.ts</t>
  </si>
  <si>
    <t xml:space="preserve">Ledger notification types</t>
  </si>
  <si>
    <t xml:space="preserve">Activation funnel dashboard</t>
  </si>
  <si>
    <t xml:space="preserve">Error tracking + spike alerts</t>
  </si>
  <si>
    <t xml:space="preserve">E2E smoke on every deploy</t>
  </si>
  <si>
    <t xml:space="preserve">tests/e2e.smoke.test.ts + .github/workflows/deploy-smoke.yml</t>
  </si>
  <si>
    <t xml:space="preserve">tests/e2e.smoke.test.ts</t>
  </si>
  <si>
    <t xml:space="preserve">100% / 100% / 100% / 100% (suite)</t>
  </si>
  <si>
    <t xml:space="preserve">Win-back defaults setup</t>
  </si>
  <si>
    <t xml:space="preserve">src/winback.ts</t>
  </si>
  <si>
    <t xml:space="preserve">tests/s5.test.ts</t>
  </si>
  <si>
    <t xml:space="preserve">PASS (2026-09-10 22:52)</t>
  </si>
  <si>
    <t xml:space="preserve">Flow engine happy path</t>
  </si>
  <si>
    <t xml:space="preserve">Flow rules validation</t>
  </si>
  <si>
    <t xml:space="preserve">Step-send retry paths</t>
  </si>
  <si>
    <t xml:space="preserve">Embedded win-back gateway</t>
  </si>
  <si>
    <t xml:space="preserve">src/winbackOps.ts</t>
  </si>
  <si>
    <t xml:space="preserve">Win-back metrics + trends</t>
  </si>
  <si>
    <t xml:space="preserve">Feature pause (winback_flows)</t>
  </si>
  <si>
    <t xml:space="preserve">Customer CSV + competitor import</t>
  </si>
  <si>
    <t xml:space="preserve">Win-back notification types</t>
  </si>
  <si>
    <t xml:space="preserve">First-run checklist + aha tracking</t>
  </si>
  <si>
    <t xml:space="preserve">Empty states (all 9 screens)</t>
  </si>
  <si>
    <t xml:space="preserve">Analytics config defaults</t>
  </si>
  <si>
    <t xml:space="preserve">src/analyticsDashboard.ts</t>
  </si>
  <si>
    <t xml:space="preserve">tests/s6.test.ts</t>
  </si>
  <si>
    <t xml:space="preserve">PASS (2026-09-10 23:09)</t>
  </si>
  <si>
    <t xml:space="preserve">Dashboard composer (all pillars)</t>
  </si>
  <si>
    <t xml:space="preserve">Analytics config validation</t>
  </si>
  <si>
    <t xml:space="preserve">Per-widget degradation + retry</t>
  </si>
  <si>
    <t xml:space="preserve">Embedded analytics gateway</t>
  </si>
  <si>
    <t xml:space="preserve">src/analyticsOps.ts</t>
  </si>
  <si>
    <t xml:space="preserve">Dashboard usage metrics</t>
  </si>
  <si>
    <t xml:space="preserve">Gated view + CSV export</t>
  </si>
  <si>
    <t xml:space="preserve">Feature pause (analytics)</t>
  </si>
  <si>
    <t xml:space="preserve">Historical metrics import</t>
  </si>
  <si>
    <t xml:space="preserve">Analytics notification types</t>
  </si>
  <si>
    <t xml:space="preserve">14-day no-card trial + banner</t>
  </si>
  <si>
    <t xml:space="preserve">src/billing.ts</t>
  </si>
  <si>
    <t xml:space="preserve">Mid-cycle proration</t>
  </si>
  <si>
    <t xml:space="preserve">Billing router: Shopify mandated + Stripe fallback</t>
  </si>
  <si>
    <t xml:space="preserve">7-day grace + 3 dunning emails + read-only</t>
  </si>
  <si>
    <t xml:space="preserve">src/billingOps.ts</t>
  </si>
  <si>
    <t xml:space="preserve">tests/s7.test.ts</t>
  </si>
  <si>
    <t xml:space="preserve">PASS (2026-09-11 08:20)</t>
  </si>
  <si>
    <t xml:space="preserve">Plan limits: 80% prompt, 100% block</t>
  </si>
  <si>
    <t xml:space="preserve">Invoices with GST/VAT + receipts</t>
  </si>
  <si>
    <t xml:space="preserve">Cancellation: save-offer + exit survey</t>
  </si>
  <si>
    <t xml:space="preserve">src/billingOps.ts + src/billing.ts</t>
  </si>
  <si>
    <t xml:space="preserve">Least-privilege scopes doc + CI validator</t>
  </si>
  <si>
    <t xml:space="preserve">src/billingOps.ts + SCOPES.md</t>
  </si>
  <si>
    <t xml:space="preserve">Sync defaults setup</t>
  </si>
  <si>
    <t xml:space="preserve">src/audienceSync.ts</t>
  </si>
  <si>
    <t xml:space="preserve">tests/s8-sync.test.ts</t>
  </si>
  <si>
    <t xml:space="preserve">PASS (2026-09-11 12:52)</t>
  </si>
  <si>
    <t xml:space="preserve">Segment builder + push engine</t>
  </si>
  <si>
    <t xml:space="preserve">Sync rules validation</t>
  </si>
  <si>
    <t xml:space="preserve">Per-job retry paths</t>
  </si>
  <si>
    <t xml:space="preserve">Embedded sync gateway</t>
  </si>
  <si>
    <t xml:space="preserve">src/audienceSyncOps.ts</t>
  </si>
  <si>
    <t xml:space="preserve">Sync metrics + success rate</t>
  </si>
  <si>
    <t xml:space="preserve">Gated + audited sync admin</t>
  </si>
  <si>
    <t xml:space="preserve">Feature pause (audience_sync)</t>
  </si>
  <si>
    <t xml:space="preserve">Audience CSV + competitor import</t>
  </si>
  <si>
    <t xml:space="preserve">Sync notification types</t>
  </si>
  <si>
    <t xml:space="preserve">Data-flow doc + retention (DATA_FLOWS.md)</t>
  </si>
  <si>
    <t xml:space="preserve">src/security.ts + DATA_FLOWS.md</t>
  </si>
  <si>
    <t xml:space="preserve">tests/s8-ops.test.ts</t>
  </si>
  <si>
    <t xml:space="preserve">AES-256-GCM vault + https enforcement</t>
  </si>
  <si>
    <t xml:space="preserve">src/security.ts</t>
  </si>
  <si>
    <t xml:space="preserve">Hash-chained tamper-evident audit log</t>
  </si>
  <si>
    <t xml:space="preserve">Circuit breaker + Retry-After backoff</t>
  </si>
  <si>
    <t xml:space="preserve">Feature-usage heatmap</t>
  </si>
  <si>
    <t xml:space="preserve">src/opsQuality.ts</t>
  </si>
  <si>
    <t xml:space="preserve">Weekly metrics email</t>
  </si>
  <si>
    <t xml:space="preserve">Account health score</t>
  </si>
  <si>
    <t xml:space="preserve">Metrics export CSV/JSONL</t>
  </si>
  <si>
    <t xml:space="preserve">Configurable alert thresholds</t>
  </si>
  <si>
    <t xml:space="preserve">p95 latency budgets + monitor</t>
  </si>
  <si>
    <t xml:space="preserve">Load test 5x launch traffic (real modules)</t>
  </si>
  <si>
    <t xml:space="preserve">Zero-downtime blue/green deploy</t>
  </si>
  <si>
    <t xml:space="preserve">Coverage gate: jest coverageThreshold global 100/100/100/100 (build fails below 100%) per portfolio decision D13, superseding ST-085 &gt;=70% gate. Suite total this version: 271 tests, all passing (S1: 40, S2: 33, S3: 47, S4: 27, S5: 36, S6: 31, S7: 16, S8: 41). Backlog stories not yet in a completed sprint are added here as their sprint executes.</t>
  </si>
  <si>
    <t xml:space="preserve">Privacy / tenant data</t>
  </si>
  <si>
    <t xml:space="preserve">src/privacy.ts; src/tenantData.ts</t>
  </si>
  <si>
    <t xml:space="preserve">tests/s9.test.ts</t>
  </si>
  <si>
    <t xml:space="preserve">PASS (2026-09-13 10:23)</t>
  </si>
  <si>
    <t xml:space="preserve">Ops resilience</t>
  </si>
  <si>
    <t xml:space="preserve">src/opsResilience.ts</t>
  </si>
  <si>
    <t xml:space="preserve">Security evidence</t>
  </si>
  <si>
    <t xml:space="preserve">SECURITY_EVIDENCE.md</t>
  </si>
  <si>
    <t xml:space="preserve">tests/s9.test.ts (referenced controls)</t>
  </si>
  <si>
    <t xml:space="preserve">n/a — document</t>
  </si>
  <si>
    <t xml:space="preserve">SANDBOX HALF ONLY (2026-09-13 10:23)</t>
  </si>
  <si>
    <t xml:space="preserve">Screen shells + audit</t>
  </si>
  <si>
    <t xml:space="preserve">src/screens.ts</t>
  </si>
  <si>
    <t xml:space="preserve">tests/s9-a11y.test.ts</t>
  </si>
  <si>
    <t xml:space="preserve">PASS automated half (2026-09-13 10:23)</t>
  </si>
  <si>
    <t xml:space="preserve">Listing collateral</t>
  </si>
  <si>
    <t xml:space="preserve">LISTING_COPY.md</t>
  </si>
  <si>
    <t xml:space="preserve">n/a</t>
  </si>
  <si>
    <t xml:space="preserve">DRAFTED (2026-09-13 10:23)</t>
  </si>
  <si>
    <t xml:space="preserve">ASSET_PLAN.md</t>
  </si>
  <si>
    <t xml:space="preserve">LC-4</t>
  </si>
  <si>
    <t xml:space="preserve">MANDATORY compliance webhooks: customers/data_request, customers/redact, shop/redact</t>
  </si>
  <si>
    <t xml:space="preserve">Compliance webhooks</t>
  </si>
  <si>
    <t xml:space="preserve">src/compliance.ts; shopify.app.toml</t>
  </si>
  <si>
    <t xml:space="preserve">tests/s9.test.ts; tests/s9-manifest.test.ts</t>
  </si>
  <si>
    <t xml:space="preserve">Done-in-code</t>
  </si>
  <si>
    <t xml:space="preserve">GAP-RK1</t>
  </si>
  <si>
    <t xml:space="preserve">HTTP application behind every route the manifest declares</t>
  </si>
  <si>
    <t xml:space="preserve">HTTP layer</t>
  </si>
  <si>
    <t xml:space="preserve">src/http/router.ts; app.ts; wiring.ts; bin/start.js</t>
  </si>
  <si>
    <t xml:space="preserve">tests/s10-http.test.ts</t>
  </si>
  <si>
    <t xml:space="preserve">PASS (2026-09-13 10:34)</t>
  </si>
  <si>
    <t xml:space="preserve">GAP-RK2</t>
  </si>
  <si>
    <t xml:space="preserve">Database schema behind backup, retention sweep and the 12 data domains</t>
  </si>
  <si>
    <t xml:space="preserve">Schema</t>
  </si>
  <si>
    <t xml:space="preserve">migrations/001-003; bin/migrate.js</t>
  </si>
  <si>
    <t xml:space="preserve">npm run migrate:dry (CI gate)</t>
  </si>
  <si>
    <t xml:space="preserve">n/a — SQL</t>
  </si>
  <si>
    <t xml:space="preserve">PARSE VERIFIED (2026-09-13 10:34)</t>
  </si>
  <si>
    <t xml:space="preserve">VER-RK07</t>
  </si>
  <si>
    <t xml:space="preserve">App proxy signature verification (distinct scheme from OAuth HMAC)</t>
  </si>
  <si>
    <t xml:space="preserve">Proxy auth</t>
  </si>
  <si>
    <t xml:space="preserve">src/http/proxyAuth.ts</t>
  </si>
  <si>
    <t xml:space="preserve">Help centre</t>
  </si>
  <si>
    <t xml:space="preserve">src/support.ts</t>
  </si>
  <si>
    <t xml:space="preserve">tests/s10.test.ts</t>
  </si>
  <si>
    <t xml:space="preserve">PASS (2026-09-13 10:43)</t>
  </si>
  <si>
    <t xml:space="preserve">Support desk</t>
  </si>
  <si>
    <t xml:space="preserve">Demo video + interactive sandbox/demo data mode</t>
  </si>
  <si>
    <t xml:space="preserve">Demo mode</t>
  </si>
  <si>
    <t xml:space="preserve">src/launchReadiness.ts</t>
  </si>
  <si>
    <t xml:space="preserve">CODE HALF ONLY — video capture pending</t>
  </si>
  <si>
    <t xml:space="preserve">Incident comms</t>
  </si>
  <si>
    <t xml:space="preserve">src/publicPages.ts</t>
  </si>
  <si>
    <t xml:space="preserve">Public pages</t>
  </si>
  <si>
    <t xml:space="preserve">PASS + drift gate (2026-09-13 10:43)</t>
  </si>
  <si>
    <t xml:space="preserve">Security/trust page live</t>
  </si>
  <si>
    <t xml:space="preserve">PASS + two-way drift gate (2026-09-13 10:43)</t>
  </si>
  <si>
    <t xml:space="preserve">Dry run</t>
  </si>
  <si>
    <t xml:space="preserve">ENGINE PASS — external reviewer outstanding</t>
  </si>
  <si>
    <t xml:space="preserve">In-app review ask after aha-moment</t>
  </si>
  <si>
    <t xml:space="preserve">Review ask</t>
  </si>
  <si>
    <t xml:space="preserve">src/growth.ts</t>
  </si>
  <si>
    <t xml:space="preserve">tests/s11.test.ts</t>
  </si>
  <si>
    <t xml:space="preserve">PASS (2026-09-13 10:59)</t>
  </si>
  <si>
    <t xml:space="preserve">Runbook</t>
  </si>
  <si>
    <t xml:space="preserve">src/runbook.ts</t>
  </si>
  <si>
    <t xml:space="preserve">Listing SEO</t>
  </si>
  <si>
    <t xml:space="preserve">PASS — live half needs post-listing data</t>
  </si>
  <si>
    <t xml:space="preserve">Partner tracker</t>
  </si>
  <si>
    <t xml:space="preserve">PASS — outreach is Senthil</t>
  </si>
  <si>
    <t xml:space="preserve">Postgres adapters behind every store interface</t>
  </si>
  <si>
    <t xml:space="preserve">Persistence</t>
  </si>
  <si>
    <t xml:space="preserve">src/store/pg.ts; migrations/001-005</t>
  </si>
  <si>
    <t xml:space="preserve">tests/s13-pg.test.ts</t>
  </si>
  <si>
    <t xml:space="preserve">PASS — schema-checked, NOT server-tested</t>
  </si>
  <si>
    <t xml:space="preserve">SW-RK</t>
  </si>
  <si>
    <t xml:space="preserve">Scripted live verification sweep (8 automated + 5 operator steps)</t>
  </si>
  <si>
    <t xml:space="preserve">Sweep</t>
  </si>
  <si>
    <t xml:space="preserve">src/sweep.ts; bin/sweep.js</t>
  </si>
  <si>
    <t xml:space="preserve">tests/s13-sweep.test.ts</t>
  </si>
  <si>
    <t xml:space="preserve">PASS (2026-09-13 11:09)</t>
  </si>
  <si>
    <t xml:space="preserve">REVIEW FINDINGS — cold review pass 1 + external verification sweep, 13 Sep 2026</t>
  </si>
  <si>
    <t xml:space="preserve">Every FIXED row has a pinned regression test. Every OPEN row needs a Senthil disposition. Coverage was 100% throughout and caught none of these.</t>
  </si>
  <si>
    <t xml:space="preserve">Type</t>
  </si>
  <si>
    <t xml:space="preserve">Finding</t>
  </si>
  <si>
    <t xml:space="preserve">Status / Disposition</t>
  </si>
  <si>
    <t xml:space="preserve">F-RK01</t>
  </si>
  <si>
    <t xml:space="preserve">Defect</t>
  </si>
  <si>
    <t xml:space="preserve">winbackOps.ts, audienceSyncOps.ts</t>
  </si>
  <si>
    <t xml:space="preserve">Both CSV importers hardcoded optedOut:false, discarding any opt-out column in the source file.</t>
  </si>
  <si>
    <t xml:space="preserve">SEVERE. The importer exists so merchants migrate off a competitor — the file it reads is exactly the file carrying the unsubscribes. Every one was reset to subscribed, and the first win-back run would have mailed them. Marketing-consent breach and a failure of Shopify’s requirement to apply opt-out decisions.</t>
  </si>
  <si>
    <t xml:space="preserve">FIXED — new src/consent.ts. An import must carry an opted_out column or a recorded merchant attestation; consent is never inferred. Provenance stored with every import.</t>
  </si>
  <si>
    <t xml:space="preserve">F-RK02</t>
  </si>
  <si>
    <t xml:space="preserve">billingOps.ts</t>
  </si>
  <si>
    <t xml:space="preserve">Dunning computed mode="read_only" after the grace window and nothing in the app ever consulted it.</t>
  </si>
  <si>
    <t xml:space="preserve">A shop whose payment failed kept full write access indefinitely. The state was real; the enforcement was not.</t>
  </si>
  <si>
    <t xml:space="preserve">FIXED — src/entitlement.ts + AuditedGate wiring. Writes blocked, reads never blocked, billing stays reachable, refusal reason audit-logged.</t>
  </si>
  <si>
    <t xml:space="preserve">F-RK03</t>
  </si>
  <si>
    <t xml:space="preserve">billing.ts</t>
  </si>
  <si>
    <t xml:space="preserve">TrialStatus.expired fed a banner and nothing else.</t>
  </si>
  <si>
    <t xml:space="preserve">A merchant could let the 14-day trial lapse and keep sending forever. Same class as VoiceBridge F-V03.</t>
  </si>
  <si>
    <t xml:space="preserve">FIXED — resolved through the same entitlement gate.</t>
  </si>
  <si>
    <t xml:space="preserve">F-RK04</t>
  </si>
  <si>
    <t xml:space="preserve">Dunning sent three emails and flipped to read-only without ever re-attempting the charge.</t>
  </si>
  <si>
    <t xml:space="preserve">Most failed card payments succeed on retry. The app was emailing merchants about a problem it had the means to fix, then punishing them for it. Same class as VoiceBridge F-V02 / OnCall F-005.</t>
  </si>
  <si>
    <t xml:space="preserve">FIXED — PaymentRecovery port; a successful retry clears dunning and sends no email.</t>
  </si>
  <si>
    <t xml:space="preserve">F-RK05</t>
  </si>
  <si>
    <t xml:space="preserve">reviewEngine.ts, winback.ts</t>
  </si>
  <si>
    <t xml:space="preserve">Consent was checked at scheduling time only. Review requests sit for the configured delay (default 7 days) and win-back flows run for weeks.</t>
  </si>
  <si>
    <t xml:space="preserve">A customer who opted out inside that window still received the message. Scheduling-time eligibility is not consent at send time.</t>
  </si>
  <si>
    <t xml:space="preserve">FIXED — ConsentCheck re-read immediately before every send; review request suppressed, remaining win-back steps cancelled and the flow closed.</t>
  </si>
  <si>
    <t xml:space="preserve">F-RK06</t>
  </si>
  <si>
    <t xml:space="preserve">security.ts</t>
  </si>
  <si>
    <t xml:space="preserve">No Retry-After parser existed anywhere, while the backoff helper took milliseconds. Shopify sends Retry-After in seconds.</t>
  </si>
  <si>
    <t xml:space="preserve">The first caller wiring a real HTTP response would have passed 2 into a ms parameter and retried 1000x too fast into an already rate-limited endpoint. Same class as TestPulse F-TP08.</t>
  </si>
  <si>
    <t xml:space="preserve">FIXED — parseRetryAfterHeader() handles seconds, fractional seconds, absolute dates and junk; plus full jitter and a 60s cap (closes portfolio OBS-001 for this product).</t>
  </si>
  <si>
    <t xml:space="preserve">F-RK07</t>
  </si>
  <si>
    <t xml:space="preserve">(absent)</t>
  </si>
  <si>
    <t xml:space="preserve">No single inventory of stored data existed, so deletion paths each carried their own list of stores.</t>
  </si>
  <si>
    <t xml:space="preserve">This is exactly how TestPulse F-TP01 and VoiceBridge F-V01/F-V08 breached published retention policies — one path swept less than another.</t>
  </si>
  <si>
    <t xml:space="preserve">FIXED — TenantDataRegistry with a completeness gate; a new module that skips its deletion adapter fails the suite.</t>
  </si>
  <si>
    <t xml:space="preserve">F-RK08</t>
  </si>
  <si>
    <t xml:space="preserve">Self-serve deletion was irreversible with no confirmation step.</t>
  </si>
  <si>
    <t xml:space="preserve">A misclick would have destroyed a merchant’s account data.</t>
  </si>
  <si>
    <t xml:space="preserve">FIXED — two-phase request/confirm with a 15-minute token TTL.</t>
  </si>
  <si>
    <t xml:space="preserve">F-RK09</t>
  </si>
  <si>
    <t xml:space="preserve">No backup/restore drill existed, so the backup story rested on an assumption.</t>
  </si>
  <si>
    <t xml:space="preserve">A backup never restored is not a backup. Divergence would have been discovered during an incident.</t>
  </si>
  <si>
    <t xml:space="preserve">FIXED — drill runs in code with sha256 integrity verification; divergence sets shipBlock.</t>
  </si>
  <si>
    <t xml:space="preserve">VER-RK01</t>
  </si>
  <si>
    <t xml:space="preserve">Verification</t>
  </si>
  <si>
    <t xml:space="preserve">(all)</t>
  </si>
  <si>
    <t xml:space="preserve">No Shopify API version pinned anywhere in src/.</t>
  </si>
  <si>
    <t xml:space="preserve">LIVE-BLOCKING. Shopify falls forward retired versions to the oldest supported one — behaviour changes underneath the app with no error.</t>
  </si>
  <si>
    <t xml:space="preserve">FIXED — 2026-07 pinned, drift check against the 12-month support window. 2026-10 lands 1 Oct 2026.</t>
  </si>
  <si>
    <t xml:space="preserve">VER-RK02</t>
  </si>
  <si>
    <t xml:space="preserve">No endpoint builder; REST Admin has been legacy since 1 Oct 2024.</t>
  </si>
  <si>
    <t xml:space="preserve">Building on REST would fail Built-for-Shopify and the LC-3 gate.</t>
  </si>
  <si>
    <t xml:space="preserve">FIXED — graphqlEndpoint() emits versioned GraphQL Admin URLs only.</t>
  </si>
  <si>
    <t xml:space="preserve">VER-RK03</t>
  </si>
  <si>
    <t xml:space="preserve">winback, reviewEngine</t>
  </si>
  <si>
    <t xml:space="preserve">Customer PII is redacted to null unless the app is approved for protected customer data. Every read assumed a string.</t>
  </si>
  <si>
    <t xml:space="preserve">LIVE-BLOCKING. Before approval, win-back and review sends would have produced nothing, silently.</t>
  </si>
  <si>
    <t xml:space="preserve">FIXED — resolveContact() reports redacted (not approved) separately from absent (no email), because the two need different operator action. displayName() degrades instead of rendering nulls.</t>
  </si>
  <si>
    <t xml:space="preserve">VER-RK04</t>
  </si>
  <si>
    <t xml:space="preserve">The three mandatory compliance webhooks (customers/data_request, customers/redact, shop/redact) did not exist.</t>
  </si>
  <si>
    <t xml:space="preserve">LIVE-BLOCKING. Automatic App Store review rejection. LC-4 had read "In progress" since v001 on the strength of an uninstall purge that is a different thing.</t>
  </si>
  <si>
    <t xml:space="preserve">FIXED — src/compliance.ts, declared in shopify.app.toml via compliance_topics, with a manifest drift gate.</t>
  </si>
  <si>
    <t xml:space="preserve">VER-RK05</t>
  </si>
  <si>
    <t xml:space="preserve">(config)</t>
  </si>
  <si>
    <t xml:space="preserve">Compliance topics cannot be registered via the GraphQL webhookSubscriptionCreate mutation; they must be declared in shopify.app.toml.</t>
  </si>
  <si>
    <t xml:space="preserve">Would have cost a live debugging session.</t>
  </si>
  <si>
    <t xml:space="preserve">RECORDED — in the manifest comment and VERIFICATION_SWEEP.md.</t>
  </si>
  <si>
    <t xml:space="preserve">VER-RK06</t>
  </si>
  <si>
    <t xml:space="preserve">compliance.ts</t>
  </si>
  <si>
    <t xml:space="preserve">shop/redact arrives 48h after uninstall; customers/redact can arrive up to six months after the request.</t>
  </si>
  <si>
    <t xml:space="preserve">The handler must tolerate a shop it no longer knows.</t>
  </si>
  <si>
    <t xml:space="preserve">VERIFIED CORRECT — handler is shop-agnostic; pinned by test.</t>
  </si>
  <si>
    <t xml:space="preserve">OBS-RK1</t>
  </si>
  <si>
    <t xml:space="preserve">Observation</t>
  </si>
  <si>
    <t xml:space="preserve">Circuit breaker allows unlimited half-open probes.</t>
  </si>
  <si>
    <t xml:space="preserve">Matches FlowCast OBS-002, VoiceBridge OBS-V2, MeetSync OBS-M1 — portfolio-wide.</t>
  </si>
  <si>
    <t xml:space="preserve">OPEN — Senthil disposition. Recommend one shared decision across all products rather than five.</t>
  </si>
  <si>
    <t xml:space="preserve">OBS-RK2</t>
  </si>
  <si>
    <t xml:space="preserve">(all stores)</t>
  </si>
  <si>
    <t xml:space="preserve">Persistence is still in-memory behind interfaces, so every cap, purge and entitlement decision is process-local.</t>
  </si>
  <si>
    <t xml:space="preserve">Matches MeetSync OBS-M3. Not a defect in the domain code; a deployment gap.</t>
  </si>
  <si>
    <t xml:space="preserve">OPEN — resolves at the Postgres adapter build (R-K4).</t>
  </si>
  <si>
    <t xml:space="preserve">OBS-RK3</t>
  </si>
  <si>
    <t xml:space="preserve">A data_request is answered by delivering the bundle to the store owner; the delivery channel is an injected port with no production adapter yet.</t>
  </si>
  <si>
    <t xml:space="preserve">Shopify requires the data to reach the store owner, not a specific mechanism.</t>
  </si>
  <si>
    <t xml:space="preserve">OPEN — Senthil to choose the channel (email to the shop owner vs in-app download) before live.</t>
  </si>
  <si>
    <t xml:space="preserve">Gap (CRITICAL)</t>
  </si>
  <si>
    <t xml:space="preserve">No HTTP application existed. shopify.app.toml declared application_url, /auth/callback, /webhooks/compliance, /webhooks/uninstalled and an app proxy; none of those routes existed. 25 modules at 100% coverage and nothing that could receive a request.</t>
  </si>
  <si>
    <t xml:space="preserve">Install fails on the day. Shopify could not have completed OAuth, delivered a webhook, or reached the proxy. This session created half the gap by writing the manifest at 10:23 without the routes behind it.</t>
  </si>
  <si>
    <t xml:space="preserve">FIXED — src/http/router.ts + app.ts + wiring.ts; 7 routes; npm start via bin/start.js. Router list is pinned against DECLARED_ROUTES.</t>
  </si>
  <si>
    <t xml:space="preserve">No database schema behind the backup/restore drill, the retention sweep, or the 12 TenantDataRegistry domains.</t>
  </si>
  <si>
    <t xml:space="preserve">The backup drill proved a round-trip through an in-memory map. Nothing described what would actually be backed up or deleted.</t>
  </si>
  <si>
    <t xml:space="preserve">FIXED — migrations/001-003 with every child table cascading from shops, so shop/redact deletes completely by construction rather than by remembering to list tables. compliance_requests deliberately outlives the shop row as proof of erasure.</t>
  </si>
  <si>
    <t xml:space="preserve">GAP-RK3</t>
  </si>
  <si>
    <t xml:space="preserve">Gap</t>
  </si>
  <si>
    <t xml:space="preserve">package.json</t>
  </si>
  <si>
    <t xml:space="preserve">No build and no start script; no tsconfig. The product could not be compiled or run.</t>
  </si>
  <si>
    <t xml:space="preserve">Nothing deployable existed.</t>
  </si>
  <si>
    <t xml:space="preserve">FIXED — tsconfig.json, npm run build, npm start, npm run migrate.</t>
  </si>
  <si>
    <t xml:space="preserve">GAP-RK4</t>
  </si>
  <si>
    <t xml:space="preserve">wiring</t>
  </si>
  <si>
    <t xml:space="preserve">The uninstall handler computed a deletion date and the only available scheduler was a no-op.</t>
  </si>
  <si>
    <t xml:space="preserve">The 30-day retention promise held in tests and nowhere else.</t>
  </si>
  <si>
    <t xml:space="preserve">FIXED — MemoryDeletionSchedule records the date and exposes what is due; pinned by test.</t>
  </si>
  <si>
    <t xml:space="preserve">GAP-RK5</t>
  </si>
  <si>
    <t xml:space="preserve">.github/workflows</t>
  </si>
  <si>
    <t xml:space="preserve">CI ran the test suite only — it never proved the application compiles or that the migration set parses.</t>
  </si>
  <si>
    <t xml:space="preserve">A type error in the HTTP layer would have reached deploy.</t>
  </si>
  <si>
    <t xml:space="preserve">FIXED — build and migrate:dry steps added before the smoke gate.</t>
  </si>
  <si>
    <t xml:space="preserve">GAP-RK6</t>
  </si>
  <si>
    <t xml:space="preserve">No setup path. Sibling products each ship a 30-minute guide; RetainKit had none.</t>
  </si>
  <si>
    <t xml:space="preserve">The dev-store install could not be handed over.</t>
  </si>
  <si>
    <t xml:space="preserve">FIXED — SETUP.md, executable end to end, with the two things the Shopify CLI cannot do called out.</t>
  </si>
  <si>
    <t xml:space="preserve">http/proxyAuth.ts</t>
  </si>
  <si>
    <t xml:space="preserve">The app proxy signature scheme differs from the OAuth callback HMAC: param `signature` not `hmac`, and sorted key=value pairs joined with NOTHING rather than "&amp;".</t>
  </si>
  <si>
    <t xml:space="preserve">Reusing verifyHmac for proxy requests would have returned 401 on every storefront request with no error to diagnose. Verified against shopify.dev, 13 Sep 2026.</t>
  </si>
  <si>
    <t xml:space="preserve">FIXED — separate verifyProxySignature + a test asserting the two digests differ over identical params. Replay window of 300s enforced on the proxy timestamp.</t>
  </si>
  <si>
    <t xml:space="preserve">F-RK10</t>
  </si>
  <si>
    <t xml:space="preserve">store/pg.ts + schema</t>
  </si>
  <si>
    <t xml:space="preserve">customer_consent had no email column, and no other table stored one. Shopify’s customers/redact and customers/data_request payloads can identify a customer by email alone — a shape the handler has always accepted.</t>
  </si>
  <si>
    <t xml:space="preserve">An email-only privacy request would have matched zero rows while the app recorded the request as completed. A reported erasure that erased nothing is worse than a failed one, because nobody goes looking.</t>
  </si>
  <si>
    <t xml:space="preserve">FIXED — migration 005 adds customer_consent.email with an index; the adapter matches on either identifier. Pinned by two regressions. Found only because a coverage gap made an unreachable branch visible.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</si>
</sst>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4" t="s">
        <v>14</v>
      </c>
      <c r="B6" s="4" t="s">
        <v>15</v>
      </c>
      <c r="C6" s="4" t="s">
        <v>8</v>
      </c>
      <c r="D6" s="4" t="s">
        <v>16</v>
      </c>
      <c r="E6" s="4" t="s">
        <v>10</v>
      </c>
    </row>
    <row r="7" customFormat="false" ht="23.25" hidden="false" customHeight="true" outlineLevel="0" collapsed="false">
      <c r="A7" s="4" t="s">
        <v>17</v>
      </c>
      <c r="B7" s="4" t="s">
        <v>18</v>
      </c>
      <c r="C7" s="4" t="s">
        <v>8</v>
      </c>
      <c r="D7" s="4" t="s">
        <v>19</v>
      </c>
      <c r="E7" s="4" t="s">
        <v>10</v>
      </c>
    </row>
    <row r="8" customFormat="false" ht="23.25" hidden="false" customHeight="true" outlineLevel="0" collapsed="false">
      <c r="A8" s="4" t="s">
        <v>20</v>
      </c>
      <c r="B8" s="4" t="s">
        <v>21</v>
      </c>
      <c r="C8" s="4" t="s">
        <v>8</v>
      </c>
      <c r="D8" s="4" t="s">
        <v>22</v>
      </c>
      <c r="E8" s="4" t="s">
        <v>10</v>
      </c>
    </row>
    <row r="9" customFormat="false" ht="23.25" hidden="false" customHeight="true" outlineLevel="0" collapsed="false">
      <c r="A9" s="4" t="s">
        <v>23</v>
      </c>
      <c r="B9" s="4" t="s">
        <v>24</v>
      </c>
      <c r="C9" s="4" t="s">
        <v>8</v>
      </c>
      <c r="D9" s="4" t="s">
        <v>25</v>
      </c>
      <c r="E9" s="4" t="s">
        <v>10</v>
      </c>
    </row>
    <row r="10" customFormat="false" ht="15" hidden="false" customHeight="true" outlineLevel="0" collapsed="false">
      <c r="A10" s="4" t="s">
        <v>26</v>
      </c>
      <c r="B10" s="4" t="s">
        <v>27</v>
      </c>
      <c r="C10" s="4" t="s">
        <v>8</v>
      </c>
      <c r="D10" s="4" t="s">
        <v>28</v>
      </c>
      <c r="E10" s="4" t="s">
        <v>10</v>
      </c>
    </row>
    <row r="11" customFormat="false" ht="15" hidden="false" customHeight="true" outlineLevel="0" collapsed="false">
      <c r="A11" s="4" t="s">
        <v>29</v>
      </c>
      <c r="B11" s="4" t="s">
        <v>30</v>
      </c>
      <c r="C11" s="4" t="s">
        <v>8</v>
      </c>
      <c r="D11" s="4" t="s">
        <v>31</v>
      </c>
      <c r="E11" s="4" t="s">
        <v>10</v>
      </c>
    </row>
    <row r="12" customFormat="false" ht="23.25" hidden="false" customHeight="true" outlineLevel="0" collapsed="false">
      <c r="A12" s="4" t="s">
        <v>32</v>
      </c>
      <c r="B12" s="4" t="s">
        <v>33</v>
      </c>
      <c r="C12" s="4" t="s">
        <v>8</v>
      </c>
      <c r="D12" s="4" t="s">
        <v>34</v>
      </c>
      <c r="E12" s="4" t="s">
        <v>10</v>
      </c>
    </row>
    <row r="13" customFormat="false" ht="23.25" hidden="false" customHeight="true" outlineLevel="0" collapsed="false">
      <c r="A13" s="4" t="s">
        <v>35</v>
      </c>
      <c r="B13" s="4" t="s">
        <v>36</v>
      </c>
      <c r="C13" s="4" t="s">
        <v>8</v>
      </c>
      <c r="D13" s="4" t="s">
        <v>37</v>
      </c>
      <c r="E13" s="4" t="s">
        <v>10</v>
      </c>
    </row>
    <row r="14" customFormat="false" ht="23.25" hidden="false" customHeight="true" outlineLevel="0" collapsed="false">
      <c r="A14" s="4" t="s">
        <v>38</v>
      </c>
      <c r="B14" s="4"/>
      <c r="C14" s="4"/>
      <c r="D14" s="4" t="s">
        <v>39</v>
      </c>
      <c r="E14" s="4" t="s">
        <v>40</v>
      </c>
    </row>
    <row r="15" customFormat="false" ht="124.5" hidden="false" customHeight="true" outlineLevel="0" collapsed="false">
      <c r="A15" s="5" t="s">
        <v>38</v>
      </c>
      <c r="B15" s="5" t="s">
        <v>41</v>
      </c>
      <c r="C15" s="5" t="s">
        <v>8</v>
      </c>
      <c r="D15" s="5" t="s">
        <v>42</v>
      </c>
      <c r="E15" s="5" t="s">
        <v>10</v>
      </c>
    </row>
    <row r="16" customFormat="false" ht="90.75" hidden="false" customHeight="true" outlineLevel="0" collapsed="false">
      <c r="A16" s="5" t="s">
        <v>43</v>
      </c>
      <c r="B16" s="5" t="s">
        <v>44</v>
      </c>
      <c r="C16" s="5" t="s">
        <v>8</v>
      </c>
      <c r="D16" s="5" t="s">
        <v>45</v>
      </c>
      <c r="E16" s="5" t="s">
        <v>10</v>
      </c>
    </row>
    <row r="17" customFormat="false" ht="157.5" hidden="false" customHeight="true" outlineLevel="0" collapsed="false">
      <c r="A17" s="5" t="s">
        <v>46</v>
      </c>
      <c r="B17" s="5" t="s">
        <v>47</v>
      </c>
      <c r="C17" s="5" t="s">
        <v>8</v>
      </c>
      <c r="D17" s="5" t="s">
        <v>48</v>
      </c>
      <c r="E17" s="5" t="s">
        <v>10</v>
      </c>
    </row>
    <row r="18" customFormat="false" ht="180" hidden="false" customHeight="true" outlineLevel="0" collapsed="false">
      <c r="A18" s="5" t="s">
        <v>49</v>
      </c>
      <c r="B18" s="5" t="s">
        <v>50</v>
      </c>
      <c r="C18" s="5" t="s">
        <v>8</v>
      </c>
      <c r="D18" s="5" t="s">
        <v>51</v>
      </c>
      <c r="E18" s="5" t="s">
        <v>10</v>
      </c>
    </row>
    <row r="19" customFormat="false" ht="236.25" hidden="false" customHeight="true" outlineLevel="0" collapsed="false">
      <c r="A19" s="5" t="s">
        <v>52</v>
      </c>
      <c r="B19" s="5" t="s">
        <v>53</v>
      </c>
      <c r="C19" s="5" t="s">
        <v>8</v>
      </c>
      <c r="D19" s="5" t="s">
        <v>54</v>
      </c>
      <c r="E19" s="5" t="s">
        <v>10</v>
      </c>
    </row>
    <row r="20" customFormat="false" ht="169.4" hidden="false" customHeight="false" outlineLevel="0" collapsed="false">
      <c r="A20" s="5" t="s">
        <v>55</v>
      </c>
      <c r="B20" s="5" t="s">
        <v>56</v>
      </c>
      <c r="C20" s="5" t="s">
        <v>8</v>
      </c>
      <c r="D20" s="5" t="s">
        <v>57</v>
      </c>
      <c r="E20" s="5"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58</v>
      </c>
    </row>
    <row r="3" customFormat="false" ht="27.75" hidden="false" customHeight="true" outlineLevel="0" collapsed="false">
      <c r="A3" s="5" t="s">
        <v>59</v>
      </c>
    </row>
    <row r="4" customFormat="false" ht="27.75" hidden="false" customHeight="true" outlineLevel="0" collapsed="false">
      <c r="A4" s="5" t="s">
        <v>60</v>
      </c>
    </row>
    <row r="5" customFormat="false" ht="27.75" hidden="false" customHeight="true" outlineLevel="0" collapsed="false">
      <c r="A5" s="5" t="s">
        <v>61</v>
      </c>
    </row>
    <row r="6" customFormat="false" ht="27.75" hidden="false" customHeight="true" outlineLevel="0" collapsed="false">
      <c r="A6" s="5" t="s">
        <v>62</v>
      </c>
    </row>
    <row r="7" customFormat="false" ht="27.75" hidden="false" customHeight="true" outlineLevel="0" collapsed="false">
      <c r="A7" s="5"/>
    </row>
    <row r="8" customFormat="false" ht="55.5" hidden="false" customHeight="true" outlineLevel="0" collapsed="false">
      <c r="A8" s="5" t="s">
        <v>63</v>
      </c>
    </row>
    <row r="9" customFormat="false" ht="27.75" hidden="false" customHeight="true" outlineLevel="0" collapsed="false">
      <c r="A9" s="5"/>
    </row>
    <row r="10" customFormat="false" ht="27.75" hidden="false" customHeight="true" outlineLevel="0" collapsed="false">
      <c r="A10" s="5"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65</v>
      </c>
    </row>
    <row r="3" customFormat="false" ht="15" hidden="false" customHeight="true" outlineLevel="0" collapsed="false">
      <c r="A3" s="3" t="s">
        <v>66</v>
      </c>
      <c r="B3" s="3" t="s">
        <v>67</v>
      </c>
      <c r="C3" s="3" t="s">
        <v>68</v>
      </c>
      <c r="D3" s="3" t="s">
        <v>69</v>
      </c>
    </row>
    <row r="4" customFormat="false" ht="30" hidden="false" customHeight="true" outlineLevel="0" collapsed="false">
      <c r="A4" s="4" t="s">
        <v>70</v>
      </c>
      <c r="B4" s="4" t="s">
        <v>71</v>
      </c>
      <c r="C4" s="4" t="s">
        <v>72</v>
      </c>
      <c r="D4" s="4" t="s">
        <v>73</v>
      </c>
    </row>
    <row r="5" customFormat="false" ht="30" hidden="false" customHeight="true" outlineLevel="0" collapsed="false">
      <c r="A5" s="4" t="s">
        <v>74</v>
      </c>
      <c r="B5" s="4" t="s">
        <v>75</v>
      </c>
      <c r="C5" s="4" t="s">
        <v>72</v>
      </c>
      <c r="D5" s="4" t="s">
        <v>76</v>
      </c>
    </row>
    <row r="6" customFormat="false" ht="30" hidden="false" customHeight="true" outlineLevel="0" collapsed="false">
      <c r="A6" s="4" t="s">
        <v>77</v>
      </c>
      <c r="B6" s="4" t="s">
        <v>78</v>
      </c>
      <c r="C6" s="4" t="s">
        <v>72</v>
      </c>
      <c r="D6" s="4" t="s">
        <v>79</v>
      </c>
    </row>
    <row r="7" customFormat="false" ht="30" hidden="false" customHeight="true" outlineLevel="0" collapsed="false">
      <c r="A7" s="4" t="s">
        <v>80</v>
      </c>
      <c r="B7" s="4" t="s">
        <v>81</v>
      </c>
      <c r="C7" s="4" t="s">
        <v>72</v>
      </c>
      <c r="D7" s="4" t="s">
        <v>82</v>
      </c>
    </row>
    <row r="8" customFormat="false" ht="30" hidden="false" customHeight="true" outlineLevel="0" collapsed="false">
      <c r="A8" s="4" t="s">
        <v>83</v>
      </c>
      <c r="B8" s="4" t="s">
        <v>84</v>
      </c>
      <c r="C8" s="4" t="s">
        <v>72</v>
      </c>
      <c r="D8" s="4" t="s">
        <v>85</v>
      </c>
    </row>
    <row r="9" customFormat="false" ht="15" hidden="false" customHeight="true" outlineLevel="0" collapsed="false">
      <c r="A9" s="5"/>
      <c r="B9" s="5"/>
      <c r="C9" s="5"/>
      <c r="D9" s="5"/>
    </row>
    <row r="10" customFormat="false" ht="15" hidden="false" customHeight="true" outlineLevel="0" collapsed="false">
      <c r="A10" s="3" t="s">
        <v>86</v>
      </c>
      <c r="B10" s="3" t="s">
        <v>87</v>
      </c>
      <c r="C10" s="3"/>
      <c r="D10" s="3"/>
    </row>
    <row r="11" customFormat="false" ht="25.5" hidden="false" customHeight="true" outlineLevel="0" collapsed="false">
      <c r="A11" s="4" t="s">
        <v>88</v>
      </c>
      <c r="B11" s="4" t="s">
        <v>89</v>
      </c>
      <c r="C11" s="4"/>
      <c r="D11" s="4"/>
    </row>
    <row r="12" customFormat="false" ht="25.5" hidden="false" customHeight="true" outlineLevel="0" collapsed="false">
      <c r="A12" s="4" t="s">
        <v>90</v>
      </c>
      <c r="B12" s="4" t="s">
        <v>91</v>
      </c>
      <c r="C12" s="4"/>
      <c r="D12" s="4"/>
    </row>
    <row r="13" customFormat="false" ht="25.5" hidden="false" customHeight="true" outlineLevel="0" collapsed="false">
      <c r="A13" s="4" t="s">
        <v>92</v>
      </c>
      <c r="B13" s="4" t="s">
        <v>93</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94</v>
      </c>
    </row>
    <row r="3" customFormat="false" ht="15" hidden="false" customHeight="true" outlineLevel="0" collapsed="false">
      <c r="A3" s="3" t="s">
        <v>95</v>
      </c>
      <c r="B3" s="3" t="s">
        <v>96</v>
      </c>
      <c r="C3" s="3" t="s">
        <v>97</v>
      </c>
      <c r="D3" s="3" t="s">
        <v>98</v>
      </c>
      <c r="E3" s="3" t="s">
        <v>99</v>
      </c>
    </row>
    <row r="4" customFormat="false" ht="25.5" hidden="false" customHeight="true" outlineLevel="0" collapsed="false">
      <c r="A4" s="4" t="n">
        <v>1</v>
      </c>
      <c r="B4" s="4" t="s">
        <v>100</v>
      </c>
      <c r="C4" s="4" t="s">
        <v>101</v>
      </c>
      <c r="D4" s="4" t="s">
        <v>102</v>
      </c>
      <c r="E4" s="6"/>
    </row>
    <row r="5" customFormat="false" ht="25.5" hidden="false" customHeight="true" outlineLevel="0" collapsed="false">
      <c r="A5" s="4" t="n">
        <v>2</v>
      </c>
      <c r="B5" s="4" t="s">
        <v>103</v>
      </c>
      <c r="C5" s="4" t="s">
        <v>104</v>
      </c>
      <c r="D5" s="4" t="s">
        <v>105</v>
      </c>
      <c r="E5" s="6"/>
    </row>
    <row r="6" customFormat="false" ht="25.5" hidden="false" customHeight="true" outlineLevel="0" collapsed="false">
      <c r="A6" s="4" t="n">
        <v>3</v>
      </c>
      <c r="B6" s="4" t="s">
        <v>106</v>
      </c>
      <c r="C6" s="4" t="s">
        <v>107</v>
      </c>
      <c r="D6" s="4" t="s">
        <v>108</v>
      </c>
      <c r="E6" s="6"/>
    </row>
    <row r="7" customFormat="false" ht="25.5" hidden="false" customHeight="true" outlineLevel="0" collapsed="false">
      <c r="A7" s="4" t="n">
        <v>4</v>
      </c>
      <c r="B7" s="4" t="s">
        <v>109</v>
      </c>
      <c r="C7" s="4" t="s">
        <v>110</v>
      </c>
      <c r="D7" s="4" t="s">
        <v>111</v>
      </c>
      <c r="E7" s="6"/>
    </row>
    <row r="8" customFormat="false" ht="25.5" hidden="false" customHeight="true" outlineLevel="0" collapsed="false">
      <c r="A8" s="4" t="n">
        <v>5</v>
      </c>
      <c r="B8" s="4" t="s">
        <v>112</v>
      </c>
      <c r="C8" s="4" t="s">
        <v>113</v>
      </c>
      <c r="D8" s="4" t="s">
        <v>114</v>
      </c>
      <c r="E8" s="6"/>
    </row>
    <row r="9" customFormat="false" ht="25.5" hidden="false" customHeight="true" outlineLevel="0" collapsed="false">
      <c r="A9" s="4" t="n">
        <v>6</v>
      </c>
      <c r="B9" s="4" t="s">
        <v>115</v>
      </c>
      <c r="C9" s="4" t="s">
        <v>116</v>
      </c>
      <c r="D9" s="4" t="s">
        <v>117</v>
      </c>
      <c r="E9" s="6"/>
    </row>
    <row r="10" customFormat="false" ht="25.5" hidden="false" customHeight="true" outlineLevel="0" collapsed="false">
      <c r="A10" s="4" t="n">
        <v>7</v>
      </c>
      <c r="B10" s="4" t="s">
        <v>118</v>
      </c>
      <c r="C10" s="4" t="s">
        <v>119</v>
      </c>
      <c r="D10" s="4" t="s">
        <v>120</v>
      </c>
      <c r="E10" s="6"/>
    </row>
    <row r="11" customFormat="false" ht="25.5" hidden="false" customHeight="true" outlineLevel="0" collapsed="false">
      <c r="A11" s="4" t="n">
        <v>8</v>
      </c>
      <c r="B11" s="4" t="s">
        <v>121</v>
      </c>
      <c r="C11" s="4" t="s">
        <v>122</v>
      </c>
      <c r="D11" s="4" t="s">
        <v>123</v>
      </c>
      <c r="E11" s="6"/>
    </row>
    <row r="12" customFormat="false" ht="25.5" hidden="false" customHeight="true" outlineLevel="0" collapsed="false">
      <c r="A12" s="4" t="n">
        <v>9</v>
      </c>
      <c r="B12" s="4" t="s">
        <v>124</v>
      </c>
      <c r="C12" s="4" t="s">
        <v>125</v>
      </c>
      <c r="D12" s="4" t="s">
        <v>126</v>
      </c>
      <c r="E1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127</v>
      </c>
    </row>
    <row r="3" customFormat="false" ht="15" hidden="false" customHeight="true" outlineLevel="0" collapsed="false">
      <c r="A3" s="3" t="s">
        <v>128</v>
      </c>
      <c r="B3" s="3" t="s">
        <v>129</v>
      </c>
      <c r="C3" s="3" t="s">
        <v>130</v>
      </c>
      <c r="D3" s="3" t="s">
        <v>131</v>
      </c>
      <c r="E3" s="3" t="s">
        <v>132</v>
      </c>
      <c r="F3" s="3" t="s">
        <v>133</v>
      </c>
      <c r="G3" s="3" t="s">
        <v>5</v>
      </c>
    </row>
    <row r="4" customFormat="false" ht="25.5" hidden="false" customHeight="true" outlineLevel="0" collapsed="false">
      <c r="A4" s="4" t="s">
        <v>134</v>
      </c>
      <c r="B4" s="4" t="s">
        <v>135</v>
      </c>
      <c r="C4" s="4" t="s">
        <v>136</v>
      </c>
      <c r="D4" s="4" t="n">
        <v>5</v>
      </c>
      <c r="E4" s="4" t="s">
        <v>137</v>
      </c>
      <c r="F4" s="4" t="s">
        <v>138</v>
      </c>
      <c r="G4" s="4" t="s">
        <v>139</v>
      </c>
    </row>
    <row r="5" customFormat="false" ht="25.5" hidden="false" customHeight="true" outlineLevel="0" collapsed="false">
      <c r="A5" s="4" t="s">
        <v>140</v>
      </c>
      <c r="B5" s="4" t="s">
        <v>135</v>
      </c>
      <c r="C5" s="4" t="s">
        <v>141</v>
      </c>
      <c r="D5" s="4" t="n">
        <v>8</v>
      </c>
      <c r="E5" s="4" t="s">
        <v>137</v>
      </c>
      <c r="F5" s="4" t="s">
        <v>138</v>
      </c>
      <c r="G5" s="4" t="s">
        <v>139</v>
      </c>
    </row>
    <row r="6" customFormat="false" ht="25.5" hidden="false" customHeight="true" outlineLevel="0" collapsed="false">
      <c r="A6" s="4" t="s">
        <v>142</v>
      </c>
      <c r="B6" s="4" t="s">
        <v>135</v>
      </c>
      <c r="C6" s="4" t="s">
        <v>143</v>
      </c>
      <c r="D6" s="4" t="n">
        <v>5</v>
      </c>
      <c r="E6" s="4" t="s">
        <v>144</v>
      </c>
      <c r="F6" s="4" t="s">
        <v>138</v>
      </c>
      <c r="G6" s="4" t="s">
        <v>139</v>
      </c>
    </row>
    <row r="7" customFormat="false" ht="25.5" hidden="false" customHeight="true" outlineLevel="0" collapsed="false">
      <c r="A7" s="4" t="s">
        <v>145</v>
      </c>
      <c r="B7" s="4" t="s">
        <v>135</v>
      </c>
      <c r="C7" s="4" t="s">
        <v>146</v>
      </c>
      <c r="D7" s="4" t="n">
        <v>3</v>
      </c>
      <c r="E7" s="4" t="s">
        <v>137</v>
      </c>
      <c r="F7" s="4" t="s">
        <v>138</v>
      </c>
      <c r="G7" s="4" t="s">
        <v>139</v>
      </c>
    </row>
    <row r="8" customFormat="false" ht="25.5" hidden="false" customHeight="true" outlineLevel="0" collapsed="false">
      <c r="A8" s="4" t="s">
        <v>147</v>
      </c>
      <c r="B8" s="4" t="s">
        <v>135</v>
      </c>
      <c r="C8" s="4" t="s">
        <v>148</v>
      </c>
      <c r="D8" s="4" t="n">
        <v>5</v>
      </c>
      <c r="E8" s="4" t="s">
        <v>137</v>
      </c>
      <c r="F8" s="4" t="s">
        <v>149</v>
      </c>
      <c r="G8" s="4" t="s">
        <v>139</v>
      </c>
    </row>
    <row r="9" customFormat="false" ht="25.5" hidden="false" customHeight="true" outlineLevel="0" collapsed="false">
      <c r="A9" s="4" t="s">
        <v>150</v>
      </c>
      <c r="B9" s="4" t="s">
        <v>135</v>
      </c>
      <c r="C9" s="4" t="s">
        <v>151</v>
      </c>
      <c r="D9" s="4" t="n">
        <v>3</v>
      </c>
      <c r="E9" s="4" t="s">
        <v>144</v>
      </c>
      <c r="F9" s="4" t="s">
        <v>149</v>
      </c>
      <c r="G9" s="4" t="s">
        <v>139</v>
      </c>
    </row>
    <row r="10" customFormat="false" ht="25.5" hidden="false" customHeight="true" outlineLevel="0" collapsed="false">
      <c r="A10" s="4" t="s">
        <v>152</v>
      </c>
      <c r="B10" s="4" t="s">
        <v>135</v>
      </c>
      <c r="C10" s="4" t="s">
        <v>153</v>
      </c>
      <c r="D10" s="4" t="n">
        <v>3</v>
      </c>
      <c r="E10" s="4" t="s">
        <v>144</v>
      </c>
      <c r="F10" s="4" t="s">
        <v>149</v>
      </c>
      <c r="G10" s="4" t="s">
        <v>139</v>
      </c>
    </row>
    <row r="11" customFormat="false" ht="25.5" hidden="false" customHeight="true" outlineLevel="0" collapsed="false">
      <c r="A11" s="4" t="s">
        <v>154</v>
      </c>
      <c r="B11" s="4" t="s">
        <v>135</v>
      </c>
      <c r="C11" s="4" t="s">
        <v>155</v>
      </c>
      <c r="D11" s="4" t="n">
        <v>2</v>
      </c>
      <c r="E11" s="4" t="s">
        <v>156</v>
      </c>
      <c r="F11" s="4" t="s">
        <v>149</v>
      </c>
      <c r="G11" s="4" t="s">
        <v>139</v>
      </c>
    </row>
    <row r="12" customFormat="false" ht="25.5" hidden="false" customHeight="true" outlineLevel="0" collapsed="false">
      <c r="A12" s="4" t="s">
        <v>157</v>
      </c>
      <c r="B12" s="4" t="s">
        <v>135</v>
      </c>
      <c r="C12" s="4" t="s">
        <v>158</v>
      </c>
      <c r="D12" s="4" t="n">
        <v>5</v>
      </c>
      <c r="E12" s="4" t="s">
        <v>144</v>
      </c>
      <c r="F12" s="4" t="s">
        <v>149</v>
      </c>
      <c r="G12" s="4" t="s">
        <v>139</v>
      </c>
    </row>
    <row r="13" customFormat="false" ht="25.5" hidden="false" customHeight="true" outlineLevel="0" collapsed="false">
      <c r="A13" s="4" t="s">
        <v>159</v>
      </c>
      <c r="B13" s="4" t="s">
        <v>135</v>
      </c>
      <c r="C13" s="4" t="s">
        <v>160</v>
      </c>
      <c r="D13" s="4" t="n">
        <v>3</v>
      </c>
      <c r="E13" s="4" t="s">
        <v>156</v>
      </c>
      <c r="F13" s="4" t="s">
        <v>149</v>
      </c>
      <c r="G13" s="4" t="s">
        <v>139</v>
      </c>
    </row>
    <row r="14" customFormat="false" ht="25.5" hidden="false" customHeight="true" outlineLevel="0" collapsed="false">
      <c r="A14" s="4" t="s">
        <v>161</v>
      </c>
      <c r="B14" s="4" t="s">
        <v>162</v>
      </c>
      <c r="C14" s="4" t="s">
        <v>163</v>
      </c>
      <c r="D14" s="4" t="n">
        <v>5</v>
      </c>
      <c r="E14" s="4" t="s">
        <v>137</v>
      </c>
      <c r="F14" s="4" t="s">
        <v>149</v>
      </c>
      <c r="G14" s="4" t="s">
        <v>139</v>
      </c>
    </row>
    <row r="15" customFormat="false" ht="25.5" hidden="false" customHeight="true" outlineLevel="0" collapsed="false">
      <c r="A15" s="4" t="s">
        <v>164</v>
      </c>
      <c r="B15" s="4" t="s">
        <v>162</v>
      </c>
      <c r="C15" s="4" t="s">
        <v>165</v>
      </c>
      <c r="D15" s="4" t="n">
        <v>8</v>
      </c>
      <c r="E15" s="4" t="s">
        <v>137</v>
      </c>
      <c r="F15" s="4" t="s">
        <v>149</v>
      </c>
      <c r="G15" s="4" t="s">
        <v>139</v>
      </c>
    </row>
    <row r="16" customFormat="false" ht="25.5" hidden="false" customHeight="true" outlineLevel="0" collapsed="false">
      <c r="A16" s="4" t="s">
        <v>166</v>
      </c>
      <c r="B16" s="4" t="s">
        <v>162</v>
      </c>
      <c r="C16" s="4" t="s">
        <v>167</v>
      </c>
      <c r="D16" s="4" t="n">
        <v>5</v>
      </c>
      <c r="E16" s="4" t="s">
        <v>144</v>
      </c>
      <c r="F16" s="4" t="s">
        <v>149</v>
      </c>
      <c r="G16" s="4" t="s">
        <v>139</v>
      </c>
    </row>
    <row r="17" customFormat="false" ht="25.5" hidden="false" customHeight="true" outlineLevel="0" collapsed="false">
      <c r="A17" s="4" t="s">
        <v>168</v>
      </c>
      <c r="B17" s="4" t="s">
        <v>162</v>
      </c>
      <c r="C17" s="4" t="s">
        <v>169</v>
      </c>
      <c r="D17" s="4" t="n">
        <v>3</v>
      </c>
      <c r="E17" s="4" t="s">
        <v>137</v>
      </c>
      <c r="F17" s="4" t="s">
        <v>149</v>
      </c>
      <c r="G17" s="4" t="s">
        <v>139</v>
      </c>
    </row>
    <row r="18" customFormat="false" ht="25.5" hidden="false" customHeight="true" outlineLevel="0" collapsed="false">
      <c r="A18" s="4" t="s">
        <v>170</v>
      </c>
      <c r="B18" s="4" t="s">
        <v>162</v>
      </c>
      <c r="C18" s="4" t="s">
        <v>171</v>
      </c>
      <c r="D18" s="4" t="n">
        <v>5</v>
      </c>
      <c r="E18" s="4" t="s">
        <v>137</v>
      </c>
      <c r="F18" s="4" t="s">
        <v>172</v>
      </c>
      <c r="G18" s="4" t="s">
        <v>139</v>
      </c>
    </row>
    <row r="19" customFormat="false" ht="25.5" hidden="false" customHeight="true" outlineLevel="0" collapsed="false">
      <c r="A19" s="4" t="s">
        <v>173</v>
      </c>
      <c r="B19" s="4" t="s">
        <v>162</v>
      </c>
      <c r="C19" s="4" t="s">
        <v>174</v>
      </c>
      <c r="D19" s="4" t="n">
        <v>3</v>
      </c>
      <c r="E19" s="4" t="s">
        <v>144</v>
      </c>
      <c r="F19" s="4" t="s">
        <v>172</v>
      </c>
      <c r="G19" s="4" t="s">
        <v>139</v>
      </c>
    </row>
    <row r="20" customFormat="false" ht="25.5" hidden="false" customHeight="true" outlineLevel="0" collapsed="false">
      <c r="A20" s="4" t="s">
        <v>175</v>
      </c>
      <c r="B20" s="4" t="s">
        <v>162</v>
      </c>
      <c r="C20" s="4" t="s">
        <v>176</v>
      </c>
      <c r="D20" s="4" t="n">
        <v>3</v>
      </c>
      <c r="E20" s="4" t="s">
        <v>144</v>
      </c>
      <c r="F20" s="4" t="s">
        <v>172</v>
      </c>
      <c r="G20" s="4" t="s">
        <v>139</v>
      </c>
    </row>
    <row r="21" customFormat="false" ht="25.5" hidden="false" customHeight="true" outlineLevel="0" collapsed="false">
      <c r="A21" s="4" t="s">
        <v>177</v>
      </c>
      <c r="B21" s="4" t="s">
        <v>162</v>
      </c>
      <c r="C21" s="4" t="s">
        <v>178</v>
      </c>
      <c r="D21" s="4" t="n">
        <v>2</v>
      </c>
      <c r="E21" s="4" t="s">
        <v>156</v>
      </c>
      <c r="F21" s="4" t="s">
        <v>172</v>
      </c>
      <c r="G21" s="4" t="s">
        <v>139</v>
      </c>
    </row>
    <row r="22" customFormat="false" ht="25.5" hidden="false" customHeight="true" outlineLevel="0" collapsed="false">
      <c r="A22" s="4" t="s">
        <v>179</v>
      </c>
      <c r="B22" s="4" t="s">
        <v>162</v>
      </c>
      <c r="C22" s="4" t="s">
        <v>180</v>
      </c>
      <c r="D22" s="4" t="n">
        <v>5</v>
      </c>
      <c r="E22" s="4" t="s">
        <v>144</v>
      </c>
      <c r="F22" s="4" t="s">
        <v>172</v>
      </c>
      <c r="G22" s="4" t="s">
        <v>139</v>
      </c>
    </row>
    <row r="23" customFormat="false" ht="25.5" hidden="false" customHeight="true" outlineLevel="0" collapsed="false">
      <c r="A23" s="4" t="s">
        <v>181</v>
      </c>
      <c r="B23" s="4" t="s">
        <v>162</v>
      </c>
      <c r="C23" s="4" t="s">
        <v>182</v>
      </c>
      <c r="D23" s="4" t="n">
        <v>3</v>
      </c>
      <c r="E23" s="4" t="s">
        <v>156</v>
      </c>
      <c r="F23" s="4" t="s">
        <v>172</v>
      </c>
      <c r="G23" s="4" t="s">
        <v>139</v>
      </c>
    </row>
    <row r="24" customFormat="false" ht="25.5" hidden="false" customHeight="true" outlineLevel="0" collapsed="false">
      <c r="A24" s="4" t="s">
        <v>183</v>
      </c>
      <c r="B24" s="4" t="s">
        <v>184</v>
      </c>
      <c r="C24" s="4" t="s">
        <v>185</v>
      </c>
      <c r="D24" s="4" t="n">
        <v>5</v>
      </c>
      <c r="E24" s="4" t="s">
        <v>137</v>
      </c>
      <c r="F24" s="4" t="s">
        <v>186</v>
      </c>
      <c r="G24" s="4" t="s">
        <v>139</v>
      </c>
    </row>
    <row r="25" customFormat="false" ht="25.5" hidden="false" customHeight="true" outlineLevel="0" collapsed="false">
      <c r="A25" s="4" t="s">
        <v>187</v>
      </c>
      <c r="B25" s="4" t="s">
        <v>184</v>
      </c>
      <c r="C25" s="4" t="s">
        <v>188</v>
      </c>
      <c r="D25" s="4" t="n">
        <v>8</v>
      </c>
      <c r="E25" s="4" t="s">
        <v>137</v>
      </c>
      <c r="F25" s="4" t="s">
        <v>186</v>
      </c>
      <c r="G25" s="4" t="s">
        <v>139</v>
      </c>
    </row>
    <row r="26" customFormat="false" ht="25.5" hidden="false" customHeight="true" outlineLevel="0" collapsed="false">
      <c r="A26" s="4" t="s">
        <v>189</v>
      </c>
      <c r="B26" s="4" t="s">
        <v>184</v>
      </c>
      <c r="C26" s="4" t="s">
        <v>190</v>
      </c>
      <c r="D26" s="4" t="n">
        <v>5</v>
      </c>
      <c r="E26" s="4" t="s">
        <v>144</v>
      </c>
      <c r="F26" s="4" t="s">
        <v>186</v>
      </c>
      <c r="G26" s="4" t="s">
        <v>139</v>
      </c>
    </row>
    <row r="27" customFormat="false" ht="25.5" hidden="false" customHeight="true" outlineLevel="0" collapsed="false">
      <c r="A27" s="4" t="s">
        <v>191</v>
      </c>
      <c r="B27" s="4" t="s">
        <v>184</v>
      </c>
      <c r="C27" s="4" t="s">
        <v>192</v>
      </c>
      <c r="D27" s="4" t="n">
        <v>3</v>
      </c>
      <c r="E27" s="4" t="s">
        <v>137</v>
      </c>
      <c r="F27" s="4" t="s">
        <v>186</v>
      </c>
      <c r="G27" s="4" t="s">
        <v>139</v>
      </c>
    </row>
    <row r="28" customFormat="false" ht="25.5" hidden="false" customHeight="true" outlineLevel="0" collapsed="false">
      <c r="A28" s="4" t="s">
        <v>193</v>
      </c>
      <c r="B28" s="4" t="s">
        <v>184</v>
      </c>
      <c r="C28" s="4" t="s">
        <v>194</v>
      </c>
      <c r="D28" s="4" t="n">
        <v>5</v>
      </c>
      <c r="E28" s="4" t="s">
        <v>137</v>
      </c>
      <c r="F28" s="4" t="s">
        <v>186</v>
      </c>
      <c r="G28" s="4" t="s">
        <v>139</v>
      </c>
    </row>
    <row r="29" customFormat="false" ht="25.5" hidden="false" customHeight="true" outlineLevel="0" collapsed="false">
      <c r="A29" s="4" t="s">
        <v>195</v>
      </c>
      <c r="B29" s="4" t="s">
        <v>184</v>
      </c>
      <c r="C29" s="4" t="s">
        <v>196</v>
      </c>
      <c r="D29" s="4" t="n">
        <v>3</v>
      </c>
      <c r="E29" s="4" t="s">
        <v>144</v>
      </c>
      <c r="F29" s="4" t="s">
        <v>186</v>
      </c>
      <c r="G29" s="4" t="s">
        <v>139</v>
      </c>
    </row>
    <row r="30" customFormat="false" ht="25.5" hidden="false" customHeight="true" outlineLevel="0" collapsed="false">
      <c r="A30" s="4" t="s">
        <v>197</v>
      </c>
      <c r="B30" s="4" t="s">
        <v>184</v>
      </c>
      <c r="C30" s="4" t="s">
        <v>198</v>
      </c>
      <c r="D30" s="4" t="n">
        <v>3</v>
      </c>
      <c r="E30" s="4" t="s">
        <v>144</v>
      </c>
      <c r="F30" s="4" t="s">
        <v>186</v>
      </c>
      <c r="G30" s="4" t="s">
        <v>139</v>
      </c>
    </row>
    <row r="31" customFormat="false" ht="25.5" hidden="false" customHeight="true" outlineLevel="0" collapsed="false">
      <c r="A31" s="4" t="s">
        <v>199</v>
      </c>
      <c r="B31" s="4" t="s">
        <v>184</v>
      </c>
      <c r="C31" s="4" t="s">
        <v>200</v>
      </c>
      <c r="D31" s="4" t="n">
        <v>2</v>
      </c>
      <c r="E31" s="4" t="s">
        <v>156</v>
      </c>
      <c r="F31" s="4" t="s">
        <v>186</v>
      </c>
      <c r="G31" s="4" t="s">
        <v>139</v>
      </c>
    </row>
    <row r="32" customFormat="false" ht="25.5" hidden="false" customHeight="true" outlineLevel="0" collapsed="false">
      <c r="A32" s="4" t="s">
        <v>201</v>
      </c>
      <c r="B32" s="4" t="s">
        <v>184</v>
      </c>
      <c r="C32" s="4" t="s">
        <v>202</v>
      </c>
      <c r="D32" s="4" t="n">
        <v>5</v>
      </c>
      <c r="E32" s="4" t="s">
        <v>144</v>
      </c>
      <c r="F32" s="4" t="s">
        <v>186</v>
      </c>
      <c r="G32" s="4" t="s">
        <v>139</v>
      </c>
    </row>
    <row r="33" customFormat="false" ht="25.5" hidden="false" customHeight="true" outlineLevel="0" collapsed="false">
      <c r="A33" s="4" t="s">
        <v>203</v>
      </c>
      <c r="B33" s="4" t="s">
        <v>184</v>
      </c>
      <c r="C33" s="4" t="s">
        <v>204</v>
      </c>
      <c r="D33" s="4" t="n">
        <v>3</v>
      </c>
      <c r="E33" s="4" t="s">
        <v>156</v>
      </c>
      <c r="F33" s="4" t="s">
        <v>186</v>
      </c>
      <c r="G33" s="4" t="s">
        <v>139</v>
      </c>
    </row>
    <row r="34" customFormat="false" ht="25.5" hidden="false" customHeight="true" outlineLevel="0" collapsed="false">
      <c r="A34" s="4" t="s">
        <v>205</v>
      </c>
      <c r="B34" s="4" t="s">
        <v>206</v>
      </c>
      <c r="C34" s="4" t="s">
        <v>207</v>
      </c>
      <c r="D34" s="4" t="n">
        <v>5</v>
      </c>
      <c r="E34" s="4" t="s">
        <v>137</v>
      </c>
      <c r="F34" s="4" t="s">
        <v>208</v>
      </c>
      <c r="G34" s="4" t="s">
        <v>139</v>
      </c>
    </row>
    <row r="35" customFormat="false" ht="25.5" hidden="false" customHeight="true" outlineLevel="0" collapsed="false">
      <c r="A35" s="4" t="s">
        <v>209</v>
      </c>
      <c r="B35" s="4" t="s">
        <v>206</v>
      </c>
      <c r="C35" s="4" t="s">
        <v>210</v>
      </c>
      <c r="D35" s="4" t="n">
        <v>8</v>
      </c>
      <c r="E35" s="4" t="s">
        <v>137</v>
      </c>
      <c r="F35" s="4" t="s">
        <v>208</v>
      </c>
      <c r="G35" s="4" t="s">
        <v>139</v>
      </c>
    </row>
    <row r="36" customFormat="false" ht="25.5" hidden="false" customHeight="true" outlineLevel="0" collapsed="false">
      <c r="A36" s="4" t="s">
        <v>211</v>
      </c>
      <c r="B36" s="4" t="s">
        <v>206</v>
      </c>
      <c r="C36" s="4" t="s">
        <v>212</v>
      </c>
      <c r="D36" s="4" t="n">
        <v>5</v>
      </c>
      <c r="E36" s="4" t="s">
        <v>144</v>
      </c>
      <c r="F36" s="4" t="s">
        <v>208</v>
      </c>
      <c r="G36" s="4" t="s">
        <v>139</v>
      </c>
    </row>
    <row r="37" customFormat="false" ht="25.5" hidden="false" customHeight="true" outlineLevel="0" collapsed="false">
      <c r="A37" s="4" t="s">
        <v>213</v>
      </c>
      <c r="B37" s="4" t="s">
        <v>206</v>
      </c>
      <c r="C37" s="4" t="s">
        <v>214</v>
      </c>
      <c r="D37" s="4" t="n">
        <v>3</v>
      </c>
      <c r="E37" s="4" t="s">
        <v>137</v>
      </c>
      <c r="F37" s="4" t="s">
        <v>208</v>
      </c>
      <c r="G37" s="4" t="s">
        <v>139</v>
      </c>
    </row>
    <row r="38" customFormat="false" ht="25.5" hidden="false" customHeight="true" outlineLevel="0" collapsed="false">
      <c r="A38" s="4" t="s">
        <v>215</v>
      </c>
      <c r="B38" s="4" t="s">
        <v>206</v>
      </c>
      <c r="C38" s="4" t="s">
        <v>216</v>
      </c>
      <c r="D38" s="4" t="n">
        <v>5</v>
      </c>
      <c r="E38" s="4" t="s">
        <v>137</v>
      </c>
      <c r="F38" s="4" t="s">
        <v>208</v>
      </c>
      <c r="G38" s="4" t="s">
        <v>139</v>
      </c>
    </row>
    <row r="39" customFormat="false" ht="25.5" hidden="false" customHeight="true" outlineLevel="0" collapsed="false">
      <c r="A39" s="4" t="s">
        <v>217</v>
      </c>
      <c r="B39" s="4" t="s">
        <v>206</v>
      </c>
      <c r="C39" s="4" t="s">
        <v>218</v>
      </c>
      <c r="D39" s="4" t="n">
        <v>3</v>
      </c>
      <c r="E39" s="4" t="s">
        <v>144</v>
      </c>
      <c r="F39" s="4" t="s">
        <v>208</v>
      </c>
      <c r="G39" s="4" t="s">
        <v>139</v>
      </c>
    </row>
    <row r="40" customFormat="false" ht="25.5" hidden="false" customHeight="true" outlineLevel="0" collapsed="false">
      <c r="A40" s="4" t="s">
        <v>219</v>
      </c>
      <c r="B40" s="4" t="s">
        <v>206</v>
      </c>
      <c r="C40" s="4" t="s">
        <v>220</v>
      </c>
      <c r="D40" s="4" t="n">
        <v>3</v>
      </c>
      <c r="E40" s="4" t="s">
        <v>144</v>
      </c>
      <c r="F40" s="4" t="s">
        <v>208</v>
      </c>
      <c r="G40" s="4" t="s">
        <v>139</v>
      </c>
    </row>
    <row r="41" customFormat="false" ht="25.5" hidden="false" customHeight="true" outlineLevel="0" collapsed="false">
      <c r="A41" s="4" t="s">
        <v>221</v>
      </c>
      <c r="B41" s="4" t="s">
        <v>206</v>
      </c>
      <c r="C41" s="4" t="s">
        <v>222</v>
      </c>
      <c r="D41" s="4" t="n">
        <v>2</v>
      </c>
      <c r="E41" s="4" t="s">
        <v>156</v>
      </c>
      <c r="F41" s="4" t="s">
        <v>208</v>
      </c>
      <c r="G41" s="4" t="s">
        <v>139</v>
      </c>
    </row>
    <row r="42" customFormat="false" ht="25.5" hidden="false" customHeight="true" outlineLevel="0" collapsed="false">
      <c r="A42" s="4" t="s">
        <v>223</v>
      </c>
      <c r="B42" s="4" t="s">
        <v>206</v>
      </c>
      <c r="C42" s="4" t="s">
        <v>224</v>
      </c>
      <c r="D42" s="4" t="n">
        <v>5</v>
      </c>
      <c r="E42" s="4" t="s">
        <v>144</v>
      </c>
      <c r="F42" s="4" t="s">
        <v>208</v>
      </c>
      <c r="G42" s="4" t="s">
        <v>139</v>
      </c>
    </row>
    <row r="43" customFormat="false" ht="25.5" hidden="false" customHeight="true" outlineLevel="0" collapsed="false">
      <c r="A43" s="4" t="s">
        <v>225</v>
      </c>
      <c r="B43" s="4" t="s">
        <v>206</v>
      </c>
      <c r="C43" s="4" t="s">
        <v>226</v>
      </c>
      <c r="D43" s="4" t="n">
        <v>3</v>
      </c>
      <c r="E43" s="4" t="s">
        <v>156</v>
      </c>
      <c r="F43" s="4" t="s">
        <v>208</v>
      </c>
      <c r="G43" s="4" t="s">
        <v>139</v>
      </c>
    </row>
    <row r="44" customFormat="false" ht="25.5" hidden="false" customHeight="true" outlineLevel="0" collapsed="false">
      <c r="A44" s="4" t="s">
        <v>227</v>
      </c>
      <c r="B44" s="4" t="s">
        <v>228</v>
      </c>
      <c r="C44" s="4" t="s">
        <v>229</v>
      </c>
      <c r="D44" s="4" t="n">
        <v>5</v>
      </c>
      <c r="E44" s="4" t="s">
        <v>137</v>
      </c>
      <c r="F44" s="4" t="s">
        <v>230</v>
      </c>
      <c r="G44" s="4" t="s">
        <v>139</v>
      </c>
    </row>
    <row r="45" customFormat="false" ht="25.5" hidden="false" customHeight="true" outlineLevel="0" collapsed="false">
      <c r="A45" s="4" t="s">
        <v>231</v>
      </c>
      <c r="B45" s="4" t="s">
        <v>228</v>
      </c>
      <c r="C45" s="4" t="s">
        <v>232</v>
      </c>
      <c r="D45" s="4" t="n">
        <v>8</v>
      </c>
      <c r="E45" s="4" t="s">
        <v>137</v>
      </c>
      <c r="F45" s="4" t="s">
        <v>230</v>
      </c>
      <c r="G45" s="4" t="s">
        <v>139</v>
      </c>
    </row>
    <row r="46" customFormat="false" ht="25.5" hidden="false" customHeight="true" outlineLevel="0" collapsed="false">
      <c r="A46" s="4" t="s">
        <v>233</v>
      </c>
      <c r="B46" s="4" t="s">
        <v>228</v>
      </c>
      <c r="C46" s="4" t="s">
        <v>234</v>
      </c>
      <c r="D46" s="4" t="n">
        <v>5</v>
      </c>
      <c r="E46" s="4" t="s">
        <v>144</v>
      </c>
      <c r="F46" s="4" t="s">
        <v>230</v>
      </c>
      <c r="G46" s="4" t="s">
        <v>139</v>
      </c>
    </row>
    <row r="47" customFormat="false" ht="25.5" hidden="false" customHeight="true" outlineLevel="0" collapsed="false">
      <c r="A47" s="4" t="s">
        <v>235</v>
      </c>
      <c r="B47" s="4" t="s">
        <v>228</v>
      </c>
      <c r="C47" s="4" t="s">
        <v>236</v>
      </c>
      <c r="D47" s="4" t="n">
        <v>3</v>
      </c>
      <c r="E47" s="4" t="s">
        <v>137</v>
      </c>
      <c r="F47" s="4" t="s">
        <v>230</v>
      </c>
      <c r="G47" s="4" t="s">
        <v>139</v>
      </c>
    </row>
    <row r="48" customFormat="false" ht="25.5" hidden="false" customHeight="true" outlineLevel="0" collapsed="false">
      <c r="A48" s="4" t="s">
        <v>237</v>
      </c>
      <c r="B48" s="4" t="s">
        <v>228</v>
      </c>
      <c r="C48" s="4" t="s">
        <v>238</v>
      </c>
      <c r="D48" s="4" t="n">
        <v>5</v>
      </c>
      <c r="E48" s="4" t="s">
        <v>137</v>
      </c>
      <c r="F48" s="4" t="s">
        <v>230</v>
      </c>
      <c r="G48" s="4" t="s">
        <v>139</v>
      </c>
    </row>
    <row r="49" customFormat="false" ht="25.5" hidden="false" customHeight="true" outlineLevel="0" collapsed="false">
      <c r="A49" s="4" t="s">
        <v>239</v>
      </c>
      <c r="B49" s="4" t="s">
        <v>228</v>
      </c>
      <c r="C49" s="4" t="s">
        <v>240</v>
      </c>
      <c r="D49" s="4" t="n">
        <v>3</v>
      </c>
      <c r="E49" s="4" t="s">
        <v>144</v>
      </c>
      <c r="F49" s="4" t="s">
        <v>230</v>
      </c>
      <c r="G49" s="4" t="s">
        <v>139</v>
      </c>
    </row>
    <row r="50" customFormat="false" ht="25.5" hidden="false" customHeight="true" outlineLevel="0" collapsed="false">
      <c r="A50" s="4" t="s">
        <v>241</v>
      </c>
      <c r="B50" s="4" t="s">
        <v>228</v>
      </c>
      <c r="C50" s="4" t="s">
        <v>242</v>
      </c>
      <c r="D50" s="4" t="n">
        <v>3</v>
      </c>
      <c r="E50" s="4" t="s">
        <v>144</v>
      </c>
      <c r="F50" s="4" t="s">
        <v>230</v>
      </c>
      <c r="G50" s="4" t="s">
        <v>139</v>
      </c>
    </row>
    <row r="51" customFormat="false" ht="25.5" hidden="false" customHeight="true" outlineLevel="0" collapsed="false">
      <c r="A51" s="4" t="s">
        <v>243</v>
      </c>
      <c r="B51" s="4" t="s">
        <v>228</v>
      </c>
      <c r="C51" s="4" t="s">
        <v>244</v>
      </c>
      <c r="D51" s="4" t="n">
        <v>2</v>
      </c>
      <c r="E51" s="4" t="s">
        <v>156</v>
      </c>
      <c r="F51" s="4" t="s">
        <v>230</v>
      </c>
      <c r="G51" s="4" t="s">
        <v>139</v>
      </c>
    </row>
    <row r="52" customFormat="false" ht="25.5" hidden="false" customHeight="true" outlineLevel="0" collapsed="false">
      <c r="A52" s="4" t="s">
        <v>245</v>
      </c>
      <c r="B52" s="4" t="s">
        <v>228</v>
      </c>
      <c r="C52" s="4" t="s">
        <v>246</v>
      </c>
      <c r="D52" s="4" t="n">
        <v>5</v>
      </c>
      <c r="E52" s="4" t="s">
        <v>144</v>
      </c>
      <c r="F52" s="4" t="s">
        <v>230</v>
      </c>
      <c r="G52" s="4" t="s">
        <v>139</v>
      </c>
    </row>
    <row r="53" customFormat="false" ht="25.5" hidden="false" customHeight="true" outlineLevel="0" collapsed="false">
      <c r="A53" s="4" t="s">
        <v>247</v>
      </c>
      <c r="B53" s="4" t="s">
        <v>228</v>
      </c>
      <c r="C53" s="4" t="s">
        <v>248</v>
      </c>
      <c r="D53" s="4" t="n">
        <v>3</v>
      </c>
      <c r="E53" s="4" t="s">
        <v>156</v>
      </c>
      <c r="F53" s="4" t="s">
        <v>230</v>
      </c>
      <c r="G53" s="4" t="s">
        <v>139</v>
      </c>
    </row>
    <row r="54" customFormat="false" ht="25.5" hidden="false" customHeight="true" outlineLevel="0" collapsed="false">
      <c r="A54" s="4" t="s">
        <v>249</v>
      </c>
      <c r="B54" s="4" t="s">
        <v>250</v>
      </c>
      <c r="C54" s="4" t="s">
        <v>251</v>
      </c>
      <c r="D54" s="4" t="n">
        <v>5</v>
      </c>
      <c r="E54" s="4" t="s">
        <v>137</v>
      </c>
      <c r="F54" s="4" t="s">
        <v>252</v>
      </c>
      <c r="G54" s="4" t="s">
        <v>139</v>
      </c>
    </row>
    <row r="55" customFormat="false" ht="25.5" hidden="false" customHeight="true" outlineLevel="0" collapsed="false">
      <c r="A55" s="4" t="s">
        <v>253</v>
      </c>
      <c r="B55" s="4" t="s">
        <v>250</v>
      </c>
      <c r="C55" s="4" t="s">
        <v>254</v>
      </c>
      <c r="D55" s="4" t="n">
        <v>3</v>
      </c>
      <c r="E55" s="4" t="s">
        <v>137</v>
      </c>
      <c r="F55" s="4" t="s">
        <v>252</v>
      </c>
      <c r="G55" s="4" t="s">
        <v>139</v>
      </c>
    </row>
    <row r="56" customFormat="false" ht="25.5" hidden="false" customHeight="true" outlineLevel="0" collapsed="false">
      <c r="A56" s="4" t="s">
        <v>255</v>
      </c>
      <c r="B56" s="4" t="s">
        <v>250</v>
      </c>
      <c r="C56" s="4" t="s">
        <v>256</v>
      </c>
      <c r="D56" s="4" t="n">
        <v>3</v>
      </c>
      <c r="E56" s="4" t="s">
        <v>144</v>
      </c>
      <c r="F56" s="4" t="s">
        <v>138</v>
      </c>
      <c r="G56" s="4" t="s">
        <v>139</v>
      </c>
    </row>
    <row r="57" customFormat="false" ht="25.5" hidden="false" customHeight="true" outlineLevel="0" collapsed="false">
      <c r="A57" s="4" t="s">
        <v>257</v>
      </c>
      <c r="B57" s="4" t="s">
        <v>250</v>
      </c>
      <c r="C57" s="4" t="s">
        <v>258</v>
      </c>
      <c r="D57" s="4" t="n">
        <v>5</v>
      </c>
      <c r="E57" s="4" t="s">
        <v>137</v>
      </c>
      <c r="F57" s="4" t="s">
        <v>138</v>
      </c>
      <c r="G57" s="4" t="s">
        <v>139</v>
      </c>
    </row>
    <row r="58" customFormat="false" ht="25.5" hidden="false" customHeight="true" outlineLevel="0" collapsed="false">
      <c r="A58" s="4" t="s">
        <v>259</v>
      </c>
      <c r="B58" s="4" t="s">
        <v>250</v>
      </c>
      <c r="C58" s="4" t="s">
        <v>260</v>
      </c>
      <c r="D58" s="4" t="n">
        <v>3</v>
      </c>
      <c r="E58" s="4" t="s">
        <v>137</v>
      </c>
      <c r="F58" s="4" t="s">
        <v>252</v>
      </c>
      <c r="G58" s="4" t="s">
        <v>139</v>
      </c>
    </row>
    <row r="59" customFormat="false" ht="25.5" hidden="false" customHeight="true" outlineLevel="0" collapsed="false">
      <c r="A59" s="4" t="s">
        <v>261</v>
      </c>
      <c r="B59" s="4" t="s">
        <v>250</v>
      </c>
      <c r="C59" s="4" t="s">
        <v>262</v>
      </c>
      <c r="D59" s="4" t="n">
        <v>2</v>
      </c>
      <c r="E59" s="4" t="s">
        <v>144</v>
      </c>
      <c r="F59" s="4" t="s">
        <v>252</v>
      </c>
      <c r="G59" s="4" t="s">
        <v>139</v>
      </c>
    </row>
    <row r="60" customFormat="false" ht="25.5" hidden="false" customHeight="true" outlineLevel="0" collapsed="false">
      <c r="A60" s="4" t="s">
        <v>263</v>
      </c>
      <c r="B60" s="4" t="s">
        <v>264</v>
      </c>
      <c r="C60" s="4" t="s">
        <v>265</v>
      </c>
      <c r="D60" s="4" t="n">
        <v>5</v>
      </c>
      <c r="E60" s="4" t="s">
        <v>137</v>
      </c>
      <c r="F60" s="4" t="s">
        <v>208</v>
      </c>
      <c r="G60" s="4" t="s">
        <v>139</v>
      </c>
    </row>
    <row r="61" customFormat="false" ht="25.5" hidden="false" customHeight="true" outlineLevel="0" collapsed="false">
      <c r="A61" s="4" t="s">
        <v>266</v>
      </c>
      <c r="B61" s="4" t="s">
        <v>264</v>
      </c>
      <c r="C61" s="4" t="s">
        <v>267</v>
      </c>
      <c r="D61" s="4" t="n">
        <v>5</v>
      </c>
      <c r="E61" s="4" t="s">
        <v>137</v>
      </c>
      <c r="F61" s="4" t="s">
        <v>208</v>
      </c>
      <c r="G61" s="4" t="s">
        <v>139</v>
      </c>
    </row>
    <row r="62" customFormat="false" ht="25.5" hidden="false" customHeight="true" outlineLevel="0" collapsed="false">
      <c r="A62" s="4" t="s">
        <v>268</v>
      </c>
      <c r="B62" s="4" t="s">
        <v>264</v>
      </c>
      <c r="C62" s="4" t="s">
        <v>269</v>
      </c>
      <c r="D62" s="4" t="n">
        <v>8</v>
      </c>
      <c r="E62" s="4" t="s">
        <v>137</v>
      </c>
      <c r="F62" s="4" t="s">
        <v>208</v>
      </c>
      <c r="G62" s="4" t="s">
        <v>139</v>
      </c>
    </row>
    <row r="63" customFormat="false" ht="25.5" hidden="false" customHeight="true" outlineLevel="0" collapsed="false">
      <c r="A63" s="4" t="s">
        <v>270</v>
      </c>
      <c r="B63" s="4" t="s">
        <v>264</v>
      </c>
      <c r="C63" s="4" t="s">
        <v>271</v>
      </c>
      <c r="D63" s="4" t="n">
        <v>3</v>
      </c>
      <c r="E63" s="4" t="s">
        <v>144</v>
      </c>
      <c r="F63" s="4" t="s">
        <v>272</v>
      </c>
      <c r="G63" s="4" t="s">
        <v>139</v>
      </c>
    </row>
    <row r="64" customFormat="false" ht="25.5" hidden="false" customHeight="true" outlineLevel="0" collapsed="false">
      <c r="A64" s="4" t="s">
        <v>273</v>
      </c>
      <c r="B64" s="4" t="s">
        <v>264</v>
      </c>
      <c r="C64" s="4" t="s">
        <v>274</v>
      </c>
      <c r="D64" s="4" t="n">
        <v>3</v>
      </c>
      <c r="E64" s="4" t="s">
        <v>144</v>
      </c>
      <c r="F64" s="4" t="s">
        <v>272</v>
      </c>
      <c r="G64" s="4" t="s">
        <v>139</v>
      </c>
    </row>
    <row r="65" customFormat="false" ht="25.5" hidden="false" customHeight="true" outlineLevel="0" collapsed="false">
      <c r="A65" s="4" t="s">
        <v>275</v>
      </c>
      <c r="B65" s="4" t="s">
        <v>264</v>
      </c>
      <c r="C65" s="4" t="s">
        <v>276</v>
      </c>
      <c r="D65" s="4" t="n">
        <v>3</v>
      </c>
      <c r="E65" s="4" t="s">
        <v>156</v>
      </c>
      <c r="F65" s="4" t="s">
        <v>272</v>
      </c>
      <c r="G65" s="4" t="s">
        <v>139</v>
      </c>
    </row>
    <row r="66" customFormat="false" ht="25.5" hidden="false" customHeight="true" outlineLevel="0" collapsed="false">
      <c r="A66" s="4" t="s">
        <v>277</v>
      </c>
      <c r="B66" s="4" t="s">
        <v>264</v>
      </c>
      <c r="C66" s="4" t="s">
        <v>278</v>
      </c>
      <c r="D66" s="4" t="n">
        <v>3</v>
      </c>
      <c r="E66" s="4" t="s">
        <v>144</v>
      </c>
      <c r="F66" s="4" t="s">
        <v>272</v>
      </c>
      <c r="G66" s="4" t="s">
        <v>139</v>
      </c>
    </row>
    <row r="67" customFormat="false" ht="25.5" hidden="false" customHeight="true" outlineLevel="0" collapsed="false">
      <c r="A67" s="4" t="s">
        <v>279</v>
      </c>
      <c r="B67" s="4" t="s">
        <v>280</v>
      </c>
      <c r="C67" s="4" t="s">
        <v>281</v>
      </c>
      <c r="D67" s="4" t="n">
        <v>3</v>
      </c>
      <c r="E67" s="4" t="s">
        <v>137</v>
      </c>
      <c r="F67" s="4" t="s">
        <v>272</v>
      </c>
      <c r="G67" s="4" t="s">
        <v>139</v>
      </c>
    </row>
    <row r="68" customFormat="false" ht="25.5" hidden="false" customHeight="true" outlineLevel="0" collapsed="false">
      <c r="A68" s="4" t="s">
        <v>282</v>
      </c>
      <c r="B68" s="4" t="s">
        <v>280</v>
      </c>
      <c r="C68" s="4" t="s">
        <v>283</v>
      </c>
      <c r="D68" s="4" t="n">
        <v>3</v>
      </c>
      <c r="E68" s="4" t="s">
        <v>137</v>
      </c>
      <c r="F68" s="4" t="s">
        <v>230</v>
      </c>
      <c r="G68" s="4" t="s">
        <v>139</v>
      </c>
    </row>
    <row r="69" customFormat="false" ht="25.5" hidden="false" customHeight="true" outlineLevel="0" collapsed="false">
      <c r="A69" s="4" t="s">
        <v>284</v>
      </c>
      <c r="B69" s="4" t="s">
        <v>280</v>
      </c>
      <c r="C69" s="4" t="s">
        <v>285</v>
      </c>
      <c r="D69" s="4" t="n">
        <v>5</v>
      </c>
      <c r="E69" s="4" t="s">
        <v>137</v>
      </c>
      <c r="F69" s="4" t="s">
        <v>230</v>
      </c>
      <c r="G69" s="4" t="s">
        <v>139</v>
      </c>
    </row>
    <row r="70" customFormat="false" ht="25.5" hidden="false" customHeight="true" outlineLevel="0" collapsed="false">
      <c r="A70" s="4" t="s">
        <v>286</v>
      </c>
      <c r="B70" s="4" t="s">
        <v>280</v>
      </c>
      <c r="C70" s="4" t="s">
        <v>287</v>
      </c>
      <c r="D70" s="4" t="n">
        <v>5</v>
      </c>
      <c r="E70" s="4" t="s">
        <v>144</v>
      </c>
      <c r="F70" s="4" t="s">
        <v>230</v>
      </c>
      <c r="G70" s="4" t="s">
        <v>139</v>
      </c>
    </row>
    <row r="71" customFormat="false" ht="25.5" hidden="false" customHeight="true" outlineLevel="0" collapsed="false">
      <c r="A71" s="4" t="s">
        <v>288</v>
      </c>
      <c r="B71" s="4" t="s">
        <v>280</v>
      </c>
      <c r="C71" s="4" t="s">
        <v>289</v>
      </c>
      <c r="D71" s="4" t="n">
        <v>8</v>
      </c>
      <c r="E71" s="4" t="s">
        <v>137</v>
      </c>
      <c r="F71" s="4" t="s">
        <v>290</v>
      </c>
      <c r="G71" s="4" t="s">
        <v>291</v>
      </c>
    </row>
    <row r="72" customFormat="false" ht="25.5" hidden="false" customHeight="true" outlineLevel="0" collapsed="false">
      <c r="A72" s="4" t="s">
        <v>292</v>
      </c>
      <c r="B72" s="4" t="s">
        <v>280</v>
      </c>
      <c r="C72" s="4" t="s">
        <v>293</v>
      </c>
      <c r="D72" s="4" t="n">
        <v>5</v>
      </c>
      <c r="E72" s="4" t="s">
        <v>137</v>
      </c>
      <c r="F72" s="4" t="s">
        <v>290</v>
      </c>
      <c r="G72" s="4" t="s">
        <v>139</v>
      </c>
    </row>
    <row r="73" customFormat="false" ht="25.5" hidden="false" customHeight="true" outlineLevel="0" collapsed="false">
      <c r="A73" s="4" t="s">
        <v>294</v>
      </c>
      <c r="B73" s="4" t="s">
        <v>280</v>
      </c>
      <c r="C73" s="4" t="s">
        <v>295</v>
      </c>
      <c r="D73" s="4" t="n">
        <v>5</v>
      </c>
      <c r="E73" s="4" t="s">
        <v>137</v>
      </c>
      <c r="F73" s="4" t="s">
        <v>230</v>
      </c>
      <c r="G73" s="4" t="s">
        <v>139</v>
      </c>
    </row>
    <row r="74" customFormat="false" ht="25.5" hidden="false" customHeight="true" outlineLevel="0" collapsed="false">
      <c r="A74" s="4" t="s">
        <v>296</v>
      </c>
      <c r="B74" s="4" t="s">
        <v>297</v>
      </c>
      <c r="C74" s="4" t="s">
        <v>298</v>
      </c>
      <c r="D74" s="4" t="n">
        <v>5</v>
      </c>
      <c r="E74" s="4" t="s">
        <v>137</v>
      </c>
      <c r="F74" s="4" t="s">
        <v>172</v>
      </c>
      <c r="G74" s="4" t="s">
        <v>139</v>
      </c>
    </row>
    <row r="75" customFormat="false" ht="25.5" hidden="false" customHeight="true" outlineLevel="0" collapsed="false">
      <c r="A75" s="4" t="s">
        <v>299</v>
      </c>
      <c r="B75" s="4" t="s">
        <v>297</v>
      </c>
      <c r="C75" s="4" t="s">
        <v>300</v>
      </c>
      <c r="D75" s="4" t="n">
        <v>3</v>
      </c>
      <c r="E75" s="4" t="s">
        <v>137</v>
      </c>
      <c r="F75" s="4" t="s">
        <v>172</v>
      </c>
      <c r="G75" s="4" t="s">
        <v>139</v>
      </c>
    </row>
    <row r="76" customFormat="false" ht="25.5" hidden="false" customHeight="true" outlineLevel="0" collapsed="false">
      <c r="A76" s="4" t="s">
        <v>301</v>
      </c>
      <c r="B76" s="4" t="s">
        <v>297</v>
      </c>
      <c r="C76" s="4" t="s">
        <v>302</v>
      </c>
      <c r="D76" s="4" t="n">
        <v>3</v>
      </c>
      <c r="E76" s="4" t="s">
        <v>156</v>
      </c>
      <c r="F76" s="4" t="s">
        <v>230</v>
      </c>
      <c r="G76" s="4" t="s">
        <v>139</v>
      </c>
    </row>
    <row r="77" customFormat="false" ht="25.5" hidden="false" customHeight="true" outlineLevel="0" collapsed="false">
      <c r="A77" s="4" t="s">
        <v>303</v>
      </c>
      <c r="B77" s="4" t="s">
        <v>297</v>
      </c>
      <c r="C77" s="4" t="s">
        <v>304</v>
      </c>
      <c r="D77" s="4" t="n">
        <v>2</v>
      </c>
      <c r="E77" s="4" t="s">
        <v>156</v>
      </c>
      <c r="F77" s="4" t="s">
        <v>230</v>
      </c>
      <c r="G77" s="4" t="s">
        <v>139</v>
      </c>
    </row>
    <row r="78" customFormat="false" ht="25.5" hidden="false" customHeight="true" outlineLevel="0" collapsed="false">
      <c r="A78" s="4" t="s">
        <v>305</v>
      </c>
      <c r="B78" s="4" t="s">
        <v>297</v>
      </c>
      <c r="C78" s="4" t="s">
        <v>306</v>
      </c>
      <c r="D78" s="4" t="n">
        <v>5</v>
      </c>
      <c r="E78" s="4" t="s">
        <v>144</v>
      </c>
      <c r="F78" s="4" t="s">
        <v>230</v>
      </c>
      <c r="G78" s="4" t="s">
        <v>139</v>
      </c>
    </row>
    <row r="79" customFormat="false" ht="25.5" hidden="false" customHeight="true" outlineLevel="0" collapsed="false">
      <c r="A79" s="4" t="s">
        <v>307</v>
      </c>
      <c r="B79" s="4" t="s">
        <v>297</v>
      </c>
      <c r="C79" s="4" t="s">
        <v>308</v>
      </c>
      <c r="D79" s="4" t="n">
        <v>3</v>
      </c>
      <c r="E79" s="4" t="s">
        <v>156</v>
      </c>
      <c r="F79" s="4" t="s">
        <v>230</v>
      </c>
      <c r="G79" s="4" t="s">
        <v>139</v>
      </c>
    </row>
    <row r="80" customFormat="false" ht="25.5" hidden="false" customHeight="true" outlineLevel="0" collapsed="false">
      <c r="A80" s="4" t="s">
        <v>309</v>
      </c>
      <c r="B80" s="4" t="s">
        <v>297</v>
      </c>
      <c r="C80" s="4" t="s">
        <v>310</v>
      </c>
      <c r="D80" s="4" t="n">
        <v>3</v>
      </c>
      <c r="E80" s="4" t="s">
        <v>156</v>
      </c>
      <c r="F80" s="4" t="s">
        <v>230</v>
      </c>
      <c r="G80" s="4" t="s">
        <v>139</v>
      </c>
    </row>
    <row r="81" customFormat="false" ht="25.5" hidden="false" customHeight="true" outlineLevel="0" collapsed="false">
      <c r="A81" s="4" t="s">
        <v>311</v>
      </c>
      <c r="B81" s="4" t="s">
        <v>312</v>
      </c>
      <c r="C81" s="4" t="s">
        <v>313</v>
      </c>
      <c r="D81" s="4" t="n">
        <v>5</v>
      </c>
      <c r="E81" s="4" t="s">
        <v>137</v>
      </c>
      <c r="F81" s="4" t="s">
        <v>186</v>
      </c>
      <c r="G81" s="4" t="s">
        <v>139</v>
      </c>
    </row>
    <row r="82" customFormat="false" ht="25.5" hidden="false" customHeight="true" outlineLevel="0" collapsed="false">
      <c r="A82" s="4" t="s">
        <v>314</v>
      </c>
      <c r="B82" s="4" t="s">
        <v>312</v>
      </c>
      <c r="C82" s="4" t="s">
        <v>315</v>
      </c>
      <c r="D82" s="4" t="n">
        <v>3</v>
      </c>
      <c r="E82" s="4" t="s">
        <v>144</v>
      </c>
      <c r="F82" s="4" t="s">
        <v>186</v>
      </c>
      <c r="G82" s="4" t="s">
        <v>139</v>
      </c>
    </row>
    <row r="83" customFormat="false" ht="25.5" hidden="false" customHeight="true" outlineLevel="0" collapsed="false">
      <c r="A83" s="4" t="s">
        <v>316</v>
      </c>
      <c r="B83" s="4" t="s">
        <v>312</v>
      </c>
      <c r="C83" s="4" t="s">
        <v>317</v>
      </c>
      <c r="D83" s="4" t="n">
        <v>5</v>
      </c>
      <c r="E83" s="4" t="s">
        <v>144</v>
      </c>
      <c r="F83" s="4" t="s">
        <v>318</v>
      </c>
      <c r="G83" s="4" t="s">
        <v>139</v>
      </c>
    </row>
    <row r="84" customFormat="false" ht="25.5" hidden="false" customHeight="true" outlineLevel="0" collapsed="false">
      <c r="A84" s="4" t="s">
        <v>319</v>
      </c>
      <c r="B84" s="4" t="s">
        <v>312</v>
      </c>
      <c r="C84" s="4" t="s">
        <v>320</v>
      </c>
      <c r="D84" s="4" t="n">
        <v>3</v>
      </c>
      <c r="E84" s="4" t="s">
        <v>137</v>
      </c>
      <c r="F84" s="4" t="s">
        <v>318</v>
      </c>
      <c r="G84" s="4" t="s">
        <v>139</v>
      </c>
    </row>
    <row r="85" customFormat="false" ht="25.5" hidden="false" customHeight="true" outlineLevel="0" collapsed="false">
      <c r="A85" s="4" t="s">
        <v>321</v>
      </c>
      <c r="B85" s="4" t="s">
        <v>312</v>
      </c>
      <c r="C85" s="4" t="s">
        <v>322</v>
      </c>
      <c r="D85" s="4" t="n">
        <v>3</v>
      </c>
      <c r="E85" s="4" t="s">
        <v>144</v>
      </c>
      <c r="F85" s="4" t="s">
        <v>323</v>
      </c>
      <c r="G85" s="4" t="s">
        <v>139</v>
      </c>
    </row>
    <row r="86" customFormat="false" ht="25.5" hidden="false" customHeight="true" outlineLevel="0" collapsed="false">
      <c r="A86" s="4" t="s">
        <v>324</v>
      </c>
      <c r="B86" s="4" t="s">
        <v>312</v>
      </c>
      <c r="C86" s="4" t="s">
        <v>325</v>
      </c>
      <c r="D86" s="4" t="n">
        <v>5</v>
      </c>
      <c r="E86" s="4" t="s">
        <v>144</v>
      </c>
      <c r="F86" s="4" t="s">
        <v>318</v>
      </c>
      <c r="G86" s="4" t="s">
        <v>326</v>
      </c>
    </row>
    <row r="87" customFormat="false" ht="25.5" hidden="false" customHeight="true" outlineLevel="0" collapsed="false">
      <c r="A87" s="4" t="s">
        <v>327</v>
      </c>
      <c r="B87" s="4" t="s">
        <v>312</v>
      </c>
      <c r="C87" s="4" t="s">
        <v>328</v>
      </c>
      <c r="D87" s="4" t="n">
        <v>2</v>
      </c>
      <c r="E87" s="4" t="s">
        <v>156</v>
      </c>
      <c r="F87" s="4" t="s">
        <v>318</v>
      </c>
      <c r="G87" s="4" t="s">
        <v>139</v>
      </c>
    </row>
    <row r="88" customFormat="false" ht="25.5" hidden="false" customHeight="true" outlineLevel="0" collapsed="false">
      <c r="A88" s="4" t="s">
        <v>329</v>
      </c>
      <c r="B88" s="4" t="s">
        <v>330</v>
      </c>
      <c r="C88" s="4" t="s">
        <v>331</v>
      </c>
      <c r="D88" s="4" t="n">
        <v>5</v>
      </c>
      <c r="E88" s="4" t="s">
        <v>137</v>
      </c>
      <c r="F88" s="4" t="s">
        <v>149</v>
      </c>
      <c r="G88" s="4" t="s">
        <v>139</v>
      </c>
    </row>
    <row r="89" customFormat="false" ht="25.5" hidden="false" customHeight="true" outlineLevel="0" collapsed="false">
      <c r="A89" s="4" t="s">
        <v>332</v>
      </c>
      <c r="B89" s="4" t="s">
        <v>330</v>
      </c>
      <c r="C89" s="4" t="s">
        <v>333</v>
      </c>
      <c r="D89" s="4" t="n">
        <v>5</v>
      </c>
      <c r="E89" s="4" t="s">
        <v>137</v>
      </c>
      <c r="F89" s="4" t="s">
        <v>172</v>
      </c>
      <c r="G89" s="4" t="s">
        <v>139</v>
      </c>
    </row>
    <row r="90" customFormat="false" ht="25.5" hidden="false" customHeight="true" outlineLevel="0" collapsed="false">
      <c r="A90" s="4" t="s">
        <v>334</v>
      </c>
      <c r="B90" s="4" t="s">
        <v>330</v>
      </c>
      <c r="C90" s="4" t="s">
        <v>335</v>
      </c>
      <c r="D90" s="4" t="n">
        <v>3</v>
      </c>
      <c r="E90" s="4" t="s">
        <v>137</v>
      </c>
      <c r="F90" s="4" t="s">
        <v>230</v>
      </c>
      <c r="G90" s="4" t="s">
        <v>139</v>
      </c>
    </row>
    <row r="91" customFormat="false" ht="25.5" hidden="false" customHeight="true" outlineLevel="0" collapsed="false">
      <c r="A91" s="4" t="s">
        <v>336</v>
      </c>
      <c r="B91" s="4" t="s">
        <v>330</v>
      </c>
      <c r="C91" s="4" t="s">
        <v>337</v>
      </c>
      <c r="D91" s="4" t="n">
        <v>5</v>
      </c>
      <c r="E91" s="4" t="s">
        <v>144</v>
      </c>
      <c r="F91" s="4" t="s">
        <v>230</v>
      </c>
      <c r="G91" s="4" t="s">
        <v>139</v>
      </c>
    </row>
    <row r="92" customFormat="false" ht="25.5" hidden="false" customHeight="true" outlineLevel="0" collapsed="false">
      <c r="A92" s="4" t="s">
        <v>338</v>
      </c>
      <c r="B92" s="4" t="s">
        <v>330</v>
      </c>
      <c r="C92" s="4" t="s">
        <v>339</v>
      </c>
      <c r="D92" s="4" t="n">
        <v>3</v>
      </c>
      <c r="E92" s="4" t="s">
        <v>144</v>
      </c>
      <c r="F92" s="4" t="s">
        <v>290</v>
      </c>
      <c r="G92" s="4" t="s">
        <v>291</v>
      </c>
    </row>
    <row r="93" customFormat="false" ht="25.5" hidden="false" customHeight="true" outlineLevel="0" collapsed="false">
      <c r="A93" s="4" t="s">
        <v>340</v>
      </c>
      <c r="B93" s="4" t="s">
        <v>330</v>
      </c>
      <c r="C93" s="4" t="s">
        <v>341</v>
      </c>
      <c r="D93" s="4" t="n">
        <v>3</v>
      </c>
      <c r="E93" s="4" t="s">
        <v>144</v>
      </c>
      <c r="F93" s="4" t="s">
        <v>290</v>
      </c>
      <c r="G93" s="4" t="s">
        <v>139</v>
      </c>
    </row>
    <row r="94" customFormat="false" ht="25.5" hidden="false" customHeight="true" outlineLevel="0" collapsed="false">
      <c r="A94" s="4" t="s">
        <v>342</v>
      </c>
      <c r="B94" s="4" t="s">
        <v>330</v>
      </c>
      <c r="C94" s="4" t="s">
        <v>343</v>
      </c>
      <c r="D94" s="4" t="n">
        <v>3</v>
      </c>
      <c r="E94" s="4" t="s">
        <v>156</v>
      </c>
      <c r="F94" s="4" t="s">
        <v>290</v>
      </c>
      <c r="G94" s="4" t="s">
        <v>139</v>
      </c>
    </row>
    <row r="95" customFormat="false" ht="25.5" hidden="false" customHeight="true" outlineLevel="0" collapsed="false">
      <c r="A95" s="4" t="s">
        <v>344</v>
      </c>
      <c r="B95" s="4" t="s">
        <v>330</v>
      </c>
      <c r="C95" s="4" t="s">
        <v>345</v>
      </c>
      <c r="D95" s="4" t="n">
        <v>3</v>
      </c>
      <c r="E95" s="4" t="s">
        <v>156</v>
      </c>
      <c r="F95" s="4" t="s">
        <v>230</v>
      </c>
      <c r="G95" s="4" t="s">
        <v>139</v>
      </c>
    </row>
    <row r="96" customFormat="false" ht="25.5" hidden="false" customHeight="true" outlineLevel="0" collapsed="false">
      <c r="A96" s="4" t="s">
        <v>346</v>
      </c>
      <c r="B96" s="4" t="s">
        <v>347</v>
      </c>
      <c r="C96" s="4" t="s">
        <v>348</v>
      </c>
      <c r="D96" s="4" t="n">
        <v>3</v>
      </c>
      <c r="E96" s="4" t="s">
        <v>137</v>
      </c>
      <c r="F96" s="4" t="s">
        <v>290</v>
      </c>
      <c r="G96" s="4" t="s">
        <v>349</v>
      </c>
    </row>
    <row r="97" customFormat="false" ht="25.5" hidden="false" customHeight="true" outlineLevel="0" collapsed="false">
      <c r="A97" s="4" t="s">
        <v>350</v>
      </c>
      <c r="B97" s="4" t="s">
        <v>347</v>
      </c>
      <c r="C97" s="4" t="s">
        <v>351</v>
      </c>
      <c r="D97" s="4" t="n">
        <v>5</v>
      </c>
      <c r="E97" s="4" t="s">
        <v>137</v>
      </c>
      <c r="F97" s="4" t="s">
        <v>290</v>
      </c>
      <c r="G97" s="4" t="s">
        <v>349</v>
      </c>
    </row>
    <row r="98" customFormat="false" ht="25.5" hidden="false" customHeight="true" outlineLevel="0" collapsed="false">
      <c r="A98" s="4" t="s">
        <v>352</v>
      </c>
      <c r="B98" s="4" t="s">
        <v>347</v>
      </c>
      <c r="C98" s="4" t="s">
        <v>353</v>
      </c>
      <c r="D98" s="4" t="n">
        <v>3</v>
      </c>
      <c r="E98" s="4" t="s">
        <v>137</v>
      </c>
      <c r="F98" s="4" t="s">
        <v>318</v>
      </c>
      <c r="G98" s="4" t="s">
        <v>139</v>
      </c>
    </row>
    <row r="99" customFormat="false" ht="25.5" hidden="false" customHeight="true" outlineLevel="0" collapsed="false">
      <c r="A99" s="4" t="s">
        <v>354</v>
      </c>
      <c r="B99" s="4" t="s">
        <v>347</v>
      </c>
      <c r="C99" s="4" t="s">
        <v>355</v>
      </c>
      <c r="D99" s="4" t="n">
        <v>3</v>
      </c>
      <c r="E99" s="4" t="s">
        <v>137</v>
      </c>
      <c r="F99" s="4" t="s">
        <v>318</v>
      </c>
      <c r="G99" s="4" t="s">
        <v>139</v>
      </c>
    </row>
    <row r="100" customFormat="false" ht="25.5" hidden="false" customHeight="true" outlineLevel="0" collapsed="false">
      <c r="A100" s="4" t="s">
        <v>356</v>
      </c>
      <c r="B100" s="4" t="s">
        <v>347</v>
      </c>
      <c r="C100" s="4" t="s">
        <v>357</v>
      </c>
      <c r="D100" s="4" t="n">
        <v>3</v>
      </c>
      <c r="E100" s="4" t="s">
        <v>137</v>
      </c>
      <c r="F100" s="4" t="s">
        <v>318</v>
      </c>
      <c r="G100" s="4" t="s">
        <v>291</v>
      </c>
    </row>
    <row r="101" customFormat="false" ht="25.5" hidden="false" customHeight="true" outlineLevel="0" collapsed="false">
      <c r="A101" s="4" t="s">
        <v>358</v>
      </c>
      <c r="B101" s="4" t="s">
        <v>347</v>
      </c>
      <c r="C101" s="4" t="s">
        <v>359</v>
      </c>
      <c r="D101" s="4" t="n">
        <v>3</v>
      </c>
      <c r="E101" s="4" t="s">
        <v>144</v>
      </c>
      <c r="F101" s="4" t="s">
        <v>323</v>
      </c>
      <c r="G101" s="4" t="s">
        <v>139</v>
      </c>
    </row>
    <row r="102" customFormat="false" ht="25.5" hidden="false" customHeight="true" outlineLevel="0" collapsed="false">
      <c r="A102" s="4" t="s">
        <v>360</v>
      </c>
      <c r="B102" s="4" t="s">
        <v>347</v>
      </c>
      <c r="C102" s="4" t="s">
        <v>361</v>
      </c>
      <c r="D102" s="4" t="n">
        <v>2</v>
      </c>
      <c r="E102" s="4" t="s">
        <v>156</v>
      </c>
      <c r="F102" s="4" t="s">
        <v>362</v>
      </c>
      <c r="G102" s="4" t="s">
        <v>139</v>
      </c>
    </row>
    <row r="103" customFormat="false" ht="25.5" hidden="false" customHeight="true" outlineLevel="0" collapsed="false">
      <c r="A103" s="4" t="s">
        <v>363</v>
      </c>
      <c r="B103" s="4" t="s">
        <v>347</v>
      </c>
      <c r="C103" s="4" t="s">
        <v>364</v>
      </c>
      <c r="D103" s="4" t="n">
        <v>2</v>
      </c>
      <c r="E103" s="4" t="s">
        <v>144</v>
      </c>
      <c r="F103" s="4" t="s">
        <v>323</v>
      </c>
      <c r="G103" s="4" t="s">
        <v>139</v>
      </c>
    </row>
    <row r="104" customFormat="false" ht="15" hidden="false" customHeight="true" outlineLevel="0" collapsed="false">
      <c r="A104" s="5"/>
      <c r="B104" s="5"/>
      <c r="C104" s="5"/>
      <c r="D104" s="5"/>
      <c r="E104" s="5"/>
      <c r="F104" s="5"/>
      <c r="G104" s="5"/>
    </row>
    <row r="105" customFormat="false" ht="30" hidden="false" customHeight="true" outlineLevel="0" collapsed="false">
      <c r="A105" s="7" t="s">
        <v>365</v>
      </c>
      <c r="B105" s="7"/>
      <c r="C105" s="7"/>
      <c r="D105" s="7"/>
      <c r="E105" s="7"/>
      <c r="F105" s="7"/>
      <c r="G105" s="7"/>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366</v>
      </c>
    </row>
    <row r="3" customFormat="false" ht="15" hidden="false" customHeight="true" outlineLevel="0" collapsed="false">
      <c r="A3" s="3" t="s">
        <v>133</v>
      </c>
      <c r="B3" s="3" t="s">
        <v>367</v>
      </c>
      <c r="C3" s="3" t="s">
        <v>368</v>
      </c>
      <c r="D3" s="3" t="s">
        <v>131</v>
      </c>
      <c r="E3" s="3" t="s">
        <v>139</v>
      </c>
      <c r="F3" s="3" t="s">
        <v>369</v>
      </c>
    </row>
    <row r="4" customFormat="false" ht="31.5" hidden="false" customHeight="true" outlineLevel="0" collapsed="false">
      <c r="A4" s="4" t="s">
        <v>370</v>
      </c>
      <c r="B4" s="4" t="s">
        <v>371</v>
      </c>
      <c r="C4" s="4" t="n">
        <f aca="false">COUNTIF(Full_Backlog!F4:F103,"S0")</f>
        <v>0</v>
      </c>
      <c r="D4" s="4" t="n">
        <f aca="false">SUMIF(Full_Backlog!F4:F103,"S0",Full_Backlog!D4:D103)</f>
        <v>0</v>
      </c>
      <c r="E4" s="4" t="n">
        <f aca="false">COUNTIFS(Full_Backlog!F4:F103,"S0",Full_Backlog!G4:G103,"Done")</f>
        <v>0</v>
      </c>
      <c r="F4" s="4" t="s">
        <v>372</v>
      </c>
    </row>
    <row r="5" customFormat="false" ht="31.5" hidden="false" customHeight="true" outlineLevel="0" collapsed="false">
      <c r="A5" s="4" t="s">
        <v>252</v>
      </c>
      <c r="B5" s="4" t="s">
        <v>373</v>
      </c>
      <c r="C5" s="4" t="n">
        <f aca="false">COUNTIF(Full_Backlog!F4:F103,"S1")</f>
        <v>4</v>
      </c>
      <c r="D5" s="4" t="n">
        <f aca="false">SUMIF(Full_Backlog!F4:F103,"S1",Full_Backlog!D4:D103)</f>
        <v>13</v>
      </c>
      <c r="E5" s="4" t="n">
        <f aca="false">COUNTIFS(Full_Backlog!F4:F103,"S1",Full_Backlog!G4:G103,"Done")</f>
        <v>4</v>
      </c>
      <c r="F5" s="4" t="s">
        <v>374</v>
      </c>
    </row>
    <row r="6" customFormat="false" ht="31.5" hidden="false" customHeight="true" outlineLevel="0" collapsed="false">
      <c r="A6" s="4" t="s">
        <v>138</v>
      </c>
      <c r="B6" s="4" t="s">
        <v>375</v>
      </c>
      <c r="C6" s="4" t="n">
        <f aca="false">COUNTIF(Full_Backlog!F4:F103,"S2")</f>
        <v>6</v>
      </c>
      <c r="D6" s="4" t="n">
        <f aca="false">SUMIF(Full_Backlog!F4:F103,"S2",Full_Backlog!D4:D103)</f>
        <v>29</v>
      </c>
      <c r="E6" s="4" t="n">
        <f aca="false">COUNTIFS(Full_Backlog!F4:F103,"S2",Full_Backlog!G4:G103,"Done")</f>
        <v>6</v>
      </c>
      <c r="F6" s="4" t="s">
        <v>376</v>
      </c>
    </row>
    <row r="7" customFormat="false" ht="31.5" hidden="false" customHeight="true" outlineLevel="0" collapsed="false">
      <c r="A7" s="4" t="s">
        <v>149</v>
      </c>
      <c r="B7" s="4" t="s">
        <v>377</v>
      </c>
      <c r="C7" s="4" t="n">
        <f aca="false">COUNTIF(Full_Backlog!F4:F103,"S3")</f>
        <v>11</v>
      </c>
      <c r="D7" s="4" t="n">
        <f aca="false">SUMIF(Full_Backlog!F4:F103,"S3",Full_Backlog!D4:D103)</f>
        <v>47</v>
      </c>
      <c r="E7" s="4" t="n">
        <f aca="false">COUNTIFS(Full_Backlog!F4:F103,"S3",Full_Backlog!G4:G103,"Done")</f>
        <v>11</v>
      </c>
      <c r="F7" s="4" t="s">
        <v>378</v>
      </c>
    </row>
    <row r="8" customFormat="false" ht="31.5" hidden="false" customHeight="true" outlineLevel="0" collapsed="false">
      <c r="A8" s="4" t="s">
        <v>172</v>
      </c>
      <c r="B8" s="4" t="s">
        <v>379</v>
      </c>
      <c r="C8" s="4" t="n">
        <f aca="false">COUNTIF(Full_Backlog!F4:F103,"S4")</f>
        <v>9</v>
      </c>
      <c r="D8" s="4" t="n">
        <f aca="false">SUMIF(Full_Backlog!F4:F103,"S4",Full_Backlog!D4:D103)</f>
        <v>34</v>
      </c>
      <c r="E8" s="4" t="n">
        <f aca="false">COUNTIFS(Full_Backlog!F4:F103,"S4",Full_Backlog!G4:G103,"Done")</f>
        <v>9</v>
      </c>
      <c r="F8" s="4" t="s">
        <v>380</v>
      </c>
    </row>
    <row r="9" customFormat="false" ht="31.5" hidden="false" customHeight="true" outlineLevel="0" collapsed="false">
      <c r="A9" s="4" t="s">
        <v>186</v>
      </c>
      <c r="B9" s="4" t="s">
        <v>381</v>
      </c>
      <c r="C9" s="4" t="n">
        <f aca="false">COUNTIF(Full_Backlog!F4:F103,"S5")</f>
        <v>12</v>
      </c>
      <c r="D9" s="4" t="n">
        <f aca="false">SUMIF(Full_Backlog!F4:F103,"S5",Full_Backlog!D4:D103)</f>
        <v>50</v>
      </c>
      <c r="E9" s="4" t="n">
        <f aca="false">COUNTIFS(Full_Backlog!F4:F103,"S5",Full_Backlog!G4:G103,"Done")</f>
        <v>12</v>
      </c>
      <c r="F9" s="4" t="s">
        <v>382</v>
      </c>
    </row>
    <row r="10" customFormat="false" ht="31.5" hidden="false" customHeight="true" outlineLevel="0" collapsed="false">
      <c r="A10" s="4" t="s">
        <v>208</v>
      </c>
      <c r="B10" s="4" t="s">
        <v>383</v>
      </c>
      <c r="C10" s="4" t="n">
        <f aca="false">COUNTIF(Full_Backlog!F4:F103,"S6")</f>
        <v>13</v>
      </c>
      <c r="D10" s="4" t="n">
        <f aca="false">SUMIF(Full_Backlog!F4:F103,"S6",Full_Backlog!D4:D103)</f>
        <v>60</v>
      </c>
      <c r="E10" s="4" t="n">
        <f aca="false">COUNTIFS(Full_Backlog!F4:F103,"S6",Full_Backlog!G4:G103,"Done")</f>
        <v>13</v>
      </c>
      <c r="F10" s="4" t="s">
        <v>384</v>
      </c>
    </row>
    <row r="11" customFormat="false" ht="31.5" hidden="false" customHeight="true" outlineLevel="0" collapsed="false">
      <c r="A11" s="4" t="s">
        <v>272</v>
      </c>
      <c r="B11" s="4" t="s">
        <v>385</v>
      </c>
      <c r="C11" s="4" t="n">
        <f aca="false">COUNTIF(Full_Backlog!F4:F103,"S7")</f>
        <v>5</v>
      </c>
      <c r="D11" s="4" t="n">
        <f aca="false">SUMIF(Full_Backlog!F4:F103,"S7",Full_Backlog!D4:D103)</f>
        <v>15</v>
      </c>
      <c r="E11" s="4" t="n">
        <f aca="false">COUNTIFS(Full_Backlog!F4:F103,"S7",Full_Backlog!G4:G103,"Done")</f>
        <v>5</v>
      </c>
      <c r="F11" s="4" t="s">
        <v>386</v>
      </c>
    </row>
    <row r="12" customFormat="false" ht="31.5" hidden="false" customHeight="true" outlineLevel="0" collapsed="false">
      <c r="A12" s="4" t="s">
        <v>230</v>
      </c>
      <c r="B12" s="4" t="s">
        <v>387</v>
      </c>
      <c r="C12" s="4" t="n">
        <f aca="false">COUNTIF(Full_Backlog!F4:F103,"S8")</f>
        <v>22</v>
      </c>
      <c r="D12" s="4" t="n">
        <f aca="false">SUMIF(Full_Backlog!F4:F103,"S8",Full_Backlog!D4:D103)</f>
        <v>87</v>
      </c>
      <c r="E12" s="4" t="n">
        <f aca="false">COUNTIFS(Full_Backlog!F4:F103,"S8",Full_Backlog!G4:G103,"Done")</f>
        <v>22</v>
      </c>
      <c r="F12" s="4" t="s">
        <v>388</v>
      </c>
    </row>
    <row r="13" customFormat="false" ht="31.5" hidden="false" customHeight="true" outlineLevel="0" collapsed="false">
      <c r="A13" s="4" t="s">
        <v>290</v>
      </c>
      <c r="B13" s="4" t="s">
        <v>389</v>
      </c>
      <c r="C13" s="4" t="n">
        <f aca="false">COUNTIF(Full_Backlog!F4:F103,"S9")</f>
        <v>7</v>
      </c>
      <c r="D13" s="4" t="n">
        <f aca="false">SUMIF(Full_Backlog!F4:F103,"S9",Full_Backlog!D4:D103)</f>
        <v>30</v>
      </c>
      <c r="E13" s="4" t="n">
        <f aca="false">COUNTIFS(Full_Backlog!F4:F103,"S9",Full_Backlog!G4:G103,"Done")</f>
        <v>3</v>
      </c>
      <c r="F13" s="4" t="s">
        <v>390</v>
      </c>
    </row>
    <row r="14" customFormat="false" ht="31.5" hidden="false" customHeight="true" outlineLevel="0" collapsed="false">
      <c r="A14" s="4" t="s">
        <v>318</v>
      </c>
      <c r="B14" s="4" t="s">
        <v>391</v>
      </c>
      <c r="C14" s="4" t="n">
        <f aca="false">COUNTIF(Full_Backlog!F4:F103,"S10")</f>
        <v>7</v>
      </c>
      <c r="D14" s="4" t="n">
        <f aca="false">SUMIF(Full_Backlog!F4:F103,"S10",Full_Backlog!D4:D103)</f>
        <v>24</v>
      </c>
      <c r="E14" s="4" t="n">
        <f aca="false">COUNTIFS(Full_Backlog!F4:F103,"S10",Full_Backlog!G4:G103,"Done")</f>
        <v>5</v>
      </c>
      <c r="F14" s="4" t="s">
        <v>392</v>
      </c>
    </row>
    <row r="15" customFormat="false" ht="31.5" hidden="false" customHeight="true" outlineLevel="0" collapsed="false">
      <c r="A15" s="4" t="s">
        <v>323</v>
      </c>
      <c r="B15" s="4" t="s">
        <v>393</v>
      </c>
      <c r="C15" s="4" t="n">
        <f aca="false">COUNTIF(Full_Backlog!F4:F103,"S11")</f>
        <v>3</v>
      </c>
      <c r="D15" s="4" t="n">
        <f aca="false">SUMIF(Full_Backlog!F4:F103,"S11",Full_Backlog!D4:D103)</f>
        <v>8</v>
      </c>
      <c r="E15" s="4" t="n">
        <f aca="false">COUNTIFS(Full_Backlog!F4:F103,"S11",Full_Backlog!G4:G103,"Done")</f>
        <v>3</v>
      </c>
      <c r="F15" s="4" t="s">
        <v>394</v>
      </c>
    </row>
    <row r="16" customFormat="false" ht="31.5" hidden="false" customHeight="true" outlineLevel="0" collapsed="false">
      <c r="A16" s="4" t="s">
        <v>362</v>
      </c>
      <c r="B16" s="4" t="s">
        <v>395</v>
      </c>
      <c r="C16" s="4" t="n">
        <f aca="false">COUNTIF(Full_Backlog!F4:F103,"S12")</f>
        <v>1</v>
      </c>
      <c r="D16" s="4" t="n">
        <f aca="false">SUMIF(Full_Backlog!F4:F103,"S12",Full_Backlog!D4:D103)</f>
        <v>2</v>
      </c>
      <c r="E16" s="4" t="n">
        <f aca="false">COUNTIFS(Full_Backlog!F4:F103,"S12",Full_Backlog!G4:G103,"Done")</f>
        <v>1</v>
      </c>
      <c r="F16" s="4" t="s">
        <v>396</v>
      </c>
    </row>
    <row r="17" customFormat="false" ht="15" hidden="false" customHeight="true" outlineLevel="0" collapsed="false">
      <c r="A17" s="5"/>
      <c r="B17" s="5" t="s">
        <v>397</v>
      </c>
      <c r="C17" s="5" t="n">
        <f aca="false">SUM(C4:C16)</f>
        <v>100</v>
      </c>
      <c r="D17" s="5" t="n">
        <f aca="false">SUM(D4:D16)</f>
        <v>399</v>
      </c>
      <c r="E17" s="5"/>
      <c r="F17" s="5"/>
    </row>
    <row r="18" customFormat="false" ht="27.75" hidden="false" customHeight="true" outlineLevel="0" collapsed="false">
      <c r="A18" s="5"/>
      <c r="B18" s="7" t="s">
        <v>398</v>
      </c>
      <c r="C18" s="7"/>
      <c r="D18" s="7"/>
      <c r="E18" s="7"/>
      <c r="F18" s="7"/>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399</v>
      </c>
    </row>
    <row r="3" customFormat="false" ht="15" hidden="false" customHeight="true" outlineLevel="0" collapsed="false">
      <c r="A3" s="3" t="s">
        <v>400</v>
      </c>
      <c r="B3" s="3" t="s">
        <v>401</v>
      </c>
      <c r="C3" s="5"/>
      <c r="D3" s="5"/>
      <c r="E3" s="5"/>
      <c r="F3" s="5"/>
      <c r="G3" s="5"/>
      <c r="H3" s="5"/>
      <c r="I3" s="5"/>
      <c r="J3" s="5"/>
      <c r="K3" s="5"/>
      <c r="L3" s="5"/>
      <c r="M3" s="5"/>
      <c r="N3" s="5"/>
      <c r="O3" s="5"/>
      <c r="P3" s="5"/>
      <c r="Q3" s="5"/>
      <c r="R3" s="5"/>
      <c r="S3" s="5"/>
    </row>
    <row r="4" customFormat="false" ht="15" hidden="false" customHeight="true" outlineLevel="0" collapsed="false">
      <c r="A4" s="6" t="s">
        <v>402</v>
      </c>
      <c r="B4" s="6" t="n">
        <v>40</v>
      </c>
      <c r="C4" s="5"/>
      <c r="D4" s="5"/>
      <c r="E4" s="5"/>
      <c r="F4" s="5"/>
      <c r="G4" s="5"/>
      <c r="H4" s="5"/>
      <c r="I4" s="5"/>
      <c r="J4" s="5"/>
      <c r="K4" s="5"/>
      <c r="L4" s="5"/>
      <c r="M4" s="5"/>
      <c r="N4" s="5"/>
      <c r="O4" s="5"/>
      <c r="P4" s="5"/>
      <c r="Q4" s="5"/>
      <c r="R4" s="5"/>
      <c r="S4" s="5"/>
    </row>
    <row r="5" customFormat="false" ht="15" hidden="false" customHeight="true" outlineLevel="0" collapsed="false">
      <c r="A5" s="6" t="s">
        <v>403</v>
      </c>
      <c r="B5" s="6" t="n">
        <v>0.15</v>
      </c>
      <c r="C5" s="5"/>
      <c r="D5" s="5"/>
      <c r="E5" s="5"/>
      <c r="F5" s="5"/>
      <c r="G5" s="5"/>
      <c r="H5" s="5"/>
      <c r="I5" s="5"/>
      <c r="J5" s="5"/>
      <c r="K5" s="5"/>
      <c r="L5" s="5"/>
      <c r="M5" s="5"/>
      <c r="N5" s="5"/>
      <c r="O5" s="5"/>
      <c r="P5" s="5"/>
      <c r="Q5" s="5"/>
      <c r="R5" s="5"/>
      <c r="S5" s="5"/>
    </row>
    <row r="6" customFormat="false" ht="15" hidden="false" customHeight="true" outlineLevel="0" collapsed="false">
      <c r="A6" s="6" t="s">
        <v>404</v>
      </c>
      <c r="B6" s="6" t="n">
        <v>0.12</v>
      </c>
      <c r="C6" s="5"/>
      <c r="D6" s="5"/>
      <c r="E6" s="5"/>
      <c r="F6" s="5"/>
      <c r="G6" s="5"/>
      <c r="H6" s="5"/>
      <c r="I6" s="5"/>
      <c r="J6" s="5"/>
      <c r="K6" s="5"/>
      <c r="L6" s="5"/>
      <c r="M6" s="5"/>
      <c r="N6" s="5"/>
      <c r="O6" s="5"/>
      <c r="P6" s="5"/>
      <c r="Q6" s="5"/>
      <c r="R6" s="5"/>
      <c r="S6" s="5"/>
    </row>
    <row r="7" customFormat="false" ht="15" hidden="false" customHeight="true" outlineLevel="0" collapsed="false">
      <c r="A7" s="6" t="s">
        <v>405</v>
      </c>
      <c r="B7" s="6" t="n">
        <v>35</v>
      </c>
      <c r="C7" s="5"/>
      <c r="D7" s="5"/>
      <c r="E7" s="5"/>
      <c r="F7" s="5"/>
      <c r="G7" s="5"/>
      <c r="H7" s="5"/>
      <c r="I7" s="5"/>
      <c r="J7" s="5"/>
      <c r="K7" s="5"/>
      <c r="L7" s="5"/>
      <c r="M7" s="5"/>
      <c r="N7" s="5"/>
      <c r="O7" s="5"/>
      <c r="P7" s="5"/>
      <c r="Q7" s="5"/>
      <c r="R7" s="5"/>
      <c r="S7" s="5"/>
    </row>
    <row r="8" customFormat="false" ht="15" hidden="false" customHeight="true" outlineLevel="0" collapsed="false">
      <c r="A8" s="6" t="s">
        <v>406</v>
      </c>
      <c r="B8" s="6" t="n">
        <v>0.04</v>
      </c>
      <c r="C8" s="5"/>
      <c r="D8" s="5"/>
      <c r="E8" s="5"/>
      <c r="F8" s="5"/>
      <c r="G8" s="5"/>
      <c r="H8" s="5"/>
      <c r="I8" s="5"/>
      <c r="J8" s="5"/>
      <c r="K8" s="5"/>
      <c r="L8" s="5"/>
      <c r="M8" s="5"/>
      <c r="N8" s="5"/>
      <c r="O8" s="5"/>
      <c r="P8" s="5"/>
      <c r="Q8" s="5"/>
      <c r="R8" s="5"/>
      <c r="S8" s="5"/>
    </row>
    <row r="9" customFormat="false" ht="15" hidden="false" customHeight="true" outlineLevel="0" collapsed="false">
      <c r="A9" s="6" t="s">
        <v>407</v>
      </c>
      <c r="B9" s="6" t="n">
        <v>0</v>
      </c>
      <c r="C9" s="5"/>
      <c r="D9" s="5"/>
      <c r="E9" s="5"/>
      <c r="F9" s="5"/>
      <c r="G9" s="5"/>
      <c r="H9" s="5"/>
      <c r="I9" s="5"/>
      <c r="J9" s="5"/>
      <c r="K9" s="5"/>
      <c r="L9" s="5"/>
      <c r="M9" s="5"/>
      <c r="N9" s="5"/>
      <c r="O9" s="5"/>
      <c r="P9" s="5"/>
      <c r="Q9" s="5"/>
      <c r="R9" s="5"/>
      <c r="S9" s="5"/>
    </row>
    <row r="10" customFormat="false" ht="15" hidden="false" customHeight="true" outlineLevel="0" collapsed="false">
      <c r="A10" s="6" t="s">
        <v>408</v>
      </c>
      <c r="B10" s="6" t="n">
        <v>22000</v>
      </c>
      <c r="C10" s="5"/>
      <c r="D10" s="5"/>
      <c r="E10" s="5"/>
      <c r="F10" s="5"/>
      <c r="G10" s="5"/>
      <c r="H10" s="5"/>
      <c r="I10" s="5"/>
      <c r="J10" s="5"/>
      <c r="K10" s="5"/>
      <c r="L10" s="5"/>
      <c r="M10" s="5"/>
      <c r="N10" s="5"/>
      <c r="O10" s="5"/>
      <c r="P10" s="5"/>
      <c r="Q10" s="5"/>
      <c r="R10" s="5"/>
      <c r="S10" s="5"/>
    </row>
    <row r="11" customFormat="false" ht="15" hidden="false" customHeight="true" outlineLevel="0" collapsed="false">
      <c r="A11" s="6" t="s">
        <v>409</v>
      </c>
      <c r="B11" s="6" t="n">
        <v>0.03</v>
      </c>
      <c r="C11" s="5"/>
      <c r="D11" s="5"/>
      <c r="E11" s="5"/>
      <c r="F11" s="5"/>
      <c r="G11" s="5"/>
      <c r="H11" s="5"/>
      <c r="I11" s="5"/>
      <c r="J11" s="5"/>
      <c r="K11" s="5"/>
      <c r="L11" s="5"/>
      <c r="M11" s="5"/>
      <c r="N11" s="5"/>
      <c r="O11" s="5"/>
      <c r="P11" s="5"/>
      <c r="Q11" s="5"/>
      <c r="R11" s="5"/>
      <c r="S11" s="5"/>
    </row>
    <row r="12" customFormat="false" ht="15" hidden="false" customHeight="true" outlineLevel="0" collapsed="false">
      <c r="A12" s="5" t="s">
        <v>410</v>
      </c>
      <c r="B12" s="5"/>
      <c r="C12" s="5"/>
      <c r="D12" s="5"/>
      <c r="E12" s="5"/>
      <c r="F12" s="5"/>
      <c r="G12" s="5"/>
      <c r="H12" s="5"/>
      <c r="I12" s="5"/>
      <c r="J12" s="5"/>
      <c r="K12" s="5"/>
      <c r="L12" s="5"/>
      <c r="M12" s="5"/>
      <c r="N12" s="5"/>
      <c r="O12" s="5"/>
      <c r="P12" s="5"/>
      <c r="Q12" s="5"/>
      <c r="R12" s="5"/>
      <c r="S12" s="5"/>
    </row>
    <row r="13" customFormat="false" ht="15" hidden="false" customHeight="true" outlineLevel="0" collapsed="false">
      <c r="A13" s="5"/>
      <c r="B13" s="5"/>
      <c r="C13" s="5"/>
      <c r="D13" s="5"/>
      <c r="E13" s="5"/>
      <c r="F13" s="5"/>
      <c r="G13" s="5"/>
      <c r="H13" s="5"/>
      <c r="I13" s="5"/>
      <c r="J13" s="5"/>
      <c r="K13" s="5"/>
      <c r="L13" s="5"/>
      <c r="M13" s="5"/>
      <c r="N13" s="5"/>
      <c r="O13" s="5"/>
      <c r="P13" s="5"/>
      <c r="Q13" s="5"/>
      <c r="R13" s="5"/>
      <c r="S13" s="5"/>
    </row>
    <row r="14" customFormat="false" ht="15" hidden="false" customHeight="true" outlineLevel="0" collapsed="false">
      <c r="A14" s="3" t="s">
        <v>411</v>
      </c>
      <c r="B14" s="3" t="s">
        <v>412</v>
      </c>
      <c r="C14" s="3" t="s">
        <v>413</v>
      </c>
      <c r="D14" s="3" t="s">
        <v>414</v>
      </c>
      <c r="E14" s="3" t="s">
        <v>415</v>
      </c>
      <c r="F14" s="3" t="s">
        <v>416</v>
      </c>
      <c r="G14" s="3" t="s">
        <v>417</v>
      </c>
      <c r="H14" s="3" t="s">
        <v>418</v>
      </c>
      <c r="I14" s="3" t="s">
        <v>419</v>
      </c>
      <c r="J14" s="3" t="s">
        <v>420</v>
      </c>
      <c r="K14" s="3" t="s">
        <v>421</v>
      </c>
      <c r="L14" s="3" t="s">
        <v>422</v>
      </c>
      <c r="M14" s="3" t="s">
        <v>423</v>
      </c>
      <c r="N14" s="3" t="s">
        <v>424</v>
      </c>
      <c r="O14" s="3" t="s">
        <v>425</v>
      </c>
      <c r="P14" s="3" t="s">
        <v>426</v>
      </c>
      <c r="Q14" s="3" t="s">
        <v>427</v>
      </c>
      <c r="R14" s="3" t="s">
        <v>428</v>
      </c>
      <c r="S14" s="3" t="s">
        <v>429</v>
      </c>
    </row>
    <row r="15" customFormat="false" ht="15" hidden="false" customHeight="true" outlineLevel="0" collapsed="false">
      <c r="A15" s="5" t="s">
        <v>430</v>
      </c>
      <c r="B15" s="5" t="n">
        <f aca="false">$B$4</f>
        <v>40</v>
      </c>
      <c r="C15" s="5" t="n">
        <f aca="false">B15*(1+$B$5)</f>
        <v>46</v>
      </c>
      <c r="D15" s="5" t="n">
        <f aca="false">C15*(1+$B$5)</f>
        <v>52.9</v>
      </c>
      <c r="E15" s="5" t="n">
        <f aca="false">D15*(1+$B$5)</f>
        <v>60.835</v>
      </c>
      <c r="F15" s="5" t="n">
        <f aca="false">E15*(1+$B$5)</f>
        <v>69.96025</v>
      </c>
      <c r="G15" s="5" t="n">
        <f aca="false">F15*(1+$B$5)</f>
        <v>80.4542875</v>
      </c>
      <c r="H15" s="5" t="n">
        <f aca="false">G15*(1+$B$5)</f>
        <v>92.522430625</v>
      </c>
      <c r="I15" s="5" t="n">
        <f aca="false">H15*(1+$B$5)</f>
        <v>106.40079521875</v>
      </c>
      <c r="J15" s="5" t="n">
        <f aca="false">I15*(1+$B$5)</f>
        <v>122.360914501562</v>
      </c>
      <c r="K15" s="5" t="n">
        <f aca="false">J15*(1+$B$5)</f>
        <v>140.715051676797</v>
      </c>
      <c r="L15" s="5" t="n">
        <f aca="false">K15*(1+$B$5)</f>
        <v>161.822309428316</v>
      </c>
      <c r="M15" s="5" t="n">
        <f aca="false">L15*(1+$B$5)</f>
        <v>186.095655842564</v>
      </c>
      <c r="N15" s="5" t="n">
        <f aca="false">M15*(1+$B$5)</f>
        <v>214.010004218948</v>
      </c>
      <c r="O15" s="5" t="n">
        <f aca="false">N15*(1+$B$5)</f>
        <v>246.111504851791</v>
      </c>
      <c r="P15" s="5" t="n">
        <f aca="false">O15*(1+$B$5)</f>
        <v>283.028230579559</v>
      </c>
      <c r="Q15" s="5" t="n">
        <f aca="false">P15*(1+$B$5)</f>
        <v>325.482465166493</v>
      </c>
      <c r="R15" s="5" t="n">
        <f aca="false">Q15*(1+$B$5)</f>
        <v>374.304834941467</v>
      </c>
      <c r="S15" s="5" t="n">
        <f aca="false">R15*(1+$B$5)</f>
        <v>430.450560182687</v>
      </c>
    </row>
    <row r="16" customFormat="false" ht="15" hidden="false" customHeight="true" outlineLevel="0" collapsed="false">
      <c r="A16" s="5" t="s">
        <v>431</v>
      </c>
      <c r="B16" s="5" t="n">
        <f aca="false">ROUND(B15*$B$6,1)</f>
        <v>4.8</v>
      </c>
      <c r="C16" s="5" t="n">
        <f aca="false">ROUND(C15*$B$6,1)</f>
        <v>5.5</v>
      </c>
      <c r="D16" s="5" t="n">
        <f aca="false">ROUND(D15*$B$6,1)</f>
        <v>6.3</v>
      </c>
      <c r="E16" s="5" t="n">
        <f aca="false">ROUND(E15*$B$6,1)</f>
        <v>7.3</v>
      </c>
      <c r="F16" s="5" t="n">
        <f aca="false">ROUND(F15*$B$6,1)</f>
        <v>8.4</v>
      </c>
      <c r="G16" s="5" t="n">
        <f aca="false">ROUND(G15*$B$6,1)</f>
        <v>9.7</v>
      </c>
      <c r="H16" s="5" t="n">
        <f aca="false">ROUND(H15*$B$6,1)</f>
        <v>11.1</v>
      </c>
      <c r="I16" s="5" t="n">
        <f aca="false">ROUND(I15*$B$6,1)</f>
        <v>12.8</v>
      </c>
      <c r="J16" s="5" t="n">
        <f aca="false">ROUND(J15*$B$6,1)</f>
        <v>14.7</v>
      </c>
      <c r="K16" s="5" t="n">
        <f aca="false">ROUND(K15*$B$6,1)</f>
        <v>16.9</v>
      </c>
      <c r="L16" s="5" t="n">
        <f aca="false">ROUND(L15*$B$6,1)</f>
        <v>19.4</v>
      </c>
      <c r="M16" s="5" t="n">
        <f aca="false">ROUND(M15*$B$6,1)</f>
        <v>22.3</v>
      </c>
      <c r="N16" s="5" t="n">
        <f aca="false">ROUND(N15*$B$6,1)</f>
        <v>25.7</v>
      </c>
      <c r="O16" s="5" t="n">
        <f aca="false">ROUND(O15*$B$6,1)</f>
        <v>29.5</v>
      </c>
      <c r="P16" s="5" t="n">
        <f aca="false">ROUND(P15*$B$6,1)</f>
        <v>34</v>
      </c>
      <c r="Q16" s="5" t="n">
        <f aca="false">ROUND(Q15*$B$6,1)</f>
        <v>39.1</v>
      </c>
      <c r="R16" s="5" t="n">
        <f aca="false">ROUND(R15*$B$6,1)</f>
        <v>44.9</v>
      </c>
      <c r="S16" s="5" t="n">
        <f aca="false">ROUND(S15*$B$6,1)</f>
        <v>51.7</v>
      </c>
    </row>
    <row r="17" customFormat="false" ht="15" hidden="false" customHeight="true" outlineLevel="0" collapsed="false">
      <c r="A17" s="5" t="s">
        <v>432</v>
      </c>
      <c r="B17" s="5" t="n">
        <f aca="false">B16</f>
        <v>4.8</v>
      </c>
      <c r="C17" s="5" t="n">
        <f aca="false">ROUND(B17*(1-$B$8)+C16,1)</f>
        <v>10.1</v>
      </c>
      <c r="D17" s="5" t="n">
        <f aca="false">ROUND(C17*(1-$B$8)+D16,1)</f>
        <v>16</v>
      </c>
      <c r="E17" s="5" t="n">
        <f aca="false">ROUND(D17*(1-$B$8)+E16,1)</f>
        <v>22.7</v>
      </c>
      <c r="F17" s="5" t="n">
        <f aca="false">ROUND(E17*(1-$B$8)+F16,1)</f>
        <v>30.2</v>
      </c>
      <c r="G17" s="5" t="n">
        <f aca="false">ROUND(F17*(1-$B$8)+G16,1)</f>
        <v>38.7</v>
      </c>
      <c r="H17" s="5" t="n">
        <f aca="false">ROUND(G17*(1-$B$8)+H16,1)</f>
        <v>48.3</v>
      </c>
      <c r="I17" s="5" t="n">
        <f aca="false">ROUND(H17*(1-$B$8)+I16,1)</f>
        <v>59.2</v>
      </c>
      <c r="J17" s="5" t="n">
        <f aca="false">ROUND(I17*(1-$B$8)+J16,1)</f>
        <v>71.5</v>
      </c>
      <c r="K17" s="5" t="n">
        <f aca="false">ROUND(J17*(1-$B$8)+K16,1)</f>
        <v>85.5</v>
      </c>
      <c r="L17" s="5" t="n">
        <f aca="false">ROUND(K17*(1-$B$8)+L16,1)</f>
        <v>101.5</v>
      </c>
      <c r="M17" s="5" t="n">
        <f aca="false">ROUND(L17*(1-$B$8)+M16,1)</f>
        <v>119.7</v>
      </c>
      <c r="N17" s="5" t="n">
        <f aca="false">ROUND(M17*(1-$B$8)+N16,1)</f>
        <v>140.6</v>
      </c>
      <c r="O17" s="5" t="n">
        <f aca="false">ROUND(N17*(1-$B$8)+O16,1)</f>
        <v>164.5</v>
      </c>
      <c r="P17" s="5" t="n">
        <f aca="false">ROUND(O17*(1-$B$8)+P16,1)</f>
        <v>191.9</v>
      </c>
      <c r="Q17" s="5" t="n">
        <f aca="false">ROUND(P17*(1-$B$8)+Q16,1)</f>
        <v>223.3</v>
      </c>
      <c r="R17" s="5" t="n">
        <f aca="false">ROUND(Q17*(1-$B$8)+R16,1)</f>
        <v>259.3</v>
      </c>
      <c r="S17" s="5" t="n">
        <f aca="false">ROUND(R17*(1-$B$8)+S16,1)</f>
        <v>300.6</v>
      </c>
    </row>
    <row r="18" customFormat="false" ht="15" hidden="false" customHeight="true" outlineLevel="0" collapsed="false">
      <c r="A18" s="5" t="s">
        <v>433</v>
      </c>
      <c r="B18" s="5" t="n">
        <f aca="false">ROUND(B17*$B$7*(1-$B$9),0)</f>
        <v>168</v>
      </c>
      <c r="C18" s="5" t="n">
        <f aca="false">ROUND(C17*$B$7*(1-$B$9),0)</f>
        <v>354</v>
      </c>
      <c r="D18" s="5" t="n">
        <f aca="false">ROUND(D17*$B$7*(1-$B$9),0)</f>
        <v>560</v>
      </c>
      <c r="E18" s="5" t="n">
        <f aca="false">ROUND(E17*$B$7*(1-$B$9),0)</f>
        <v>795</v>
      </c>
      <c r="F18" s="5" t="n">
        <f aca="false">ROUND(F17*$B$7*(1-$B$9),0)</f>
        <v>1057</v>
      </c>
      <c r="G18" s="5" t="n">
        <f aca="false">ROUND(G17*$B$7*(1-$B$9),0)</f>
        <v>1355</v>
      </c>
      <c r="H18" s="5" t="n">
        <f aca="false">ROUND(H17*$B$7*(1-$B$9),0)</f>
        <v>1691</v>
      </c>
      <c r="I18" s="5" t="n">
        <f aca="false">ROUND(I17*$B$7*(1-$B$9),0)</f>
        <v>2072</v>
      </c>
      <c r="J18" s="5" t="n">
        <f aca="false">ROUND(J17*$B$7*(1-$B$9),0)</f>
        <v>2503</v>
      </c>
      <c r="K18" s="5" t="n">
        <f aca="false">ROUND(K17*$B$7*(1-$B$9),0)</f>
        <v>2993</v>
      </c>
      <c r="L18" s="5" t="n">
        <f aca="false">ROUND(L17*$B$7*(1-$B$9),0)</f>
        <v>3553</v>
      </c>
      <c r="M18" s="5" t="n">
        <f aca="false">ROUND(M17*$B$7*(1-$B$9),0)</f>
        <v>4190</v>
      </c>
      <c r="N18" s="5" t="n">
        <f aca="false">ROUND(N17*$B$7*(1-$B$9),0)</f>
        <v>4921</v>
      </c>
      <c r="O18" s="5" t="n">
        <f aca="false">ROUND(O17*$B$7*(1-$B$9),0)</f>
        <v>5758</v>
      </c>
      <c r="P18" s="5" t="n">
        <f aca="false">ROUND(P17*$B$7*(1-$B$9),0)</f>
        <v>6717</v>
      </c>
      <c r="Q18" s="5" t="n">
        <f aca="false">ROUND(Q17*$B$7*(1-$B$9),0)</f>
        <v>7816</v>
      </c>
      <c r="R18" s="5" t="n">
        <f aca="false">ROUND(R17*$B$7*(1-$B$9),0)</f>
        <v>9076</v>
      </c>
      <c r="S18" s="5" t="n">
        <f aca="false">ROUND(S17*$B$7*(1-$B$9),0)</f>
        <v>10521</v>
      </c>
    </row>
    <row r="19" customFormat="false" ht="15" hidden="false" customHeight="true" outlineLevel="0" collapsed="false">
      <c r="A19" s="5" t="s">
        <v>434</v>
      </c>
      <c r="B19" s="5" t="n">
        <f aca="false">$B$10</f>
        <v>22000</v>
      </c>
      <c r="C19" s="5" t="n">
        <f aca="false">ROUND(B19*(1+$B$11),0)</f>
        <v>22660</v>
      </c>
      <c r="D19" s="5" t="n">
        <f aca="false">ROUND(C19*(1+$B$11),0)</f>
        <v>23340</v>
      </c>
      <c r="E19" s="5" t="n">
        <f aca="false">ROUND(D19*(1+$B$11),0)</f>
        <v>24040</v>
      </c>
      <c r="F19" s="5" t="n">
        <f aca="false">ROUND(E19*(1+$B$11),0)</f>
        <v>24761</v>
      </c>
      <c r="G19" s="5" t="n">
        <f aca="false">ROUND(F19*(1+$B$11),0)</f>
        <v>25504</v>
      </c>
      <c r="H19" s="5" t="n">
        <f aca="false">ROUND(G19*(1+$B$11),0)</f>
        <v>26269</v>
      </c>
      <c r="I19" s="5" t="n">
        <f aca="false">ROUND(H19*(1+$B$11),0)</f>
        <v>27057</v>
      </c>
      <c r="J19" s="5" t="n">
        <f aca="false">ROUND(I19*(1+$B$11),0)</f>
        <v>27869</v>
      </c>
      <c r="K19" s="5" t="n">
        <f aca="false">ROUND(J19*(1+$B$11),0)</f>
        <v>28705</v>
      </c>
      <c r="L19" s="5" t="n">
        <f aca="false">ROUND(K19*(1+$B$11),0)</f>
        <v>29566</v>
      </c>
      <c r="M19" s="5" t="n">
        <f aca="false">ROUND(L19*(1+$B$11),0)</f>
        <v>30453</v>
      </c>
      <c r="N19" s="5" t="n">
        <f aca="false">ROUND(M19*(1+$B$11),0)</f>
        <v>31367</v>
      </c>
      <c r="O19" s="5" t="n">
        <f aca="false">ROUND(N19*(1+$B$11),0)</f>
        <v>32308</v>
      </c>
      <c r="P19" s="5" t="n">
        <f aca="false">ROUND(O19*(1+$B$11),0)</f>
        <v>33277</v>
      </c>
      <c r="Q19" s="5" t="n">
        <f aca="false">ROUND(P19*(1+$B$11),0)</f>
        <v>34275</v>
      </c>
      <c r="R19" s="5" t="n">
        <f aca="false">ROUND(Q19*(1+$B$11),0)</f>
        <v>35303</v>
      </c>
      <c r="S19" s="5" t="n">
        <f aca="false">ROUND(R19*(1+$B$11),0)</f>
        <v>36362</v>
      </c>
    </row>
    <row r="20" customFormat="false" ht="15" hidden="false" customHeight="true" outlineLevel="0" collapsed="false">
      <c r="A20" s="5" t="s">
        <v>435</v>
      </c>
      <c r="B20" s="5" t="n">
        <f aca="false">B18-B19</f>
        <v>-21832</v>
      </c>
      <c r="C20" s="5" t="n">
        <f aca="false">C18-C19</f>
        <v>-22306</v>
      </c>
      <c r="D20" s="5" t="n">
        <f aca="false">D18-D19</f>
        <v>-22780</v>
      </c>
      <c r="E20" s="5" t="n">
        <f aca="false">E18-E19</f>
        <v>-23245</v>
      </c>
      <c r="F20" s="5" t="n">
        <f aca="false">F18-F19</f>
        <v>-23704</v>
      </c>
      <c r="G20" s="5" t="n">
        <f aca="false">G18-G19</f>
        <v>-24149</v>
      </c>
      <c r="H20" s="5" t="n">
        <f aca="false">H18-H19</f>
        <v>-24578</v>
      </c>
      <c r="I20" s="5" t="n">
        <f aca="false">I18-I19</f>
        <v>-24985</v>
      </c>
      <c r="J20" s="5" t="n">
        <f aca="false">J18-J19</f>
        <v>-25366</v>
      </c>
      <c r="K20" s="5" t="n">
        <f aca="false">K18-K19</f>
        <v>-25712</v>
      </c>
      <c r="L20" s="5" t="n">
        <f aca="false">L18-L19</f>
        <v>-26013</v>
      </c>
      <c r="M20" s="5" t="n">
        <f aca="false">M18-M19</f>
        <v>-26263</v>
      </c>
      <c r="N20" s="5" t="n">
        <f aca="false">N18-N19</f>
        <v>-26446</v>
      </c>
      <c r="O20" s="5" t="n">
        <f aca="false">O18-O19</f>
        <v>-26550</v>
      </c>
      <c r="P20" s="5" t="n">
        <f aca="false">P18-P19</f>
        <v>-26560</v>
      </c>
      <c r="Q20" s="5" t="n">
        <f aca="false">Q18-Q19</f>
        <v>-26459</v>
      </c>
      <c r="R20" s="5" t="n">
        <f aca="false">R18-R19</f>
        <v>-26227</v>
      </c>
      <c r="S20" s="5" t="n">
        <f aca="false">S18-S19</f>
        <v>-25841</v>
      </c>
    </row>
    <row r="21" customFormat="false" ht="15" hidden="false" customHeight="true" outlineLevel="0" collapsed="false">
      <c r="A21" s="5" t="s">
        <v>436</v>
      </c>
      <c r="B21" s="5" t="n">
        <f aca="false">B20</f>
        <v>-21832</v>
      </c>
      <c r="C21" s="5" t="n">
        <f aca="false">B21+C20</f>
        <v>-44138</v>
      </c>
      <c r="D21" s="5" t="n">
        <f aca="false">C21+D20</f>
        <v>-66918</v>
      </c>
      <c r="E21" s="5" t="n">
        <f aca="false">D21+E20</f>
        <v>-90163</v>
      </c>
      <c r="F21" s="5" t="n">
        <f aca="false">E21+F20</f>
        <v>-113867</v>
      </c>
      <c r="G21" s="5" t="n">
        <f aca="false">F21+G20</f>
        <v>-138016</v>
      </c>
      <c r="H21" s="5" t="n">
        <f aca="false">G21+H20</f>
        <v>-162594</v>
      </c>
      <c r="I21" s="5" t="n">
        <f aca="false">H21+I20</f>
        <v>-187579</v>
      </c>
      <c r="J21" s="5" t="n">
        <f aca="false">I21+J20</f>
        <v>-212945</v>
      </c>
      <c r="K21" s="5" t="n">
        <f aca="false">J21+K20</f>
        <v>-238657</v>
      </c>
      <c r="L21" s="5" t="n">
        <f aca="false">K21+L20</f>
        <v>-264670</v>
      </c>
      <c r="M21" s="5" t="n">
        <f aca="false">L21+M20</f>
        <v>-290933</v>
      </c>
      <c r="N21" s="5" t="n">
        <f aca="false">M21+N20</f>
        <v>-317379</v>
      </c>
      <c r="O21" s="5" t="n">
        <f aca="false">N21+O20</f>
        <v>-343929</v>
      </c>
      <c r="P21" s="5" t="n">
        <f aca="false">O21+P20</f>
        <v>-370489</v>
      </c>
      <c r="Q21" s="5" t="n">
        <f aca="false">P21+Q20</f>
        <v>-396948</v>
      </c>
      <c r="R21" s="5" t="n">
        <f aca="false">Q21+R20</f>
        <v>-423175</v>
      </c>
      <c r="S21" s="5" t="n">
        <f aca="false">R21+S20</f>
        <v>-449016</v>
      </c>
    </row>
    <row r="22" customFormat="false" ht="15" hidden="false" customHeight="true" outlineLevel="0" collapsed="false">
      <c r="A22" s="5"/>
      <c r="B22" s="5"/>
      <c r="C22" s="5"/>
      <c r="D22" s="5"/>
      <c r="E22" s="5"/>
      <c r="F22" s="5"/>
      <c r="G22" s="5"/>
      <c r="H22" s="5"/>
      <c r="I22" s="5"/>
      <c r="J22" s="5"/>
      <c r="K22" s="5"/>
      <c r="L22" s="5"/>
      <c r="M22" s="5"/>
      <c r="N22" s="5"/>
      <c r="O22" s="5"/>
      <c r="P22" s="5"/>
      <c r="Q22" s="5"/>
      <c r="R22" s="5"/>
      <c r="S22" s="5"/>
    </row>
    <row r="23" customFormat="false" ht="42" hidden="false" customHeight="true" outlineLevel="0" collapsed="false">
      <c r="A23" s="7" t="s">
        <v>437</v>
      </c>
      <c r="B23" s="7"/>
      <c r="C23" s="7"/>
      <c r="D23" s="7"/>
      <c r="E23" s="7"/>
      <c r="F23" s="7"/>
      <c r="G23" s="7"/>
      <c r="H23" s="7"/>
      <c r="I23" s="7"/>
      <c r="J23" s="7"/>
      <c r="K23" s="7"/>
      <c r="L23" s="7"/>
      <c r="M23" s="7"/>
      <c r="N23" s="7"/>
      <c r="O23" s="7"/>
      <c r="P23" s="7"/>
      <c r="Q23" s="7"/>
      <c r="R23" s="7"/>
      <c r="S23" s="7"/>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438</v>
      </c>
    </row>
    <row r="3" customFormat="false" ht="15" hidden="false" customHeight="true" outlineLevel="0" collapsed="false">
      <c r="A3" s="3" t="s">
        <v>439</v>
      </c>
      <c r="B3" s="3" t="s">
        <v>440</v>
      </c>
      <c r="C3" s="3" t="s">
        <v>441</v>
      </c>
      <c r="D3" s="3" t="s">
        <v>442</v>
      </c>
    </row>
    <row r="4" customFormat="false" ht="25.5" hidden="false" customHeight="true" outlineLevel="0" collapsed="false">
      <c r="A4" s="4" t="s">
        <v>443</v>
      </c>
      <c r="B4" s="4" t="s">
        <v>444</v>
      </c>
      <c r="C4" s="4" t="s">
        <v>445</v>
      </c>
      <c r="D4" s="4" t="s">
        <v>272</v>
      </c>
    </row>
    <row r="5" customFormat="false" ht="25.5" hidden="false" customHeight="true" outlineLevel="0" collapsed="false">
      <c r="A5" s="4" t="s">
        <v>443</v>
      </c>
      <c r="B5" s="4" t="s">
        <v>446</v>
      </c>
      <c r="C5" s="4" t="s">
        <v>447</v>
      </c>
      <c r="D5" s="4" t="s">
        <v>230</v>
      </c>
    </row>
    <row r="6" customFormat="false" ht="25.5" hidden="false" customHeight="true" outlineLevel="0" collapsed="false">
      <c r="A6" s="4" t="s">
        <v>443</v>
      </c>
      <c r="B6" s="4" t="s">
        <v>448</v>
      </c>
      <c r="C6" s="4" t="s">
        <v>445</v>
      </c>
      <c r="D6" s="4" t="s">
        <v>230</v>
      </c>
    </row>
    <row r="7" customFormat="false" ht="25.5" hidden="false" customHeight="true" outlineLevel="0" collapsed="false">
      <c r="A7" s="4" t="s">
        <v>443</v>
      </c>
      <c r="B7" s="4" t="s">
        <v>449</v>
      </c>
      <c r="C7" s="4" t="s">
        <v>447</v>
      </c>
      <c r="D7" s="4" t="s">
        <v>290</v>
      </c>
    </row>
    <row r="8" customFormat="false" ht="25.5" hidden="false" customHeight="true" outlineLevel="0" collapsed="false">
      <c r="A8" s="4" t="s">
        <v>443</v>
      </c>
      <c r="B8" s="4" t="s">
        <v>450</v>
      </c>
      <c r="C8" s="4" t="s">
        <v>451</v>
      </c>
      <c r="D8" s="4" t="s">
        <v>290</v>
      </c>
    </row>
    <row r="9" customFormat="false" ht="25.5" hidden="false" customHeight="true" outlineLevel="0" collapsed="false">
      <c r="A9" s="4" t="s">
        <v>393</v>
      </c>
      <c r="B9" s="4" t="s">
        <v>452</v>
      </c>
      <c r="C9" s="4" t="s">
        <v>447</v>
      </c>
      <c r="D9" s="4" t="s">
        <v>323</v>
      </c>
    </row>
    <row r="10" customFormat="false" ht="25.5" hidden="false" customHeight="true" outlineLevel="0" collapsed="false">
      <c r="A10" s="4" t="s">
        <v>393</v>
      </c>
      <c r="B10" s="4" t="s">
        <v>453</v>
      </c>
      <c r="C10" s="4" t="s">
        <v>445</v>
      </c>
      <c r="D10" s="4" t="s">
        <v>323</v>
      </c>
    </row>
    <row r="11" customFormat="false" ht="25.5" hidden="false" customHeight="true" outlineLevel="0" collapsed="false">
      <c r="A11" s="4" t="s">
        <v>393</v>
      </c>
      <c r="B11" s="4" t="s">
        <v>454</v>
      </c>
      <c r="C11" s="4" t="s">
        <v>445</v>
      </c>
      <c r="D11" s="4" t="s">
        <v>323</v>
      </c>
    </row>
    <row r="12" customFormat="false" ht="25.5" hidden="false" customHeight="true" outlineLevel="0" collapsed="false">
      <c r="A12" s="4" t="s">
        <v>393</v>
      </c>
      <c r="B12" s="4" t="s">
        <v>455</v>
      </c>
      <c r="C12" s="4" t="s">
        <v>456</v>
      </c>
      <c r="D12" s="4" t="s">
        <v>323</v>
      </c>
    </row>
    <row r="13" customFormat="false" ht="25.5" hidden="false" customHeight="true" outlineLevel="0" collapsed="false">
      <c r="A13" s="4" t="s">
        <v>457</v>
      </c>
      <c r="B13" s="4" t="s">
        <v>458</v>
      </c>
      <c r="C13" s="4" t="s">
        <v>447</v>
      </c>
      <c r="D13" s="4" t="s">
        <v>362</v>
      </c>
    </row>
    <row r="14" customFormat="false" ht="25.5" hidden="false" customHeight="true" outlineLevel="0" collapsed="false">
      <c r="A14" s="4" t="s">
        <v>457</v>
      </c>
      <c r="B14" s="4" t="s">
        <v>459</v>
      </c>
      <c r="C14" s="4" t="s">
        <v>447</v>
      </c>
      <c r="D14" s="4" t="s">
        <v>362</v>
      </c>
    </row>
    <row r="15" customFormat="false" ht="25.5" hidden="false" customHeight="true" outlineLevel="0" collapsed="false">
      <c r="A15" s="4" t="s">
        <v>457</v>
      </c>
      <c r="B15" s="4" t="s">
        <v>460</v>
      </c>
      <c r="C15" s="4" t="s">
        <v>445</v>
      </c>
      <c r="D15" s="4" t="s">
        <v>461</v>
      </c>
    </row>
    <row r="16" customFormat="false" ht="25.5" hidden="false" customHeight="true" outlineLevel="0" collapsed="false">
      <c r="A16" s="4" t="s">
        <v>457</v>
      </c>
      <c r="B16" s="4" t="s">
        <v>462</v>
      </c>
      <c r="C16" s="4" t="s">
        <v>447</v>
      </c>
      <c r="D16" s="4"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463</v>
      </c>
    </row>
    <row r="2" customFormat="false" ht="15" hidden="false" customHeight="true" outlineLevel="0" collapsed="false">
      <c r="A2" s="5"/>
      <c r="B2" s="5"/>
      <c r="C2" s="5"/>
    </row>
    <row r="3" customFormat="false" ht="15" hidden="false" customHeight="true" outlineLevel="0" collapsed="false">
      <c r="A3" s="3" t="s">
        <v>95</v>
      </c>
      <c r="B3" s="3" t="s">
        <v>464</v>
      </c>
      <c r="C3" s="3" t="s">
        <v>5</v>
      </c>
    </row>
    <row r="4" customFormat="false" ht="25.5" hidden="false" customHeight="true" outlineLevel="0" collapsed="false">
      <c r="A4" s="4" t="n">
        <v>1</v>
      </c>
      <c r="B4" s="4" t="s">
        <v>465</v>
      </c>
      <c r="C4" s="4" t="s">
        <v>466</v>
      </c>
    </row>
    <row r="5" customFormat="false" ht="25.5" hidden="false" customHeight="true" outlineLevel="0" collapsed="false">
      <c r="A5" s="4" t="n">
        <v>2</v>
      </c>
      <c r="B5" s="4" t="s">
        <v>467</v>
      </c>
      <c r="C5" s="4" t="s">
        <v>466</v>
      </c>
    </row>
    <row r="6" customFormat="false" ht="25.5" hidden="false" customHeight="true" outlineLevel="0" collapsed="false">
      <c r="A6" s="4" t="n">
        <v>3</v>
      </c>
      <c r="B6" s="4" t="s">
        <v>468</v>
      </c>
      <c r="C6" s="4" t="s">
        <v>466</v>
      </c>
    </row>
    <row r="7" customFormat="false" ht="25.5" hidden="false" customHeight="true" outlineLevel="0" collapsed="false">
      <c r="A7" s="4" t="n">
        <v>4</v>
      </c>
      <c r="B7" s="4" t="s">
        <v>469</v>
      </c>
      <c r="C7" s="4" t="s">
        <v>466</v>
      </c>
    </row>
    <row r="8" customFormat="false" ht="25.5" hidden="false" customHeight="true" outlineLevel="0" collapsed="false">
      <c r="A8" s="4" t="n">
        <v>5</v>
      </c>
      <c r="B8" s="4" t="s">
        <v>470</v>
      </c>
      <c r="C8" s="4" t="s">
        <v>466</v>
      </c>
    </row>
    <row r="9" customFormat="false" ht="25.5" hidden="false" customHeight="true" outlineLevel="0" collapsed="false">
      <c r="A9" s="4" t="n">
        <v>6</v>
      </c>
      <c r="B9" s="4" t="s">
        <v>471</v>
      </c>
      <c r="C9" s="4" t="s">
        <v>466</v>
      </c>
    </row>
    <row r="10" customFormat="false" ht="25.5" hidden="false" customHeight="true" outlineLevel="0" collapsed="false">
      <c r="A10" s="4" t="n">
        <v>7</v>
      </c>
      <c r="B10" s="4" t="s">
        <v>472</v>
      </c>
      <c r="C10" s="4" t="s">
        <v>466</v>
      </c>
    </row>
    <row r="11" customFormat="false" ht="25.5" hidden="false" customHeight="true" outlineLevel="0" collapsed="false">
      <c r="A11" s="4" t="n">
        <v>8</v>
      </c>
      <c r="B11" s="4" t="s">
        <v>473</v>
      </c>
      <c r="C11" s="4" t="s">
        <v>466</v>
      </c>
    </row>
    <row r="12" customFormat="false" ht="25.5" hidden="false" customHeight="true" outlineLevel="0" collapsed="false">
      <c r="A12" s="4" t="n">
        <v>9</v>
      </c>
      <c r="B12" s="4" t="s">
        <v>474</v>
      </c>
      <c r="C12" s="4" t="s">
        <v>466</v>
      </c>
    </row>
    <row r="13" customFormat="false" ht="25.5" hidden="false" customHeight="true" outlineLevel="0" collapsed="false">
      <c r="A13" s="4" t="n">
        <v>10</v>
      </c>
      <c r="B13" s="4" t="s">
        <v>475</v>
      </c>
      <c r="C13" s="4" t="s">
        <v>466</v>
      </c>
    </row>
    <row r="14" customFormat="false" ht="124.5" hidden="false" customHeight="true" outlineLevel="0" collapsed="false">
      <c r="A14" s="5" t="s">
        <v>476</v>
      </c>
      <c r="B14" s="5" t="s">
        <v>477</v>
      </c>
      <c r="C14" s="5" t="s">
        <v>478</v>
      </c>
    </row>
    <row r="15" customFormat="false" ht="102" hidden="false" customHeight="true" outlineLevel="0" collapsed="false">
      <c r="A15" s="5" t="s">
        <v>479</v>
      </c>
      <c r="B15" s="5" t="s">
        <v>480</v>
      </c>
      <c r="C15" s="5" t="s">
        <v>481</v>
      </c>
    </row>
    <row r="16" customFormat="false" ht="90.75" hidden="false" customHeight="true" outlineLevel="0" collapsed="false">
      <c r="A16" s="5" t="s">
        <v>482</v>
      </c>
      <c r="B16" s="5" t="s">
        <v>483</v>
      </c>
      <c r="C16" s="5" t="s">
        <v>484</v>
      </c>
    </row>
    <row r="17" customFormat="false" ht="68.25" hidden="false" customHeight="true" outlineLevel="0" collapsed="false">
      <c r="A17" s="5" t="s">
        <v>485</v>
      </c>
      <c r="B17" s="5" t="s">
        <v>486</v>
      </c>
      <c r="C17" s="5" t="s">
        <v>487</v>
      </c>
    </row>
    <row r="18" customFormat="false" ht="169.4" hidden="false" customHeight="false" outlineLevel="0" collapsed="false">
      <c r="A18" s="5" t="s">
        <v>488</v>
      </c>
      <c r="B18" s="5" t="s">
        <v>489</v>
      </c>
      <c r="C18" s="5" t="s">
        <v>490</v>
      </c>
    </row>
    <row r="19" customFormat="false" ht="91" hidden="false" customHeight="false" outlineLevel="0" collapsed="false">
      <c r="A19" s="5" t="s">
        <v>491</v>
      </c>
      <c r="B19" s="5" t="s">
        <v>492</v>
      </c>
      <c r="C19" s="5" t="s">
        <v>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494</v>
      </c>
    </row>
    <row r="3" customFormat="false" ht="15" hidden="false" customHeight="true" outlineLevel="0" collapsed="false">
      <c r="A3" s="3" t="s">
        <v>495</v>
      </c>
      <c r="B3" s="3" t="s">
        <v>412</v>
      </c>
      <c r="C3" s="3" t="s">
        <v>414</v>
      </c>
      <c r="D3" s="3" t="s">
        <v>417</v>
      </c>
      <c r="E3" s="3" t="s">
        <v>423</v>
      </c>
      <c r="F3" s="3" t="s">
        <v>496</v>
      </c>
    </row>
    <row r="4" customFormat="false" ht="25.5" hidden="false" customHeight="true" outlineLevel="0" collapsed="false">
      <c r="A4" s="6" t="s">
        <v>497</v>
      </c>
      <c r="B4" s="6" t="s">
        <v>498</v>
      </c>
      <c r="C4" s="6" t="s">
        <v>499</v>
      </c>
      <c r="D4" s="6" t="s">
        <v>500</v>
      </c>
      <c r="E4" s="6" t="s">
        <v>501</v>
      </c>
      <c r="F4" s="6" t="s">
        <v>502</v>
      </c>
    </row>
    <row r="5" customFormat="false" ht="25.5" hidden="false" customHeight="true" outlineLevel="0" collapsed="false">
      <c r="A5" s="6" t="s">
        <v>503</v>
      </c>
      <c r="B5" s="6" t="s">
        <v>504</v>
      </c>
      <c r="C5" s="6" t="s">
        <v>505</v>
      </c>
      <c r="D5" s="6" t="s">
        <v>506</v>
      </c>
      <c r="E5" s="6" t="s">
        <v>507</v>
      </c>
      <c r="F5" s="6" t="s">
        <v>508</v>
      </c>
    </row>
    <row r="6" customFormat="false" ht="25.5" hidden="false" customHeight="true" outlineLevel="0" collapsed="false">
      <c r="A6" s="6" t="s">
        <v>509</v>
      </c>
      <c r="B6" s="6" t="s">
        <v>510</v>
      </c>
      <c r="C6" s="6" t="s">
        <v>511</v>
      </c>
      <c r="D6" s="6" t="s">
        <v>512</v>
      </c>
      <c r="E6" s="6" t="s">
        <v>513</v>
      </c>
      <c r="F6" s="6" t="s">
        <v>514</v>
      </c>
    </row>
    <row r="7" customFormat="false" ht="25.5" hidden="false" customHeight="true" outlineLevel="0" collapsed="false">
      <c r="A7" s="6" t="s">
        <v>515</v>
      </c>
      <c r="B7" s="6" t="s">
        <v>516</v>
      </c>
      <c r="C7" s="6" t="s">
        <v>517</v>
      </c>
      <c r="D7" s="6" t="s">
        <v>518</v>
      </c>
      <c r="E7" s="6" t="s">
        <v>518</v>
      </c>
      <c r="F7" s="6" t="s">
        <v>519</v>
      </c>
    </row>
    <row r="8" customFormat="false" ht="25.5" hidden="false" customHeight="true" outlineLevel="0" collapsed="false">
      <c r="A8" s="6" t="s">
        <v>520</v>
      </c>
      <c r="B8" s="6" t="s">
        <v>521</v>
      </c>
      <c r="C8" s="6" t="s">
        <v>522</v>
      </c>
      <c r="D8" s="6" t="s">
        <v>523</v>
      </c>
      <c r="E8" s="6" t="s">
        <v>524</v>
      </c>
      <c r="F8" s="6" t="s">
        <v>525</v>
      </c>
    </row>
    <row r="9" customFormat="false" ht="25.5" hidden="false" customHeight="true" outlineLevel="0" collapsed="false">
      <c r="A9" s="6" t="s">
        <v>526</v>
      </c>
      <c r="B9" s="6" t="s">
        <v>527</v>
      </c>
      <c r="C9" s="6" t="s">
        <v>528</v>
      </c>
      <c r="D9" s="6" t="s">
        <v>529</v>
      </c>
      <c r="E9" s="6" t="s">
        <v>529</v>
      </c>
      <c r="F9" s="6" t="s">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531</v>
      </c>
    </row>
    <row r="2" customFormat="false" ht="15" hidden="false" customHeight="true" outlineLevel="0" collapsed="false">
      <c r="A2" s="5"/>
      <c r="B2" s="5"/>
      <c r="C2" s="5"/>
      <c r="D2" s="5"/>
    </row>
    <row r="3" customFormat="false" ht="15" hidden="false" customHeight="true" outlineLevel="0" collapsed="false">
      <c r="A3" s="3" t="s">
        <v>532</v>
      </c>
      <c r="B3" s="3" t="s">
        <v>533</v>
      </c>
      <c r="C3" s="3" t="s">
        <v>534</v>
      </c>
      <c r="D3" s="3" t="s">
        <v>535</v>
      </c>
    </row>
    <row r="4" customFormat="false" ht="30" hidden="false" customHeight="true" outlineLevel="0" collapsed="false">
      <c r="A4" s="4" t="s">
        <v>536</v>
      </c>
      <c r="B4" s="4" t="s">
        <v>537</v>
      </c>
      <c r="C4" s="4" t="s">
        <v>538</v>
      </c>
      <c r="D4" s="4" t="s">
        <v>539</v>
      </c>
    </row>
    <row r="5" customFormat="false" ht="30" hidden="false" customHeight="true" outlineLevel="0" collapsed="false">
      <c r="A5" s="4" t="s">
        <v>540</v>
      </c>
      <c r="B5" s="4" t="s">
        <v>537</v>
      </c>
      <c r="C5" s="4" t="s">
        <v>538</v>
      </c>
      <c r="D5" s="4" t="s">
        <v>541</v>
      </c>
    </row>
    <row r="6" customFormat="false" ht="30" hidden="false" customHeight="true" outlineLevel="0" collapsed="false">
      <c r="A6" s="4" t="s">
        <v>542</v>
      </c>
      <c r="B6" s="4" t="s">
        <v>538</v>
      </c>
      <c r="C6" s="4" t="s">
        <v>537</v>
      </c>
      <c r="D6" s="4" t="s">
        <v>543</v>
      </c>
    </row>
    <row r="7" customFormat="false" ht="113.25" hidden="false" customHeight="true" outlineLevel="0" collapsed="false">
      <c r="A7" s="5" t="s">
        <v>544</v>
      </c>
      <c r="B7" s="5" t="s">
        <v>545</v>
      </c>
      <c r="C7" s="5" t="s">
        <v>546</v>
      </c>
      <c r="D7" s="5" t="s">
        <v>547</v>
      </c>
    </row>
    <row r="8" customFormat="false" ht="135.75" hidden="false" customHeight="true" outlineLevel="0" collapsed="false">
      <c r="A8" s="5" t="s">
        <v>548</v>
      </c>
      <c r="B8" s="5" t="s">
        <v>549</v>
      </c>
      <c r="C8" s="5" t="s">
        <v>550</v>
      </c>
      <c r="D8" s="5" t="s">
        <v>551</v>
      </c>
    </row>
    <row r="9" customFormat="false" ht="124.5" hidden="false" customHeight="true" outlineLevel="0" collapsed="false">
      <c r="A9" s="5" t="s">
        <v>552</v>
      </c>
      <c r="B9" s="5" t="s">
        <v>553</v>
      </c>
      <c r="C9" s="5" t="s">
        <v>550</v>
      </c>
      <c r="D9" s="5" t="s">
        <v>554</v>
      </c>
    </row>
    <row r="10" customFormat="false" ht="157.5" hidden="false" customHeight="true" outlineLevel="0" collapsed="false">
      <c r="A10" s="5" t="s">
        <v>555</v>
      </c>
      <c r="B10" s="5" t="s">
        <v>556</v>
      </c>
      <c r="C10" s="5" t="s">
        <v>557</v>
      </c>
      <c r="D10" s="5" t="s">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8"/>
    <col collapsed="false" customWidth="true" hidden="false" outlineLevel="0" max="4" min="4" style="1" width="22"/>
    <col collapsed="false" customWidth="true" hidden="false" outlineLevel="0" max="6" min="5" style="1" width="55"/>
    <col collapsed="false" customWidth="true" hidden="false" outlineLevel="0" max="7" min="7" style="1" width="12"/>
    <col collapsed="false" customWidth="true" hidden="false" outlineLevel="0" max="8" min="8" style="1" width="40"/>
  </cols>
  <sheetData>
    <row r="1" customFormat="false" ht="17.25" hidden="false" customHeight="true" outlineLevel="0" collapsed="false">
      <c r="A1" s="2" t="s">
        <v>559</v>
      </c>
    </row>
    <row r="3" customFormat="false" ht="15" hidden="false" customHeight="true" outlineLevel="0" collapsed="false">
      <c r="A3" s="3" t="s">
        <v>560</v>
      </c>
      <c r="B3" s="3" t="s">
        <v>561</v>
      </c>
      <c r="C3" s="3" t="s">
        <v>133</v>
      </c>
      <c r="D3" s="3" t="s">
        <v>562</v>
      </c>
      <c r="E3" s="3" t="s">
        <v>563</v>
      </c>
      <c r="F3" s="3" t="s">
        <v>564</v>
      </c>
      <c r="G3" s="3" t="s">
        <v>565</v>
      </c>
      <c r="H3" s="3" t="s">
        <v>566</v>
      </c>
    </row>
    <row r="4" customFormat="false" ht="23.25" hidden="false" customHeight="true" outlineLevel="0" collapsed="false">
      <c r="A4" s="5" t="s">
        <v>567</v>
      </c>
      <c r="B4" s="5" t="s">
        <v>12</v>
      </c>
      <c r="C4" s="5" t="s">
        <v>568</v>
      </c>
      <c r="D4" s="5" t="s">
        <v>569</v>
      </c>
      <c r="E4" s="5" t="s">
        <v>570</v>
      </c>
      <c r="F4" s="5" t="s">
        <v>571</v>
      </c>
      <c r="G4" s="5" t="s">
        <v>569</v>
      </c>
      <c r="H4" s="5" t="s">
        <v>572</v>
      </c>
    </row>
    <row r="5" customFormat="false" ht="45.75" hidden="false" customHeight="true" outlineLevel="0" collapsed="false">
      <c r="A5" s="5" t="s">
        <v>573</v>
      </c>
      <c r="B5" s="5" t="s">
        <v>15</v>
      </c>
      <c r="C5" s="5" t="s">
        <v>252</v>
      </c>
      <c r="D5" s="5" t="s">
        <v>574</v>
      </c>
      <c r="E5" s="5" t="s">
        <v>575</v>
      </c>
      <c r="F5" s="5" t="s">
        <v>576</v>
      </c>
      <c r="G5" s="5" t="s">
        <v>577</v>
      </c>
      <c r="H5" s="5" t="s">
        <v>578</v>
      </c>
    </row>
    <row r="6" customFormat="false" ht="57" hidden="false" customHeight="true" outlineLevel="0" collapsed="false">
      <c r="A6" s="5" t="s">
        <v>579</v>
      </c>
      <c r="B6" s="5" t="s">
        <v>18</v>
      </c>
      <c r="C6" s="5" t="s">
        <v>138</v>
      </c>
      <c r="D6" s="5" t="s">
        <v>580</v>
      </c>
      <c r="E6" s="5" t="s">
        <v>581</v>
      </c>
      <c r="F6" s="5" t="s">
        <v>582</v>
      </c>
      <c r="G6" s="5" t="s">
        <v>577</v>
      </c>
      <c r="H6" s="5" t="s">
        <v>583</v>
      </c>
    </row>
    <row r="7" customFormat="false" ht="102" hidden="false" customHeight="true" outlineLevel="0" collapsed="false">
      <c r="A7" s="5" t="s">
        <v>584</v>
      </c>
      <c r="B7" s="5" t="s">
        <v>21</v>
      </c>
      <c r="C7" s="5" t="s">
        <v>149</v>
      </c>
      <c r="D7" s="5" t="s">
        <v>585</v>
      </c>
      <c r="E7" s="5" t="s">
        <v>586</v>
      </c>
      <c r="F7" s="5" t="s">
        <v>587</v>
      </c>
      <c r="G7" s="5" t="s">
        <v>577</v>
      </c>
      <c r="H7" s="5" t="s">
        <v>588</v>
      </c>
    </row>
    <row r="8" customFormat="false" ht="147" hidden="false" customHeight="true" outlineLevel="0" collapsed="false">
      <c r="A8" s="5" t="s">
        <v>589</v>
      </c>
      <c r="B8" s="5" t="s">
        <v>24</v>
      </c>
      <c r="C8" s="5" t="s">
        <v>172</v>
      </c>
      <c r="D8" s="5" t="s">
        <v>590</v>
      </c>
      <c r="E8" s="5" t="s">
        <v>591</v>
      </c>
      <c r="F8" s="5" t="s">
        <v>592</v>
      </c>
      <c r="G8" s="5" t="s">
        <v>577</v>
      </c>
      <c r="H8" s="5" t="s">
        <v>593</v>
      </c>
    </row>
    <row r="9" customFormat="false" ht="157.5" hidden="false" customHeight="true" outlineLevel="0" collapsed="false">
      <c r="A9" s="5" t="s">
        <v>594</v>
      </c>
      <c r="B9" s="5" t="s">
        <v>27</v>
      </c>
      <c r="C9" s="5" t="s">
        <v>186</v>
      </c>
      <c r="D9" s="5" t="s">
        <v>595</v>
      </c>
      <c r="E9" s="5" t="s">
        <v>596</v>
      </c>
      <c r="F9" s="5" t="s">
        <v>597</v>
      </c>
      <c r="G9" s="5" t="s">
        <v>577</v>
      </c>
      <c r="H9" s="5" t="s">
        <v>598</v>
      </c>
    </row>
    <row r="10" customFormat="false" ht="168.75" hidden="false" customHeight="true" outlineLevel="0" collapsed="false">
      <c r="A10" s="5" t="s">
        <v>599</v>
      </c>
      <c r="B10" s="5" t="s">
        <v>30</v>
      </c>
      <c r="C10" s="5" t="s">
        <v>208</v>
      </c>
      <c r="D10" s="5" t="s">
        <v>600</v>
      </c>
      <c r="E10" s="5" t="s">
        <v>601</v>
      </c>
      <c r="F10" s="5" t="s">
        <v>602</v>
      </c>
      <c r="G10" s="5" t="s">
        <v>577</v>
      </c>
      <c r="H10" s="5" t="s">
        <v>603</v>
      </c>
    </row>
    <row r="11" customFormat="false" ht="180" hidden="false" customHeight="true" outlineLevel="0" collapsed="false">
      <c r="A11" s="5" t="s">
        <v>604</v>
      </c>
      <c r="B11" s="5" t="s">
        <v>33</v>
      </c>
      <c r="C11" s="5" t="s">
        <v>272</v>
      </c>
      <c r="D11" s="5" t="s">
        <v>605</v>
      </c>
      <c r="E11" s="5" t="s">
        <v>606</v>
      </c>
      <c r="F11" s="5" t="s">
        <v>607</v>
      </c>
      <c r="G11" s="5" t="s">
        <v>577</v>
      </c>
      <c r="H11" s="5" t="s">
        <v>608</v>
      </c>
    </row>
    <row r="12" customFormat="false" ht="124.5" hidden="false" customHeight="true" outlineLevel="0" collapsed="false">
      <c r="A12" s="5" t="s">
        <v>609</v>
      </c>
      <c r="B12" s="5" t="s">
        <v>36</v>
      </c>
      <c r="C12" s="5" t="s">
        <v>230</v>
      </c>
      <c r="D12" s="5" t="s">
        <v>610</v>
      </c>
      <c r="E12" s="5" t="s">
        <v>611</v>
      </c>
      <c r="F12" s="5" t="s">
        <v>612</v>
      </c>
      <c r="G12" s="5" t="s">
        <v>577</v>
      </c>
      <c r="H12" s="5" t="s">
        <v>613</v>
      </c>
    </row>
    <row r="13" customFormat="false" ht="191.25" hidden="false" customHeight="true" outlineLevel="0" collapsed="false">
      <c r="A13" s="5" t="s">
        <v>614</v>
      </c>
      <c r="B13" s="5" t="s">
        <v>15</v>
      </c>
      <c r="C13" s="5" t="s">
        <v>569</v>
      </c>
      <c r="D13" s="5" t="s">
        <v>615</v>
      </c>
      <c r="E13" s="5" t="s">
        <v>616</v>
      </c>
      <c r="F13" s="5" t="s">
        <v>617</v>
      </c>
      <c r="G13" s="5" t="s">
        <v>569</v>
      </c>
      <c r="H13" s="5" t="s">
        <v>618</v>
      </c>
    </row>
    <row r="14" customFormat="false" ht="292.5" hidden="false" customHeight="true" outlineLevel="0" collapsed="false">
      <c r="A14" s="5" t="s">
        <v>619</v>
      </c>
      <c r="B14" s="5" t="s">
        <v>15</v>
      </c>
      <c r="C14" s="5" t="s">
        <v>252</v>
      </c>
      <c r="D14" s="5" t="s">
        <v>620</v>
      </c>
      <c r="E14" s="5" t="s">
        <v>621</v>
      </c>
      <c r="F14" s="5" t="s">
        <v>622</v>
      </c>
      <c r="G14" s="5" t="s">
        <v>623</v>
      </c>
      <c r="H14" s="5" t="s">
        <v>624</v>
      </c>
    </row>
    <row r="15" customFormat="false" ht="314.25" hidden="false" customHeight="true" outlineLevel="0" collapsed="false">
      <c r="A15" s="5" t="s">
        <v>624</v>
      </c>
      <c r="B15" s="5" t="s">
        <v>18</v>
      </c>
      <c r="C15" s="5" t="s">
        <v>138</v>
      </c>
      <c r="D15" s="5" t="s">
        <v>625</v>
      </c>
      <c r="E15" s="5" t="s">
        <v>626</v>
      </c>
      <c r="F15" s="5" t="s">
        <v>627</v>
      </c>
      <c r="G15" s="5" t="s">
        <v>569</v>
      </c>
      <c r="H15" s="5" t="s">
        <v>628</v>
      </c>
    </row>
    <row r="16" customFormat="false" ht="359.25" hidden="false" customHeight="true" outlineLevel="0" collapsed="false">
      <c r="A16" s="5" t="s">
        <v>628</v>
      </c>
      <c r="B16" s="5" t="s">
        <v>21</v>
      </c>
      <c r="C16" s="5" t="s">
        <v>149</v>
      </c>
      <c r="D16" s="5" t="s">
        <v>629</v>
      </c>
      <c r="E16" s="5" t="s">
        <v>630</v>
      </c>
      <c r="F16" s="5" t="s">
        <v>631</v>
      </c>
      <c r="G16" s="5" t="s">
        <v>569</v>
      </c>
      <c r="H16" s="5" t="s">
        <v>632</v>
      </c>
    </row>
    <row r="17" customFormat="false" ht="393" hidden="false" customHeight="true" outlineLevel="0" collapsed="false">
      <c r="A17" s="5" t="s">
        <v>632</v>
      </c>
      <c r="B17" s="5" t="s">
        <v>24</v>
      </c>
      <c r="C17" s="5" t="s">
        <v>172</v>
      </c>
      <c r="D17" s="5" t="s">
        <v>633</v>
      </c>
      <c r="E17" s="5" t="s">
        <v>634</v>
      </c>
      <c r="F17" s="5" t="s">
        <v>635</v>
      </c>
      <c r="G17" s="5" t="s">
        <v>636</v>
      </c>
      <c r="H17" s="5" t="s">
        <v>637</v>
      </c>
    </row>
    <row r="18" customFormat="false" ht="381.75" hidden="false" customHeight="true" outlineLevel="0" collapsed="false">
      <c r="A18" s="5" t="s">
        <v>637</v>
      </c>
      <c r="B18" s="5" t="s">
        <v>27</v>
      </c>
      <c r="C18" s="5" t="s">
        <v>186</v>
      </c>
      <c r="D18" s="5" t="s">
        <v>638</v>
      </c>
      <c r="E18" s="5" t="s">
        <v>639</v>
      </c>
      <c r="F18" s="5" t="s">
        <v>640</v>
      </c>
      <c r="G18" s="5" t="s">
        <v>641</v>
      </c>
      <c r="H18" s="5" t="s">
        <v>642</v>
      </c>
    </row>
    <row r="19" customFormat="false" ht="168.75" hidden="false" customHeight="true" outlineLevel="0" collapsed="false">
      <c r="A19" s="5" t="s">
        <v>642</v>
      </c>
      <c r="B19" s="5" t="s">
        <v>643</v>
      </c>
      <c r="C19" s="5" t="s">
        <v>569</v>
      </c>
      <c r="D19" s="5" t="s">
        <v>644</v>
      </c>
      <c r="E19" s="5" t="s">
        <v>645</v>
      </c>
      <c r="F19" s="5" t="s">
        <v>646</v>
      </c>
      <c r="G19" s="5" t="s">
        <v>569</v>
      </c>
      <c r="H19" s="5" t="s">
        <v>647</v>
      </c>
    </row>
    <row r="20" customFormat="false" ht="627.75" hidden="false" customHeight="true" outlineLevel="0" collapsed="false">
      <c r="A20" s="5" t="s">
        <v>648</v>
      </c>
      <c r="B20" s="5" t="s">
        <v>30</v>
      </c>
      <c r="C20" s="5" t="s">
        <v>208</v>
      </c>
      <c r="D20" s="5" t="s">
        <v>649</v>
      </c>
      <c r="E20" s="5" t="s">
        <v>650</v>
      </c>
      <c r="F20" s="5" t="s">
        <v>651</v>
      </c>
      <c r="G20" s="5" t="s">
        <v>652</v>
      </c>
      <c r="H20" s="5" t="s">
        <v>653</v>
      </c>
    </row>
    <row r="21" customFormat="false" ht="459.75" hidden="false" customHeight="true" outlineLevel="0" collapsed="false">
      <c r="A21" s="5" t="s">
        <v>654</v>
      </c>
      <c r="B21" s="5" t="s">
        <v>33</v>
      </c>
      <c r="C21" s="5" t="s">
        <v>272</v>
      </c>
      <c r="D21" s="5" t="s">
        <v>655</v>
      </c>
      <c r="E21" s="5" t="s">
        <v>656</v>
      </c>
      <c r="F21" s="5" t="s">
        <v>657</v>
      </c>
      <c r="G21" s="5" t="s">
        <v>658</v>
      </c>
      <c r="H21" s="5" t="s">
        <v>659</v>
      </c>
    </row>
    <row r="22" customFormat="false" ht="415.5" hidden="false" customHeight="true" outlineLevel="0" collapsed="false">
      <c r="A22" s="5" t="s">
        <v>660</v>
      </c>
      <c r="B22" s="5" t="s">
        <v>36</v>
      </c>
      <c r="C22" s="5" t="s">
        <v>230</v>
      </c>
      <c r="D22" s="5" t="s">
        <v>661</v>
      </c>
      <c r="E22" s="5" t="s">
        <v>662</v>
      </c>
      <c r="F22" s="5" t="s">
        <v>663</v>
      </c>
      <c r="G22" s="5" t="s">
        <v>664</v>
      </c>
      <c r="H22" s="5" t="s">
        <v>665</v>
      </c>
    </row>
    <row r="23" customFormat="false" ht="135.75" hidden="false" customHeight="true" outlineLevel="0" collapsed="false">
      <c r="A23" s="5" t="s">
        <v>666</v>
      </c>
      <c r="B23" s="5" t="s">
        <v>667</v>
      </c>
      <c r="C23" s="5" t="s">
        <v>290</v>
      </c>
      <c r="D23" s="5" t="s">
        <v>668</v>
      </c>
      <c r="E23" s="5" t="s">
        <v>669</v>
      </c>
      <c r="F23" s="5" t="s">
        <v>670</v>
      </c>
      <c r="G23" s="5" t="s">
        <v>569</v>
      </c>
      <c r="H23" s="5" t="s">
        <v>671</v>
      </c>
    </row>
    <row r="24" customFormat="false" ht="281.25" hidden="false" customHeight="true" outlineLevel="0" collapsed="false">
      <c r="A24" s="5" t="s">
        <v>671</v>
      </c>
      <c r="B24" s="5" t="s">
        <v>672</v>
      </c>
      <c r="C24" s="5" t="s">
        <v>290</v>
      </c>
      <c r="D24" s="5" t="s">
        <v>673</v>
      </c>
      <c r="E24" s="5" t="s">
        <v>674</v>
      </c>
      <c r="F24" s="5" t="s">
        <v>675</v>
      </c>
      <c r="G24" s="5" t="s">
        <v>676</v>
      </c>
      <c r="H24" s="5" t="s">
        <v>677</v>
      </c>
    </row>
    <row r="25" customFormat="false" ht="415.5" hidden="false" customHeight="true" outlineLevel="0" collapsed="false">
      <c r="A25" s="5" t="s">
        <v>677</v>
      </c>
      <c r="B25" s="5" t="s">
        <v>41</v>
      </c>
      <c r="C25" s="5" t="s">
        <v>290</v>
      </c>
      <c r="D25" s="5" t="s">
        <v>678</v>
      </c>
      <c r="E25" s="5" t="s">
        <v>679</v>
      </c>
      <c r="F25" s="5" t="s">
        <v>680</v>
      </c>
      <c r="G25" s="5" t="s">
        <v>681</v>
      </c>
      <c r="H25" s="5" t="s">
        <v>682</v>
      </c>
    </row>
    <row r="26" customFormat="false" ht="393" hidden="false" customHeight="true" outlineLevel="0" collapsed="false">
      <c r="A26" s="5" t="s">
        <v>683</v>
      </c>
      <c r="B26" s="5" t="s">
        <v>44</v>
      </c>
      <c r="C26" s="5" t="s">
        <v>684</v>
      </c>
      <c r="D26" s="5" t="s">
        <v>685</v>
      </c>
      <c r="E26" s="5" t="s">
        <v>686</v>
      </c>
      <c r="F26" s="5" t="s">
        <v>687</v>
      </c>
      <c r="G26" s="5" t="s">
        <v>688</v>
      </c>
      <c r="H26" s="5" t="s">
        <v>689</v>
      </c>
    </row>
    <row r="27" customFormat="false" ht="202.5" hidden="false" customHeight="true" outlineLevel="0" collapsed="false">
      <c r="A27" s="5" t="s">
        <v>690</v>
      </c>
      <c r="B27" s="5" t="s">
        <v>47</v>
      </c>
      <c r="C27" s="5" t="s">
        <v>318</v>
      </c>
      <c r="D27" s="5" t="s">
        <v>691</v>
      </c>
      <c r="E27" s="5" t="s">
        <v>692</v>
      </c>
      <c r="F27" s="5" t="s">
        <v>693</v>
      </c>
      <c r="G27" s="5" t="s">
        <v>694</v>
      </c>
      <c r="H27" s="5" t="s">
        <v>695</v>
      </c>
    </row>
    <row r="28" customFormat="false" ht="180" hidden="false" customHeight="true" outlineLevel="0" collapsed="false">
      <c r="A28" s="5" t="s">
        <v>696</v>
      </c>
      <c r="B28" s="5" t="s">
        <v>50</v>
      </c>
      <c r="C28" s="5" t="s">
        <v>697</v>
      </c>
      <c r="D28" s="5" t="s">
        <v>698</v>
      </c>
      <c r="E28" s="5" t="s">
        <v>699</v>
      </c>
      <c r="F28" s="5" t="s">
        <v>700</v>
      </c>
      <c r="G28" s="5" t="s">
        <v>701</v>
      </c>
      <c r="H28" s="5" t="s">
        <v>702</v>
      </c>
    </row>
    <row r="29" customFormat="false" ht="225" hidden="false" customHeight="true" outlineLevel="0" collapsed="false">
      <c r="A29" s="5" t="s">
        <v>703</v>
      </c>
      <c r="B29" s="5" t="s">
        <v>53</v>
      </c>
      <c r="C29" s="5" t="s">
        <v>704</v>
      </c>
      <c r="D29" s="5" t="s">
        <v>705</v>
      </c>
      <c r="E29" s="5" t="s">
        <v>706</v>
      </c>
      <c r="F29" s="5" t="s">
        <v>707</v>
      </c>
      <c r="G29" s="5" t="s">
        <v>708</v>
      </c>
      <c r="H29" s="5" t="s">
        <v>709</v>
      </c>
    </row>
    <row r="30" customFormat="false" ht="202.95" hidden="false" customHeight="false" outlineLevel="0" collapsed="false">
      <c r="A30" s="5" t="s">
        <v>710</v>
      </c>
      <c r="B30" s="5" t="s">
        <v>56</v>
      </c>
      <c r="C30" s="5" t="s">
        <v>704</v>
      </c>
      <c r="D30" s="5" t="s">
        <v>711</v>
      </c>
      <c r="E30" s="5" t="s">
        <v>712</v>
      </c>
      <c r="F30" s="5" t="s">
        <v>713</v>
      </c>
      <c r="G30" s="5" t="s">
        <v>714</v>
      </c>
      <c r="H30" s="5"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60"/>
    <col collapsed="false" customWidth="true" hidden="false" outlineLevel="0" max="4" min="4" style="1" width="7"/>
    <col collapsed="false" customWidth="true" hidden="false" outlineLevel="0" max="6" min="5" style="1" width="20"/>
    <col collapsed="false" customWidth="true" hidden="false" outlineLevel="0" max="7" min="7" style="1" width="24"/>
    <col collapsed="false" customWidth="true" hidden="false" outlineLevel="0" max="8" min="8" style="1" width="8"/>
    <col collapsed="false" customWidth="true" hidden="false" outlineLevel="0" max="9" min="9" style="1" width="28"/>
    <col collapsed="false" customWidth="true" hidden="false" outlineLevel="0" max="10" min="10" style="1" width="22"/>
    <col collapsed="false" customWidth="true" hidden="false" outlineLevel="0" max="11" min="11" style="1" width="10"/>
  </cols>
  <sheetData>
    <row r="1" customFormat="false" ht="17.25" hidden="false" customHeight="true" outlineLevel="0" collapsed="false">
      <c r="A1" s="2" t="s">
        <v>716</v>
      </c>
    </row>
    <row r="3" customFormat="false" ht="23.25" hidden="false" customHeight="true" outlineLevel="0" collapsed="false">
      <c r="A3" s="3" t="s">
        <v>717</v>
      </c>
      <c r="B3" s="3" t="s">
        <v>129</v>
      </c>
      <c r="C3" s="3" t="s">
        <v>718</v>
      </c>
      <c r="D3" s="3" t="s">
        <v>133</v>
      </c>
      <c r="E3" s="3" t="s">
        <v>719</v>
      </c>
      <c r="F3" s="3" t="s">
        <v>720</v>
      </c>
      <c r="G3" s="3" t="s">
        <v>721</v>
      </c>
      <c r="H3" s="3" t="s">
        <v>722</v>
      </c>
      <c r="I3" s="3" t="s">
        <v>723</v>
      </c>
      <c r="J3" s="3" t="s">
        <v>724</v>
      </c>
      <c r="K3" s="3" t="s">
        <v>5</v>
      </c>
    </row>
    <row r="4" customFormat="false" ht="23.25" hidden="false" customHeight="true" outlineLevel="0" collapsed="false">
      <c r="A4" s="5" t="s">
        <v>249</v>
      </c>
      <c r="B4" s="5" t="s">
        <v>250</v>
      </c>
      <c r="C4" s="5" t="s">
        <v>251</v>
      </c>
      <c r="D4" s="5" t="s">
        <v>252</v>
      </c>
      <c r="E4" s="5" t="s">
        <v>725</v>
      </c>
      <c r="F4" s="5" t="s">
        <v>726</v>
      </c>
      <c r="G4" s="5" t="s">
        <v>727</v>
      </c>
      <c r="H4" s="5" t="n">
        <v>17</v>
      </c>
      <c r="I4" s="5" t="s">
        <v>728</v>
      </c>
      <c r="J4" s="5" t="s">
        <v>729</v>
      </c>
      <c r="K4" s="5" t="s">
        <v>139</v>
      </c>
    </row>
    <row r="5" customFormat="false" ht="15" hidden="false" customHeight="true" outlineLevel="0" collapsed="false">
      <c r="A5" s="5" t="s">
        <v>253</v>
      </c>
      <c r="B5" s="5" t="s">
        <v>250</v>
      </c>
      <c r="C5" s="5" t="s">
        <v>254</v>
      </c>
      <c r="D5" s="5" t="s">
        <v>252</v>
      </c>
      <c r="E5" s="5" t="s">
        <v>730</v>
      </c>
      <c r="F5" s="5" t="s">
        <v>731</v>
      </c>
      <c r="G5" s="5" t="s">
        <v>732</v>
      </c>
      <c r="H5" s="5" t="n">
        <v>8</v>
      </c>
      <c r="I5" s="5" t="s">
        <v>728</v>
      </c>
      <c r="J5" s="5" t="s">
        <v>729</v>
      </c>
      <c r="K5" s="5" t="s">
        <v>139</v>
      </c>
    </row>
    <row r="6" customFormat="false" ht="15" hidden="false" customHeight="true" outlineLevel="0" collapsed="false">
      <c r="A6" s="5" t="s">
        <v>259</v>
      </c>
      <c r="B6" s="5" t="s">
        <v>250</v>
      </c>
      <c r="C6" s="5" t="s">
        <v>260</v>
      </c>
      <c r="D6" s="5" t="s">
        <v>252</v>
      </c>
      <c r="E6" s="5" t="s">
        <v>733</v>
      </c>
      <c r="F6" s="5" t="s">
        <v>734</v>
      </c>
      <c r="G6" s="5" t="s">
        <v>732</v>
      </c>
      <c r="H6" s="5" t="n">
        <v>4</v>
      </c>
      <c r="I6" s="5" t="s">
        <v>728</v>
      </c>
      <c r="J6" s="5" t="s">
        <v>729</v>
      </c>
      <c r="K6" s="5" t="s">
        <v>139</v>
      </c>
    </row>
    <row r="7" customFormat="false" ht="15" hidden="false" customHeight="true" outlineLevel="0" collapsed="false">
      <c r="A7" s="5" t="s">
        <v>261</v>
      </c>
      <c r="B7" s="5" t="s">
        <v>250</v>
      </c>
      <c r="C7" s="5" t="s">
        <v>262</v>
      </c>
      <c r="D7" s="5" t="s">
        <v>252</v>
      </c>
      <c r="E7" s="5" t="s">
        <v>735</v>
      </c>
      <c r="F7" s="5" t="s">
        <v>736</v>
      </c>
      <c r="G7" s="5" t="s">
        <v>732</v>
      </c>
      <c r="H7" s="5" t="n">
        <v>11</v>
      </c>
      <c r="I7" s="5" t="s">
        <v>728</v>
      </c>
      <c r="J7" s="5" t="s">
        <v>729</v>
      </c>
      <c r="K7" s="5" t="s">
        <v>139</v>
      </c>
    </row>
    <row r="8" customFormat="false" ht="23.25" hidden="false" customHeight="true" outlineLevel="0" collapsed="false">
      <c r="A8" s="5" t="s">
        <v>134</v>
      </c>
      <c r="B8" s="5" t="s">
        <v>135</v>
      </c>
      <c r="C8" s="5" t="s">
        <v>136</v>
      </c>
      <c r="D8" s="5" t="s">
        <v>138</v>
      </c>
      <c r="E8" s="5" t="s">
        <v>737</v>
      </c>
      <c r="F8" s="5" t="s">
        <v>738</v>
      </c>
      <c r="G8" s="5" t="s">
        <v>739</v>
      </c>
      <c r="H8" s="5" t="n">
        <v>3</v>
      </c>
      <c r="I8" s="5" t="s">
        <v>728</v>
      </c>
      <c r="J8" s="5" t="s">
        <v>740</v>
      </c>
      <c r="K8" s="5" t="s">
        <v>139</v>
      </c>
    </row>
    <row r="9" customFormat="false" ht="15" hidden="false" customHeight="true" outlineLevel="0" collapsed="false">
      <c r="A9" s="5" t="s">
        <v>140</v>
      </c>
      <c r="B9" s="5" t="s">
        <v>135</v>
      </c>
      <c r="C9" s="5" t="s">
        <v>141</v>
      </c>
      <c r="D9" s="5" t="s">
        <v>138</v>
      </c>
      <c r="E9" s="5" t="s">
        <v>741</v>
      </c>
      <c r="F9" s="5" t="s">
        <v>742</v>
      </c>
      <c r="G9" s="5" t="s">
        <v>739</v>
      </c>
      <c r="H9" s="5" t="n">
        <v>7</v>
      </c>
      <c r="I9" s="5" t="s">
        <v>728</v>
      </c>
      <c r="J9" s="5" t="s">
        <v>740</v>
      </c>
      <c r="K9" s="5" t="s">
        <v>139</v>
      </c>
    </row>
    <row r="10" customFormat="false" ht="23.25" hidden="false" customHeight="true" outlineLevel="0" collapsed="false">
      <c r="A10" s="5" t="s">
        <v>142</v>
      </c>
      <c r="B10" s="5" t="s">
        <v>135</v>
      </c>
      <c r="C10" s="5" t="s">
        <v>143</v>
      </c>
      <c r="D10" s="5" t="s">
        <v>138</v>
      </c>
      <c r="E10" s="5" t="s">
        <v>743</v>
      </c>
      <c r="F10" s="5" t="s">
        <v>738</v>
      </c>
      <c r="G10" s="5" t="s">
        <v>739</v>
      </c>
      <c r="H10" s="5" t="n">
        <v>9</v>
      </c>
      <c r="I10" s="5" t="s">
        <v>728</v>
      </c>
      <c r="J10" s="5" t="s">
        <v>740</v>
      </c>
      <c r="K10" s="5" t="s">
        <v>139</v>
      </c>
    </row>
    <row r="11" customFormat="false" ht="23.25" hidden="false" customHeight="true" outlineLevel="0" collapsed="false">
      <c r="A11" s="5" t="s">
        <v>145</v>
      </c>
      <c r="B11" s="5" t="s">
        <v>135</v>
      </c>
      <c r="C11" s="5" t="s">
        <v>146</v>
      </c>
      <c r="D11" s="5" t="s">
        <v>138</v>
      </c>
      <c r="E11" s="5" t="s">
        <v>744</v>
      </c>
      <c r="F11" s="5" t="s">
        <v>742</v>
      </c>
      <c r="G11" s="5" t="s">
        <v>739</v>
      </c>
      <c r="H11" s="5" t="n">
        <v>5</v>
      </c>
      <c r="I11" s="5" t="s">
        <v>728</v>
      </c>
      <c r="J11" s="5" t="s">
        <v>740</v>
      </c>
      <c r="K11" s="5" t="s">
        <v>139</v>
      </c>
    </row>
    <row r="12" customFormat="false" ht="15" hidden="false" customHeight="true" outlineLevel="0" collapsed="false">
      <c r="A12" s="5" t="s">
        <v>255</v>
      </c>
      <c r="B12" s="5" t="s">
        <v>250</v>
      </c>
      <c r="C12" s="5" t="s">
        <v>256</v>
      </c>
      <c r="D12" s="5" t="s">
        <v>138</v>
      </c>
      <c r="E12" s="5" t="s">
        <v>745</v>
      </c>
      <c r="F12" s="5" t="s">
        <v>746</v>
      </c>
      <c r="G12" s="5" t="s">
        <v>739</v>
      </c>
      <c r="H12" s="5" t="n">
        <v>5</v>
      </c>
      <c r="I12" s="5" t="s">
        <v>728</v>
      </c>
      <c r="J12" s="5" t="s">
        <v>740</v>
      </c>
      <c r="K12" s="5" t="s">
        <v>139</v>
      </c>
    </row>
    <row r="13" customFormat="false" ht="15" hidden="false" customHeight="true" outlineLevel="0" collapsed="false">
      <c r="A13" s="5" t="s">
        <v>257</v>
      </c>
      <c r="B13" s="5" t="s">
        <v>250</v>
      </c>
      <c r="C13" s="5" t="s">
        <v>258</v>
      </c>
      <c r="D13" s="5" t="s">
        <v>138</v>
      </c>
      <c r="E13" s="5" t="s">
        <v>747</v>
      </c>
      <c r="F13" s="5" t="s">
        <v>746</v>
      </c>
      <c r="G13" s="5" t="s">
        <v>739</v>
      </c>
      <c r="H13" s="5" t="n">
        <v>4</v>
      </c>
      <c r="I13" s="5" t="s">
        <v>728</v>
      </c>
      <c r="J13" s="5" t="s">
        <v>740</v>
      </c>
      <c r="K13" s="5" t="s">
        <v>139</v>
      </c>
    </row>
    <row r="14" customFormat="false" ht="23.25" hidden="false" customHeight="true" outlineLevel="0" collapsed="false">
      <c r="A14" s="5" t="s">
        <v>147</v>
      </c>
      <c r="B14" s="5" t="s">
        <v>135</v>
      </c>
      <c r="C14" s="5" t="s">
        <v>148</v>
      </c>
      <c r="D14" s="5" t="s">
        <v>149</v>
      </c>
      <c r="E14" s="5" t="s">
        <v>748</v>
      </c>
      <c r="F14" s="5" t="s">
        <v>749</v>
      </c>
      <c r="G14" s="5" t="s">
        <v>750</v>
      </c>
      <c r="H14" s="5" t="n">
        <v>11</v>
      </c>
      <c r="I14" s="5" t="s">
        <v>728</v>
      </c>
      <c r="J14" s="5" t="s">
        <v>751</v>
      </c>
      <c r="K14" s="5" t="s">
        <v>139</v>
      </c>
    </row>
    <row r="15" customFormat="false" ht="21.75" hidden="false" customHeight="true" outlineLevel="0" collapsed="false">
      <c r="A15" s="5" t="s">
        <v>150</v>
      </c>
      <c r="B15" s="5" t="s">
        <v>135</v>
      </c>
      <c r="C15" s="5" t="s">
        <v>151</v>
      </c>
      <c r="D15" s="5" t="s">
        <v>149</v>
      </c>
      <c r="E15" s="5" t="s">
        <v>752</v>
      </c>
      <c r="F15" s="5" t="s">
        <v>753</v>
      </c>
      <c r="G15" s="5" t="s">
        <v>750</v>
      </c>
      <c r="H15" s="5" t="n">
        <v>5</v>
      </c>
      <c r="I15" s="5" t="s">
        <v>728</v>
      </c>
      <c r="J15" s="5" t="s">
        <v>751</v>
      </c>
      <c r="K15" s="5" t="s">
        <v>139</v>
      </c>
    </row>
    <row r="16" customFormat="false" ht="23.25" hidden="false" customHeight="true" outlineLevel="0" collapsed="false">
      <c r="A16" s="5" t="s">
        <v>152</v>
      </c>
      <c r="B16" s="5" t="s">
        <v>135</v>
      </c>
      <c r="C16" s="5" t="s">
        <v>153</v>
      </c>
      <c r="D16" s="5" t="s">
        <v>149</v>
      </c>
      <c r="E16" s="5" t="s">
        <v>754</v>
      </c>
      <c r="F16" s="5" t="s">
        <v>753</v>
      </c>
      <c r="G16" s="5" t="s">
        <v>750</v>
      </c>
      <c r="H16" s="5" t="n">
        <v>3</v>
      </c>
      <c r="I16" s="5" t="s">
        <v>728</v>
      </c>
      <c r="J16" s="5" t="s">
        <v>751</v>
      </c>
      <c r="K16" s="5" t="s">
        <v>139</v>
      </c>
    </row>
    <row r="17" customFormat="false" ht="23.25" hidden="false" customHeight="true" outlineLevel="0" collapsed="false">
      <c r="A17" s="5" t="s">
        <v>154</v>
      </c>
      <c r="B17" s="5" t="s">
        <v>135</v>
      </c>
      <c r="C17" s="5" t="s">
        <v>155</v>
      </c>
      <c r="D17" s="5" t="s">
        <v>149</v>
      </c>
      <c r="E17" s="5" t="s">
        <v>755</v>
      </c>
      <c r="F17" s="5" t="s">
        <v>753</v>
      </c>
      <c r="G17" s="5" t="s">
        <v>750</v>
      </c>
      <c r="H17" s="5" t="n">
        <v>1</v>
      </c>
      <c r="I17" s="5" t="s">
        <v>728</v>
      </c>
      <c r="J17" s="5" t="s">
        <v>751</v>
      </c>
      <c r="K17" s="5" t="s">
        <v>139</v>
      </c>
    </row>
    <row r="18" customFormat="false" ht="23.25" hidden="false" customHeight="true" outlineLevel="0" collapsed="false">
      <c r="A18" s="5" t="s">
        <v>157</v>
      </c>
      <c r="B18" s="5" t="s">
        <v>135</v>
      </c>
      <c r="C18" s="5" t="s">
        <v>158</v>
      </c>
      <c r="D18" s="5" t="s">
        <v>149</v>
      </c>
      <c r="E18" s="5" t="s">
        <v>756</v>
      </c>
      <c r="F18" s="5" t="s">
        <v>757</v>
      </c>
      <c r="G18" s="5" t="s">
        <v>750</v>
      </c>
      <c r="H18" s="5" t="n">
        <v>7</v>
      </c>
      <c r="I18" s="5" t="s">
        <v>728</v>
      </c>
      <c r="J18" s="5" t="s">
        <v>751</v>
      </c>
      <c r="K18" s="5" t="s">
        <v>139</v>
      </c>
    </row>
    <row r="19" customFormat="false" ht="23.25" hidden="false" customHeight="true" outlineLevel="0" collapsed="false">
      <c r="A19" s="5" t="s">
        <v>159</v>
      </c>
      <c r="B19" s="5" t="s">
        <v>135</v>
      </c>
      <c r="C19" s="5" t="s">
        <v>160</v>
      </c>
      <c r="D19" s="5" t="s">
        <v>149</v>
      </c>
      <c r="E19" s="5" t="s">
        <v>758</v>
      </c>
      <c r="F19" s="5" t="s">
        <v>757</v>
      </c>
      <c r="G19" s="5" t="s">
        <v>750</v>
      </c>
      <c r="H19" s="5" t="n">
        <v>2</v>
      </c>
      <c r="I19" s="5" t="s">
        <v>728</v>
      </c>
      <c r="J19" s="5" t="s">
        <v>751</v>
      </c>
      <c r="K19" s="5" t="s">
        <v>139</v>
      </c>
    </row>
    <row r="20" customFormat="false" ht="23.25" hidden="false" customHeight="true" outlineLevel="0" collapsed="false">
      <c r="A20" s="5" t="s">
        <v>161</v>
      </c>
      <c r="B20" s="5" t="s">
        <v>162</v>
      </c>
      <c r="C20" s="5" t="s">
        <v>163</v>
      </c>
      <c r="D20" s="5" t="s">
        <v>149</v>
      </c>
      <c r="E20" s="5" t="s">
        <v>759</v>
      </c>
      <c r="F20" s="5" t="s">
        <v>760</v>
      </c>
      <c r="G20" s="5" t="s">
        <v>750</v>
      </c>
      <c r="H20" s="5" t="n">
        <v>2</v>
      </c>
      <c r="I20" s="5" t="s">
        <v>728</v>
      </c>
      <c r="J20" s="5" t="s">
        <v>751</v>
      </c>
      <c r="K20" s="5" t="s">
        <v>139</v>
      </c>
    </row>
    <row r="21" customFormat="false" ht="23.25" hidden="false" customHeight="true" outlineLevel="0" collapsed="false">
      <c r="A21" s="5" t="s">
        <v>164</v>
      </c>
      <c r="B21" s="5" t="s">
        <v>162</v>
      </c>
      <c r="C21" s="5" t="s">
        <v>165</v>
      </c>
      <c r="D21" s="5" t="s">
        <v>149</v>
      </c>
      <c r="E21" s="5" t="s">
        <v>761</v>
      </c>
      <c r="F21" s="5" t="s">
        <v>760</v>
      </c>
      <c r="G21" s="5" t="s">
        <v>750</v>
      </c>
      <c r="H21" s="5" t="n">
        <v>5</v>
      </c>
      <c r="I21" s="5" t="s">
        <v>728</v>
      </c>
      <c r="J21" s="5" t="s">
        <v>751</v>
      </c>
      <c r="K21" s="5" t="s">
        <v>139</v>
      </c>
    </row>
    <row r="22" customFormat="false" ht="23.25" hidden="false" customHeight="true" outlineLevel="0" collapsed="false">
      <c r="A22" s="5" t="s">
        <v>166</v>
      </c>
      <c r="B22" s="5" t="s">
        <v>162</v>
      </c>
      <c r="C22" s="5" t="s">
        <v>167</v>
      </c>
      <c r="D22" s="5" t="s">
        <v>149</v>
      </c>
      <c r="E22" s="5" t="s">
        <v>762</v>
      </c>
      <c r="F22" s="5" t="s">
        <v>760</v>
      </c>
      <c r="G22" s="5" t="s">
        <v>750</v>
      </c>
      <c r="H22" s="5" t="n">
        <v>7</v>
      </c>
      <c r="I22" s="5" t="s">
        <v>728</v>
      </c>
      <c r="J22" s="5" t="s">
        <v>751</v>
      </c>
      <c r="K22" s="5" t="s">
        <v>139</v>
      </c>
    </row>
    <row r="23" customFormat="false" ht="23.25" hidden="false" customHeight="true" outlineLevel="0" collapsed="false">
      <c r="A23" s="5" t="s">
        <v>168</v>
      </c>
      <c r="B23" s="5" t="s">
        <v>162</v>
      </c>
      <c r="C23" s="5" t="s">
        <v>169</v>
      </c>
      <c r="D23" s="5" t="s">
        <v>149</v>
      </c>
      <c r="E23" s="5" t="s">
        <v>763</v>
      </c>
      <c r="F23" s="5" t="s">
        <v>760</v>
      </c>
      <c r="G23" s="5" t="s">
        <v>750</v>
      </c>
      <c r="H23" s="5" t="n">
        <v>4</v>
      </c>
      <c r="I23" s="5" t="s">
        <v>728</v>
      </c>
      <c r="J23" s="5" t="s">
        <v>751</v>
      </c>
      <c r="K23" s="5" t="s">
        <v>139</v>
      </c>
    </row>
    <row r="24" customFormat="false" ht="23.25" hidden="false" customHeight="true" outlineLevel="0" collapsed="false">
      <c r="A24" s="5" t="s">
        <v>329</v>
      </c>
      <c r="B24" s="5" t="s">
        <v>330</v>
      </c>
      <c r="C24" s="5" t="s">
        <v>331</v>
      </c>
      <c r="D24" s="5" t="s">
        <v>149</v>
      </c>
      <c r="E24" s="5" t="s">
        <v>764</v>
      </c>
      <c r="F24" s="5" t="s">
        <v>765</v>
      </c>
      <c r="G24" s="5" t="s">
        <v>766</v>
      </c>
      <c r="H24" s="5" t="n">
        <v>120</v>
      </c>
      <c r="I24" s="5" t="s">
        <v>728</v>
      </c>
      <c r="J24" s="5" t="s">
        <v>751</v>
      </c>
      <c r="K24" s="5" t="s">
        <v>139</v>
      </c>
    </row>
    <row r="25" customFormat="false" ht="23.25" hidden="false" customHeight="true" outlineLevel="0" collapsed="false">
      <c r="A25" s="5" t="s">
        <v>170</v>
      </c>
      <c r="B25" s="5" t="s">
        <v>162</v>
      </c>
      <c r="C25" s="5" t="s">
        <v>171</v>
      </c>
      <c r="D25" s="5" t="s">
        <v>172</v>
      </c>
      <c r="E25" s="5" t="s">
        <v>767</v>
      </c>
      <c r="F25" s="5" t="s">
        <v>768</v>
      </c>
      <c r="G25" s="5" t="s">
        <v>769</v>
      </c>
      <c r="H25" s="5" t="n">
        <v>4</v>
      </c>
      <c r="I25" s="5" t="s">
        <v>728</v>
      </c>
      <c r="J25" s="5" t="s">
        <v>770</v>
      </c>
      <c r="K25" s="5" t="s">
        <v>139</v>
      </c>
    </row>
    <row r="26" customFormat="false" ht="21.75" hidden="false" customHeight="true" outlineLevel="0" collapsed="false">
      <c r="A26" s="5" t="s">
        <v>173</v>
      </c>
      <c r="B26" s="5" t="s">
        <v>162</v>
      </c>
      <c r="C26" s="5" t="s">
        <v>174</v>
      </c>
      <c r="D26" s="5" t="s">
        <v>172</v>
      </c>
      <c r="E26" s="5" t="s">
        <v>771</v>
      </c>
      <c r="F26" s="5" t="s">
        <v>768</v>
      </c>
      <c r="G26" s="5" t="s">
        <v>769</v>
      </c>
      <c r="H26" s="5" t="n">
        <v>4</v>
      </c>
      <c r="I26" s="5" t="s">
        <v>728</v>
      </c>
      <c r="J26" s="5" t="s">
        <v>770</v>
      </c>
      <c r="K26" s="5" t="s">
        <v>139</v>
      </c>
    </row>
    <row r="27" customFormat="false" ht="23.25" hidden="false" customHeight="true" outlineLevel="0" collapsed="false">
      <c r="A27" s="5" t="s">
        <v>175</v>
      </c>
      <c r="B27" s="5" t="s">
        <v>162</v>
      </c>
      <c r="C27" s="5" t="s">
        <v>176</v>
      </c>
      <c r="D27" s="5" t="s">
        <v>172</v>
      </c>
      <c r="E27" s="5" t="s">
        <v>772</v>
      </c>
      <c r="F27" s="5" t="s">
        <v>773</v>
      </c>
      <c r="G27" s="5" t="s">
        <v>769</v>
      </c>
      <c r="H27" s="5" t="n">
        <v>5</v>
      </c>
      <c r="I27" s="5" t="s">
        <v>728</v>
      </c>
      <c r="J27" s="5" t="s">
        <v>770</v>
      </c>
      <c r="K27" s="5" t="s">
        <v>139</v>
      </c>
    </row>
    <row r="28" customFormat="false" ht="23.25" hidden="false" customHeight="true" outlineLevel="0" collapsed="false">
      <c r="A28" s="5" t="s">
        <v>177</v>
      </c>
      <c r="B28" s="5" t="s">
        <v>162</v>
      </c>
      <c r="C28" s="5" t="s">
        <v>178</v>
      </c>
      <c r="D28" s="5" t="s">
        <v>172</v>
      </c>
      <c r="E28" s="5" t="s">
        <v>774</v>
      </c>
      <c r="F28" s="5" t="s">
        <v>768</v>
      </c>
      <c r="G28" s="5" t="s">
        <v>769</v>
      </c>
      <c r="H28" s="5" t="n">
        <v>1</v>
      </c>
      <c r="I28" s="5" t="s">
        <v>728</v>
      </c>
      <c r="J28" s="5" t="s">
        <v>770</v>
      </c>
      <c r="K28" s="5" t="s">
        <v>139</v>
      </c>
    </row>
    <row r="29" customFormat="false" ht="23.25" hidden="false" customHeight="true" outlineLevel="0" collapsed="false">
      <c r="A29" s="5" t="s">
        <v>179</v>
      </c>
      <c r="B29" s="5" t="s">
        <v>162</v>
      </c>
      <c r="C29" s="5" t="s">
        <v>180</v>
      </c>
      <c r="D29" s="5" t="s">
        <v>172</v>
      </c>
      <c r="E29" s="5" t="s">
        <v>775</v>
      </c>
      <c r="F29" s="5" t="s">
        <v>776</v>
      </c>
      <c r="G29" s="5" t="s">
        <v>769</v>
      </c>
      <c r="H29" s="5" t="n">
        <v>5</v>
      </c>
      <c r="I29" s="5" t="s">
        <v>728</v>
      </c>
      <c r="J29" s="5" t="s">
        <v>770</v>
      </c>
      <c r="K29" s="5" t="s">
        <v>139</v>
      </c>
    </row>
    <row r="30" customFormat="false" ht="23.25" hidden="false" customHeight="true" outlineLevel="0" collapsed="false">
      <c r="A30" s="5" t="s">
        <v>181</v>
      </c>
      <c r="B30" s="5" t="s">
        <v>162</v>
      </c>
      <c r="C30" s="5" t="s">
        <v>182</v>
      </c>
      <c r="D30" s="5" t="s">
        <v>172</v>
      </c>
      <c r="E30" s="5" t="s">
        <v>777</v>
      </c>
      <c r="F30" s="5" t="s">
        <v>757</v>
      </c>
      <c r="G30" s="5" t="s">
        <v>769</v>
      </c>
      <c r="H30" s="5" t="n">
        <v>1</v>
      </c>
      <c r="I30" s="5" t="s">
        <v>728</v>
      </c>
      <c r="J30" s="5" t="s">
        <v>770</v>
      </c>
      <c r="K30" s="5" t="s">
        <v>139</v>
      </c>
    </row>
    <row r="31" customFormat="false" ht="23.25" hidden="false" customHeight="true" outlineLevel="0" collapsed="false">
      <c r="A31" s="5" t="s">
        <v>296</v>
      </c>
      <c r="B31" s="5" t="s">
        <v>297</v>
      </c>
      <c r="C31" s="5" t="s">
        <v>298</v>
      </c>
      <c r="D31" s="5" t="s">
        <v>172</v>
      </c>
      <c r="E31" s="5" t="s">
        <v>778</v>
      </c>
      <c r="F31" s="5" t="s">
        <v>776</v>
      </c>
      <c r="G31" s="5" t="s">
        <v>769</v>
      </c>
      <c r="H31" s="5" t="n">
        <v>3</v>
      </c>
      <c r="I31" s="5" t="s">
        <v>728</v>
      </c>
      <c r="J31" s="5" t="s">
        <v>770</v>
      </c>
      <c r="K31" s="5" t="s">
        <v>139</v>
      </c>
    </row>
    <row r="32" customFormat="false" ht="23.25" hidden="false" customHeight="true" outlineLevel="0" collapsed="false">
      <c r="A32" s="5" t="s">
        <v>299</v>
      </c>
      <c r="B32" s="5" t="s">
        <v>297</v>
      </c>
      <c r="C32" s="5" t="s">
        <v>300</v>
      </c>
      <c r="D32" s="5" t="s">
        <v>172</v>
      </c>
      <c r="E32" s="5" t="s">
        <v>779</v>
      </c>
      <c r="F32" s="5" t="s">
        <v>776</v>
      </c>
      <c r="G32" s="5" t="s">
        <v>769</v>
      </c>
      <c r="H32" s="5" t="n">
        <v>3</v>
      </c>
      <c r="I32" s="5" t="s">
        <v>728</v>
      </c>
      <c r="J32" s="5" t="s">
        <v>770</v>
      </c>
      <c r="K32" s="5" t="s">
        <v>139</v>
      </c>
    </row>
    <row r="33" customFormat="false" ht="45.75" hidden="false" customHeight="true" outlineLevel="0" collapsed="false">
      <c r="A33" s="5" t="s">
        <v>332</v>
      </c>
      <c r="B33" s="5" t="s">
        <v>330</v>
      </c>
      <c r="C33" s="5" t="s">
        <v>333</v>
      </c>
      <c r="D33" s="5" t="s">
        <v>172</v>
      </c>
      <c r="E33" s="5" t="s">
        <v>780</v>
      </c>
      <c r="F33" s="5" t="s">
        <v>781</v>
      </c>
      <c r="G33" s="5" t="s">
        <v>782</v>
      </c>
      <c r="H33" s="5" t="n">
        <v>1</v>
      </c>
      <c r="I33" s="5" t="s">
        <v>783</v>
      </c>
      <c r="J33" s="5" t="s">
        <v>770</v>
      </c>
      <c r="K33" s="5" t="s">
        <v>139</v>
      </c>
    </row>
    <row r="34" customFormat="false" ht="23.25" hidden="false" customHeight="true" outlineLevel="0" collapsed="false">
      <c r="A34" s="5" t="s">
        <v>183</v>
      </c>
      <c r="B34" s="5" t="s">
        <v>184</v>
      </c>
      <c r="C34" s="5" t="s">
        <v>185</v>
      </c>
      <c r="D34" s="5" t="s">
        <v>186</v>
      </c>
      <c r="E34" s="5" t="s">
        <v>784</v>
      </c>
      <c r="F34" s="5" t="s">
        <v>785</v>
      </c>
      <c r="G34" s="5" t="s">
        <v>786</v>
      </c>
      <c r="H34" s="5" t="n">
        <v>2</v>
      </c>
      <c r="I34" s="5" t="s">
        <v>728</v>
      </c>
      <c r="J34" s="5" t="s">
        <v>787</v>
      </c>
      <c r="K34" s="5" t="s">
        <v>139</v>
      </c>
    </row>
    <row r="35" customFormat="false" ht="21.75" hidden="false" customHeight="true" outlineLevel="0" collapsed="false">
      <c r="A35" s="5" t="s">
        <v>187</v>
      </c>
      <c r="B35" s="5" t="s">
        <v>184</v>
      </c>
      <c r="C35" s="5" t="s">
        <v>188</v>
      </c>
      <c r="D35" s="5" t="s">
        <v>186</v>
      </c>
      <c r="E35" s="5" t="s">
        <v>788</v>
      </c>
      <c r="F35" s="5" t="s">
        <v>785</v>
      </c>
      <c r="G35" s="5" t="s">
        <v>786</v>
      </c>
      <c r="H35" s="5" t="n">
        <v>5</v>
      </c>
      <c r="I35" s="5" t="s">
        <v>728</v>
      </c>
      <c r="J35" s="5" t="s">
        <v>787</v>
      </c>
      <c r="K35" s="5" t="s">
        <v>139</v>
      </c>
    </row>
    <row r="36" customFormat="false" ht="23.25" hidden="false" customHeight="true" outlineLevel="0" collapsed="false">
      <c r="A36" s="5" t="s">
        <v>189</v>
      </c>
      <c r="B36" s="5" t="s">
        <v>184</v>
      </c>
      <c r="C36" s="5" t="s">
        <v>190</v>
      </c>
      <c r="D36" s="5" t="s">
        <v>186</v>
      </c>
      <c r="E36" s="5" t="s">
        <v>789</v>
      </c>
      <c r="F36" s="5" t="s">
        <v>785</v>
      </c>
      <c r="G36" s="5" t="s">
        <v>786</v>
      </c>
      <c r="H36" s="5" t="n">
        <v>6</v>
      </c>
      <c r="I36" s="5" t="s">
        <v>728</v>
      </c>
      <c r="J36" s="5" t="s">
        <v>787</v>
      </c>
      <c r="K36" s="5" t="s">
        <v>139</v>
      </c>
    </row>
    <row r="37" customFormat="false" ht="23.25" hidden="false" customHeight="true" outlineLevel="0" collapsed="false">
      <c r="A37" s="5" t="s">
        <v>191</v>
      </c>
      <c r="B37" s="5" t="s">
        <v>184</v>
      </c>
      <c r="C37" s="5" t="s">
        <v>192</v>
      </c>
      <c r="D37" s="5" t="s">
        <v>186</v>
      </c>
      <c r="E37" s="5" t="s">
        <v>790</v>
      </c>
      <c r="F37" s="5" t="s">
        <v>785</v>
      </c>
      <c r="G37" s="5" t="s">
        <v>786</v>
      </c>
      <c r="H37" s="5" t="n">
        <v>3</v>
      </c>
      <c r="I37" s="5" t="s">
        <v>728</v>
      </c>
      <c r="J37" s="5" t="s">
        <v>787</v>
      </c>
      <c r="K37" s="5" t="s">
        <v>139</v>
      </c>
    </row>
    <row r="38" customFormat="false" ht="23.25" hidden="false" customHeight="true" outlineLevel="0" collapsed="false">
      <c r="A38" s="5" t="s">
        <v>193</v>
      </c>
      <c r="B38" s="5" t="s">
        <v>184</v>
      </c>
      <c r="C38" s="5" t="s">
        <v>194</v>
      </c>
      <c r="D38" s="5" t="s">
        <v>186</v>
      </c>
      <c r="E38" s="5" t="s">
        <v>791</v>
      </c>
      <c r="F38" s="5" t="s">
        <v>792</v>
      </c>
      <c r="G38" s="5" t="s">
        <v>786</v>
      </c>
      <c r="H38" s="5" t="n">
        <v>3</v>
      </c>
      <c r="I38" s="5" t="s">
        <v>728</v>
      </c>
      <c r="J38" s="5" t="s">
        <v>787</v>
      </c>
      <c r="K38" s="5" t="s">
        <v>139</v>
      </c>
    </row>
    <row r="39" customFormat="false" ht="23.25" hidden="false" customHeight="true" outlineLevel="0" collapsed="false">
      <c r="A39" s="5" t="s">
        <v>195</v>
      </c>
      <c r="B39" s="5" t="s">
        <v>184</v>
      </c>
      <c r="C39" s="5" t="s">
        <v>196</v>
      </c>
      <c r="D39" s="5" t="s">
        <v>186</v>
      </c>
      <c r="E39" s="5" t="s">
        <v>793</v>
      </c>
      <c r="F39" s="5" t="s">
        <v>792</v>
      </c>
      <c r="G39" s="5" t="s">
        <v>786</v>
      </c>
      <c r="H39" s="5" t="n">
        <v>3</v>
      </c>
      <c r="I39" s="5" t="s">
        <v>728</v>
      </c>
      <c r="J39" s="5" t="s">
        <v>787</v>
      </c>
      <c r="K39" s="5" t="s">
        <v>139</v>
      </c>
    </row>
    <row r="40" customFormat="false" ht="23.25" hidden="false" customHeight="true" outlineLevel="0" collapsed="false">
      <c r="A40" s="5" t="s">
        <v>197</v>
      </c>
      <c r="B40" s="5" t="s">
        <v>184</v>
      </c>
      <c r="C40" s="5" t="s">
        <v>198</v>
      </c>
      <c r="D40" s="5" t="s">
        <v>186</v>
      </c>
      <c r="E40" s="5" t="s">
        <v>772</v>
      </c>
      <c r="F40" s="5" t="s">
        <v>792</v>
      </c>
      <c r="G40" s="5" t="s">
        <v>786</v>
      </c>
      <c r="H40" s="5" t="n">
        <v>2</v>
      </c>
      <c r="I40" s="5" t="s">
        <v>728</v>
      </c>
      <c r="J40" s="5" t="s">
        <v>787</v>
      </c>
      <c r="K40" s="5" t="s">
        <v>139</v>
      </c>
    </row>
    <row r="41" customFormat="false" ht="23.25" hidden="false" customHeight="true" outlineLevel="0" collapsed="false">
      <c r="A41" s="5" t="s">
        <v>199</v>
      </c>
      <c r="B41" s="5" t="s">
        <v>184</v>
      </c>
      <c r="C41" s="5" t="s">
        <v>200</v>
      </c>
      <c r="D41" s="5" t="s">
        <v>186</v>
      </c>
      <c r="E41" s="5" t="s">
        <v>794</v>
      </c>
      <c r="F41" s="5" t="s">
        <v>768</v>
      </c>
      <c r="G41" s="5" t="s">
        <v>786</v>
      </c>
      <c r="H41" s="5" t="n">
        <v>1</v>
      </c>
      <c r="I41" s="5" t="s">
        <v>728</v>
      </c>
      <c r="J41" s="5" t="s">
        <v>787</v>
      </c>
      <c r="K41" s="5" t="s">
        <v>139</v>
      </c>
    </row>
    <row r="42" customFormat="false" ht="23.25" hidden="false" customHeight="true" outlineLevel="0" collapsed="false">
      <c r="A42" s="5" t="s">
        <v>201</v>
      </c>
      <c r="B42" s="5" t="s">
        <v>184</v>
      </c>
      <c r="C42" s="5" t="s">
        <v>202</v>
      </c>
      <c r="D42" s="5" t="s">
        <v>186</v>
      </c>
      <c r="E42" s="5" t="s">
        <v>795</v>
      </c>
      <c r="F42" s="5" t="s">
        <v>792</v>
      </c>
      <c r="G42" s="5" t="s">
        <v>786</v>
      </c>
      <c r="H42" s="5" t="n">
        <v>3</v>
      </c>
      <c r="I42" s="5" t="s">
        <v>728</v>
      </c>
      <c r="J42" s="5" t="s">
        <v>787</v>
      </c>
      <c r="K42" s="5" t="s">
        <v>139</v>
      </c>
    </row>
    <row r="43" customFormat="false" ht="23.25" hidden="false" customHeight="true" outlineLevel="0" collapsed="false">
      <c r="A43" s="5" t="s">
        <v>203</v>
      </c>
      <c r="B43" s="5" t="s">
        <v>184</v>
      </c>
      <c r="C43" s="5" t="s">
        <v>204</v>
      </c>
      <c r="D43" s="5" t="s">
        <v>186</v>
      </c>
      <c r="E43" s="5" t="s">
        <v>796</v>
      </c>
      <c r="F43" s="5" t="s">
        <v>757</v>
      </c>
      <c r="G43" s="5" t="s">
        <v>786</v>
      </c>
      <c r="H43" s="5" t="n">
        <v>1</v>
      </c>
      <c r="I43" s="5" t="s">
        <v>728</v>
      </c>
      <c r="J43" s="5" t="s">
        <v>787</v>
      </c>
      <c r="K43" s="5" t="s">
        <v>139</v>
      </c>
    </row>
    <row r="44" customFormat="false" ht="23.25" hidden="false" customHeight="true" outlineLevel="0" collapsed="false">
      <c r="A44" s="5" t="s">
        <v>311</v>
      </c>
      <c r="B44" s="5" t="s">
        <v>312</v>
      </c>
      <c r="C44" s="5" t="s">
        <v>313</v>
      </c>
      <c r="D44" s="5" t="s">
        <v>186</v>
      </c>
      <c r="E44" s="5" t="s">
        <v>797</v>
      </c>
      <c r="F44" s="5" t="s">
        <v>792</v>
      </c>
      <c r="G44" s="5" t="s">
        <v>786</v>
      </c>
      <c r="H44" s="5" t="n">
        <v>5</v>
      </c>
      <c r="I44" s="5" t="s">
        <v>728</v>
      </c>
      <c r="J44" s="5" t="s">
        <v>787</v>
      </c>
      <c r="K44" s="5" t="s">
        <v>139</v>
      </c>
    </row>
    <row r="45" customFormat="false" ht="23.25" hidden="false" customHeight="true" outlineLevel="0" collapsed="false">
      <c r="A45" s="5" t="s">
        <v>314</v>
      </c>
      <c r="B45" s="5" t="s">
        <v>312</v>
      </c>
      <c r="C45" s="5" t="s">
        <v>315</v>
      </c>
      <c r="D45" s="5" t="s">
        <v>186</v>
      </c>
      <c r="E45" s="5" t="s">
        <v>798</v>
      </c>
      <c r="F45" s="5" t="s">
        <v>792</v>
      </c>
      <c r="G45" s="5" t="s">
        <v>786</v>
      </c>
      <c r="H45" s="5" t="n">
        <v>2</v>
      </c>
      <c r="I45" s="5" t="s">
        <v>728</v>
      </c>
      <c r="J45" s="5" t="s">
        <v>787</v>
      </c>
      <c r="K45" s="5" t="s">
        <v>139</v>
      </c>
    </row>
    <row r="46" customFormat="false" ht="23.25" hidden="false" customHeight="true" outlineLevel="0" collapsed="false">
      <c r="A46" s="5" t="s">
        <v>205</v>
      </c>
      <c r="B46" s="5" t="s">
        <v>206</v>
      </c>
      <c r="C46" s="5" t="s">
        <v>207</v>
      </c>
      <c r="D46" s="5" t="s">
        <v>208</v>
      </c>
      <c r="E46" s="5" t="s">
        <v>799</v>
      </c>
      <c r="F46" s="5" t="s">
        <v>800</v>
      </c>
      <c r="G46" s="5" t="s">
        <v>801</v>
      </c>
      <c r="H46" s="5" t="n">
        <v>1</v>
      </c>
      <c r="I46" s="5" t="s">
        <v>728</v>
      </c>
      <c r="J46" s="5" t="s">
        <v>802</v>
      </c>
      <c r="K46" s="5" t="s">
        <v>139</v>
      </c>
    </row>
    <row r="47" customFormat="false" ht="21.75" hidden="false" customHeight="true" outlineLevel="0" collapsed="false">
      <c r="A47" s="5" t="s">
        <v>209</v>
      </c>
      <c r="B47" s="5" t="s">
        <v>206</v>
      </c>
      <c r="C47" s="5" t="s">
        <v>210</v>
      </c>
      <c r="D47" s="5" t="s">
        <v>208</v>
      </c>
      <c r="E47" s="5" t="s">
        <v>803</v>
      </c>
      <c r="F47" s="5" t="s">
        <v>800</v>
      </c>
      <c r="G47" s="5" t="s">
        <v>801</v>
      </c>
      <c r="H47" s="5" t="n">
        <v>2</v>
      </c>
      <c r="I47" s="5" t="s">
        <v>728</v>
      </c>
      <c r="J47" s="5" t="s">
        <v>802</v>
      </c>
      <c r="K47" s="5" t="s">
        <v>139</v>
      </c>
    </row>
    <row r="48" customFormat="false" ht="23.25" hidden="false" customHeight="true" outlineLevel="0" collapsed="false">
      <c r="A48" s="5" t="s">
        <v>211</v>
      </c>
      <c r="B48" s="5" t="s">
        <v>206</v>
      </c>
      <c r="C48" s="5" t="s">
        <v>212</v>
      </c>
      <c r="D48" s="5" t="s">
        <v>208</v>
      </c>
      <c r="E48" s="5" t="s">
        <v>804</v>
      </c>
      <c r="F48" s="5" t="s">
        <v>800</v>
      </c>
      <c r="G48" s="5" t="s">
        <v>801</v>
      </c>
      <c r="H48" s="5" t="n">
        <v>1</v>
      </c>
      <c r="I48" s="5" t="s">
        <v>728</v>
      </c>
      <c r="J48" s="5" t="s">
        <v>802</v>
      </c>
      <c r="K48" s="5" t="s">
        <v>139</v>
      </c>
    </row>
    <row r="49" customFormat="false" ht="23.25" hidden="false" customHeight="true" outlineLevel="0" collapsed="false">
      <c r="A49" s="5" t="s">
        <v>213</v>
      </c>
      <c r="B49" s="5" t="s">
        <v>206</v>
      </c>
      <c r="C49" s="5" t="s">
        <v>214</v>
      </c>
      <c r="D49" s="5" t="s">
        <v>208</v>
      </c>
      <c r="E49" s="5" t="s">
        <v>805</v>
      </c>
      <c r="F49" s="5" t="s">
        <v>800</v>
      </c>
      <c r="G49" s="5" t="s">
        <v>801</v>
      </c>
      <c r="H49" s="5" t="n">
        <v>2</v>
      </c>
      <c r="I49" s="5" t="s">
        <v>728</v>
      </c>
      <c r="J49" s="5" t="s">
        <v>802</v>
      </c>
      <c r="K49" s="5" t="s">
        <v>139</v>
      </c>
    </row>
    <row r="50" customFormat="false" ht="23.25" hidden="false" customHeight="true" outlineLevel="0" collapsed="false">
      <c r="A50" s="5" t="s">
        <v>215</v>
      </c>
      <c r="B50" s="5" t="s">
        <v>206</v>
      </c>
      <c r="C50" s="5" t="s">
        <v>216</v>
      </c>
      <c r="D50" s="5" t="s">
        <v>208</v>
      </c>
      <c r="E50" s="5" t="s">
        <v>806</v>
      </c>
      <c r="F50" s="5" t="s">
        <v>807</v>
      </c>
      <c r="G50" s="5" t="s">
        <v>801</v>
      </c>
      <c r="H50" s="5" t="n">
        <v>1</v>
      </c>
      <c r="I50" s="5" t="s">
        <v>728</v>
      </c>
      <c r="J50" s="5" t="s">
        <v>802</v>
      </c>
      <c r="K50" s="5" t="s">
        <v>139</v>
      </c>
    </row>
    <row r="51" customFormat="false" ht="23.25" hidden="false" customHeight="true" outlineLevel="0" collapsed="false">
      <c r="A51" s="5" t="s">
        <v>217</v>
      </c>
      <c r="B51" s="5" t="s">
        <v>206</v>
      </c>
      <c r="C51" s="5" t="s">
        <v>218</v>
      </c>
      <c r="D51" s="5" t="s">
        <v>208</v>
      </c>
      <c r="E51" s="5" t="s">
        <v>808</v>
      </c>
      <c r="F51" s="5" t="s">
        <v>800</v>
      </c>
      <c r="G51" s="5" t="s">
        <v>801</v>
      </c>
      <c r="H51" s="5" t="n">
        <v>1</v>
      </c>
      <c r="I51" s="5" t="s">
        <v>728</v>
      </c>
      <c r="J51" s="5" t="s">
        <v>802</v>
      </c>
      <c r="K51" s="5" t="s">
        <v>139</v>
      </c>
    </row>
    <row r="52" customFormat="false" ht="23.25" hidden="false" customHeight="true" outlineLevel="0" collapsed="false">
      <c r="A52" s="5" t="s">
        <v>219</v>
      </c>
      <c r="B52" s="5" t="s">
        <v>206</v>
      </c>
      <c r="C52" s="5" t="s">
        <v>220</v>
      </c>
      <c r="D52" s="5" t="s">
        <v>208</v>
      </c>
      <c r="E52" s="5" t="s">
        <v>809</v>
      </c>
      <c r="F52" s="5" t="s">
        <v>807</v>
      </c>
      <c r="G52" s="5" t="s">
        <v>801</v>
      </c>
      <c r="H52" s="5" t="n">
        <v>2</v>
      </c>
      <c r="I52" s="5" t="s">
        <v>728</v>
      </c>
      <c r="J52" s="5" t="s">
        <v>802</v>
      </c>
      <c r="K52" s="5" t="s">
        <v>139</v>
      </c>
    </row>
    <row r="53" customFormat="false" ht="23.25" hidden="false" customHeight="true" outlineLevel="0" collapsed="false">
      <c r="A53" s="5" t="s">
        <v>221</v>
      </c>
      <c r="B53" s="5" t="s">
        <v>206</v>
      </c>
      <c r="C53" s="5" t="s">
        <v>222</v>
      </c>
      <c r="D53" s="5" t="s">
        <v>208</v>
      </c>
      <c r="E53" s="5" t="s">
        <v>810</v>
      </c>
      <c r="F53" s="5" t="s">
        <v>768</v>
      </c>
      <c r="G53" s="5" t="s">
        <v>801</v>
      </c>
      <c r="H53" s="5" t="n">
        <v>1</v>
      </c>
      <c r="I53" s="5" t="s">
        <v>728</v>
      </c>
      <c r="J53" s="5" t="s">
        <v>802</v>
      </c>
      <c r="K53" s="5" t="s">
        <v>139</v>
      </c>
    </row>
    <row r="54" customFormat="false" ht="23.25" hidden="false" customHeight="true" outlineLevel="0" collapsed="false">
      <c r="A54" s="5" t="s">
        <v>223</v>
      </c>
      <c r="B54" s="5" t="s">
        <v>206</v>
      </c>
      <c r="C54" s="5" t="s">
        <v>224</v>
      </c>
      <c r="D54" s="5" t="s">
        <v>208</v>
      </c>
      <c r="E54" s="5" t="s">
        <v>811</v>
      </c>
      <c r="F54" s="5" t="s">
        <v>807</v>
      </c>
      <c r="G54" s="5" t="s">
        <v>801</v>
      </c>
      <c r="H54" s="5" t="n">
        <v>3</v>
      </c>
      <c r="I54" s="5" t="s">
        <v>728</v>
      </c>
      <c r="J54" s="5" t="s">
        <v>802</v>
      </c>
      <c r="K54" s="5" t="s">
        <v>139</v>
      </c>
    </row>
    <row r="55" customFormat="false" ht="23.25" hidden="false" customHeight="true" outlineLevel="0" collapsed="false">
      <c r="A55" s="5" t="s">
        <v>225</v>
      </c>
      <c r="B55" s="5" t="s">
        <v>206</v>
      </c>
      <c r="C55" s="5" t="s">
        <v>226</v>
      </c>
      <c r="D55" s="5" t="s">
        <v>208</v>
      </c>
      <c r="E55" s="5" t="s">
        <v>812</v>
      </c>
      <c r="F55" s="5" t="s">
        <v>757</v>
      </c>
      <c r="G55" s="5" t="s">
        <v>801</v>
      </c>
      <c r="H55" s="5" t="n">
        <v>1</v>
      </c>
      <c r="I55" s="5" t="s">
        <v>728</v>
      </c>
      <c r="J55" s="5" t="s">
        <v>802</v>
      </c>
      <c r="K55" s="5" t="s">
        <v>139</v>
      </c>
    </row>
    <row r="56" customFormat="false" ht="23.25" hidden="false" customHeight="true" outlineLevel="0" collapsed="false">
      <c r="A56" s="5" t="s">
        <v>263</v>
      </c>
      <c r="B56" s="5" t="s">
        <v>264</v>
      </c>
      <c r="C56" s="5" t="s">
        <v>265</v>
      </c>
      <c r="D56" s="5" t="s">
        <v>208</v>
      </c>
      <c r="E56" s="5" t="s">
        <v>813</v>
      </c>
      <c r="F56" s="5" t="s">
        <v>814</v>
      </c>
      <c r="G56" s="5" t="s">
        <v>801</v>
      </c>
      <c r="H56" s="5" t="n">
        <v>4</v>
      </c>
      <c r="I56" s="5" t="s">
        <v>728</v>
      </c>
      <c r="J56" s="5" t="s">
        <v>802</v>
      </c>
      <c r="K56" s="5" t="s">
        <v>139</v>
      </c>
    </row>
    <row r="57" customFormat="false" ht="15" hidden="false" customHeight="true" outlineLevel="0" collapsed="false">
      <c r="A57" s="5" t="s">
        <v>266</v>
      </c>
      <c r="B57" s="5" t="s">
        <v>264</v>
      </c>
      <c r="C57" s="5" t="s">
        <v>267</v>
      </c>
      <c r="D57" s="5" t="s">
        <v>208</v>
      </c>
      <c r="E57" s="5" t="s">
        <v>815</v>
      </c>
      <c r="F57" s="5" t="s">
        <v>814</v>
      </c>
      <c r="G57" s="5" t="s">
        <v>801</v>
      </c>
      <c r="H57" s="5" t="n">
        <v>4</v>
      </c>
      <c r="I57" s="5" t="s">
        <v>728</v>
      </c>
      <c r="J57" s="5" t="s">
        <v>802</v>
      </c>
      <c r="K57" s="5" t="s">
        <v>139</v>
      </c>
    </row>
    <row r="58" customFormat="false" ht="34.5" hidden="false" customHeight="true" outlineLevel="0" collapsed="false">
      <c r="A58" s="5" t="s">
        <v>268</v>
      </c>
      <c r="B58" s="5" t="s">
        <v>264</v>
      </c>
      <c r="C58" s="5" t="s">
        <v>269</v>
      </c>
      <c r="D58" s="5" t="s">
        <v>208</v>
      </c>
      <c r="E58" s="5" t="s">
        <v>816</v>
      </c>
      <c r="F58" s="5" t="s">
        <v>814</v>
      </c>
      <c r="G58" s="5" t="s">
        <v>801</v>
      </c>
      <c r="H58" s="5" t="n">
        <v>8</v>
      </c>
      <c r="I58" s="5" t="s">
        <v>728</v>
      </c>
      <c r="J58" s="5" t="s">
        <v>802</v>
      </c>
      <c r="K58" s="5" t="s">
        <v>139</v>
      </c>
    </row>
    <row r="59" customFormat="false" ht="34.5" hidden="false" customHeight="true" outlineLevel="0" collapsed="false">
      <c r="A59" s="5" t="s">
        <v>270</v>
      </c>
      <c r="B59" s="5" t="s">
        <v>264</v>
      </c>
      <c r="C59" s="5" t="s">
        <v>271</v>
      </c>
      <c r="D59" s="5" t="s">
        <v>272</v>
      </c>
      <c r="E59" s="5" t="s">
        <v>817</v>
      </c>
      <c r="F59" s="5" t="s">
        <v>818</v>
      </c>
      <c r="G59" s="5" t="s">
        <v>819</v>
      </c>
      <c r="H59" s="5" t="n">
        <v>4</v>
      </c>
      <c r="I59" s="5" t="s">
        <v>728</v>
      </c>
      <c r="J59" s="5" t="s">
        <v>820</v>
      </c>
      <c r="K59" s="5" t="s">
        <v>139</v>
      </c>
    </row>
    <row r="60" customFormat="false" ht="21.75" hidden="false" customHeight="true" outlineLevel="0" collapsed="false">
      <c r="A60" s="5" t="s">
        <v>273</v>
      </c>
      <c r="B60" s="5" t="s">
        <v>264</v>
      </c>
      <c r="C60" s="5" t="s">
        <v>274</v>
      </c>
      <c r="D60" s="5" t="s">
        <v>272</v>
      </c>
      <c r="E60" s="5" t="s">
        <v>821</v>
      </c>
      <c r="F60" s="5" t="s">
        <v>818</v>
      </c>
      <c r="G60" s="5" t="s">
        <v>819</v>
      </c>
      <c r="H60" s="5" t="n">
        <v>2</v>
      </c>
      <c r="I60" s="5" t="s">
        <v>728</v>
      </c>
      <c r="J60" s="5" t="s">
        <v>820</v>
      </c>
      <c r="K60" s="5" t="s">
        <v>139</v>
      </c>
    </row>
    <row r="61" customFormat="false" ht="23.25" hidden="false" customHeight="true" outlineLevel="0" collapsed="false">
      <c r="A61" s="5" t="s">
        <v>275</v>
      </c>
      <c r="B61" s="5" t="s">
        <v>264</v>
      </c>
      <c r="C61" s="5" t="s">
        <v>276</v>
      </c>
      <c r="D61" s="5" t="s">
        <v>272</v>
      </c>
      <c r="E61" s="5" t="s">
        <v>822</v>
      </c>
      <c r="F61" s="5" t="s">
        <v>818</v>
      </c>
      <c r="G61" s="5" t="s">
        <v>819</v>
      </c>
      <c r="H61" s="5" t="n">
        <v>3</v>
      </c>
      <c r="I61" s="5" t="s">
        <v>728</v>
      </c>
      <c r="J61" s="5" t="s">
        <v>820</v>
      </c>
      <c r="K61" s="5" t="s">
        <v>139</v>
      </c>
    </row>
    <row r="62" customFormat="false" ht="23.25" hidden="false" customHeight="true" outlineLevel="0" collapsed="false">
      <c r="A62" s="5" t="s">
        <v>277</v>
      </c>
      <c r="B62" s="5" t="s">
        <v>264</v>
      </c>
      <c r="C62" s="5" t="s">
        <v>278</v>
      </c>
      <c r="D62" s="5" t="s">
        <v>272</v>
      </c>
      <c r="E62" s="5" t="s">
        <v>823</v>
      </c>
      <c r="F62" s="5" t="s">
        <v>824</v>
      </c>
      <c r="G62" s="5" t="s">
        <v>819</v>
      </c>
      <c r="H62" s="5" t="n">
        <v>4</v>
      </c>
      <c r="I62" s="5" t="s">
        <v>728</v>
      </c>
      <c r="J62" s="5" t="s">
        <v>820</v>
      </c>
      <c r="K62" s="5" t="s">
        <v>139</v>
      </c>
    </row>
    <row r="63" customFormat="false" ht="23.25" hidden="false" customHeight="true" outlineLevel="0" collapsed="false">
      <c r="A63" s="5" t="s">
        <v>279</v>
      </c>
      <c r="B63" s="5" t="s">
        <v>280</v>
      </c>
      <c r="C63" s="5" t="s">
        <v>281</v>
      </c>
      <c r="D63" s="5" t="s">
        <v>272</v>
      </c>
      <c r="E63" s="5" t="s">
        <v>825</v>
      </c>
      <c r="F63" s="5" t="s">
        <v>826</v>
      </c>
      <c r="G63" s="5" t="s">
        <v>819</v>
      </c>
      <c r="H63" s="5" t="n">
        <v>3</v>
      </c>
      <c r="I63" s="5" t="s">
        <v>728</v>
      </c>
      <c r="J63" s="5" t="s">
        <v>820</v>
      </c>
      <c r="K63" s="5" t="s">
        <v>139</v>
      </c>
    </row>
    <row r="64" customFormat="false" ht="23.25" hidden="false" customHeight="true" outlineLevel="0" collapsed="false">
      <c r="A64" s="5" t="s">
        <v>227</v>
      </c>
      <c r="B64" s="5" t="s">
        <v>228</v>
      </c>
      <c r="C64" s="5" t="s">
        <v>229</v>
      </c>
      <c r="D64" s="5" t="s">
        <v>230</v>
      </c>
      <c r="E64" s="5" t="s">
        <v>827</v>
      </c>
      <c r="F64" s="5" t="s">
        <v>828</v>
      </c>
      <c r="G64" s="5" t="s">
        <v>829</v>
      </c>
      <c r="H64" s="5" t="n">
        <v>1</v>
      </c>
      <c r="I64" s="5" t="s">
        <v>728</v>
      </c>
      <c r="J64" s="5" t="s">
        <v>830</v>
      </c>
      <c r="K64" s="5" t="s">
        <v>139</v>
      </c>
    </row>
    <row r="65" customFormat="false" ht="21.75" hidden="false" customHeight="true" outlineLevel="0" collapsed="false">
      <c r="A65" s="5" t="s">
        <v>231</v>
      </c>
      <c r="B65" s="5" t="s">
        <v>228</v>
      </c>
      <c r="C65" s="5" t="s">
        <v>232</v>
      </c>
      <c r="D65" s="5" t="s">
        <v>230</v>
      </c>
      <c r="E65" s="5" t="s">
        <v>831</v>
      </c>
      <c r="F65" s="5" t="s">
        <v>828</v>
      </c>
      <c r="G65" s="5" t="s">
        <v>829</v>
      </c>
      <c r="H65" s="5" t="n">
        <v>2</v>
      </c>
      <c r="I65" s="5" t="s">
        <v>728</v>
      </c>
      <c r="J65" s="5" t="s">
        <v>830</v>
      </c>
      <c r="K65" s="5" t="s">
        <v>139</v>
      </c>
    </row>
    <row r="66" customFormat="false" ht="23.25" hidden="false" customHeight="true" outlineLevel="0" collapsed="false">
      <c r="A66" s="5" t="s">
        <v>233</v>
      </c>
      <c r="B66" s="5" t="s">
        <v>228</v>
      </c>
      <c r="C66" s="5" t="s">
        <v>234</v>
      </c>
      <c r="D66" s="5" t="s">
        <v>230</v>
      </c>
      <c r="E66" s="5" t="s">
        <v>832</v>
      </c>
      <c r="F66" s="5" t="s">
        <v>828</v>
      </c>
      <c r="G66" s="5" t="s">
        <v>829</v>
      </c>
      <c r="H66" s="5" t="n">
        <v>1</v>
      </c>
      <c r="I66" s="5" t="s">
        <v>728</v>
      </c>
      <c r="J66" s="5" t="s">
        <v>830</v>
      </c>
      <c r="K66" s="5" t="s">
        <v>139</v>
      </c>
    </row>
    <row r="67" customFormat="false" ht="23.25" hidden="false" customHeight="true" outlineLevel="0" collapsed="false">
      <c r="A67" s="5" t="s">
        <v>235</v>
      </c>
      <c r="B67" s="5" t="s">
        <v>228</v>
      </c>
      <c r="C67" s="5" t="s">
        <v>236</v>
      </c>
      <c r="D67" s="5" t="s">
        <v>230</v>
      </c>
      <c r="E67" s="5" t="s">
        <v>833</v>
      </c>
      <c r="F67" s="5" t="s">
        <v>828</v>
      </c>
      <c r="G67" s="5" t="s">
        <v>829</v>
      </c>
      <c r="H67" s="5" t="n">
        <v>2</v>
      </c>
      <c r="I67" s="5" t="s">
        <v>728</v>
      </c>
      <c r="J67" s="5" t="s">
        <v>830</v>
      </c>
      <c r="K67" s="5" t="s">
        <v>139</v>
      </c>
    </row>
    <row r="68" customFormat="false" ht="23.25" hidden="false" customHeight="true" outlineLevel="0" collapsed="false">
      <c r="A68" s="5" t="s">
        <v>237</v>
      </c>
      <c r="B68" s="5" t="s">
        <v>228</v>
      </c>
      <c r="C68" s="5" t="s">
        <v>238</v>
      </c>
      <c r="D68" s="5" t="s">
        <v>230</v>
      </c>
      <c r="E68" s="5" t="s">
        <v>834</v>
      </c>
      <c r="F68" s="5" t="s">
        <v>835</v>
      </c>
      <c r="G68" s="5" t="s">
        <v>829</v>
      </c>
      <c r="H68" s="5" t="n">
        <v>2</v>
      </c>
      <c r="I68" s="5" t="s">
        <v>728</v>
      </c>
      <c r="J68" s="5" t="s">
        <v>830</v>
      </c>
      <c r="K68" s="5" t="s">
        <v>139</v>
      </c>
    </row>
    <row r="69" customFormat="false" ht="23.25" hidden="false" customHeight="true" outlineLevel="0" collapsed="false">
      <c r="A69" s="5" t="s">
        <v>239</v>
      </c>
      <c r="B69" s="5" t="s">
        <v>228</v>
      </c>
      <c r="C69" s="5" t="s">
        <v>240</v>
      </c>
      <c r="D69" s="5" t="s">
        <v>230</v>
      </c>
      <c r="E69" s="5" t="s">
        <v>836</v>
      </c>
      <c r="F69" s="5" t="s">
        <v>835</v>
      </c>
      <c r="G69" s="5" t="s">
        <v>829</v>
      </c>
      <c r="H69" s="5" t="n">
        <v>2</v>
      </c>
      <c r="I69" s="5" t="s">
        <v>728</v>
      </c>
      <c r="J69" s="5" t="s">
        <v>830</v>
      </c>
      <c r="K69" s="5" t="s">
        <v>139</v>
      </c>
    </row>
    <row r="70" customFormat="false" ht="23.25" hidden="false" customHeight="true" outlineLevel="0" collapsed="false">
      <c r="A70" s="5" t="s">
        <v>241</v>
      </c>
      <c r="B70" s="5" t="s">
        <v>228</v>
      </c>
      <c r="C70" s="5" t="s">
        <v>242</v>
      </c>
      <c r="D70" s="5" t="s">
        <v>230</v>
      </c>
      <c r="E70" s="5" t="s">
        <v>837</v>
      </c>
      <c r="F70" s="5" t="s">
        <v>835</v>
      </c>
      <c r="G70" s="5" t="s">
        <v>829</v>
      </c>
      <c r="H70" s="5" t="n">
        <v>1</v>
      </c>
      <c r="I70" s="5" t="s">
        <v>728</v>
      </c>
      <c r="J70" s="5" t="s">
        <v>830</v>
      </c>
      <c r="K70" s="5" t="s">
        <v>139</v>
      </c>
    </row>
    <row r="71" customFormat="false" ht="23.25" hidden="false" customHeight="true" outlineLevel="0" collapsed="false">
      <c r="A71" s="5" t="s">
        <v>243</v>
      </c>
      <c r="B71" s="5" t="s">
        <v>228</v>
      </c>
      <c r="C71" s="5" t="s">
        <v>244</v>
      </c>
      <c r="D71" s="5" t="s">
        <v>230</v>
      </c>
      <c r="E71" s="5" t="s">
        <v>838</v>
      </c>
      <c r="F71" s="5" t="s">
        <v>768</v>
      </c>
      <c r="G71" s="5" t="s">
        <v>829</v>
      </c>
      <c r="H71" s="5" t="n">
        <v>1</v>
      </c>
      <c r="I71" s="5" t="s">
        <v>728</v>
      </c>
      <c r="J71" s="5" t="s">
        <v>830</v>
      </c>
      <c r="K71" s="5" t="s">
        <v>139</v>
      </c>
    </row>
    <row r="72" customFormat="false" ht="23.25" hidden="false" customHeight="true" outlineLevel="0" collapsed="false">
      <c r="A72" s="5" t="s">
        <v>245</v>
      </c>
      <c r="B72" s="5" t="s">
        <v>228</v>
      </c>
      <c r="C72" s="5" t="s">
        <v>246</v>
      </c>
      <c r="D72" s="5" t="s">
        <v>230</v>
      </c>
      <c r="E72" s="5" t="s">
        <v>839</v>
      </c>
      <c r="F72" s="5" t="s">
        <v>835</v>
      </c>
      <c r="G72" s="5" t="s">
        <v>829</v>
      </c>
      <c r="H72" s="5" t="n">
        <v>3</v>
      </c>
      <c r="I72" s="5" t="s">
        <v>728</v>
      </c>
      <c r="J72" s="5" t="s">
        <v>830</v>
      </c>
      <c r="K72" s="5" t="s">
        <v>139</v>
      </c>
    </row>
    <row r="73" customFormat="false" ht="23.25" hidden="false" customHeight="true" outlineLevel="0" collapsed="false">
      <c r="A73" s="5" t="s">
        <v>247</v>
      </c>
      <c r="B73" s="5" t="s">
        <v>228</v>
      </c>
      <c r="C73" s="5" t="s">
        <v>248</v>
      </c>
      <c r="D73" s="5" t="s">
        <v>230</v>
      </c>
      <c r="E73" s="5" t="s">
        <v>840</v>
      </c>
      <c r="F73" s="5" t="s">
        <v>757</v>
      </c>
      <c r="G73" s="5" t="s">
        <v>829</v>
      </c>
      <c r="H73" s="5" t="n">
        <v>1</v>
      </c>
      <c r="I73" s="5" t="s">
        <v>728</v>
      </c>
      <c r="J73" s="5" t="s">
        <v>830</v>
      </c>
      <c r="K73" s="5" t="s">
        <v>139</v>
      </c>
    </row>
    <row r="74" customFormat="false" ht="34.5" hidden="false" customHeight="true" outlineLevel="0" collapsed="false">
      <c r="A74" s="5" t="s">
        <v>282</v>
      </c>
      <c r="B74" s="5" t="s">
        <v>280</v>
      </c>
      <c r="C74" s="5" t="s">
        <v>283</v>
      </c>
      <c r="D74" s="5" t="s">
        <v>230</v>
      </c>
      <c r="E74" s="5" t="s">
        <v>841</v>
      </c>
      <c r="F74" s="5" t="s">
        <v>842</v>
      </c>
      <c r="G74" s="5" t="s">
        <v>843</v>
      </c>
      <c r="H74" s="5" t="n">
        <v>2</v>
      </c>
      <c r="I74" s="5" t="s">
        <v>728</v>
      </c>
      <c r="J74" s="5" t="s">
        <v>830</v>
      </c>
      <c r="K74" s="5" t="s">
        <v>139</v>
      </c>
    </row>
    <row r="75" customFormat="false" ht="23.25" hidden="false" customHeight="true" outlineLevel="0" collapsed="false">
      <c r="A75" s="5" t="s">
        <v>284</v>
      </c>
      <c r="B75" s="5" t="s">
        <v>280</v>
      </c>
      <c r="C75" s="5" t="s">
        <v>285</v>
      </c>
      <c r="D75" s="5" t="s">
        <v>230</v>
      </c>
      <c r="E75" s="5" t="s">
        <v>844</v>
      </c>
      <c r="F75" s="5" t="s">
        <v>845</v>
      </c>
      <c r="G75" s="5" t="s">
        <v>843</v>
      </c>
      <c r="H75" s="5" t="n">
        <v>4</v>
      </c>
      <c r="I75" s="5" t="s">
        <v>728</v>
      </c>
      <c r="J75" s="5" t="s">
        <v>830</v>
      </c>
      <c r="K75" s="5" t="s">
        <v>139</v>
      </c>
    </row>
    <row r="76" customFormat="false" ht="23.25" hidden="false" customHeight="true" outlineLevel="0" collapsed="false">
      <c r="A76" s="5" t="s">
        <v>286</v>
      </c>
      <c r="B76" s="5" t="s">
        <v>280</v>
      </c>
      <c r="C76" s="5" t="s">
        <v>287</v>
      </c>
      <c r="D76" s="5" t="s">
        <v>230</v>
      </c>
      <c r="E76" s="5" t="s">
        <v>846</v>
      </c>
      <c r="F76" s="5" t="s">
        <v>845</v>
      </c>
      <c r="G76" s="5" t="s">
        <v>843</v>
      </c>
      <c r="H76" s="5" t="n">
        <v>3</v>
      </c>
      <c r="I76" s="5" t="s">
        <v>728</v>
      </c>
      <c r="J76" s="5" t="s">
        <v>830</v>
      </c>
      <c r="K76" s="5" t="s">
        <v>139</v>
      </c>
    </row>
    <row r="77" customFormat="false" ht="23.25" hidden="false" customHeight="true" outlineLevel="0" collapsed="false">
      <c r="A77" s="5" t="s">
        <v>294</v>
      </c>
      <c r="B77" s="5" t="s">
        <v>280</v>
      </c>
      <c r="C77" s="5" t="s">
        <v>295</v>
      </c>
      <c r="D77" s="5" t="s">
        <v>230</v>
      </c>
      <c r="E77" s="5" t="s">
        <v>847</v>
      </c>
      <c r="F77" s="5" t="s">
        <v>845</v>
      </c>
      <c r="G77" s="5" t="s">
        <v>843</v>
      </c>
      <c r="H77" s="5" t="n">
        <v>3</v>
      </c>
      <c r="I77" s="5" t="s">
        <v>728</v>
      </c>
      <c r="J77" s="5" t="s">
        <v>830</v>
      </c>
      <c r="K77" s="5" t="s">
        <v>139</v>
      </c>
    </row>
    <row r="78" customFormat="false" ht="15" hidden="false" customHeight="true" outlineLevel="0" collapsed="false">
      <c r="A78" s="5" t="s">
        <v>301</v>
      </c>
      <c r="B78" s="5" t="s">
        <v>297</v>
      </c>
      <c r="C78" s="5" t="s">
        <v>302</v>
      </c>
      <c r="D78" s="5" t="s">
        <v>230</v>
      </c>
      <c r="E78" s="5" t="s">
        <v>848</v>
      </c>
      <c r="F78" s="5" t="s">
        <v>849</v>
      </c>
      <c r="G78" s="5" t="s">
        <v>843</v>
      </c>
      <c r="H78" s="5" t="n">
        <v>1</v>
      </c>
      <c r="I78" s="5" t="s">
        <v>728</v>
      </c>
      <c r="J78" s="5" t="s">
        <v>830</v>
      </c>
      <c r="K78" s="5" t="s">
        <v>139</v>
      </c>
    </row>
    <row r="79" customFormat="false" ht="15" hidden="false" customHeight="true" outlineLevel="0" collapsed="false">
      <c r="A79" s="5" t="s">
        <v>303</v>
      </c>
      <c r="B79" s="5" t="s">
        <v>297</v>
      </c>
      <c r="C79" s="5" t="s">
        <v>304</v>
      </c>
      <c r="D79" s="5" t="s">
        <v>230</v>
      </c>
      <c r="E79" s="5" t="s">
        <v>850</v>
      </c>
      <c r="F79" s="5" t="s">
        <v>849</v>
      </c>
      <c r="G79" s="5" t="s">
        <v>843</v>
      </c>
      <c r="H79" s="5" t="n">
        <v>2</v>
      </c>
      <c r="I79" s="5" t="s">
        <v>728</v>
      </c>
      <c r="J79" s="5" t="s">
        <v>830</v>
      </c>
      <c r="K79" s="5" t="s">
        <v>139</v>
      </c>
    </row>
    <row r="80" customFormat="false" ht="15" hidden="false" customHeight="true" outlineLevel="0" collapsed="false">
      <c r="A80" s="5" t="s">
        <v>305</v>
      </c>
      <c r="B80" s="5" t="s">
        <v>297</v>
      </c>
      <c r="C80" s="5" t="s">
        <v>306</v>
      </c>
      <c r="D80" s="5" t="s">
        <v>230</v>
      </c>
      <c r="E80" s="5" t="s">
        <v>851</v>
      </c>
      <c r="F80" s="5" t="s">
        <v>849</v>
      </c>
      <c r="G80" s="5" t="s">
        <v>843</v>
      </c>
      <c r="H80" s="5" t="n">
        <v>2</v>
      </c>
      <c r="I80" s="5" t="s">
        <v>728</v>
      </c>
      <c r="J80" s="5" t="s">
        <v>830</v>
      </c>
      <c r="K80" s="5" t="s">
        <v>139</v>
      </c>
    </row>
    <row r="81" customFormat="false" ht="23.25" hidden="false" customHeight="true" outlineLevel="0" collapsed="false">
      <c r="A81" s="5" t="s">
        <v>307</v>
      </c>
      <c r="B81" s="5" t="s">
        <v>297</v>
      </c>
      <c r="C81" s="5" t="s">
        <v>308</v>
      </c>
      <c r="D81" s="5" t="s">
        <v>230</v>
      </c>
      <c r="E81" s="5" t="s">
        <v>852</v>
      </c>
      <c r="F81" s="5" t="s">
        <v>849</v>
      </c>
      <c r="G81" s="5" t="s">
        <v>843</v>
      </c>
      <c r="H81" s="5" t="n">
        <v>1</v>
      </c>
      <c r="I81" s="5" t="s">
        <v>728</v>
      </c>
      <c r="J81" s="5" t="s">
        <v>830</v>
      </c>
      <c r="K81" s="5" t="s">
        <v>139</v>
      </c>
    </row>
    <row r="82" customFormat="false" ht="23.25" hidden="false" customHeight="true" outlineLevel="0" collapsed="false">
      <c r="A82" s="5" t="s">
        <v>309</v>
      </c>
      <c r="B82" s="5" t="s">
        <v>297</v>
      </c>
      <c r="C82" s="5" t="s">
        <v>310</v>
      </c>
      <c r="D82" s="5" t="s">
        <v>230</v>
      </c>
      <c r="E82" s="5" t="s">
        <v>853</v>
      </c>
      <c r="F82" s="5" t="s">
        <v>849</v>
      </c>
      <c r="G82" s="5" t="s">
        <v>843</v>
      </c>
      <c r="H82" s="5" t="n">
        <v>2</v>
      </c>
      <c r="I82" s="5" t="s">
        <v>728</v>
      </c>
      <c r="J82" s="5" t="s">
        <v>830</v>
      </c>
      <c r="K82" s="5" t="s">
        <v>139</v>
      </c>
    </row>
    <row r="83" customFormat="false" ht="23.25" hidden="false" customHeight="true" outlineLevel="0" collapsed="false">
      <c r="A83" s="5" t="s">
        <v>334</v>
      </c>
      <c r="B83" s="5" t="s">
        <v>330</v>
      </c>
      <c r="C83" s="5" t="s">
        <v>335</v>
      </c>
      <c r="D83" s="5" t="s">
        <v>230</v>
      </c>
      <c r="E83" s="5" t="s">
        <v>854</v>
      </c>
      <c r="F83" s="5" t="s">
        <v>849</v>
      </c>
      <c r="G83" s="5" t="s">
        <v>843</v>
      </c>
      <c r="H83" s="5" t="n">
        <v>1</v>
      </c>
      <c r="I83" s="5" t="s">
        <v>728</v>
      </c>
      <c r="J83" s="5" t="s">
        <v>830</v>
      </c>
      <c r="K83" s="5" t="s">
        <v>139</v>
      </c>
    </row>
    <row r="84" customFormat="false" ht="23.25" hidden="false" customHeight="true" outlineLevel="0" collapsed="false">
      <c r="A84" s="5" t="s">
        <v>336</v>
      </c>
      <c r="B84" s="5" t="s">
        <v>330</v>
      </c>
      <c r="C84" s="5" t="s">
        <v>337</v>
      </c>
      <c r="D84" s="5" t="s">
        <v>230</v>
      </c>
      <c r="E84" s="5" t="s">
        <v>855</v>
      </c>
      <c r="F84" s="5" t="s">
        <v>849</v>
      </c>
      <c r="G84" s="5" t="s">
        <v>843</v>
      </c>
      <c r="H84" s="5" t="n">
        <v>2</v>
      </c>
      <c r="I84" s="5" t="s">
        <v>728</v>
      </c>
      <c r="J84" s="5" t="s">
        <v>830</v>
      </c>
      <c r="K84" s="5" t="s">
        <v>139</v>
      </c>
    </row>
    <row r="85" customFormat="false" ht="23.25" hidden="false" customHeight="true" outlineLevel="0" collapsed="false">
      <c r="A85" s="5" t="s">
        <v>344</v>
      </c>
      <c r="B85" s="5" t="s">
        <v>330</v>
      </c>
      <c r="C85" s="5" t="s">
        <v>345</v>
      </c>
      <c r="D85" s="5" t="s">
        <v>230</v>
      </c>
      <c r="E85" s="5" t="s">
        <v>856</v>
      </c>
      <c r="F85" s="5" t="s">
        <v>849</v>
      </c>
      <c r="G85" s="5" t="s">
        <v>843</v>
      </c>
      <c r="H85" s="5" t="n">
        <v>2</v>
      </c>
      <c r="I85" s="5" t="s">
        <v>728</v>
      </c>
      <c r="J85" s="5" t="s">
        <v>830</v>
      </c>
      <c r="K85" s="5" t="s">
        <v>139</v>
      </c>
    </row>
    <row r="86" customFormat="false" ht="15" hidden="false" customHeight="true" outlineLevel="0" collapsed="false">
      <c r="A86" s="5"/>
      <c r="B86" s="5"/>
      <c r="C86" s="5"/>
      <c r="D86" s="5"/>
      <c r="E86" s="5"/>
      <c r="F86" s="5"/>
      <c r="G86" s="5"/>
      <c r="H86" s="5"/>
      <c r="I86" s="5"/>
      <c r="J86" s="5"/>
      <c r="K86" s="5"/>
    </row>
    <row r="87" customFormat="false" ht="21.75" hidden="false" customHeight="true" outlineLevel="0" collapsed="false">
      <c r="A87" s="7" t="s">
        <v>857</v>
      </c>
      <c r="B87" s="7"/>
      <c r="C87" s="7"/>
      <c r="D87" s="7"/>
      <c r="E87" s="7"/>
      <c r="F87" s="7"/>
      <c r="G87" s="7"/>
      <c r="H87" s="7"/>
      <c r="I87" s="7"/>
      <c r="J87" s="7"/>
      <c r="K87" s="7"/>
    </row>
    <row r="88" customFormat="false" ht="23.25" hidden="false" customHeight="true" outlineLevel="0" collapsed="false">
      <c r="A88" s="5" t="s">
        <v>292</v>
      </c>
      <c r="B88" s="5" t="s">
        <v>280</v>
      </c>
      <c r="C88" s="5" t="s">
        <v>293</v>
      </c>
      <c r="D88" s="5" t="s">
        <v>290</v>
      </c>
      <c r="E88" s="5" t="s">
        <v>858</v>
      </c>
      <c r="F88" s="5" t="s">
        <v>859</v>
      </c>
      <c r="G88" s="5" t="s">
        <v>860</v>
      </c>
      <c r="H88" s="5" t="n">
        <v>13</v>
      </c>
      <c r="I88" s="5" t="s">
        <v>728</v>
      </c>
      <c r="J88" s="5" t="s">
        <v>861</v>
      </c>
      <c r="K88" s="5" t="s">
        <v>139</v>
      </c>
    </row>
    <row r="89" customFormat="false" ht="15" hidden="false" customHeight="true" outlineLevel="0" collapsed="false">
      <c r="A89" s="5" t="s">
        <v>340</v>
      </c>
      <c r="B89" s="5" t="s">
        <v>330</v>
      </c>
      <c r="C89" s="5" t="s">
        <v>341</v>
      </c>
      <c r="D89" s="5" t="s">
        <v>290</v>
      </c>
      <c r="E89" s="5" t="s">
        <v>862</v>
      </c>
      <c r="F89" s="5" t="s">
        <v>863</v>
      </c>
      <c r="G89" s="5" t="s">
        <v>860</v>
      </c>
      <c r="H89" s="5" t="n">
        <v>6</v>
      </c>
      <c r="I89" s="5" t="s">
        <v>728</v>
      </c>
      <c r="J89" s="5" t="s">
        <v>861</v>
      </c>
      <c r="K89" s="5" t="s">
        <v>139</v>
      </c>
    </row>
    <row r="90" customFormat="false" ht="15" hidden="false" customHeight="true" outlineLevel="0" collapsed="false">
      <c r="A90" s="5" t="s">
        <v>342</v>
      </c>
      <c r="B90" s="5" t="s">
        <v>330</v>
      </c>
      <c r="C90" s="5" t="s">
        <v>343</v>
      </c>
      <c r="D90" s="5" t="s">
        <v>290</v>
      </c>
      <c r="E90" s="5" t="s">
        <v>862</v>
      </c>
      <c r="F90" s="5" t="s">
        <v>863</v>
      </c>
      <c r="G90" s="5" t="s">
        <v>860</v>
      </c>
      <c r="H90" s="5" t="n">
        <v>4</v>
      </c>
      <c r="I90" s="5" t="s">
        <v>728</v>
      </c>
      <c r="J90" s="5" t="s">
        <v>861</v>
      </c>
      <c r="K90" s="5" t="s">
        <v>139</v>
      </c>
    </row>
    <row r="91" customFormat="false" ht="23.25" hidden="false" customHeight="true" outlineLevel="0" collapsed="false">
      <c r="A91" s="5" t="s">
        <v>288</v>
      </c>
      <c r="B91" s="5" t="s">
        <v>280</v>
      </c>
      <c r="C91" s="5" t="s">
        <v>289</v>
      </c>
      <c r="D91" s="5" t="s">
        <v>290</v>
      </c>
      <c r="E91" s="5" t="s">
        <v>864</v>
      </c>
      <c r="F91" s="5" t="s">
        <v>865</v>
      </c>
      <c r="G91" s="5" t="s">
        <v>866</v>
      </c>
      <c r="H91" s="5" t="n">
        <v>0</v>
      </c>
      <c r="I91" s="5" t="s">
        <v>867</v>
      </c>
      <c r="J91" s="5" t="s">
        <v>868</v>
      </c>
      <c r="K91" s="5" t="s">
        <v>291</v>
      </c>
    </row>
    <row r="92" customFormat="false" ht="23.25" hidden="false" customHeight="true" outlineLevel="0" collapsed="false">
      <c r="A92" s="5" t="s">
        <v>338</v>
      </c>
      <c r="B92" s="5" t="s">
        <v>330</v>
      </c>
      <c r="C92" s="5" t="s">
        <v>339</v>
      </c>
      <c r="D92" s="5" t="s">
        <v>290</v>
      </c>
      <c r="E92" s="5" t="s">
        <v>869</v>
      </c>
      <c r="F92" s="5" t="s">
        <v>870</v>
      </c>
      <c r="G92" s="5" t="s">
        <v>871</v>
      </c>
      <c r="H92" s="5" t="n">
        <v>10</v>
      </c>
      <c r="I92" s="5" t="s">
        <v>728</v>
      </c>
      <c r="J92" s="5" t="s">
        <v>872</v>
      </c>
      <c r="K92" s="5" t="s">
        <v>291</v>
      </c>
    </row>
    <row r="93" customFormat="false" ht="23.25" hidden="false" customHeight="true" outlineLevel="0" collapsed="false">
      <c r="A93" s="5" t="s">
        <v>346</v>
      </c>
      <c r="B93" s="5" t="s">
        <v>347</v>
      </c>
      <c r="C93" s="5" t="s">
        <v>348</v>
      </c>
      <c r="D93" s="5" t="s">
        <v>290</v>
      </c>
      <c r="E93" s="5" t="s">
        <v>873</v>
      </c>
      <c r="F93" s="5" t="s">
        <v>874</v>
      </c>
      <c r="G93" s="5" t="s">
        <v>875</v>
      </c>
      <c r="H93" s="5" t="n">
        <v>0</v>
      </c>
      <c r="I93" s="5" t="s">
        <v>867</v>
      </c>
      <c r="J93" s="5" t="s">
        <v>876</v>
      </c>
      <c r="K93" s="5" t="s">
        <v>349</v>
      </c>
    </row>
    <row r="94" customFormat="false" ht="23.25" hidden="false" customHeight="true" outlineLevel="0" collapsed="false">
      <c r="A94" s="5" t="s">
        <v>350</v>
      </c>
      <c r="B94" s="5" t="s">
        <v>347</v>
      </c>
      <c r="C94" s="5" t="s">
        <v>351</v>
      </c>
      <c r="D94" s="5" t="s">
        <v>290</v>
      </c>
      <c r="E94" s="5" t="s">
        <v>873</v>
      </c>
      <c r="F94" s="5" t="s">
        <v>877</v>
      </c>
      <c r="G94" s="5" t="s">
        <v>875</v>
      </c>
      <c r="H94" s="5" t="n">
        <v>0</v>
      </c>
      <c r="I94" s="5" t="s">
        <v>867</v>
      </c>
      <c r="J94" s="5" t="s">
        <v>876</v>
      </c>
      <c r="K94" s="5" t="s">
        <v>349</v>
      </c>
    </row>
    <row r="95" customFormat="false" ht="23.25" hidden="false" customHeight="true" outlineLevel="0" collapsed="false">
      <c r="A95" s="5" t="s">
        <v>878</v>
      </c>
      <c r="B95" s="5" t="s">
        <v>280</v>
      </c>
      <c r="C95" s="5" t="s">
        <v>879</v>
      </c>
      <c r="D95" s="5" t="s">
        <v>290</v>
      </c>
      <c r="E95" s="5" t="s">
        <v>880</v>
      </c>
      <c r="F95" s="5" t="s">
        <v>881</v>
      </c>
      <c r="G95" s="5" t="s">
        <v>882</v>
      </c>
      <c r="H95" s="5" t="n">
        <v>17</v>
      </c>
      <c r="I95" s="5" t="s">
        <v>728</v>
      </c>
      <c r="J95" s="5" t="s">
        <v>861</v>
      </c>
      <c r="K95" s="5" t="s">
        <v>883</v>
      </c>
    </row>
    <row r="96" customFormat="false" ht="34.5" hidden="false" customHeight="true" outlineLevel="0" collapsed="false">
      <c r="A96" s="5" t="s">
        <v>884</v>
      </c>
      <c r="B96" s="5" t="s">
        <v>250</v>
      </c>
      <c r="C96" s="5" t="s">
        <v>885</v>
      </c>
      <c r="D96" s="5" t="s">
        <v>290</v>
      </c>
      <c r="E96" s="5" t="s">
        <v>886</v>
      </c>
      <c r="F96" s="5" t="s">
        <v>887</v>
      </c>
      <c r="G96" s="5" t="s">
        <v>888</v>
      </c>
      <c r="H96" s="5" t="n">
        <v>34</v>
      </c>
      <c r="I96" s="5" t="s">
        <v>728</v>
      </c>
      <c r="J96" s="5" t="s">
        <v>889</v>
      </c>
      <c r="K96" s="5" t="s">
        <v>883</v>
      </c>
    </row>
    <row r="97" customFormat="false" ht="23.25" hidden="false" customHeight="true" outlineLevel="0" collapsed="false">
      <c r="A97" s="5" t="s">
        <v>890</v>
      </c>
      <c r="B97" s="5" t="s">
        <v>280</v>
      </c>
      <c r="C97" s="5" t="s">
        <v>891</v>
      </c>
      <c r="D97" s="5" t="s">
        <v>290</v>
      </c>
      <c r="E97" s="5" t="s">
        <v>892</v>
      </c>
      <c r="F97" s="5" t="s">
        <v>893</v>
      </c>
      <c r="G97" s="5" t="s">
        <v>894</v>
      </c>
      <c r="H97" s="5" t="n">
        <v>0</v>
      </c>
      <c r="I97" s="5" t="s">
        <v>895</v>
      </c>
      <c r="J97" s="5" t="s">
        <v>896</v>
      </c>
      <c r="K97" s="5" t="s">
        <v>883</v>
      </c>
    </row>
    <row r="98" customFormat="false" ht="23.25" hidden="false" customHeight="true" outlineLevel="0" collapsed="false">
      <c r="A98" s="5" t="s">
        <v>897</v>
      </c>
      <c r="B98" s="5" t="s">
        <v>250</v>
      </c>
      <c r="C98" s="5" t="s">
        <v>898</v>
      </c>
      <c r="D98" s="5" t="s">
        <v>290</v>
      </c>
      <c r="E98" s="5" t="s">
        <v>899</v>
      </c>
      <c r="F98" s="5" t="s">
        <v>900</v>
      </c>
      <c r="G98" s="5" t="s">
        <v>888</v>
      </c>
      <c r="H98" s="5" t="n">
        <v>5</v>
      </c>
      <c r="I98" s="5" t="s">
        <v>728</v>
      </c>
      <c r="J98" s="5" t="s">
        <v>889</v>
      </c>
      <c r="K98" s="5" t="s">
        <v>883</v>
      </c>
    </row>
    <row r="99" customFormat="false" ht="23.25" hidden="false" customHeight="true" outlineLevel="0" collapsed="false">
      <c r="A99" s="5" t="s">
        <v>316</v>
      </c>
      <c r="B99" s="5" t="s">
        <v>312</v>
      </c>
      <c r="C99" s="5" t="s">
        <v>317</v>
      </c>
      <c r="D99" s="5" t="s">
        <v>318</v>
      </c>
      <c r="E99" s="5" t="s">
        <v>901</v>
      </c>
      <c r="F99" s="5" t="s">
        <v>902</v>
      </c>
      <c r="G99" s="5" t="s">
        <v>903</v>
      </c>
      <c r="H99" s="5" t="n">
        <v>6</v>
      </c>
      <c r="I99" s="5" t="s">
        <v>728</v>
      </c>
      <c r="J99" s="5" t="s">
        <v>904</v>
      </c>
      <c r="K99" s="5" t="s">
        <v>883</v>
      </c>
    </row>
    <row r="100" customFormat="false" ht="23.25" hidden="false" customHeight="true" outlineLevel="0" collapsed="false">
      <c r="A100" s="5" t="s">
        <v>319</v>
      </c>
      <c r="B100" s="5" t="s">
        <v>312</v>
      </c>
      <c r="C100" s="5" t="s">
        <v>320</v>
      </c>
      <c r="D100" s="5" t="s">
        <v>318</v>
      </c>
      <c r="E100" s="5" t="s">
        <v>905</v>
      </c>
      <c r="F100" s="5" t="s">
        <v>902</v>
      </c>
      <c r="G100" s="5" t="s">
        <v>903</v>
      </c>
      <c r="H100" s="5" t="n">
        <v>8</v>
      </c>
      <c r="I100" s="5" t="s">
        <v>728</v>
      </c>
      <c r="J100" s="5" t="s">
        <v>904</v>
      </c>
      <c r="K100" s="5" t="s">
        <v>883</v>
      </c>
    </row>
    <row r="101" customFormat="false" ht="23.25" hidden="false" customHeight="true" outlineLevel="0" collapsed="false">
      <c r="A101" s="5" t="s">
        <v>324</v>
      </c>
      <c r="B101" s="5" t="s">
        <v>312</v>
      </c>
      <c r="C101" s="5" t="s">
        <v>906</v>
      </c>
      <c r="D101" s="5" t="s">
        <v>318</v>
      </c>
      <c r="E101" s="5" t="s">
        <v>907</v>
      </c>
      <c r="F101" s="5" t="s">
        <v>908</v>
      </c>
      <c r="G101" s="5" t="s">
        <v>903</v>
      </c>
      <c r="H101" s="5" t="n">
        <v>4</v>
      </c>
      <c r="I101" s="5" t="s">
        <v>728</v>
      </c>
      <c r="J101" s="5" t="s">
        <v>909</v>
      </c>
      <c r="K101" s="5" t="s">
        <v>326</v>
      </c>
    </row>
    <row r="102" customFormat="false" ht="23.25" hidden="false" customHeight="true" outlineLevel="0" collapsed="false">
      <c r="A102" s="5" t="s">
        <v>327</v>
      </c>
      <c r="B102" s="5" t="s">
        <v>312</v>
      </c>
      <c r="C102" s="5" t="s">
        <v>328</v>
      </c>
      <c r="D102" s="5" t="s">
        <v>318</v>
      </c>
      <c r="E102" s="5" t="s">
        <v>910</v>
      </c>
      <c r="F102" s="5" t="s">
        <v>911</v>
      </c>
      <c r="G102" s="5" t="s">
        <v>903</v>
      </c>
      <c r="H102" s="5" t="n">
        <v>4</v>
      </c>
      <c r="I102" s="5" t="s">
        <v>728</v>
      </c>
      <c r="J102" s="5" t="s">
        <v>904</v>
      </c>
      <c r="K102" s="5" t="s">
        <v>883</v>
      </c>
    </row>
    <row r="103" customFormat="false" ht="23.25" hidden="false" customHeight="true" outlineLevel="0" collapsed="false">
      <c r="A103" s="5" t="s">
        <v>352</v>
      </c>
      <c r="B103" s="5" t="s">
        <v>347</v>
      </c>
      <c r="C103" s="5" t="s">
        <v>353</v>
      </c>
      <c r="D103" s="5" t="s">
        <v>318</v>
      </c>
      <c r="E103" s="5" t="s">
        <v>912</v>
      </c>
      <c r="F103" s="5" t="s">
        <v>911</v>
      </c>
      <c r="G103" s="5" t="s">
        <v>903</v>
      </c>
      <c r="H103" s="5" t="n">
        <v>2</v>
      </c>
      <c r="I103" s="5" t="s">
        <v>728</v>
      </c>
      <c r="J103" s="5" t="s">
        <v>913</v>
      </c>
      <c r="K103" s="5" t="s">
        <v>883</v>
      </c>
    </row>
    <row r="104" customFormat="false" ht="23.25" hidden="false" customHeight="true" outlineLevel="0" collapsed="false">
      <c r="A104" s="5" t="s">
        <v>354</v>
      </c>
      <c r="B104" s="5" t="s">
        <v>347</v>
      </c>
      <c r="C104" s="5" t="s">
        <v>914</v>
      </c>
      <c r="D104" s="5" t="s">
        <v>318</v>
      </c>
      <c r="E104" s="5" t="s">
        <v>912</v>
      </c>
      <c r="F104" s="5" t="s">
        <v>911</v>
      </c>
      <c r="G104" s="5" t="s">
        <v>903</v>
      </c>
      <c r="H104" s="5" t="n">
        <v>2</v>
      </c>
      <c r="I104" s="5" t="s">
        <v>728</v>
      </c>
      <c r="J104" s="5" t="s">
        <v>915</v>
      </c>
      <c r="K104" s="5" t="s">
        <v>883</v>
      </c>
    </row>
    <row r="105" customFormat="false" ht="23.25" hidden="false" customHeight="true" outlineLevel="0" collapsed="false">
      <c r="A105" s="5" t="s">
        <v>356</v>
      </c>
      <c r="B105" s="5" t="s">
        <v>347</v>
      </c>
      <c r="C105" s="5" t="s">
        <v>357</v>
      </c>
      <c r="D105" s="5" t="s">
        <v>318</v>
      </c>
      <c r="E105" s="5" t="s">
        <v>916</v>
      </c>
      <c r="F105" s="5" t="s">
        <v>908</v>
      </c>
      <c r="G105" s="5" t="s">
        <v>903</v>
      </c>
      <c r="H105" s="5" t="n">
        <v>2</v>
      </c>
      <c r="I105" s="5" t="s">
        <v>728</v>
      </c>
      <c r="J105" s="5" t="s">
        <v>917</v>
      </c>
      <c r="K105" s="5" t="s">
        <v>291</v>
      </c>
    </row>
    <row r="106" customFormat="false" ht="23.25" hidden="false" customHeight="true" outlineLevel="0" collapsed="false">
      <c r="A106" s="5" t="s">
        <v>321</v>
      </c>
      <c r="B106" s="5" t="s">
        <v>312</v>
      </c>
      <c r="C106" s="5" t="s">
        <v>918</v>
      </c>
      <c r="D106" s="5" t="s">
        <v>323</v>
      </c>
      <c r="E106" s="5" t="s">
        <v>919</v>
      </c>
      <c r="F106" s="5" t="s">
        <v>920</v>
      </c>
      <c r="G106" s="5" t="s">
        <v>921</v>
      </c>
      <c r="H106" s="5" t="n">
        <v>6</v>
      </c>
      <c r="I106" s="5" t="s">
        <v>728</v>
      </c>
      <c r="J106" s="5" t="s">
        <v>922</v>
      </c>
      <c r="K106" s="5" t="s">
        <v>883</v>
      </c>
    </row>
    <row r="107" customFormat="false" ht="23.25" hidden="false" customHeight="true" outlineLevel="0" collapsed="false">
      <c r="A107" s="5" t="s">
        <v>358</v>
      </c>
      <c r="B107" s="5" t="s">
        <v>347</v>
      </c>
      <c r="C107" s="5" t="s">
        <v>359</v>
      </c>
      <c r="D107" s="5" t="s">
        <v>323</v>
      </c>
      <c r="E107" s="5" t="s">
        <v>923</v>
      </c>
      <c r="F107" s="5" t="s">
        <v>924</v>
      </c>
      <c r="G107" s="5" t="s">
        <v>921</v>
      </c>
      <c r="H107" s="5" t="n">
        <v>8</v>
      </c>
      <c r="I107" s="5" t="s">
        <v>728</v>
      </c>
      <c r="J107" s="5" t="s">
        <v>922</v>
      </c>
      <c r="K107" s="5" t="s">
        <v>883</v>
      </c>
    </row>
    <row r="108" customFormat="false" ht="23.25" hidden="false" customHeight="true" outlineLevel="0" collapsed="false">
      <c r="A108" s="5" t="s">
        <v>360</v>
      </c>
      <c r="B108" s="5" t="s">
        <v>347</v>
      </c>
      <c r="C108" s="5" t="s">
        <v>361</v>
      </c>
      <c r="D108" s="5" t="s">
        <v>362</v>
      </c>
      <c r="E108" s="5" t="s">
        <v>925</v>
      </c>
      <c r="F108" s="5" t="s">
        <v>920</v>
      </c>
      <c r="G108" s="5" t="s">
        <v>921</v>
      </c>
      <c r="H108" s="5" t="n">
        <v>5</v>
      </c>
      <c r="I108" s="5" t="s">
        <v>728</v>
      </c>
      <c r="J108" s="5" t="s">
        <v>926</v>
      </c>
      <c r="K108" s="5" t="s">
        <v>883</v>
      </c>
    </row>
    <row r="109" customFormat="false" ht="23.25" hidden="false" customHeight="true" outlineLevel="0" collapsed="false">
      <c r="A109" s="5" t="s">
        <v>363</v>
      </c>
      <c r="B109" s="5" t="s">
        <v>347</v>
      </c>
      <c r="C109" s="5" t="s">
        <v>364</v>
      </c>
      <c r="D109" s="5" t="s">
        <v>323</v>
      </c>
      <c r="E109" s="5" t="s">
        <v>927</v>
      </c>
      <c r="F109" s="5" t="s">
        <v>920</v>
      </c>
      <c r="G109" s="5" t="s">
        <v>921</v>
      </c>
      <c r="H109" s="5" t="n">
        <v>6</v>
      </c>
      <c r="I109" s="5" t="s">
        <v>728</v>
      </c>
      <c r="J109" s="5" t="s">
        <v>928</v>
      </c>
      <c r="K109" s="5" t="s">
        <v>883</v>
      </c>
    </row>
    <row r="110" customFormat="false" ht="34.5" hidden="false" customHeight="true" outlineLevel="0" collapsed="false">
      <c r="A110" s="5" t="s">
        <v>552</v>
      </c>
      <c r="B110" s="5" t="s">
        <v>280</v>
      </c>
      <c r="C110" s="5" t="s">
        <v>929</v>
      </c>
      <c r="D110" s="5" t="s">
        <v>704</v>
      </c>
      <c r="E110" s="5" t="s">
        <v>930</v>
      </c>
      <c r="F110" s="5" t="s">
        <v>931</v>
      </c>
      <c r="G110" s="5" t="s">
        <v>932</v>
      </c>
      <c r="H110" s="5" t="n">
        <v>26</v>
      </c>
      <c r="I110" s="5" t="s">
        <v>728</v>
      </c>
      <c r="J110" s="5" t="s">
        <v>933</v>
      </c>
      <c r="K110" s="5" t="s">
        <v>326</v>
      </c>
    </row>
    <row r="111" customFormat="false" ht="23.85" hidden="false" customHeight="false" outlineLevel="0" collapsed="false">
      <c r="A111" s="5" t="s">
        <v>934</v>
      </c>
      <c r="B111" s="5" t="s">
        <v>297</v>
      </c>
      <c r="C111" s="5" t="s">
        <v>935</v>
      </c>
      <c r="D111" s="5" t="s">
        <v>704</v>
      </c>
      <c r="E111" s="5" t="s">
        <v>936</v>
      </c>
      <c r="F111" s="5" t="s">
        <v>937</v>
      </c>
      <c r="G111" s="5" t="s">
        <v>938</v>
      </c>
      <c r="H111" s="5" t="n">
        <v>8</v>
      </c>
      <c r="I111" s="5" t="s">
        <v>728</v>
      </c>
      <c r="J111" s="5" t="s">
        <v>939</v>
      </c>
      <c r="K111" s="5" t="s">
        <v>883</v>
      </c>
    </row>
  </sheetData>
  <mergeCells count="1">
    <mergeCell ref="A87:K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26"/>
    <col collapsed="false" customWidth="true" hidden="false" outlineLevel="0" max="4" min="4" style="1" width="60"/>
    <col collapsed="false" customWidth="true" hidden="false" outlineLevel="0" max="5" min="5" style="1" width="62"/>
    <col collapsed="false" customWidth="true" hidden="false" outlineLevel="0" max="6" min="6" style="1" width="66"/>
  </cols>
  <sheetData>
    <row r="1" customFormat="false" ht="15" hidden="false" customHeight="true" outlineLevel="0" collapsed="false">
      <c r="A1" s="1" t="s">
        <v>940</v>
      </c>
    </row>
    <row r="2" customFormat="false" ht="15" hidden="false" customHeight="true" outlineLevel="0" collapsed="false">
      <c r="A2" s="1" t="s">
        <v>941</v>
      </c>
    </row>
    <row r="3" customFormat="false" ht="15" hidden="false" customHeight="true" outlineLevel="0" collapsed="false">
      <c r="A3" s="5"/>
      <c r="B3" s="5"/>
      <c r="C3" s="5"/>
      <c r="D3" s="5"/>
      <c r="E3" s="5"/>
      <c r="F3" s="5"/>
    </row>
    <row r="4" customFormat="false" ht="15" hidden="false" customHeight="true" outlineLevel="0" collapsed="false">
      <c r="A4" s="5" t="s">
        <v>128</v>
      </c>
      <c r="B4" s="5" t="s">
        <v>942</v>
      </c>
      <c r="C4" s="5" t="s">
        <v>719</v>
      </c>
      <c r="D4" s="5" t="s">
        <v>943</v>
      </c>
      <c r="E4" s="5" t="s">
        <v>533</v>
      </c>
      <c r="F4" s="5" t="s">
        <v>944</v>
      </c>
    </row>
    <row r="5" customFormat="false" ht="57" hidden="false" customHeight="true" outlineLevel="0" collapsed="false">
      <c r="A5" s="5" t="s">
        <v>945</v>
      </c>
      <c r="B5" s="5" t="s">
        <v>946</v>
      </c>
      <c r="C5" s="5" t="s">
        <v>947</v>
      </c>
      <c r="D5" s="5" t="s">
        <v>948</v>
      </c>
      <c r="E5" s="5" t="s">
        <v>949</v>
      </c>
      <c r="F5" s="5" t="s">
        <v>950</v>
      </c>
    </row>
    <row r="6" customFormat="false" ht="23.25" hidden="false" customHeight="true" outlineLevel="0" collapsed="false">
      <c r="A6" s="5" t="s">
        <v>951</v>
      </c>
      <c r="B6" s="5" t="s">
        <v>946</v>
      </c>
      <c r="C6" s="5" t="s">
        <v>952</v>
      </c>
      <c r="D6" s="5" t="s">
        <v>953</v>
      </c>
      <c r="E6" s="5" t="s">
        <v>954</v>
      </c>
      <c r="F6" s="5" t="s">
        <v>955</v>
      </c>
    </row>
    <row r="7" customFormat="false" ht="23.25" hidden="false" customHeight="true" outlineLevel="0" collapsed="false">
      <c r="A7" s="5" t="s">
        <v>956</v>
      </c>
      <c r="B7" s="5" t="s">
        <v>946</v>
      </c>
      <c r="C7" s="5" t="s">
        <v>957</v>
      </c>
      <c r="D7" s="5" t="s">
        <v>958</v>
      </c>
      <c r="E7" s="5" t="s">
        <v>959</v>
      </c>
      <c r="F7" s="5" t="s">
        <v>960</v>
      </c>
    </row>
    <row r="8" customFormat="false" ht="34.5" hidden="false" customHeight="true" outlineLevel="0" collapsed="false">
      <c r="A8" s="5" t="s">
        <v>961</v>
      </c>
      <c r="B8" s="5" t="s">
        <v>946</v>
      </c>
      <c r="C8" s="5" t="s">
        <v>952</v>
      </c>
      <c r="D8" s="5" t="s">
        <v>962</v>
      </c>
      <c r="E8" s="5" t="s">
        <v>963</v>
      </c>
      <c r="F8" s="5" t="s">
        <v>964</v>
      </c>
    </row>
    <row r="9" customFormat="false" ht="23.25" hidden="false" customHeight="true" outlineLevel="0" collapsed="false">
      <c r="A9" s="5" t="s">
        <v>965</v>
      </c>
      <c r="B9" s="5" t="s">
        <v>946</v>
      </c>
      <c r="C9" s="5" t="s">
        <v>966</v>
      </c>
      <c r="D9" s="5" t="s">
        <v>967</v>
      </c>
      <c r="E9" s="5" t="s">
        <v>968</v>
      </c>
      <c r="F9" s="5" t="s">
        <v>969</v>
      </c>
    </row>
    <row r="10" customFormat="false" ht="34.5" hidden="false" customHeight="true" outlineLevel="0" collapsed="false">
      <c r="A10" s="5" t="s">
        <v>970</v>
      </c>
      <c r="B10" s="5" t="s">
        <v>946</v>
      </c>
      <c r="C10" s="5" t="s">
        <v>971</v>
      </c>
      <c r="D10" s="5" t="s">
        <v>972</v>
      </c>
      <c r="E10" s="5" t="s">
        <v>973</v>
      </c>
      <c r="F10" s="5" t="s">
        <v>974</v>
      </c>
    </row>
    <row r="11" customFormat="false" ht="23.25" hidden="false" customHeight="true" outlineLevel="0" collapsed="false">
      <c r="A11" s="5" t="s">
        <v>975</v>
      </c>
      <c r="B11" s="5" t="s">
        <v>946</v>
      </c>
      <c r="C11" s="5" t="s">
        <v>976</v>
      </c>
      <c r="D11" s="5" t="s">
        <v>977</v>
      </c>
      <c r="E11" s="5" t="s">
        <v>978</v>
      </c>
      <c r="F11" s="5" t="s">
        <v>979</v>
      </c>
    </row>
    <row r="12" customFormat="false" ht="15" hidden="false" customHeight="true" outlineLevel="0" collapsed="false">
      <c r="A12" s="5" t="s">
        <v>980</v>
      </c>
      <c r="B12" s="5" t="s">
        <v>946</v>
      </c>
      <c r="C12" s="5" t="s">
        <v>976</v>
      </c>
      <c r="D12" s="5" t="s">
        <v>981</v>
      </c>
      <c r="E12" s="5" t="s">
        <v>982</v>
      </c>
      <c r="F12" s="5" t="s">
        <v>983</v>
      </c>
    </row>
    <row r="13" customFormat="false" ht="23.25" hidden="false" customHeight="true" outlineLevel="0" collapsed="false">
      <c r="A13" s="5" t="s">
        <v>984</v>
      </c>
      <c r="B13" s="5" t="s">
        <v>946</v>
      </c>
      <c r="C13" s="5" t="s">
        <v>976</v>
      </c>
      <c r="D13" s="5" t="s">
        <v>985</v>
      </c>
      <c r="E13" s="5" t="s">
        <v>986</v>
      </c>
      <c r="F13" s="5" t="s">
        <v>987</v>
      </c>
    </row>
    <row r="14" customFormat="false" ht="23.25" hidden="false" customHeight="true" outlineLevel="0" collapsed="false">
      <c r="A14" s="5" t="s">
        <v>988</v>
      </c>
      <c r="B14" s="5" t="s">
        <v>989</v>
      </c>
      <c r="C14" s="5" t="s">
        <v>990</v>
      </c>
      <c r="D14" s="5" t="s">
        <v>991</v>
      </c>
      <c r="E14" s="5" t="s">
        <v>992</v>
      </c>
      <c r="F14" s="5" t="s">
        <v>993</v>
      </c>
    </row>
    <row r="15" customFormat="false" ht="15" hidden="false" customHeight="true" outlineLevel="0" collapsed="false">
      <c r="A15" s="5" t="s">
        <v>994</v>
      </c>
      <c r="B15" s="5" t="s">
        <v>989</v>
      </c>
      <c r="C15" s="5" t="s">
        <v>990</v>
      </c>
      <c r="D15" s="5" t="s">
        <v>995</v>
      </c>
      <c r="E15" s="5" t="s">
        <v>996</v>
      </c>
      <c r="F15" s="5" t="s">
        <v>997</v>
      </c>
    </row>
    <row r="16" customFormat="false" ht="34.5" hidden="false" customHeight="true" outlineLevel="0" collapsed="false">
      <c r="A16" s="5" t="s">
        <v>998</v>
      </c>
      <c r="B16" s="5" t="s">
        <v>989</v>
      </c>
      <c r="C16" s="5" t="s">
        <v>999</v>
      </c>
      <c r="D16" s="5" t="s">
        <v>1000</v>
      </c>
      <c r="E16" s="5" t="s">
        <v>1001</v>
      </c>
      <c r="F16" s="5" t="s">
        <v>1002</v>
      </c>
    </row>
    <row r="17" customFormat="false" ht="34.5" hidden="false" customHeight="true" outlineLevel="0" collapsed="false">
      <c r="A17" s="5" t="s">
        <v>1003</v>
      </c>
      <c r="B17" s="5" t="s">
        <v>989</v>
      </c>
      <c r="C17" s="5" t="s">
        <v>976</v>
      </c>
      <c r="D17" s="5" t="s">
        <v>1004</v>
      </c>
      <c r="E17" s="5" t="s">
        <v>1005</v>
      </c>
      <c r="F17" s="5" t="s">
        <v>1006</v>
      </c>
    </row>
    <row r="18" customFormat="false" ht="34.5" hidden="false" customHeight="true" outlineLevel="0" collapsed="false">
      <c r="A18" s="5" t="s">
        <v>1007</v>
      </c>
      <c r="B18" s="5" t="s">
        <v>989</v>
      </c>
      <c r="C18" s="5" t="s">
        <v>1008</v>
      </c>
      <c r="D18" s="5" t="s">
        <v>1009</v>
      </c>
      <c r="E18" s="5" t="s">
        <v>1010</v>
      </c>
      <c r="F18" s="5" t="s">
        <v>1011</v>
      </c>
    </row>
    <row r="19" customFormat="false" ht="23.25" hidden="false" customHeight="true" outlineLevel="0" collapsed="false">
      <c r="A19" s="5" t="s">
        <v>1012</v>
      </c>
      <c r="B19" s="5" t="s">
        <v>989</v>
      </c>
      <c r="C19" s="5" t="s">
        <v>1013</v>
      </c>
      <c r="D19" s="5" t="s">
        <v>1014</v>
      </c>
      <c r="E19" s="5" t="s">
        <v>1015</v>
      </c>
      <c r="F19" s="5" t="s">
        <v>1016</v>
      </c>
    </row>
    <row r="20" customFormat="false" ht="23.25" hidden="false" customHeight="true" outlineLevel="0" collapsed="false">
      <c r="A20" s="5" t="s">
        <v>1017</v>
      </c>
      <c r="B20" s="5" t="s">
        <v>1018</v>
      </c>
      <c r="C20" s="5" t="s">
        <v>971</v>
      </c>
      <c r="D20" s="5" t="s">
        <v>1019</v>
      </c>
      <c r="E20" s="5" t="s">
        <v>1020</v>
      </c>
      <c r="F20" s="5" t="s">
        <v>1021</v>
      </c>
    </row>
    <row r="21" customFormat="false" ht="23.25" hidden="false" customHeight="true" outlineLevel="0" collapsed="false">
      <c r="A21" s="5" t="s">
        <v>1022</v>
      </c>
      <c r="B21" s="5" t="s">
        <v>1018</v>
      </c>
      <c r="C21" s="5" t="s">
        <v>1023</v>
      </c>
      <c r="D21" s="5" t="s">
        <v>1024</v>
      </c>
      <c r="E21" s="5" t="s">
        <v>1025</v>
      </c>
      <c r="F21" s="5" t="s">
        <v>1026</v>
      </c>
    </row>
    <row r="22" customFormat="false" ht="23.25" hidden="false" customHeight="true" outlineLevel="0" collapsed="false">
      <c r="A22" s="5" t="s">
        <v>1027</v>
      </c>
      <c r="B22" s="5" t="s">
        <v>1018</v>
      </c>
      <c r="C22" s="5" t="s">
        <v>1013</v>
      </c>
      <c r="D22" s="5" t="s">
        <v>1028</v>
      </c>
      <c r="E22" s="5" t="s">
        <v>1029</v>
      </c>
      <c r="F22" s="5" t="s">
        <v>1030</v>
      </c>
    </row>
    <row r="23" customFormat="false" ht="45.75" hidden="false" customHeight="true" outlineLevel="0" collapsed="false">
      <c r="A23" s="5" t="s">
        <v>884</v>
      </c>
      <c r="B23" s="5" t="s">
        <v>1031</v>
      </c>
      <c r="C23" s="5" t="s">
        <v>976</v>
      </c>
      <c r="D23" s="5" t="s">
        <v>1032</v>
      </c>
      <c r="E23" s="5" t="s">
        <v>1033</v>
      </c>
      <c r="F23" s="5" t="s">
        <v>1034</v>
      </c>
    </row>
    <row r="24" customFormat="false" ht="45.75" hidden="false" customHeight="true" outlineLevel="0" collapsed="false">
      <c r="A24" s="5" t="s">
        <v>890</v>
      </c>
      <c r="B24" s="5" t="s">
        <v>1031</v>
      </c>
      <c r="C24" s="5" t="s">
        <v>976</v>
      </c>
      <c r="D24" s="5" t="s">
        <v>1035</v>
      </c>
      <c r="E24" s="5" t="s">
        <v>1036</v>
      </c>
      <c r="F24" s="5" t="s">
        <v>1037</v>
      </c>
    </row>
    <row r="25" customFormat="false" ht="23.25" hidden="false" customHeight="true" outlineLevel="0" collapsed="false">
      <c r="A25" s="5" t="s">
        <v>1038</v>
      </c>
      <c r="B25" s="5" t="s">
        <v>1039</v>
      </c>
      <c r="C25" s="5" t="s">
        <v>1040</v>
      </c>
      <c r="D25" s="5" t="s">
        <v>1041</v>
      </c>
      <c r="E25" s="5" t="s">
        <v>1042</v>
      </c>
      <c r="F25" s="5" t="s">
        <v>1043</v>
      </c>
    </row>
    <row r="26" customFormat="false" ht="23.25" hidden="false" customHeight="true" outlineLevel="0" collapsed="false">
      <c r="A26" s="5" t="s">
        <v>1044</v>
      </c>
      <c r="B26" s="5" t="s">
        <v>1039</v>
      </c>
      <c r="C26" s="5" t="s">
        <v>1045</v>
      </c>
      <c r="D26" s="5" t="s">
        <v>1046</v>
      </c>
      <c r="E26" s="5" t="s">
        <v>1047</v>
      </c>
      <c r="F26" s="5" t="s">
        <v>1048</v>
      </c>
    </row>
    <row r="27" customFormat="false" ht="23.25" hidden="false" customHeight="true" outlineLevel="0" collapsed="false">
      <c r="A27" s="5" t="s">
        <v>1049</v>
      </c>
      <c r="B27" s="5" t="s">
        <v>1039</v>
      </c>
      <c r="C27" s="5" t="s">
        <v>1050</v>
      </c>
      <c r="D27" s="5" t="s">
        <v>1051</v>
      </c>
      <c r="E27" s="5" t="s">
        <v>1052</v>
      </c>
      <c r="F27" s="5" t="s">
        <v>1053</v>
      </c>
    </row>
    <row r="28" customFormat="false" ht="23.25" hidden="false" customHeight="true" outlineLevel="0" collapsed="false">
      <c r="A28" s="5" t="s">
        <v>1054</v>
      </c>
      <c r="B28" s="5" t="s">
        <v>1039</v>
      </c>
      <c r="C28" s="5" t="s">
        <v>976</v>
      </c>
      <c r="D28" s="5" t="s">
        <v>1055</v>
      </c>
      <c r="E28" s="5" t="s">
        <v>1056</v>
      </c>
      <c r="F28" s="5" t="s">
        <v>1057</v>
      </c>
    </row>
    <row r="29" customFormat="false" ht="34.5" hidden="false" customHeight="true" outlineLevel="0" collapsed="false">
      <c r="A29" s="5" t="s">
        <v>897</v>
      </c>
      <c r="B29" s="5" t="s">
        <v>989</v>
      </c>
      <c r="C29" s="5" t="s">
        <v>1058</v>
      </c>
      <c r="D29" s="5" t="s">
        <v>1059</v>
      </c>
      <c r="E29" s="5" t="s">
        <v>1060</v>
      </c>
      <c r="F29" s="5" t="s">
        <v>1061</v>
      </c>
    </row>
    <row r="30" customFormat="false" ht="45.75" hidden="false" customHeight="true" outlineLevel="0" collapsed="false">
      <c r="A30" s="5" t="s">
        <v>1062</v>
      </c>
      <c r="B30" s="5" t="s">
        <v>946</v>
      </c>
      <c r="C30" s="5" t="s">
        <v>1063</v>
      </c>
      <c r="D30" s="5" t="s">
        <v>1064</v>
      </c>
      <c r="E30" s="5" t="s">
        <v>1065</v>
      </c>
      <c r="F30" s="5" t="s">
        <v>1066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2026-09-05T18:37:46Z</dcterms:created>
  <dc:creator>openpyxl</dc:creator>
  <dc:description/>
  <dc:language>en-US</dc:language>
  <cp:lastModifiedBy/>
  <dcterms:modified xsi:type="dcterms:W3CDTF">2026-09-13T10:13:25Z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