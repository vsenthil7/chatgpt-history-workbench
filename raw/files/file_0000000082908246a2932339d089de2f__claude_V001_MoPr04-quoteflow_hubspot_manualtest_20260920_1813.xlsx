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ver" sheetId="1" state="visible" r:id="rId1"/>
    <sheet xmlns:r="http://schemas.openxmlformats.org/officeDocument/2006/relationships" name="02_Version_Control" sheetId="2" state="visible" r:id="rId2"/>
    <sheet xmlns:r="http://schemas.openxmlformats.org/officeDocument/2006/relationships" name="03_How_To_Use" sheetId="3" state="visible" r:id="rId3"/>
    <sheet xmlns:r="http://schemas.openxmlformats.org/officeDocument/2006/relationships" name="04_Context" sheetId="4" state="visible" r:id="rId4"/>
    <sheet xmlns:r="http://schemas.openxmlformats.org/officeDocument/2006/relationships" name="05_Version_Status" sheetId="5" state="visible" r:id="rId5"/>
    <sheet xmlns:r="http://schemas.openxmlformats.org/officeDocument/2006/relationships" name="06_Pending_Versions" sheetId="6" state="visible" r:id="rId6"/>
    <sheet xmlns:r="http://schemas.openxmlformats.org/officeDocument/2006/relationships" name="07_Test_Cases" sheetId="7" state="visible" r:id="rId7"/>
    <sheet xmlns:r="http://schemas.openxmlformats.org/officeDocument/2006/relationships" name="08_Test_Steps" sheetId="8" state="visible" r:id="rId8"/>
    <sheet xmlns:r="http://schemas.openxmlformats.org/officeDocument/2006/relationships" name="09_Traceability" sheetId="9" state="visible" r:id="rId9"/>
    <sheet xmlns:r="http://schemas.openxmlformats.org/officeDocument/2006/relationships" name="10_Defect_Log" sheetId="10" state="visible" r:id="rId10"/>
    <sheet xmlns:r="http://schemas.openxmlformats.org/officeDocument/2006/relationships" name="11_Environments" sheetId="11" state="visible" r:id="rId11"/>
    <sheet xmlns:r="http://schemas.openxmlformats.org/officeDocument/2006/relationships" name="12_Entry_Exit_Criteria" sheetId="12" state="visible" r:id="rId12"/>
    <sheet xmlns:r="http://schemas.openxmlformats.org/officeDocument/2006/relationships" name="13_Test_Summary" sheetId="13" state="visible" r:id="rId13"/>
    <sheet xmlns:r="http://schemas.openxmlformats.org/officeDocument/2006/relationships" name="14_Sign_Off" sheetId="14" state="visible" r:id="rId14"/>
    <sheet xmlns:r="http://schemas.openxmlformats.org/officeDocument/2006/relationships" name="15_Glossary" sheetId="15" state="visible" r:id="rId15"/>
  </sheets>
  <definedNames>
    <definedName name="_xlnm._FilterDatabase" localSheetId="1" hidden="1">'02_Version_Control'!$A$3:$F$3</definedName>
    <definedName name="_xlnm._FilterDatabase" localSheetId="2" hidden="1">'03_How_To_Use'!$A$3:$E$3</definedName>
    <definedName name="_xlnm._FilterDatabase" localSheetId="4" hidden="1">'05_Version_Status'!$A$3:$I$3</definedName>
    <definedName name="_xlnm._FilterDatabase" localSheetId="5" hidden="1">'06_Pending_Versions'!$A$3:$I$3</definedName>
    <definedName name="_xlnm._FilterDatabase" localSheetId="6" hidden="1">'07_Test_Cases'!$A$3:$Q$3</definedName>
    <definedName name="_xlnm._FilterDatabase" localSheetId="7" hidden="1">'08_Test_Steps'!$A$3:$J$3</definedName>
    <definedName name="_xlnm._FilterDatabase" localSheetId="8" hidden="1">'09_Traceability'!$A$3:$J$3</definedName>
    <definedName name="_xlnm._FilterDatabase" localSheetId="9" hidden="1">'10_Defect_Log'!$A$3:$P$3</definedName>
    <definedName name="_xlnm._FilterDatabase" localSheetId="10" hidden="1">'11_Environments'!$A$3:$D$3</definedName>
    <definedName name="_xlnm._FilterDatabase" localSheetId="11" hidden="1">'12_Entry_Exit_Criteria'!$A$3:$E$3</definedName>
    <definedName name="_xlnm._FilterDatabase" localSheetId="12" hidden="1">'13_Test_Summary'!$A$3:$C$3</definedName>
    <definedName name="_xlnm._FilterDatabase" localSheetId="13" hidden="1">'14_Sign_Off'!$A$3:$C$3</definedName>
    <definedName name="_xlnm._FilterDatabase" localSheetId="14" hidden="1">'15_Glossary'!$A$3:$B$3</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sz val="14"/>
    </font>
    <font>
      <color rgb="004B5563"/>
      <sz val="9"/>
    </font>
    <font>
      <color rgb="001F2937"/>
      <sz val="10"/>
    </font>
    <font>
      <b val="1"/>
      <color rgb="001F3864"/>
      <sz val="11.5"/>
    </font>
    <font>
      <b val="1"/>
      <color rgb="001F2937"/>
      <sz val="10"/>
    </font>
  </fonts>
  <fills count="8">
    <fill>
      <patternFill/>
    </fill>
    <fill>
      <patternFill patternType="gray125"/>
    </fill>
    <fill>
      <patternFill patternType="solid">
        <fgColor rgb="001F3864"/>
      </patternFill>
    </fill>
    <fill>
      <patternFill patternType="solid">
        <fgColor rgb="00F5F8FC"/>
      </patternFill>
    </fill>
    <fill>
      <patternFill patternType="solid">
        <fgColor rgb="00D9E2F3"/>
      </patternFill>
    </fill>
    <fill>
      <patternFill patternType="solid">
        <fgColor rgb="00E2EFDA"/>
      </patternFill>
    </fill>
    <fill>
      <patternFill patternType="solid">
        <fgColor rgb="00FCE4E4"/>
      </patternFill>
    </fill>
    <fill>
      <patternFill patternType="solid">
        <fgColor rgb="00FFF2CC"/>
      </patternFill>
    </fill>
  </fills>
  <borders count="2">
    <border>
      <left/>
      <right/>
      <top/>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3" fillId="0" borderId="0" applyAlignment="1" pivotButton="0" quotePrefix="0" xfId="0">
      <alignment vertical="top" wrapText="1"/>
    </xf>
    <xf numFmtId="0" fontId="5" fillId="4" borderId="1" applyAlignment="1" pivotButton="0" quotePrefix="0" xfId="0">
      <alignment horizontal="center" vertical="top" wrapText="1"/>
    </xf>
    <xf numFmtId="0" fontId="3" fillId="5" borderId="1" applyAlignment="1" pivotButton="0" quotePrefix="0" xfId="0">
      <alignment vertical="top" wrapText="1"/>
    </xf>
    <xf numFmtId="0" fontId="2" fillId="0" borderId="0" pivotButton="0" quotePrefix="0" xfId="0"/>
    <xf numFmtId="0" fontId="3" fillId="6" borderId="1" applyAlignment="1" pivotButton="0" quotePrefix="0" xfId="0">
      <alignment vertical="top" wrapText="1"/>
    </xf>
    <xf numFmtId="0" fontId="3" fillId="0" borderId="1" applyAlignment="1" pivotButton="0" quotePrefix="0" xfId="0">
      <alignment horizontal="center" vertical="top" wrapText="1"/>
    </xf>
    <xf numFmtId="164" fontId="3" fillId="0" borderId="1" applyAlignment="1" pivotButton="0" quotePrefix="0" xfId="0">
      <alignment vertical="top" wrapText="1"/>
    </xf>
    <xf numFmtId="0" fontId="3" fillId="7" borderId="1" applyAlignment="1" pivotButton="0" quotePrefix="0" xfId="0">
      <alignment vertical="top" wrapText="1"/>
    </xf>
    <xf numFmtId="0" fontId="3" fillId="7" borderId="1" applyAlignment="1" pivotButton="0" quotePrefix="0" xfId="0">
      <alignment horizontal="center" vertical="top" wrapText="1"/>
    </xf>
    <xf numFmtId="164" fontId="3" fillId="7" borderId="1" applyAlignment="1" pivotButton="0" quotePrefix="0" xfId="0">
      <alignment vertical="top" wrapText="1"/>
    </xf>
    <xf numFmtId="0" fontId="3" fillId="3" borderId="1" applyAlignment="1" pivotButton="0" quotePrefix="0" xfId="0">
      <alignment horizontal="center" vertical="top" wrapText="1"/>
    </xf>
    <xf numFmtId="164" fontId="3" fillId="3" borderId="1" applyAlignment="1" pivotButton="0" quotePrefix="0" xfId="0">
      <alignment vertical="top" wrapText="1"/>
    </xf>
    <xf numFmtId="0" fontId="3" fillId="6" borderId="1" applyAlignment="1" pivotButton="0" quotePrefix="0" xfId="0">
      <alignment horizontal="center" vertical="top" wrapText="1"/>
    </xf>
    <xf numFmtId="164" fontId="3" fillId="6" borderId="1" applyAlignment="1" pivotButton="0" quotePrefix="0" xfId="0">
      <alignment vertical="top" wrapText="1"/>
    </xf>
    <xf numFmtId="0" fontId="5" fillId="0" borderId="0" pivotButton="0" quotePrefix="0" xfId="0"/>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3"/>
  <sheetViews>
    <sheetView workbookViewId="0">
      <selection activeCell="A1" sqref="A1"/>
    </sheetView>
  </sheetViews>
  <sheetFormatPr baseColWidth="8" defaultRowHeight="15"/>
  <cols>
    <col width="34" customWidth="1" min="1" max="1"/>
    <col width="118" customWidth="1" min="2" max="2"/>
  </cols>
  <sheetData>
    <row r="1" ht="24" customHeight="1">
      <c r="A1" s="1" t="inlineStr">
        <is>
          <t>QUOTEFLOW — MANUAL TEST PACK</t>
        </is>
      </c>
    </row>
    <row r="2" ht="42" customHeight="1">
      <c r="A2" s="2" t="inlineStr">
        <is>
          <t>The human-executable counterpart to the automated suite. Every case below can be run by a person with a terminal and a browser, against a build of the delivered zip — including the cases that cannot be run yet, which say so and name what is missing.</t>
        </is>
      </c>
    </row>
    <row r="4">
      <c r="A4" s="3" t="inlineStr">
        <is>
          <t>Document</t>
        </is>
      </c>
      <c r="B4" s="3" t="inlineStr">
        <is>
          <t>QuoteFlow manual test pack</t>
        </is>
      </c>
    </row>
    <row r="5">
      <c r="A5" s="4" t="inlineStr">
        <is>
          <t>Document ID</t>
        </is>
      </c>
      <c r="B5" s="4" t="inlineStr">
        <is>
          <t>claude_V001_MoPr04-quoteflow_hubspot_manualtest_20260920_1813</t>
        </is>
      </c>
    </row>
    <row r="6">
      <c r="A6" s="3" t="inlineStr">
        <is>
          <t>Product</t>
        </is>
      </c>
      <c r="B6" s="3" t="inlineStr">
        <is>
          <t>QuoteFlow — CPQ for the HubSpot App Marketplace (portfolio ref 003-MoPr04)</t>
        </is>
      </c>
    </row>
    <row r="7">
      <c r="A7" s="4" t="inlineStr">
        <is>
          <t>Version</t>
        </is>
      </c>
      <c r="B7" s="4" t="inlineStr">
        <is>
          <t>V001</t>
        </is>
      </c>
    </row>
    <row r="8">
      <c r="A8" s="3" t="inlineStr">
        <is>
          <t>Date / time</t>
        </is>
      </c>
      <c r="B8" s="3" t="inlineStr">
        <is>
          <t>2026-09-20 18:13</t>
        </is>
      </c>
    </row>
    <row r="9">
      <c r="A9" s="4" t="inlineStr">
        <is>
          <t>Author</t>
        </is>
      </c>
      <c r="B9" s="4" t="inlineStr">
        <is>
          <t>Claude for Senthil/KP</t>
        </is>
      </c>
    </row>
    <row r="10">
      <c r="A10" s="3" t="inlineStr">
        <is>
          <t>Status</t>
        </is>
      </c>
      <c r="B10" s="3" t="inlineStr">
        <is>
          <t>Released</t>
        </is>
      </c>
    </row>
    <row r="11">
      <c r="A11" s="4" t="inlineStr">
        <is>
          <t>Code baseline under test</t>
        </is>
      </c>
      <c r="B11" s="4" t="inlineStr">
        <is>
          <t>quoteflow_extreview2_codebase_20260920_1020.zip · tree 43de1cac3aa5a9aa · 70 source files · 17 migrations</t>
        </is>
      </c>
    </row>
    <row r="12">
      <c r="A12" s="3" t="inlineStr">
        <is>
          <t>Automated suite at this baseline</t>
        </is>
      </c>
      <c r="B12" s="3" t="inlineStr">
        <is>
          <t>793 tests across 45 suites, 100% statements/branches/functions/lines (a REGRESSION FLOOR, not a quality claim)</t>
        </is>
      </c>
    </row>
    <row r="13">
      <c r="A13" s="4" t="inlineStr">
        <is>
          <t>Scope of this pack</t>
        </is>
      </c>
      <c r="B13" s="4" t="inlineStr">
        <is>
          <t>26 versions (17 completed, 9 pending) · 72 test cases · 331 numbered steps</t>
        </is>
      </c>
    </row>
    <row r="14">
      <c r="A14" s="3" t="inlineStr">
        <is>
          <t>Test types</t>
        </is>
      </c>
      <c r="B14" s="3" t="inlineStr">
        <is>
          <t>33 positive, 39 negative</t>
        </is>
      </c>
    </row>
    <row r="15">
      <c r="A15" s="4" t="inlineStr">
        <is>
          <t>Companion documents</t>
        </is>
      </c>
      <c r="B15" s="4" t="inlineStr">
        <is>
          <t>claude_V001 architecture &amp; completion status (PDF + SVG/PNG figures) · claude_v028 sprint tracker · claude_v036 product workbook</t>
        </is>
      </c>
    </row>
    <row r="16">
      <c r="A16" s="3" t="inlineStr">
        <is>
          <t>Classification</t>
        </is>
      </c>
      <c r="B16" s="3" t="inlineStr">
        <is>
          <t>Internal. Records what is NOT built and why; not for external distribution.</t>
        </is>
      </c>
    </row>
    <row r="19" ht="20" customHeight="1">
      <c r="A19" s="5" t="inlineStr">
        <is>
          <t>Why a manual pack exists beside a 100% automated suite</t>
        </is>
      </c>
    </row>
    <row r="20" ht="45" customHeight="1">
      <c r="A20" s="6" t="inlineStr">
        <is>
          <t>Because they answer different questions. The automated suite asks "did the behaviour change since last release?" — that is a regression floor, and it is why the coverage gate exists. This pack asks "does the behaviour do what a person expects, including when that person is hostile?" Three cold reviews and two external reviews found twenty-five defects in code that was already at 100% coverage, which is the empirical case for the distinction.</t>
        </is>
      </c>
    </row>
    <row r="21" ht="45" customHeight="1">
      <c r="A21" s="6" t="inlineStr">
        <is>
          <t>It also does something the suite cannot: it writes down the tests that CANNOT be run yet. Cases TC-056 to TC-060 are fully specified and blocked on an account, an environment or a purchase. They are in the pack so that the day a HubSpot developer account exists, the test is already written and nobody has to remember what LIVE evidence was supposed to mean.</t>
        </is>
      </c>
    </row>
    <row r="22" ht="20" customHeight="1">
      <c r="A22" s="5" t="inlineStr">
        <is>
          <t>How to use this workbook in one line</t>
        </is>
      </c>
    </row>
    <row r="23" ht="30" customHeight="1">
      <c r="A23" s="6" t="inlineStr">
        <is>
          <t>Read 03_How_To_Use, set up from 11_Environments, work down 07_Test_Cases picking up the steps from 08_Test_Steps, record results in the Actual/Status columns, raise anything that fails in 10_Defect_Log, and check 09_Traceability to confirm nothing was skipped.</t>
        </is>
      </c>
    </row>
  </sheetData>
  <mergeCells count="7">
    <mergeCell ref="A20:B20"/>
    <mergeCell ref="A21:B21"/>
    <mergeCell ref="A2:B2"/>
    <mergeCell ref="A19:B19"/>
    <mergeCell ref="A1:B1"/>
    <mergeCell ref="A23:B23"/>
    <mergeCell ref="A22:B2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1" customWidth="1" min="1" max="1"/>
    <col width="18" customWidth="1" min="2" max="2"/>
    <col width="24" customWidth="1" min="3" max="3"/>
    <col width="92" customWidth="1" min="4" max="4"/>
    <col width="34" customWidth="1" min="5" max="5"/>
    <col width="12" customWidth="1" min="6" max="6"/>
  </cols>
  <sheetData>
    <row r="1" ht="24" customHeight="1">
      <c r="A1" s="1" t="inlineStr">
        <is>
          <t>VERSION CONTROL — manual test pack</t>
        </is>
      </c>
    </row>
    <row r="2" ht="42" customHeight="1">
      <c r="A2" s="2" t="inlineStr">
        <is>
          <t>One row per issued version of THIS DOCUMENT. Rows are never edited after release; a PLANNED row is recorded before work starts so an abandoned attempt still leaves a trace. (The versions of the PRODUCT are a different thing and live on sheet 05.)</t>
        </is>
      </c>
    </row>
    <row r="3" ht="30" customHeight="1">
      <c r="A3" s="7" t="inlineStr">
        <is>
          <t>Version</t>
        </is>
      </c>
      <c r="B3" s="7" t="inlineStr">
        <is>
          <t>Date / time</t>
        </is>
      </c>
      <c r="C3" s="7" t="inlineStr">
        <is>
          <t>Author</t>
        </is>
      </c>
      <c r="D3" s="7" t="inlineStr">
        <is>
          <t>Change description</t>
        </is>
      </c>
      <c r="E3" s="7" t="inlineStr">
        <is>
          <t>Baseline tested</t>
        </is>
      </c>
      <c r="F3" s="7" t="inlineStr">
        <is>
          <t>Status</t>
        </is>
      </c>
    </row>
    <row r="4">
      <c r="A4" s="3" t="inlineStr">
        <is>
          <t>V001</t>
        </is>
      </c>
      <c r="B4" s="3" t="inlineStr">
        <is>
          <t>2026-09-20 18:13</t>
        </is>
      </c>
      <c r="C4" s="3" t="inlineStr">
        <is>
          <t>Claude for Senthil/KP</t>
        </is>
      </c>
      <c r="D4" s="3" t="inlineStr">
        <is>
          <t>First issue. Covers the full product lineage from S1 through external review V002: 26 versions (17 completed, 9 pending), 72 test cases (33 positive, 39 negative) and 331 numbered steps. Includes the five blocked cases (TC-056..TC-060) written in full so they can be run the day their blocker clears.</t>
        </is>
      </c>
      <c r="E4" s="3" t="inlineStr">
        <is>
          <t>tree 43de1cac3aa5</t>
        </is>
      </c>
      <c r="F4" s="3" t="inlineStr">
        <is>
          <t>Released</t>
        </is>
      </c>
    </row>
    <row r="5">
      <c r="A5" s="4" t="inlineStr">
        <is>
          <t>V002</t>
        </is>
      </c>
      <c r="B5" s="4" t="inlineStr">
        <is>
          <t>— (planned)</t>
        </is>
      </c>
      <c r="C5" s="4" t="inlineStr">
        <is>
          <t>—</t>
        </is>
      </c>
      <c r="D5" s="4" t="inlineStr">
        <is>
          <t>Will be issued when the first blocked case becomes runnable — most likely TC-056 once a HubSpot developer account exists (R-Q15). That run would produce the first LIVE evidence in the product’s history.</t>
        </is>
      </c>
      <c r="E5" s="4" t="inlineStr">
        <is>
          <t>—</t>
        </is>
      </c>
      <c r="F5" s="4" t="inlineStr">
        <is>
          <t>Planned</t>
        </is>
      </c>
    </row>
    <row r="7" ht="20" customHeight="1">
      <c r="A7" s="5" t="inlineStr">
        <is>
          <t>Document control rules</t>
        </is>
      </c>
    </row>
    <row r="8" ht="16" customHeight="1">
      <c r="A8" s="6" t="inlineStr">
        <is>
          <t>1. A released row is never edited. Corrections are issued as a new version with a note saying what was wrong.</t>
        </is>
      </c>
    </row>
    <row r="9" ht="30" customHeight="1">
      <c r="A9" s="6" t="inlineStr">
        <is>
          <t>2. The baseline column must name the exact tree hash the pack was written against. A pack executed against a different build is evidence about that build, not this one.</t>
        </is>
      </c>
    </row>
    <row r="10" ht="16" customHeight="1">
      <c r="A10" s="6" t="inlineStr">
        <is>
          <t>3. A test case may be added or amended only with a version bump. Changing an expected result silently is how a test pack stops being evidence.</t>
        </is>
      </c>
    </row>
    <row r="11" ht="16" customHeight="1">
      <c r="A11" s="6" t="inlineStr">
        <is>
          <t>4. Results are NOT recorded in this file. Take a dated copy per execution cycle (see 12_Entry_Exit_Criteria) so the master stays clean.</t>
        </is>
      </c>
    </row>
  </sheetData>
  <autoFilter ref="A3:F3"/>
  <mergeCells count="7">
    <mergeCell ref="A2:F2"/>
    <mergeCell ref="A11:F11"/>
    <mergeCell ref="A10:F10"/>
    <mergeCell ref="A1:F1"/>
    <mergeCell ref="A9:F9"/>
    <mergeCell ref="A8:F8"/>
    <mergeCell ref="A7:F7"/>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4" customWidth="1" min="1" max="1"/>
    <col width="52" customWidth="1" min="2" max="2"/>
    <col width="20" customWidth="1" min="3" max="3"/>
    <col width="22" customWidth="1" min="4" max="4"/>
    <col width="74" customWidth="1" min="5" max="5"/>
  </cols>
  <sheetData>
    <row r="1" ht="24" customHeight="1">
      <c r="A1" s="1" t="inlineStr">
        <is>
          <t>HOW TO USE THIS WORKBOOK</t>
        </is>
      </c>
    </row>
    <row r="2" ht="42" customHeight="1">
      <c r="A2" s="2" t="inlineStr">
        <is>
          <t>Every sheet, what it is for, who uses it, and when. Read this once before the first execution cycle.</t>
        </is>
      </c>
    </row>
    <row r="3" ht="30" customHeight="1">
      <c r="A3" s="7" t="inlineStr">
        <is>
          <t>Sheet</t>
        </is>
      </c>
      <c r="B3" s="7" t="inlineStr">
        <is>
          <t>What it contains</t>
        </is>
      </c>
      <c r="C3" s="7" t="inlineStr">
        <is>
          <t>Who uses it</t>
        </is>
      </c>
      <c r="D3" s="7" t="inlineStr">
        <is>
          <t>When</t>
        </is>
      </c>
      <c r="E3" s="7" t="inlineStr">
        <is>
          <t>How to use it</t>
        </is>
      </c>
    </row>
    <row r="4">
      <c r="A4" s="3" t="inlineStr">
        <is>
          <t>01_Cover</t>
        </is>
      </c>
      <c r="B4" s="3" t="inlineStr">
        <is>
          <t>Identity of this pack, the baseline it was written against, and its size.</t>
        </is>
      </c>
      <c r="C4" s="3" t="inlineStr">
        <is>
          <t>Everyone</t>
        </is>
      </c>
      <c r="D4" s="3" t="inlineStr">
        <is>
          <t>First</t>
        </is>
      </c>
      <c r="E4" s="3" t="inlineStr">
        <is>
          <t>Check the baseline hash matches the build you are about to test. If it does not, stop — your results will describe a different product.</t>
        </is>
      </c>
    </row>
    <row r="5">
      <c r="A5" s="4" t="inlineStr">
        <is>
          <t>02_Version_Control</t>
        </is>
      </c>
      <c r="B5" s="4" t="inlineStr">
        <is>
          <t>Lineage of this document and the rules that govern changing it.</t>
        </is>
      </c>
      <c r="C5" s="4" t="inlineStr">
        <is>
          <t>Test lead</t>
        </is>
      </c>
      <c r="D5" s="4" t="inlineStr">
        <is>
          <t>First, then on every amendment</t>
        </is>
      </c>
      <c r="E5" s="4" t="inlineStr">
        <is>
          <t>Add a row; never edit one. Bump the version before changing any expected result.</t>
        </is>
      </c>
    </row>
    <row r="6">
      <c r="A6" s="3" t="inlineStr">
        <is>
          <t>03_How_To_Use</t>
        </is>
      </c>
      <c r="B6" s="3" t="inlineStr">
        <is>
          <t>This sheet.</t>
        </is>
      </c>
      <c r="C6" s="3" t="inlineStr">
        <is>
          <t>Everyone</t>
        </is>
      </c>
      <c r="D6" s="3" t="inlineStr">
        <is>
          <t>First</t>
        </is>
      </c>
      <c r="E6" s="3" t="inlineStr">
        <is>
          <t>Read once. It is the map.</t>
        </is>
      </c>
    </row>
    <row r="7">
      <c r="A7" s="4" t="inlineStr">
        <is>
          <t>04_Context</t>
        </is>
      </c>
      <c r="B7" s="4" t="inlineStr">
        <is>
          <t>What the product is, what shape it is in, and the evidence-class vocabulary used throughout.</t>
        </is>
      </c>
      <c r="C7" s="4" t="inlineStr">
        <is>
          <t>New tester, reviewer, auditor</t>
        </is>
      </c>
      <c r="D7" s="4" t="inlineStr">
        <is>
          <t>Before writing or judging a result</t>
        </is>
      </c>
      <c r="E7" s="4" t="inlineStr">
        <is>
          <t>Read before deciding whether a case "passed". PASS means the expected result occurred — it does not mean the feature is production-ready; the evidence class says that.</t>
        </is>
      </c>
    </row>
    <row r="8">
      <c r="A8" s="3" t="inlineStr">
        <is>
          <t>05_Version_Status</t>
        </is>
      </c>
      <c r="B8" s="3" t="inlineStr">
        <is>
          <t>Every delivered version of the PRODUCT: what it contained and why it was built.</t>
        </is>
      </c>
      <c r="C8" s="3" t="inlineStr">
        <is>
          <t>Test lead, product owner, auditor</t>
        </is>
      </c>
      <c r="D8" s="3" t="inlineStr">
        <is>
          <t>Planning a cycle</t>
        </is>
      </c>
      <c r="E8" s="3" t="inlineStr">
        <is>
          <t>Use it to scope a regression run: pick the versions touched by a change and run their cases.</t>
        </is>
      </c>
    </row>
    <row r="9">
      <c r="A9" s="4" t="inlineStr">
        <is>
          <t>06_Pending_Versions</t>
        </is>
      </c>
      <c r="B9" s="4" t="inlineStr">
        <is>
          <t>Every version NOT delivered, with the reason and the owner.</t>
        </is>
      </c>
      <c r="C9" s="4" t="inlineStr">
        <is>
          <t>Product owner, Senthil</t>
        </is>
      </c>
      <c r="D9" s="4" t="inlineStr">
        <is>
          <t>Planning, and every status conversation</t>
        </is>
      </c>
      <c r="E9" s="4" t="inlineStr">
        <is>
          <t>This is the decision list. Nothing on it is unblocked by writing more code.</t>
        </is>
      </c>
    </row>
    <row r="10">
      <c r="A10" s="3" t="inlineStr">
        <is>
          <t>07_Test_Cases</t>
        </is>
      </c>
      <c r="B10" s="3" t="inlineStr">
        <is>
          <t>One row per test case: name, description, type, priority, precondition, expected outcome, evidence class, automated counterpart.</t>
        </is>
      </c>
      <c r="C10" s="3" t="inlineStr">
        <is>
          <t>Tester</t>
        </is>
      </c>
      <c r="D10" s="3" t="inlineStr">
        <is>
          <t>Every cycle</t>
        </is>
      </c>
      <c r="E10" s="3" t="inlineStr">
        <is>
          <t>Work top to bottom or filter by Version / Module / Priority. Record Actual result and Status here.</t>
        </is>
      </c>
    </row>
    <row r="11">
      <c r="A11" s="4" t="inlineStr">
        <is>
          <t>08_Test_Steps</t>
        </is>
      </c>
      <c r="B11" s="4" t="inlineStr">
        <is>
          <t>One row per numbered step, linked to its case by Test ID.</t>
        </is>
      </c>
      <c r="C11" s="4" t="inlineStr">
        <is>
          <t>Tester</t>
        </is>
      </c>
      <c r="D11" s="4" t="inlineStr">
        <is>
          <t>Every cycle</t>
        </is>
      </c>
      <c r="E11" s="4" t="inlineStr">
        <is>
          <t>Execute the Action column exactly; compare against Expected. Record per-step Pass/Fail so a failure is pinned to a step, not a whole case.</t>
        </is>
      </c>
    </row>
    <row r="12">
      <c r="A12" s="3" t="inlineStr">
        <is>
          <t>09_Traceability</t>
        </is>
      </c>
      <c r="B12" s="3" t="inlineStr">
        <is>
          <t>Test case → product version → finding/story → evidence class.</t>
        </is>
      </c>
      <c r="C12" s="3" t="inlineStr">
        <is>
          <t>Test lead, auditor</t>
        </is>
      </c>
      <c r="D12" s="3" t="inlineStr">
        <is>
          <t>End of cycle</t>
        </is>
      </c>
      <c r="E12" s="3" t="inlineStr">
        <is>
          <t>Confirm coverage: every completed version should have at least one positive and one negative case.</t>
        </is>
      </c>
    </row>
    <row r="13">
      <c r="A13" s="4" t="inlineStr">
        <is>
          <t>10_Defect_Log</t>
        </is>
      </c>
      <c r="B13" s="4" t="inlineStr">
        <is>
          <t>Defects raised from this pack.</t>
        </is>
      </c>
      <c r="C13" s="4" t="inlineStr">
        <is>
          <t>Tester, developer</t>
        </is>
      </c>
      <c r="D13" s="4" t="inlineStr">
        <is>
          <t>On any failure</t>
        </is>
      </c>
      <c r="E13" s="4" t="inlineStr">
        <is>
          <t>Raise one row per defect, referencing the Test ID and the failing Step No. Do not edit the test case to make it pass.</t>
        </is>
      </c>
    </row>
    <row r="14">
      <c r="A14" s="3" t="inlineStr">
        <is>
          <t>11_Environments</t>
        </is>
      </c>
      <c r="B14" s="3" t="inlineStr">
        <is>
          <t>Environments, required accounts, configuration and how to mint a session for testing.</t>
        </is>
      </c>
      <c r="C14" s="3" t="inlineStr">
        <is>
          <t>Tester</t>
        </is>
      </c>
      <c r="D14" s="3" t="inlineStr">
        <is>
          <t>Setup, every cycle</t>
        </is>
      </c>
      <c r="E14" s="3" t="inlineStr">
        <is>
          <t>Follow it before the first case. TC-010 exists to prove the session mint works; everything after it depends on that.</t>
        </is>
      </c>
    </row>
    <row r="15">
      <c r="A15" s="4" t="inlineStr">
        <is>
          <t>12_Entry_Exit_Criteria</t>
        </is>
      </c>
      <c r="B15" s="4" t="inlineStr">
        <is>
          <t>When a cycle may start and when it may be called complete.</t>
        </is>
      </c>
      <c r="C15" s="4" t="inlineStr">
        <is>
          <t>Test lead</t>
        </is>
      </c>
      <c r="D15" s="4" t="inlineStr">
        <is>
          <t>Start and end of cycle</t>
        </is>
      </c>
      <c r="E15" s="4" t="inlineStr">
        <is>
          <t>A cycle with unmet entry criteria produces results nobody can trust.</t>
        </is>
      </c>
    </row>
    <row r="16">
      <c r="A16" s="3" t="inlineStr">
        <is>
          <t>13_Test_Summary</t>
        </is>
      </c>
      <c r="B16" s="3" t="inlineStr">
        <is>
          <t>Counts by version, module, type and priority, with live formulas.</t>
        </is>
      </c>
      <c r="C16" s="3" t="inlineStr">
        <is>
          <t>Test lead, stakeholders</t>
        </is>
      </c>
      <c r="D16" s="3" t="inlineStr">
        <is>
          <t>End of cycle</t>
        </is>
      </c>
      <c r="E16" s="3" t="inlineStr">
        <is>
          <t>Formulas read 07_Test_Cases directly, so filling in Status updates the summary automatically.</t>
        </is>
      </c>
    </row>
    <row r="17">
      <c r="A17" s="4" t="inlineStr">
        <is>
          <t>14_Sign_Off</t>
        </is>
      </c>
      <c r="B17" s="4" t="inlineStr">
        <is>
          <t>Who ran it, who reviewed it, who accepted it.</t>
        </is>
      </c>
      <c r="C17" s="4" t="inlineStr">
        <is>
          <t>Test lead, product owner</t>
        </is>
      </c>
      <c r="D17" s="4" t="inlineStr">
        <is>
          <t>End of cycle</t>
        </is>
      </c>
      <c r="E17" s="4" t="inlineStr">
        <is>
          <t>A cycle is not complete until this sheet is filled in and dated.</t>
        </is>
      </c>
    </row>
    <row r="18">
      <c r="A18" s="3" t="inlineStr">
        <is>
          <t>15_Glossary</t>
        </is>
      </c>
      <c r="B18" s="3" t="inlineStr">
        <is>
          <t>Every term, code and abbreviation used in this pack.</t>
        </is>
      </c>
      <c r="C18" s="3" t="inlineStr">
        <is>
          <t>Anyone</t>
        </is>
      </c>
      <c r="D18" s="3" t="inlineStr">
        <is>
          <t>As needed</t>
        </is>
      </c>
      <c r="E18" s="3" t="inlineStr">
        <is>
          <t>If a column says PXR-004 or CL-11 and you do not know what that means, it is here.</t>
        </is>
      </c>
    </row>
  </sheetData>
  <autoFilter ref="A3:E3"/>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150" customWidth="1" min="1" max="1"/>
  </cols>
  <sheetData>
    <row r="1" ht="24" customHeight="1">
      <c r="A1" s="1" t="inlineStr">
        <is>
          <t>CONTEXT — what you are testing, and how to judge a result</t>
        </is>
      </c>
    </row>
    <row r="2" ht="42" customHeight="1">
      <c r="A2" s="2" t="inlineStr">
        <is>
          <t>Read this before your first cycle. It defines the vocabulary the rest of the pack uses.</t>
        </is>
      </c>
    </row>
    <row r="4" ht="20" customHeight="1">
      <c r="A4" s="5" t="inlineStr">
        <is>
          <t>What QuoteFlow is</t>
        </is>
      </c>
    </row>
    <row r="5" ht="45" customHeight="1">
      <c r="A5" s="6" t="inlineStr">
        <is>
          <t>A CPQ (Configure–Price–Quote) product for the HubSpot App Marketplace. A sales rep works on a HubSpot deal record; QuoteFlow adds a card to that record where they configure a product from a rule-driven model, price it through a deep pricing engine, route it through a deal desk for approval, send it for signature, and push the result back onto the deal as line items.</t>
        </is>
      </c>
    </row>
    <row r="6" ht="45" customHeight="1">
      <c r="A6" s="6" t="inlineStr">
        <is>
          <t>The reason it can exist beside HubSpot’s own native quoting is depth: compatibility rules with an explanation for every decision, a pricing engine with nested bundles, multi-entity price books, pinned FX, ramps, usage tiers and margin floors, and an approval DAG rather than a chain. Everything shallow is already free inside the CRM the customer pays for.</t>
        </is>
      </c>
    </row>
    <row r="7" ht="20" customHeight="1">
      <c r="A7" s="5" t="inlineStr">
        <is>
          <t>What state it is in — read this before judging any result</t>
        </is>
      </c>
    </row>
    <row r="8" ht="45" customHeight="1">
      <c r="A8" s="6" t="inlineStr">
        <is>
          <t>The codebase is complete and heavily tested: 793 automated tests across 45 suites at a 100% coverage floor. It has never run inside HubSpot. There is no developer account, no listing, no customer and no deployed environment. That is not a defect to be raised — it is the stated position of the product, and sheet 06 lists every consequence of it.</t>
        </is>
      </c>
    </row>
    <row r="9" ht="30" customHeight="1">
      <c r="A9" s="6" t="inlineStr">
        <is>
          <t>So "PASS" on a case here means the expected result occurred on the build you ran. It does not mean the feature is proven in production. The Evidence Class column on each case says how strong the claim actually is, and that vocabulary is the next section.</t>
        </is>
      </c>
    </row>
    <row r="10" ht="20" customHeight="1">
      <c r="A10" s="5" t="inlineStr">
        <is>
          <t>Evidence classes — the vocabulary</t>
        </is>
      </c>
    </row>
    <row r="11" ht="16" customHeight="1">
      <c r="A11" s="6" t="inlineStr">
        <is>
          <t>CODE — the code does what the code says, against our own doubles. The cheapest class, and the only one a coverage gate speaks to.</t>
        </is>
      </c>
    </row>
    <row r="12" ht="16" customHeight="1">
      <c r="A12" s="6" t="inlineStr">
        <is>
          <t>CONTRACT — a third party’s API shape is honoured and its real error shapes handled. Recorded real fixtures count; invented ones do not.</t>
        </is>
      </c>
    </row>
    <row r="13" ht="16" customHeight="1">
      <c r="A13" s="6" t="inlineStr">
        <is>
          <t>LIVE — exercised end to end against the real system, in an account that exists, watched by a human. Currently EMPTY for this product.</t>
        </is>
      </c>
    </row>
    <row r="14" ht="16" customHeight="1">
      <c r="A14" s="6" t="inlineStr">
        <is>
          <t>SECURITY — an adversarial test attempted the attack and failed: forged sessions, cross-tenant reads, approval bypasses, tampered packages.</t>
        </is>
      </c>
    </row>
    <row r="15" ht="16" customHeight="1">
      <c r="A15" s="6" t="inlineStr">
        <is>
          <t>PERF — measured under stated load, with the figure recorded. Currently EMPTY.</t>
        </is>
      </c>
    </row>
    <row r="16" ht="30" customHeight="1">
      <c r="A16" s="6" t="inlineStr">
        <is>
          <t>OPS — proven by running the operation (a rollback, a restore, a deploy) and measuring the result. Partially present: rollback and chaos yes, restore and deploy no.</t>
        </is>
      </c>
    </row>
    <row r="17" ht="16" customHeight="1">
      <c r="A17" s="6" t="inlineStr">
        <is>
          <t>COMMERCIAL — a person who is not us paid, or committed to pay. Currently EMPTY.</t>
        </is>
      </c>
    </row>
    <row r="18" ht="20" customHeight="1">
      <c r="A18" s="5" t="inlineStr">
        <is>
          <t>The rule these classes enforce</t>
        </is>
      </c>
    </row>
    <row r="19" ht="45" customHeight="1">
      <c r="A19" s="6" t="inlineStr">
        <is>
          <t>A claim may not be stated above the evidence that backs it. This is enforced in the codebase, not by convention: every test file declares its classes, every published claim carries required versus held classes, and CI fails on an untagged file, an empty class a shipped feature claims, or an unowned gap. Today 8 of 15 claims are publishable and 7 are blocked.</t>
        </is>
      </c>
    </row>
    <row r="20" ht="20" customHeight="1">
      <c r="A20" s="5" t="inlineStr">
        <is>
          <t>Two reviews, and why this pack is shaped the way it is</t>
        </is>
      </c>
    </row>
    <row r="21" ht="45" customHeight="1">
      <c r="A21" s="6" t="inlineStr">
        <is>
          <t>External review V001 (ChatGPT, 13 Sep) scored the product 4.7/10 and found the platform boundary missing entirely. External review V002 (Perplexity, 16 Sep) scored it 4.1/10 NOT ENTERPRISE GRADE and found isolation living only in application code, no durable secrets, a card surface HubSpot will stop rendering, and — most damagingly — a coverage number doing the work a quality argument should do.</t>
        </is>
      </c>
    </row>
    <row r="22" ht="30" customHeight="1">
      <c r="A22" s="6" t="inlineStr">
        <is>
          <t>Both were answered in the code. This pack is how a human confirms that, and how the unanswerable parts stay visible rather than quietly dropping off the list.</t>
        </is>
      </c>
    </row>
    <row r="23" ht="20" customHeight="1">
      <c r="A23" s="5" t="inlineStr">
        <is>
          <t>How to record a result</t>
        </is>
      </c>
    </row>
    <row r="24" ht="45" customHeight="1">
      <c r="A24" s="6" t="inlineStr">
        <is>
          <t>On 07_Test_Cases: Status is Pass, Fail, Blocked or Not Run. Blocked means you could not execute it (missing account, environment down) — use it for TC-056..TC-060 until their blockers clear. Fail means you executed it and the expected result did not occur; raise a defect on sheet 10 and reference the failing step number.</t>
        </is>
      </c>
    </row>
    <row r="25" ht="30" customHeight="1">
      <c r="A25" s="6" t="inlineStr">
        <is>
          <t>Never edit an expected result to make a case pass. If an expected result is wrong, that is a document defect: raise it, and fix it in a version bump on sheet 02.</t>
        </is>
      </c>
    </row>
  </sheetData>
  <mergeCells count="24">
    <mergeCell ref="A8"/>
    <mergeCell ref="A22"/>
    <mergeCell ref="A17"/>
    <mergeCell ref="A4"/>
    <mergeCell ref="A20"/>
    <mergeCell ref="A10"/>
    <mergeCell ref="A1:B1"/>
    <mergeCell ref="A19"/>
    <mergeCell ref="A13"/>
    <mergeCell ref="A9"/>
    <mergeCell ref="A15"/>
    <mergeCell ref="A24"/>
    <mergeCell ref="A11"/>
    <mergeCell ref="A6"/>
    <mergeCell ref="A2:B2"/>
    <mergeCell ref="A7"/>
    <mergeCell ref="A25"/>
    <mergeCell ref="A16"/>
    <mergeCell ref="A12"/>
    <mergeCell ref="A18"/>
    <mergeCell ref="A21"/>
    <mergeCell ref="A14"/>
    <mergeCell ref="A5"/>
    <mergeCell ref="A23"/>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I22"/>
  <sheetViews>
    <sheetView workbookViewId="0">
      <pane ySplit="3" topLeftCell="A4" activePane="bottomLeft" state="frozen"/>
      <selection pane="bottomLeft" activeCell="A1" sqref="A1"/>
    </sheetView>
  </sheetViews>
  <sheetFormatPr baseColWidth="8" defaultRowHeight="15"/>
  <cols>
    <col width="11" customWidth="1" min="1" max="1"/>
    <col width="34" customWidth="1" min="2" max="2"/>
    <col width="13" customWidth="1" min="3" max="3"/>
    <col width="26" customWidth="1" min="4" max="4"/>
    <col width="82" customWidth="1" min="5" max="5"/>
    <col width="82" customWidth="1" min="6" max="6"/>
    <col width="12" customWidth="1" min="7" max="7"/>
    <col width="20" customWidth="1" min="8" max="8"/>
    <col width="24" customWidth="1" min="9" max="9"/>
  </cols>
  <sheetData>
    <row r="1" ht="24" customHeight="1">
      <c r="A1" s="1" t="inlineStr">
        <is>
          <t>VERSION STATUS — what was delivered, and why</t>
        </is>
      </c>
    </row>
    <row r="2" ht="42" customHeight="1">
      <c r="A2" s="2" t="inlineStr">
        <is>
          <t>Every delivered version of the product, in order. "Why it was done" is the part that matters in a review: a change with no reason behind it is a change nobody can defend. Test cases on sheet 07 reference these IDs.</t>
        </is>
      </c>
    </row>
    <row r="3" ht="30" customHeight="1">
      <c r="A3" s="7" t="inlineStr">
        <is>
          <t>Version ID</t>
        </is>
      </c>
      <c r="B3" s="7" t="inlineStr">
        <is>
          <t>Release</t>
        </is>
      </c>
      <c r="C3" s="7" t="inlineStr">
        <is>
          <t>Date</t>
        </is>
      </c>
      <c r="D3" s="7" t="inlineStr">
        <is>
          <t>Artefact</t>
        </is>
      </c>
      <c r="E3" s="7" t="inlineStr">
        <is>
          <t>What was delivered</t>
        </is>
      </c>
      <c r="F3" s="7" t="inlineStr">
        <is>
          <t>Why it was done</t>
        </is>
      </c>
      <c r="G3" s="7" t="inlineStr">
        <is>
          <t>Status</t>
        </is>
      </c>
      <c r="H3" s="7" t="inlineStr">
        <is>
          <t>Evidence reached</t>
        </is>
      </c>
      <c r="I3" s="7" t="inlineStr">
        <is>
          <t>Refs</t>
        </is>
      </c>
    </row>
    <row r="4">
      <c r="A4" s="8" t="inlineStr">
        <is>
          <t>VER-01</t>
        </is>
      </c>
      <c r="B4" s="8" t="inlineStr">
        <is>
          <t>S1 — Foundation</t>
        </is>
      </c>
      <c r="C4" s="8" t="inlineStr">
        <is>
          <t>2026-09-10</t>
        </is>
      </c>
      <c r="D4" s="8" t="inlineStr">
        <is>
          <t>workbook v007 / tracker v001</t>
        </is>
      </c>
      <c r="E4" s="8" t="inlineStr">
        <is>
          <t>OAuth install with attribution in a signed state, uninstall webhook with retention-scheduled deletion, token refresh that survives rotation, install-source telemetry.</t>
        </is>
      </c>
      <c r="F4" s="8" t="inlineStr">
        <is>
          <t>A marketplace app that cannot install, refresh or uninstall cleanly fails review before a single feature is looked at. This is the floor everything else stands on.</t>
        </is>
      </c>
      <c r="G4" s="8" t="inlineStr">
        <is>
          <t>COMPLETED</t>
        </is>
      </c>
      <c r="H4" s="8" t="inlineStr">
        <is>
          <t>CODE</t>
        </is>
      </c>
      <c r="I4" s="8" t="inlineStr">
        <is>
          <t>ST-051/052/055/056</t>
        </is>
      </c>
    </row>
    <row r="5">
      <c r="A5" s="8" t="inlineStr">
        <is>
          <t>VER-02</t>
        </is>
      </c>
      <c r="B5" s="8" t="inlineStr">
        <is>
          <t>S2 — Price book part 1</t>
        </is>
      </c>
      <c r="C5" s="8" t="inlineStr">
        <is>
          <t>2026-09-10</t>
        </is>
      </c>
      <c r="D5" s="8" t="inlineStr">
        <is>
          <t>workbook v008 / tracker v001</t>
        </is>
      </c>
      <c r="E5" s="8" t="inlineStr">
        <is>
          <t>One-call sensible defaults, catalogue to priced quote, customisable pricing rules with best-discount-wins, typed retryable platform errors, re-install restore, owner/admin/member RBAC on every route.</t>
        </is>
      </c>
      <c r="F5" s="8" t="inlineStr">
        <is>
          <t>The core loop had to be demonstrable end to end before depth was worth adding. RBAC went in at the same time because retrofitting authorisation is how authorisation gets holes.</t>
        </is>
      </c>
      <c r="G5" s="8" t="inlineStr">
        <is>
          <t>COMPLETED</t>
        </is>
      </c>
      <c r="H5" s="8" t="inlineStr">
        <is>
          <t>CODE</t>
        </is>
      </c>
      <c r="I5" s="8" t="inlineStr">
        <is>
          <t>ST-001..004, ST-053/054</t>
        </is>
      </c>
    </row>
    <row r="6">
      <c r="A6" s="8" t="inlineStr">
        <is>
          <t>VER-03</t>
        </is>
      </c>
      <c r="B6" s="8" t="inlineStr">
        <is>
          <t>S3 — Price book part 2 + card</t>
        </is>
      </c>
      <c r="C6" s="8" t="inlineStr">
        <is>
          <t>2026-09-11</t>
        </is>
      </c>
      <c r="D6" s="8" t="inlineStr">
        <is>
          <t>workbook v009 / tracker v001</t>
        </is>
      </c>
      <c r="E6" s="8" t="inlineStr">
        <is>
          <t>Bundles, metrics, audit trail, pause/resume without data loss, CSV import, notifications, and the first deal-card surface.</t>
        </is>
      </c>
      <c r="F6" s="8" t="inlineStr">
        <is>
          <t>A rep never leaves the deal record, so the product had to appear there. (The card built here was a legacy CRM card, and was deleted in VER-13 — see that row.)</t>
        </is>
      </c>
      <c r="G6" s="8" t="inlineStr">
        <is>
          <t>COMPLETED</t>
        </is>
      </c>
      <c r="H6" s="8" t="inlineStr">
        <is>
          <t>CODE</t>
        </is>
      </c>
      <c r="I6" s="8" t="inlineStr">
        <is>
          <t>ST-005..010</t>
        </is>
      </c>
    </row>
    <row r="7">
      <c r="A7" s="8" t="inlineStr">
        <is>
          <t>VER-04</t>
        </is>
      </c>
      <c r="B7" s="8" t="inlineStr">
        <is>
          <t>S4 — Approval chains</t>
        </is>
      </c>
      <c r="C7" s="8" t="inlineStr">
        <is>
          <t>2026-09-11</t>
        </is>
      </c>
      <c r="D7" s="8" t="inlineStr">
        <is>
          <t>workbook v010 / tracker v002</t>
        </is>
      </c>
      <c r="E7" s="8" t="inlineStr">
        <is>
          <t>Approval chains with snapshotting, reminders, decisions, metrics, and the approvals shell.</t>
        </is>
      </c>
      <c r="F7" s="8" t="inlineStr">
        <is>
          <t>Discounting without approval is the single most common reason a CPQ purchase is refused by finance.</t>
        </is>
      </c>
      <c r="G7" s="8" t="inlineStr">
        <is>
          <t>COMPLETED</t>
        </is>
      </c>
      <c r="H7" s="8" t="inlineStr">
        <is>
          <t>CODE</t>
        </is>
      </c>
      <c r="I7" s="8" t="inlineStr">
        <is>
          <t>ST-011..015</t>
        </is>
      </c>
    </row>
    <row r="8">
      <c r="A8" s="8" t="inlineStr">
        <is>
          <t>VER-05</t>
        </is>
      </c>
      <c r="B8" s="8" t="inlineStr">
        <is>
          <t>S5 — E-signature + alpha hardening</t>
        </is>
      </c>
      <c r="C8" s="8" t="inlineStr">
        <is>
          <t>2026-09-11</t>
        </is>
      </c>
      <c r="D8" s="8" t="inlineStr">
        <is>
          <t>workbook v011 / tracker v003</t>
        </is>
      </c>
      <c r="E8" s="8" t="inlineStr">
        <is>
          <t>Envelopes, signer tokens, signing and declining, reminders, import, and the signer shell.</t>
        </is>
      </c>
      <c r="F8" s="8" t="inlineStr">
        <is>
          <t>A quote that cannot be accepted is a document, not a quote.</t>
        </is>
      </c>
      <c r="G8" s="8" t="inlineStr">
        <is>
          <t>COMPLETED</t>
        </is>
      </c>
      <c r="H8" s="8" t="inlineStr">
        <is>
          <t>CODE</t>
        </is>
      </c>
      <c r="I8" s="8" t="inlineStr">
        <is>
          <t>ST-021..025</t>
        </is>
      </c>
    </row>
    <row r="9">
      <c r="A9" s="8" t="inlineStr">
        <is>
          <t>VER-06</t>
        </is>
      </c>
      <c r="B9" s="8" t="inlineStr">
        <is>
          <t>S6–S8 — Analytics, billing, deal sync, trust</t>
        </is>
      </c>
      <c r="C9" s="8" t="inlineStr">
        <is>
          <t>2026-09-11 to 09-12</t>
        </is>
      </c>
      <c r="D9" s="8" t="inlineStr">
        <is>
          <t>workbooks v012–v016</t>
        </is>
      </c>
      <c r="E9" s="8" t="inlineStr">
        <is>
          <t>Quote analytics with import, trial and subscription billing with dunning and invoices, deal sync with idempotency and stage skipping, the trust posture and data-flow map, ops surfaces and the public status page.</t>
        </is>
      </c>
      <c r="F9" s="8" t="inlineStr">
        <is>
          <t>These are the sheets a buyer opens after the demo: what does it cost, what does it touch, and what happens when it breaks.</t>
        </is>
      </c>
      <c r="G9" s="8" t="inlineStr">
        <is>
          <t>COMPLETED</t>
        </is>
      </c>
      <c r="H9" s="8" t="inlineStr">
        <is>
          <t>CODE</t>
        </is>
      </c>
      <c r="I9" s="8" t="inlineStr">
        <is>
          <t>ST-031..070</t>
        </is>
      </c>
    </row>
    <row r="10">
      <c r="A10" s="8" t="inlineStr">
        <is>
          <t>VER-07</t>
        </is>
      </c>
      <c r="B10" s="8" t="inlineStr">
        <is>
          <t>S9–S12 — Marketplace, launch, iterate</t>
        </is>
      </c>
      <c r="C10" s="8" t="inlineStr">
        <is>
          <t>2026-09-12 to 09-13</t>
        </is>
      </c>
      <c r="D10" s="8" t="inlineStr">
        <is>
          <t>workbooks v017–v018</t>
        </is>
      </c>
      <c r="E10" s="8" t="inlineStr">
        <is>
          <t>Listing copy and assets, launch runbook and preflight, partner and review-ask flows, SEO iteration, and the programme close-out.</t>
        </is>
      </c>
      <c r="F10" s="8" t="inlineStr">
        <is>
          <t>The listing is the product for everyone who has not installed it yet.</t>
        </is>
      </c>
      <c r="G10" s="8" t="inlineStr">
        <is>
          <t>COMPLETED</t>
        </is>
      </c>
      <c r="H10" s="8" t="inlineStr">
        <is>
          <t>CODE</t>
        </is>
      </c>
      <c r="I10" s="8" t="inlineStr">
        <is>
          <t>ST-081..100</t>
        </is>
      </c>
    </row>
    <row r="11">
      <c r="A11" s="8" t="inlineStr">
        <is>
          <t>VER-08</t>
        </is>
      </c>
      <c r="B11" s="8" t="inlineStr">
        <is>
          <t>RP1 — First cold review</t>
        </is>
      </c>
      <c r="C11" s="8" t="inlineStr">
        <is>
          <t>2026-09-13 11:51</t>
        </is>
      </c>
      <c r="D11" s="8" t="inlineStr">
        <is>
          <t>workbook v019 / tracker v011</t>
        </is>
      </c>
      <c r="E11" s="8" t="inlineStr">
        <is>
          <t>Eight defects found in code already at 100% coverage, four critical: delete-my-data left records behind, no runnable entrypoint existed, identity was unsigned caller-declared headers, an expired trial granted perpetual free use.</t>
        </is>
      </c>
      <c r="F11" s="8" t="inlineStr">
        <is>
          <t>A coverage number proves the tests execute the lines; it proves nothing about whether the lines are right. This pass existed to find out how much difference that makes. The answer was eight defects.</t>
        </is>
      </c>
      <c r="G11" s="8" t="inlineStr">
        <is>
          <t>COMPLETED</t>
        </is>
      </c>
      <c r="H11" s="8" t="inlineStr">
        <is>
          <t>CODE</t>
        </is>
      </c>
      <c r="I11" s="8" t="inlineStr">
        <is>
          <t>F-Q01..F-Q08</t>
        </is>
      </c>
    </row>
    <row r="12">
      <c r="A12" s="8" t="inlineStr">
        <is>
          <t>VER-09</t>
        </is>
      </c>
      <c r="B12" s="8" t="inlineStr">
        <is>
          <t>RP2 + RP3 — Second and third cold reviews</t>
        </is>
      </c>
      <c r="C12" s="8" t="inlineStr">
        <is>
          <t>2026-09-13 12:03–16:53</t>
        </is>
      </c>
      <c r="D12" s="8" t="inlineStr">
        <is>
          <t>workbooks v020–v024</t>
        </is>
      </c>
      <c r="E12" s="8" t="inlineStr">
        <is>
          <t>Nine further defects: retention policy never enforced, a redaction control with zero call sites, a breaker on writes only, no deploy workflow, no database schema, replayable future-dated signatures; then status page and launch preflight wired to constants, and nine vendor-only surfaces reachable with tenant RBAC.</t>
        </is>
      </c>
      <c r="F12" s="8" t="inlineStr">
        <is>
          <t>Pass 1 found defects inside features. Passes 2 and 3 looked for the opposite failure: published claims with no code behind them. Both classes existed.</t>
        </is>
      </c>
      <c r="G12" s="8" t="inlineStr">
        <is>
          <t>COMPLETED</t>
        </is>
      </c>
      <c r="H12" s="8" t="inlineStr">
        <is>
          <t>CODE</t>
        </is>
      </c>
      <c r="I12" s="8" t="inlineStr">
        <is>
          <t>F-Q09..F-Q17</t>
        </is>
      </c>
    </row>
    <row r="13">
      <c r="A13" s="8" t="inlineStr">
        <is>
          <t>VER-10</t>
        </is>
      </c>
      <c r="B13" s="8" t="inlineStr">
        <is>
          <t>Postgres persistence</t>
        </is>
      </c>
      <c r="C13" s="8" t="inlineStr">
        <is>
          <t>2026-09-13 13:00–17:30</t>
        </is>
      </c>
      <c r="D13" s="8" t="inlineStr">
        <is>
          <t>workbooks v020–v026</t>
        </is>
      </c>
      <c r="E13" s="8" t="inlineStr">
        <is>
          <t>Five migrations, Postgres adapters for every store, a store-contract suite run against both in-memory and real SQL, and boot wiring behind DATABASE_URL.</t>
        </is>
      </c>
      <c r="F13" s="8" t="inlineStr">
        <is>
          <t>Everything above this line was, until now, lost on restart. A product whose data does not survive a deploy is a demo.</t>
        </is>
      </c>
      <c r="G13" s="8" t="inlineStr">
        <is>
          <t>COMPLETED</t>
        </is>
      </c>
      <c r="H13" s="8" t="inlineStr">
        <is>
          <t>CODE</t>
        </is>
      </c>
      <c r="I13" s="8" t="inlineStr">
        <is>
          <t>R-Q4, R-Q14</t>
        </is>
      </c>
    </row>
    <row r="14">
      <c r="A14" s="8" t="inlineStr">
        <is>
          <t>VER-11</t>
        </is>
      </c>
      <c r="B14" s="8" t="inlineStr">
        <is>
          <t>Async store cascade (R-Q13)</t>
        </is>
      </c>
      <c r="C14" s="8" t="inlineStr">
        <is>
          <t>2026-09-13 18:48 to 09-20 11:05</t>
        </is>
      </c>
      <c r="D14" s="8" t="inlineStr">
        <is>
          <t>workbooks v027–v034; completed in v036</t>
        </is>
      </c>
      <c r="E14" s="8" t="inlineStr">
        <is>
          <t>Every store made async and cache-free; four latent defects fixed on the way (feature settings, envelope mutations, notification mutes, billing fields all published but never persisted); the writer lease retired.</t>
        </is>
      </c>
      <c r="F14" s="8" t="inlineStr">
        <is>
          <t>The write-through caches meant two instances silently diverged. Retiring the lease is what makes a second instance — and therefore a zero-downtime deploy — possible at all.</t>
        </is>
      </c>
      <c r="G14" s="8" t="inlineStr">
        <is>
          <t>COMPLETED</t>
        </is>
      </c>
      <c r="H14" s="8" t="inlineStr">
        <is>
          <t>CODE</t>
        </is>
      </c>
      <c r="I14" s="8" t="inlineStr">
        <is>
          <t>R-Q13, PXR-005</t>
        </is>
      </c>
    </row>
    <row r="15">
      <c r="A15" s="8" t="inlineStr">
        <is>
          <t>VER-12</t>
        </is>
      </c>
      <c r="B15" s="8" t="inlineStr">
        <is>
          <t>EXT-V001 — First external review</t>
        </is>
      </c>
      <c r="C15" s="8" t="inlineStr">
        <is>
          <t>2026-09-13 23:30</t>
        </is>
      </c>
      <c r="D15" s="8" t="inlineStr">
        <is>
          <t>workbook v035 / tracker v027</t>
        </is>
      </c>
      <c r="E15" s="8" t="inlineStr">
        <is>
          <t>Fourteen findings (QF-001..QF-014), eight blockers, scored 4.7/10 NOT ENTERPRISE GRADE. Five closed in code; production made to refuse to boot while tokens and the deletion queue stayed in memory; evidence classes applied to the traceability matrix, moving 72 stories from Done to Partial.</t>
        </is>
      </c>
      <c r="F15" s="8" t="inlineStr">
        <is>
          <t>The first review from outside the build. It attacked the platform boundary rather than the code, and it was right to: no Projects app or UI extension existed at all.</t>
        </is>
      </c>
      <c r="G15" s="8" t="inlineStr">
        <is>
          <t>COMPLETED</t>
        </is>
      </c>
      <c r="H15" s="8" t="inlineStr">
        <is>
          <t>CODE</t>
        </is>
      </c>
      <c r="I15" s="8" t="inlineStr">
        <is>
          <t>QF-001..QF-014</t>
        </is>
      </c>
    </row>
    <row r="16">
      <c r="A16" s="8" t="inlineStr">
        <is>
          <t>VER-13</t>
        </is>
      </c>
      <c r="B16" s="8" t="inlineStr">
        <is>
          <t>EXT-V002 part A — Platform surface (PS14–PS17)</t>
        </is>
      </c>
      <c r="C16" s="8" t="inlineStr">
        <is>
          <t>2026-09-20 12:10</t>
        </is>
      </c>
      <c r="D16" s="8" t="inlineStr">
        <is>
          <t>code zip 20260920_1020</t>
        </is>
      </c>
      <c r="E16" s="8" t="inlineStr">
        <is>
          <t>A 2026.03 Projects app with a React app card and a serverless proxy; the legacy CRM card route and crmCard.ts DELETED; session mint shipped and header identity DELETED; OAuth moved to v3 with app-initiated external uninstall.</t>
        </is>
      </c>
      <c r="F16" s="8" t="inlineStr">
        <is>
          <t>Legacy CRM cards were barred from new listings in May 2026 and stop rendering on 31 Oct 2026. The old surface could never have been listed, so deprecating it was not enough — it had to leave the tree.</t>
        </is>
      </c>
      <c r="G16" s="8" t="inlineStr">
        <is>
          <t>COMPLETED</t>
        </is>
      </c>
      <c r="H16" s="8" t="inlineStr">
        <is>
          <t>CODE</t>
        </is>
      </c>
      <c r="I16" s="8" t="inlineStr">
        <is>
          <t>PXR-001, PXR-013, PXR-014, DQ41, DQ42</t>
        </is>
      </c>
    </row>
    <row r="17">
      <c r="A17" s="8" t="inlineStr">
        <is>
          <t>VER-14</t>
        </is>
      </c>
      <c r="B17" s="8" t="inlineStr">
        <is>
          <t>EXT-V002 part B — Enterprise floor (PS18–PS22)</t>
        </is>
      </c>
      <c r="C17" s="8" t="inlineStr">
        <is>
          <t>2026-09-20 11:40</t>
        </is>
      </c>
      <c r="D17" s="8" t="inlineStr">
        <is>
          <t>code zip 20260920_1020</t>
        </is>
      </c>
      <c r="E17" s="8" t="inlineStr">
        <is>
          <t>Row-level security on every tenant table proved on a real Postgres engine; envelope-encrypted tokens; a durable outbox with backoff, dead-letter and replay; rate limits, body limits and security headers; structured logs, metrics and SLO burn-rate.</t>
        </is>
      </c>
      <c r="F17" s="8" t="inlineStr">
        <is>
          <t>Isolation that lives only in application code is one forgotten WHERE clause away from showing a customer another customer’s pipeline. This band is what makes the word "enterprise" defensible.</t>
        </is>
      </c>
      <c r="G17" s="8" t="inlineStr">
        <is>
          <t>COMPLETED</t>
        </is>
      </c>
      <c r="H17" s="8" t="inlineStr">
        <is>
          <t>CODE + SECURITY</t>
        </is>
      </c>
      <c r="I17" s="8" t="inlineStr">
        <is>
          <t>PXR-002, PXR-003, PXR-016</t>
        </is>
      </c>
    </row>
    <row r="18">
      <c r="A18" s="8" t="inlineStr">
        <is>
          <t>VER-15</t>
        </is>
      </c>
      <c r="B18" s="8" t="inlineStr">
        <is>
          <t>EXT-V002 part C — CPQ depth (PS23–PS25)</t>
        </is>
      </c>
      <c r="C18" s="8" t="inlineStr">
        <is>
          <t>2026-09-20 16:05</t>
        </is>
      </c>
      <c r="D18" s="8" t="inlineStr">
        <is>
          <t>code zip 20260920_1020</t>
        </is>
      </c>
      <c r="E18" s="8" t="inlineStr">
        <is>
          <t>Configuration engine with compatibility rules and an explainability trace; pricing engine with nested bundles, entity book inheritance, pinned FX, ramps, usage tiers, margin floors, channel matrices and a per-line waterfall; deal-desk approval DAG with quorum, delegation, business-hours SLAs and no bypass path. All persisted (migration 016/017), routed, RBAC-gated, audited and purge-clean.</t>
        </is>
      </c>
      <c r="F18" s="8" t="inlineStr">
        <is>
          <t>HubSpot shipped native CPQ in June 2026. Everything shallow is now free inside the CRM the customer already pays for, so the only defensible product is the depth native quoting does not have — and depth that cannot explain itself is not depth a deal desk will trust.</t>
        </is>
      </c>
      <c r="G18" s="8" t="inlineStr">
        <is>
          <t>COMPLETED</t>
        </is>
      </c>
      <c r="H18" s="8" t="inlineStr">
        <is>
          <t>CODE + SECURITY</t>
        </is>
      </c>
      <c r="I18" s="8" t="inlineStr">
        <is>
          <t>PXR-009, PXR-010, DQ44..DQ47</t>
        </is>
      </c>
    </row>
    <row r="19">
      <c r="A19" s="8" t="inlineStr">
        <is>
          <t>VER-16</t>
        </is>
      </c>
      <c r="B19" s="8" t="inlineStr">
        <is>
          <t>EXT-V002 part D — Quote, documents, sync (PS26–PS28)</t>
        </is>
      </c>
      <c r="C19" s="8" t="inlineStr">
        <is>
          <t>2026-09-20 13:30</t>
        </is>
      </c>
      <c r="D19" s="8" t="inlineStr">
        <is>
          <t>code zip 20260920_1020</t>
        </is>
      </c>
      <c r="E19" s="8" t="inlineStr">
        <is>
          <t>A persisted quote entity with immutable versions and content hashes, lifecycle and drift detection; deterministic rendering with a content seal, certificate of completion and offline verification; line-item provenance so a push never touches items QuoteFlow did not create.</t>
        </is>
      </c>
      <c r="F19" s="8" t="inlineStr">
        <is>
          <t>Before this there was no object that could answer "what exactly did we send them, and does the deal still match it?" — and a push could destroy a rep’s manual line items.</t>
        </is>
      </c>
      <c r="G19" s="8" t="inlineStr">
        <is>
          <t>COMPLETED</t>
        </is>
      </c>
      <c r="H19" s="8" t="inlineStr">
        <is>
          <t>CODE + SECURITY + CONTRACT</t>
        </is>
      </c>
      <c r="I19" s="8" t="inlineStr">
        <is>
          <t>PXR-004, PXR-007, PXR-008</t>
        </is>
      </c>
    </row>
    <row r="20">
      <c r="A20" s="8" t="inlineStr">
        <is>
          <t>VER-17</t>
        </is>
      </c>
      <c r="B20" s="8" t="inlineStr">
        <is>
          <t>EXT-V002 part E — Billing, operations, quality system (PS29–PS31)</t>
        </is>
      </c>
      <c r="C20" s="8" t="inlineStr">
        <is>
          <t>2026-09-20 16:35</t>
        </is>
      </c>
      <c r="D20" s="8" t="inlineStr">
        <is>
          <t>code zip 20260920_1020</t>
        </is>
      </c>
      <c r="E20" s="8" t="inlineStr">
        <is>
          <t>Form-encoded authenticated provider charges; inbound webhooks verified, deduplicated and ordered by event time; plan-based entitlements; proration on real calendar months; migration rollback; chaos degradation; residency and subprocessor posture; and the evidence-class quality system with a claims register enforced by CI.</t>
        </is>
      </c>
      <c r="F20" s="8" t="inlineStr">
        <is>
          <t>A billing system that only ever talks and never listens keeps a cancelled card on an active plan. And the deepest finding of both reviews was not a defect: it was 100% coverage being presented as proof of readiness. PS31 makes that structurally impossible.</t>
        </is>
      </c>
      <c r="G20" s="8" t="inlineStr">
        <is>
          <t>COMPLETED</t>
        </is>
      </c>
      <c r="H20" s="8" t="inlineStr">
        <is>
          <t>CODE + OPS</t>
        </is>
      </c>
      <c r="I20" s="8" t="inlineStr">
        <is>
          <t>PXR-011, PXR-012, PXR-015, DQ48..DQ50</t>
        </is>
      </c>
    </row>
    <row r="22">
      <c r="A22" s="9" t="inlineStr">
        <is>
          <t>17 completed versions. Every one is covered by at least one case on sheet 07 — see 09_Traceability.</t>
        </is>
      </c>
    </row>
  </sheetData>
  <autoFilter ref="A3:I3"/>
  <mergeCells count="2">
    <mergeCell ref="A1:I1"/>
    <mergeCell ref="A2:I2"/>
  </mergeCell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I17"/>
  <sheetViews>
    <sheetView workbookViewId="0">
      <pane ySplit="3" topLeftCell="A4" activePane="bottomLeft" state="frozen"/>
      <selection pane="bottomLeft" activeCell="A1" sqref="A1"/>
    </sheetView>
  </sheetViews>
  <sheetFormatPr baseColWidth="8" defaultRowHeight="15"/>
  <cols>
    <col width="11" customWidth="1" min="1" max="1"/>
    <col width="46" customWidth="1" min="2" max="2"/>
    <col width="66" customWidth="1" min="3" max="3"/>
    <col width="62" customWidth="1" min="4" max="4"/>
    <col width="11" customWidth="1" min="5" max="5"/>
    <col width="20" customWidth="1" min="6" max="6"/>
    <col width="84" customWidth="1" min="7" max="7"/>
    <col width="48" customWidth="1" min="8" max="8"/>
    <col width="20" customWidth="1" min="9" max="9"/>
  </cols>
  <sheetData>
    <row r="1" ht="24" customHeight="1">
      <c r="A1" s="1" t="inlineStr">
        <is>
          <t>PENDING VERSIONS — what is not delivered, and exactly why</t>
        </is>
      </c>
    </row>
    <row r="2" ht="42" customHeight="1">
      <c r="A2" s="2" t="inlineStr">
        <is>
          <t>The decision list. Read the "Why it is pending" column carefully: in every case the blocker is an account, an environment, a purchase or a customer — not an unwritten module. No amount of further engineering closes any of these.</t>
        </is>
      </c>
    </row>
    <row r="3" ht="30" customHeight="1">
      <c r="A3" s="7" t="inlineStr">
        <is>
          <t>Version ID</t>
        </is>
      </c>
      <c r="B3" s="7" t="inlineStr">
        <is>
          <t>Release</t>
        </is>
      </c>
      <c r="C3" s="7" t="inlineStr">
        <is>
          <t>Planned scope</t>
        </is>
      </c>
      <c r="D3" s="7" t="inlineStr">
        <is>
          <t>Why it matters</t>
        </is>
      </c>
      <c r="E3" s="7" t="inlineStr">
        <is>
          <t>Status</t>
        </is>
      </c>
      <c r="F3" s="7" t="inlineStr">
        <is>
          <t>Evidence class blocked</t>
        </is>
      </c>
      <c r="G3" s="7" t="inlineStr">
        <is>
          <t>WHY IT IS PENDING</t>
        </is>
      </c>
      <c r="H3" s="7" t="inlineStr">
        <is>
          <t>Owner / what unblocks it</t>
        </is>
      </c>
      <c r="I3" s="7" t="inlineStr">
        <is>
          <t>Refs</t>
        </is>
      </c>
    </row>
    <row r="4">
      <c r="A4" s="10" t="inlineStr">
        <is>
          <t>VER-18</t>
        </is>
      </c>
      <c r="B4" s="10" t="inlineStr">
        <is>
          <t>PENDING — Live install inside HubSpot (PS14/PS15 LIVE)</t>
        </is>
      </c>
      <c r="C4" s="10" t="inlineStr">
        <is>
          <t>Upload the Projects app to a real developer account, install it into a test portal, render the app card on a real deal, and mint a session from the real extension context.</t>
        </is>
      </c>
      <c r="D4" s="10" t="inlineStr">
        <is>
          <t>This is the only way the LIVE evidence class can ever be reached, and it gates every other live claim.</t>
        </is>
      </c>
      <c r="E4" s="10" t="inlineStr">
        <is>
          <t>PENDING</t>
        </is>
      </c>
      <c r="F4" s="10" t="inlineStr">
        <is>
          <t>LIVE (absent)</t>
        </is>
      </c>
      <c r="G4" s="10" t="inlineStr">
        <is>
          <t>A HubSpot developer account does not exist. Nothing in the app surface has been uploaded, installed, rendered or accepted. Every green box in the engines band is a statement about our own tests until this happens.</t>
        </is>
      </c>
      <c r="H4" s="10" t="inlineStr">
        <is>
          <t>Senthil — create a HubSpot developer account and supply client id/secret</t>
        </is>
      </c>
      <c r="I4" s="10" t="inlineStr">
        <is>
          <t>R-Q15, CL-01</t>
        </is>
      </c>
    </row>
    <row r="5">
      <c r="A5" s="10" t="inlineStr">
        <is>
          <t>VER-19</t>
        </is>
      </c>
      <c r="B5" s="10" t="inlineStr">
        <is>
          <t>PENDING — Billing against a real provider (PS29 CONTRACT)</t>
        </is>
      </c>
      <c r="C5" s="10" t="inlineStr">
        <is>
          <t>Run subscribe → upgrade → fail → recover → cancel in Stripe test mode, and replay real provider webhooks including out-of-order delivery.</t>
        </is>
      </c>
      <c r="D5" s="10" t="inlineStr">
        <is>
          <t>CODE evidence cannot catch a field name the provider rejects, and a billing defect is a revenue defect.</t>
        </is>
      </c>
      <c r="E5" s="10" t="inlineStr">
        <is>
          <t>PENDING</t>
        </is>
      </c>
      <c r="F5" s="10" t="inlineStr">
        <is>
          <t>CONTRACT (absent)</t>
        </is>
      </c>
      <c r="G5" s="10" t="inlineStr">
        <is>
          <t>No Stripe test-mode keys and no HubSpot marketplace monetisation access. No payload has ever been accepted by a provider; no webhook has ever arrived.</t>
        </is>
      </c>
      <c r="H5" s="10" t="inlineStr">
        <is>
          <t>Senthil — Stripe test keys; apply for marketplace monetisation</t>
        </is>
      </c>
      <c r="I5" s="10" t="inlineStr">
        <is>
          <t>R-Q10, CL-09</t>
        </is>
      </c>
    </row>
    <row r="6">
      <c r="A6" s="10" t="inlineStr">
        <is>
          <t>VER-20</t>
        </is>
      </c>
      <c r="B6" s="10" t="inlineStr">
        <is>
          <t>PENDING — p95 under load (PS30-01)</t>
        </is>
      </c>
      <c r="C6" s="10" t="inlineStr">
        <is>
          <t>Run scripts/loadtest.js against two instances behind a load balancer at a stated concurrency and record p50/p95/p99.</t>
        </is>
      </c>
      <c r="D6" s="10" t="inlineStr">
        <is>
          <t>A performance target that has not been measured is not a target.</t>
        </is>
      </c>
      <c r="E6" s="10" t="inlineStr">
        <is>
          <t>PENDING</t>
        </is>
      </c>
      <c r="F6" s="10" t="inlineStr">
        <is>
          <t>PERF (absent)</t>
        </is>
      </c>
      <c r="G6" s="10" t="inlineStr">
        <is>
          <t>There is no deployed environment. The harness is written and has never been run; running it against localhost would prove localhost is fast, which is not the claim.</t>
        </is>
      </c>
      <c r="H6" s="10" t="inlineStr">
        <is>
          <t>Senthil — a hosting target with two instances behind a load balancer</t>
        </is>
      </c>
      <c r="I6" s="10" t="inlineStr">
        <is>
          <t>R-Q17, CL-10</t>
        </is>
      </c>
    </row>
    <row r="7">
      <c r="A7" s="10" t="inlineStr">
        <is>
          <t>VER-21</t>
        </is>
      </c>
      <c r="B7" s="10" t="inlineStr">
        <is>
          <t>PENDING — Measured RPO and RTO (PS30-03)</t>
        </is>
      </c>
      <c r="C7" s="10" t="inlineStr">
        <is>
          <t>Run scripts/restore-drill.sh: seed a marker, back up, write more, restore, prove the restored database serves tenant-scoped reads, and print both figures.</t>
        </is>
      </c>
      <c r="D7" s="10" t="inlineStr">
        <is>
          <t>"We have backups" is a hope with a cron job attached. RPO and RTO are numbers or they are nothing.</t>
        </is>
      </c>
      <c r="E7" s="10" t="inlineStr">
        <is>
          <t>PENDING</t>
        </is>
      </c>
      <c r="F7" s="10" t="inlineStr">
        <is>
          <t>OPS (absent)</t>
        </is>
      </c>
      <c r="G7" s="10" t="inlineStr">
        <is>
          <t>No managed Postgres with point-in-time recovery exists to run the drill against.</t>
        </is>
      </c>
      <c r="H7" s="10" t="inlineStr">
        <is>
          <t>Senthil — managed Postgres with PITR</t>
        </is>
      </c>
      <c r="I7" s="10" t="inlineStr">
        <is>
          <t>R-Q18, CL-11</t>
        </is>
      </c>
    </row>
    <row r="8">
      <c r="A8" s="10" t="inlineStr">
        <is>
          <t>VER-22</t>
        </is>
      </c>
      <c r="B8" s="10" t="inlineStr">
        <is>
          <t>PENDING — Zero-dropped-request deploy (PS30-02)</t>
        </is>
      </c>
      <c r="C8" s="10" t="inlineStr">
        <is>
          <t>Perform a blue/green deploy under continuous traffic and record zero dropped requests.</t>
        </is>
      </c>
      <c r="D8" s="10" t="inlineStr">
        <is>
          <t>The workflow was fiction while the writer lease existed. The lease is gone; the proof is still missing.</t>
        </is>
      </c>
      <c r="E8" s="10" t="inlineStr">
        <is>
          <t>PENDING</t>
        </is>
      </c>
      <c r="F8" s="10" t="inlineStr">
        <is>
          <t>OPS (absent)</t>
        </is>
      </c>
      <c r="G8" s="10" t="inlineStr">
        <is>
          <t>The blocker was removed and the workflow is executable, but no deploy has ever been run because there is nowhere to deploy to.</t>
        </is>
      </c>
      <c r="H8" s="10" t="inlineStr">
        <is>
          <t>Follows the hosting decision</t>
        </is>
      </c>
      <c r="I8" s="10" t="inlineStr">
        <is>
          <t>CL-12</t>
        </is>
      </c>
    </row>
    <row r="9">
      <c r="A9" s="10" t="inlineStr">
        <is>
          <t>VER-23</t>
        </is>
      </c>
      <c r="B9" s="10" t="inlineStr">
        <is>
          <t>PENDING — External penetration test (PS30-06)</t>
        </is>
      </c>
      <c r="C9" s="10" t="inlineStr">
        <is>
          <t>An independent firm tests against ABUSE_CASES as the scope document; target is zero critical or high findings.</t>
        </is>
      </c>
      <c r="D9" s="10" t="inlineStr">
        <is>
          <t>Our own adversarial tests are SECURITY evidence. They are not an independent assessment, and a buyer knows the difference.</t>
        </is>
      </c>
      <c r="E9" s="10" t="inlineStr">
        <is>
          <t>PENDING</t>
        </is>
      </c>
      <c r="F9" s="10" t="inlineStr">
        <is>
          <t>SECURITY (independent, absent)</t>
        </is>
      </c>
      <c r="G9" s="10" t="inlineStr">
        <is>
          <t>A penetration test is a purchase, not a sprint.</t>
        </is>
      </c>
      <c r="H9" s="10" t="inlineStr">
        <is>
          <t>Senthil — engage a testing firm</t>
        </is>
      </c>
      <c r="I9" s="10" t="inlineStr">
        <is>
          <t>R-Q12, CL-13</t>
        </is>
      </c>
    </row>
    <row r="10">
      <c r="A10" s="10" t="inlineStr">
        <is>
          <t>VER-24</t>
        </is>
      </c>
      <c r="B10" s="10" t="inlineStr">
        <is>
          <t>PENDING — SOC 2 Type I readiness (PS30-08)</t>
        </is>
      </c>
      <c r="C10" s="10" t="inlineStr">
        <is>
          <t>A readiness assessment consuming the posture declarations, audit trail and data-flow map.</t>
        </is>
      </c>
      <c r="D10" s="10" t="inlineStr">
        <is>
          <t>Enterprise procurement asks for it; nothing below enterprise does.</t>
        </is>
      </c>
      <c r="E10" s="10" t="inlineStr">
        <is>
          <t>PENDING</t>
        </is>
      </c>
      <c r="F10" s="10" t="inlineStr">
        <is>
          <t>OPS (absent)</t>
        </is>
      </c>
      <c r="G10" s="10" t="inlineStr">
        <is>
          <t>An assessment, not an engineering task, and premature before a first customer asks.</t>
        </is>
      </c>
      <c r="H10" s="10" t="inlineStr">
        <is>
          <t>Senthil — commission when a customer requires it</t>
        </is>
      </c>
      <c r="I10" s="10" t="inlineStr">
        <is>
          <t>—</t>
        </is>
      </c>
    </row>
    <row r="11">
      <c r="A11" s="10" t="inlineStr">
        <is>
          <t>VER-25</t>
        </is>
      </c>
      <c r="B11" s="10" t="inlineStr">
        <is>
          <t>PENDING — Invoice tax depth (R-Q20)</t>
        </is>
      </c>
      <c r="C11" s="10" t="inlineStr">
        <is>
          <t>A jurisdiction table and per-line tax codes so invoicing matches the multi-currency depth quoting now has.</t>
        </is>
      </c>
      <c r="D11" s="10" t="inlineStr">
        <is>
          <t>PXR-010 is half-closed: quoting is fully multi-currency, invoicing still applies one flat rate per portal.</t>
        </is>
      </c>
      <c r="E11" s="10" t="inlineStr">
        <is>
          <t>PENDING</t>
        </is>
      </c>
      <c r="F11" s="10" t="inlineStr">
        <is>
          <t>CODE (not started)</t>
        </is>
      </c>
      <c r="G11" s="10" t="inlineStr">
        <is>
          <t>Deliberately not faked in the last release. Sized for the next sprint and recorded as half-closed rather than counted as done.</t>
        </is>
      </c>
      <c r="H11" s="10" t="inlineStr">
        <is>
          <t>Next build sprint</t>
        </is>
      </c>
      <c r="I11" s="10" t="inlineStr">
        <is>
          <t>PXR-010, R-Q20</t>
        </is>
      </c>
    </row>
    <row r="12">
      <c r="A12" s="10" t="inlineStr">
        <is>
          <t>VER-26</t>
        </is>
      </c>
      <c r="B12" s="10" t="inlineStr">
        <is>
          <t>PENDING — Positioning decision and PMF (PS13, PS32)</t>
        </is>
      </c>
      <c r="C12" s="10" t="inlineStr">
        <is>
          <t>PS13: a written wedge decision with an ADR on field ownership. PS32: five weekly-active design partners, three verbally committed to pay, one signed pilot, ten paying strangers, churn observed over 90 days.</t>
        </is>
      </c>
      <c r="D12" s="10" t="inlineStr">
        <is>
          <t>The configuration scenarios come from limitations HubSpot documents, not from a prospect who asked. The depth may be real and still be depth in the wrong direction.</t>
        </is>
      </c>
      <c r="E12" s="10" t="inlineStr">
        <is>
          <t>PENDING</t>
        </is>
      </c>
      <c r="F12" s="10" t="inlineStr">
        <is>
          <t>COMMERCIAL (absent)</t>
        </is>
      </c>
      <c r="G12" s="10" t="inlineStr">
        <is>
          <t>Not an engineering sprint. No listing, no design partner, no revenue, no churn data — and no amount of further code produces any of them.</t>
        </is>
      </c>
      <c r="H12" s="10" t="inlineStr">
        <is>
          <t>Senthil — PS13 decision, then PS32 validation</t>
        </is>
      </c>
      <c r="I12" s="10" t="inlineStr">
        <is>
          <t>R-Q1, R-Q19, CL-14</t>
        </is>
      </c>
    </row>
    <row r="15" ht="20" customHeight="1">
      <c r="A15" s="5" t="inlineStr">
        <is>
          <t>Read this before treating the list above as a backlog</t>
        </is>
      </c>
    </row>
    <row r="16" ht="30" customHeight="1">
      <c r="A16" s="6" t="inlineStr">
        <is>
          <t>It is not a backlog. A backlog is work that can be started. Every row here is waiting on a decision or a purchase by the owner named in column H, and putting engineers on them would produce more untested code, which is the condition both external reviews criticised.</t>
        </is>
      </c>
    </row>
    <row r="17" ht="45" customHeight="1">
      <c r="A17" s="6" t="inlineStr">
        <is>
          <t>The ordering that matters: VER-18 (a HubSpot developer account) unblocks more than everything else combined, because it is the only route to the LIVE evidence class and it gates whether any of the completed work is reachable by a customer at all. VER-26 (positioning and PMF) decides whether the rest is worth doing.</t>
        </is>
      </c>
    </row>
  </sheetData>
  <autoFilter ref="A3:I3"/>
  <mergeCells count="5">
    <mergeCell ref="A15:I15"/>
    <mergeCell ref="A2:I2"/>
    <mergeCell ref="A1:I1"/>
    <mergeCell ref="A17:I17"/>
    <mergeCell ref="A16:I16"/>
  </mergeCell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Q75"/>
  <sheetViews>
    <sheetView workbookViewId="0">
      <pane ySplit="3" topLeftCell="A4" activePane="bottomLeft" state="frozen"/>
      <selection pane="bottomLeft" activeCell="A1" sqref="A1"/>
    </sheetView>
  </sheetViews>
  <sheetFormatPr baseColWidth="8" defaultRowHeight="15"/>
  <cols>
    <col width="10" customWidth="1" min="1" max="1"/>
    <col width="11" customWidth="1" min="2" max="2"/>
    <col width="17" customWidth="1" min="3" max="3"/>
    <col width="46" customWidth="1" min="4" max="4"/>
    <col width="10" customWidth="1" min="5" max="5"/>
    <col width="9" customWidth="1" min="6" max="6"/>
    <col width="72" customWidth="1" min="7" max="7"/>
    <col width="44" customWidth="1" min="8" max="8"/>
    <col width="8" customWidth="1" min="9" max="9"/>
    <col width="66" customWidth="1" min="10" max="10"/>
    <col width="20" customWidth="1" min="11" max="11"/>
    <col width="34" customWidth="1" min="12" max="12"/>
    <col width="40" customWidth="1" min="13" max="13"/>
    <col width="11" customWidth="1" min="14" max="14"/>
    <col width="14" customWidth="1" min="15" max="15"/>
    <col width="12" customWidth="1" min="16" max="16"/>
    <col width="12" customWidth="1" min="17" max="17"/>
  </cols>
  <sheetData>
    <row r="1" ht="24" customHeight="1">
      <c r="A1" s="1" t="inlineStr">
        <is>
          <t>TEST CASES — positive and negative</t>
        </is>
      </c>
    </row>
    <row r="2" ht="42" customHeight="1">
      <c r="A2" s="2" t="inlineStr">
        <is>
          <t>One row per case. Execute the numbered steps from 08_Test_Steps, then record Actual result and Status here. Filter by Version ID for a targeted regression run, or by Priority for a smoke pass. Cases marked BLOCKED in Status cannot be run yet — see sheet 06.</t>
        </is>
      </c>
    </row>
    <row r="3" ht="30" customHeight="1">
      <c r="A3" s="7" t="inlineStr">
        <is>
          <t>Test ID</t>
        </is>
      </c>
      <c r="B3" s="7" t="inlineStr">
        <is>
          <t>Version ID</t>
        </is>
      </c>
      <c r="C3" s="7" t="inlineStr">
        <is>
          <t>Module</t>
        </is>
      </c>
      <c r="D3" s="7" t="inlineStr">
        <is>
          <t>Test case name</t>
        </is>
      </c>
      <c r="E3" s="7" t="inlineStr">
        <is>
          <t>Type</t>
        </is>
      </c>
      <c r="F3" s="7" t="inlineStr">
        <is>
          <t>Priority</t>
        </is>
      </c>
      <c r="G3" s="7" t="inlineStr">
        <is>
          <t>Test description (what this proves)</t>
        </is>
      </c>
      <c r="H3" s="7" t="inlineStr">
        <is>
          <t>Pre-conditions</t>
        </is>
      </c>
      <c r="I3" s="7" t="inlineStr">
        <is>
          <t>Steps</t>
        </is>
      </c>
      <c r="J3" s="7" t="inlineStr">
        <is>
          <t>Expected overall result</t>
        </is>
      </c>
      <c r="K3" s="7" t="inlineStr">
        <is>
          <t>Evidence class</t>
        </is>
      </c>
      <c r="L3" s="7" t="inlineStr">
        <is>
          <t>Automated counterpart</t>
        </is>
      </c>
      <c r="M3" s="7" t="inlineStr">
        <is>
          <t>Actual result</t>
        </is>
      </c>
      <c r="N3" s="7" t="inlineStr">
        <is>
          <t>Status</t>
        </is>
      </c>
      <c r="O3" s="7" t="inlineStr">
        <is>
          <t>Tested by</t>
        </is>
      </c>
      <c r="P3" s="7" t="inlineStr">
        <is>
          <t>Date</t>
        </is>
      </c>
      <c r="Q3" s="7" t="inlineStr">
        <is>
          <t>Defect ref</t>
        </is>
      </c>
    </row>
    <row r="4">
      <c r="A4" s="3" t="inlineStr">
        <is>
          <t>TC-001</t>
        </is>
      </c>
      <c r="B4" s="3" t="inlineStr">
        <is>
          <t>VER-01</t>
        </is>
      </c>
      <c r="C4" s="3" t="inlineStr">
        <is>
          <t>Install &amp; OAuth</t>
        </is>
      </c>
      <c r="D4" s="3" t="inlineStr">
        <is>
          <t>Install redirects to HubSpot with a signed state carrying the source</t>
        </is>
      </c>
      <c r="E4" s="3" t="inlineStr">
        <is>
          <t>Positive</t>
        </is>
      </c>
      <c r="F4" s="3" t="inlineStr">
        <is>
          <t>P0</t>
        </is>
      </c>
      <c r="G4" s="3" t="inlineStr">
        <is>
          <t>The install entry point must send the admin to HubSpot’s authorize screen and carry the attribution source inside a signed state, so a tampered source cannot be attributed.</t>
        </is>
      </c>
      <c r="H4" s="3" t="inlineStr">
        <is>
          <t>App running at BASE_URL with HUBSPOT_CLIENT_ID, HUBSPOT_CLIENT_SECRET and OAUTH_REDIRECT_URI set.</t>
        </is>
      </c>
      <c r="I4" s="11" t="n">
        <v>4</v>
      </c>
      <c r="J4" s="3" t="inlineStr">
        <is>
          <t>The admin reaches HubSpot’s consent screen and the install source travels tamper-evident.</t>
        </is>
      </c>
      <c r="K4" s="3" t="inlineStr">
        <is>
          <t>CODE</t>
        </is>
      </c>
      <c r="L4" s="3" t="inlineStr">
        <is>
          <t>tests/s3api.test.ts signedState</t>
        </is>
      </c>
      <c r="M4" s="3" t="inlineStr"/>
      <c r="N4" s="3" t="inlineStr">
        <is>
          <t>Not Run</t>
        </is>
      </c>
      <c r="O4" s="3" t="inlineStr"/>
      <c r="P4" s="12" t="inlineStr"/>
      <c r="Q4" s="3" t="inlineStr"/>
    </row>
    <row r="5">
      <c r="A5" s="13" t="inlineStr">
        <is>
          <t>TC-002</t>
        </is>
      </c>
      <c r="B5" s="13" t="inlineStr">
        <is>
          <t>VER-01</t>
        </is>
      </c>
      <c r="C5" s="13" t="inlineStr">
        <is>
          <t>Install &amp; OAuth</t>
        </is>
      </c>
      <c r="D5" s="13" t="inlineStr">
        <is>
          <t>Callback with a forged state is refused</t>
        </is>
      </c>
      <c r="E5" s="13" t="inlineStr">
        <is>
          <t>Negative</t>
        </is>
      </c>
      <c r="F5" s="13" t="inlineStr">
        <is>
          <t>P0</t>
        </is>
      </c>
      <c r="G5" s="13" t="inlineStr">
        <is>
          <t>An attacker who can craft a callback must not be able to attach an install to a portal of their choosing.</t>
        </is>
      </c>
      <c r="H5" s="13" t="inlineStr">
        <is>
          <t>As TC-001.</t>
        </is>
      </c>
      <c r="I5" s="14" t="n">
        <v>4</v>
      </c>
      <c r="J5" s="13" t="inlineStr">
        <is>
          <t>Only a state this server minted is accepted.</t>
        </is>
      </c>
      <c r="K5" s="13" t="inlineStr">
        <is>
          <t>CODE + SECURITY</t>
        </is>
      </c>
      <c r="L5" s="13" t="inlineStr">
        <is>
          <t>tests/review1.test.ts F-Q05</t>
        </is>
      </c>
      <c r="M5" s="13" t="inlineStr"/>
      <c r="N5" s="13" t="inlineStr">
        <is>
          <t>Not Run</t>
        </is>
      </c>
      <c r="O5" s="13" t="inlineStr"/>
      <c r="P5" s="15" t="inlineStr"/>
      <c r="Q5" s="13" t="inlineStr"/>
    </row>
    <row r="6">
      <c r="A6" s="3" t="inlineStr">
        <is>
          <t>TC-003</t>
        </is>
      </c>
      <c r="B6" s="3" t="inlineStr">
        <is>
          <t>VER-01</t>
        </is>
      </c>
      <c r="C6" s="3" t="inlineStr">
        <is>
          <t>Install &amp; OAuth</t>
        </is>
      </c>
      <c r="D6" s="3" t="inlineStr">
        <is>
          <t>Uninstall webhook removes tokens and schedules deletion</t>
        </is>
      </c>
      <c r="E6" s="3" t="inlineStr">
        <is>
          <t>Positive</t>
        </is>
      </c>
      <c r="F6" s="3" t="inlineStr">
        <is>
          <t>P0</t>
        </is>
      </c>
      <c r="G6" s="3" t="inlineStr">
        <is>
          <t>When a customer uninstalls, their tokens must go immediately and their data must be queued for deletion at the retention boundary.</t>
        </is>
      </c>
      <c r="H6" s="3" t="inlineStr">
        <is>
          <t>A portal installed; the webhook signing secret known.</t>
        </is>
      </c>
      <c r="I6" s="11" t="n">
        <v>4</v>
      </c>
      <c r="J6" s="3" t="inlineStr">
        <is>
          <t>Tokens are gone at once; data deletion is scheduled, so a re-install inside the retention window can still restore.</t>
        </is>
      </c>
      <c r="K6" s="3" t="inlineStr">
        <is>
          <t>CODE</t>
        </is>
      </c>
      <c r="L6" s="3" t="inlineStr">
        <is>
          <t>tests/s7api.test.ts, smoke.test.ts</t>
        </is>
      </c>
      <c r="M6" s="3" t="inlineStr"/>
      <c r="N6" s="3" t="inlineStr">
        <is>
          <t>Not Run</t>
        </is>
      </c>
      <c r="O6" s="3" t="inlineStr"/>
      <c r="P6" s="12" t="inlineStr"/>
      <c r="Q6" s="3" t="inlineStr"/>
    </row>
    <row r="7">
      <c r="A7" s="13" t="inlineStr">
        <is>
          <t>TC-004</t>
        </is>
      </c>
      <c r="B7" s="13" t="inlineStr">
        <is>
          <t>VER-01</t>
        </is>
      </c>
      <c r="C7" s="13" t="inlineStr">
        <is>
          <t>Install &amp; OAuth</t>
        </is>
      </c>
      <c r="D7" s="13" t="inlineStr">
        <is>
          <t>Unsigned or stale webhook is rejected</t>
        </is>
      </c>
      <c r="E7" s="13" t="inlineStr">
        <is>
          <t>Negative</t>
        </is>
      </c>
      <c r="F7" s="13" t="inlineStr">
        <is>
          <t>P0</t>
        </is>
      </c>
      <c r="G7" s="13" t="inlineStr">
        <is>
          <t>A webhook endpoint that trusts its caller is an unauthenticated way to delete a customer’s account.</t>
        </is>
      </c>
      <c r="H7" s="13" t="inlineStr">
        <is>
          <t>As TC-003.</t>
        </is>
      </c>
      <c r="I7" s="14" t="n">
        <v>4</v>
      </c>
      <c r="J7" s="13" t="inlineStr">
        <is>
          <t>Every unverifiable webhook is refused and nothing is mutated.</t>
        </is>
      </c>
      <c r="K7" s="13" t="inlineStr">
        <is>
          <t>CODE + SECURITY</t>
        </is>
      </c>
      <c r="L7" s="13" t="inlineStr">
        <is>
          <t>tests/review2.test.ts signature block</t>
        </is>
      </c>
      <c r="M7" s="13" t="inlineStr"/>
      <c r="N7" s="13" t="inlineStr">
        <is>
          <t>Not Run</t>
        </is>
      </c>
      <c r="O7" s="13" t="inlineStr"/>
      <c r="P7" s="15" t="inlineStr"/>
      <c r="Q7" s="13" t="inlineStr"/>
    </row>
    <row r="8">
      <c r="A8" s="3" t="inlineStr">
        <is>
          <t>TC-005</t>
        </is>
      </c>
      <c r="B8" s="3" t="inlineStr">
        <is>
          <t>VER-02</t>
        </is>
      </c>
      <c r="C8" s="3" t="inlineStr">
        <is>
          <t>Price book</t>
        </is>
      </c>
      <c r="D8" s="3" t="inlineStr">
        <is>
          <t>One call produces a usable price book</t>
        </is>
      </c>
      <c r="E8" s="3" t="inlineStr">
        <is>
          <t>Positive</t>
        </is>
      </c>
      <c r="F8" s="3" t="inlineStr">
        <is>
          <t>P0</t>
        </is>
      </c>
      <c r="G8" s="3" t="inlineStr">
        <is>
          <t>A new admin must reach a working catalogue in one action, not twelve.</t>
        </is>
      </c>
      <c r="H8" s="3" t="inlineStr">
        <is>
          <t>A minted admin session (see Environments sheet).</t>
        </is>
      </c>
      <c r="I8" s="11" t="n">
        <v>4</v>
      </c>
      <c r="J8" s="3" t="inlineStr">
        <is>
          <t>Setup is one call and is idempotent.</t>
        </is>
      </c>
      <c r="K8" s="3" t="inlineStr">
        <is>
          <t>CODE</t>
        </is>
      </c>
      <c r="L8" s="3" t="inlineStr">
        <is>
          <t>tests/s2api.test.ts ST-001</t>
        </is>
      </c>
      <c r="M8" s="3" t="inlineStr"/>
      <c r="N8" s="3" t="inlineStr">
        <is>
          <t>Not Run</t>
        </is>
      </c>
      <c r="O8" s="3" t="inlineStr"/>
      <c r="P8" s="12" t="inlineStr"/>
      <c r="Q8" s="3" t="inlineStr"/>
    </row>
    <row r="9">
      <c r="A9" s="4" t="inlineStr">
        <is>
          <t>TC-006</t>
        </is>
      </c>
      <c r="B9" s="4" t="inlineStr">
        <is>
          <t>VER-02</t>
        </is>
      </c>
      <c r="C9" s="4" t="inlineStr">
        <is>
          <t>Price book</t>
        </is>
      </c>
      <c r="D9" s="4" t="inlineStr">
        <is>
          <t>A quote prices with the best matching discount</t>
        </is>
      </c>
      <c r="E9" s="4" t="inlineStr">
        <is>
          <t>Positive</t>
        </is>
      </c>
      <c r="F9" s="4" t="inlineStr">
        <is>
          <t>P0</t>
        </is>
      </c>
      <c r="G9" s="4" t="inlineStr">
        <is>
          <t>Where several rules match, the largest discount must win, and the result must be deterministic.</t>
        </is>
      </c>
      <c r="H9" s="4" t="inlineStr">
        <is>
          <t>TC-005 completed.</t>
        </is>
      </c>
      <c r="I9" s="16" t="n">
        <v>4</v>
      </c>
      <c r="J9" s="4" t="inlineStr">
        <is>
          <t>Pricing is deterministic and attributable.</t>
        </is>
      </c>
      <c r="K9" s="4" t="inlineStr">
        <is>
          <t>CODE</t>
        </is>
      </c>
      <c r="L9" s="4" t="inlineStr">
        <is>
          <t>tests/s2.test.ts ST-003</t>
        </is>
      </c>
      <c r="M9" s="4" t="inlineStr"/>
      <c r="N9" s="4" t="inlineStr">
        <is>
          <t>Not Run</t>
        </is>
      </c>
      <c r="O9" s="4" t="inlineStr"/>
      <c r="P9" s="17" t="inlineStr"/>
      <c r="Q9" s="4" t="inlineStr"/>
    </row>
    <row r="10">
      <c r="A10" s="13" t="inlineStr">
        <is>
          <t>TC-007</t>
        </is>
      </c>
      <c r="B10" s="13" t="inlineStr">
        <is>
          <t>VER-02</t>
        </is>
      </c>
      <c r="C10" s="13" t="inlineStr">
        <is>
          <t>RBAC</t>
        </is>
      </c>
      <c r="D10" s="13" t="inlineStr">
        <is>
          <t>A member cannot perform admin actions</t>
        </is>
      </c>
      <c r="E10" s="13" t="inlineStr">
        <is>
          <t>Negative</t>
        </is>
      </c>
      <c r="F10" s="13" t="inlineStr">
        <is>
          <t>P0</t>
        </is>
      </c>
      <c r="G10" s="13" t="inlineStr">
        <is>
          <t>Role enforcement must be on every route, not on the ones someone remembered.</t>
        </is>
      </c>
      <c r="H10" s="13" t="inlineStr">
        <is>
          <t>Sessions for an owner, an admin and a member on the same portal.</t>
        </is>
      </c>
      <c r="I10" s="14" t="n">
        <v>5</v>
      </c>
      <c r="J10" s="13" t="inlineStr">
        <is>
          <t>The role matrix is enforced uniformly and the member keeps the rights they should have.</t>
        </is>
      </c>
      <c r="K10" s="13" t="inlineStr">
        <is>
          <t>CODE + SECURITY</t>
        </is>
      </c>
      <c r="L10" s="13" t="inlineStr">
        <is>
          <t>tests/s3api.test.ts RBAC</t>
        </is>
      </c>
      <c r="M10" s="13" t="inlineStr"/>
      <c r="N10" s="13" t="inlineStr">
        <is>
          <t>Not Run</t>
        </is>
      </c>
      <c r="O10" s="13" t="inlineStr"/>
      <c r="P10" s="15" t="inlineStr"/>
      <c r="Q10" s="13" t="inlineStr"/>
    </row>
    <row r="11">
      <c r="A11" s="4" t="inlineStr">
        <is>
          <t>TC-008</t>
        </is>
      </c>
      <c r="B11" s="4" t="inlineStr">
        <is>
          <t>VER-13</t>
        </is>
      </c>
      <c r="C11" s="4" t="inlineStr">
        <is>
          <t>App card</t>
        </is>
      </c>
      <c r="D11" s="4" t="inlineStr">
        <is>
          <t>The deal app card returns the data the extension renders</t>
        </is>
      </c>
      <c r="E11" s="4" t="inlineStr">
        <is>
          <t>Positive</t>
        </is>
      </c>
      <c r="F11" s="4" t="inlineStr">
        <is>
          <t>P0</t>
        </is>
      </c>
      <c r="G11" s="4" t="inlineStr">
        <is>
          <t>The card payload must be data, not presentation, and must reflect the portal’s real state.</t>
        </is>
      </c>
      <c r="H11" s="4" t="inlineStr">
        <is>
          <t>A member session; the default price book set up.</t>
        </is>
      </c>
      <c r="I11" s="16" t="n">
        <v>4</v>
      </c>
      <c r="J11" s="4" t="inlineStr">
        <is>
          <t>The card payload is data the React extension can render, and reflects pause state.</t>
        </is>
      </c>
      <c r="K11" s="4" t="inlineStr">
        <is>
          <t>CODE</t>
        </is>
      </c>
      <c r="L11" s="4" t="inlineStr">
        <is>
          <t>tests/s3.test.ts buildDealCard</t>
        </is>
      </c>
      <c r="M11" s="4" t="inlineStr"/>
      <c r="N11" s="4" t="inlineStr">
        <is>
          <t>Not Run</t>
        </is>
      </c>
      <c r="O11" s="4" t="inlineStr"/>
      <c r="P11" s="17" t="inlineStr"/>
      <c r="Q11" s="4" t="inlineStr"/>
    </row>
    <row r="12">
      <c r="A12" s="13" t="inlineStr">
        <is>
          <t>TC-009</t>
        </is>
      </c>
      <c r="B12" s="13" t="inlineStr">
        <is>
          <t>VER-13</t>
        </is>
      </c>
      <c r="C12" s="13" t="inlineStr">
        <is>
          <t>App card</t>
        </is>
      </c>
      <c r="D12" s="13" t="inlineStr">
        <is>
          <t>The legacy CRM card route no longer exists</t>
        </is>
      </c>
      <c r="E12" s="13" t="inlineStr">
        <is>
          <t>Negative</t>
        </is>
      </c>
      <c r="F12" s="13" t="inlineStr">
        <is>
          <t>P0</t>
        </is>
      </c>
      <c r="G12" s="13" t="inlineStr">
        <is>
          <t>PS14-05 required the legacy surface to be removed from the tree, not deprecated — a route that cannot be listed should not be reachable.</t>
        </is>
      </c>
      <c r="H12" s="13" t="inlineStr">
        <is>
          <t>App running.</t>
        </is>
      </c>
      <c r="I12" s="14" t="n">
        <v>3</v>
      </c>
      <c r="J12" s="13" t="inlineStr">
        <is>
          <t>The legacy card is gone from the product, not merely hidden.</t>
        </is>
      </c>
      <c r="K12" s="13" t="inlineStr">
        <is>
          <t>CODE</t>
        </is>
      </c>
      <c r="L12" s="13" t="inlineStr">
        <is>
          <t>tests/s3api.test.ts route-removal</t>
        </is>
      </c>
      <c r="M12" s="13" t="inlineStr"/>
      <c r="N12" s="13" t="inlineStr">
        <is>
          <t>Not Run</t>
        </is>
      </c>
      <c r="O12" s="13" t="inlineStr"/>
      <c r="P12" s="15" t="inlineStr"/>
      <c r="Q12" s="13" t="inlineStr"/>
    </row>
    <row r="13">
      <c r="A13" s="4" t="inlineStr">
        <is>
          <t>TC-010</t>
        </is>
      </c>
      <c r="B13" s="4" t="inlineStr">
        <is>
          <t>VER-13</t>
        </is>
      </c>
      <c r="C13" s="4" t="inlineStr">
        <is>
          <t>Identity</t>
        </is>
      </c>
      <c r="D13" s="4" t="inlineStr">
        <is>
          <t>A HubSpot-signed context mints a working session</t>
        </is>
      </c>
      <c r="E13" s="4" t="inlineStr">
        <is>
          <t>Positive</t>
        </is>
      </c>
      <c r="F13" s="4" t="inlineStr">
        <is>
          <t>P0</t>
        </is>
      </c>
      <c r="G13" s="4" t="inlineStr">
        <is>
          <t>The serverless function inside the Projects app is the only thing that may mint a session, and it proves itself with a signature.</t>
        </is>
      </c>
      <c r="H13" s="4" t="inlineStr">
        <is>
          <t>clientSecret known; app running.</t>
        </is>
      </c>
      <c r="I13" s="16" t="n">
        <v>5</v>
      </c>
      <c r="J13" s="4" t="inlineStr">
        <is>
          <t>A session can only originate from a signed HubSpot context, and it works.</t>
        </is>
      </c>
      <c r="K13" s="4" t="inlineStr">
        <is>
          <t>CODE</t>
        </is>
      </c>
      <c r="L13" s="4" t="inlineStr">
        <is>
          <t>tests/s3api.test.ts PS16</t>
        </is>
      </c>
      <c r="M13" s="4" t="inlineStr"/>
      <c r="N13" s="4" t="inlineStr">
        <is>
          <t>Not Run</t>
        </is>
      </c>
      <c r="O13" s="4" t="inlineStr"/>
      <c r="P13" s="17" t="inlineStr"/>
      <c r="Q13" s="4" t="inlineStr"/>
    </row>
    <row r="14">
      <c r="A14" s="13" t="inlineStr">
        <is>
          <t>TC-011</t>
        </is>
      </c>
      <c r="B14" s="13" t="inlineStr">
        <is>
          <t>VER-13</t>
        </is>
      </c>
      <c r="C14" s="13" t="inlineStr">
        <is>
          <t>Identity</t>
        </is>
      </c>
      <c r="D14" s="13" t="inlineStr">
        <is>
          <t>A browser cannot mint a session</t>
        </is>
      </c>
      <c r="E14" s="13" t="inlineStr">
        <is>
          <t>Negative</t>
        </is>
      </c>
      <c r="F14" s="13" t="inlineStr">
        <is>
          <t>P0</t>
        </is>
      </c>
      <c r="G14" s="13" t="inlineStr">
        <is>
          <t>If an unsigned caller can mint, the whole identity design is decorative.</t>
        </is>
      </c>
      <c r="H14" s="13" t="inlineStr">
        <is>
          <t>As TC-010.</t>
        </is>
      </c>
      <c r="I14" s="14" t="n">
        <v>5</v>
      </c>
      <c r="J14" s="13" t="inlineStr">
        <is>
          <t>Only a signed, well-formed context mints, and the failure reason is specific enough to debug without leaking.</t>
        </is>
      </c>
      <c r="K14" s="13" t="inlineStr">
        <is>
          <t>CODE + SECURITY</t>
        </is>
      </c>
      <c r="L14" s="13" t="inlineStr">
        <is>
          <t>tests/s3api.test.ts PS16</t>
        </is>
      </c>
      <c r="M14" s="13" t="inlineStr"/>
      <c r="N14" s="13" t="inlineStr">
        <is>
          <t>Not Run</t>
        </is>
      </c>
      <c r="O14" s="13" t="inlineStr"/>
      <c r="P14" s="15" t="inlineStr"/>
      <c r="Q14" s="13" t="inlineStr"/>
    </row>
    <row r="15">
      <c r="A15" s="13" t="inlineStr">
        <is>
          <t>TC-012</t>
        </is>
      </c>
      <c r="B15" s="13" t="inlineStr">
        <is>
          <t>VER-13</t>
        </is>
      </c>
      <c r="C15" s="13" t="inlineStr">
        <is>
          <t>Identity</t>
        </is>
      </c>
      <c r="D15" s="13" t="inlineStr">
        <is>
          <t>The unsigned header identity path is gone</t>
        </is>
      </c>
      <c r="E15" s="13" t="inlineStr">
        <is>
          <t>Negative</t>
        </is>
      </c>
      <c r="F15" s="13" t="inlineStr">
        <is>
          <t>P0</t>
        </is>
      </c>
      <c r="G15" s="13" t="inlineStr">
        <is>
          <t>PS16-02 required deletion, not a NODE_ENV gate: a development-only path that exists in the binary is a production path.</t>
        </is>
      </c>
      <c r="H15" s="13" t="inlineStr">
        <is>
          <t>App running.</t>
        </is>
      </c>
      <c r="I15" s="14" t="n">
        <v>3</v>
      </c>
      <c r="J15" s="13" t="inlineStr">
        <is>
          <t>There is no environment in which unsigned headers authenticate.</t>
        </is>
      </c>
      <c r="K15" s="13" t="inlineStr">
        <is>
          <t>CODE + SECURITY</t>
        </is>
      </c>
      <c r="L15" s="13" t="inlineStr">
        <is>
          <t>tests/review1.test.ts PS16</t>
        </is>
      </c>
      <c r="M15" s="13" t="inlineStr"/>
      <c r="N15" s="13" t="inlineStr">
        <is>
          <t>Not Run</t>
        </is>
      </c>
      <c r="O15" s="13" t="inlineStr"/>
      <c r="P15" s="15" t="inlineStr"/>
      <c r="Q15" s="13" t="inlineStr"/>
    </row>
    <row r="16">
      <c r="A16" s="13" t="inlineStr">
        <is>
          <t>TC-013</t>
        </is>
      </c>
      <c r="B16" s="13" t="inlineStr">
        <is>
          <t>VER-13</t>
        </is>
      </c>
      <c r="C16" s="13" t="inlineStr">
        <is>
          <t>Identity</t>
        </is>
      </c>
      <c r="D16" s="13" t="inlineStr">
        <is>
          <t>An expired or tampered session is refused opaquely</t>
        </is>
      </c>
      <c r="E16" s="13" t="inlineStr">
        <is>
          <t>Negative</t>
        </is>
      </c>
      <c r="F16" s="13" t="inlineStr">
        <is>
          <t>P1</t>
        </is>
      </c>
      <c r="G16" s="13" t="inlineStr">
        <is>
          <t>A session must expire, and the refusal must not tell a prober which part they got wrong.</t>
        </is>
      </c>
      <c r="H16" s="13" t="inlineStr">
        <is>
          <t>A session minted in TC-010.</t>
        </is>
      </c>
      <c r="I16" s="14" t="n">
        <v>4</v>
      </c>
      <c r="J16" s="13" t="inlineStr">
        <is>
          <t>Expiry is enforced and unverifiable tokens all fail identically.</t>
        </is>
      </c>
      <c r="K16" s="13" t="inlineStr">
        <is>
          <t>CODE + SECURITY</t>
        </is>
      </c>
      <c r="L16" s="13" t="inlineStr">
        <is>
          <t>tests/s3api.test.ts PS16</t>
        </is>
      </c>
      <c r="M16" s="13" t="inlineStr"/>
      <c r="N16" s="13" t="inlineStr">
        <is>
          <t>Not Run</t>
        </is>
      </c>
      <c r="O16" s="13" t="inlineStr"/>
      <c r="P16" s="15" t="inlineStr"/>
      <c r="Q16" s="13" t="inlineStr"/>
    </row>
    <row r="17">
      <c r="A17" s="13" t="inlineStr">
        <is>
          <t>TC-014</t>
        </is>
      </c>
      <c r="B17" s="13" t="inlineStr">
        <is>
          <t>VER-14</t>
        </is>
      </c>
      <c r="C17" s="13" t="inlineStr">
        <is>
          <t>Tenancy</t>
        </is>
      </c>
      <c r="D17" s="13" t="inlineStr">
        <is>
          <t>One portal cannot see another portal’s data</t>
        </is>
      </c>
      <c r="E17" s="13" t="inlineStr">
        <is>
          <t>Negative</t>
        </is>
      </c>
      <c r="F17" s="13" t="inlineStr">
        <is>
          <t>P0</t>
        </is>
      </c>
      <c r="G17" s="13" t="inlineStr">
        <is>
          <t>This is the failure that ends a company. It must hold at the database, not only in application code.</t>
        </is>
      </c>
      <c r="H17" s="13" t="inlineStr">
        <is>
          <t>Two portals (1 and 2) each with a price book; app running on Postgres (DATABASE_URL set).</t>
        </is>
      </c>
      <c r="I17" s="14" t="n">
        <v>5</v>
      </c>
      <c r="J17" s="13" t="inlineStr">
        <is>
          <t>Isolation survives a deliberately mis-written query.</t>
        </is>
      </c>
      <c r="K17" s="13" t="inlineStr">
        <is>
          <t>CODE + SECURITY</t>
        </is>
      </c>
      <c r="L17" s="13" t="inlineStr">
        <is>
          <t>tests/tenantRls.test.ts</t>
        </is>
      </c>
      <c r="M17" s="13" t="inlineStr"/>
      <c r="N17" s="13" t="inlineStr">
        <is>
          <t>Not Run</t>
        </is>
      </c>
      <c r="O17" s="13" t="inlineStr"/>
      <c r="P17" s="15" t="inlineStr"/>
      <c r="Q17" s="13" t="inlineStr"/>
    </row>
    <row r="18">
      <c r="A18" s="13" t="inlineStr">
        <is>
          <t>TC-015</t>
        </is>
      </c>
      <c r="B18" s="13" t="inlineStr">
        <is>
          <t>VER-14</t>
        </is>
      </c>
      <c r="C18" s="13" t="inlineStr">
        <is>
          <t>Tenancy</t>
        </is>
      </c>
      <c r="D18" s="13" t="inlineStr">
        <is>
          <t>The app refuses to serve as a superuser</t>
        </is>
      </c>
      <c r="E18" s="13" t="inlineStr">
        <is>
          <t>Negative</t>
        </is>
      </c>
      <c r="F18" s="13" t="inlineStr">
        <is>
          <t>P0</t>
        </is>
      </c>
      <c r="G18" s="13" t="inlineStr">
        <is>
          <t>Row-level security is bypassed entirely by superusers and BYPASSRLS roles, so connecting as one silently removes all isolation.</t>
        </is>
      </c>
      <c r="H18" s="13" t="inlineStr">
        <is>
          <t>A Postgres instance where you can choose the connection role.</t>
        </is>
      </c>
      <c r="I18" s="14" t="n">
        <v>3</v>
      </c>
      <c r="J18" s="13" t="inlineStr">
        <is>
          <t>The product will not run in a configuration where its isolation is inert.</t>
        </is>
      </c>
      <c r="K18" s="13" t="inlineStr">
        <is>
          <t>CODE + SECURITY</t>
        </is>
      </c>
      <c r="L18" s="13" t="inlineStr">
        <is>
          <t>tests/tenantRls.test.ts assertRlsEnforceable</t>
        </is>
      </c>
      <c r="M18" s="13" t="inlineStr"/>
      <c r="N18" s="13" t="inlineStr">
        <is>
          <t>Not Run</t>
        </is>
      </c>
      <c r="O18" s="13" t="inlineStr"/>
      <c r="P18" s="15" t="inlineStr"/>
      <c r="Q18" s="13" t="inlineStr"/>
    </row>
    <row r="19">
      <c r="A19" s="4" t="inlineStr">
        <is>
          <t>TC-016</t>
        </is>
      </c>
      <c r="B19" s="4" t="inlineStr">
        <is>
          <t>VER-14</t>
        </is>
      </c>
      <c r="C19" s="4" t="inlineStr">
        <is>
          <t>Durability</t>
        </is>
      </c>
      <c r="D19" s="4" t="inlineStr">
        <is>
          <t>Nothing is lost across a restart</t>
        </is>
      </c>
      <c r="E19" s="4" t="inlineStr">
        <is>
          <t>Positive</t>
        </is>
      </c>
      <c r="F19" s="4" t="inlineStr">
        <is>
          <t>P0</t>
        </is>
      </c>
      <c r="G19" s="4" t="inlineStr">
        <is>
          <t>Everything above VER-10 lived in memory. This is the test that it no longer does.</t>
        </is>
      </c>
      <c r="H19" s="4" t="inlineStr">
        <is>
          <t>App on Postgres.</t>
        </is>
      </c>
      <c r="I19" s="16" t="n">
        <v>4</v>
      </c>
      <c r="J19" s="4" t="inlineStr">
        <is>
          <t>State is durable and shared — which is what makes a second instance, and a zero-downtime deploy, possible.</t>
        </is>
      </c>
      <c r="K19" s="4" t="inlineStr">
        <is>
          <t>CODE</t>
        </is>
      </c>
      <c r="L19" s="4" t="inlineStr">
        <is>
          <t>tests/pgBoot.test.ts</t>
        </is>
      </c>
      <c r="M19" s="4" t="inlineStr"/>
      <c r="N19" s="4" t="inlineStr">
        <is>
          <t>Not Run</t>
        </is>
      </c>
      <c r="O19" s="4" t="inlineStr"/>
      <c r="P19" s="17" t="inlineStr"/>
      <c r="Q19" s="4" t="inlineStr"/>
    </row>
    <row r="20">
      <c r="A20" s="13" t="inlineStr">
        <is>
          <t>TC-017</t>
        </is>
      </c>
      <c r="B20" s="13" t="inlineStr">
        <is>
          <t>VER-14</t>
        </is>
      </c>
      <c r="C20" s="13" t="inlineStr">
        <is>
          <t>Durability</t>
        </is>
      </c>
      <c r="D20" s="13" t="inlineStr">
        <is>
          <t>A failed notification is retried, then dead-lettered — never dropped</t>
        </is>
      </c>
      <c r="E20" s="13" t="inlineStr">
        <is>
          <t>Negative</t>
        </is>
      </c>
      <c r="F20" s="13" t="inlineStr">
        <is>
          <t>P1</t>
        </is>
      </c>
      <c r="G20" s="13" t="inlineStr">
        <is>
          <t>A notification lost to a provider outage is a customer who never heard about their approval.</t>
        </is>
      </c>
      <c r="H20" s="13" t="inlineStr">
        <is>
          <t>App configured with a mail provider URL you can point at a failing endpoint.</t>
        </is>
      </c>
      <c r="I20" s="14" t="n">
        <v>5</v>
      </c>
      <c r="J20" s="13" t="inlineStr">
        <is>
          <t>Mail is delayed or visibly parked, never lost.</t>
        </is>
      </c>
      <c r="K20" s="13" t="inlineStr">
        <is>
          <t>CODE</t>
        </is>
      </c>
      <c r="L20" s="13" t="inlineStr">
        <is>
          <t>tests/outbox.test.ts</t>
        </is>
      </c>
      <c r="M20" s="13" t="inlineStr"/>
      <c r="N20" s="13" t="inlineStr">
        <is>
          <t>Not Run</t>
        </is>
      </c>
      <c r="O20" s="13" t="inlineStr"/>
      <c r="P20" s="15" t="inlineStr"/>
      <c r="Q20" s="13" t="inlineStr"/>
    </row>
    <row r="21">
      <c r="A21" s="13" t="inlineStr">
        <is>
          <t>TC-018</t>
        </is>
      </c>
      <c r="B21" s="13" t="inlineStr">
        <is>
          <t>VER-14</t>
        </is>
      </c>
      <c r="C21" s="13" t="inlineStr">
        <is>
          <t>Abuse controls</t>
        </is>
      </c>
      <c r="D21" s="13" t="inlineStr">
        <is>
          <t>Rate limits and body limits hold</t>
        </is>
      </c>
      <c r="E21" s="13" t="inlineStr">
        <is>
          <t>Negative</t>
        </is>
      </c>
      <c r="F21" s="13" t="inlineStr">
        <is>
          <t>P1</t>
        </is>
      </c>
      <c r="G21" s="13" t="inlineStr">
        <is>
          <t>Per-portal limits stop one tenant degrading the service for everyone else.</t>
        </is>
      </c>
      <c r="H21" s="13" t="inlineStr">
        <is>
          <t>A member session.</t>
        </is>
      </c>
      <c r="I21" s="14" t="n">
        <v>5</v>
      </c>
      <c r="J21" s="13" t="inlineStr">
        <is>
          <t>Abuse is bounded and reported with codes a client can act on.</t>
        </is>
      </c>
      <c r="K21" s="13" t="inlineStr">
        <is>
          <t>CODE + SECURITY</t>
        </is>
      </c>
      <c r="L21" s="13" t="inlineStr">
        <is>
          <t>tests/review2.test.ts abuse block</t>
        </is>
      </c>
      <c r="M21" s="13" t="inlineStr"/>
      <c r="N21" s="13" t="inlineStr">
        <is>
          <t>Not Run</t>
        </is>
      </c>
      <c r="O21" s="13" t="inlineStr"/>
      <c r="P21" s="15" t="inlineStr"/>
      <c r="Q21" s="13" t="inlineStr"/>
    </row>
    <row r="22">
      <c r="A22" s="3" t="inlineStr">
        <is>
          <t>TC-019</t>
        </is>
      </c>
      <c r="B22" s="3" t="inlineStr">
        <is>
          <t>VER-15</t>
        </is>
      </c>
      <c r="C22" s="3" t="inlineStr">
        <is>
          <t>Configuration</t>
        </is>
      </c>
      <c r="D22" s="3" t="inlineStr">
        <is>
          <t>A product model is saved and listed</t>
        </is>
      </c>
      <c r="E22" s="3" t="inlineStr">
        <is>
          <t>Positive</t>
        </is>
      </c>
      <c r="F22" s="3" t="inlineStr">
        <is>
          <t>P0</t>
        </is>
      </c>
      <c r="G22" s="3" t="inlineStr">
        <is>
          <t>Models are tenant data and must persist, not live in a process.</t>
        </is>
      </c>
      <c r="H22" s="3" t="inlineStr">
        <is>
          <t>An admin session.</t>
        </is>
      </c>
      <c r="I22" s="11" t="n">
        <v>4</v>
      </c>
      <c r="J22" s="3" t="inlineStr">
        <is>
          <t>Authoring is durable, auditable and readable by the roles that need it.</t>
        </is>
      </c>
      <c r="K22" s="3" t="inlineStr">
        <is>
          <t>CODE</t>
        </is>
      </c>
      <c r="L22" s="3" t="inlineStr">
        <is>
          <t>tests/cpqApi.test.ts PS23</t>
        </is>
      </c>
      <c r="M22" s="3" t="inlineStr"/>
      <c r="N22" s="3" t="inlineStr">
        <is>
          <t>Not Run</t>
        </is>
      </c>
      <c r="O22" s="3" t="inlineStr"/>
      <c r="P22" s="12" t="inlineStr"/>
      <c r="Q22" s="3" t="inlineStr"/>
    </row>
    <row r="23">
      <c r="A23" s="13" t="inlineStr">
        <is>
          <t>TC-020</t>
        </is>
      </c>
      <c r="B23" s="13" t="inlineStr">
        <is>
          <t>VER-15</t>
        </is>
      </c>
      <c r="C23" s="13" t="inlineStr">
        <is>
          <t>Configuration</t>
        </is>
      </c>
      <c r="D23" s="13" t="inlineStr">
        <is>
          <t>A contradictory rule set is refused at save time</t>
        </is>
      </c>
      <c r="E23" s="13" t="inlineStr">
        <is>
          <t>Negative</t>
        </is>
      </c>
      <c r="F23" s="13" t="inlineStr">
        <is>
          <t>P0</t>
        </is>
      </c>
      <c r="G23" s="13" t="inlineStr">
        <is>
          <t>A rule set that can never be satisfied is an authoring bug. Catching it at save is the difference between one angry admin and every rep on the floor.</t>
        </is>
      </c>
      <c r="H23" s="13" t="inlineStr">
        <is>
          <t>TC-019 completed.</t>
        </is>
      </c>
      <c r="I23" s="14" t="n">
        <v>5</v>
      </c>
      <c r="J23" s="13" t="inlineStr">
        <is>
          <t>Unsatisfiable models never reach a rep.</t>
        </is>
      </c>
      <c r="K23" s="13" t="inlineStr">
        <is>
          <t>CODE</t>
        </is>
      </c>
      <c r="L23" s="13" t="inlineStr">
        <is>
          <t>tests/configuration.test.ts PS23-06</t>
        </is>
      </c>
      <c r="M23" s="13" t="inlineStr"/>
      <c r="N23" s="13" t="inlineStr">
        <is>
          <t>Not Run</t>
        </is>
      </c>
      <c r="O23" s="13" t="inlineStr"/>
      <c r="P23" s="15" t="inlineStr"/>
      <c r="Q23" s="13" t="inlineStr"/>
    </row>
    <row r="24">
      <c r="A24" s="3" t="inlineStr">
        <is>
          <t>TC-021</t>
        </is>
      </c>
      <c r="B24" s="3" t="inlineStr">
        <is>
          <t>VER-15</t>
        </is>
      </c>
      <c r="C24" s="3" t="inlineStr">
        <is>
          <t>Configuration</t>
        </is>
      </c>
      <c r="D24" s="3" t="inlineStr">
        <is>
          <t>Configuring explains every decision</t>
        </is>
      </c>
      <c r="E24" s="3" t="inlineStr">
        <is>
          <t>Positive</t>
        </is>
      </c>
      <c r="F24" s="3" t="inlineStr">
        <is>
          <t>P0</t>
        </is>
      </c>
      <c r="G24" s="3" t="inlineStr">
        <is>
          <t>Explainability is the differentiator. A rep who is told "you cannot add that" must see which rule said so.</t>
        </is>
      </c>
      <c r="H24" s="3" t="inlineStr">
        <is>
          <t>Model pm-1 saved.</t>
        </is>
      </c>
      <c r="I24" s="11" t="n">
        <v>5</v>
      </c>
      <c r="J24" s="3" t="inlineStr">
        <is>
          <t>Every inclusion and exclusion is attributable to a named rule.</t>
        </is>
      </c>
      <c r="K24" s="3" t="inlineStr">
        <is>
          <t>CODE</t>
        </is>
      </c>
      <c r="L24" s="3" t="inlineStr">
        <is>
          <t>tests/cpqApi.test.ts PS23</t>
        </is>
      </c>
      <c r="M24" s="3" t="inlineStr"/>
      <c r="N24" s="3" t="inlineStr">
        <is>
          <t>Not Run</t>
        </is>
      </c>
      <c r="O24" s="3" t="inlineStr"/>
      <c r="P24" s="12" t="inlineStr"/>
      <c r="Q24" s="3" t="inlineStr"/>
    </row>
    <row r="25">
      <c r="A25" s="13" t="inlineStr">
        <is>
          <t>TC-022</t>
        </is>
      </c>
      <c r="B25" s="13" t="inlineStr">
        <is>
          <t>VER-15</t>
        </is>
      </c>
      <c r="C25" s="13" t="inlineStr">
        <is>
          <t>Configuration</t>
        </is>
      </c>
      <c r="D25" s="13" t="inlineStr">
        <is>
          <t>Invalid selections are reported, not silently dropped</t>
        </is>
      </c>
      <c r="E25" s="13" t="inlineStr">
        <is>
          <t>Negative</t>
        </is>
      </c>
      <c r="F25" s="13" t="inlineStr">
        <is>
          <t>P1</t>
        </is>
      </c>
      <c r="G25" s="13" t="inlineStr">
        <is>
          <t>Silently dropping a rep’s selection is how a quote ends up missing the thing the customer asked for.</t>
        </is>
      </c>
      <c r="H25" s="13" t="inlineStr">
        <is>
          <t>Model pm-1 saved.</t>
        </is>
      </c>
      <c r="I25" s="14" t="n">
        <v>4</v>
      </c>
      <c r="J25" s="13" t="inlineStr">
        <is>
          <t>The engine never resolves a conflict by quietly deleting a human’s choice.</t>
        </is>
      </c>
      <c r="K25" s="13" t="inlineStr">
        <is>
          <t>CODE</t>
        </is>
      </c>
      <c r="L25" s="13" t="inlineStr">
        <is>
          <t>tests/configuration.test.ts</t>
        </is>
      </c>
      <c r="M25" s="13" t="inlineStr"/>
      <c r="N25" s="13" t="inlineStr">
        <is>
          <t>Not Run</t>
        </is>
      </c>
      <c r="O25" s="13" t="inlineStr"/>
      <c r="P25" s="15" t="inlineStr"/>
      <c r="Q25" s="13" t="inlineStr"/>
    </row>
    <row r="26">
      <c r="A26" s="3" t="inlineStr">
        <is>
          <t>TC-023</t>
        </is>
      </c>
      <c r="B26" s="3" t="inlineStr">
        <is>
          <t>VER-15</t>
        </is>
      </c>
      <c r="C26" s="3" t="inlineStr">
        <is>
          <t>Pricing</t>
        </is>
      </c>
      <c r="D26" s="3" t="inlineStr">
        <is>
          <t>A quote prices with a full audit waterfall</t>
        </is>
      </c>
      <c r="E26" s="3" t="inlineStr">
        <is>
          <t>Positive</t>
        </is>
      </c>
      <c r="F26" s="3" t="inlineStr">
        <is>
          <t>P0</t>
        </is>
      </c>
      <c r="G26" s="3" t="inlineStr">
        <is>
          <t>A CFO must be able to see how list price became the number on the quote.</t>
        </is>
      </c>
      <c r="H26" s="3" t="inlineStr">
        <is>
          <t>A pricing catalogue saved at PUT /api/pricing/cat-1.</t>
        </is>
      </c>
      <c r="I26" s="11" t="n">
        <v>5</v>
      </c>
      <c r="J26" s="3" t="inlineStr">
        <is>
          <t>Every line can be defended step by step.</t>
        </is>
      </c>
      <c r="K26" s="3" t="inlineStr">
        <is>
          <t>CODE</t>
        </is>
      </c>
      <c r="L26" s="3" t="inlineStr">
        <is>
          <t>tests/pricingDepth.test.ts PS24-08</t>
        </is>
      </c>
      <c r="M26" s="3" t="inlineStr"/>
      <c r="N26" s="3" t="inlineStr">
        <is>
          <t>Not Run</t>
        </is>
      </c>
      <c r="O26" s="3" t="inlineStr"/>
      <c r="P26" s="12" t="inlineStr"/>
      <c r="Q26" s="3" t="inlineStr"/>
    </row>
    <row r="27">
      <c r="A27" s="4" t="inlineStr">
        <is>
          <t>TC-024</t>
        </is>
      </c>
      <c r="B27" s="4" t="inlineStr">
        <is>
          <t>VER-15</t>
        </is>
      </c>
      <c r="C27" s="4" t="inlineStr">
        <is>
          <t>Pricing</t>
        </is>
      </c>
      <c r="D27" s="4" t="inlineStr">
        <is>
          <t>The same quote is exact in three currencies</t>
        </is>
      </c>
      <c r="E27" s="4" t="inlineStr">
        <is>
          <t>Positive</t>
        </is>
      </c>
      <c r="F27" s="4" t="inlineStr">
        <is>
          <t>P0</t>
        </is>
      </c>
      <c r="G27" s="4" t="inlineStr">
        <is>
          <t>Rounding drift between a quote and an invoice is a support ticket and a lost renewal.</t>
        </is>
      </c>
      <c r="H27" s="4" t="inlineStr">
        <is>
          <t>Catalogue cat-1 (USD book) and a pinned FX table.</t>
        </is>
      </c>
      <c r="I27" s="16" t="n">
        <v>5</v>
      </c>
      <c r="J27" s="4" t="inlineStr">
        <is>
          <t>Money is exact to the minor unit in every currency, and reproducible.</t>
        </is>
      </c>
      <c r="K27" s="4" t="inlineStr">
        <is>
          <t>CODE</t>
        </is>
      </c>
      <c r="L27" s="4" t="inlineStr">
        <is>
          <t>tests/pricingDepth.test.ts PS24-03</t>
        </is>
      </c>
      <c r="M27" s="4" t="inlineStr"/>
      <c r="N27" s="4" t="inlineStr">
        <is>
          <t>Not Run</t>
        </is>
      </c>
      <c r="O27" s="4" t="inlineStr"/>
      <c r="P27" s="17" t="inlineStr"/>
      <c r="Q27" s="4" t="inlineStr"/>
    </row>
    <row r="28">
      <c r="A28" s="13" t="inlineStr">
        <is>
          <t>TC-025</t>
        </is>
      </c>
      <c r="B28" s="13" t="inlineStr">
        <is>
          <t>VER-15</t>
        </is>
      </c>
      <c r="C28" s="13" t="inlineStr">
        <is>
          <t>Pricing</t>
        </is>
      </c>
      <c r="D28" s="13" t="inlineStr">
        <is>
          <t>A discount that breaches the margin floor is refused</t>
        </is>
      </c>
      <c r="E28" s="13" t="inlineStr">
        <is>
          <t>Negative</t>
        </is>
      </c>
      <c r="F28" s="13" t="inlineStr">
        <is>
          <t>P0</t>
        </is>
      </c>
      <c r="G28" s="13" t="inlineStr">
        <is>
          <t>A margin floor that warns instead of blocking is a margin suggestion.</t>
        </is>
      </c>
      <c r="H28" s="13" t="inlineStr">
        <is>
          <t>Catalogue with a cost on the SKU and a 20% block floor.</t>
        </is>
      </c>
      <c r="I28" s="14" t="n">
        <v>5</v>
      </c>
      <c r="J28" s="13" t="inlineStr">
        <is>
          <t>The floor blocks, lifts or admits it cannot be enforced — never silently passes.</t>
        </is>
      </c>
      <c r="K28" s="13" t="inlineStr">
        <is>
          <t>CODE</t>
        </is>
      </c>
      <c r="L28" s="13" t="inlineStr">
        <is>
          <t>tests/pricingDepth.test.ts PS24-06</t>
        </is>
      </c>
      <c r="M28" s="13" t="inlineStr"/>
      <c r="N28" s="13" t="inlineStr">
        <is>
          <t>Not Run</t>
        </is>
      </c>
      <c r="O28" s="13" t="inlineStr"/>
      <c r="P28" s="15" t="inlineStr"/>
      <c r="Q28" s="13" t="inlineStr"/>
    </row>
    <row r="29">
      <c r="A29" s="13" t="inlineStr">
        <is>
          <t>TC-026</t>
        </is>
      </c>
      <c r="B29" s="13" t="inlineStr">
        <is>
          <t>VER-15</t>
        </is>
      </c>
      <c r="C29" s="13" t="inlineStr">
        <is>
          <t>Pricing</t>
        </is>
      </c>
      <c r="D29" s="13" t="inlineStr">
        <is>
          <t>A partner discount above the ceiling is capped, visibly</t>
        </is>
      </c>
      <c r="E29" s="13" t="inlineStr">
        <is>
          <t>Negative</t>
        </is>
      </c>
      <c r="F29" s="13" t="inlineStr">
        <is>
          <t>P1</t>
        </is>
      </c>
      <c r="G29" s="13" t="inlineStr">
        <is>
          <t>Channel matrices exist so a partner cannot give away more than the agreement allows.</t>
        </is>
      </c>
      <c r="H29" s="13" t="inlineStr">
        <is>
          <t>Catalogue with a partner-gold channel row (standard 20%, ceiling 30%).</t>
        </is>
      </c>
      <c r="I29" s="14" t="n">
        <v>5</v>
      </c>
      <c r="J29" s="13" t="inlineStr">
        <is>
          <t>The matrix both caps and tops up, and every adjustment is attributed.</t>
        </is>
      </c>
      <c r="K29" s="13" t="inlineStr">
        <is>
          <t>CODE</t>
        </is>
      </c>
      <c r="L29" s="13" t="inlineStr">
        <is>
          <t>tests/pricingDepth.test.ts PS24-07</t>
        </is>
      </c>
      <c r="M29" s="13" t="inlineStr"/>
      <c r="N29" s="13" t="inlineStr">
        <is>
          <t>Not Run</t>
        </is>
      </c>
      <c r="O29" s="13" t="inlineStr"/>
      <c r="P29" s="15" t="inlineStr"/>
      <c r="Q29" s="13" t="inlineStr"/>
    </row>
    <row r="30">
      <c r="A30" s="3" t="inlineStr">
        <is>
          <t>TC-027</t>
        </is>
      </c>
      <c r="B30" s="3" t="inlineStr">
        <is>
          <t>VER-15</t>
        </is>
      </c>
      <c r="C30" s="3" t="inlineStr">
        <is>
          <t>Deal desk</t>
        </is>
      </c>
      <c r="D30" s="3" t="inlineStr">
        <is>
          <t>A deal routes through parallel branches to completion</t>
        </is>
      </c>
      <c r="E30" s="3" t="inlineStr">
        <is>
          <t>Positive</t>
        </is>
      </c>
      <c r="F30" s="3" t="inlineStr">
        <is>
          <t>P0</t>
        </is>
      </c>
      <c r="G30" s="3" t="inlineStr">
        <is>
          <t>Real desks review in parallel. A chain cannot express that; this is the test that the DAG can.</t>
        </is>
      </c>
      <c r="H30" s="3" t="inlineStr">
        <is>
          <t>A DAG saved with legal and finance in parallel feeding a CFO node, plus a regional VP node gated on entity.</t>
        </is>
      </c>
      <c r="I30" s="11" t="n">
        <v>5</v>
      </c>
      <c r="J30" s="3" t="inlineStr">
        <is>
          <t>Parallel branches, conditional nodes and a dependent node all behave as authored.</t>
        </is>
      </c>
      <c r="K30" s="3" t="inlineStr">
        <is>
          <t>CODE</t>
        </is>
      </c>
      <c r="L30" s="3" t="inlineStr">
        <is>
          <t>tests/dealDesk.test.ts PS25-02</t>
        </is>
      </c>
      <c r="M30" s="3" t="inlineStr"/>
      <c r="N30" s="3" t="inlineStr">
        <is>
          <t>Not Run</t>
        </is>
      </c>
      <c r="O30" s="3" t="inlineStr"/>
      <c r="P30" s="12" t="inlineStr"/>
      <c r="Q30" s="3" t="inlineStr"/>
    </row>
    <row r="31">
      <c r="A31" s="13" t="inlineStr">
        <is>
          <t>TC-028</t>
        </is>
      </c>
      <c r="B31" s="13" t="inlineStr">
        <is>
          <t>VER-15</t>
        </is>
      </c>
      <c r="C31" s="13" t="inlineStr">
        <is>
          <t>Deal desk</t>
        </is>
      </c>
      <c r="D31" s="13" t="inlineStr">
        <is>
          <t>Every bypass attempt is denied AND recorded</t>
        </is>
      </c>
      <c r="E31" s="13" t="inlineStr">
        <is>
          <t>Negative</t>
        </is>
      </c>
      <c r="F31" s="13" t="inlineStr">
        <is>
          <t>P0</t>
        </is>
      </c>
      <c r="G31" s="13" t="inlineStr">
        <is>
          <t>PS25-06 asks for a test that attempts every bypass. An attempted bypass is itself something a deal desk wants to see.</t>
        </is>
      </c>
      <c r="H31" s="13" t="inlineStr">
        <is>
          <t>A pending request from TC-027.</t>
        </is>
      </c>
      <c r="I31" s="14" t="n">
        <v>6</v>
      </c>
      <c r="J31" s="13" t="inlineStr">
        <is>
          <t>There is exactly one way into decisions, and every attempt to find another is on the record.</t>
        </is>
      </c>
      <c r="K31" s="13" t="inlineStr">
        <is>
          <t>CODE + SECURITY</t>
        </is>
      </c>
      <c r="L31" s="13" t="inlineStr">
        <is>
          <t>tests/dealDesk.test.ts PS25-06</t>
        </is>
      </c>
      <c r="M31" s="13" t="inlineStr"/>
      <c r="N31" s="13" t="inlineStr">
        <is>
          <t>Not Run</t>
        </is>
      </c>
      <c r="O31" s="13" t="inlineStr"/>
      <c r="P31" s="15" t="inlineStr"/>
      <c r="Q31" s="13" t="inlineStr"/>
    </row>
    <row r="32">
      <c r="A32" s="3" t="inlineStr">
        <is>
          <t>TC-029</t>
        </is>
      </c>
      <c r="B32" s="3" t="inlineStr">
        <is>
          <t>VER-15</t>
        </is>
      </c>
      <c r="C32" s="3" t="inlineStr">
        <is>
          <t>Deal desk</t>
        </is>
      </c>
      <c r="D32" s="3" t="inlineStr">
        <is>
          <t>A delegate decides in their own name</t>
        </is>
      </c>
      <c r="E32" s="3" t="inlineStr">
        <is>
          <t>Positive</t>
        </is>
      </c>
      <c r="F32" s="3" t="inlineStr">
        <is>
          <t>P1</t>
        </is>
      </c>
      <c r="G32" s="3" t="inlineStr">
        <is>
          <t>Laundering a delegate’s decision into the delegator’s name would make the audit trail a lie.</t>
        </is>
      </c>
      <c r="H32" s="3" t="inlineStr">
        <is>
          <t>A delegation from cfo to deputy-cfo with a reason and a dated window.</t>
        </is>
      </c>
      <c r="I32" s="11" t="n">
        <v>5</v>
      </c>
      <c r="J32" s="3" t="inlineStr">
        <is>
          <t>Delegation is recorded, time-bounded and revocable — never invisible.</t>
        </is>
      </c>
      <c r="K32" s="3" t="inlineStr">
        <is>
          <t>CODE</t>
        </is>
      </c>
      <c r="L32" s="3" t="inlineStr">
        <is>
          <t>tests/dealDesk.test.ts PS25-03</t>
        </is>
      </c>
      <c r="M32" s="3" t="inlineStr"/>
      <c r="N32" s="3" t="inlineStr">
        <is>
          <t>Not Run</t>
        </is>
      </c>
      <c r="O32" s="3" t="inlineStr"/>
      <c r="P32" s="12" t="inlineStr"/>
      <c r="Q32" s="3" t="inlineStr"/>
    </row>
    <row r="33">
      <c r="A33" s="13" t="inlineStr">
        <is>
          <t>TC-030</t>
        </is>
      </c>
      <c r="B33" s="13" t="inlineStr">
        <is>
          <t>VER-15</t>
        </is>
      </c>
      <c r="C33" s="13" t="inlineStr">
        <is>
          <t>Deal desk</t>
        </is>
      </c>
      <c r="D33" s="13" t="inlineStr">
        <is>
          <t>SLA breach escalates in business hours only</t>
        </is>
      </c>
      <c r="E33" s="13" t="inlineStr">
        <is>
          <t>Negative</t>
        </is>
      </c>
      <c r="F33" s="13" t="inlineStr">
        <is>
          <t>P1</t>
        </is>
      </c>
      <c r="G33" s="13" t="inlineStr">
        <is>
          <t>A Friday-evening submission must not be "breached" by Saturday lunchtime when nobody promised weekend cover.</t>
        </is>
      </c>
      <c r="H33" s="13" t="inlineStr">
        <is>
          <t>A DAG with a 4-business-hour finance SLA and an escalation ladder.</t>
        </is>
      </c>
      <c r="I33" s="14" t="n">
        <v>5</v>
      </c>
      <c r="J33" s="13" t="inlineStr">
        <is>
          <t>Timers respect the working week, and escalation is idempotent per rung.</t>
        </is>
      </c>
      <c r="K33" s="13" t="inlineStr">
        <is>
          <t>CODE</t>
        </is>
      </c>
      <c r="L33" s="13" t="inlineStr">
        <is>
          <t>tests/dealDesk.test.ts PS25-04</t>
        </is>
      </c>
      <c r="M33" s="13" t="inlineStr"/>
      <c r="N33" s="13" t="inlineStr">
        <is>
          <t>Not Run</t>
        </is>
      </c>
      <c r="O33" s="13" t="inlineStr"/>
      <c r="P33" s="15" t="inlineStr"/>
      <c r="Q33" s="13" t="inlineStr"/>
    </row>
    <row r="34">
      <c r="A34" s="13" t="inlineStr">
        <is>
          <t>TC-031</t>
        </is>
      </c>
      <c r="B34" s="13" t="inlineStr">
        <is>
          <t>VER-15</t>
        </is>
      </c>
      <c r="C34" s="13" t="inlineStr">
        <is>
          <t>Deal desk</t>
        </is>
      </c>
      <c r="D34" s="13" t="inlineStr">
        <is>
          <t>Changing the quote invalidates prior approvals</t>
        </is>
      </c>
      <c r="E34" s="13" t="inlineStr">
        <is>
          <t>Negative</t>
        </is>
      </c>
      <c r="F34" s="13" t="inlineStr">
        <is>
          <t>P0</t>
        </is>
      </c>
      <c r="G34" s="13" t="inlineStr">
        <is>
          <t>Approving a 20% discount must not silently approve the 45% one it became.</t>
        </is>
      </c>
      <c r="H34" s="13" t="inlineStr">
        <is>
          <t>A request with legal and finance approved.</t>
        </is>
      </c>
      <c r="I34" s="14" t="n">
        <v>5</v>
      </c>
      <c r="J34" s="13" t="inlineStr">
        <is>
          <t>Approval is bound to the exact quote content it was given for.</t>
        </is>
      </c>
      <c r="K34" s="13" t="inlineStr">
        <is>
          <t>CODE</t>
        </is>
      </c>
      <c r="L34" s="13" t="inlineStr">
        <is>
          <t>tests/dealDesk.test.ts PS25-05</t>
        </is>
      </c>
      <c r="M34" s="13" t="inlineStr"/>
      <c r="N34" s="13" t="inlineStr">
        <is>
          <t>Not Run</t>
        </is>
      </c>
      <c r="O34" s="13" t="inlineStr"/>
      <c r="P34" s="15" t="inlineStr"/>
      <c r="Q34" s="13" t="inlineStr"/>
    </row>
    <row r="35">
      <c r="A35" s="4" t="inlineStr">
        <is>
          <t>TC-032</t>
        </is>
      </c>
      <c r="B35" s="4" t="inlineStr">
        <is>
          <t>VER-16</t>
        </is>
      </c>
      <c r="C35" s="4" t="inlineStr">
        <is>
          <t>Quote</t>
        </is>
      </c>
      <c r="D35" s="4" t="inlineStr">
        <is>
          <t>Editing a sent quote creates a version</t>
        </is>
      </c>
      <c r="E35" s="4" t="inlineStr">
        <is>
          <t>Positive</t>
        </is>
      </c>
      <c r="F35" s="4" t="inlineStr">
        <is>
          <t>P0</t>
        </is>
      </c>
      <c r="G35" s="4" t="inlineStr">
        <is>
          <t>A quote is a commercial promise. History must be immutable.</t>
        </is>
      </c>
      <c r="H35" s="4" t="inlineStr">
        <is>
          <t>A member session and a priced quote.</t>
        </is>
      </c>
      <c r="I35" s="16" t="n">
        <v>5</v>
      </c>
      <c r="J35" s="4" t="inlineStr">
        <is>
          <t>Revision appends; it never mutates.</t>
        </is>
      </c>
      <c r="K35" s="4" t="inlineStr">
        <is>
          <t>CODE</t>
        </is>
      </c>
      <c r="L35" s="4" t="inlineStr">
        <is>
          <t>tests/quotes.test.ts</t>
        </is>
      </c>
      <c r="M35" s="4" t="inlineStr"/>
      <c r="N35" s="4" t="inlineStr">
        <is>
          <t>Not Run</t>
        </is>
      </c>
      <c r="O35" s="4" t="inlineStr"/>
      <c r="P35" s="17" t="inlineStr"/>
      <c r="Q35" s="4" t="inlineStr"/>
    </row>
    <row r="36">
      <c r="A36" s="3" t="inlineStr">
        <is>
          <t>TC-033</t>
        </is>
      </c>
      <c r="B36" s="3" t="inlineStr">
        <is>
          <t>VER-16</t>
        </is>
      </c>
      <c r="C36" s="3" t="inlineStr">
        <is>
          <t>Quote</t>
        </is>
      </c>
      <c r="D36" s="3" t="inlineStr">
        <is>
          <t>Drift against the deal is detected</t>
        </is>
      </c>
      <c r="E36" s="3" t="inlineStr">
        <is>
          <t>Positive</t>
        </is>
      </c>
      <c r="F36" s="3" t="inlineStr">
        <is>
          <t>P1</t>
        </is>
      </c>
      <c r="G36" s="3" t="inlineStr">
        <is>
          <t>The question "does the deal still match what we sent?" must have an answer.</t>
        </is>
      </c>
      <c r="H36" s="3" t="inlineStr">
        <is>
          <t>A quote projected onto a deal.</t>
        </is>
      </c>
      <c r="I36" s="11" t="n">
        <v>4</v>
      </c>
      <c r="J36" s="3" t="inlineStr">
        <is>
          <t>All four drift states are distinguishable and correct.</t>
        </is>
      </c>
      <c r="K36" s="3" t="inlineStr">
        <is>
          <t>CODE</t>
        </is>
      </c>
      <c r="L36" s="3" t="inlineStr">
        <is>
          <t>tests/quotes.test.ts</t>
        </is>
      </c>
      <c r="M36" s="3" t="inlineStr"/>
      <c r="N36" s="3" t="inlineStr">
        <is>
          <t>Not Run</t>
        </is>
      </c>
      <c r="O36" s="3" t="inlineStr"/>
      <c r="P36" s="12" t="inlineStr"/>
      <c r="Q36" s="3" t="inlineStr"/>
    </row>
    <row r="37">
      <c r="A37" s="4" t="inlineStr">
        <is>
          <t>TC-034</t>
        </is>
      </c>
      <c r="B37" s="4" t="inlineStr">
        <is>
          <t>VER-16</t>
        </is>
      </c>
      <c r="C37" s="4" t="inlineStr">
        <is>
          <t>E-signature</t>
        </is>
      </c>
      <c r="D37" s="4" t="inlineStr">
        <is>
          <t>A signed package verifies, and one changed byte fails</t>
        </is>
      </c>
      <c r="E37" s="4" t="inlineStr">
        <is>
          <t>Positive</t>
        </is>
      </c>
      <c r="F37" s="4" t="inlineStr">
        <is>
          <t>P0</t>
        </is>
      </c>
      <c r="G37" s="4" t="inlineStr">
        <is>
          <t>This is the difference between a signature and a picture of one.</t>
        </is>
      </c>
      <c r="H37" s="4" t="inlineStr">
        <is>
          <t>An envelope sent to a signer.</t>
        </is>
      </c>
      <c r="I37" s="16" t="n">
        <v>5</v>
      </c>
      <c r="J37" s="4" t="inlineStr">
        <is>
          <t>What the signer saw is provable after the fact.</t>
        </is>
      </c>
      <c r="K37" s="4" t="inlineStr">
        <is>
          <t>CODE + SECURITY</t>
        </is>
      </c>
      <c r="L37" s="4" t="inlineStr">
        <is>
          <t>tests/signatureEvidence.test.ts</t>
        </is>
      </c>
      <c r="M37" s="4" t="inlineStr"/>
      <c r="N37" s="4" t="inlineStr">
        <is>
          <t>Not Run</t>
        </is>
      </c>
      <c r="O37" s="4" t="inlineStr"/>
      <c r="P37" s="17" t="inlineStr"/>
      <c r="Q37" s="4" t="inlineStr"/>
    </row>
    <row r="38">
      <c r="A38" s="13" t="inlineStr">
        <is>
          <t>TC-035</t>
        </is>
      </c>
      <c r="B38" s="13" t="inlineStr">
        <is>
          <t>VER-16</t>
        </is>
      </c>
      <c r="C38" s="13" t="inlineStr">
        <is>
          <t>E-signature</t>
        </is>
      </c>
      <c r="D38" s="13" t="inlineStr">
        <is>
          <t>An access code cannot be brute-forced or guessed</t>
        </is>
      </c>
      <c r="E38" s="13" t="inlineStr">
        <is>
          <t>Negative</t>
        </is>
      </c>
      <c r="F38" s="13" t="inlineStr">
        <is>
          <t>P1</t>
        </is>
      </c>
      <c r="G38" s="13" t="inlineStr">
        <is>
          <t>A signing link is a bearer credential; the second factor must actually resist attack.</t>
        </is>
      </c>
      <c r="H38" s="13" t="inlineStr">
        <is>
          <t>An envelope requiring an access code.</t>
        </is>
      </c>
      <c r="I38" s="14" t="n">
        <v>4</v>
      </c>
      <c r="J38" s="13" t="inlineStr">
        <is>
          <t>Codes are compared in constant time, attempts are bounded, and the secret is not at rest.</t>
        </is>
      </c>
      <c r="K38" s="13" t="inlineStr">
        <is>
          <t>CODE + SECURITY</t>
        </is>
      </c>
      <c r="L38" s="13" t="inlineStr">
        <is>
          <t>tests/signatureEvidence.test.ts</t>
        </is>
      </c>
      <c r="M38" s="13" t="inlineStr"/>
      <c r="N38" s="13" t="inlineStr">
        <is>
          <t>Not Run</t>
        </is>
      </c>
      <c r="O38" s="13" t="inlineStr"/>
      <c r="P38" s="15" t="inlineStr"/>
      <c r="Q38" s="13" t="inlineStr"/>
    </row>
    <row r="39">
      <c r="A39" s="13" t="inlineStr">
        <is>
          <t>TC-036</t>
        </is>
      </c>
      <c r="B39" s="13" t="inlineStr">
        <is>
          <t>VER-16</t>
        </is>
      </c>
      <c r="C39" s="13" t="inlineStr">
        <is>
          <t>HubSpot sync</t>
        </is>
      </c>
      <c r="D39" s="13" t="inlineStr">
        <is>
          <t>A push never destroys line items QuoteFlow did not create</t>
        </is>
      </c>
      <c r="E39" s="13" t="inlineStr">
        <is>
          <t>Negative</t>
        </is>
      </c>
      <c r="F39" s="13" t="inlineStr">
        <is>
          <t>P0</t>
        </is>
      </c>
      <c r="G39" s="13" t="inlineStr">
        <is>
          <t>This was a customer-data-loss defect. It is the single most important negative test in the pack.</t>
        </is>
      </c>
      <c r="H39" s="13" t="inlineStr">
        <is>
          <t>A deal carrying one QuoteFlow line, one rep-added line and one native-quote line (use the recorded fixture harness).</t>
        </is>
      </c>
      <c r="I39" s="14" t="n">
        <v>5</v>
      </c>
      <c r="J39" s="13" t="inlineStr">
        <is>
          <t>Provenance is written on the way in and honoured on the way out.</t>
        </is>
      </c>
      <c r="K39" s="13" t="inlineStr">
        <is>
          <t>CODE + CONTRACT</t>
        </is>
      </c>
      <c r="L39" s="13" t="inlineStr">
        <is>
          <t>tests/extreview2.test.ts PXR-004</t>
        </is>
      </c>
      <c r="M39" s="13" t="inlineStr"/>
      <c r="N39" s="13" t="inlineStr">
        <is>
          <t>Not Run</t>
        </is>
      </c>
      <c r="O39" s="13" t="inlineStr"/>
      <c r="P39" s="15" t="inlineStr"/>
      <c r="Q39" s="13" t="inlineStr"/>
    </row>
    <row r="40">
      <c r="A40" s="3" t="inlineStr">
        <is>
          <t>TC-037</t>
        </is>
      </c>
      <c r="B40" s="3" t="inlineStr">
        <is>
          <t>VER-17</t>
        </is>
      </c>
      <c r="C40" s="3" t="inlineStr">
        <is>
          <t>Billing</t>
        </is>
      </c>
      <c r="D40" s="3" t="inlineStr">
        <is>
          <t>A charge is form-encoded, authenticated and idempotent</t>
        </is>
      </c>
      <c r="E40" s="3" t="inlineStr">
        <is>
          <t>Positive</t>
        </is>
      </c>
      <c r="F40" s="3" t="inlineStr">
        <is>
          <t>P0</t>
        </is>
      </c>
      <c r="G40" s="3" t="inlineStr">
        <is>
          <t>Posting JSON to Stripe returns 400 for every call. This is a shape test, and shape is the whole risk here.</t>
        </is>
      </c>
      <c r="H40" s="3" t="inlineStr">
        <is>
          <t>A stub provider endpoint that records what it receives.</t>
        </is>
      </c>
      <c r="I40" s="11" t="n">
        <v>5</v>
      </c>
      <c r="J40" s="3" t="inlineStr">
        <is>
          <t>The payload is the shape the provider accepts.</t>
        </is>
      </c>
      <c r="K40" s="3" t="inlineStr">
        <is>
          <t>CODE</t>
        </is>
      </c>
      <c r="L40" s="3" t="inlineStr">
        <is>
          <t>tests/billingCorrectness.test.ts PS29-01</t>
        </is>
      </c>
      <c r="M40" s="3" t="inlineStr"/>
      <c r="N40" s="3" t="inlineStr">
        <is>
          <t>Not Run</t>
        </is>
      </c>
      <c r="O40" s="3" t="inlineStr"/>
      <c r="P40" s="12" t="inlineStr"/>
      <c r="Q40" s="3" t="inlineStr"/>
    </row>
    <row r="41">
      <c r="A41" s="13" t="inlineStr">
        <is>
          <t>TC-038</t>
        </is>
      </c>
      <c r="B41" s="13" t="inlineStr">
        <is>
          <t>VER-17</t>
        </is>
      </c>
      <c r="C41" s="13" t="inlineStr">
        <is>
          <t>Billing</t>
        </is>
      </c>
      <c r="D41" s="13" t="inlineStr">
        <is>
          <t>A replayed webhook does not charge twice</t>
        </is>
      </c>
      <c r="E41" s="13" t="inlineStr">
        <is>
          <t>Negative</t>
        </is>
      </c>
      <c r="F41" s="13" t="inlineStr">
        <is>
          <t>P0</t>
        </is>
      </c>
      <c r="G41" s="13" t="inlineStr">
        <is>
          <t>Providers retry. A handler that is not idempotent double-applies every retry.</t>
        </is>
      </c>
      <c r="H41" s="13" t="inlineStr">
        <is>
          <t>A webhook endpoint and the signing secret.</t>
        </is>
      </c>
      <c r="I41" s="14" t="n">
        <v>4</v>
      </c>
      <c r="J41" s="13" t="inlineStr">
        <is>
          <t>Retries are safe, and deduplication does not over-reach.</t>
        </is>
      </c>
      <c r="K41" s="13" t="inlineStr">
        <is>
          <t>CODE</t>
        </is>
      </c>
      <c r="L41" s="13" t="inlineStr">
        <is>
          <t>tests/billingCorrectness.test.ts PS29-02</t>
        </is>
      </c>
      <c r="M41" s="13" t="inlineStr"/>
      <c r="N41" s="13" t="inlineStr">
        <is>
          <t>Not Run</t>
        </is>
      </c>
      <c r="O41" s="13" t="inlineStr"/>
      <c r="P41" s="15" t="inlineStr"/>
      <c r="Q41" s="13" t="inlineStr"/>
    </row>
    <row r="42">
      <c r="A42" s="13" t="inlineStr">
        <is>
          <t>TC-039</t>
        </is>
      </c>
      <c r="B42" s="13" t="inlineStr">
        <is>
          <t>VER-17</t>
        </is>
      </c>
      <c r="C42" s="13" t="inlineStr">
        <is>
          <t>Billing</t>
        </is>
      </c>
      <c r="D42" s="13" t="inlineStr">
        <is>
          <t>A late payment_failed cannot undo a later success</t>
        </is>
      </c>
      <c r="E42" s="13" t="inlineStr">
        <is>
          <t>Negative</t>
        </is>
      </c>
      <c r="F42" s="13" t="inlineStr">
        <is>
          <t>P0</t>
        </is>
      </c>
      <c r="G42" s="13" t="inlineStr">
        <is>
          <t>Out-of-order delivery is normal. Applying by arrival order walks the account backwards.</t>
        </is>
      </c>
      <c r="H42" s="13" t="inlineStr">
        <is>
          <t>As TC-038.</t>
        </is>
      </c>
      <c r="I42" s="14" t="n">
        <v>4</v>
      </c>
      <c r="J42" s="13" t="inlineStr">
        <is>
          <t>Ordering is decided by the event’s own timestamp.</t>
        </is>
      </c>
      <c r="K42" s="13" t="inlineStr">
        <is>
          <t>CODE</t>
        </is>
      </c>
      <c r="L42" s="13" t="inlineStr">
        <is>
          <t>tests/billingCorrectness.test.ts PS29-02</t>
        </is>
      </c>
      <c r="M42" s="13" t="inlineStr"/>
      <c r="N42" s="13" t="inlineStr">
        <is>
          <t>Not Run</t>
        </is>
      </c>
      <c r="O42" s="13" t="inlineStr"/>
      <c r="P42" s="15" t="inlineStr"/>
      <c r="Q42" s="13" t="inlineStr"/>
    </row>
    <row r="43">
      <c r="A43" s="13" t="inlineStr">
        <is>
          <t>TC-040</t>
        </is>
      </c>
      <c r="B43" s="13" t="inlineStr">
        <is>
          <t>VER-17</t>
        </is>
      </c>
      <c r="C43" s="13" t="inlineStr">
        <is>
          <t>Billing</t>
        </is>
      </c>
      <c r="D43" s="13" t="inlineStr">
        <is>
          <t>An unsigned or stale webhook never reaches the account</t>
        </is>
      </c>
      <c r="E43" s="13" t="inlineStr">
        <is>
          <t>Negative</t>
        </is>
      </c>
      <c r="F43" s="13" t="inlineStr">
        <is>
          <t>P0</t>
        </is>
      </c>
      <c r="G43" s="13" t="inlineStr">
        <is>
          <t>An unsigned webhook is an unauthenticated request to change a customer’s billing status.</t>
        </is>
      </c>
      <c r="H43" s="13" t="inlineStr">
        <is>
          <t>As TC-038.</t>
        </is>
      </c>
      <c r="I43" s="14" t="n">
        <v>5</v>
      </c>
      <c r="J43" s="13" t="inlineStr">
        <is>
          <t>Only a fresh, correctly signed event can change billing state.</t>
        </is>
      </c>
      <c r="K43" s="13" t="inlineStr">
        <is>
          <t>CODE + SECURITY</t>
        </is>
      </c>
      <c r="L43" s="13" t="inlineStr">
        <is>
          <t>tests/billingCorrectness.test.ts PS29-02</t>
        </is>
      </c>
      <c r="M43" s="13" t="inlineStr"/>
      <c r="N43" s="13" t="inlineStr">
        <is>
          <t>Not Run</t>
        </is>
      </c>
      <c r="O43" s="13" t="inlineStr"/>
      <c r="P43" s="15" t="inlineStr"/>
      <c r="Q43" s="13" t="inlineStr"/>
    </row>
    <row r="44">
      <c r="A44" s="13" t="inlineStr">
        <is>
          <t>TC-041</t>
        </is>
      </c>
      <c r="B44" s="13" t="inlineStr">
        <is>
          <t>VER-17</t>
        </is>
      </c>
      <c r="C44" s="13" t="inlineStr">
        <is>
          <t>Entitlements</t>
        </is>
      </c>
      <c r="D44" s="13" t="inlineStr">
        <is>
          <t>Features are gated by plan, not by a counter</t>
        </is>
      </c>
      <c r="E44" s="13" t="inlineStr">
        <is>
          <t>Negative</t>
        </is>
      </c>
      <c r="F44" s="13" t="inlineStr">
        <is>
          <t>P1</t>
        </is>
      </c>
      <c r="G44" s="13" t="inlineStr">
        <is>
          <t>The shipped gate was a quote counter, which let a Pro portal use Scale-only features as long as it quoted quietly.</t>
        </is>
      </c>
      <c r="H44" s="13" t="inlineStr">
        <is>
          <t>Accounts on pro and scale plans.</t>
        </is>
      </c>
      <c r="I44" s="14" t="n">
        <v>6</v>
      </c>
      <c r="J44" s="13" t="inlineStr">
        <is>
          <t>Plan, status and quota are each enforced, and reads survive a payment problem.</t>
        </is>
      </c>
      <c r="K44" s="13" t="inlineStr">
        <is>
          <t>CODE</t>
        </is>
      </c>
      <c r="L44" s="13" t="inlineStr">
        <is>
          <t>tests/billingCorrectness.test.ts PS29-03</t>
        </is>
      </c>
      <c r="M44" s="13" t="inlineStr"/>
      <c r="N44" s="13" t="inlineStr">
        <is>
          <t>Not Run</t>
        </is>
      </c>
      <c r="O44" s="13" t="inlineStr"/>
      <c r="P44" s="15" t="inlineStr"/>
      <c r="Q44" s="13" t="inlineStr"/>
    </row>
    <row r="45">
      <c r="A45" s="4" t="inlineStr">
        <is>
          <t>TC-042</t>
        </is>
      </c>
      <c r="B45" s="4" t="inlineStr">
        <is>
          <t>VER-17</t>
        </is>
      </c>
      <c r="C45" s="4" t="inlineStr">
        <is>
          <t>Billing</t>
        </is>
      </c>
      <c r="D45" s="4" t="inlineStr">
        <is>
          <t>Proration uses real calendar months</t>
        </is>
      </c>
      <c r="E45" s="4" t="inlineStr">
        <is>
          <t>Positive</t>
        </is>
      </c>
      <c r="F45" s="4" t="inlineStr">
        <is>
          <t>P1</t>
        </is>
      </c>
      <c r="G45" s="4" t="inlineStr">
        <is>
          <t>A fixed 30-day period overcharges every February and undercharges every 31-day month.</t>
        </is>
      </c>
      <c r="H45" s="4" t="inlineStr">
        <is>
          <t>An account with a known anchor day.</t>
        </is>
      </c>
      <c r="I45" s="16" t="n">
        <v>5</v>
      </c>
      <c r="J45" s="4" t="inlineStr">
        <is>
          <t>Billing periods match what every other system the customer uses does.</t>
        </is>
      </c>
      <c r="K45" s="4" t="inlineStr">
        <is>
          <t>CODE</t>
        </is>
      </c>
      <c r="L45" s="4" t="inlineStr">
        <is>
          <t>tests/billingCorrectness.test.ts PS29-04</t>
        </is>
      </c>
      <c r="M45" s="4" t="inlineStr"/>
      <c r="N45" s="4" t="inlineStr">
        <is>
          <t>Not Run</t>
        </is>
      </c>
      <c r="O45" s="4" t="inlineStr"/>
      <c r="P45" s="17" t="inlineStr"/>
      <c r="Q45" s="4" t="inlineStr"/>
    </row>
    <row r="46">
      <c r="A46" s="3" t="inlineStr">
        <is>
          <t>TC-043</t>
        </is>
      </c>
      <c r="B46" s="3" t="inlineStr">
        <is>
          <t>VER-17</t>
        </is>
      </c>
      <c r="C46" s="3" t="inlineStr">
        <is>
          <t>Operations</t>
        </is>
      </c>
      <c r="D46" s="3" t="inlineStr">
        <is>
          <t>A migration rolls back and re-applies cleanly</t>
        </is>
      </c>
      <c r="E46" s="3" t="inlineStr">
        <is>
          <t>Positive</t>
        </is>
      </c>
      <c r="F46" s="3" t="inlineStr">
        <is>
          <t>P0</t>
        </is>
      </c>
      <c r="G46" s="3" t="inlineStr">
        <is>
          <t>At 2am during a bad deploy, "we assumed it was reversible" is not an answer.</t>
        </is>
      </c>
      <c r="H46" s="3" t="inlineStr">
        <is>
          <t>A Postgres instance you may destroy.</t>
        </is>
      </c>
      <c r="I46" s="11" t="n">
        <v>5</v>
      </c>
      <c r="J46" s="3" t="inlineStr">
        <is>
          <t>A bad release can be reversed and then re-applied.</t>
        </is>
      </c>
      <c r="K46" s="3" t="inlineStr">
        <is>
          <t>CODE + OPS</t>
        </is>
      </c>
      <c r="L46" s="3" t="inlineStr">
        <is>
          <t>tests/operations.test.ts PS30-04</t>
        </is>
      </c>
      <c r="M46" s="3" t="inlineStr"/>
      <c r="N46" s="3" t="inlineStr">
        <is>
          <t>Not Run</t>
        </is>
      </c>
      <c r="O46" s="3" t="inlineStr"/>
      <c r="P46" s="12" t="inlineStr"/>
      <c r="Q46" s="3" t="inlineStr"/>
    </row>
    <row r="47">
      <c r="A47" s="13" t="inlineStr">
        <is>
          <t>TC-044</t>
        </is>
      </c>
      <c r="B47" s="13" t="inlineStr">
        <is>
          <t>VER-17</t>
        </is>
      </c>
      <c r="C47" s="13" t="inlineStr">
        <is>
          <t>Operations</t>
        </is>
      </c>
      <c r="D47" s="13" t="inlineStr">
        <is>
          <t>A rollback across an irreversible step refuses first</t>
        </is>
      </c>
      <c r="E47" s="13" t="inlineStr">
        <is>
          <t>Negative</t>
        </is>
      </c>
      <c r="F47" s="13" t="inlineStr">
        <is>
          <t>P0</t>
        </is>
      </c>
      <c r="G47" s="13" t="inlineStr">
        <is>
          <t>A half-rolled-back schema is worse than the bad deploy it was undoing.</t>
        </is>
      </c>
      <c r="H47" s="13" t="inlineStr">
        <is>
          <t>As TC-043, with all migrations applied.</t>
        </is>
      </c>
      <c r="I47" s="14" t="n">
        <v>4</v>
      </c>
      <c r="J47" s="13" t="inlineStr">
        <is>
          <t>The operator learns before the first DROP, not after it.</t>
        </is>
      </c>
      <c r="K47" s="13" t="inlineStr">
        <is>
          <t>CODE + OPS</t>
        </is>
      </c>
      <c r="L47" s="13" t="inlineStr">
        <is>
          <t>tests/operations.test.ts PS30-04</t>
        </is>
      </c>
      <c r="M47" s="13" t="inlineStr"/>
      <c r="N47" s="13" t="inlineStr">
        <is>
          <t>Not Run</t>
        </is>
      </c>
      <c r="O47" s="13" t="inlineStr"/>
      <c r="P47" s="15" t="inlineStr"/>
      <c r="Q47" s="13" t="inlineStr"/>
    </row>
    <row r="48">
      <c r="A48" s="13" t="inlineStr">
        <is>
          <t>TC-045</t>
        </is>
      </c>
      <c r="B48" s="13" t="inlineStr">
        <is>
          <t>VER-17</t>
        </is>
      </c>
      <c r="C48" s="13" t="inlineStr">
        <is>
          <t>Operations</t>
        </is>
      </c>
      <c r="D48" s="13" t="inlineStr">
        <is>
          <t>Each dependency killed, degradation is graceful</t>
        </is>
      </c>
      <c r="E48" s="13" t="inlineStr">
        <is>
          <t>Negative</t>
        </is>
      </c>
      <c r="F48" s="13" t="inlineStr">
        <is>
          <t>P0</t>
        </is>
      </c>
      <c r="G48" s="13" t="inlineStr">
        <is>
          <t>Chaos testing answers what the customer sees when something else breaks.</t>
        </is>
      </c>
      <c r="H48" s="13" t="inlineStr">
        <is>
          <t>Ability to stop Postgres, point HubSpot at a failing stub, and point mail at a failing stub.</t>
        </is>
      </c>
      <c r="I48" s="14" t="n">
        <v>5</v>
      </c>
      <c r="J48" s="13" t="inlineStr">
        <is>
          <t>Every dependency failure degrades to something a human can see and retry.</t>
        </is>
      </c>
      <c r="K48" s="13" t="inlineStr">
        <is>
          <t>CODE + OPS</t>
        </is>
      </c>
      <c r="L48" s="13" t="inlineStr">
        <is>
          <t>tests/operations.test.ts PS30-05</t>
        </is>
      </c>
      <c r="M48" s="13" t="inlineStr"/>
      <c r="N48" s="13" t="inlineStr">
        <is>
          <t>Not Run</t>
        </is>
      </c>
      <c r="O48" s="13" t="inlineStr"/>
      <c r="P48" s="15" t="inlineStr"/>
      <c r="Q48" s="13" t="inlineStr"/>
    </row>
    <row r="49">
      <c r="A49" s="13" t="inlineStr">
        <is>
          <t>TC-046</t>
        </is>
      </c>
      <c r="B49" s="13" t="inlineStr">
        <is>
          <t>VER-17</t>
        </is>
      </c>
      <c r="C49" s="13" t="inlineStr">
        <is>
          <t>Quality system</t>
        </is>
      </c>
      <c r="D49" s="13" t="inlineStr">
        <is>
          <t>The evidence gate fails a build that overstates itself</t>
        </is>
      </c>
      <c r="E49" s="13" t="inlineStr">
        <is>
          <t>Negative</t>
        </is>
      </c>
      <c r="F49" s="13" t="inlineStr">
        <is>
          <t>P0</t>
        </is>
      </c>
      <c r="G49" s="13" t="inlineStr">
        <is>
          <t>This is the control that stops the whole pack becoming decorative.</t>
        </is>
      </c>
      <c r="H49" s="13" t="inlineStr">
        <is>
          <t>A checkout of the repository and the ability to run CI locally.</t>
        </is>
      </c>
      <c r="I49" s="14" t="n">
        <v>5</v>
      </c>
      <c r="J49" s="13" t="inlineStr">
        <is>
          <t>A claim cannot outrun its evidence without breaking the build.</t>
        </is>
      </c>
      <c r="K49" s="13" t="inlineStr">
        <is>
          <t>CODE + OPS</t>
        </is>
      </c>
      <c r="L49" s="13" t="inlineStr">
        <is>
          <t>tests/evidence.test.ts</t>
        </is>
      </c>
      <c r="M49" s="13" t="inlineStr"/>
      <c r="N49" s="13" t="inlineStr">
        <is>
          <t>Not Run</t>
        </is>
      </c>
      <c r="O49" s="13" t="inlineStr"/>
      <c r="P49" s="15" t="inlineStr"/>
      <c r="Q49" s="13" t="inlineStr"/>
    </row>
    <row r="50">
      <c r="A50" s="3" t="inlineStr">
        <is>
          <t>TC-047</t>
        </is>
      </c>
      <c r="B50" s="3" t="inlineStr">
        <is>
          <t>VER-17</t>
        </is>
      </c>
      <c r="C50" s="3" t="inlineStr">
        <is>
          <t>Quality system</t>
        </is>
      </c>
      <c r="D50" s="3" t="inlineStr">
        <is>
          <t>The release manifest reports counted, not typed, figures</t>
        </is>
      </c>
      <c r="E50" s="3" t="inlineStr">
        <is>
          <t>Positive</t>
        </is>
      </c>
      <c r="F50" s="3" t="inlineStr">
        <is>
          <t>P1</t>
        </is>
      </c>
      <c r="G50" s="3" t="inlineStr">
        <is>
          <t>Three different metric truths once appeared in one release because numbers were typed by hand.</t>
        </is>
      </c>
      <c r="H50" s="3" t="inlineStr">
        <is>
          <t>A checkout of the repository.</t>
        </is>
      </c>
      <c r="I50" s="11" t="n">
        <v>4</v>
      </c>
      <c r="J50" s="3" t="inlineStr">
        <is>
          <t>The artefact states its own truth.</t>
        </is>
      </c>
      <c r="K50" s="3" t="inlineStr">
        <is>
          <t>CODE + OPS</t>
        </is>
      </c>
      <c r="L50" s="3" t="inlineStr">
        <is>
          <t>scripts/release-manifest.js</t>
        </is>
      </c>
      <c r="M50" s="3" t="inlineStr"/>
      <c r="N50" s="3" t="inlineStr">
        <is>
          <t>Not Run</t>
        </is>
      </c>
      <c r="O50" s="3" t="inlineStr"/>
      <c r="P50" s="12" t="inlineStr"/>
      <c r="Q50" s="3" t="inlineStr"/>
    </row>
    <row r="51">
      <c r="A51" s="4" t="inlineStr">
        <is>
          <t>TC-048</t>
        </is>
      </c>
      <c r="B51" s="4" t="inlineStr">
        <is>
          <t>VER-11</t>
        </is>
      </c>
      <c r="C51" s="4" t="inlineStr">
        <is>
          <t>Data lifecycle</t>
        </is>
      </c>
      <c r="D51" s="4" t="inlineStr">
        <is>
          <t>Delete-my-data really removes everything</t>
        </is>
      </c>
      <c r="E51" s="4" t="inlineStr">
        <is>
          <t>Positive</t>
        </is>
      </c>
      <c r="F51" s="4" t="inlineStr">
        <is>
          <t>P0</t>
        </is>
      </c>
      <c r="G51" s="4" t="inlineStr">
        <is>
          <t>The first cold review found this endpoint telling customers it had deleted data it had left behind. It is worth re-testing every release.</t>
        </is>
      </c>
      <c r="H51" s="4" t="inlineStr">
        <is>
          <t>A portal with data in every store: price books, approvals, envelopes, analytics, billing, sync runs, support, reviews, quotes, product models, catalogues, DAGs, delegations, desk requests.</t>
        </is>
      </c>
      <c r="I51" s="16" t="n">
        <v>5</v>
      </c>
      <c r="J51" s="4" t="inlineStr">
        <is>
          <t>Deletion covers every store the product writes to, and only the requesting portal.</t>
        </is>
      </c>
      <c r="K51" s="4" t="inlineStr">
        <is>
          <t>CODE + SECURITY</t>
        </is>
      </c>
      <c r="L51" s="4" t="inlineStr">
        <is>
          <t>tests/review1.test.ts F-Q01, tests/cpqApi.test.ts purge</t>
        </is>
      </c>
      <c r="M51" s="4" t="inlineStr"/>
      <c r="N51" s="4" t="inlineStr">
        <is>
          <t>Not Run</t>
        </is>
      </c>
      <c r="O51" s="4" t="inlineStr"/>
      <c r="P51" s="17" t="inlineStr"/>
      <c r="Q51" s="4" t="inlineStr"/>
    </row>
    <row r="52">
      <c r="A52" s="3" t="inlineStr">
        <is>
          <t>TC-049</t>
        </is>
      </c>
      <c r="B52" s="3" t="inlineStr">
        <is>
          <t>VER-11</t>
        </is>
      </c>
      <c r="C52" s="3" t="inlineStr">
        <is>
          <t>Data lifecycle</t>
        </is>
      </c>
      <c r="D52" s="3" t="inlineStr">
        <is>
          <t>Re-install inside the retention window restores the portal</t>
        </is>
      </c>
      <c r="E52" s="3" t="inlineStr">
        <is>
          <t>Positive</t>
        </is>
      </c>
      <c r="F52" s="3" t="inlineStr">
        <is>
          <t>P1</t>
        </is>
      </c>
      <c r="G52" s="3" t="inlineStr">
        <is>
          <t>Uninstalling to fix a problem and reinstalling should not cost the customer their catalogue.</t>
        </is>
      </c>
      <c r="H52" s="3" t="inlineStr">
        <is>
          <t>A portal with data; retention set to 30 days.</t>
        </is>
      </c>
      <c r="I52" s="11" t="n">
        <v>4</v>
      </c>
      <c r="J52" s="3" t="inlineStr">
        <is>
          <t>The retention window behaves as promised in both directions.</t>
        </is>
      </c>
      <c r="K52" s="3" t="inlineStr">
        <is>
          <t>CODE</t>
        </is>
      </c>
      <c r="L52" s="3" t="inlineStr">
        <is>
          <t>tests/s2api.test.ts ST-053</t>
        </is>
      </c>
      <c r="M52" s="3" t="inlineStr"/>
      <c r="N52" s="3" t="inlineStr">
        <is>
          <t>Not Run</t>
        </is>
      </c>
      <c r="O52" s="3" t="inlineStr"/>
      <c r="P52" s="12" t="inlineStr"/>
      <c r="Q52" s="3" t="inlineStr"/>
    </row>
    <row r="53">
      <c r="A53" s="13" t="inlineStr">
        <is>
          <t>TC-050</t>
        </is>
      </c>
      <c r="B53" s="13" t="inlineStr">
        <is>
          <t>VER-14</t>
        </is>
      </c>
      <c r="C53" s="13" t="inlineStr">
        <is>
          <t>Operations</t>
        </is>
      </c>
      <c r="D53" s="13" t="inlineStr">
        <is>
          <t>Ops surfaces require the operator token, not tenant RBAC</t>
        </is>
      </c>
      <c r="E53" s="13" t="inlineStr">
        <is>
          <t>Negative</t>
        </is>
      </c>
      <c r="F53" s="13" t="inlineStr">
        <is>
          <t>P0</t>
        </is>
      </c>
      <c r="G53" s="13" t="inlineStr">
        <is>
          <t>The third cold review found nine vendor-only surfaces reachable with an ordinary tenant admin session, including the design-partner list.</t>
        </is>
      </c>
      <c r="H53" s="13" t="inlineStr">
        <is>
          <t>An owner session for a tenant, and the QF_OPS_TOKEN value.</t>
        </is>
      </c>
      <c r="I53" s="14" t="n">
        <v>4</v>
      </c>
      <c r="J53" s="13" t="inlineStr">
        <is>
          <t>Vendor surfaces are vendor-only, and the public surface stays public without leaking.</t>
        </is>
      </c>
      <c r="K53" s="13" t="inlineStr">
        <is>
          <t>CODE + SECURITY</t>
        </is>
      </c>
      <c r="L53" s="13" t="inlineStr">
        <is>
          <t>tests/s11api.test.ts, review2.test.ts</t>
        </is>
      </c>
      <c r="M53" s="13" t="inlineStr"/>
      <c r="N53" s="13" t="inlineStr">
        <is>
          <t>Not Run</t>
        </is>
      </c>
      <c r="O53" s="13" t="inlineStr"/>
      <c r="P53" s="15" t="inlineStr"/>
      <c r="Q53" s="13" t="inlineStr"/>
    </row>
    <row r="54">
      <c r="A54" s="13" t="inlineStr">
        <is>
          <t>TC-051</t>
        </is>
      </c>
      <c r="B54" s="13" t="inlineStr">
        <is>
          <t>VER-12</t>
        </is>
      </c>
      <c r="C54" s="13" t="inlineStr">
        <is>
          <t>Boot safety</t>
        </is>
      </c>
      <c r="D54" s="13" t="inlineStr">
        <is>
          <t>Production refuses to boot in an unsafe configuration</t>
        </is>
      </c>
      <c r="E54" s="13" t="inlineStr">
        <is>
          <t>Negative</t>
        </is>
      </c>
      <c r="F54" s="13" t="inlineStr">
        <is>
          <t>P0</t>
        </is>
      </c>
      <c r="G54" s="13" t="inlineStr">
        <is>
          <t>A warning that tokens are volatile is read once and forgotten. A refusal cannot be.</t>
        </is>
      </c>
      <c r="H54" s="13" t="inlineStr">
        <is>
          <t>Ability to set NODE_ENV and the environment block.</t>
        </is>
      </c>
      <c r="I54" s="14" t="n">
        <v>4</v>
      </c>
      <c r="J54" s="13" t="inlineStr">
        <is>
          <t>The unsafe configurations are unreachable in production and only there.</t>
        </is>
      </c>
      <c r="K54" s="13" t="inlineStr">
        <is>
          <t>CODE</t>
        </is>
      </c>
      <c r="L54" s="13" t="inlineStr">
        <is>
          <t>tests/app.test.ts assertProductionSafe</t>
        </is>
      </c>
      <c r="M54" s="13" t="inlineStr"/>
      <c r="N54" s="13" t="inlineStr">
        <is>
          <t>Not Run</t>
        </is>
      </c>
      <c r="O54" s="13" t="inlineStr"/>
      <c r="P54" s="15" t="inlineStr"/>
      <c r="Q54" s="13" t="inlineStr"/>
    </row>
    <row r="55">
      <c r="A55" s="4" t="inlineStr">
        <is>
          <t>TC-052</t>
        </is>
      </c>
      <c r="B55" s="4" t="inlineStr">
        <is>
          <t>VER-15</t>
        </is>
      </c>
      <c r="C55" s="4" t="inlineStr">
        <is>
          <t>CPQ persistence</t>
        </is>
      </c>
      <c r="D55" s="4" t="inlineStr">
        <is>
          <t>CPQ authoring survives a restart and is portal-scoped</t>
        </is>
      </c>
      <c r="E55" s="4" t="inlineStr">
        <is>
          <t>Positive</t>
        </is>
      </c>
      <c r="F55" s="4" t="inlineStr">
        <is>
          <t>P0</t>
        </is>
      </c>
      <c r="G55" s="4" t="inlineStr">
        <is>
          <t>The engines could have been built pure and unwired. This test is the reason they were not.</t>
        </is>
      </c>
      <c r="H55" s="4" t="inlineStr">
        <is>
          <t>Admin sessions on two portals; app on Postgres.</t>
        </is>
      </c>
      <c r="I55" s="16" t="n">
        <v>5</v>
      </c>
      <c r="J55" s="4" t="inlineStr">
        <is>
          <t>The depth features are real tenant data, not process state.</t>
        </is>
      </c>
      <c r="K55" s="4" t="inlineStr">
        <is>
          <t>CODE + SECURITY</t>
        </is>
      </c>
      <c r="L55" s="4" t="inlineStr">
        <is>
          <t>tests/cpqApi.test.ts (runs on both backends)</t>
        </is>
      </c>
      <c r="M55" s="4" t="inlineStr"/>
      <c r="N55" s="4" t="inlineStr">
        <is>
          <t>Not Run</t>
        </is>
      </c>
      <c r="O55" s="4" t="inlineStr"/>
      <c r="P55" s="17" t="inlineStr"/>
      <c r="Q55" s="4" t="inlineStr"/>
    </row>
    <row r="56">
      <c r="A56" s="13" t="inlineStr">
        <is>
          <t>TC-053</t>
        </is>
      </c>
      <c r="B56" s="13" t="inlineStr">
        <is>
          <t>VER-13</t>
        </is>
      </c>
      <c r="C56" s="13" t="inlineStr">
        <is>
          <t>App card</t>
        </is>
      </c>
      <c r="D56" s="13" t="inlineStr">
        <is>
          <t>A sessionless card request is refused</t>
        </is>
      </c>
      <c r="E56" s="13" t="inlineStr">
        <is>
          <t>Negative</t>
        </is>
      </c>
      <c r="F56" s="13" t="inlineStr">
        <is>
          <t>P0</t>
        </is>
      </c>
      <c r="G56" s="13" t="inlineStr">
        <is>
          <t>The card is the most-hit route in the product; it must not be the one that forgets to authenticate.</t>
        </is>
      </c>
      <c r="H56" s="13" t="inlineStr">
        <is>
          <t>App running.</t>
        </is>
      </c>
      <c r="I56" s="14" t="n">
        <v>3</v>
      </c>
      <c r="J56" s="13" t="inlineStr">
        <is>
          <t>The portal is always taken from the signed session.</t>
        </is>
      </c>
      <c r="K56" s="13" t="inlineStr">
        <is>
          <t>CODE + SECURITY</t>
        </is>
      </c>
      <c r="L56" s="13" t="inlineStr">
        <is>
          <t>tests/s3api.test.ts PS14-05</t>
        </is>
      </c>
      <c r="M56" s="13" t="inlineStr"/>
      <c r="N56" s="13" t="inlineStr">
        <is>
          <t>Not Run</t>
        </is>
      </c>
      <c r="O56" s="13" t="inlineStr"/>
      <c r="P56" s="15" t="inlineStr"/>
      <c r="Q56" s="13" t="inlineStr"/>
    </row>
    <row r="57">
      <c r="A57" s="4" t="inlineStr">
        <is>
          <t>TC-054</t>
        </is>
      </c>
      <c r="B57" s="4" t="inlineStr">
        <is>
          <t>VER-16</t>
        </is>
      </c>
      <c r="C57" s="4" t="inlineStr">
        <is>
          <t>Quote</t>
        </is>
      </c>
      <c r="D57" s="4" t="inlineStr">
        <is>
          <t>Native and QuoteFlow quotes coexist by a stated rule</t>
        </is>
      </c>
      <c r="E57" s="4" t="inlineStr">
        <is>
          <t>Positive</t>
        </is>
      </c>
      <c r="F57" s="4" t="inlineStr">
        <is>
          <t>P1</t>
        </is>
      </c>
      <c r="G57" s="4" t="inlineStr">
        <is>
          <t>Two systems writing the same deal is how a customer loses a number they cared about.</t>
        </is>
      </c>
      <c r="H57" s="4" t="inlineStr">
        <is>
          <t>A deal with a native HubSpot quote present.</t>
        </is>
      </c>
      <c r="I57" s="16" t="n">
        <v>4</v>
      </c>
      <c r="J57" s="4" t="inlineStr">
        <is>
          <t>Coexistence follows a documented rule rather than last-writer-wins.</t>
        </is>
      </c>
      <c r="K57" s="4" t="inlineStr">
        <is>
          <t>CODE</t>
        </is>
      </c>
      <c r="L57" s="4" t="inlineStr">
        <is>
          <t>tests/quotes.test.ts OWNERSHIP</t>
        </is>
      </c>
      <c r="M57" s="4" t="inlineStr"/>
      <c r="N57" s="4" t="inlineStr">
        <is>
          <t>Not Run</t>
        </is>
      </c>
      <c r="O57" s="4" t="inlineStr"/>
      <c r="P57" s="17" t="inlineStr"/>
      <c r="Q57" s="4" t="inlineStr"/>
    </row>
    <row r="58">
      <c r="A58" s="13" t="inlineStr">
        <is>
          <t>TC-055</t>
        </is>
      </c>
      <c r="B58" s="13" t="inlineStr">
        <is>
          <t>VER-17</t>
        </is>
      </c>
      <c r="C58" s="13" t="inlineStr">
        <is>
          <t>Posture</t>
        </is>
      </c>
      <c r="D58" s="13" t="inlineStr">
        <is>
          <t>The trust posture cannot claim more than the code does</t>
        </is>
      </c>
      <c r="E58" s="13" t="inlineStr">
        <is>
          <t>Negative</t>
        </is>
      </c>
      <c r="F58" s="13" t="inlineStr">
        <is>
          <t>P1</t>
        </is>
      </c>
      <c r="G58" s="13" t="inlineStr">
        <is>
          <t>A security questionnaire answered with a claim the database contradicts is worse than no answer.</t>
        </is>
      </c>
      <c r="H58" s="13" t="inlineStr">
        <is>
          <t>A checkout of the repository.</t>
        </is>
      </c>
      <c r="I58" s="14" t="n">
        <v>5</v>
      </c>
      <c r="J58" s="13" t="inlineStr">
        <is>
          <t>The published posture is generated from, and constrained by, the code.</t>
        </is>
      </c>
      <c r="K58" s="13" t="inlineStr">
        <is>
          <t>CODE</t>
        </is>
      </c>
      <c r="L58" s="13" t="inlineStr">
        <is>
          <t>tests/operations.test.ts, review2.test.ts</t>
        </is>
      </c>
      <c r="M58" s="13" t="inlineStr"/>
      <c r="N58" s="13" t="inlineStr">
        <is>
          <t>Not Run</t>
        </is>
      </c>
      <c r="O58" s="13" t="inlineStr"/>
      <c r="P58" s="15" t="inlineStr"/>
      <c r="Q58" s="13" t="inlineStr"/>
    </row>
    <row r="59">
      <c r="A59" s="10" t="inlineStr">
        <is>
          <t>TC-056</t>
        </is>
      </c>
      <c r="B59" s="10" t="inlineStr">
        <is>
          <t>VER-18</t>
        </is>
      </c>
      <c r="C59" s="10" t="inlineStr">
        <is>
          <t>Live install (PENDING)</t>
        </is>
      </c>
      <c r="D59" s="10" t="inlineStr">
        <is>
          <t>The Projects app uploads and the card renders on a real deal</t>
        </is>
      </c>
      <c r="E59" s="10" t="inlineStr">
        <is>
          <t>Positive</t>
        </is>
      </c>
      <c r="F59" s="10" t="inlineStr">
        <is>
          <t>P0</t>
        </is>
      </c>
      <c r="G59" s="10" t="inlineStr">
        <is>
          <t>This is the test that turns the whole app-surface band from amber to green. It CANNOT be run today.</t>
        </is>
      </c>
      <c r="H59" s="10" t="inlineStr">
        <is>
          <t>BLOCKED: a HubSpot developer account (R-Q15) and a test portal.</t>
        </is>
      </c>
      <c r="I59" s="18" t="n">
        <v>5</v>
      </c>
      <c r="J59" s="10" t="inlineStr">
        <is>
          <t>LIVE evidence is obtained and claim CL-01 unblocks.</t>
        </is>
      </c>
      <c r="K59" s="10" t="inlineStr">
        <is>
          <t>LIVE (NOT YET OBTAINABLE)</t>
        </is>
      </c>
      <c r="L59" s="10" t="inlineStr">
        <is>
          <t>none — blocked on R-Q15</t>
        </is>
      </c>
      <c r="M59" s="10" t="inlineStr"/>
      <c r="N59" s="10" t="inlineStr">
        <is>
          <t>Blocked</t>
        </is>
      </c>
      <c r="O59" s="10" t="inlineStr"/>
      <c r="P59" s="19" t="inlineStr"/>
      <c r="Q59" s="10" t="inlineStr"/>
    </row>
    <row r="60">
      <c r="A60" s="10" t="inlineStr">
        <is>
          <t>TC-057</t>
        </is>
      </c>
      <c r="B60" s="10" t="inlineStr">
        <is>
          <t>VER-19</t>
        </is>
      </c>
      <c r="C60" s="10" t="inlineStr">
        <is>
          <t>Live billing (PENDING)</t>
        </is>
      </c>
      <c r="D60" s="10" t="inlineStr">
        <is>
          <t>A full subscription lifecycle runs in provider test mode</t>
        </is>
      </c>
      <c r="E60" s="10" t="inlineStr">
        <is>
          <t>Positive</t>
        </is>
      </c>
      <c r="F60" s="10" t="inlineStr">
        <is>
          <t>P0</t>
        </is>
      </c>
      <c r="G60" s="10" t="inlineStr">
        <is>
          <t>CODE evidence cannot catch a field name Stripe rejects. This test is what CONTRACT evidence means here.</t>
        </is>
      </c>
      <c r="H60" s="10" t="inlineStr">
        <is>
          <t>BLOCKED: Stripe test-mode keys and HubSpot monetisation access (R-Q10).</t>
        </is>
      </c>
      <c r="I60" s="18" t="n">
        <v>6</v>
      </c>
      <c r="J60" s="10" t="inlineStr">
        <is>
          <t>CONTRACT evidence is obtained and claim CL-09 unblocks.</t>
        </is>
      </c>
      <c r="K60" s="10" t="inlineStr">
        <is>
          <t>CONTRACT (NOT YET OBTAINABLE)</t>
        </is>
      </c>
      <c r="L60" s="10" t="inlineStr">
        <is>
          <t>none — blocked on R-Q10</t>
        </is>
      </c>
      <c r="M60" s="10" t="inlineStr"/>
      <c r="N60" s="10" t="inlineStr">
        <is>
          <t>Blocked</t>
        </is>
      </c>
      <c r="O60" s="10" t="inlineStr"/>
      <c r="P60" s="19" t="inlineStr"/>
      <c r="Q60" s="10" t="inlineStr"/>
    </row>
    <row r="61">
      <c r="A61" s="10" t="inlineStr">
        <is>
          <t>TC-058</t>
        </is>
      </c>
      <c r="B61" s="10" t="inlineStr">
        <is>
          <t>VER-20</t>
        </is>
      </c>
      <c r="C61" s="10" t="inlineStr">
        <is>
          <t>Load (PENDING)</t>
        </is>
      </c>
      <c r="D61" s="10" t="inlineStr">
        <is>
          <t>Two instances hold p95 under 500ms at a stated concurrency</t>
        </is>
      </c>
      <c r="E61" s="10" t="inlineStr">
        <is>
          <t>Positive</t>
        </is>
      </c>
      <c r="F61" s="10" t="inlineStr">
        <is>
          <t>P0</t>
        </is>
      </c>
      <c r="G61" s="10" t="inlineStr">
        <is>
          <t>A performance target that has not been measured is not a target.</t>
        </is>
      </c>
      <c r="H61" s="10" t="inlineStr">
        <is>
          <t>BLOCKED: a deployed environment with two instances behind a load balancer (R-Q17).</t>
        </is>
      </c>
      <c r="I61" s="18" t="n">
        <v>5</v>
      </c>
      <c r="J61" s="10" t="inlineStr">
        <is>
          <t>PERF evidence is obtained and claim CL-10 unblocks.</t>
        </is>
      </c>
      <c r="K61" s="10" t="inlineStr">
        <is>
          <t>PERF (NOT YET OBTAINABLE)</t>
        </is>
      </c>
      <c r="L61" s="10" t="inlineStr">
        <is>
          <t>none — blocked on R-Q17</t>
        </is>
      </c>
      <c r="M61" s="10" t="inlineStr"/>
      <c r="N61" s="10" t="inlineStr">
        <is>
          <t>Blocked</t>
        </is>
      </c>
      <c r="O61" s="10" t="inlineStr"/>
      <c r="P61" s="19" t="inlineStr"/>
      <c r="Q61" s="10" t="inlineStr"/>
    </row>
    <row r="62">
      <c r="A62" s="10" t="inlineStr">
        <is>
          <t>TC-059</t>
        </is>
      </c>
      <c r="B62" s="10" t="inlineStr">
        <is>
          <t>VER-21</t>
        </is>
      </c>
      <c r="C62" s="10" t="inlineStr">
        <is>
          <t>Restore drill (PENDING)</t>
        </is>
      </c>
      <c r="D62" s="10" t="inlineStr">
        <is>
          <t>A restore produces a measured RPO and RTO</t>
        </is>
      </c>
      <c r="E62" s="10" t="inlineStr">
        <is>
          <t>Positive</t>
        </is>
      </c>
      <c r="F62" s="10" t="inlineStr">
        <is>
          <t>P0</t>
        </is>
      </c>
      <c r="G62" s="10" t="inlineStr">
        <is>
          <t>"We have backups" is a hope with a cron job attached.</t>
        </is>
      </c>
      <c r="H62" s="10" t="inlineStr">
        <is>
          <t>BLOCKED: a managed Postgres with point-in-time recovery and an empty restore target (R-Q18).</t>
        </is>
      </c>
      <c r="I62" s="18" t="n">
        <v>5</v>
      </c>
      <c r="J62" s="10" t="inlineStr">
        <is>
          <t>OPS evidence is obtained and claim CL-11 unblocks.</t>
        </is>
      </c>
      <c r="K62" s="10" t="inlineStr">
        <is>
          <t>OPS (NOT YET OBTAINABLE)</t>
        </is>
      </c>
      <c r="L62" s="10" t="inlineStr">
        <is>
          <t>none — blocked on R-Q18</t>
        </is>
      </c>
      <c r="M62" s="10" t="inlineStr"/>
      <c r="N62" s="10" t="inlineStr">
        <is>
          <t>Blocked</t>
        </is>
      </c>
      <c r="O62" s="10" t="inlineStr"/>
      <c r="P62" s="19" t="inlineStr"/>
      <c r="Q62" s="10" t="inlineStr"/>
    </row>
    <row r="63">
      <c r="A63" s="10" t="inlineStr">
        <is>
          <t>TC-060</t>
        </is>
      </c>
      <c r="B63" s="10" t="inlineStr">
        <is>
          <t>VER-22</t>
        </is>
      </c>
      <c r="C63" s="10" t="inlineStr">
        <is>
          <t>Deploy (PENDING)</t>
        </is>
      </c>
      <c r="D63" s="10" t="inlineStr">
        <is>
          <t>A blue/green deploy drops zero requests</t>
        </is>
      </c>
      <c r="E63" s="10" t="inlineStr">
        <is>
          <t>Positive</t>
        </is>
      </c>
      <c r="F63" s="10" t="inlineStr">
        <is>
          <t>P1</t>
        </is>
      </c>
      <c r="G63" s="10" t="inlineStr">
        <is>
          <t>The lease that made this impossible is gone. The proof has still not been obtained.</t>
        </is>
      </c>
      <c r="H63" s="10" t="inlineStr">
        <is>
          <t>BLOCKED: a hosting target (follows R-Q17).</t>
        </is>
      </c>
      <c r="I63" s="18" t="n">
        <v>4</v>
      </c>
      <c r="J63" s="10" t="inlineStr">
        <is>
          <t>OPS evidence is obtained and claim CL-12 unblocks.</t>
        </is>
      </c>
      <c r="K63" s="10" t="inlineStr">
        <is>
          <t>OPS (NOT YET OBTAINABLE)</t>
        </is>
      </c>
      <c r="L63" s="10" t="inlineStr">
        <is>
          <t>none — follows R-Q17</t>
        </is>
      </c>
      <c r="M63" s="10" t="inlineStr"/>
      <c r="N63" s="10" t="inlineStr">
        <is>
          <t>Blocked</t>
        </is>
      </c>
      <c r="O63" s="10" t="inlineStr"/>
      <c r="P63" s="19" t="inlineStr"/>
      <c r="Q63" s="10" t="inlineStr"/>
    </row>
    <row r="64">
      <c r="A64" s="3" t="inlineStr">
        <is>
          <t>TC-061</t>
        </is>
      </c>
      <c r="B64" s="3" t="inlineStr">
        <is>
          <t>VER-03</t>
        </is>
      </c>
      <c r="C64" s="3" t="inlineStr">
        <is>
          <t>Price book</t>
        </is>
      </c>
      <c r="D64" s="3" t="inlineStr">
        <is>
          <t>Pause and resume loses no data</t>
        </is>
      </c>
      <c r="E64" s="3" t="inlineStr">
        <is>
          <t>Positive</t>
        </is>
      </c>
      <c r="F64" s="3" t="inlineStr">
        <is>
          <t>P1</t>
        </is>
      </c>
      <c r="G64" s="3" t="inlineStr">
        <is>
          <t>ST-008 promised a customer could pause the app without losing anything. A pause that quietly drops data is worse than no pause.</t>
        </is>
      </c>
      <c r="H64" s="3" t="inlineStr">
        <is>
          <t>An admin session and a populated portal.</t>
        </is>
      </c>
      <c r="I64" s="11" t="n">
        <v>6</v>
      </c>
      <c r="J64" s="3" t="inlineStr">
        <is>
          <t>Pause gates writes, preserves reads and loses nothing, per feature or whole-app.</t>
        </is>
      </c>
      <c r="K64" s="3" t="inlineStr">
        <is>
          <t>CODE</t>
        </is>
      </c>
      <c r="L64" s="3" t="inlineStr">
        <is>
          <t>tests/s3api.test.ts ST-008</t>
        </is>
      </c>
      <c r="M64" s="3" t="inlineStr"/>
      <c r="N64" s="3" t="inlineStr">
        <is>
          <t>Not Run</t>
        </is>
      </c>
      <c r="O64" s="3" t="inlineStr"/>
      <c r="P64" s="12" t="inlineStr"/>
      <c r="Q64" s="3" t="inlineStr"/>
    </row>
    <row r="65">
      <c r="A65" s="13" t="inlineStr">
        <is>
          <t>TC-062</t>
        </is>
      </c>
      <c r="B65" s="13" t="inlineStr">
        <is>
          <t>VER-03</t>
        </is>
      </c>
      <c r="C65" s="13" t="inlineStr">
        <is>
          <t>Import</t>
        </is>
      </c>
      <c r="D65" s="13" t="inlineStr">
        <is>
          <t>A CSV import reports its errors instead of failing silently</t>
        </is>
      </c>
      <c r="E65" s="13" t="inlineStr">
        <is>
          <t>Negative</t>
        </is>
      </c>
      <c r="F65" s="13" t="inlineStr">
        <is>
          <t>P1</t>
        </is>
      </c>
      <c r="G65" s="13" t="inlineStr">
        <is>
          <t>An importer that swallows bad rows produces a catalogue nobody can trust.</t>
        </is>
      </c>
      <c r="H65" s="13" t="inlineStr">
        <is>
          <t>An admin session and a price book.</t>
        </is>
      </c>
      <c r="I65" s="14" t="n">
        <v>5</v>
      </c>
      <c r="J65" s="13" t="inlineStr">
        <is>
          <t>Bad rows are reported, good rows are applied, and neither is silent.</t>
        </is>
      </c>
      <c r="K65" s="13" t="inlineStr">
        <is>
          <t>CODE</t>
        </is>
      </c>
      <c r="L65" s="13" t="inlineStr">
        <is>
          <t>tests/s3api.test.ts ST-009</t>
        </is>
      </c>
      <c r="M65" s="13" t="inlineStr"/>
      <c r="N65" s="13" t="inlineStr">
        <is>
          <t>Not Run</t>
        </is>
      </c>
      <c r="O65" s="13" t="inlineStr"/>
      <c r="P65" s="15" t="inlineStr"/>
      <c r="Q65" s="13" t="inlineStr"/>
    </row>
    <row r="66">
      <c r="A66" s="3" t="inlineStr">
        <is>
          <t>TC-063</t>
        </is>
      </c>
      <c r="B66" s="3" t="inlineStr">
        <is>
          <t>VER-04</t>
        </is>
      </c>
      <c r="C66" s="3" t="inlineStr">
        <is>
          <t>Approvals (chain)</t>
        </is>
      </c>
      <c r="D66" s="3" t="inlineStr">
        <is>
          <t>A discounted quote routes for approval and notifies the approver</t>
        </is>
      </c>
      <c r="E66" s="3" t="inlineStr">
        <is>
          <t>Positive</t>
        </is>
      </c>
      <c r="F66" s="3" t="inlineStr">
        <is>
          <t>P0</t>
        </is>
      </c>
      <c r="G66" s="3" t="inlineStr">
        <is>
          <t>This is the S4 loop that existed before the deal desk, and it still ships — a regression here breaks portals using the simple chain.</t>
        </is>
      </c>
      <c r="H66" s="3" t="inlineStr">
        <is>
          <t>Sessions for owner, admin and member; a default chain installed.</t>
        </is>
      </c>
      <c r="I66" s="11" t="n">
        <v>6</v>
      </c>
      <c r="J66" s="3" t="inlineStr">
        <is>
          <t>The chain triggers, notifies both parties, and auto-approves what it should.</t>
        </is>
      </c>
      <c r="K66" s="3" t="inlineStr">
        <is>
          <t>CODE</t>
        </is>
      </c>
      <c r="L66" s="3" t="inlineStr">
        <is>
          <t>tests/s4api.test.ts ST-011..014</t>
        </is>
      </c>
      <c r="M66" s="3" t="inlineStr"/>
      <c r="N66" s="3" t="inlineStr">
        <is>
          <t>Not Run</t>
        </is>
      </c>
      <c r="O66" s="3" t="inlineStr"/>
      <c r="P66" s="12" t="inlineStr"/>
      <c r="Q66" s="3" t="inlineStr"/>
    </row>
    <row r="67">
      <c r="A67" s="13" t="inlineStr">
        <is>
          <t>TC-064</t>
        </is>
      </c>
      <c r="B67" s="13" t="inlineStr">
        <is>
          <t>VER-04</t>
        </is>
      </c>
      <c r="C67" s="13" t="inlineStr">
        <is>
          <t>Approvals (chain)</t>
        </is>
      </c>
      <c r="D67" s="13" t="inlineStr">
        <is>
          <t>An in-flight request is immune to a chain edit</t>
        </is>
      </c>
      <c r="E67" s="13" t="inlineStr">
        <is>
          <t>Negative</t>
        </is>
      </c>
      <c r="F67" s="13" t="inlineStr">
        <is>
          <t>P1</t>
        </is>
      </c>
      <c r="G67" s="13" t="inlineStr">
        <is>
          <t>DQ3: a request snapshots its chain at creation. Editing a chain must not retroactively change who had to approve a live request.</t>
        </is>
      </c>
      <c r="H67" s="13" t="inlineStr">
        <is>
          <t>A pending approval request from TC-063.</t>
        </is>
      </c>
      <c r="I67" s="14" t="n">
        <v>4</v>
      </c>
      <c r="J67" s="13" t="inlineStr">
        <is>
          <t>Changing policy affects future requests, never live ones.</t>
        </is>
      </c>
      <c r="K67" s="13" t="inlineStr">
        <is>
          <t>CODE</t>
        </is>
      </c>
      <c r="L67" s="13" t="inlineStr">
        <is>
          <t>tests/s4.test.ts DQ3</t>
        </is>
      </c>
      <c r="M67" s="13" t="inlineStr"/>
      <c r="N67" s="13" t="inlineStr">
        <is>
          <t>Not Run</t>
        </is>
      </c>
      <c r="O67" s="13" t="inlineStr"/>
      <c r="P67" s="15" t="inlineStr"/>
      <c r="Q67" s="13" t="inlineStr"/>
    </row>
    <row r="68">
      <c r="A68" s="3" t="inlineStr">
        <is>
          <t>TC-065</t>
        </is>
      </c>
      <c r="B68" s="3" t="inlineStr">
        <is>
          <t>VER-05</t>
        </is>
      </c>
      <c r="C68" s="3" t="inlineStr">
        <is>
          <t>E-signature</t>
        </is>
      </c>
      <c r="D68" s="3" t="inlineStr">
        <is>
          <t>An envelope is sent, signed, and the count reflects it</t>
        </is>
      </c>
      <c r="E68" s="3" t="inlineStr">
        <is>
          <t>Positive</t>
        </is>
      </c>
      <c r="F68" s="3" t="inlineStr">
        <is>
          <t>P1</t>
        </is>
      </c>
      <c r="G68" s="3" t="inlineStr">
        <is>
          <t>The basic signature loop from S5, which the PS27 evidence work sits on top of.</t>
        </is>
      </c>
      <c r="H68" s="3" t="inlineStr">
        <is>
          <t>A member session and a priced quote.</t>
        </is>
      </c>
      <c r="I68" s="11" t="n">
        <v>5</v>
      </c>
      <c r="J68" s="3" t="inlineStr">
        <is>
          <t>The signature lifecycle advances exactly once and is reflected on the card.</t>
        </is>
      </c>
      <c r="K68" s="3" t="inlineStr">
        <is>
          <t>CODE</t>
        </is>
      </c>
      <c r="L68" s="3" t="inlineStr">
        <is>
          <t>tests/s5api.test.ts ST-025</t>
        </is>
      </c>
      <c r="M68" s="3" t="inlineStr"/>
      <c r="N68" s="3" t="inlineStr">
        <is>
          <t>Not Run</t>
        </is>
      </c>
      <c r="O68" s="3" t="inlineStr"/>
      <c r="P68" s="12" t="inlineStr"/>
      <c r="Q68" s="3" t="inlineStr"/>
    </row>
    <row r="69">
      <c r="A69" s="13" t="inlineStr">
        <is>
          <t>TC-066</t>
        </is>
      </c>
      <c r="B69" s="13" t="inlineStr">
        <is>
          <t>VER-05</t>
        </is>
      </c>
      <c r="C69" s="13" t="inlineStr">
        <is>
          <t>E-signature</t>
        </is>
      </c>
      <c r="D69" s="13" t="inlineStr">
        <is>
          <t>A declined or voided envelope cannot be signed</t>
        </is>
      </c>
      <c r="E69" s="13" t="inlineStr">
        <is>
          <t>Negative</t>
        </is>
      </c>
      <c r="F69" s="13" t="inlineStr">
        <is>
          <t>P1</t>
        </is>
      </c>
      <c r="G69" s="13" t="inlineStr">
        <is>
          <t>State machines that allow a backwards transition produce signed documents nobody agreed to.</t>
        </is>
      </c>
      <c r="H69" s="13" t="inlineStr">
        <is>
          <t>An envelope in flight.</t>
        </is>
      </c>
      <c r="I69" s="14" t="n">
        <v>4</v>
      </c>
      <c r="J69" s="13" t="inlineStr">
        <is>
          <t>No terminal state can be reversed by a signer.</t>
        </is>
      </c>
      <c r="K69" s="13" t="inlineStr">
        <is>
          <t>CODE</t>
        </is>
      </c>
      <c r="L69" s="13" t="inlineStr">
        <is>
          <t>tests/s5.test.ts, review2.test.ts</t>
        </is>
      </c>
      <c r="M69" s="13" t="inlineStr"/>
      <c r="N69" s="13" t="inlineStr">
        <is>
          <t>Not Run</t>
        </is>
      </c>
      <c r="O69" s="13" t="inlineStr"/>
      <c r="P69" s="15" t="inlineStr"/>
      <c r="Q69" s="13" t="inlineStr"/>
    </row>
    <row r="70">
      <c r="A70" s="13" t="inlineStr">
        <is>
          <t>TC-067</t>
        </is>
      </c>
      <c r="B70" s="13" t="inlineStr">
        <is>
          <t>VER-06</t>
        </is>
      </c>
      <c r="C70" s="13" t="inlineStr">
        <is>
          <t>Billing (trial)</t>
        </is>
      </c>
      <c r="D70" s="13" t="inlineStr">
        <is>
          <t>The trial expires and converts to read-only</t>
        </is>
      </c>
      <c r="E70" s="13" t="inlineStr">
        <is>
          <t>Negative</t>
        </is>
      </c>
      <c r="F70" s="13" t="inlineStr">
        <is>
          <t>P0</t>
        </is>
      </c>
      <c r="G70" s="13" t="inlineStr">
        <is>
          <t>The first cold review found an expired trial granting perpetual free use. It is worth re-checking every release.</t>
        </is>
      </c>
      <c r="H70" s="13" t="inlineStr">
        <is>
          <t>A freshly installed portal on trial.</t>
        </is>
      </c>
      <c r="I70" s="14" t="n">
        <v>5</v>
      </c>
      <c r="J70" s="13" t="inlineStr">
        <is>
          <t>An expired trial is genuinely read-only, not decorative.</t>
        </is>
      </c>
      <c r="K70" s="13" t="inlineStr">
        <is>
          <t>CODE</t>
        </is>
      </c>
      <c r="L70" s="13" t="inlineStr">
        <is>
          <t>tests/review1.test.ts F-Q04</t>
        </is>
      </c>
      <c r="M70" s="13" t="inlineStr"/>
      <c r="N70" s="13" t="inlineStr">
        <is>
          <t>Not Run</t>
        </is>
      </c>
      <c r="O70" s="13" t="inlineStr"/>
      <c r="P70" s="15" t="inlineStr"/>
      <c r="Q70" s="13" t="inlineStr"/>
    </row>
    <row r="71">
      <c r="A71" s="13" t="inlineStr">
        <is>
          <t>TC-068</t>
        </is>
      </c>
      <c r="B71" s="13" t="inlineStr">
        <is>
          <t>VER-06</t>
        </is>
      </c>
      <c r="C71" s="13" t="inlineStr">
        <is>
          <t>Deal sync</t>
        </is>
      </c>
      <c r="D71" s="13" t="inlineStr">
        <is>
          <t>Pushing the same quote twice does not duplicate line items</t>
        </is>
      </c>
      <c r="E71" s="13" t="inlineStr">
        <is>
          <t>Negative</t>
        </is>
      </c>
      <c r="F71" s="13" t="inlineStr">
        <is>
          <t>P0</t>
        </is>
      </c>
      <c r="G71" s="13" t="inlineStr">
        <is>
          <t>Idempotency is what stops a retry turning one quote into two sets of line items on a customer’s deal.</t>
        </is>
      </c>
      <c r="H71" s="13" t="inlineStr">
        <is>
          <t>Sync configured; a priced quote and a deal id.</t>
        </is>
      </c>
      <c r="I71" s="14" t="n">
        <v>5</v>
      </c>
      <c r="J71" s="13" t="inlineStr">
        <is>
          <t>Every skip is deliberate and explained; retries are safe.</t>
        </is>
      </c>
      <c r="K71" s="13" t="inlineStr">
        <is>
          <t>CODE</t>
        </is>
      </c>
      <c r="L71" s="13" t="inlineStr">
        <is>
          <t>tests/s8api.test.ts ST-044</t>
        </is>
      </c>
      <c r="M71" s="13" t="inlineStr"/>
      <c r="N71" s="13" t="inlineStr">
        <is>
          <t>Not Run</t>
        </is>
      </c>
      <c r="O71" s="13" t="inlineStr"/>
      <c r="P71" s="15" t="inlineStr"/>
      <c r="Q71" s="13" t="inlineStr"/>
    </row>
    <row r="72">
      <c r="A72" s="13" t="inlineStr">
        <is>
          <t>TC-069</t>
        </is>
      </c>
      <c r="B72" s="13" t="inlineStr">
        <is>
          <t>VER-07</t>
        </is>
      </c>
      <c r="C72" s="13" t="inlineStr">
        <is>
          <t>Launch readiness</t>
        </is>
      </c>
      <c r="D72" s="13" t="inlineStr">
        <is>
          <t>The launch preflight reads live state, not constants</t>
        </is>
      </c>
      <c r="E72" s="13" t="inlineStr">
        <is>
          <t>Negative</t>
        </is>
      </c>
      <c r="F72" s="13" t="inlineStr">
        <is>
          <t>P1</t>
        </is>
      </c>
      <c r="G72" s="13" t="inlineStr">
        <is>
          <t>The third cold review found the status page and launch preflight wired to hardcoded values — a green light that could never turn red.</t>
        </is>
      </c>
      <c r="H72" s="13" t="inlineStr">
        <is>
          <t>Ops token; a portal with known state.</t>
        </is>
      </c>
      <c r="I72" s="14" t="n">
        <v>4</v>
      </c>
      <c r="J72" s="13" t="inlineStr">
        <is>
          <t>Both surfaces are derived from live state and can report bad news.</t>
        </is>
      </c>
      <c r="K72" s="13" t="inlineStr">
        <is>
          <t>CODE</t>
        </is>
      </c>
      <c r="L72" s="13" t="inlineStr">
        <is>
          <t>tests/s11api.test.ts, review2.test.ts</t>
        </is>
      </c>
      <c r="M72" s="13" t="inlineStr"/>
      <c r="N72" s="13" t="inlineStr">
        <is>
          <t>Not Run</t>
        </is>
      </c>
      <c r="O72" s="13" t="inlineStr"/>
      <c r="P72" s="15" t="inlineStr"/>
      <c r="Q72" s="13" t="inlineStr"/>
    </row>
    <row r="73">
      <c r="A73" s="4" t="inlineStr">
        <is>
          <t>TC-070</t>
        </is>
      </c>
      <c r="B73" s="4" t="inlineStr">
        <is>
          <t>VER-10</t>
        </is>
      </c>
      <c r="C73" s="4" t="inlineStr">
        <is>
          <t>Store contract</t>
        </is>
      </c>
      <c r="D73" s="4" t="inlineStr">
        <is>
          <t>Both backends behave identically</t>
        </is>
      </c>
      <c r="E73" s="4" t="inlineStr">
        <is>
          <t>Positive</t>
        </is>
      </c>
      <c r="F73" s="4" t="inlineStr">
        <is>
          <t>P0</t>
        </is>
      </c>
      <c r="G73" s="4" t="inlineStr">
        <is>
          <t>A memory backend that has drifted from the database is a development stand-in that lies — and that drift is what the async cascade found four times.</t>
        </is>
      </c>
      <c r="H73" s="4" t="inlineStr">
        <is>
          <t>Ability to run the app with and without DATABASE_URL.</t>
        </is>
      </c>
      <c r="I73" s="16" t="n">
        <v>5</v>
      </c>
      <c r="J73" s="4" t="inlineStr">
        <is>
          <t>The two backends agree, so development observations transfer to production.</t>
        </is>
      </c>
      <c r="K73" s="4" t="inlineStr">
        <is>
          <t>CODE</t>
        </is>
      </c>
      <c r="L73" s="4" t="inlineStr">
        <is>
          <t>tests/storeContract.test.ts, storeContract2.test.ts</t>
        </is>
      </c>
      <c r="M73" s="4" t="inlineStr"/>
      <c r="N73" s="4" t="inlineStr">
        <is>
          <t>Not Run</t>
        </is>
      </c>
      <c r="O73" s="4" t="inlineStr"/>
      <c r="P73" s="17" t="inlineStr"/>
      <c r="Q73" s="4" t="inlineStr"/>
    </row>
    <row r="74">
      <c r="A74" s="13" t="inlineStr">
        <is>
          <t>TC-071</t>
        </is>
      </c>
      <c r="B74" s="13" t="inlineStr">
        <is>
          <t>VER-08</t>
        </is>
      </c>
      <c r="C74" s="13" t="inlineStr">
        <is>
          <t>Regression (cold review 1)</t>
        </is>
      </c>
      <c r="D74" s="13" t="inlineStr">
        <is>
          <t>The four critical defects of pass 1 stay fixed</t>
        </is>
      </c>
      <c r="E74" s="13" t="inlineStr">
        <is>
          <t>Negative</t>
        </is>
      </c>
      <c r="F74" s="13" t="inlineStr">
        <is>
          <t>P0</t>
        </is>
      </c>
      <c r="G74" s="13" t="inlineStr">
        <is>
          <t>Every one of these shipped at 100% coverage. They are the standing proof that a coverage number is a regression floor and nothing more.</t>
        </is>
      </c>
      <c r="H74" s="13" t="inlineStr">
        <is>
          <t>A populated portal and an admin session.</t>
        </is>
      </c>
      <c r="I74" s="14" t="n">
        <v>4</v>
      </c>
      <c r="J74" s="13" t="inlineStr">
        <is>
          <t>None of the four has regressed.</t>
        </is>
      </c>
      <c r="K74" s="13" t="inlineStr">
        <is>
          <t>CODE + SECURITY</t>
        </is>
      </c>
      <c r="L74" s="13" t="inlineStr">
        <is>
          <t>tests/review1.test.ts</t>
        </is>
      </c>
      <c r="M74" s="13" t="inlineStr"/>
      <c r="N74" s="13" t="inlineStr">
        <is>
          <t>Not Run</t>
        </is>
      </c>
      <c r="O74" s="13" t="inlineStr"/>
      <c r="P74" s="15" t="inlineStr"/>
      <c r="Q74" s="13" t="inlineStr"/>
    </row>
    <row r="75">
      <c r="A75" s="13" t="inlineStr">
        <is>
          <t>TC-072</t>
        </is>
      </c>
      <c r="B75" s="13" t="inlineStr">
        <is>
          <t>VER-09</t>
        </is>
      </c>
      <c r="C75" s="13" t="inlineStr">
        <is>
          <t>Regression (cold reviews 2 and 3)</t>
        </is>
      </c>
      <c r="D75" s="13" t="inlineStr">
        <is>
          <t>Published controls still have code behind them</t>
        </is>
      </c>
      <c r="E75" s="13" t="inlineStr">
        <is>
          <t>Negative</t>
        </is>
      </c>
      <c r="F75" s="13" t="inlineStr">
        <is>
          <t>P0</t>
        </is>
      </c>
      <c r="G75" s="13" t="inlineStr">
        <is>
          <t>Passes 2 and 3 looked for the opposite failure to pass 1: claims with nothing implementing them. Nine existed.</t>
        </is>
      </c>
      <c r="H75" s="13" t="inlineStr">
        <is>
          <t>Ops token; an admin session; a portal with data past its retention age.</t>
        </is>
      </c>
      <c r="I75" s="14" t="n">
        <v>5</v>
      </c>
      <c r="J75" s="13" t="inlineStr">
        <is>
          <t>Every control the documentation claims is wired, reachable and effective.</t>
        </is>
      </c>
      <c r="K75" s="13" t="inlineStr">
        <is>
          <t>CODE + SECURITY</t>
        </is>
      </c>
      <c r="L75" s="13" t="inlineStr">
        <is>
          <t>tests/review2.test.ts</t>
        </is>
      </c>
      <c r="M75" s="13" t="inlineStr"/>
      <c r="N75" s="13" t="inlineStr">
        <is>
          <t>Not Run</t>
        </is>
      </c>
      <c r="O75" s="13" t="inlineStr"/>
      <c r="P75" s="15" t="inlineStr"/>
      <c r="Q75" s="13" t="inlineStr"/>
    </row>
  </sheetData>
  <autoFilter ref="A3:Q3"/>
  <mergeCells count="2">
    <mergeCell ref="A2:Q2"/>
    <mergeCell ref="A1:Q1"/>
  </mergeCells>
  <dataValidations count="1">
    <dataValidation sqref="N4:N75" showDropDown="0" showInputMessage="0" showErrorMessage="0" allowBlank="1" errorTitle="Invalid status" error="Use Pass, Fail, Blocked or Not Run."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J334"/>
  <sheetViews>
    <sheetView workbookViewId="0">
      <pane ySplit="3" topLeftCell="A4" activePane="bottomLeft" state="frozen"/>
      <selection pane="bottomLeft" activeCell="A1" sqref="A1"/>
    </sheetView>
  </sheetViews>
  <sheetFormatPr baseColWidth="8" defaultRowHeight="15"/>
  <cols>
    <col width="10" customWidth="1" min="1" max="1"/>
    <col width="11" customWidth="1" min="2" max="2"/>
    <col width="46" customWidth="1" min="3" max="3"/>
    <col width="10" customWidth="1" min="4" max="4"/>
    <col width="8" customWidth="1" min="5" max="5"/>
    <col width="92" customWidth="1" min="6" max="6"/>
    <col width="92" customWidth="1" min="7" max="7"/>
    <col width="40" customWidth="1" min="8" max="8"/>
    <col width="11" customWidth="1" min="9" max="9"/>
    <col width="30" customWidth="1" min="10" max="10"/>
  </cols>
  <sheetData>
    <row r="1" ht="24" customHeight="1">
      <c r="A1" s="1" t="inlineStr">
        <is>
          <t>TEST STEPS — step by step, with the expected result at each step</t>
        </is>
      </c>
    </row>
    <row r="2" ht="42" customHeight="1">
      <c r="A2" s="2" t="inlineStr">
        <is>
          <t>Execute the Action column exactly as written and compare against Expected. Record Pass/Fail per STEP: a failure pinned to a step is a defect report; a failure pinned to a whole case is a conversation.</t>
        </is>
      </c>
    </row>
    <row r="3" ht="30" customHeight="1">
      <c r="A3" s="7" t="inlineStr">
        <is>
          <t>Test ID</t>
        </is>
      </c>
      <c r="B3" s="7" t="inlineStr">
        <is>
          <t>Version ID</t>
        </is>
      </c>
      <c r="C3" s="7" t="inlineStr">
        <is>
          <t>Test case name</t>
        </is>
      </c>
      <c r="D3" s="7" t="inlineStr">
        <is>
          <t>Type</t>
        </is>
      </c>
      <c r="E3" s="7" t="inlineStr">
        <is>
          <t>Step No</t>
        </is>
      </c>
      <c r="F3" s="7" t="inlineStr">
        <is>
          <t>Action (do exactly this)</t>
        </is>
      </c>
      <c r="G3" s="7" t="inlineStr">
        <is>
          <t>Expected result</t>
        </is>
      </c>
      <c r="H3" s="7" t="inlineStr">
        <is>
          <t>Actual result</t>
        </is>
      </c>
      <c r="I3" s="7" t="inlineStr">
        <is>
          <t>Pass / Fail</t>
        </is>
      </c>
      <c r="J3" s="7" t="inlineStr">
        <is>
          <t>Notes</t>
        </is>
      </c>
    </row>
    <row r="4">
      <c r="A4" s="3" t="inlineStr">
        <is>
          <t>TC-001</t>
        </is>
      </c>
      <c r="B4" s="3" t="inlineStr">
        <is>
          <t>VER-01</t>
        </is>
      </c>
      <c r="C4" s="3" t="inlineStr">
        <is>
          <t>Install redirects to HubSpot with a signed state carrying the source</t>
        </is>
      </c>
      <c r="D4" s="3" t="inlineStr">
        <is>
          <t>Positive</t>
        </is>
      </c>
      <c r="E4" s="11" t="n">
        <v>1</v>
      </c>
      <c r="F4" s="3" t="inlineStr">
        <is>
          <t>Open BASE_URL/install?source=listing in a browser (or curl -i).</t>
        </is>
      </c>
      <c r="G4" s="3" t="inlineStr">
        <is>
          <t>HTTP 302.</t>
        </is>
      </c>
      <c r="H4" s="3" t="inlineStr"/>
      <c r="I4" s="3" t="inlineStr"/>
      <c r="J4" s="3" t="inlineStr"/>
    </row>
    <row r="5">
      <c r="A5" s="4" t="inlineStr">
        <is>
          <t>TC-001</t>
        </is>
      </c>
      <c r="B5" s="4" t="inlineStr">
        <is>
          <t>VER-01</t>
        </is>
      </c>
      <c r="C5" s="4" t="inlineStr">
        <is>
          <t>Install redirects to HubSpot with a signed state carrying the source</t>
        </is>
      </c>
      <c r="D5" s="4" t="inlineStr">
        <is>
          <t>Positive</t>
        </is>
      </c>
      <c r="E5" s="16" t="n">
        <v>2</v>
      </c>
      <c r="F5" s="4" t="inlineStr">
        <is>
          <t>Read the Location header.</t>
        </is>
      </c>
      <c r="G5" s="4" t="inlineStr">
        <is>
          <t>It points at HubSpot’s authorize URL and carries client_id, redirect_uri, scope and a state parameter.</t>
        </is>
      </c>
      <c r="H5" s="4" t="inlineStr"/>
      <c r="I5" s="4" t="inlineStr"/>
      <c r="J5" s="4" t="inlineStr"/>
    </row>
    <row r="6">
      <c r="A6" s="3" t="inlineStr">
        <is>
          <t>TC-001</t>
        </is>
      </c>
      <c r="B6" s="3" t="inlineStr">
        <is>
          <t>VER-01</t>
        </is>
      </c>
      <c r="C6" s="3" t="inlineStr">
        <is>
          <t>Install redirects to HubSpot with a signed state carrying the source</t>
        </is>
      </c>
      <c r="D6" s="3" t="inlineStr">
        <is>
          <t>Positive</t>
        </is>
      </c>
      <c r="E6" s="11" t="n">
        <v>3</v>
      </c>
      <c r="F6" s="3" t="inlineStr">
        <is>
          <t>Inspect the state parameter.</t>
        </is>
      </c>
      <c r="G6" s="3" t="inlineStr">
        <is>
          <t>It is not the bare word "listing" — it is signed, so the source cannot be edited by hand.</t>
        </is>
      </c>
      <c r="H6" s="3" t="inlineStr"/>
      <c r="I6" s="3" t="inlineStr"/>
      <c r="J6" s="3" t="inlineStr"/>
    </row>
    <row r="7">
      <c r="A7" s="4" t="inlineStr">
        <is>
          <t>TC-001</t>
        </is>
      </c>
      <c r="B7" s="4" t="inlineStr">
        <is>
          <t>VER-01</t>
        </is>
      </c>
      <c r="C7" s="4" t="inlineStr">
        <is>
          <t>Install redirects to HubSpot with a signed state carrying the source</t>
        </is>
      </c>
      <c r="D7" s="4" t="inlineStr">
        <is>
          <t>Positive</t>
        </is>
      </c>
      <c r="E7" s="16" t="n">
        <v>4</v>
      </c>
      <c r="F7" s="4" t="inlineStr">
        <is>
          <t>Repeat with ?source=search and compare.</t>
        </is>
      </c>
      <c r="G7" s="4" t="inlineStr">
        <is>
          <t>A different state value; both are accepted.</t>
        </is>
      </c>
      <c r="H7" s="4" t="inlineStr"/>
      <c r="I7" s="4" t="inlineStr"/>
      <c r="J7" s="4" t="inlineStr"/>
    </row>
    <row r="8">
      <c r="A8" s="13" t="inlineStr">
        <is>
          <t>TC-002</t>
        </is>
      </c>
      <c r="B8" s="13" t="inlineStr">
        <is>
          <t>VER-01</t>
        </is>
      </c>
      <c r="C8" s="13" t="inlineStr">
        <is>
          <t>Callback with a forged state is refused</t>
        </is>
      </c>
      <c r="D8" s="13" t="inlineStr">
        <is>
          <t>Negative</t>
        </is>
      </c>
      <c r="E8" s="14" t="n">
        <v>1</v>
      </c>
      <c r="F8" s="13" t="inlineStr">
        <is>
          <t>Call BASE_URL/oauth/callback?code=abc&amp;state=listing (an unsigned state).</t>
        </is>
      </c>
      <c r="G8" s="13" t="inlineStr">
        <is>
          <t>The request is refused; no account is created.</t>
        </is>
      </c>
      <c r="H8" s="13" t="inlineStr"/>
      <c r="I8" s="13" t="inlineStr"/>
      <c r="J8" s="13" t="inlineStr"/>
    </row>
    <row r="9">
      <c r="A9" s="13" t="inlineStr">
        <is>
          <t>TC-002</t>
        </is>
      </c>
      <c r="B9" s="13" t="inlineStr">
        <is>
          <t>VER-01</t>
        </is>
      </c>
      <c r="C9" s="13" t="inlineStr">
        <is>
          <t>Callback with a forged state is refused</t>
        </is>
      </c>
      <c r="D9" s="13" t="inlineStr">
        <is>
          <t>Negative</t>
        </is>
      </c>
      <c r="E9" s="14" t="n">
        <v>2</v>
      </c>
      <c r="F9" s="13" t="inlineStr">
        <is>
          <t>Call the same URL with state omitted entirely.</t>
        </is>
      </c>
      <c r="G9" s="13" t="inlineStr">
        <is>
          <t>Refused.</t>
        </is>
      </c>
      <c r="H9" s="13" t="inlineStr"/>
      <c r="I9" s="13" t="inlineStr"/>
      <c r="J9" s="13" t="inlineStr"/>
    </row>
    <row r="10">
      <c r="A10" s="13" t="inlineStr">
        <is>
          <t>TC-002</t>
        </is>
      </c>
      <c r="B10" s="13" t="inlineStr">
        <is>
          <t>VER-01</t>
        </is>
      </c>
      <c r="C10" s="13" t="inlineStr">
        <is>
          <t>Callback with a forged state is refused</t>
        </is>
      </c>
      <c r="D10" s="13" t="inlineStr">
        <is>
          <t>Negative</t>
        </is>
      </c>
      <c r="E10" s="14" t="n">
        <v>3</v>
      </c>
      <c r="F10" s="13" t="inlineStr">
        <is>
          <t>Take a valid state from TC-001, change one character, and call back with it.</t>
        </is>
      </c>
      <c r="G10" s="13" t="inlineStr">
        <is>
          <t>Refused — the signature no longer verifies.</t>
        </is>
      </c>
      <c r="H10" s="13" t="inlineStr"/>
      <c r="I10" s="13" t="inlineStr"/>
      <c r="J10" s="13" t="inlineStr"/>
    </row>
    <row r="11">
      <c r="A11" s="13" t="inlineStr">
        <is>
          <t>TC-002</t>
        </is>
      </c>
      <c r="B11" s="13" t="inlineStr">
        <is>
          <t>VER-01</t>
        </is>
      </c>
      <c r="C11" s="13" t="inlineStr">
        <is>
          <t>Callback with a forged state is refused</t>
        </is>
      </c>
      <c r="D11" s="13" t="inlineStr">
        <is>
          <t>Negative</t>
        </is>
      </c>
      <c r="E11" s="14" t="n">
        <v>4</v>
      </c>
      <c r="F11" s="13" t="inlineStr">
        <is>
          <t>Check the portal list afterwards.</t>
        </is>
      </c>
      <c r="G11" s="13" t="inlineStr">
        <is>
          <t>No portal was created by any of the three attempts.</t>
        </is>
      </c>
      <c r="H11" s="13" t="inlineStr"/>
      <c r="I11" s="13" t="inlineStr"/>
      <c r="J11" s="13" t="inlineStr"/>
    </row>
    <row r="12">
      <c r="A12" s="3" t="inlineStr">
        <is>
          <t>TC-003</t>
        </is>
      </c>
      <c r="B12" s="3" t="inlineStr">
        <is>
          <t>VER-01</t>
        </is>
      </c>
      <c r="C12" s="3" t="inlineStr">
        <is>
          <t>Uninstall webhook removes tokens and schedules deletion</t>
        </is>
      </c>
      <c r="D12" s="3" t="inlineStr">
        <is>
          <t>Positive</t>
        </is>
      </c>
      <c r="E12" s="11" t="n">
        <v>1</v>
      </c>
      <c r="F12" s="3" t="inlineStr">
        <is>
          <t>Build the body [{"subscriptionType":"app.uninstalled","portalId":1}].</t>
        </is>
      </c>
      <c r="G12" s="3" t="inlineStr">
        <is>
          <t>Body prepared.</t>
        </is>
      </c>
      <c r="H12" s="3" t="inlineStr"/>
      <c r="I12" s="3" t="inlineStr"/>
      <c r="J12" s="3" t="inlineStr"/>
    </row>
    <row r="13">
      <c r="A13" s="4" t="inlineStr">
        <is>
          <t>TC-003</t>
        </is>
      </c>
      <c r="B13" s="4" t="inlineStr">
        <is>
          <t>VER-01</t>
        </is>
      </c>
      <c r="C13" s="4" t="inlineStr">
        <is>
          <t>Uninstall webhook removes tokens and schedules deletion</t>
        </is>
      </c>
      <c r="D13" s="4" t="inlineStr">
        <is>
          <t>Positive</t>
        </is>
      </c>
      <c r="E13" s="16" t="n">
        <v>2</v>
      </c>
      <c r="F13" s="4" t="inlineStr">
        <is>
          <t>Sign it with the HubSpot v3 scheme over method+uri+body+timestamp and POST to /webhooks/hubspot.</t>
        </is>
      </c>
      <c r="G13" s="4" t="inlineStr">
        <is>
          <t>HTTP 200.</t>
        </is>
      </c>
      <c r="H13" s="4" t="inlineStr"/>
      <c r="I13" s="4" t="inlineStr"/>
      <c r="J13" s="4" t="inlineStr"/>
    </row>
    <row r="14">
      <c r="A14" s="3" t="inlineStr">
        <is>
          <t>TC-003</t>
        </is>
      </c>
      <c r="B14" s="3" t="inlineStr">
        <is>
          <t>VER-01</t>
        </is>
      </c>
      <c r="C14" s="3" t="inlineStr">
        <is>
          <t>Uninstall webhook removes tokens and schedules deletion</t>
        </is>
      </c>
      <c r="D14" s="3" t="inlineStr">
        <is>
          <t>Positive</t>
        </is>
      </c>
      <c r="E14" s="11" t="n">
        <v>3</v>
      </c>
      <c r="F14" s="3" t="inlineStr">
        <is>
          <t>Attempt any authenticated API call for portal 1.</t>
        </is>
      </c>
      <c r="G14" s="3" t="inlineStr">
        <is>
          <t>The portal no longer has a usable token.</t>
        </is>
      </c>
      <c r="H14" s="3" t="inlineStr"/>
      <c r="I14" s="3" t="inlineStr"/>
      <c r="J14" s="3" t="inlineStr"/>
    </row>
    <row r="15">
      <c r="A15" s="4" t="inlineStr">
        <is>
          <t>TC-003</t>
        </is>
      </c>
      <c r="B15" s="4" t="inlineStr">
        <is>
          <t>VER-01</t>
        </is>
      </c>
      <c r="C15" s="4" t="inlineStr">
        <is>
          <t>Uninstall webhook removes tokens and schedules deletion</t>
        </is>
      </c>
      <c r="D15" s="4" t="inlineStr">
        <is>
          <t>Positive</t>
        </is>
      </c>
      <c r="E15" s="16" t="n">
        <v>4</v>
      </c>
      <c r="F15" s="4" t="inlineStr">
        <is>
          <t>Inspect the deletion queue (ops surface).</t>
        </is>
      </c>
      <c r="G15" s="4" t="inlineStr">
        <is>
          <t>A deletion is scheduled at the retention boundary, not executed immediately.</t>
        </is>
      </c>
      <c r="H15" s="4" t="inlineStr"/>
      <c r="I15" s="4" t="inlineStr"/>
      <c r="J15" s="4" t="inlineStr"/>
    </row>
    <row r="16">
      <c r="A16" s="13" t="inlineStr">
        <is>
          <t>TC-004</t>
        </is>
      </c>
      <c r="B16" s="13" t="inlineStr">
        <is>
          <t>VER-01</t>
        </is>
      </c>
      <c r="C16" s="13" t="inlineStr">
        <is>
          <t>Unsigned or stale webhook is rejected</t>
        </is>
      </c>
      <c r="D16" s="13" t="inlineStr">
        <is>
          <t>Negative</t>
        </is>
      </c>
      <c r="E16" s="14" t="n">
        <v>1</v>
      </c>
      <c r="F16" s="13" t="inlineStr">
        <is>
          <t>POST the same body with no X-HubSpot-Signature-v3 header.</t>
        </is>
      </c>
      <c r="G16" s="13" t="inlineStr">
        <is>
          <t>HTTP 401 — nothing changes.</t>
        </is>
      </c>
      <c r="H16" s="13" t="inlineStr"/>
      <c r="I16" s="13" t="inlineStr"/>
      <c r="J16" s="13" t="inlineStr"/>
    </row>
    <row r="17">
      <c r="A17" s="13" t="inlineStr">
        <is>
          <t>TC-004</t>
        </is>
      </c>
      <c r="B17" s="13" t="inlineStr">
        <is>
          <t>VER-01</t>
        </is>
      </c>
      <c r="C17" s="13" t="inlineStr">
        <is>
          <t>Unsigned or stale webhook is rejected</t>
        </is>
      </c>
      <c r="D17" s="13" t="inlineStr">
        <is>
          <t>Negative</t>
        </is>
      </c>
      <c r="E17" s="14" t="n">
        <v>2</v>
      </c>
      <c r="F17" s="13" t="inlineStr">
        <is>
          <t>POST with a signature computed over a different body.</t>
        </is>
      </c>
      <c r="G17" s="13" t="inlineStr">
        <is>
          <t>HTTP 401.</t>
        </is>
      </c>
      <c r="H17" s="13" t="inlineStr"/>
      <c r="I17" s="13" t="inlineStr"/>
      <c r="J17" s="13" t="inlineStr"/>
    </row>
    <row r="18">
      <c r="A18" s="13" t="inlineStr">
        <is>
          <t>TC-004</t>
        </is>
      </c>
      <c r="B18" s="13" t="inlineStr">
        <is>
          <t>VER-01</t>
        </is>
      </c>
      <c r="C18" s="13" t="inlineStr">
        <is>
          <t>Unsigned or stale webhook is rejected</t>
        </is>
      </c>
      <c r="D18" s="13" t="inlineStr">
        <is>
          <t>Negative</t>
        </is>
      </c>
      <c r="E18" s="14" t="n">
        <v>3</v>
      </c>
      <c r="F18" s="13" t="inlineStr">
        <is>
          <t>POST with a valid signature but a timestamp six minutes old.</t>
        </is>
      </c>
      <c r="G18" s="13" t="inlineStr">
        <is>
          <t>HTTP 401 — stale.</t>
        </is>
      </c>
      <c r="H18" s="13" t="inlineStr"/>
      <c r="I18" s="13" t="inlineStr"/>
      <c r="J18" s="13" t="inlineStr"/>
    </row>
    <row r="19">
      <c r="A19" s="13" t="inlineStr">
        <is>
          <t>TC-004</t>
        </is>
      </c>
      <c r="B19" s="13" t="inlineStr">
        <is>
          <t>VER-01</t>
        </is>
      </c>
      <c r="C19" s="13" t="inlineStr">
        <is>
          <t>Unsigned or stale webhook is rejected</t>
        </is>
      </c>
      <c r="D19" s="13" t="inlineStr">
        <is>
          <t>Negative</t>
        </is>
      </c>
      <c r="E19" s="14" t="n">
        <v>4</v>
      </c>
      <c r="F19" s="13" t="inlineStr">
        <is>
          <t>POST with a valid signature but a timestamp ten minutes in the future.</t>
        </is>
      </c>
      <c r="G19" s="13" t="inlineStr">
        <is>
          <t>HTTP 401 — future skew is refused too.</t>
        </is>
      </c>
      <c r="H19" s="13" t="inlineStr"/>
      <c r="I19" s="13" t="inlineStr"/>
      <c r="J19" s="13" t="inlineStr"/>
    </row>
    <row r="20">
      <c r="A20" s="3" t="inlineStr">
        <is>
          <t>TC-005</t>
        </is>
      </c>
      <c r="B20" s="3" t="inlineStr">
        <is>
          <t>VER-02</t>
        </is>
      </c>
      <c r="C20" s="3" t="inlineStr">
        <is>
          <t>One call produces a usable price book</t>
        </is>
      </c>
      <c r="D20" s="3" t="inlineStr">
        <is>
          <t>Positive</t>
        </is>
      </c>
      <c r="E20" s="11" t="n">
        <v>1</v>
      </c>
      <c r="F20" s="3" t="inlineStr">
        <is>
          <t>POST /api/pricebooks/defaults with an admin session.</t>
        </is>
      </c>
      <c r="G20" s="3" t="inlineStr">
        <is>
          <t>HTTP 201 and a book is returned.</t>
        </is>
      </c>
      <c r="H20" s="3" t="inlineStr"/>
      <c r="I20" s="3" t="inlineStr"/>
      <c r="J20" s="3" t="inlineStr"/>
    </row>
    <row r="21">
      <c r="A21" s="4" t="inlineStr">
        <is>
          <t>TC-005</t>
        </is>
      </c>
      <c r="B21" s="4" t="inlineStr">
        <is>
          <t>VER-02</t>
        </is>
      </c>
      <c r="C21" s="4" t="inlineStr">
        <is>
          <t>One call produces a usable price book</t>
        </is>
      </c>
      <c r="D21" s="4" t="inlineStr">
        <is>
          <t>Positive</t>
        </is>
      </c>
      <c r="E21" s="16" t="n">
        <v>2</v>
      </c>
      <c r="F21" s="4" t="inlineStr">
        <is>
          <t>GET /api/pricebooks/{id}.</t>
        </is>
      </c>
      <c r="G21" s="4" t="inlineStr">
        <is>
          <t>The book holds items (SEAT-M, SVC-ONBOARD, SUP-PRIO), one bundle and one volume rule.</t>
        </is>
      </c>
      <c r="H21" s="4" t="inlineStr"/>
      <c r="I21" s="4" t="inlineStr"/>
      <c r="J21" s="4" t="inlineStr"/>
    </row>
    <row r="22">
      <c r="A22" s="3" t="inlineStr">
        <is>
          <t>TC-005</t>
        </is>
      </c>
      <c r="B22" s="3" t="inlineStr">
        <is>
          <t>VER-02</t>
        </is>
      </c>
      <c r="C22" s="3" t="inlineStr">
        <is>
          <t>One call produces a usable price book</t>
        </is>
      </c>
      <c r="D22" s="3" t="inlineStr">
        <is>
          <t>Positive</t>
        </is>
      </c>
      <c r="E22" s="11" t="n">
        <v>3</v>
      </c>
      <c r="F22" s="3" t="inlineStr">
        <is>
          <t>POST /api/pricebooks/defaults a second time.</t>
        </is>
      </c>
      <c r="G22" s="3" t="inlineStr">
        <is>
          <t>The existing default is returned; nothing is duplicated.</t>
        </is>
      </c>
      <c r="H22" s="3" t="inlineStr"/>
      <c r="I22" s="3" t="inlineStr"/>
      <c r="J22" s="3" t="inlineStr"/>
    </row>
    <row r="23">
      <c r="A23" s="4" t="inlineStr">
        <is>
          <t>TC-005</t>
        </is>
      </c>
      <c r="B23" s="4" t="inlineStr">
        <is>
          <t>VER-02</t>
        </is>
      </c>
      <c r="C23" s="4" t="inlineStr">
        <is>
          <t>One call produces a usable price book</t>
        </is>
      </c>
      <c r="D23" s="4" t="inlineStr">
        <is>
          <t>Positive</t>
        </is>
      </c>
      <c r="E23" s="16" t="n">
        <v>4</v>
      </c>
      <c r="F23" s="4" t="inlineStr">
        <is>
          <t>GET /api/pricebooks.</t>
        </is>
      </c>
      <c r="G23" s="4" t="inlineStr">
        <is>
          <t>Exactly one default book exists.</t>
        </is>
      </c>
      <c r="H23" s="4" t="inlineStr"/>
      <c r="I23" s="4" t="inlineStr"/>
      <c r="J23" s="4" t="inlineStr"/>
    </row>
    <row r="24">
      <c r="A24" s="3" t="inlineStr">
        <is>
          <t>TC-006</t>
        </is>
      </c>
      <c r="B24" s="3" t="inlineStr">
        <is>
          <t>VER-02</t>
        </is>
      </c>
      <c r="C24" s="3" t="inlineStr">
        <is>
          <t>A quote prices with the best matching discount</t>
        </is>
      </c>
      <c r="D24" s="3" t="inlineStr">
        <is>
          <t>Positive</t>
        </is>
      </c>
      <c r="E24" s="11" t="n">
        <v>1</v>
      </c>
      <c r="F24" s="3" t="inlineStr">
        <is>
          <t>POST /api/quotes/price with 12 seats.</t>
        </is>
      </c>
      <c r="G24" s="3" t="inlineStr">
        <is>
          <t>HTTP 200; the volume rule applies 5% to that line.</t>
        </is>
      </c>
      <c r="H24" s="3" t="inlineStr"/>
      <c r="I24" s="3" t="inlineStr"/>
      <c r="J24" s="3" t="inlineStr"/>
    </row>
    <row r="25">
      <c r="A25" s="4" t="inlineStr">
        <is>
          <t>TC-006</t>
        </is>
      </c>
      <c r="B25" s="4" t="inlineStr">
        <is>
          <t>VER-02</t>
        </is>
      </c>
      <c r="C25" s="4" t="inlineStr">
        <is>
          <t>A quote prices with the best matching discount</t>
        </is>
      </c>
      <c r="D25" s="4" t="inlineStr">
        <is>
          <t>Positive</t>
        </is>
      </c>
      <c r="E25" s="16" t="n">
        <v>2</v>
      </c>
      <c r="F25" s="4" t="inlineStr">
        <is>
          <t>Repeat the identical request.</t>
        </is>
      </c>
      <c r="G25" s="4" t="inlineStr">
        <is>
          <t>Byte-identical totals — no run-to-run variation.</t>
        </is>
      </c>
      <c r="H25" s="4" t="inlineStr"/>
      <c r="I25" s="4" t="inlineStr"/>
      <c r="J25" s="4" t="inlineStr"/>
    </row>
    <row r="26">
      <c r="A26" s="3" t="inlineStr">
        <is>
          <t>TC-006</t>
        </is>
      </c>
      <c r="B26" s="3" t="inlineStr">
        <is>
          <t>VER-02</t>
        </is>
      </c>
      <c r="C26" s="3" t="inlineStr">
        <is>
          <t>A quote prices with the best matching discount</t>
        </is>
      </c>
      <c r="D26" s="3" t="inlineStr">
        <is>
          <t>Positive</t>
        </is>
      </c>
      <c r="E26" s="11" t="n">
        <v>3</v>
      </c>
      <c r="F26" s="3" t="inlineStr">
        <is>
          <t>POST with 1 seat.</t>
        </is>
      </c>
      <c r="G26" s="3" t="inlineStr">
        <is>
          <t>No discount applied; the line is at list.</t>
        </is>
      </c>
      <c r="H26" s="3" t="inlineStr"/>
      <c r="I26" s="3" t="inlineStr"/>
      <c r="J26" s="3" t="inlineStr"/>
    </row>
    <row r="27">
      <c r="A27" s="4" t="inlineStr">
        <is>
          <t>TC-006</t>
        </is>
      </c>
      <c r="B27" s="4" t="inlineStr">
        <is>
          <t>VER-02</t>
        </is>
      </c>
      <c r="C27" s="4" t="inlineStr">
        <is>
          <t>A quote prices with the best matching discount</t>
        </is>
      </c>
      <c r="D27" s="4" t="inlineStr">
        <is>
          <t>Positive</t>
        </is>
      </c>
      <c r="E27" s="16" t="n">
        <v>4</v>
      </c>
      <c r="F27" s="4" t="inlineStr">
        <is>
          <t>Read the appliedRule field on each line.</t>
        </is>
      </c>
      <c r="G27" s="4" t="inlineStr">
        <is>
          <t>It names the rule that decided the price, or is absent when none matched.</t>
        </is>
      </c>
      <c r="H27" s="4" t="inlineStr"/>
      <c r="I27" s="4" t="inlineStr"/>
      <c r="J27" s="4" t="inlineStr"/>
    </row>
    <row r="28">
      <c r="A28" s="13" t="inlineStr">
        <is>
          <t>TC-007</t>
        </is>
      </c>
      <c r="B28" s="13" t="inlineStr">
        <is>
          <t>VER-02</t>
        </is>
      </c>
      <c r="C28" s="13" t="inlineStr">
        <is>
          <t>A member cannot perform admin actions</t>
        </is>
      </c>
      <c r="D28" s="13" t="inlineStr">
        <is>
          <t>Negative</t>
        </is>
      </c>
      <c r="E28" s="14" t="n">
        <v>1</v>
      </c>
      <c r="F28" s="13" t="inlineStr">
        <is>
          <t>As a member, POST /api/pricebooks/defaults.</t>
        </is>
      </c>
      <c r="G28" s="13" t="inlineStr">
        <is>
          <t>HTTP 403.</t>
        </is>
      </c>
      <c r="H28" s="13" t="inlineStr"/>
      <c r="I28" s="13" t="inlineStr"/>
      <c r="J28" s="13" t="inlineStr"/>
    </row>
    <row r="29">
      <c r="A29" s="13" t="inlineStr">
        <is>
          <t>TC-007</t>
        </is>
      </c>
      <c r="B29" s="13" t="inlineStr">
        <is>
          <t>VER-02</t>
        </is>
      </c>
      <c r="C29" s="13" t="inlineStr">
        <is>
          <t>A member cannot perform admin actions</t>
        </is>
      </c>
      <c r="D29" s="13" t="inlineStr">
        <is>
          <t>Negative</t>
        </is>
      </c>
      <c r="E29" s="14" t="n">
        <v>2</v>
      </c>
      <c r="F29" s="13" t="inlineStr">
        <is>
          <t>As a member, GET /api/audit.</t>
        </is>
      </c>
      <c r="G29" s="13" t="inlineStr">
        <is>
          <t>HTTP 403.</t>
        </is>
      </c>
      <c r="H29" s="13" t="inlineStr"/>
      <c r="I29" s="13" t="inlineStr"/>
      <c r="J29" s="13" t="inlineStr"/>
    </row>
    <row r="30">
      <c r="A30" s="13" t="inlineStr">
        <is>
          <t>TC-007</t>
        </is>
      </c>
      <c r="B30" s="13" t="inlineStr">
        <is>
          <t>VER-02</t>
        </is>
      </c>
      <c r="C30" s="13" t="inlineStr">
        <is>
          <t>A member cannot perform admin actions</t>
        </is>
      </c>
      <c r="D30" s="13" t="inlineStr">
        <is>
          <t>Negative</t>
        </is>
      </c>
      <c r="E30" s="14" t="n">
        <v>3</v>
      </c>
      <c r="F30" s="13" t="inlineStr">
        <is>
          <t>As a member, GET /api/metrics.</t>
        </is>
      </c>
      <c r="G30" s="13" t="inlineStr">
        <is>
          <t>HTTP 403.</t>
        </is>
      </c>
      <c r="H30" s="13" t="inlineStr"/>
      <c r="I30" s="13" t="inlineStr"/>
      <c r="J30" s="13" t="inlineStr"/>
    </row>
    <row r="31">
      <c r="A31" s="13" t="inlineStr">
        <is>
          <t>TC-007</t>
        </is>
      </c>
      <c r="B31" s="13" t="inlineStr">
        <is>
          <t>VER-02</t>
        </is>
      </c>
      <c r="C31" s="13" t="inlineStr">
        <is>
          <t>A member cannot perform admin actions</t>
        </is>
      </c>
      <c r="D31" s="13" t="inlineStr">
        <is>
          <t>Negative</t>
        </is>
      </c>
      <c r="E31" s="14" t="n">
        <v>4</v>
      </c>
      <c r="F31" s="13" t="inlineStr">
        <is>
          <t>As a member, POST /api/quotes/price.</t>
        </is>
      </c>
      <c r="G31" s="13" t="inlineStr">
        <is>
          <t>HTTP 200 — pricing is a member action.</t>
        </is>
      </c>
      <c r="H31" s="13" t="inlineStr"/>
      <c r="I31" s="13" t="inlineStr"/>
      <c r="J31" s="13" t="inlineStr"/>
    </row>
    <row r="32">
      <c r="A32" s="13" t="inlineStr">
        <is>
          <t>TC-007</t>
        </is>
      </c>
      <c r="B32" s="13" t="inlineStr">
        <is>
          <t>VER-02</t>
        </is>
      </c>
      <c r="C32" s="13" t="inlineStr">
        <is>
          <t>A member cannot perform admin actions</t>
        </is>
      </c>
      <c r="D32" s="13" t="inlineStr">
        <is>
          <t>Negative</t>
        </is>
      </c>
      <c r="E32" s="14" t="n">
        <v>5</v>
      </c>
      <c r="F32" s="13" t="inlineStr">
        <is>
          <t>As an admin, repeat the three refused calls.</t>
        </is>
      </c>
      <c r="G32" s="13" t="inlineStr">
        <is>
          <t>All succeed.</t>
        </is>
      </c>
      <c r="H32" s="13" t="inlineStr"/>
      <c r="I32" s="13" t="inlineStr"/>
      <c r="J32" s="13" t="inlineStr"/>
    </row>
    <row r="33">
      <c r="A33" s="4" t="inlineStr">
        <is>
          <t>TC-008</t>
        </is>
      </c>
      <c r="B33" s="4" t="inlineStr">
        <is>
          <t>VER-13</t>
        </is>
      </c>
      <c r="C33" s="4" t="inlineStr">
        <is>
          <t>The deal app card returns the data the extension renders</t>
        </is>
      </c>
      <c r="D33" s="4" t="inlineStr">
        <is>
          <t>Positive</t>
        </is>
      </c>
      <c r="E33" s="16" t="n">
        <v>1</v>
      </c>
      <c r="F33" s="4" t="inlineStr">
        <is>
          <t>GET /api/cards/deal/42 with a member session.</t>
        </is>
      </c>
      <c r="G33" s="4" t="inlineStr">
        <is>
          <t>HTTP 200.</t>
        </is>
      </c>
      <c r="H33" s="4" t="inlineStr"/>
      <c r="I33" s="4" t="inlineStr"/>
      <c r="J33" s="4" t="inlineStr"/>
    </row>
    <row r="34">
      <c r="A34" s="3" t="inlineStr">
        <is>
          <t>TC-008</t>
        </is>
      </c>
      <c r="B34" s="3" t="inlineStr">
        <is>
          <t>VER-13</t>
        </is>
      </c>
      <c r="C34" s="3" t="inlineStr">
        <is>
          <t>The deal app card returns the data the extension renders</t>
        </is>
      </c>
      <c r="D34" s="3" t="inlineStr">
        <is>
          <t>Positive</t>
        </is>
      </c>
      <c r="E34" s="11" t="n">
        <v>2</v>
      </c>
      <c r="F34" s="3" t="inlineStr">
        <is>
          <t>Inspect the body.</t>
        </is>
      </c>
      <c r="G34" s="3" t="inlineStr">
        <is>
          <t>dealId, paused, priceBooks, defaultPriceBook, pendingApprovals, awaitingSignature, quotesLast7Days, quotes[] and links[] are present.</t>
        </is>
      </c>
      <c r="H34" s="3" t="inlineStr"/>
      <c r="I34" s="3" t="inlineStr"/>
      <c r="J34" s="3" t="inlineStr"/>
    </row>
    <row r="35">
      <c r="A35" s="4" t="inlineStr">
        <is>
          <t>TC-008</t>
        </is>
      </c>
      <c r="B35" s="4" t="inlineStr">
        <is>
          <t>VER-13</t>
        </is>
      </c>
      <c r="C35" s="4" t="inlineStr">
        <is>
          <t>The deal app card returns the data the extension renders</t>
        </is>
      </c>
      <c r="D35" s="4" t="inlineStr">
        <is>
          <t>Positive</t>
        </is>
      </c>
      <c r="E35" s="16" t="n">
        <v>3</v>
      </c>
      <c r="F35" s="4" t="inlineStr">
        <is>
          <t>Confirm there are no IFRAME action objects.</t>
        </is>
      </c>
      <c r="G35" s="4" t="inlineStr">
        <is>
          <t>links[] carries plain label/href pairs only.</t>
        </is>
      </c>
      <c r="H35" s="4" t="inlineStr"/>
      <c r="I35" s="4" t="inlineStr"/>
      <c r="J35" s="4" t="inlineStr"/>
    </row>
    <row r="36">
      <c r="A36" s="3" t="inlineStr">
        <is>
          <t>TC-008</t>
        </is>
      </c>
      <c r="B36" s="3" t="inlineStr">
        <is>
          <t>VER-13</t>
        </is>
      </c>
      <c r="C36" s="3" t="inlineStr">
        <is>
          <t>The deal app card returns the data the extension renders</t>
        </is>
      </c>
      <c r="D36" s="3" t="inlineStr">
        <is>
          <t>Positive</t>
        </is>
      </c>
      <c r="E36" s="11" t="n">
        <v>4</v>
      </c>
      <c r="F36" s="3" t="inlineStr">
        <is>
          <t>Pause the portal (POST /api/settings/pause) and re-request.</t>
        </is>
      </c>
      <c r="G36" s="3" t="inlineStr">
        <is>
          <t>paused is true and links[] is empty.</t>
        </is>
      </c>
      <c r="H36" s="3" t="inlineStr"/>
      <c r="I36" s="3" t="inlineStr"/>
      <c r="J36" s="3" t="inlineStr"/>
    </row>
    <row r="37">
      <c r="A37" s="13" t="inlineStr">
        <is>
          <t>TC-009</t>
        </is>
      </c>
      <c r="B37" s="13" t="inlineStr">
        <is>
          <t>VER-13</t>
        </is>
      </c>
      <c r="C37" s="13" t="inlineStr">
        <is>
          <t>The legacy CRM card route no longer exists</t>
        </is>
      </c>
      <c r="D37" s="13" t="inlineStr">
        <is>
          <t>Negative</t>
        </is>
      </c>
      <c r="E37" s="14" t="n">
        <v>1</v>
      </c>
      <c r="F37" s="13" t="inlineStr">
        <is>
          <t>GET /crm-card?portalId=1&amp;associatedObjectId=42 with no headers.</t>
        </is>
      </c>
      <c r="G37" s="13" t="inlineStr">
        <is>
          <t>HTTP 404 — not 401, not 200.</t>
        </is>
      </c>
      <c r="H37" s="13" t="inlineStr"/>
      <c r="I37" s="13" t="inlineStr"/>
      <c r="J37" s="13" t="inlineStr"/>
    </row>
    <row r="38">
      <c r="A38" s="13" t="inlineStr">
        <is>
          <t>TC-009</t>
        </is>
      </c>
      <c r="B38" s="13" t="inlineStr">
        <is>
          <t>VER-13</t>
        </is>
      </c>
      <c r="C38" s="13" t="inlineStr">
        <is>
          <t>The legacy CRM card route no longer exists</t>
        </is>
      </c>
      <c r="D38" s="13" t="inlineStr">
        <is>
          <t>Negative</t>
        </is>
      </c>
      <c r="E38" s="14" t="n">
        <v>2</v>
      </c>
      <c r="F38" s="13" t="inlineStr">
        <is>
          <t>Repeat with a valid HubSpot v3 signature.</t>
        </is>
      </c>
      <c r="G38" s="13" t="inlineStr">
        <is>
          <t>Still HTTP 404: the route does not exist to be authorised.</t>
        </is>
      </c>
      <c r="H38" s="13" t="inlineStr"/>
      <c r="I38" s="13" t="inlineStr"/>
      <c r="J38" s="13" t="inlineStr"/>
    </row>
    <row r="39">
      <c r="A39" s="13" t="inlineStr">
        <is>
          <t>TC-009</t>
        </is>
      </c>
      <c r="B39" s="13" t="inlineStr">
        <is>
          <t>VER-13</t>
        </is>
      </c>
      <c r="C39" s="13" t="inlineStr">
        <is>
          <t>The legacy CRM card route no longer exists</t>
        </is>
      </c>
      <c r="D39" s="13" t="inlineStr">
        <is>
          <t>Negative</t>
        </is>
      </c>
      <c r="E39" s="14" t="n">
        <v>3</v>
      </c>
      <c r="F39" s="13" t="inlineStr">
        <is>
          <t>Search the delivered source tree for crmCard.</t>
        </is>
      </c>
      <c r="G39" s="13" t="inlineStr">
        <is>
          <t>No src/services/crmCard.ts and no /crm-card route registration.</t>
        </is>
      </c>
      <c r="H39" s="13" t="inlineStr"/>
      <c r="I39" s="13" t="inlineStr"/>
      <c r="J39" s="13" t="inlineStr"/>
    </row>
    <row r="40">
      <c r="A40" s="3" t="inlineStr">
        <is>
          <t>TC-010</t>
        </is>
      </c>
      <c r="B40" s="3" t="inlineStr">
        <is>
          <t>VER-13</t>
        </is>
      </c>
      <c r="C40" s="3" t="inlineStr">
        <is>
          <t>A HubSpot-signed context mints a working session</t>
        </is>
      </c>
      <c r="D40" s="3" t="inlineStr">
        <is>
          <t>Positive</t>
        </is>
      </c>
      <c r="E40" s="11" t="n">
        <v>1</v>
      </c>
      <c r="F40" s="3" t="inlineStr">
        <is>
          <t>Build the body {"portalId":1,"userId":"rep","nonce":"n-1"}.</t>
        </is>
      </c>
      <c r="G40" s="3" t="inlineStr">
        <is>
          <t>Body prepared.</t>
        </is>
      </c>
      <c r="H40" s="3" t="inlineStr"/>
      <c r="I40" s="3" t="inlineStr"/>
      <c r="J40" s="3" t="inlineStr"/>
    </row>
    <row r="41">
      <c r="A41" s="4" t="inlineStr">
        <is>
          <t>TC-010</t>
        </is>
      </c>
      <c r="B41" s="4" t="inlineStr">
        <is>
          <t>VER-13</t>
        </is>
      </c>
      <c r="C41" s="4" t="inlineStr">
        <is>
          <t>A HubSpot-signed context mints a working session</t>
        </is>
      </c>
      <c r="D41" s="4" t="inlineStr">
        <is>
          <t>Positive</t>
        </is>
      </c>
      <c r="E41" s="16" t="n">
        <v>2</v>
      </c>
      <c r="F41" s="4" t="inlineStr">
        <is>
          <t>Sign it v3-style and POST to /session/mint.</t>
        </is>
      </c>
      <c r="G41" s="4" t="inlineStr">
        <is>
          <t>HTTP 201 with session, expiresAt and the echoed nonce.</t>
        </is>
      </c>
      <c r="H41" s="4" t="inlineStr"/>
      <c r="I41" s="4" t="inlineStr"/>
      <c r="J41" s="4" t="inlineStr"/>
    </row>
    <row r="42">
      <c r="A42" s="3" t="inlineStr">
        <is>
          <t>TC-010</t>
        </is>
      </c>
      <c r="B42" s="3" t="inlineStr">
        <is>
          <t>VER-13</t>
        </is>
      </c>
      <c r="C42" s="3" t="inlineStr">
        <is>
          <t>A HubSpot-signed context mints a working session</t>
        </is>
      </c>
      <c r="D42" s="3" t="inlineStr">
        <is>
          <t>Positive</t>
        </is>
      </c>
      <c r="E42" s="11" t="n">
        <v>3</v>
      </c>
      <c r="F42" s="3" t="inlineStr">
        <is>
          <t>Check expiresAt.</t>
        </is>
      </c>
      <c r="G42" s="3" t="inlineStr">
        <is>
          <t>It is exactly 30 minutes after the current time (SESSION_TTL_MS).</t>
        </is>
      </c>
      <c r="H42" s="3" t="inlineStr"/>
      <c r="I42" s="3" t="inlineStr"/>
      <c r="J42" s="3" t="inlineStr"/>
    </row>
    <row r="43">
      <c r="A43" s="4" t="inlineStr">
        <is>
          <t>TC-010</t>
        </is>
      </c>
      <c r="B43" s="4" t="inlineStr">
        <is>
          <t>VER-13</t>
        </is>
      </c>
      <c r="C43" s="4" t="inlineStr">
        <is>
          <t>A HubSpot-signed context mints a working session</t>
        </is>
      </c>
      <c r="D43" s="4" t="inlineStr">
        <is>
          <t>Positive</t>
        </is>
      </c>
      <c r="E43" s="16" t="n">
        <v>4</v>
      </c>
      <c r="F43" s="4" t="inlineStr">
        <is>
          <t>Call GET /api/cards/deal/42 with X-QF-Session set to the returned token.</t>
        </is>
      </c>
      <c r="G43" s="4" t="inlineStr">
        <is>
          <t>HTTP 200.</t>
        </is>
      </c>
      <c r="H43" s="4" t="inlineStr"/>
      <c r="I43" s="4" t="inlineStr"/>
      <c r="J43" s="4" t="inlineStr"/>
    </row>
    <row r="44">
      <c r="A44" s="3" t="inlineStr">
        <is>
          <t>TC-010</t>
        </is>
      </c>
      <c r="B44" s="3" t="inlineStr">
        <is>
          <t>VER-13</t>
        </is>
      </c>
      <c r="C44" s="3" t="inlineStr">
        <is>
          <t>A HubSpot-signed context mints a working session</t>
        </is>
      </c>
      <c r="D44" s="3" t="inlineStr">
        <is>
          <t>Positive</t>
        </is>
      </c>
      <c r="E44" s="11" t="n">
        <v>5</v>
      </c>
      <c r="F44" s="3" t="inlineStr">
        <is>
          <t>Read the audit trail.</t>
        </is>
      </c>
      <c r="G44" s="3" t="inlineStr">
        <is>
          <t>A session.mint entry records the portal and user.</t>
        </is>
      </c>
      <c r="H44" s="3" t="inlineStr"/>
      <c r="I44" s="3" t="inlineStr"/>
      <c r="J44" s="3" t="inlineStr"/>
    </row>
    <row r="45">
      <c r="A45" s="13" t="inlineStr">
        <is>
          <t>TC-011</t>
        </is>
      </c>
      <c r="B45" s="13" t="inlineStr">
        <is>
          <t>VER-13</t>
        </is>
      </c>
      <c r="C45" s="13" t="inlineStr">
        <is>
          <t>A browser cannot mint a session</t>
        </is>
      </c>
      <c r="D45" s="13" t="inlineStr">
        <is>
          <t>Negative</t>
        </is>
      </c>
      <c r="E45" s="14" t="n">
        <v>1</v>
      </c>
      <c r="F45" s="13" t="inlineStr">
        <is>
          <t>POST /session/mint with a valid body and NO signature header.</t>
        </is>
      </c>
      <c r="G45" s="13" t="inlineStr">
        <is>
          <t>HTTP 401, code SESSION_MINT_UNVERIFIED.</t>
        </is>
      </c>
      <c r="H45" s="13" t="inlineStr"/>
      <c r="I45" s="13" t="inlineStr"/>
      <c r="J45" s="13" t="inlineStr"/>
    </row>
    <row r="46">
      <c r="A46" s="13" t="inlineStr">
        <is>
          <t>TC-011</t>
        </is>
      </c>
      <c r="B46" s="13" t="inlineStr">
        <is>
          <t>VER-13</t>
        </is>
      </c>
      <c r="C46" s="13" t="inlineStr">
        <is>
          <t>A browser cannot mint a session</t>
        </is>
      </c>
      <c r="D46" s="13" t="inlineStr">
        <is>
          <t>Negative</t>
        </is>
      </c>
      <c r="E46" s="14" t="n">
        <v>2</v>
      </c>
      <c r="F46" s="13" t="inlineStr">
        <is>
          <t>POST signed with the wrong secret, asking for portalId 999.</t>
        </is>
      </c>
      <c r="G46" s="13" t="inlineStr">
        <is>
          <t>HTTP 401 — the forged portal is never minted.</t>
        </is>
      </c>
      <c r="H46" s="13" t="inlineStr"/>
      <c r="I46" s="13" t="inlineStr"/>
      <c r="J46" s="13" t="inlineStr"/>
    </row>
    <row r="47">
      <c r="A47" s="13" t="inlineStr">
        <is>
          <t>TC-011</t>
        </is>
      </c>
      <c r="B47" s="13" t="inlineStr">
        <is>
          <t>VER-13</t>
        </is>
      </c>
      <c r="C47" s="13" t="inlineStr">
        <is>
          <t>A browser cannot mint a session</t>
        </is>
      </c>
      <c r="D47" s="13" t="inlineStr">
        <is>
          <t>Negative</t>
        </is>
      </c>
      <c r="E47" s="14" t="n">
        <v>3</v>
      </c>
      <c r="F47" s="13" t="inlineStr">
        <is>
          <t>POST correctly signed but with a timestamp ten minutes old.</t>
        </is>
      </c>
      <c r="G47" s="13" t="inlineStr">
        <is>
          <t>HTTP 401.</t>
        </is>
      </c>
      <c r="H47" s="13" t="inlineStr"/>
      <c r="I47" s="13" t="inlineStr"/>
      <c r="J47" s="13" t="inlineStr"/>
    </row>
    <row r="48">
      <c r="A48" s="13" t="inlineStr">
        <is>
          <t>TC-011</t>
        </is>
      </c>
      <c r="B48" s="13" t="inlineStr">
        <is>
          <t>VER-13</t>
        </is>
      </c>
      <c r="C48" s="13" t="inlineStr">
        <is>
          <t>A browser cannot mint a session</t>
        </is>
      </c>
      <c r="D48" s="13" t="inlineStr">
        <is>
          <t>Negative</t>
        </is>
      </c>
      <c r="E48" s="14" t="n">
        <v>4</v>
      </c>
      <c r="F48" s="13" t="inlineStr">
        <is>
          <t>POST correctly signed with body {"portalId":"abc","userId":"rep"}.</t>
        </is>
      </c>
      <c r="G48" s="13" t="inlineStr">
        <is>
          <t>HTTP 400, code SESSION_MINT_PORTAL_INVALID.</t>
        </is>
      </c>
      <c r="H48" s="13" t="inlineStr"/>
      <c r="I48" s="13" t="inlineStr"/>
      <c r="J48" s="13" t="inlineStr"/>
    </row>
    <row r="49">
      <c r="A49" s="13" t="inlineStr">
        <is>
          <t>TC-011</t>
        </is>
      </c>
      <c r="B49" s="13" t="inlineStr">
        <is>
          <t>VER-13</t>
        </is>
      </c>
      <c r="C49" s="13" t="inlineStr">
        <is>
          <t>A browser cannot mint a session</t>
        </is>
      </c>
      <c r="D49" s="13" t="inlineStr">
        <is>
          <t>Negative</t>
        </is>
      </c>
      <c r="E49" s="14" t="n">
        <v>5</v>
      </c>
      <c r="F49" s="13" t="inlineStr">
        <is>
          <t>POST correctly signed with body {"portalId":1}.</t>
        </is>
      </c>
      <c r="G49" s="13" t="inlineStr">
        <is>
          <t>HTTP 400, code SESSION_MINT_USER_INVALID.</t>
        </is>
      </c>
      <c r="H49" s="13" t="inlineStr"/>
      <c r="I49" s="13" t="inlineStr"/>
      <c r="J49" s="13" t="inlineStr"/>
    </row>
    <row r="50">
      <c r="A50" s="13" t="inlineStr">
        <is>
          <t>TC-012</t>
        </is>
      </c>
      <c r="B50" s="13" t="inlineStr">
        <is>
          <t>VER-13</t>
        </is>
      </c>
      <c r="C50" s="13" t="inlineStr">
        <is>
          <t>The unsigned header identity path is gone</t>
        </is>
      </c>
      <c r="D50" s="13" t="inlineStr">
        <is>
          <t>Negative</t>
        </is>
      </c>
      <c r="E50" s="14" t="n">
        <v>1</v>
      </c>
      <c r="F50" s="13" t="inlineStr">
        <is>
          <t>GET /api/pricebooks with X-QF-Portal-Id: 1 and X-QF-User-Id: kp and no session.</t>
        </is>
      </c>
      <c r="G50" s="13" t="inlineStr">
        <is>
          <t>HTTP 401, code SESSION_REQUIRED.</t>
        </is>
      </c>
      <c r="H50" s="13" t="inlineStr"/>
      <c r="I50" s="13" t="inlineStr"/>
      <c r="J50" s="13" t="inlineStr"/>
    </row>
    <row r="51">
      <c r="A51" s="13" t="inlineStr">
        <is>
          <t>TC-012</t>
        </is>
      </c>
      <c r="B51" s="13" t="inlineStr">
        <is>
          <t>VER-13</t>
        </is>
      </c>
      <c r="C51" s="13" t="inlineStr">
        <is>
          <t>The unsigned header identity path is gone</t>
        </is>
      </c>
      <c r="D51" s="13" t="inlineStr">
        <is>
          <t>Negative</t>
        </is>
      </c>
      <c r="E51" s="14" t="n">
        <v>2</v>
      </c>
      <c r="F51" s="13" t="inlineStr">
        <is>
          <t>Repeat with NODE_ENV unset, set to development, and set to production.</t>
        </is>
      </c>
      <c r="G51" s="13" t="inlineStr">
        <is>
          <t>Identical 401 in all three.</t>
        </is>
      </c>
      <c r="H51" s="13" t="inlineStr"/>
      <c r="I51" s="13" t="inlineStr"/>
      <c r="J51" s="13" t="inlineStr"/>
    </row>
    <row r="52">
      <c r="A52" s="13" t="inlineStr">
        <is>
          <t>TC-012</t>
        </is>
      </c>
      <c r="B52" s="13" t="inlineStr">
        <is>
          <t>VER-13</t>
        </is>
      </c>
      <c r="C52" s="13" t="inlineStr">
        <is>
          <t>The unsigned header identity path is gone</t>
        </is>
      </c>
      <c r="D52" s="13" t="inlineStr">
        <is>
          <t>Negative</t>
        </is>
      </c>
      <c r="E52" s="14" t="n">
        <v>3</v>
      </c>
      <c r="F52" s="13" t="inlineStr">
        <is>
          <t>Search the source for QF_ALLOW_HEADER_IDENTITY or headerIdentityAllowed.</t>
        </is>
      </c>
      <c r="G52" s="13" t="inlineStr">
        <is>
          <t>Neither exists.</t>
        </is>
      </c>
      <c r="H52" s="13" t="inlineStr"/>
      <c r="I52" s="13" t="inlineStr"/>
      <c r="J52" s="13" t="inlineStr"/>
    </row>
    <row r="53">
      <c r="A53" s="13" t="inlineStr">
        <is>
          <t>TC-013</t>
        </is>
      </c>
      <c r="B53" s="13" t="inlineStr">
        <is>
          <t>VER-13</t>
        </is>
      </c>
      <c r="C53" s="13" t="inlineStr">
        <is>
          <t>An expired or tampered session is refused opaquely</t>
        </is>
      </c>
      <c r="D53" s="13" t="inlineStr">
        <is>
          <t>Negative</t>
        </is>
      </c>
      <c r="E53" s="14" t="n">
        <v>1</v>
      </c>
      <c r="F53" s="13" t="inlineStr">
        <is>
          <t>Wait past expiresAt (or advance the clock) and call GET /api/pricebooks.</t>
        </is>
      </c>
      <c r="G53" s="13" t="inlineStr">
        <is>
          <t>HTTP 401, code SESSION_EXPIRED.</t>
        </is>
      </c>
      <c r="H53" s="13" t="inlineStr"/>
      <c r="I53" s="13" t="inlineStr"/>
      <c r="J53" s="13" t="inlineStr"/>
    </row>
    <row r="54">
      <c r="A54" s="13" t="inlineStr">
        <is>
          <t>TC-013</t>
        </is>
      </c>
      <c r="B54" s="13" t="inlineStr">
        <is>
          <t>VER-13</t>
        </is>
      </c>
      <c r="C54" s="13" t="inlineStr">
        <is>
          <t>An expired or tampered session is refused opaquely</t>
        </is>
      </c>
      <c r="D54" s="13" t="inlineStr">
        <is>
          <t>Negative</t>
        </is>
      </c>
      <c r="E54" s="14" t="n">
        <v>2</v>
      </c>
      <c r="F54" s="13" t="inlineStr">
        <is>
          <t>Take a valid token, swap its payload for one claiming portalId 2, keep the old signature, and call again.</t>
        </is>
      </c>
      <c r="G54" s="13" t="inlineStr">
        <is>
          <t>HTTP 401, code SESSION_INVALID.</t>
        </is>
      </c>
      <c r="H54" s="13" t="inlineStr"/>
      <c r="I54" s="13" t="inlineStr"/>
      <c r="J54" s="13" t="inlineStr"/>
    </row>
    <row r="55">
      <c r="A55" s="13" t="inlineStr">
        <is>
          <t>TC-013</t>
        </is>
      </c>
      <c r="B55" s="13" t="inlineStr">
        <is>
          <t>VER-13</t>
        </is>
      </c>
      <c r="C55" s="13" t="inlineStr">
        <is>
          <t>An expired or tampered session is refused opaquely</t>
        </is>
      </c>
      <c r="D55" s="13" t="inlineStr">
        <is>
          <t>Negative</t>
        </is>
      </c>
      <c r="E55" s="14" t="n">
        <v>3</v>
      </c>
      <c r="F55" s="13" t="inlineStr">
        <is>
          <t>Send X-QF-Session: garbage.</t>
        </is>
      </c>
      <c r="G55" s="13" t="inlineStr">
        <is>
          <t>HTTP 401, code SESSION_INVALID — the same code as the tampered token.</t>
        </is>
      </c>
      <c r="H55" s="13" t="inlineStr"/>
      <c r="I55" s="13" t="inlineStr"/>
      <c r="J55" s="13" t="inlineStr"/>
    </row>
    <row r="56">
      <c r="A56" s="13" t="inlineStr">
        <is>
          <t>TC-013</t>
        </is>
      </c>
      <c r="B56" s="13" t="inlineStr">
        <is>
          <t>VER-13</t>
        </is>
      </c>
      <c r="C56" s="13" t="inlineStr">
        <is>
          <t>An expired or tampered session is refused opaquely</t>
        </is>
      </c>
      <c r="D56" s="13" t="inlineStr">
        <is>
          <t>Negative</t>
        </is>
      </c>
      <c r="E56" s="14" t="n">
        <v>4</v>
      </c>
      <c r="F56" s="13" t="inlineStr">
        <is>
          <t>Send an empty X-QF-Session header.</t>
        </is>
      </c>
      <c r="G56" s="13" t="inlineStr">
        <is>
          <t>HTTP 401, code SESSION_REQUIRED.</t>
        </is>
      </c>
      <c r="H56" s="13" t="inlineStr"/>
      <c r="I56" s="13" t="inlineStr"/>
      <c r="J56" s="13" t="inlineStr"/>
    </row>
    <row r="57">
      <c r="A57" s="13" t="inlineStr">
        <is>
          <t>TC-014</t>
        </is>
      </c>
      <c r="B57" s="13" t="inlineStr">
        <is>
          <t>VER-14</t>
        </is>
      </c>
      <c r="C57" s="13" t="inlineStr">
        <is>
          <t>One portal cannot see another portal’s data</t>
        </is>
      </c>
      <c r="D57" s="13" t="inlineStr">
        <is>
          <t>Negative</t>
        </is>
      </c>
      <c r="E57" s="14" t="n">
        <v>1</v>
      </c>
      <c r="F57" s="13" t="inlineStr">
        <is>
          <t>As portal 1, POST /api/pricebooks/defaults and note the book id.</t>
        </is>
      </c>
      <c r="G57" s="13" t="inlineStr">
        <is>
          <t>Created.</t>
        </is>
      </c>
      <c r="H57" s="13" t="inlineStr"/>
      <c r="I57" s="13" t="inlineStr"/>
      <c r="J57" s="13" t="inlineStr"/>
    </row>
    <row r="58">
      <c r="A58" s="13" t="inlineStr">
        <is>
          <t>TC-014</t>
        </is>
      </c>
      <c r="B58" s="13" t="inlineStr">
        <is>
          <t>VER-14</t>
        </is>
      </c>
      <c r="C58" s="13" t="inlineStr">
        <is>
          <t>One portal cannot see another portal’s data</t>
        </is>
      </c>
      <c r="D58" s="13" t="inlineStr">
        <is>
          <t>Negative</t>
        </is>
      </c>
      <c r="E58" s="14" t="n">
        <v>2</v>
      </c>
      <c r="F58" s="13" t="inlineStr">
        <is>
          <t>As portal 2, GET /api/pricebooks.</t>
        </is>
      </c>
      <c r="G58" s="13" t="inlineStr">
        <is>
          <t>Portal 1’s book is not listed.</t>
        </is>
      </c>
      <c r="H58" s="13" t="inlineStr"/>
      <c r="I58" s="13" t="inlineStr"/>
      <c r="J58" s="13" t="inlineStr"/>
    </row>
    <row r="59">
      <c r="A59" s="13" t="inlineStr">
        <is>
          <t>TC-014</t>
        </is>
      </c>
      <c r="B59" s="13" t="inlineStr">
        <is>
          <t>VER-14</t>
        </is>
      </c>
      <c r="C59" s="13" t="inlineStr">
        <is>
          <t>One portal cannot see another portal’s data</t>
        </is>
      </c>
      <c r="D59" s="13" t="inlineStr">
        <is>
          <t>Negative</t>
        </is>
      </c>
      <c r="E59" s="14" t="n">
        <v>3</v>
      </c>
      <c r="F59" s="13" t="inlineStr">
        <is>
          <t>As portal 2, GET /api/pricebooks/{portal 1 book id} directly.</t>
        </is>
      </c>
      <c r="G59" s="13" t="inlineStr">
        <is>
          <t>HTTP 404 — not 403, and certainly not 200.</t>
        </is>
      </c>
      <c r="H59" s="13" t="inlineStr"/>
      <c r="I59" s="13" t="inlineStr"/>
      <c r="J59" s="13" t="inlineStr"/>
    </row>
    <row r="60">
      <c r="A60" s="13" t="inlineStr">
        <is>
          <t>TC-014</t>
        </is>
      </c>
      <c r="B60" s="13" t="inlineStr">
        <is>
          <t>VER-14</t>
        </is>
      </c>
      <c r="C60" s="13" t="inlineStr">
        <is>
          <t>One portal cannot see another portal’s data</t>
        </is>
      </c>
      <c r="D60" s="13" t="inlineStr">
        <is>
          <t>Negative</t>
        </is>
      </c>
      <c r="E60" s="14" t="n">
        <v>4</v>
      </c>
      <c r="F60" s="13" t="inlineStr">
        <is>
          <t>In psql as the application role, SET the portal GUC to 2 and run SELECT * FROM price_books with NO portal filter.</t>
        </is>
      </c>
      <c r="G60" s="13" t="inlineStr">
        <is>
          <t>Zero of portal 1’s rows are returned — RLS, not the WHERE clause, is doing the work.</t>
        </is>
      </c>
      <c r="H60" s="13" t="inlineStr"/>
      <c r="I60" s="13" t="inlineStr"/>
      <c r="J60" s="13" t="inlineStr"/>
    </row>
    <row r="61">
      <c r="A61" s="13" t="inlineStr">
        <is>
          <t>TC-014</t>
        </is>
      </c>
      <c r="B61" s="13" t="inlineStr">
        <is>
          <t>VER-14</t>
        </is>
      </c>
      <c r="C61" s="13" t="inlineStr">
        <is>
          <t>One portal cannot see another portal’s data</t>
        </is>
      </c>
      <c r="D61" s="13" t="inlineStr">
        <is>
          <t>Negative</t>
        </is>
      </c>
      <c r="E61" s="14" t="n">
        <v>5</v>
      </c>
      <c r="F61" s="13" t="inlineStr">
        <is>
          <t>Run the same SELECT with no portal GUC set at all.</t>
        </is>
      </c>
      <c r="G61" s="13" t="inlineStr">
        <is>
          <t>Zero rows.</t>
        </is>
      </c>
      <c r="H61" s="13" t="inlineStr"/>
      <c r="I61" s="13" t="inlineStr"/>
      <c r="J61" s="13" t="inlineStr"/>
    </row>
    <row r="62">
      <c r="A62" s="13" t="inlineStr">
        <is>
          <t>TC-015</t>
        </is>
      </c>
      <c r="B62" s="13" t="inlineStr">
        <is>
          <t>VER-14</t>
        </is>
      </c>
      <c r="C62" s="13" t="inlineStr">
        <is>
          <t>The app refuses to serve as a superuser</t>
        </is>
      </c>
      <c r="D62" s="13" t="inlineStr">
        <is>
          <t>Negative</t>
        </is>
      </c>
      <c r="E62" s="14" t="n">
        <v>1</v>
      </c>
      <c r="F62" s="13" t="inlineStr">
        <is>
          <t>Point DATABASE_URL at a superuser account and start the app.</t>
        </is>
      </c>
      <c r="G62" s="13" t="inlineStr">
        <is>
          <t>Boot fails with an explicit refusal naming the role.</t>
        </is>
      </c>
      <c r="H62" s="13" t="inlineStr"/>
      <c r="I62" s="13" t="inlineStr"/>
      <c r="J62" s="13" t="inlineStr"/>
    </row>
    <row r="63">
      <c r="A63" s="13" t="inlineStr">
        <is>
          <t>TC-015</t>
        </is>
      </c>
      <c r="B63" s="13" t="inlineStr">
        <is>
          <t>VER-14</t>
        </is>
      </c>
      <c r="C63" s="13" t="inlineStr">
        <is>
          <t>The app refuses to serve as a superuser</t>
        </is>
      </c>
      <c r="D63" s="13" t="inlineStr">
        <is>
          <t>Negative</t>
        </is>
      </c>
      <c r="E63" s="14" t="n">
        <v>2</v>
      </c>
      <c r="F63" s="13" t="inlineStr">
        <is>
          <t>Point it at a role with BYPASSRLS.</t>
        </is>
      </c>
      <c r="G63" s="13" t="inlineStr">
        <is>
          <t>Boot fails the same way.</t>
        </is>
      </c>
      <c r="H63" s="13" t="inlineStr"/>
      <c r="I63" s="13" t="inlineStr"/>
      <c r="J63" s="13" t="inlineStr"/>
    </row>
    <row r="64">
      <c r="A64" s="13" t="inlineStr">
        <is>
          <t>TC-015</t>
        </is>
      </c>
      <c r="B64" s="13" t="inlineStr">
        <is>
          <t>VER-14</t>
        </is>
      </c>
      <c r="C64" s="13" t="inlineStr">
        <is>
          <t>The app refuses to serve as a superuser</t>
        </is>
      </c>
      <c r="D64" s="13" t="inlineStr">
        <is>
          <t>Negative</t>
        </is>
      </c>
      <c r="E64" s="14" t="n">
        <v>3</v>
      </c>
      <c r="F64" s="13" t="inlineStr">
        <is>
          <t>Point it at the quoteflow_app role (no superuser, no BYPASSRLS).</t>
        </is>
      </c>
      <c r="G64" s="13" t="inlineStr">
        <is>
          <t>Boot succeeds.</t>
        </is>
      </c>
      <c r="H64" s="13" t="inlineStr"/>
      <c r="I64" s="13" t="inlineStr"/>
      <c r="J64" s="13" t="inlineStr"/>
    </row>
    <row r="65">
      <c r="A65" s="4" t="inlineStr">
        <is>
          <t>TC-016</t>
        </is>
      </c>
      <c r="B65" s="4" t="inlineStr">
        <is>
          <t>VER-14</t>
        </is>
      </c>
      <c r="C65" s="4" t="inlineStr">
        <is>
          <t>Nothing is lost across a restart</t>
        </is>
      </c>
      <c r="D65" s="4" t="inlineStr">
        <is>
          <t>Positive</t>
        </is>
      </c>
      <c r="E65" s="16" t="n">
        <v>1</v>
      </c>
      <c r="F65" s="4" t="inlineStr">
        <is>
          <t>Create a price book, raise an approval request, and record a quote.</t>
        </is>
      </c>
      <c r="G65" s="4" t="inlineStr">
        <is>
          <t>All three succeed.</t>
        </is>
      </c>
      <c r="H65" s="4" t="inlineStr"/>
      <c r="I65" s="4" t="inlineStr"/>
      <c r="J65" s="4" t="inlineStr"/>
    </row>
    <row r="66">
      <c r="A66" s="3" t="inlineStr">
        <is>
          <t>TC-016</t>
        </is>
      </c>
      <c r="B66" s="3" t="inlineStr">
        <is>
          <t>VER-14</t>
        </is>
      </c>
      <c r="C66" s="3" t="inlineStr">
        <is>
          <t>Nothing is lost across a restart</t>
        </is>
      </c>
      <c r="D66" s="3" t="inlineStr">
        <is>
          <t>Positive</t>
        </is>
      </c>
      <c r="E66" s="11" t="n">
        <v>2</v>
      </c>
      <c r="F66" s="3" t="inlineStr">
        <is>
          <t>Stop the process entirely and start it again.</t>
        </is>
      </c>
      <c r="G66" s="3" t="inlineStr">
        <is>
          <t>The app boots.</t>
        </is>
      </c>
      <c r="H66" s="3" t="inlineStr"/>
      <c r="I66" s="3" t="inlineStr"/>
      <c r="J66" s="3" t="inlineStr"/>
    </row>
    <row r="67">
      <c r="A67" s="4" t="inlineStr">
        <is>
          <t>TC-016</t>
        </is>
      </c>
      <c r="B67" s="4" t="inlineStr">
        <is>
          <t>VER-14</t>
        </is>
      </c>
      <c r="C67" s="4" t="inlineStr">
        <is>
          <t>Nothing is lost across a restart</t>
        </is>
      </c>
      <c r="D67" s="4" t="inlineStr">
        <is>
          <t>Positive</t>
        </is>
      </c>
      <c r="E67" s="16" t="n">
        <v>3</v>
      </c>
      <c r="F67" s="4" t="inlineStr">
        <is>
          <t>Re-read all three.</t>
        </is>
      </c>
      <c r="G67" s="4" t="inlineStr">
        <is>
          <t>All present, with the same ids and states.</t>
        </is>
      </c>
      <c r="H67" s="4" t="inlineStr"/>
      <c r="I67" s="4" t="inlineStr"/>
      <c r="J67" s="4" t="inlineStr"/>
    </row>
    <row r="68">
      <c r="A68" s="3" t="inlineStr">
        <is>
          <t>TC-016</t>
        </is>
      </c>
      <c r="B68" s="3" t="inlineStr">
        <is>
          <t>VER-14</t>
        </is>
      </c>
      <c r="C68" s="3" t="inlineStr">
        <is>
          <t>Nothing is lost across a restart</t>
        </is>
      </c>
      <c r="D68" s="3" t="inlineStr">
        <is>
          <t>Positive</t>
        </is>
      </c>
      <c r="E68" s="11" t="n">
        <v>4</v>
      </c>
      <c r="F68" s="3" t="inlineStr">
        <is>
          <t>Start a SECOND instance against the same database and read from it.</t>
        </is>
      </c>
      <c r="G68" s="3" t="inlineStr">
        <is>
          <t>It sees the same data with no reload step and does not refuse to start.</t>
        </is>
      </c>
      <c r="H68" s="3" t="inlineStr"/>
      <c r="I68" s="3" t="inlineStr"/>
      <c r="J68" s="3" t="inlineStr"/>
    </row>
    <row r="69">
      <c r="A69" s="13" t="inlineStr">
        <is>
          <t>TC-017</t>
        </is>
      </c>
      <c r="B69" s="13" t="inlineStr">
        <is>
          <t>VER-14</t>
        </is>
      </c>
      <c r="C69" s="13" t="inlineStr">
        <is>
          <t>A failed notification is retried, then dead-lettered — never dropped</t>
        </is>
      </c>
      <c r="D69" s="13" t="inlineStr">
        <is>
          <t>Negative</t>
        </is>
      </c>
      <c r="E69" s="14" t="n">
        <v>1</v>
      </c>
      <c r="F69" s="13" t="inlineStr">
        <is>
          <t>Point QF_EMAIL_URL at an endpoint returning 503 and trigger an approval notification.</t>
        </is>
      </c>
      <c r="G69" s="13" t="inlineStr">
        <is>
          <t>The API call still succeeds — mail is not on the request path.</t>
        </is>
      </c>
      <c r="H69" s="13" t="inlineStr"/>
      <c r="I69" s="13" t="inlineStr"/>
      <c r="J69" s="13" t="inlineStr"/>
    </row>
    <row r="70">
      <c r="A70" s="13" t="inlineStr">
        <is>
          <t>TC-017</t>
        </is>
      </c>
      <c r="B70" s="13" t="inlineStr">
        <is>
          <t>VER-14</t>
        </is>
      </c>
      <c r="C70" s="13" t="inlineStr">
        <is>
          <t>A failed notification is retried, then dead-lettered — never dropped</t>
        </is>
      </c>
      <c r="D70" s="13" t="inlineStr">
        <is>
          <t>Negative</t>
        </is>
      </c>
      <c r="E70" s="14" t="n">
        <v>2</v>
      </c>
      <c r="F70" s="13" t="inlineStr">
        <is>
          <t>Inspect the outbox.</t>
        </is>
      </c>
      <c r="G70" s="13" t="inlineStr">
        <is>
          <t>A job exists with an attempt count and a future run time (backoff).</t>
        </is>
      </c>
      <c r="H70" s="13" t="inlineStr"/>
      <c r="I70" s="13" t="inlineStr"/>
      <c r="J70" s="13" t="inlineStr"/>
    </row>
    <row r="71">
      <c r="A71" s="13" t="inlineStr">
        <is>
          <t>TC-017</t>
        </is>
      </c>
      <c r="B71" s="13" t="inlineStr">
        <is>
          <t>VER-14</t>
        </is>
      </c>
      <c r="C71" s="13" t="inlineStr">
        <is>
          <t>A failed notification is retried, then dead-lettered — never dropped</t>
        </is>
      </c>
      <c r="D71" s="13" t="inlineStr">
        <is>
          <t>Negative</t>
        </is>
      </c>
      <c r="E71" s="14" t="n">
        <v>3</v>
      </c>
      <c r="F71" s="13" t="inlineStr">
        <is>
          <t>Leave the endpoint failing until max attempts are exhausted.</t>
        </is>
      </c>
      <c r="G71" s="13" t="inlineStr">
        <is>
          <t>The job moves to dead-letter; it is visible, not silently discarded.</t>
        </is>
      </c>
      <c r="H71" s="13" t="inlineStr"/>
      <c r="I71" s="13" t="inlineStr"/>
      <c r="J71" s="13" t="inlineStr"/>
    </row>
    <row r="72">
      <c r="A72" s="13" t="inlineStr">
        <is>
          <t>TC-017</t>
        </is>
      </c>
      <c r="B72" s="13" t="inlineStr">
        <is>
          <t>VER-14</t>
        </is>
      </c>
      <c r="C72" s="13" t="inlineStr">
        <is>
          <t>A failed notification is retried, then dead-lettered — never dropped</t>
        </is>
      </c>
      <c r="D72" s="13" t="inlineStr">
        <is>
          <t>Negative</t>
        </is>
      </c>
      <c r="E72" s="14" t="n">
        <v>4</v>
      </c>
      <c r="F72" s="13" t="inlineStr">
        <is>
          <t>Point the endpoint at a healthy stub and replay the dead-lettered job.</t>
        </is>
      </c>
      <c r="G72" s="13" t="inlineStr">
        <is>
          <t>It is delivered.</t>
        </is>
      </c>
      <c r="H72" s="13" t="inlineStr"/>
      <c r="I72" s="13" t="inlineStr"/>
      <c r="J72" s="13" t="inlineStr"/>
    </row>
    <row r="73">
      <c r="A73" s="13" t="inlineStr">
        <is>
          <t>TC-017</t>
        </is>
      </c>
      <c r="B73" s="13" t="inlineStr">
        <is>
          <t>VER-14</t>
        </is>
      </c>
      <c r="C73" s="13" t="inlineStr">
        <is>
          <t>A failed notification is retried, then dead-lettered — never dropped</t>
        </is>
      </c>
      <c r="D73" s="13" t="inlineStr">
        <is>
          <t>Negative</t>
        </is>
      </c>
      <c r="E73" s="14" t="n">
        <v>5</v>
      </c>
      <c r="F73" s="13" t="inlineStr">
        <is>
          <t>Trigger a notification for a userId that is not an email address and has no directory entry.</t>
        </is>
      </c>
      <c r="G73" s="13" t="inlineStr">
        <is>
          <t>It dead-letters immediately with EMAIL_RECIPIENT_UNKNOWN rather than retrying forever.</t>
        </is>
      </c>
      <c r="H73" s="13" t="inlineStr"/>
      <c r="I73" s="13" t="inlineStr"/>
      <c r="J73" s="13" t="inlineStr"/>
    </row>
    <row r="74">
      <c r="A74" s="13" t="inlineStr">
        <is>
          <t>TC-018</t>
        </is>
      </c>
      <c r="B74" s="13" t="inlineStr">
        <is>
          <t>VER-14</t>
        </is>
      </c>
      <c r="C74" s="13" t="inlineStr">
        <is>
          <t>Rate limits and body limits hold</t>
        </is>
      </c>
      <c r="D74" s="13" t="inlineStr">
        <is>
          <t>Negative</t>
        </is>
      </c>
      <c r="E74" s="14" t="n">
        <v>1</v>
      </c>
      <c r="F74" s="13" t="inlineStr">
        <is>
          <t>Send requests rapidly until refused.</t>
        </is>
      </c>
      <c r="G74" s="13" t="inlineStr">
        <is>
          <t>HTTP 429 with a Retry-After header.</t>
        </is>
      </c>
      <c r="H74" s="13" t="inlineStr"/>
      <c r="I74" s="13" t="inlineStr"/>
      <c r="J74" s="13" t="inlineStr"/>
    </row>
    <row r="75">
      <c r="A75" s="13" t="inlineStr">
        <is>
          <t>TC-018</t>
        </is>
      </c>
      <c r="B75" s="13" t="inlineStr">
        <is>
          <t>VER-14</t>
        </is>
      </c>
      <c r="C75" s="13" t="inlineStr">
        <is>
          <t>Rate limits and body limits hold</t>
        </is>
      </c>
      <c r="D75" s="13" t="inlineStr">
        <is>
          <t>Negative</t>
        </is>
      </c>
      <c r="E75" s="14" t="n">
        <v>2</v>
      </c>
      <c r="F75" s="13" t="inlineStr">
        <is>
          <t>Wait the advertised time and retry.</t>
        </is>
      </c>
      <c r="G75" s="13" t="inlineStr">
        <is>
          <t>HTTP 200 — the bucket refilled.</t>
        </is>
      </c>
      <c r="H75" s="13" t="inlineStr"/>
      <c r="I75" s="13" t="inlineStr"/>
      <c r="J75" s="13" t="inlineStr"/>
    </row>
    <row r="76">
      <c r="A76" s="13" t="inlineStr">
        <is>
          <t>TC-018</t>
        </is>
      </c>
      <c r="B76" s="13" t="inlineStr">
        <is>
          <t>VER-14</t>
        </is>
      </c>
      <c r="C76" s="13" t="inlineStr">
        <is>
          <t>Rate limits and body limits hold</t>
        </is>
      </c>
      <c r="D76" s="13" t="inlineStr">
        <is>
          <t>Negative</t>
        </is>
      </c>
      <c r="E76" s="14" t="n">
        <v>3</v>
      </c>
      <c r="F76" s="13" t="inlineStr">
        <is>
          <t>POST a JSON body larger than 256kb.</t>
        </is>
      </c>
      <c r="G76" s="13" t="inlineStr">
        <is>
          <t>HTTP 413, code BODY_TOO_LARGE.</t>
        </is>
      </c>
      <c r="H76" s="13" t="inlineStr"/>
      <c r="I76" s="13" t="inlineStr"/>
      <c r="J76" s="13" t="inlineStr"/>
    </row>
    <row r="77">
      <c r="A77" s="13" t="inlineStr">
        <is>
          <t>TC-018</t>
        </is>
      </c>
      <c r="B77" s="13" t="inlineStr">
        <is>
          <t>VER-14</t>
        </is>
      </c>
      <c r="C77" s="13" t="inlineStr">
        <is>
          <t>Rate limits and body limits hold</t>
        </is>
      </c>
      <c r="D77" s="13" t="inlineStr">
        <is>
          <t>Negative</t>
        </is>
      </c>
      <c r="E77" s="14" t="n">
        <v>4</v>
      </c>
      <c r="F77" s="13" t="inlineStr">
        <is>
          <t>POST a malformed JSON body.</t>
        </is>
      </c>
      <c r="G77" s="13" t="inlineStr">
        <is>
          <t>HTTP 400, code BODY_INVALID — not a 500.</t>
        </is>
      </c>
      <c r="H77" s="13" t="inlineStr"/>
      <c r="I77" s="13" t="inlineStr"/>
      <c r="J77" s="13" t="inlineStr"/>
    </row>
    <row r="78">
      <c r="A78" s="13" t="inlineStr">
        <is>
          <t>TC-018</t>
        </is>
      </c>
      <c r="B78" s="13" t="inlineStr">
        <is>
          <t>VER-14</t>
        </is>
      </c>
      <c r="C78" s="13" t="inlineStr">
        <is>
          <t>Rate limits and body limits hold</t>
        </is>
      </c>
      <c r="D78" s="13" t="inlineStr">
        <is>
          <t>Negative</t>
        </is>
      </c>
      <c r="E78" s="14" t="n">
        <v>5</v>
      </c>
      <c r="F78" s="13" t="inlineStr">
        <is>
          <t>Inspect response headers on any request.</t>
        </is>
      </c>
      <c r="G78" s="13" t="inlineStr">
        <is>
          <t>CSP with frame-ancestors scoped to HubSpot, nosniff and a referrer policy are present.</t>
        </is>
      </c>
      <c r="H78" s="13" t="inlineStr"/>
      <c r="I78" s="13" t="inlineStr"/>
      <c r="J78" s="13" t="inlineStr"/>
    </row>
    <row r="79">
      <c r="A79" s="4" t="inlineStr">
        <is>
          <t>TC-019</t>
        </is>
      </c>
      <c r="B79" s="4" t="inlineStr">
        <is>
          <t>VER-15</t>
        </is>
      </c>
      <c r="C79" s="4" t="inlineStr">
        <is>
          <t>A product model is saved and listed</t>
        </is>
      </c>
      <c r="D79" s="4" t="inlineStr">
        <is>
          <t>Positive</t>
        </is>
      </c>
      <c r="E79" s="16" t="n">
        <v>1</v>
      </c>
      <c r="F79" s="4" t="inlineStr">
        <is>
          <t>PUT /api/config/models/pm-1 with a valid model (groups, options, rules).</t>
        </is>
      </c>
      <c r="G79" s="4" t="inlineStr">
        <is>
          <t>HTTP 200 and the model is echoed.</t>
        </is>
      </c>
      <c r="H79" s="4" t="inlineStr"/>
      <c r="I79" s="4" t="inlineStr"/>
      <c r="J79" s="4" t="inlineStr"/>
    </row>
    <row r="80">
      <c r="A80" s="3" t="inlineStr">
        <is>
          <t>TC-019</t>
        </is>
      </c>
      <c r="B80" s="3" t="inlineStr">
        <is>
          <t>VER-15</t>
        </is>
      </c>
      <c r="C80" s="3" t="inlineStr">
        <is>
          <t>A product model is saved and listed</t>
        </is>
      </c>
      <c r="D80" s="3" t="inlineStr">
        <is>
          <t>Positive</t>
        </is>
      </c>
      <c r="E80" s="11" t="n">
        <v>2</v>
      </c>
      <c r="F80" s="3" t="inlineStr">
        <is>
          <t>GET /api/config/models as a member.</t>
        </is>
      </c>
      <c r="G80" s="3" t="inlineStr">
        <is>
          <t>The model is listed.</t>
        </is>
      </c>
      <c r="H80" s="3" t="inlineStr"/>
      <c r="I80" s="3" t="inlineStr"/>
      <c r="J80" s="3" t="inlineStr"/>
    </row>
    <row r="81">
      <c r="A81" s="4" t="inlineStr">
        <is>
          <t>TC-019</t>
        </is>
      </c>
      <c r="B81" s="4" t="inlineStr">
        <is>
          <t>VER-15</t>
        </is>
      </c>
      <c r="C81" s="4" t="inlineStr">
        <is>
          <t>A product model is saved and listed</t>
        </is>
      </c>
      <c r="D81" s="4" t="inlineStr">
        <is>
          <t>Positive</t>
        </is>
      </c>
      <c r="E81" s="16" t="n">
        <v>3</v>
      </c>
      <c r="F81" s="4" t="inlineStr">
        <is>
          <t>Restart the app and GET again.</t>
        </is>
      </c>
      <c r="G81" s="4" t="inlineStr">
        <is>
          <t>Still listed — it is in the database.</t>
        </is>
      </c>
      <c r="H81" s="4" t="inlineStr"/>
      <c r="I81" s="4" t="inlineStr"/>
      <c r="J81" s="4" t="inlineStr"/>
    </row>
    <row r="82">
      <c r="A82" s="3" t="inlineStr">
        <is>
          <t>TC-019</t>
        </is>
      </c>
      <c r="B82" s="3" t="inlineStr">
        <is>
          <t>VER-15</t>
        </is>
      </c>
      <c r="C82" s="3" t="inlineStr">
        <is>
          <t>A product model is saved and listed</t>
        </is>
      </c>
      <c r="D82" s="3" t="inlineStr">
        <is>
          <t>Positive</t>
        </is>
      </c>
      <c r="E82" s="11" t="n">
        <v>4</v>
      </c>
      <c r="F82" s="3" t="inlineStr">
        <is>
          <t>Read the audit trail.</t>
        </is>
      </c>
      <c r="G82" s="3" t="inlineStr">
        <is>
          <t>A config.model.save entry exists with the actor.</t>
        </is>
      </c>
      <c r="H82" s="3" t="inlineStr"/>
      <c r="I82" s="3" t="inlineStr"/>
      <c r="J82" s="3" t="inlineStr"/>
    </row>
    <row r="83">
      <c r="A83" s="13" t="inlineStr">
        <is>
          <t>TC-020</t>
        </is>
      </c>
      <c r="B83" s="13" t="inlineStr">
        <is>
          <t>VER-15</t>
        </is>
      </c>
      <c r="C83" s="13" t="inlineStr">
        <is>
          <t>A contradictory rule set is refused at save time</t>
        </is>
      </c>
      <c r="D83" s="13" t="inlineStr">
        <is>
          <t>Negative</t>
        </is>
      </c>
      <c r="E83" s="14" t="n">
        <v>1</v>
      </c>
      <c r="F83" s="13" t="inlineStr">
        <is>
          <t>PUT the same model with an extra rule: o-cell EXCLUDES o-1g, while o-cell already IMPLIES o-1g.</t>
        </is>
      </c>
      <c r="G83" s="13" t="inlineStr">
        <is>
          <t>HTTP 400, code CONFIG_MODEL_INVALID.</t>
        </is>
      </c>
      <c r="H83" s="13" t="inlineStr"/>
      <c r="I83" s="13" t="inlineStr"/>
      <c r="J83" s="13" t="inlineStr"/>
    </row>
    <row r="84">
      <c r="A84" s="13" t="inlineStr">
        <is>
          <t>TC-020</t>
        </is>
      </c>
      <c r="B84" s="13" t="inlineStr">
        <is>
          <t>VER-15</t>
        </is>
      </c>
      <c r="C84" s="13" t="inlineStr">
        <is>
          <t>A contradictory rule set is refused at save time</t>
        </is>
      </c>
      <c r="D84" s="13" t="inlineStr">
        <is>
          <t>Negative</t>
        </is>
      </c>
      <c r="E84" s="14" t="n">
        <v>2</v>
      </c>
      <c r="F84" s="13" t="inlineStr">
        <is>
          <t>Read the problems array in the response.</t>
        </is>
      </c>
      <c r="G84" s="13" t="inlineStr">
        <is>
          <t>It contains CONTRADICTORY_RULES and names the rule ids involved.</t>
        </is>
      </c>
      <c r="H84" s="13" t="inlineStr"/>
      <c r="I84" s="13" t="inlineStr"/>
      <c r="J84" s="13" t="inlineStr"/>
    </row>
    <row r="85">
      <c r="A85" s="13" t="inlineStr">
        <is>
          <t>TC-020</t>
        </is>
      </c>
      <c r="B85" s="13" t="inlineStr">
        <is>
          <t>VER-15</t>
        </is>
      </c>
      <c r="C85" s="13" t="inlineStr">
        <is>
          <t>A contradictory rule set is refused at save time</t>
        </is>
      </c>
      <c r="D85" s="13" t="inlineStr">
        <is>
          <t>Negative</t>
        </is>
      </c>
      <c r="E85" s="14" t="n">
        <v>3</v>
      </c>
      <c r="F85" s="13" t="inlineStr">
        <is>
          <t>GET /api/config/models.</t>
        </is>
      </c>
      <c r="G85" s="13" t="inlineStr">
        <is>
          <t>The previously saved, valid model is unchanged — the bad save did not partially apply.</t>
        </is>
      </c>
      <c r="H85" s="13" t="inlineStr"/>
      <c r="I85" s="13" t="inlineStr"/>
      <c r="J85" s="13" t="inlineStr"/>
    </row>
    <row r="86">
      <c r="A86" s="13" t="inlineStr">
        <is>
          <t>TC-020</t>
        </is>
      </c>
      <c r="B86" s="13" t="inlineStr">
        <is>
          <t>VER-15</t>
        </is>
      </c>
      <c r="C86" s="13" t="inlineStr">
        <is>
          <t>A contradictory rule set is refused at save time</t>
        </is>
      </c>
      <c r="D86" s="13" t="inlineStr">
        <is>
          <t>Negative</t>
        </is>
      </c>
      <c r="E86" s="14" t="n">
        <v>4</v>
      </c>
      <c r="F86" s="13" t="inlineStr">
        <is>
          <t>Try a model where option A excludes itself.</t>
        </is>
      </c>
      <c r="G86" s="13" t="inlineStr">
        <is>
          <t>Refused with SELF_EXCLUSION.</t>
        </is>
      </c>
      <c r="H86" s="13" t="inlineStr"/>
      <c r="I86" s="13" t="inlineStr"/>
      <c r="J86" s="13" t="inlineStr"/>
    </row>
    <row r="87">
      <c r="A87" s="13" t="inlineStr">
        <is>
          <t>TC-020</t>
        </is>
      </c>
      <c r="B87" s="13" t="inlineStr">
        <is>
          <t>VER-15</t>
        </is>
      </c>
      <c r="C87" s="13" t="inlineStr">
        <is>
          <t>A contradictory rule set is refused at save time</t>
        </is>
      </c>
      <c r="D87" s="13" t="inlineStr">
        <is>
          <t>Negative</t>
        </is>
      </c>
      <c r="E87" s="14" t="n">
        <v>5</v>
      </c>
      <c r="F87" s="13" t="inlineStr">
        <is>
          <t>Try a model with an implication cycle A→B→A.</t>
        </is>
      </c>
      <c r="G87" s="13" t="inlineStr">
        <is>
          <t>Refused with IMPLIES_CYCLE.</t>
        </is>
      </c>
      <c r="H87" s="13" t="inlineStr"/>
      <c r="I87" s="13" t="inlineStr"/>
      <c r="J87" s="13" t="inlineStr"/>
    </row>
    <row r="88">
      <c r="A88" s="3" t="inlineStr">
        <is>
          <t>TC-021</t>
        </is>
      </c>
      <c r="B88" s="3" t="inlineStr">
        <is>
          <t>VER-15</t>
        </is>
      </c>
      <c r="C88" s="3" t="inlineStr">
        <is>
          <t>Configuring explains every decision</t>
        </is>
      </c>
      <c r="D88" s="3" t="inlineStr">
        <is>
          <t>Positive</t>
        </is>
      </c>
      <c r="E88" s="11" t="n">
        <v>1</v>
      </c>
      <c r="F88" s="3" t="inlineStr">
        <is>
          <t>POST /api/config/models/pm-1/configure with {"selected":["o-cell"]}.</t>
        </is>
      </c>
      <c r="G88" s="3" t="inlineStr">
        <is>
          <t>HTTP 200.</t>
        </is>
      </c>
      <c r="H88" s="3" t="inlineStr"/>
      <c r="I88" s="3" t="inlineStr"/>
      <c r="J88" s="3" t="inlineStr"/>
    </row>
    <row r="89">
      <c r="A89" s="4" t="inlineStr">
        <is>
          <t>TC-021</t>
        </is>
      </c>
      <c r="B89" s="4" t="inlineStr">
        <is>
          <t>VER-15</t>
        </is>
      </c>
      <c r="C89" s="4" t="inlineStr">
        <is>
          <t>Configuring explains every decision</t>
        </is>
      </c>
      <c r="D89" s="4" t="inlineStr">
        <is>
          <t>Positive</t>
        </is>
      </c>
      <c r="E89" s="16" t="n">
        <v>2</v>
      </c>
      <c r="F89" s="4" t="inlineStr">
        <is>
          <t>Read result.selected.</t>
        </is>
      </c>
      <c r="G89" s="4" t="inlineStr">
        <is>
          <t>It includes o-1g, which the rep did not pick — it was implied.</t>
        </is>
      </c>
      <c r="H89" s="4" t="inlineStr"/>
      <c r="I89" s="4" t="inlineStr"/>
      <c r="J89" s="4" t="inlineStr"/>
    </row>
    <row r="90">
      <c r="A90" s="3" t="inlineStr">
        <is>
          <t>TC-021</t>
        </is>
      </c>
      <c r="B90" s="3" t="inlineStr">
        <is>
          <t>VER-15</t>
        </is>
      </c>
      <c r="C90" s="3" t="inlineStr">
        <is>
          <t>Configuring explains every decision</t>
        </is>
      </c>
      <c r="D90" s="3" t="inlineStr">
        <is>
          <t>Positive</t>
        </is>
      </c>
      <c r="E90" s="11" t="n">
        <v>3</v>
      </c>
      <c r="F90" s="3" t="inlineStr">
        <is>
          <t>Read the explanation array.</t>
        </is>
      </c>
      <c r="G90" s="3" t="inlineStr">
        <is>
          <t>A line reads "o-1g: added automatically — Cellular ships with the 1 GB plan (r-1)" — the rule id is named.</t>
        </is>
      </c>
      <c r="H90" s="3" t="inlineStr"/>
      <c r="I90" s="3" t="inlineStr"/>
      <c r="J90" s="3" t="inlineStr"/>
    </row>
    <row r="91">
      <c r="A91" s="4" t="inlineStr">
        <is>
          <t>TC-021</t>
        </is>
      </c>
      <c r="B91" s="4" t="inlineStr">
        <is>
          <t>VER-15</t>
        </is>
      </c>
      <c r="C91" s="4" t="inlineStr">
        <is>
          <t>Configuring explains every decision</t>
        </is>
      </c>
      <c r="D91" s="4" t="inlineStr">
        <is>
          <t>Positive</t>
        </is>
      </c>
      <c r="E91" s="16" t="n">
        <v>4</v>
      </c>
      <c r="F91" s="4" t="inlineStr">
        <is>
          <t>Read result.blocked.</t>
        </is>
      </c>
      <c r="G91" s="4" t="inlineStr">
        <is>
          <t>o-10g appears with the id of the rule that blocks it.</t>
        </is>
      </c>
      <c r="H91" s="4" t="inlineStr"/>
      <c r="I91" s="4" t="inlineStr"/>
      <c r="J91" s="4" t="inlineStr"/>
    </row>
    <row r="92">
      <c r="A92" s="3" t="inlineStr">
        <is>
          <t>TC-021</t>
        </is>
      </c>
      <c r="B92" s="3" t="inlineStr">
        <is>
          <t>VER-15</t>
        </is>
      </c>
      <c r="C92" s="3" t="inlineStr">
        <is>
          <t>Configuring explains every decision</t>
        </is>
      </c>
      <c r="D92" s="3" t="inlineStr">
        <is>
          <t>Positive</t>
        </is>
      </c>
      <c r="E92" s="11" t="n">
        <v>5</v>
      </c>
      <c r="F92" s="3" t="inlineStr">
        <is>
          <t>POST the same request again.</t>
        </is>
      </c>
      <c r="G92" s="3" t="inlineStr">
        <is>
          <t>Byte-identical output — the solver is deterministic.</t>
        </is>
      </c>
      <c r="H92" s="3" t="inlineStr"/>
      <c r="I92" s="3" t="inlineStr"/>
      <c r="J92" s="3" t="inlineStr"/>
    </row>
    <row r="93">
      <c r="A93" s="13" t="inlineStr">
        <is>
          <t>TC-022</t>
        </is>
      </c>
      <c r="B93" s="13" t="inlineStr">
        <is>
          <t>VER-15</t>
        </is>
      </c>
      <c r="C93" s="13" t="inlineStr">
        <is>
          <t>Invalid selections are reported, not silently dropped</t>
        </is>
      </c>
      <c r="D93" s="13" t="inlineStr">
        <is>
          <t>Negative</t>
        </is>
      </c>
      <c r="E93" s="14" t="n">
        <v>1</v>
      </c>
      <c r="F93" s="13" t="inlineStr">
        <is>
          <t>POST configure with {"selected":["o-does-not-exist"]}.</t>
        </is>
      </c>
      <c r="G93" s="13" t="inlineStr">
        <is>
          <t>The response reports OPTION_UNKNOWN naming that id; it is not ignored.</t>
        </is>
      </c>
      <c r="H93" s="13" t="inlineStr"/>
      <c r="I93" s="13" t="inlineStr"/>
      <c r="J93" s="13" t="inlineStr"/>
    </row>
    <row r="94">
      <c r="A94" s="13" t="inlineStr">
        <is>
          <t>TC-022</t>
        </is>
      </c>
      <c r="B94" s="13" t="inlineStr">
        <is>
          <t>VER-15</t>
        </is>
      </c>
      <c r="C94" s="13" t="inlineStr">
        <is>
          <t>Invalid selections are reported, not silently dropped</t>
        </is>
      </c>
      <c r="D94" s="13" t="inlineStr">
        <is>
          <t>Negative</t>
        </is>
      </c>
      <c r="E94" s="14" t="n">
        <v>2</v>
      </c>
      <c r="F94" s="13" t="inlineStr">
        <is>
          <t>POST configure with {"selected":"o-gw"} (a string, not an array).</t>
        </is>
      </c>
      <c r="G94" s="13" t="inlineStr">
        <is>
          <t>HTTP 400, code CONFIG_SELECTION_INVALID.</t>
        </is>
      </c>
      <c r="H94" s="13" t="inlineStr"/>
      <c r="I94" s="13" t="inlineStr"/>
      <c r="J94" s="13" t="inlineStr"/>
    </row>
    <row r="95">
      <c r="A95" s="13" t="inlineStr">
        <is>
          <t>TC-022</t>
        </is>
      </c>
      <c r="B95" s="13" t="inlineStr">
        <is>
          <t>VER-15</t>
        </is>
      </c>
      <c r="C95" s="13" t="inlineStr">
        <is>
          <t>Invalid selections are reported, not silently dropped</t>
        </is>
      </c>
      <c r="D95" s="13" t="inlineStr">
        <is>
          <t>Negative</t>
        </is>
      </c>
      <c r="E95" s="14" t="n">
        <v>3</v>
      </c>
      <c r="F95" s="13" t="inlineStr">
        <is>
          <t>POST configure against a model id that does not exist.</t>
        </is>
      </c>
      <c r="G95" s="13" t="inlineStr">
        <is>
          <t>HTTP 404.</t>
        </is>
      </c>
      <c r="H95" s="13" t="inlineStr"/>
      <c r="I95" s="13" t="inlineStr"/>
      <c r="J95" s="13" t="inlineStr"/>
    </row>
    <row r="96">
      <c r="A96" s="13" t="inlineStr">
        <is>
          <t>TC-022</t>
        </is>
      </c>
      <c r="B96" s="13" t="inlineStr">
        <is>
          <t>VER-15</t>
        </is>
      </c>
      <c r="C96" s="13" t="inlineStr">
        <is>
          <t>Invalid selections are reported, not silently dropped</t>
        </is>
      </c>
      <c r="D96" s="13" t="inlineStr">
        <is>
          <t>Negative</t>
        </is>
      </c>
      <c r="E96" s="14" t="n">
        <v>4</v>
      </c>
      <c r="F96" s="13" t="inlineStr">
        <is>
          <t>POST configure choosing two mutually exclusive options the rep picked deliberately.</t>
        </is>
      </c>
      <c r="G96" s="13" t="inlineStr">
        <is>
          <t>The configuration is reported INVALID with MUTUAL_EXCLUSION — neither of the rep’s own choices is discarded behind their back.</t>
        </is>
      </c>
      <c r="H96" s="13" t="inlineStr"/>
      <c r="I96" s="13" t="inlineStr"/>
      <c r="J96" s="13" t="inlineStr"/>
    </row>
    <row r="97">
      <c r="A97" s="4" t="inlineStr">
        <is>
          <t>TC-023</t>
        </is>
      </c>
      <c r="B97" s="4" t="inlineStr">
        <is>
          <t>VER-15</t>
        </is>
      </c>
      <c r="C97" s="4" t="inlineStr">
        <is>
          <t>A quote prices with a full audit waterfall</t>
        </is>
      </c>
      <c r="D97" s="4" t="inlineStr">
        <is>
          <t>Positive</t>
        </is>
      </c>
      <c r="E97" s="16" t="n">
        <v>1</v>
      </c>
      <c r="F97" s="4" t="inlineStr">
        <is>
          <t>POST /api/pricing/cat-1/quote with 10 seats in USD.</t>
        </is>
      </c>
      <c r="G97" s="4" t="inlineStr">
        <is>
          <t>HTTP 200.</t>
        </is>
      </c>
      <c r="H97" s="4" t="inlineStr"/>
      <c r="I97" s="4" t="inlineStr"/>
      <c r="J97" s="4" t="inlineStr"/>
    </row>
    <row r="98">
      <c r="A98" s="3" t="inlineStr">
        <is>
          <t>TC-023</t>
        </is>
      </c>
      <c r="B98" s="3" t="inlineStr">
        <is>
          <t>VER-15</t>
        </is>
      </c>
      <c r="C98" s="3" t="inlineStr">
        <is>
          <t>A quote prices with a full audit waterfall</t>
        </is>
      </c>
      <c r="D98" s="3" t="inlineStr">
        <is>
          <t>Positive</t>
        </is>
      </c>
      <c r="E98" s="11" t="n">
        <v>2</v>
      </c>
      <c r="F98" s="3" t="inlineStr">
        <is>
          <t>Read quote.lines[0].waterfall.</t>
        </is>
      </c>
      <c r="G98" s="3" t="inlineStr">
        <is>
          <t>Steps appear in order: list, book, bundle, rule, discount, channel, floor, fx.</t>
        </is>
      </c>
      <c r="H98" s="3" t="inlineStr"/>
      <c r="I98" s="3" t="inlineStr"/>
      <c r="J98" s="3" t="inlineStr"/>
    </row>
    <row r="99">
      <c r="A99" s="4" t="inlineStr">
        <is>
          <t>TC-023</t>
        </is>
      </c>
      <c r="B99" s="4" t="inlineStr">
        <is>
          <t>VER-15</t>
        </is>
      </c>
      <c r="C99" s="4" t="inlineStr">
        <is>
          <t>A quote prices with a full audit waterfall</t>
        </is>
      </c>
      <c r="D99" s="4" t="inlineStr">
        <is>
          <t>Positive</t>
        </is>
      </c>
      <c r="E99" s="16" t="n">
        <v>3</v>
      </c>
      <c r="F99" s="4" t="inlineStr">
        <is>
          <t>Check the steps that did nothing.</t>
        </is>
      </c>
      <c r="G99" s="4" t="inlineStr">
        <is>
          <t>They are still present with deltaMicros 0 — "no discount was applied" is itself recorded.</t>
        </is>
      </c>
      <c r="H99" s="4" t="inlineStr"/>
      <c r="I99" s="4" t="inlineStr"/>
      <c r="J99" s="4" t="inlineStr"/>
    </row>
    <row r="100">
      <c r="A100" s="3" t="inlineStr">
        <is>
          <t>TC-023</t>
        </is>
      </c>
      <c r="B100" s="3" t="inlineStr">
        <is>
          <t>VER-15</t>
        </is>
      </c>
      <c r="C100" s="3" t="inlineStr">
        <is>
          <t>A quote prices with a full audit waterfall</t>
        </is>
      </c>
      <c r="D100" s="3" t="inlineStr">
        <is>
          <t>Positive</t>
        </is>
      </c>
      <c r="E100" s="11" t="n">
        <v>4</v>
      </c>
      <c r="F100" s="3" t="inlineStr">
        <is>
          <t>Read the rendered waterfalls array.</t>
        </is>
      </c>
      <c r="G100" s="3" t="inlineStr">
        <is>
          <t>Each line is human-readable with the amount after each step and the attributing id.</t>
        </is>
      </c>
      <c r="H100" s="3" t="inlineStr"/>
      <c r="I100" s="3" t="inlineStr"/>
      <c r="J100" s="3" t="inlineStr"/>
    </row>
    <row r="101">
      <c r="A101" s="4" t="inlineStr">
        <is>
          <t>TC-023</t>
        </is>
      </c>
      <c r="B101" s="4" t="inlineStr">
        <is>
          <t>VER-15</t>
        </is>
      </c>
      <c r="C101" s="4" t="inlineStr">
        <is>
          <t>A quote prices with a full audit waterfall</t>
        </is>
      </c>
      <c r="D101" s="4" t="inlineStr">
        <is>
          <t>Positive</t>
        </is>
      </c>
      <c r="E101" s="16" t="n">
        <v>5</v>
      </c>
      <c r="F101" s="4" t="inlineStr">
        <is>
          <t>Check the total against a hand calculation.</t>
        </is>
      </c>
      <c r="G101" s="4" t="inlineStr">
        <is>
          <t>It matches to the minor unit.</t>
        </is>
      </c>
      <c r="H101" s="4" t="inlineStr"/>
      <c r="I101" s="4" t="inlineStr"/>
      <c r="J101" s="4" t="inlineStr"/>
    </row>
    <row r="102">
      <c r="A102" s="3" t="inlineStr">
        <is>
          <t>TC-024</t>
        </is>
      </c>
      <c r="B102" s="3" t="inlineStr">
        <is>
          <t>VER-15</t>
        </is>
      </c>
      <c r="C102" s="3" t="inlineStr">
        <is>
          <t>The same quote is exact in three currencies</t>
        </is>
      </c>
      <c r="D102" s="3" t="inlineStr">
        <is>
          <t>Positive</t>
        </is>
      </c>
      <c r="E102" s="11" t="n">
        <v>1</v>
      </c>
      <c r="F102" s="3" t="inlineStr">
        <is>
          <t>Price one PLATFORM unit with quoteCurrency USD.</t>
        </is>
      </c>
      <c r="G102" s="3" t="inlineStr">
        <is>
          <t>Total 50000 minor units ($500.00).</t>
        </is>
      </c>
      <c r="H102" s="3" t="inlineStr"/>
      <c r="I102" s="3" t="inlineStr"/>
      <c r="J102" s="3" t="inlineStr"/>
    </row>
    <row r="103">
      <c r="A103" s="4" t="inlineStr">
        <is>
          <t>TC-024</t>
        </is>
      </c>
      <c r="B103" s="4" t="inlineStr">
        <is>
          <t>VER-15</t>
        </is>
      </c>
      <c r="C103" s="4" t="inlineStr">
        <is>
          <t>The same quote is exact in three currencies</t>
        </is>
      </c>
      <c r="D103" s="4" t="inlineStr">
        <is>
          <t>Positive</t>
        </is>
      </c>
      <c r="E103" s="16" t="n">
        <v>2</v>
      </c>
      <c r="F103" s="4" t="inlineStr">
        <is>
          <t>Price the same line in EUR at 0.92.</t>
        </is>
      </c>
      <c r="G103" s="4" t="inlineStr">
        <is>
          <t>Total 46000 minor units (€460.00) — exact, not 459.99.</t>
        </is>
      </c>
      <c r="H103" s="4" t="inlineStr"/>
      <c r="I103" s="4" t="inlineStr"/>
      <c r="J103" s="4" t="inlineStr"/>
    </row>
    <row r="104">
      <c r="A104" s="3" t="inlineStr">
        <is>
          <t>TC-024</t>
        </is>
      </c>
      <c r="B104" s="3" t="inlineStr">
        <is>
          <t>VER-15</t>
        </is>
      </c>
      <c r="C104" s="3" t="inlineStr">
        <is>
          <t>The same quote is exact in three currencies</t>
        </is>
      </c>
      <c r="D104" s="3" t="inlineStr">
        <is>
          <t>Positive</t>
        </is>
      </c>
      <c r="E104" s="11" t="n">
        <v>3</v>
      </c>
      <c r="F104" s="3" t="inlineStr">
        <is>
          <t>Price it in JPY at 148.35.</t>
        </is>
      </c>
      <c r="G104" s="3" t="inlineStr">
        <is>
          <t>Total 74175 — JPY has no minor unit, and the exponent shift is applied.</t>
        </is>
      </c>
      <c r="H104" s="3" t="inlineStr"/>
      <c r="I104" s="3" t="inlineStr"/>
      <c r="J104" s="3" t="inlineStr"/>
    </row>
    <row r="105">
      <c r="A105" s="4" t="inlineStr">
        <is>
          <t>TC-024</t>
        </is>
      </c>
      <c r="B105" s="4" t="inlineStr">
        <is>
          <t>VER-15</t>
        </is>
      </c>
      <c r="C105" s="4" t="inlineStr">
        <is>
          <t>The same quote is exact in three currencies</t>
        </is>
      </c>
      <c r="D105" s="4" t="inlineStr">
        <is>
          <t>Positive</t>
        </is>
      </c>
      <c r="E105" s="16" t="n">
        <v>4</v>
      </c>
      <c r="F105" s="4" t="inlineStr">
        <is>
          <t>Price 7 seats in GBP and compare unit x quantity against the total.</t>
        </is>
      </c>
      <c r="G105" s="4" t="inlineStr">
        <is>
          <t>The TOTAL is authoritative; unit x quantity may differ by a cent, and the document shows the total.</t>
        </is>
      </c>
      <c r="H105" s="4" t="inlineStr"/>
      <c r="I105" s="4" t="inlineStr"/>
      <c r="J105" s="4" t="inlineStr"/>
    </row>
    <row r="106">
      <c r="A106" s="3" t="inlineStr">
        <is>
          <t>TC-024</t>
        </is>
      </c>
      <c r="B106" s="3" t="inlineStr">
        <is>
          <t>VER-15</t>
        </is>
      </c>
      <c r="C106" s="3" t="inlineStr">
        <is>
          <t>The same quote is exact in three currencies</t>
        </is>
      </c>
      <c r="D106" s="3" t="inlineStr">
        <is>
          <t>Positive</t>
        </is>
      </c>
      <c r="E106" s="11" t="n">
        <v>5</v>
      </c>
      <c r="F106" s="3" t="inlineStr">
        <is>
          <t>Re-run every request.</t>
        </is>
      </c>
      <c r="G106" s="3" t="inlineStr">
        <is>
          <t>Identical results — the FX table is pinned to the quote, not looked up.</t>
        </is>
      </c>
      <c r="H106" s="3" t="inlineStr"/>
      <c r="I106" s="3" t="inlineStr"/>
      <c r="J106" s="3" t="inlineStr"/>
    </row>
    <row r="107">
      <c r="A107" s="13" t="inlineStr">
        <is>
          <t>TC-025</t>
        </is>
      </c>
      <c r="B107" s="13" t="inlineStr">
        <is>
          <t>VER-15</t>
        </is>
      </c>
      <c r="C107" s="13" t="inlineStr">
        <is>
          <t>A discount that breaches the margin floor is refused</t>
        </is>
      </c>
      <c r="D107" s="13" t="inlineStr">
        <is>
          <t>Negative</t>
        </is>
      </c>
      <c r="E107" s="14" t="n">
        <v>1</v>
      </c>
      <c r="F107" s="13" t="inlineStr">
        <is>
          <t>Price SUPPORT with a 60% rep discount.</t>
        </is>
      </c>
      <c r="G107" s="13" t="inlineStr">
        <is>
          <t>HTTP 422, code PRICE_BELOW_FLOOR.</t>
        </is>
      </c>
      <c r="H107" s="13" t="inlineStr"/>
      <c r="I107" s="13" t="inlineStr"/>
      <c r="J107" s="13" t="inlineStr"/>
    </row>
    <row r="108">
      <c r="A108" s="13" t="inlineStr">
        <is>
          <t>TC-025</t>
        </is>
      </c>
      <c r="B108" s="13" t="inlineStr">
        <is>
          <t>VER-15</t>
        </is>
      </c>
      <c r="C108" s="13" t="inlineStr">
        <is>
          <t>A discount that breaches the margin floor is refused</t>
        </is>
      </c>
      <c r="D108" s="13" t="inlineStr">
        <is>
          <t>Negative</t>
        </is>
      </c>
      <c r="E108" s="14" t="n">
        <v>2</v>
      </c>
      <c r="F108" s="13" t="inlineStr">
        <is>
          <t>Read the error message.</t>
        </is>
      </c>
      <c r="G108" s="13" t="inlineStr">
        <is>
          <t>It states the would-be price, the floor, and the minimum margin percentage.</t>
        </is>
      </c>
      <c r="H108" s="13" t="inlineStr"/>
      <c r="I108" s="13" t="inlineStr"/>
      <c r="J108" s="13" t="inlineStr"/>
    </row>
    <row r="109">
      <c r="A109" s="13" t="inlineStr">
        <is>
          <t>TC-025</t>
        </is>
      </c>
      <c r="B109" s="13" t="inlineStr">
        <is>
          <t>VER-15</t>
        </is>
      </c>
      <c r="C109" s="13" t="inlineStr">
        <is>
          <t>A discount that breaches the margin floor is refused</t>
        </is>
      </c>
      <c r="D109" s="13" t="inlineStr">
        <is>
          <t>Negative</t>
        </is>
      </c>
      <c r="E109" s="14" t="n">
        <v>3</v>
      </c>
      <c r="F109" s="13" t="inlineStr">
        <is>
          <t>Price the same line at 10%.</t>
        </is>
      </c>
      <c r="G109" s="13" t="inlineStr">
        <is>
          <t>Succeeds, and the floor step reads "Above the 20% margin floor".</t>
        </is>
      </c>
      <c r="H109" s="13" t="inlineStr"/>
      <c r="I109" s="13" t="inlineStr"/>
      <c r="J109" s="13" t="inlineStr"/>
    </row>
    <row r="110">
      <c r="A110" s="13" t="inlineStr">
        <is>
          <t>TC-025</t>
        </is>
      </c>
      <c r="B110" s="13" t="inlineStr">
        <is>
          <t>VER-15</t>
        </is>
      </c>
      <c r="C110" s="13" t="inlineStr">
        <is>
          <t>A discount that breaches the margin floor is refused</t>
        </is>
      </c>
      <c r="D110" s="13" t="inlineStr">
        <is>
          <t>Negative</t>
        </is>
      </c>
      <c r="E110" s="14" t="n">
        <v>4</v>
      </c>
      <c r="F110" s="13" t="inlineStr">
        <is>
          <t>Price a HARDWARE line (cost-plus policy) at 40% off.</t>
        </is>
      </c>
      <c r="G110" s="13" t="inlineStr">
        <is>
          <t>It is LIFTED to the floor rather than blocked, and the waterfall says "Lifted to the 10% margin floor (cost-plus)".</t>
        </is>
      </c>
      <c r="H110" s="13" t="inlineStr"/>
      <c r="I110" s="13" t="inlineStr"/>
      <c r="J110" s="13" t="inlineStr"/>
    </row>
    <row r="111">
      <c r="A111" s="13" t="inlineStr">
        <is>
          <t>TC-025</t>
        </is>
      </c>
      <c r="B111" s="13" t="inlineStr">
        <is>
          <t>VER-15</t>
        </is>
      </c>
      <c r="C111" s="13" t="inlineStr">
        <is>
          <t>A discount that breaches the margin floor is refused</t>
        </is>
      </c>
      <c r="D111" s="13" t="inlineStr">
        <is>
          <t>Negative</t>
        </is>
      </c>
      <c r="E111" s="14" t="n">
        <v>5</v>
      </c>
      <c r="F111" s="13" t="inlineStr">
        <is>
          <t>Price a SKU with no cost on file.</t>
        </is>
      </c>
      <c r="G111" s="13" t="inlineStr">
        <is>
          <t>The floor step reads "floor not enforceable" rather than silently passing.</t>
        </is>
      </c>
      <c r="H111" s="13" t="inlineStr"/>
      <c r="I111" s="13" t="inlineStr"/>
      <c r="J111" s="13" t="inlineStr"/>
    </row>
    <row r="112">
      <c r="A112" s="13" t="inlineStr">
        <is>
          <t>TC-026</t>
        </is>
      </c>
      <c r="B112" s="13" t="inlineStr">
        <is>
          <t>VER-15</t>
        </is>
      </c>
      <c r="C112" s="13" t="inlineStr">
        <is>
          <t>A partner discount above the ceiling is capped, visibly</t>
        </is>
      </c>
      <c r="D112" s="13" t="inlineStr">
        <is>
          <t>Negative</t>
        </is>
      </c>
      <c r="E112" s="14" t="n">
        <v>1</v>
      </c>
      <c r="F112" s="13" t="inlineStr">
        <is>
          <t>Price a line with channel partner-gold and a 45% rep discount.</t>
        </is>
      </c>
      <c r="G112" s="13" t="inlineStr">
        <is>
          <t>The applied discount is 30%, not 45%.</t>
        </is>
      </c>
      <c r="H112" s="13" t="inlineStr"/>
      <c r="I112" s="13" t="inlineStr"/>
      <c r="J112" s="13" t="inlineStr"/>
    </row>
    <row r="113">
      <c r="A113" s="13" t="inlineStr">
        <is>
          <t>TC-026</t>
        </is>
      </c>
      <c r="B113" s="13" t="inlineStr">
        <is>
          <t>VER-15</t>
        </is>
      </c>
      <c r="C113" s="13" t="inlineStr">
        <is>
          <t>A partner discount above the ceiling is capped, visibly</t>
        </is>
      </c>
      <c r="D113" s="13" t="inlineStr">
        <is>
          <t>Negative</t>
        </is>
      </c>
      <c r="E113" s="14" t="n">
        <v>2</v>
      </c>
      <c r="F113" s="13" t="inlineStr">
        <is>
          <t>Read the discount step label.</t>
        </is>
      </c>
      <c r="G113" s="13" t="inlineStr">
        <is>
          <t>It reads "Rep discount 30.00% (capped from 45.00%)" — the cap is visible, not silent.</t>
        </is>
      </c>
      <c r="H113" s="13" t="inlineStr"/>
      <c r="I113" s="13" t="inlineStr"/>
      <c r="J113" s="13" t="inlineStr"/>
    </row>
    <row r="114">
      <c r="A114" s="13" t="inlineStr">
        <is>
          <t>TC-026</t>
        </is>
      </c>
      <c r="B114" s="13" t="inlineStr">
        <is>
          <t>VER-15</t>
        </is>
      </c>
      <c r="C114" s="13" t="inlineStr">
        <is>
          <t>A partner discount above the ceiling is capped, visibly</t>
        </is>
      </c>
      <c r="D114" s="13" t="inlineStr">
        <is>
          <t>Negative</t>
        </is>
      </c>
      <c r="E114" s="14" t="n">
        <v>3</v>
      </c>
      <c r="F114" s="13" t="inlineStr">
        <is>
          <t>Price the same line with a 5% rep discount.</t>
        </is>
      </c>
      <c r="G114" s="13" t="inlineStr">
        <is>
          <t>It is topped UP to the 20% partner standard, and the channel step says so.</t>
        </is>
      </c>
      <c r="H114" s="13" t="inlineStr"/>
      <c r="I114" s="13" t="inlineStr"/>
      <c r="J114" s="13" t="inlineStr"/>
    </row>
    <row r="115">
      <c r="A115" s="13" t="inlineStr">
        <is>
          <t>TC-026</t>
        </is>
      </c>
      <c r="B115" s="13" t="inlineStr">
        <is>
          <t>VER-15</t>
        </is>
      </c>
      <c r="C115" s="13" t="inlineStr">
        <is>
          <t>A partner discount above the ceiling is capped, visibly</t>
        </is>
      </c>
      <c r="D115" s="13" t="inlineStr">
        <is>
          <t>Negative</t>
        </is>
      </c>
      <c r="E115" s="14" t="n">
        <v>4</v>
      </c>
      <c r="F115" s="13" t="inlineStr">
        <is>
          <t>Price a hardware line on the same channel at 20%.</t>
        </is>
      </c>
      <c r="G115" s="13" t="inlineStr">
        <is>
          <t>The class-specific row (ceiling 8%) wins over the channel-wide row.</t>
        </is>
      </c>
      <c r="H115" s="13" t="inlineStr"/>
      <c r="I115" s="13" t="inlineStr"/>
      <c r="J115" s="13" t="inlineStr"/>
    </row>
    <row r="116">
      <c r="A116" s="13" t="inlineStr">
        <is>
          <t>TC-026</t>
        </is>
      </c>
      <c r="B116" s="13" t="inlineStr">
        <is>
          <t>VER-15</t>
        </is>
      </c>
      <c r="C116" s="13" t="inlineStr">
        <is>
          <t>A partner discount above the ceiling is capped, visibly</t>
        </is>
      </c>
      <c r="D116" s="13" t="inlineStr">
        <is>
          <t>Negative</t>
        </is>
      </c>
      <c r="E116" s="14" t="n">
        <v>5</v>
      </c>
      <c r="F116" s="13" t="inlineStr">
        <is>
          <t>Price with no channel.</t>
        </is>
      </c>
      <c r="G116" s="13" t="inlineStr">
        <is>
          <t>The channel step reads "Direct sale" with a zero delta.</t>
        </is>
      </c>
      <c r="H116" s="13" t="inlineStr"/>
      <c r="I116" s="13" t="inlineStr"/>
      <c r="J116" s="13" t="inlineStr"/>
    </row>
    <row r="117">
      <c r="A117" s="4" t="inlineStr">
        <is>
          <t>TC-027</t>
        </is>
      </c>
      <c r="B117" s="4" t="inlineStr">
        <is>
          <t>VER-15</t>
        </is>
      </c>
      <c r="C117" s="4" t="inlineStr">
        <is>
          <t>A deal routes through parallel branches to completion</t>
        </is>
      </c>
      <c r="D117" s="4" t="inlineStr">
        <is>
          <t>Positive</t>
        </is>
      </c>
      <c r="E117" s="16" t="n">
        <v>1</v>
      </c>
      <c r="F117" s="4" t="inlineStr">
        <is>
          <t>Submit a request for a 35% discount on the German entity.</t>
        </is>
      </c>
      <c r="G117" s="4" t="inlineStr">
        <is>
          <t>HTTP 201, status pending.</t>
        </is>
      </c>
      <c r="H117" s="4" t="inlineStr"/>
      <c r="I117" s="4" t="inlineStr"/>
      <c r="J117" s="4" t="inlineStr"/>
    </row>
    <row r="118">
      <c r="A118" s="3" t="inlineStr">
        <is>
          <t>TC-027</t>
        </is>
      </c>
      <c r="B118" s="3" t="inlineStr">
        <is>
          <t>VER-15</t>
        </is>
      </c>
      <c r="C118" s="3" t="inlineStr">
        <is>
          <t>A deal routes through parallel branches to completion</t>
        </is>
      </c>
      <c r="D118" s="3" t="inlineStr">
        <is>
          <t>Positive</t>
        </is>
      </c>
      <c r="E118" s="11" t="n">
        <v>2</v>
      </c>
      <c r="F118" s="3" t="inlineStr">
        <is>
          <t>GET the request.</t>
        </is>
      </c>
      <c r="G118" s="3" t="inlineStr">
        <is>
          <t>Legal, finance and the VP are all OPEN at once; the CFO node is WAITING; a hardware-only node is SKIPPED.</t>
        </is>
      </c>
      <c r="H118" s="3" t="inlineStr"/>
      <c r="I118" s="3" t="inlineStr"/>
      <c r="J118" s="3" t="inlineStr"/>
    </row>
    <row r="119">
      <c r="A119" s="4" t="inlineStr">
        <is>
          <t>TC-027</t>
        </is>
      </c>
      <c r="B119" s="4" t="inlineStr">
        <is>
          <t>VER-15</t>
        </is>
      </c>
      <c r="C119" s="4" t="inlineStr">
        <is>
          <t>A deal routes through parallel branches to completion</t>
        </is>
      </c>
      <c r="D119" s="4" t="inlineStr">
        <is>
          <t>Positive</t>
        </is>
      </c>
      <c r="E119" s="16" t="n">
        <v>3</v>
      </c>
      <c r="F119" s="4" t="inlineStr">
        <is>
          <t>Approve legal and finance.</t>
        </is>
      </c>
      <c r="G119" s="4" t="inlineStr">
        <is>
          <t>The CFO node becomes OPEN — it was gated on both branches.</t>
        </is>
      </c>
      <c r="H119" s="4" t="inlineStr"/>
      <c r="I119" s="4" t="inlineStr"/>
      <c r="J119" s="4" t="inlineStr"/>
    </row>
    <row r="120">
      <c r="A120" s="3" t="inlineStr">
        <is>
          <t>TC-027</t>
        </is>
      </c>
      <c r="B120" s="3" t="inlineStr">
        <is>
          <t>VER-15</t>
        </is>
      </c>
      <c r="C120" s="3" t="inlineStr">
        <is>
          <t>A deal routes through parallel branches to completion</t>
        </is>
      </c>
      <c r="D120" s="3" t="inlineStr">
        <is>
          <t>Positive</t>
        </is>
      </c>
      <c r="E120" s="11" t="n">
        <v>4</v>
      </c>
      <c r="F120" s="3" t="inlineStr">
        <is>
          <t>Approve the VP and the CFO.</t>
        </is>
      </c>
      <c r="G120" s="3" t="inlineStr">
        <is>
          <t>Status becomes approved with a decidedAt timestamp.</t>
        </is>
      </c>
      <c r="H120" s="3" t="inlineStr"/>
      <c r="I120" s="3" t="inlineStr"/>
      <c r="J120" s="3" t="inlineStr"/>
    </row>
    <row r="121">
      <c r="A121" s="4" t="inlineStr">
        <is>
          <t>TC-027</t>
        </is>
      </c>
      <c r="B121" s="4" t="inlineStr">
        <is>
          <t>VER-15</t>
        </is>
      </c>
      <c r="C121" s="4" t="inlineStr">
        <is>
          <t>A deal routes through parallel branches to completion</t>
        </is>
      </c>
      <c r="D121" s="4" t="inlineStr">
        <is>
          <t>Positive</t>
        </is>
      </c>
      <c r="E121" s="16" t="n">
        <v>5</v>
      </c>
      <c r="F121" s="4" t="inlineStr">
        <is>
          <t>Read the audit array.</t>
        </is>
      </c>
      <c r="G121" s="4" t="inlineStr">
        <is>
          <t>Every decision is present in order with the actor and node.</t>
        </is>
      </c>
      <c r="H121" s="4" t="inlineStr"/>
      <c r="I121" s="4" t="inlineStr"/>
      <c r="J121" s="4" t="inlineStr"/>
    </row>
    <row r="122">
      <c r="A122" s="13" t="inlineStr">
        <is>
          <t>TC-028</t>
        </is>
      </c>
      <c r="B122" s="13" t="inlineStr">
        <is>
          <t>VER-15</t>
        </is>
      </c>
      <c r="C122" s="13" t="inlineStr">
        <is>
          <t>Every bypass attempt is denied AND recorded</t>
        </is>
      </c>
      <c r="D122" s="13" t="inlineStr">
        <is>
          <t>Negative</t>
        </is>
      </c>
      <c r="E122" s="14" t="n">
        <v>1</v>
      </c>
      <c r="F122" s="13" t="inlineStr">
        <is>
          <t>As a user who is not on the node, POST a decision.</t>
        </is>
      </c>
      <c r="G122" s="13" t="inlineStr">
        <is>
          <t>HTTP 403, APPROVAL_NOT_AN_APPROVER.</t>
        </is>
      </c>
      <c r="H122" s="13" t="inlineStr"/>
      <c r="I122" s="13" t="inlineStr"/>
      <c r="J122" s="13" t="inlineStr"/>
    </row>
    <row r="123">
      <c r="A123" s="13" t="inlineStr">
        <is>
          <t>TC-028</t>
        </is>
      </c>
      <c r="B123" s="13" t="inlineStr">
        <is>
          <t>VER-15</t>
        </is>
      </c>
      <c r="C123" s="13" t="inlineStr">
        <is>
          <t>Every bypass attempt is denied AND recorded</t>
        </is>
      </c>
      <c r="D123" s="13" t="inlineStr">
        <is>
          <t>Negative</t>
        </is>
      </c>
      <c r="E123" s="14" t="n">
        <v>2</v>
      </c>
      <c r="F123" s="13" t="inlineStr">
        <is>
          <t>As the requester (who IS named on a node), approve their own quote.</t>
        </is>
      </c>
      <c r="G123" s="13" t="inlineStr">
        <is>
          <t>HTTP 403, APPROVAL_SELF_APPROVAL — membership is not the test, authorship is.</t>
        </is>
      </c>
      <c r="H123" s="13" t="inlineStr"/>
      <c r="I123" s="13" t="inlineStr"/>
      <c r="J123" s="13" t="inlineStr"/>
    </row>
    <row r="124">
      <c r="A124" s="13" t="inlineStr">
        <is>
          <t>TC-028</t>
        </is>
      </c>
      <c r="B124" s="13" t="inlineStr">
        <is>
          <t>VER-15</t>
        </is>
      </c>
      <c r="C124" s="13" t="inlineStr">
        <is>
          <t>Every bypass attempt is denied AND recorded</t>
        </is>
      </c>
      <c r="D124" s="13" t="inlineStr">
        <is>
          <t>Negative</t>
        </is>
      </c>
      <c r="E124" s="14" t="n">
        <v>3</v>
      </c>
      <c r="F124" s="13" t="inlineStr">
        <is>
          <t>Decide the CFO node before its dependencies are approved.</t>
        </is>
      </c>
      <c r="G124" s="13" t="inlineStr">
        <is>
          <t>HTTP 403, APPROVAL_NODE_NOT_OPEN.</t>
        </is>
      </c>
      <c r="H124" s="13" t="inlineStr"/>
      <c r="I124" s="13" t="inlineStr"/>
      <c r="J124" s="13" t="inlineStr"/>
    </row>
    <row r="125">
      <c r="A125" s="13" t="inlineStr">
        <is>
          <t>TC-028</t>
        </is>
      </c>
      <c r="B125" s="13" t="inlineStr">
        <is>
          <t>VER-15</t>
        </is>
      </c>
      <c r="C125" s="13" t="inlineStr">
        <is>
          <t>Every bypass attempt is denied AND recorded</t>
        </is>
      </c>
      <c r="D125" s="13" t="inlineStr">
        <is>
          <t>Negative</t>
        </is>
      </c>
      <c r="E125" s="14" t="n">
        <v>4</v>
      </c>
      <c r="F125" s="13" t="inlineStr">
        <is>
          <t>Decide a node that does not apply to this deal.</t>
        </is>
      </c>
      <c r="G125" s="13" t="inlineStr">
        <is>
          <t>HTTP 403, APPROVAL_NODE_NOT_REQUIRED.</t>
        </is>
      </c>
      <c r="H125" s="13" t="inlineStr"/>
      <c r="I125" s="13" t="inlineStr"/>
      <c r="J125" s="13" t="inlineStr"/>
    </row>
    <row r="126">
      <c r="A126" s="13" t="inlineStr">
        <is>
          <t>TC-028</t>
        </is>
      </c>
      <c r="B126" s="13" t="inlineStr">
        <is>
          <t>VER-15</t>
        </is>
      </c>
      <c r="C126" s="13" t="inlineStr">
        <is>
          <t>Every bypass attempt is denied AND recorded</t>
        </is>
      </c>
      <c r="D126" s="13" t="inlineStr">
        <is>
          <t>Negative</t>
        </is>
      </c>
      <c r="E126" s="14" t="n">
        <v>5</v>
      </c>
      <c r="F126" s="13" t="inlineStr">
        <is>
          <t>Vote twice as the same approver to reach a quorum alone.</t>
        </is>
      </c>
      <c r="G126" s="13" t="inlineStr">
        <is>
          <t>HTTP 403, APPROVAL_ALREADY_DECIDED.</t>
        </is>
      </c>
      <c r="H126" s="13" t="inlineStr"/>
      <c r="I126" s="13" t="inlineStr"/>
      <c r="J126" s="13" t="inlineStr"/>
    </row>
    <row r="127">
      <c r="A127" s="13" t="inlineStr">
        <is>
          <t>TC-028</t>
        </is>
      </c>
      <c r="B127" s="13" t="inlineStr">
        <is>
          <t>VER-15</t>
        </is>
      </c>
      <c r="C127" s="13" t="inlineStr">
        <is>
          <t>Every bypass attempt is denied AND recorded</t>
        </is>
      </c>
      <c r="D127" s="13" t="inlineStr">
        <is>
          <t>Negative</t>
        </is>
      </c>
      <c r="E127" s="14" t="n">
        <v>6</v>
      </c>
      <c r="F127" s="13" t="inlineStr">
        <is>
          <t>GET the request and read the audit.</t>
        </is>
      </c>
      <c r="G127" s="13" t="inlineStr">
        <is>
          <t>Each attempt appears as a bypass-attempt entry with the actor, node and refusal code; decisions is still empty.</t>
        </is>
      </c>
      <c r="H127" s="13" t="inlineStr"/>
      <c r="I127" s="13" t="inlineStr"/>
      <c r="J127" s="13" t="inlineStr"/>
    </row>
    <row r="128">
      <c r="A128" s="3" t="inlineStr">
        <is>
          <t>TC-029</t>
        </is>
      </c>
      <c r="B128" s="3" t="inlineStr">
        <is>
          <t>VER-15</t>
        </is>
      </c>
      <c r="C128" s="3" t="inlineStr">
        <is>
          <t>A delegate decides in their own name</t>
        </is>
      </c>
      <c r="D128" s="3" t="inlineStr">
        <is>
          <t>Positive</t>
        </is>
      </c>
      <c r="E128" s="11" t="n">
        <v>1</v>
      </c>
      <c r="F128" s="3" t="inlineStr">
        <is>
          <t>POST /api/desk/delegations with from, to, window and reason.</t>
        </is>
      </c>
      <c r="G128" s="3" t="inlineStr">
        <is>
          <t>HTTP 201.</t>
        </is>
      </c>
      <c r="H128" s="3" t="inlineStr"/>
      <c r="I128" s="3" t="inlineStr"/>
      <c r="J128" s="3" t="inlineStr"/>
    </row>
    <row r="129">
      <c r="A129" s="4" t="inlineStr">
        <is>
          <t>TC-029</t>
        </is>
      </c>
      <c r="B129" s="4" t="inlineStr">
        <is>
          <t>VER-15</t>
        </is>
      </c>
      <c r="C129" s="4" t="inlineStr">
        <is>
          <t>A delegate decides in their own name</t>
        </is>
      </c>
      <c r="D129" s="4" t="inlineStr">
        <is>
          <t>Positive</t>
        </is>
      </c>
      <c r="E129" s="16" t="n">
        <v>2</v>
      </c>
      <c r="F129" s="4" t="inlineStr">
        <is>
          <t>As deputy-cfo, approve the CFO node.</t>
        </is>
      </c>
      <c r="G129" s="4" t="inlineStr">
        <is>
          <t>Accepted.</t>
        </is>
      </c>
      <c r="H129" s="4" t="inlineStr"/>
      <c r="I129" s="4" t="inlineStr"/>
      <c r="J129" s="4" t="inlineStr"/>
    </row>
    <row r="130">
      <c r="A130" s="3" t="inlineStr">
        <is>
          <t>TC-029</t>
        </is>
      </c>
      <c r="B130" s="3" t="inlineStr">
        <is>
          <t>VER-15</t>
        </is>
      </c>
      <c r="C130" s="3" t="inlineStr">
        <is>
          <t>A delegate decides in their own name</t>
        </is>
      </c>
      <c r="D130" s="3" t="inlineStr">
        <is>
          <t>Positive</t>
        </is>
      </c>
      <c r="E130" s="11" t="n">
        <v>3</v>
      </c>
      <c r="F130" s="3" t="inlineStr">
        <is>
          <t>Read the decision record.</t>
        </is>
      </c>
      <c r="G130" s="3" t="inlineStr">
        <is>
          <t>userId is deputy-cfo, onBehalfOf is cfo, and delegationId is present.</t>
        </is>
      </c>
      <c r="H130" s="3" t="inlineStr"/>
      <c r="I130" s="3" t="inlineStr"/>
      <c r="J130" s="3" t="inlineStr"/>
    </row>
    <row r="131">
      <c r="A131" s="4" t="inlineStr">
        <is>
          <t>TC-029</t>
        </is>
      </c>
      <c r="B131" s="4" t="inlineStr">
        <is>
          <t>VER-15</t>
        </is>
      </c>
      <c r="C131" s="4" t="inlineStr">
        <is>
          <t>A delegate decides in their own name</t>
        </is>
      </c>
      <c r="D131" s="4" t="inlineStr">
        <is>
          <t>Positive</t>
        </is>
      </c>
      <c r="E131" s="16" t="n">
        <v>4</v>
      </c>
      <c r="F131" s="4" t="inlineStr">
        <is>
          <t>Read the audit entry.</t>
        </is>
      </c>
      <c r="G131" s="4" t="inlineStr">
        <is>
          <t>Kind is delegated-decision and the text names both people and the delegation id.</t>
        </is>
      </c>
      <c r="H131" s="4" t="inlineStr"/>
      <c r="I131" s="4" t="inlineStr"/>
      <c r="J131" s="4" t="inlineStr"/>
    </row>
    <row r="132">
      <c r="A132" s="3" t="inlineStr">
        <is>
          <t>TC-029</t>
        </is>
      </c>
      <c r="B132" s="3" t="inlineStr">
        <is>
          <t>VER-15</t>
        </is>
      </c>
      <c r="C132" s="3" t="inlineStr">
        <is>
          <t>A delegate decides in their own name</t>
        </is>
      </c>
      <c r="D132" s="3" t="inlineStr">
        <is>
          <t>Positive</t>
        </is>
      </c>
      <c r="E132" s="11" t="n">
        <v>5</v>
      </c>
      <c r="F132" s="3" t="inlineStr">
        <is>
          <t>Revoke the delegation and try again on another node.</t>
        </is>
      </c>
      <c r="G132" s="3" t="inlineStr">
        <is>
          <t>HTTP 403 — the grant no longer exists.</t>
        </is>
      </c>
      <c r="H132" s="3" t="inlineStr"/>
      <c r="I132" s="3" t="inlineStr"/>
      <c r="J132" s="3" t="inlineStr"/>
    </row>
    <row r="133">
      <c r="A133" s="13" t="inlineStr">
        <is>
          <t>TC-030</t>
        </is>
      </c>
      <c r="B133" s="13" t="inlineStr">
        <is>
          <t>VER-15</t>
        </is>
      </c>
      <c r="C133" s="13" t="inlineStr">
        <is>
          <t>SLA breach escalates in business hours only</t>
        </is>
      </c>
      <c r="D133" s="13" t="inlineStr">
        <is>
          <t>Negative</t>
        </is>
      </c>
      <c r="E133" s="14" t="n">
        <v>1</v>
      </c>
      <c r="F133" s="13" t="inlineStr">
        <is>
          <t>Submit at Friday 16:00 and check status at Monday 09:30.</t>
        </is>
      </c>
      <c r="G133" s="13" t="inlineStr">
        <is>
          <t>Not breached — only 1.5 business hours have passed.</t>
        </is>
      </c>
      <c r="H133" s="13" t="inlineStr"/>
      <c r="I133" s="13" t="inlineStr"/>
      <c r="J133" s="13" t="inlineStr"/>
    </row>
    <row r="134">
      <c r="A134" s="13" t="inlineStr">
        <is>
          <t>TC-030</t>
        </is>
      </c>
      <c r="B134" s="13" t="inlineStr">
        <is>
          <t>VER-15</t>
        </is>
      </c>
      <c r="C134" s="13" t="inlineStr">
        <is>
          <t>SLA breach escalates in business hours only</t>
        </is>
      </c>
      <c r="D134" s="13" t="inlineStr">
        <is>
          <t>Negative</t>
        </is>
      </c>
      <c r="E134" s="14" t="n">
        <v>2</v>
      </c>
      <c r="F134" s="13" t="inlineStr">
        <is>
          <t>Check again at Monday 12:30.</t>
        </is>
      </c>
      <c r="G134" s="13" t="inlineStr">
        <is>
          <t>The 4-hour node is breached; the 8-hour node is not.</t>
        </is>
      </c>
      <c r="H134" s="13" t="inlineStr"/>
      <c r="I134" s="13" t="inlineStr"/>
      <c r="J134" s="13" t="inlineStr"/>
    </row>
    <row r="135">
      <c r="A135" s="13" t="inlineStr">
        <is>
          <t>TC-030</t>
        </is>
      </c>
      <c r="B135" s="13" t="inlineStr">
        <is>
          <t>VER-15</t>
        </is>
      </c>
      <c r="C135" s="13" t="inlineStr">
        <is>
          <t>SLA breach escalates in business hours only</t>
        </is>
      </c>
      <c r="D135" s="13" t="inlineStr">
        <is>
          <t>Negative</t>
        </is>
      </c>
      <c r="E135" s="14" t="n">
        <v>3</v>
      </c>
      <c r="F135" s="13" t="inlineStr">
        <is>
          <t>Run POST /api/desk/sweep.</t>
        </is>
      </c>
      <c r="G135" s="13" t="inlineStr">
        <is>
          <t>One reminder and one escalation; the ladder’s first name is added to the node.</t>
        </is>
      </c>
      <c r="H135" s="13" t="inlineStr"/>
      <c r="I135" s="13" t="inlineStr"/>
      <c r="J135" s="13" t="inlineStr"/>
    </row>
    <row r="136">
      <c r="A136" s="13" t="inlineStr">
        <is>
          <t>TC-030</t>
        </is>
      </c>
      <c r="B136" s="13" t="inlineStr">
        <is>
          <t>VER-15</t>
        </is>
      </c>
      <c r="C136" s="13" t="inlineStr">
        <is>
          <t>SLA breach escalates in business hours only</t>
        </is>
      </c>
      <c r="D136" s="13" t="inlineStr">
        <is>
          <t>Negative</t>
        </is>
      </c>
      <c r="E136" s="14" t="n">
        <v>4</v>
      </c>
      <c r="F136" s="13" t="inlineStr">
        <is>
          <t>Run the sweep again immediately.</t>
        </is>
      </c>
      <c r="G136" s="13" t="inlineStr">
        <is>
          <t>Zero reminders, zero escalations — it does not climb twice for the same breach.</t>
        </is>
      </c>
      <c r="H136" s="13" t="inlineStr"/>
      <c r="I136" s="13" t="inlineStr"/>
      <c r="J136" s="13" t="inlineStr"/>
    </row>
    <row r="137">
      <c r="A137" s="13" t="inlineStr">
        <is>
          <t>TC-030</t>
        </is>
      </c>
      <c r="B137" s="13" t="inlineStr">
        <is>
          <t>VER-15</t>
        </is>
      </c>
      <c r="C137" s="13" t="inlineStr">
        <is>
          <t>SLA breach escalates in business hours only</t>
        </is>
      </c>
      <c r="D137" s="13" t="inlineStr">
        <is>
          <t>Negative</t>
        </is>
      </c>
      <c r="E137" s="14" t="n">
        <v>5</v>
      </c>
      <c r="F137" s="13" t="inlineStr">
        <is>
          <t>Advance three SLA windows and sweep once.</t>
        </is>
      </c>
      <c r="G137" s="13" t="inlineStr">
        <is>
          <t>The ladder catches up in a single pass rather than one rung per sweep.</t>
        </is>
      </c>
      <c r="H137" s="13" t="inlineStr"/>
      <c r="I137" s="13" t="inlineStr"/>
      <c r="J137" s="13" t="inlineStr"/>
    </row>
    <row r="138">
      <c r="A138" s="13" t="inlineStr">
        <is>
          <t>TC-031</t>
        </is>
      </c>
      <c r="B138" s="13" t="inlineStr">
        <is>
          <t>VER-15</t>
        </is>
      </c>
      <c r="C138" s="13" t="inlineStr">
        <is>
          <t>Changing the quote invalidates prior approvals</t>
        </is>
      </c>
      <c r="D138" s="13" t="inlineStr">
        <is>
          <t>Negative</t>
        </is>
      </c>
      <c r="E138" s="14" t="n">
        <v>1</v>
      </c>
      <c r="F138" s="13" t="inlineStr">
        <is>
          <t>POST resubmit with a DIFFERENT contentHash and new facts.</t>
        </is>
      </c>
      <c r="G138" s="13" t="inlineStr">
        <is>
          <t>HTTP 200, status pending again.</t>
        </is>
      </c>
      <c r="H138" s="13" t="inlineStr"/>
      <c r="I138" s="13" t="inlineStr"/>
      <c r="J138" s="13" t="inlineStr"/>
    </row>
    <row r="139">
      <c r="A139" s="13" t="inlineStr">
        <is>
          <t>TC-031</t>
        </is>
      </c>
      <c r="B139" s="13" t="inlineStr">
        <is>
          <t>VER-15</t>
        </is>
      </c>
      <c r="C139" s="13" t="inlineStr">
        <is>
          <t>Changing the quote invalidates prior approvals</t>
        </is>
      </c>
      <c r="D139" s="13" t="inlineStr">
        <is>
          <t>Negative</t>
        </is>
      </c>
      <c r="E139" s="14" t="n">
        <v>2</v>
      </c>
      <c r="F139" s="13" t="inlineStr">
        <is>
          <t>Read the decisions array.</t>
        </is>
      </c>
      <c r="G139" s="13" t="inlineStr">
        <is>
          <t>The two prior approvals are still present — history is not erased.</t>
        </is>
      </c>
      <c r="H139" s="13" t="inlineStr"/>
      <c r="I139" s="13" t="inlineStr"/>
      <c r="J139" s="13" t="inlineStr"/>
    </row>
    <row r="140">
      <c r="A140" s="13" t="inlineStr">
        <is>
          <t>TC-031</t>
        </is>
      </c>
      <c r="B140" s="13" t="inlineStr">
        <is>
          <t>VER-15</t>
        </is>
      </c>
      <c r="C140" s="13" t="inlineStr">
        <is>
          <t>Changing the quote invalidates prior approvals</t>
        </is>
      </c>
      <c r="D140" s="13" t="inlineStr">
        <is>
          <t>Negative</t>
        </is>
      </c>
      <c r="E140" s="14" t="n">
        <v>3</v>
      </c>
      <c r="F140" s="13" t="inlineStr">
        <is>
          <t>Read the node states.</t>
        </is>
      </c>
      <c r="G140" s="13" t="inlineStr">
        <is>
          <t>Legal and finance are OPEN again; their prior approvals no longer count.</t>
        </is>
      </c>
      <c r="H140" s="13" t="inlineStr"/>
      <c r="I140" s="13" t="inlineStr"/>
      <c r="J140" s="13" t="inlineStr"/>
    </row>
    <row r="141">
      <c r="A141" s="13" t="inlineStr">
        <is>
          <t>TC-031</t>
        </is>
      </c>
      <c r="B141" s="13" t="inlineStr">
        <is>
          <t>VER-15</t>
        </is>
      </c>
      <c r="C141" s="13" t="inlineStr">
        <is>
          <t>Changing the quote invalidates prior approvals</t>
        </is>
      </c>
      <c r="D141" s="13" t="inlineStr">
        <is>
          <t>Negative</t>
        </is>
      </c>
      <c r="E141" s="14" t="n">
        <v>4</v>
      </c>
      <c r="F141" s="13" t="inlineStr">
        <is>
          <t>Read the audit.</t>
        </is>
      </c>
      <c r="G141" s="13" t="inlineStr">
        <is>
          <t>An invalidated entry names both hashes and how many decisions stopped counting.</t>
        </is>
      </c>
      <c r="H141" s="13" t="inlineStr"/>
      <c r="I141" s="13" t="inlineStr"/>
      <c r="J141" s="13" t="inlineStr"/>
    </row>
    <row r="142">
      <c r="A142" s="13" t="inlineStr">
        <is>
          <t>TC-031</t>
        </is>
      </c>
      <c r="B142" s="13" t="inlineStr">
        <is>
          <t>VER-15</t>
        </is>
      </c>
      <c r="C142" s="13" t="inlineStr">
        <is>
          <t>Changing the quote invalidates prior approvals</t>
        </is>
      </c>
      <c r="D142" s="13" t="inlineStr">
        <is>
          <t>Negative</t>
        </is>
      </c>
      <c r="E142" s="14" t="n">
        <v>5</v>
      </c>
      <c r="F142" s="13" t="inlineStr">
        <is>
          <t>Resubmit with the SAME contentHash.</t>
        </is>
      </c>
      <c r="G142" s="13" t="inlineStr">
        <is>
          <t>No invalidation entry; the approvals still count.</t>
        </is>
      </c>
      <c r="H142" s="13" t="inlineStr"/>
      <c r="I142" s="13" t="inlineStr"/>
      <c r="J142" s="13" t="inlineStr"/>
    </row>
    <row r="143">
      <c r="A143" s="4" t="inlineStr">
        <is>
          <t>TC-032</t>
        </is>
      </c>
      <c r="B143" s="4" t="inlineStr">
        <is>
          <t>VER-16</t>
        </is>
      </c>
      <c r="C143" s="4" t="inlineStr">
        <is>
          <t>Editing a sent quote creates a version</t>
        </is>
      </c>
      <c r="D143" s="4" t="inlineStr">
        <is>
          <t>Positive</t>
        </is>
      </c>
      <c r="E143" s="16" t="n">
        <v>1</v>
      </c>
      <c r="F143" s="4" t="inlineStr">
        <is>
          <t>POST /api/quotes to create one.</t>
        </is>
      </c>
      <c r="G143" s="4" t="inlineStr">
        <is>
          <t>HTTP 201; currentVersion is 1.</t>
        </is>
      </c>
      <c r="H143" s="4" t="inlineStr"/>
      <c r="I143" s="4" t="inlineStr"/>
      <c r="J143" s="4" t="inlineStr"/>
    </row>
    <row r="144">
      <c r="A144" s="3" t="inlineStr">
        <is>
          <t>TC-032</t>
        </is>
      </c>
      <c r="B144" s="3" t="inlineStr">
        <is>
          <t>VER-16</t>
        </is>
      </c>
      <c r="C144" s="3" t="inlineStr">
        <is>
          <t>Editing a sent quote creates a version</t>
        </is>
      </c>
      <c r="D144" s="3" t="inlineStr">
        <is>
          <t>Positive</t>
        </is>
      </c>
      <c r="E144" s="11" t="n">
        <v>2</v>
      </c>
      <c r="F144" s="3" t="inlineStr">
        <is>
          <t>POST /api/quotes/{id}/revise with different lines.</t>
        </is>
      </c>
      <c r="G144" s="3" t="inlineStr">
        <is>
          <t>currentVersion becomes 2.</t>
        </is>
      </c>
      <c r="H144" s="3" t="inlineStr"/>
      <c r="I144" s="3" t="inlineStr"/>
      <c r="J144" s="3" t="inlineStr"/>
    </row>
    <row r="145">
      <c r="A145" s="4" t="inlineStr">
        <is>
          <t>TC-032</t>
        </is>
      </c>
      <c r="B145" s="4" t="inlineStr">
        <is>
          <t>VER-16</t>
        </is>
      </c>
      <c r="C145" s="4" t="inlineStr">
        <is>
          <t>Editing a sent quote creates a version</t>
        </is>
      </c>
      <c r="D145" s="4" t="inlineStr">
        <is>
          <t>Positive</t>
        </is>
      </c>
      <c r="E145" s="16" t="n">
        <v>3</v>
      </c>
      <c r="F145" s="4" t="inlineStr">
        <is>
          <t>Read versions[0].</t>
        </is>
      </c>
      <c r="G145" s="4" t="inlineStr">
        <is>
          <t>Version 1 is unchanged, with its own content hash and timestamp.</t>
        </is>
      </c>
      <c r="H145" s="4" t="inlineStr"/>
      <c r="I145" s="4" t="inlineStr"/>
      <c r="J145" s="4" t="inlineStr"/>
    </row>
    <row r="146">
      <c r="A146" s="3" t="inlineStr">
        <is>
          <t>TC-032</t>
        </is>
      </c>
      <c r="B146" s="3" t="inlineStr">
        <is>
          <t>VER-16</t>
        </is>
      </c>
      <c r="C146" s="3" t="inlineStr">
        <is>
          <t>Editing a sent quote creates a version</t>
        </is>
      </c>
      <c r="D146" s="3" t="inlineStr">
        <is>
          <t>Positive</t>
        </is>
      </c>
      <c r="E146" s="11" t="n">
        <v>4</v>
      </c>
      <c r="F146" s="3" t="inlineStr">
        <is>
          <t>Compare the two content hashes.</t>
        </is>
      </c>
      <c r="G146" s="3" t="inlineStr">
        <is>
          <t>They differ.</t>
        </is>
      </c>
      <c r="H146" s="3" t="inlineStr"/>
      <c r="I146" s="3" t="inlineStr"/>
      <c r="J146" s="3" t="inlineStr"/>
    </row>
    <row r="147">
      <c r="A147" s="4" t="inlineStr">
        <is>
          <t>TC-032</t>
        </is>
      </c>
      <c r="B147" s="4" t="inlineStr">
        <is>
          <t>VER-16</t>
        </is>
      </c>
      <c r="C147" s="4" t="inlineStr">
        <is>
          <t>Editing a sent quote creates a version</t>
        </is>
      </c>
      <c r="D147" s="4" t="inlineStr">
        <is>
          <t>Positive</t>
        </is>
      </c>
      <c r="E147" s="16" t="n">
        <v>5</v>
      </c>
      <c r="F147" s="4" t="inlineStr">
        <is>
          <t>Attempt to modify version 1 through any route.</t>
        </is>
      </c>
      <c r="G147" s="4" t="inlineStr">
        <is>
          <t>No route exists to do so.</t>
        </is>
      </c>
      <c r="H147" s="4" t="inlineStr"/>
      <c r="I147" s="4" t="inlineStr"/>
      <c r="J147" s="4" t="inlineStr"/>
    </row>
    <row r="148">
      <c r="A148" s="3" t="inlineStr">
        <is>
          <t>TC-033</t>
        </is>
      </c>
      <c r="B148" s="3" t="inlineStr">
        <is>
          <t>VER-16</t>
        </is>
      </c>
      <c r="C148" s="3" t="inlineStr">
        <is>
          <t>Drift against the deal is detected</t>
        </is>
      </c>
      <c r="D148" s="3" t="inlineStr">
        <is>
          <t>Positive</t>
        </is>
      </c>
      <c r="E148" s="11" t="n">
        <v>1</v>
      </c>
      <c r="F148" s="3" t="inlineStr">
        <is>
          <t>Project a quote onto a deal and request the drift report.</t>
        </is>
      </c>
      <c r="G148" s="3" t="inlineStr">
        <is>
          <t>State is in_sync.</t>
        </is>
      </c>
      <c r="H148" s="3" t="inlineStr"/>
      <c r="I148" s="3" t="inlineStr"/>
      <c r="J148" s="3" t="inlineStr"/>
    </row>
    <row r="149">
      <c r="A149" s="4" t="inlineStr">
        <is>
          <t>TC-033</t>
        </is>
      </c>
      <c r="B149" s="4" t="inlineStr">
        <is>
          <t>VER-16</t>
        </is>
      </c>
      <c r="C149" s="4" t="inlineStr">
        <is>
          <t>Drift against the deal is detected</t>
        </is>
      </c>
      <c r="D149" s="4" t="inlineStr">
        <is>
          <t>Positive</t>
        </is>
      </c>
      <c r="E149" s="16" t="n">
        <v>2</v>
      </c>
      <c r="F149" s="4" t="inlineStr">
        <is>
          <t>Revise the quote without re-projecting.</t>
        </is>
      </c>
      <c r="G149" s="4" t="inlineStr">
        <is>
          <t>State becomes stale.</t>
        </is>
      </c>
      <c r="H149" s="4" t="inlineStr"/>
      <c r="I149" s="4" t="inlineStr"/>
      <c r="J149" s="4" t="inlineStr"/>
    </row>
    <row r="150">
      <c r="A150" s="3" t="inlineStr">
        <is>
          <t>TC-033</t>
        </is>
      </c>
      <c r="B150" s="3" t="inlineStr">
        <is>
          <t>VER-16</t>
        </is>
      </c>
      <c r="C150" s="3" t="inlineStr">
        <is>
          <t>Drift against the deal is detected</t>
        </is>
      </c>
      <c r="D150" s="3" t="inlineStr">
        <is>
          <t>Positive</t>
        </is>
      </c>
      <c r="E150" s="11" t="n">
        <v>3</v>
      </c>
      <c r="F150" s="3" t="inlineStr">
        <is>
          <t>Change the line items on the deal directly, then request drift.</t>
        </is>
      </c>
      <c r="G150" s="3" t="inlineStr">
        <is>
          <t>State becomes drifted.</t>
        </is>
      </c>
      <c r="H150" s="3" t="inlineStr"/>
      <c r="I150" s="3" t="inlineStr"/>
      <c r="J150" s="3" t="inlineStr"/>
    </row>
    <row r="151">
      <c r="A151" s="4" t="inlineStr">
        <is>
          <t>TC-033</t>
        </is>
      </c>
      <c r="B151" s="4" t="inlineStr">
        <is>
          <t>VER-16</t>
        </is>
      </c>
      <c r="C151" s="4" t="inlineStr">
        <is>
          <t>Drift against the deal is detected</t>
        </is>
      </c>
      <c r="D151" s="4" t="inlineStr">
        <is>
          <t>Positive</t>
        </is>
      </c>
      <c r="E151" s="16" t="n">
        <v>4</v>
      </c>
      <c r="F151" s="4" t="inlineStr">
        <is>
          <t>Request drift for a quote never projected.</t>
        </is>
      </c>
      <c r="G151" s="4" t="inlineStr">
        <is>
          <t>State is not_projected — not an error, and not a false in_sync.</t>
        </is>
      </c>
      <c r="H151" s="4" t="inlineStr"/>
      <c r="I151" s="4" t="inlineStr"/>
      <c r="J151" s="4" t="inlineStr"/>
    </row>
    <row r="152">
      <c r="A152" s="3" t="inlineStr">
        <is>
          <t>TC-034</t>
        </is>
      </c>
      <c r="B152" s="3" t="inlineStr">
        <is>
          <t>VER-16</t>
        </is>
      </c>
      <c r="C152" s="3" t="inlineStr">
        <is>
          <t>A signed package verifies, and one changed byte fails</t>
        </is>
      </c>
      <c r="D152" s="3" t="inlineStr">
        <is>
          <t>Positive</t>
        </is>
      </c>
      <c r="E152" s="11" t="n">
        <v>1</v>
      </c>
      <c r="F152" s="3" t="inlineStr">
        <is>
          <t>GET the rendered document for the envelope.</t>
        </is>
      </c>
      <c r="G152" s="3" t="inlineStr">
        <is>
          <t>HTTP 200 with deterministic HTML.</t>
        </is>
      </c>
      <c r="H152" s="3" t="inlineStr"/>
      <c r="I152" s="3" t="inlineStr"/>
      <c r="J152" s="3" t="inlineStr"/>
    </row>
    <row r="153">
      <c r="A153" s="4" t="inlineStr">
        <is>
          <t>TC-034</t>
        </is>
      </c>
      <c r="B153" s="4" t="inlineStr">
        <is>
          <t>VER-16</t>
        </is>
      </c>
      <c r="C153" s="4" t="inlineStr">
        <is>
          <t>A signed package verifies, and one changed byte fails</t>
        </is>
      </c>
      <c r="D153" s="4" t="inlineStr">
        <is>
          <t>Positive</t>
        </is>
      </c>
      <c r="E153" s="16" t="n">
        <v>2</v>
      </c>
      <c r="F153" s="4" t="inlineStr">
        <is>
          <t>Request the same document again and compare byte for byte.</t>
        </is>
      </c>
      <c r="G153" s="4" t="inlineStr">
        <is>
          <t>Identical — no clock or random value leaks into the render.</t>
        </is>
      </c>
      <c r="H153" s="4" t="inlineStr"/>
      <c r="I153" s="4" t="inlineStr"/>
      <c r="J153" s="4" t="inlineStr"/>
    </row>
    <row r="154">
      <c r="A154" s="3" t="inlineStr">
        <is>
          <t>TC-034</t>
        </is>
      </c>
      <c r="B154" s="3" t="inlineStr">
        <is>
          <t>VER-16</t>
        </is>
      </c>
      <c r="C154" s="3" t="inlineStr">
        <is>
          <t>A signed package verifies, and one changed byte fails</t>
        </is>
      </c>
      <c r="D154" s="3" t="inlineStr">
        <is>
          <t>Positive</t>
        </is>
      </c>
      <c r="E154" s="11" t="n">
        <v>3</v>
      </c>
      <c r="F154" s="3" t="inlineStr">
        <is>
          <t>Sign the envelope, then GET the certificate of completion.</t>
        </is>
      </c>
      <c r="G154" s="3" t="inlineStr">
        <is>
          <t>It carries signer identity, timestamps, IP, user agent, consent record and the document hash.</t>
        </is>
      </c>
      <c r="H154" s="3" t="inlineStr"/>
      <c r="I154" s="3" t="inlineStr"/>
      <c r="J154" s="3" t="inlineStr"/>
    </row>
    <row r="155">
      <c r="A155" s="4" t="inlineStr">
        <is>
          <t>TC-034</t>
        </is>
      </c>
      <c r="B155" s="4" t="inlineStr">
        <is>
          <t>VER-16</t>
        </is>
      </c>
      <c r="C155" s="4" t="inlineStr">
        <is>
          <t>A signed package verifies, and one changed byte fails</t>
        </is>
      </c>
      <c r="D155" s="4" t="inlineStr">
        <is>
          <t>Positive</t>
        </is>
      </c>
      <c r="E155" s="16" t="n">
        <v>4</v>
      </c>
      <c r="F155" s="4" t="inlineStr">
        <is>
          <t>POST the package to /api/esign/verify.</t>
        </is>
      </c>
      <c r="G155" s="4" t="inlineStr">
        <is>
          <t>Verification passes.</t>
        </is>
      </c>
      <c r="H155" s="4" t="inlineStr"/>
      <c r="I155" s="4" t="inlineStr"/>
      <c r="J155" s="4" t="inlineStr"/>
    </row>
    <row r="156">
      <c r="A156" s="3" t="inlineStr">
        <is>
          <t>TC-034</t>
        </is>
      </c>
      <c r="B156" s="3" t="inlineStr">
        <is>
          <t>VER-16</t>
        </is>
      </c>
      <c r="C156" s="3" t="inlineStr">
        <is>
          <t>A signed package verifies, and one changed byte fails</t>
        </is>
      </c>
      <c r="D156" s="3" t="inlineStr">
        <is>
          <t>Positive</t>
        </is>
      </c>
      <c r="E156" s="11" t="n">
        <v>5</v>
      </c>
      <c r="F156" s="3" t="inlineStr">
        <is>
          <t>Alter one character of the document and verify again.</t>
        </is>
      </c>
      <c r="G156" s="3" t="inlineStr">
        <is>
          <t>Verification FAILS and says which element did not match.</t>
        </is>
      </c>
      <c r="H156" s="3" t="inlineStr"/>
      <c r="I156" s="3" t="inlineStr"/>
      <c r="J156" s="3" t="inlineStr"/>
    </row>
    <row r="157">
      <c r="A157" s="13" t="inlineStr">
        <is>
          <t>TC-035</t>
        </is>
      </c>
      <c r="B157" s="13" t="inlineStr">
        <is>
          <t>VER-16</t>
        </is>
      </c>
      <c r="C157" s="13" t="inlineStr">
        <is>
          <t>An access code cannot be brute-forced or guessed</t>
        </is>
      </c>
      <c r="D157" s="13" t="inlineStr">
        <is>
          <t>Negative</t>
        </is>
      </c>
      <c r="E157" s="14" t="n">
        <v>1</v>
      </c>
      <c r="F157" s="13" t="inlineStr">
        <is>
          <t>Attempt to open the signing page with no access code.</t>
        </is>
      </c>
      <c r="G157" s="13" t="inlineStr">
        <is>
          <t>Refused.</t>
        </is>
      </c>
      <c r="H157" s="13" t="inlineStr"/>
      <c r="I157" s="13" t="inlineStr"/>
      <c r="J157" s="13" t="inlineStr"/>
    </row>
    <row r="158">
      <c r="A158" s="13" t="inlineStr">
        <is>
          <t>TC-035</t>
        </is>
      </c>
      <c r="B158" s="13" t="inlineStr">
        <is>
          <t>VER-16</t>
        </is>
      </c>
      <c r="C158" s="13" t="inlineStr">
        <is>
          <t>An access code cannot be brute-forced or guessed</t>
        </is>
      </c>
      <c r="D158" s="13" t="inlineStr">
        <is>
          <t>Negative</t>
        </is>
      </c>
      <c r="E158" s="14" t="n">
        <v>2</v>
      </c>
      <c r="F158" s="13" t="inlineStr">
        <is>
          <t>Attempt with a wrong code.</t>
        </is>
      </c>
      <c r="G158" s="13" t="inlineStr">
        <is>
          <t>Refused; the attempt is counted.</t>
        </is>
      </c>
      <c r="H158" s="13" t="inlineStr"/>
      <c r="I158" s="13" t="inlineStr"/>
      <c r="J158" s="13" t="inlineStr"/>
    </row>
    <row r="159">
      <c r="A159" s="13" t="inlineStr">
        <is>
          <t>TC-035</t>
        </is>
      </c>
      <c r="B159" s="13" t="inlineStr">
        <is>
          <t>VER-16</t>
        </is>
      </c>
      <c r="C159" s="13" t="inlineStr">
        <is>
          <t>An access code cannot be brute-forced or guessed</t>
        </is>
      </c>
      <c r="D159" s="13" t="inlineStr">
        <is>
          <t>Negative</t>
        </is>
      </c>
      <c r="E159" s="14" t="n">
        <v>3</v>
      </c>
      <c r="F159" s="13" t="inlineStr">
        <is>
          <t>Repeat until the attempt ceiling is reached.</t>
        </is>
      </c>
      <c r="G159" s="13" t="inlineStr">
        <is>
          <t>Further attempts are refused even with the correct code.</t>
        </is>
      </c>
      <c r="H159" s="13" t="inlineStr"/>
      <c r="I159" s="13" t="inlineStr"/>
      <c r="J159" s="13" t="inlineStr"/>
    </row>
    <row r="160">
      <c r="A160" s="13" t="inlineStr">
        <is>
          <t>TC-035</t>
        </is>
      </c>
      <c r="B160" s="13" t="inlineStr">
        <is>
          <t>VER-16</t>
        </is>
      </c>
      <c r="C160" s="13" t="inlineStr">
        <is>
          <t>An access code cannot be brute-forced or guessed</t>
        </is>
      </c>
      <c r="D160" s="13" t="inlineStr">
        <is>
          <t>Negative</t>
        </is>
      </c>
      <c r="E160" s="14" t="n">
        <v>4</v>
      </c>
      <c r="F160" s="13" t="inlineStr">
        <is>
          <t>Inspect stored data for the code.</t>
        </is>
      </c>
      <c r="G160" s="13" t="inlineStr">
        <is>
          <t>Only an HMAC is stored — the code itself is not recoverable from the database.</t>
        </is>
      </c>
      <c r="H160" s="13" t="inlineStr"/>
      <c r="I160" s="13" t="inlineStr"/>
      <c r="J160" s="13" t="inlineStr"/>
    </row>
    <row r="161">
      <c r="A161" s="13" t="inlineStr">
        <is>
          <t>TC-036</t>
        </is>
      </c>
      <c r="B161" s="13" t="inlineStr">
        <is>
          <t>VER-16</t>
        </is>
      </c>
      <c r="C161" s="13" t="inlineStr">
        <is>
          <t>A push never destroys line items QuoteFlow did not create</t>
        </is>
      </c>
      <c r="D161" s="13" t="inlineStr">
        <is>
          <t>Negative</t>
        </is>
      </c>
      <c r="E161" s="14" t="n">
        <v>1</v>
      </c>
      <c r="F161" s="13" t="inlineStr">
        <is>
          <t>Push a quote with replace strategy.</t>
        </is>
      </c>
      <c r="G161" s="13" t="inlineStr">
        <is>
          <t>HTTP 409, code LINE_ITEMS_NOT_OWNED.</t>
        </is>
      </c>
      <c r="H161" s="13" t="inlineStr"/>
      <c r="I161" s="13" t="inlineStr"/>
      <c r="J161" s="13" t="inlineStr"/>
    </row>
    <row r="162">
      <c r="A162" s="13" t="inlineStr">
        <is>
          <t>TC-036</t>
        </is>
      </c>
      <c r="B162" s="13" t="inlineStr">
        <is>
          <t>VER-16</t>
        </is>
      </c>
      <c r="C162" s="13" t="inlineStr">
        <is>
          <t>A push never destroys line items QuoteFlow did not create</t>
        </is>
      </c>
      <c r="D162" s="13" t="inlineStr">
        <is>
          <t>Negative</t>
        </is>
      </c>
      <c r="E162" s="14" t="n">
        <v>2</v>
      </c>
      <c r="F162" s="13" t="inlineStr">
        <is>
          <t>Inspect the outbound calls made.</t>
        </is>
      </c>
      <c r="G162" s="13" t="inlineStr">
        <is>
          <t>No DELETE and no create were issued — it refused BEFORE touching anything.</t>
        </is>
      </c>
      <c r="H162" s="13" t="inlineStr"/>
      <c r="I162" s="13" t="inlineStr"/>
      <c r="J162" s="13" t="inlineStr"/>
    </row>
    <row r="163">
      <c r="A163" s="13" t="inlineStr">
        <is>
          <t>TC-036</t>
        </is>
      </c>
      <c r="B163" s="13" t="inlineStr">
        <is>
          <t>VER-16</t>
        </is>
      </c>
      <c r="C163" s="13" t="inlineStr">
        <is>
          <t>A push never destroys line items QuoteFlow did not create</t>
        </is>
      </c>
      <c r="D163" s="13" t="inlineStr">
        <is>
          <t>Negative</t>
        </is>
      </c>
      <c r="E163" s="14" t="n">
        <v>3</v>
      </c>
      <c r="F163" s="13" t="inlineStr">
        <is>
          <t>Enable the admin opt-in allowUnownedReplace and push again.</t>
        </is>
      </c>
      <c r="G163" s="13" t="inlineStr">
        <is>
          <t>Only the QuoteFlow-owned item is archived; the rep’s and the native item are untouched.</t>
        </is>
      </c>
      <c r="H163" s="13" t="inlineStr"/>
      <c r="I163" s="13" t="inlineStr"/>
      <c r="J163" s="13" t="inlineStr"/>
    </row>
    <row r="164">
      <c r="A164" s="13" t="inlineStr">
        <is>
          <t>TC-036</t>
        </is>
      </c>
      <c r="B164" s="13" t="inlineStr">
        <is>
          <t>VER-16</t>
        </is>
      </c>
      <c r="C164" s="13" t="inlineStr">
        <is>
          <t>A push never destroys line items QuoteFlow did not create</t>
        </is>
      </c>
      <c r="D164" s="13" t="inlineStr">
        <is>
          <t>Negative</t>
        </is>
      </c>
      <c r="E164" s="14" t="n">
        <v>4</v>
      </c>
      <c r="F164" s="13" t="inlineStr">
        <is>
          <t>Inspect the archive call.</t>
        </is>
      </c>
      <c r="G164" s="13" t="inlineStr">
        <is>
          <t>It is DELETE ...?archive=true, not a hard delete.</t>
        </is>
      </c>
      <c r="H164" s="13" t="inlineStr"/>
      <c r="I164" s="13" t="inlineStr"/>
      <c r="J164" s="13" t="inlineStr"/>
    </row>
    <row r="165">
      <c r="A165" s="13" t="inlineStr">
        <is>
          <t>TC-036</t>
        </is>
      </c>
      <c r="B165" s="13" t="inlineStr">
        <is>
          <t>VER-16</t>
        </is>
      </c>
      <c r="C165" s="13" t="inlineStr">
        <is>
          <t>A push never destroys line items QuoteFlow did not create</t>
        </is>
      </c>
      <c r="D165" s="13" t="inlineStr">
        <is>
          <t>Negative</t>
        </is>
      </c>
      <c r="E165" s="14" t="n">
        <v>5</v>
      </c>
      <c r="F165" s="13" t="inlineStr">
        <is>
          <t>Inspect any newly created item.</t>
        </is>
      </c>
      <c r="G165" s="13" t="inlineStr">
        <is>
          <t>It carries the qf_managed provenance property.</t>
        </is>
      </c>
      <c r="H165" s="13" t="inlineStr"/>
      <c r="I165" s="13" t="inlineStr"/>
      <c r="J165" s="13" t="inlineStr"/>
    </row>
    <row r="166">
      <c r="A166" s="3" t="inlineStr">
        <is>
          <t>TC-037</t>
        </is>
      </c>
      <c r="B166" s="3" t="inlineStr">
        <is>
          <t>VER-17</t>
        </is>
      </c>
      <c r="C166" s="3" t="inlineStr">
        <is>
          <t>A charge is form-encoded, authenticated and idempotent</t>
        </is>
      </c>
      <c r="D166" s="3" t="inlineStr">
        <is>
          <t>Positive</t>
        </is>
      </c>
      <c r="E166" s="11" t="n">
        <v>1</v>
      </c>
      <c r="F166" s="3" t="inlineStr">
        <is>
          <t>Trigger a subscribe charge through the Stripe provider.</t>
        </is>
      </c>
      <c r="G166" s="3" t="inlineStr">
        <is>
          <t>The request body is application/x-www-form-urlencoded, NOT JSON.</t>
        </is>
      </c>
      <c r="H166" s="3" t="inlineStr"/>
      <c r="I166" s="3" t="inlineStr"/>
      <c r="J166" s="3" t="inlineStr"/>
    </row>
    <row r="167">
      <c r="A167" s="4" t="inlineStr">
        <is>
          <t>TC-037</t>
        </is>
      </c>
      <c r="B167" s="4" t="inlineStr">
        <is>
          <t>VER-17</t>
        </is>
      </c>
      <c r="C167" s="4" t="inlineStr">
        <is>
          <t>A charge is form-encoded, authenticated and idempotent</t>
        </is>
      </c>
      <c r="D167" s="4" t="inlineStr">
        <is>
          <t>Positive</t>
        </is>
      </c>
      <c r="E167" s="16" t="n">
        <v>2</v>
      </c>
      <c r="F167" s="4" t="inlineStr">
        <is>
          <t>Inspect nested fields.</t>
        </is>
      </c>
      <c r="G167" s="4" t="inlineStr">
        <is>
          <t>metadata[portal_id] uses bracket notation; arrays use indices.</t>
        </is>
      </c>
      <c r="H167" s="4" t="inlineStr"/>
      <c r="I167" s="4" t="inlineStr"/>
      <c r="J167" s="4" t="inlineStr"/>
    </row>
    <row r="168">
      <c r="A168" s="3" t="inlineStr">
        <is>
          <t>TC-037</t>
        </is>
      </c>
      <c r="B168" s="3" t="inlineStr">
        <is>
          <t>VER-17</t>
        </is>
      </c>
      <c r="C168" s="3" t="inlineStr">
        <is>
          <t>A charge is form-encoded, authenticated and idempotent</t>
        </is>
      </c>
      <c r="D168" s="3" t="inlineStr">
        <is>
          <t>Positive</t>
        </is>
      </c>
      <c r="E168" s="11" t="n">
        <v>3</v>
      </c>
      <c r="F168" s="3" t="inlineStr">
        <is>
          <t>Inspect the headers.</t>
        </is>
      </c>
      <c r="G168" s="3" t="inlineStr">
        <is>
          <t>Authorization: Bearer &lt;key&gt;, correct content type, and an Idempotency-Key.</t>
        </is>
      </c>
      <c r="H168" s="3" t="inlineStr"/>
      <c r="I168" s="3" t="inlineStr"/>
      <c r="J168" s="3" t="inlineStr"/>
    </row>
    <row r="169">
      <c r="A169" s="4" t="inlineStr">
        <is>
          <t>TC-037</t>
        </is>
      </c>
      <c r="B169" s="4" t="inlineStr">
        <is>
          <t>VER-17</t>
        </is>
      </c>
      <c r="C169" s="4" t="inlineStr">
        <is>
          <t>A charge is form-encoded, authenticated and idempotent</t>
        </is>
      </c>
      <c r="D169" s="4" t="inlineStr">
        <is>
          <t>Positive</t>
        </is>
      </c>
      <c r="E169" s="16" t="n">
        <v>4</v>
      </c>
      <c r="F169" s="4" t="inlineStr">
        <is>
          <t>Replay the identical charge.</t>
        </is>
      </c>
      <c r="G169" s="4" t="inlineStr">
        <is>
          <t>The same Idempotency-Key is sent, so a retry cannot double-bill.</t>
        </is>
      </c>
      <c r="H169" s="4" t="inlineStr"/>
      <c r="I169" s="4" t="inlineStr"/>
      <c r="J169" s="4" t="inlineStr"/>
    </row>
    <row r="170">
      <c r="A170" s="3" t="inlineStr">
        <is>
          <t>TC-037</t>
        </is>
      </c>
      <c r="B170" s="3" t="inlineStr">
        <is>
          <t>VER-17</t>
        </is>
      </c>
      <c r="C170" s="3" t="inlineStr">
        <is>
          <t>A charge is form-encoded, authenticated and idempotent</t>
        </is>
      </c>
      <c r="D170" s="3" t="inlineStr">
        <is>
          <t>Positive</t>
        </is>
      </c>
      <c r="E170" s="11" t="n">
        <v>5</v>
      </c>
      <c r="F170" s="3" t="inlineStr">
        <is>
          <t>Attempt to JSON.parse the body.</t>
        </is>
      </c>
      <c r="G170" s="3" t="inlineStr">
        <is>
          <t>It throws — confirming it is not JSON.</t>
        </is>
      </c>
      <c r="H170" s="3" t="inlineStr"/>
      <c r="I170" s="3" t="inlineStr"/>
      <c r="J170" s="3" t="inlineStr"/>
    </row>
    <row r="171">
      <c r="A171" s="13" t="inlineStr">
        <is>
          <t>TC-038</t>
        </is>
      </c>
      <c r="B171" s="13" t="inlineStr">
        <is>
          <t>VER-17</t>
        </is>
      </c>
      <c r="C171" s="13" t="inlineStr">
        <is>
          <t>A replayed webhook does not charge twice</t>
        </is>
      </c>
      <c r="D171" s="13" t="inlineStr">
        <is>
          <t>Negative</t>
        </is>
      </c>
      <c r="E171" s="14" t="n">
        <v>1</v>
      </c>
      <c r="F171" s="13" t="inlineStr">
        <is>
          <t>Send a correctly signed payment_succeeded event.</t>
        </is>
      </c>
      <c r="G171" s="13" t="inlineStr">
        <is>
          <t>Applied once; the account moves to active.</t>
        </is>
      </c>
      <c r="H171" s="13" t="inlineStr"/>
      <c r="I171" s="13" t="inlineStr"/>
      <c r="J171" s="13" t="inlineStr"/>
    </row>
    <row r="172">
      <c r="A172" s="13" t="inlineStr">
        <is>
          <t>TC-038</t>
        </is>
      </c>
      <c r="B172" s="13" t="inlineStr">
        <is>
          <t>VER-17</t>
        </is>
      </c>
      <c r="C172" s="13" t="inlineStr">
        <is>
          <t>A replayed webhook does not charge twice</t>
        </is>
      </c>
      <c r="D172" s="13" t="inlineStr">
        <is>
          <t>Negative</t>
        </is>
      </c>
      <c r="E172" s="14" t="n">
        <v>2</v>
      </c>
      <c r="F172" s="13" t="inlineStr">
        <is>
          <t>Send the byte-identical request again.</t>
        </is>
      </c>
      <c r="G172" s="13" t="inlineStr">
        <is>
          <t>HTTP 200, but the outcome is reported as duplicate and nothing is applied.</t>
        </is>
      </c>
      <c r="H172" s="13" t="inlineStr"/>
      <c r="I172" s="13" t="inlineStr"/>
      <c r="J172" s="13" t="inlineStr"/>
    </row>
    <row r="173">
      <c r="A173" s="13" t="inlineStr">
        <is>
          <t>TC-038</t>
        </is>
      </c>
      <c r="B173" s="13" t="inlineStr">
        <is>
          <t>VER-17</t>
        </is>
      </c>
      <c r="C173" s="13" t="inlineStr">
        <is>
          <t>A replayed webhook does not charge twice</t>
        </is>
      </c>
      <c r="D173" s="13" t="inlineStr">
        <is>
          <t>Negative</t>
        </is>
      </c>
      <c r="E173" s="14" t="n">
        <v>3</v>
      </c>
      <c r="F173" s="13" t="inlineStr">
        <is>
          <t>Send it a third time.</t>
        </is>
      </c>
      <c r="G173" s="13" t="inlineStr">
        <is>
          <t>Still a no-op.</t>
        </is>
      </c>
      <c r="H173" s="13" t="inlineStr"/>
      <c r="I173" s="13" t="inlineStr"/>
      <c r="J173" s="13" t="inlineStr"/>
    </row>
    <row r="174">
      <c r="A174" s="13" t="inlineStr">
        <is>
          <t>TC-038</t>
        </is>
      </c>
      <c r="B174" s="13" t="inlineStr">
        <is>
          <t>VER-17</t>
        </is>
      </c>
      <c r="C174" s="13" t="inlineStr">
        <is>
          <t>A replayed webhook does not charge twice</t>
        </is>
      </c>
      <c r="D174" s="13" t="inlineStr">
        <is>
          <t>Negative</t>
        </is>
      </c>
      <c r="E174" s="14" t="n">
        <v>4</v>
      </c>
      <c r="F174" s="13" t="inlineStr">
        <is>
          <t>Send the same event id for a DIFFERENT portal.</t>
        </is>
      </c>
      <c r="G174" s="13" t="inlineStr">
        <is>
          <t>It IS applied — deduplication is per portal, not global.</t>
        </is>
      </c>
      <c r="H174" s="13" t="inlineStr"/>
      <c r="I174" s="13" t="inlineStr"/>
      <c r="J174" s="13" t="inlineStr"/>
    </row>
    <row r="175">
      <c r="A175" s="13" t="inlineStr">
        <is>
          <t>TC-039</t>
        </is>
      </c>
      <c r="B175" s="13" t="inlineStr">
        <is>
          <t>VER-17</t>
        </is>
      </c>
      <c r="C175" s="13" t="inlineStr">
        <is>
          <t>A late payment_failed cannot undo a later success</t>
        </is>
      </c>
      <c r="D175" s="13" t="inlineStr">
        <is>
          <t>Negative</t>
        </is>
      </c>
      <c r="E175" s="14" t="n">
        <v>1</v>
      </c>
      <c r="F175" s="13" t="inlineStr">
        <is>
          <t>Send payment_succeeded with occurredAt = now.</t>
        </is>
      </c>
      <c r="G175" s="13" t="inlineStr">
        <is>
          <t>Applied; account active.</t>
        </is>
      </c>
      <c r="H175" s="13" t="inlineStr"/>
      <c r="I175" s="13" t="inlineStr"/>
      <c r="J175" s="13" t="inlineStr"/>
    </row>
    <row r="176">
      <c r="A176" s="13" t="inlineStr">
        <is>
          <t>TC-039</t>
        </is>
      </c>
      <c r="B176" s="13" t="inlineStr">
        <is>
          <t>VER-17</t>
        </is>
      </c>
      <c r="C176" s="13" t="inlineStr">
        <is>
          <t>A late payment_failed cannot undo a later success</t>
        </is>
      </c>
      <c r="D176" s="13" t="inlineStr">
        <is>
          <t>Negative</t>
        </is>
      </c>
      <c r="E176" s="14" t="n">
        <v>2</v>
      </c>
      <c r="F176" s="13" t="inlineStr">
        <is>
          <t>Send payment_failed with occurredAt = one minute EARLIER.</t>
        </is>
      </c>
      <c r="G176" s="13" t="inlineStr">
        <is>
          <t>HTTP 200, reported out_of_order, NOT applied.</t>
        </is>
      </c>
      <c r="H176" s="13" t="inlineStr"/>
      <c r="I176" s="13" t="inlineStr"/>
      <c r="J176" s="13" t="inlineStr"/>
    </row>
    <row r="177">
      <c r="A177" s="13" t="inlineStr">
        <is>
          <t>TC-039</t>
        </is>
      </c>
      <c r="B177" s="13" t="inlineStr">
        <is>
          <t>VER-17</t>
        </is>
      </c>
      <c r="C177" s="13" t="inlineStr">
        <is>
          <t>A late payment_failed cannot undo a later success</t>
        </is>
      </c>
      <c r="D177" s="13" t="inlineStr">
        <is>
          <t>Negative</t>
        </is>
      </c>
      <c r="E177" s="14" t="n">
        <v>3</v>
      </c>
      <c r="F177" s="13" t="inlineStr">
        <is>
          <t>Check the account status.</t>
        </is>
      </c>
      <c r="G177" s="13" t="inlineStr">
        <is>
          <t>Still active — it was not dragged into dunning by a stale event.</t>
        </is>
      </c>
      <c r="H177" s="13" t="inlineStr"/>
      <c r="I177" s="13" t="inlineStr"/>
      <c r="J177" s="13" t="inlineStr"/>
    </row>
    <row r="178">
      <c r="A178" s="13" t="inlineStr">
        <is>
          <t>TC-039</t>
        </is>
      </c>
      <c r="B178" s="13" t="inlineStr">
        <is>
          <t>VER-17</t>
        </is>
      </c>
      <c r="C178" s="13" t="inlineStr">
        <is>
          <t>A late payment_failed cannot undo a later success</t>
        </is>
      </c>
      <c r="D178" s="13" t="inlineStr">
        <is>
          <t>Negative</t>
        </is>
      </c>
      <c r="E178" s="14" t="n">
        <v>4</v>
      </c>
      <c r="F178" s="13" t="inlineStr">
        <is>
          <t>Send payment_failed with occurredAt = now + 1 minute.</t>
        </is>
      </c>
      <c r="G178" s="13" t="inlineStr">
        <is>
          <t>Applied — genuinely newer events still take effect.</t>
        </is>
      </c>
      <c r="H178" s="13" t="inlineStr"/>
      <c r="I178" s="13" t="inlineStr"/>
      <c r="J178" s="13" t="inlineStr"/>
    </row>
    <row r="179">
      <c r="A179" s="13" t="inlineStr">
        <is>
          <t>TC-040</t>
        </is>
      </c>
      <c r="B179" s="13" t="inlineStr">
        <is>
          <t>VER-17</t>
        </is>
      </c>
      <c r="C179" s="13" t="inlineStr">
        <is>
          <t>An unsigned or stale webhook never reaches the account</t>
        </is>
      </c>
      <c r="D179" s="13" t="inlineStr">
        <is>
          <t>Negative</t>
        </is>
      </c>
      <c r="E179" s="14" t="n">
        <v>1</v>
      </c>
      <c r="F179" s="13" t="inlineStr">
        <is>
          <t>Send with no signature header.</t>
        </is>
      </c>
      <c r="G179" s="13" t="inlineStr">
        <is>
          <t>HTTP 401, BILLING_WEBHOOK_UNVERIFIED; nothing applied.</t>
        </is>
      </c>
      <c r="H179" s="13" t="inlineStr"/>
      <c r="I179" s="13" t="inlineStr"/>
      <c r="J179" s="13" t="inlineStr"/>
    </row>
    <row r="180">
      <c r="A180" s="13" t="inlineStr">
        <is>
          <t>TC-040</t>
        </is>
      </c>
      <c r="B180" s="13" t="inlineStr">
        <is>
          <t>VER-17</t>
        </is>
      </c>
      <c r="C180" s="13" t="inlineStr">
        <is>
          <t>An unsigned or stale webhook never reaches the account</t>
        </is>
      </c>
      <c r="D180" s="13" t="inlineStr">
        <is>
          <t>Negative</t>
        </is>
      </c>
      <c r="E180" s="14" t="n">
        <v>2</v>
      </c>
      <c r="F180" s="13" t="inlineStr">
        <is>
          <t>Send with a malformed header (no v1 part).</t>
        </is>
      </c>
      <c r="G180" s="13" t="inlineStr">
        <is>
          <t>HTTP 401.</t>
        </is>
      </c>
      <c r="H180" s="13" t="inlineStr"/>
      <c r="I180" s="13" t="inlineStr"/>
      <c r="J180" s="13" t="inlineStr"/>
    </row>
    <row r="181">
      <c r="A181" s="13" t="inlineStr">
        <is>
          <t>TC-040</t>
        </is>
      </c>
      <c r="B181" s="13" t="inlineStr">
        <is>
          <t>VER-17</t>
        </is>
      </c>
      <c r="C181" s="13" t="inlineStr">
        <is>
          <t>An unsigned or stale webhook never reaches the account</t>
        </is>
      </c>
      <c r="D181" s="13" t="inlineStr">
        <is>
          <t>Negative</t>
        </is>
      </c>
      <c r="E181" s="14" t="n">
        <v>3</v>
      </c>
      <c r="F181" s="13" t="inlineStr">
        <is>
          <t>Send signed with the wrong secret.</t>
        </is>
      </c>
      <c r="G181" s="13" t="inlineStr">
        <is>
          <t>HTTP 401.</t>
        </is>
      </c>
      <c r="H181" s="13" t="inlineStr"/>
      <c r="I181" s="13" t="inlineStr"/>
      <c r="J181" s="13" t="inlineStr"/>
    </row>
    <row r="182">
      <c r="A182" s="13" t="inlineStr">
        <is>
          <t>TC-040</t>
        </is>
      </c>
      <c r="B182" s="13" t="inlineStr">
        <is>
          <t>VER-17</t>
        </is>
      </c>
      <c r="C182" s="13" t="inlineStr">
        <is>
          <t>An unsigned or stale webhook never reaches the account</t>
        </is>
      </c>
      <c r="D182" s="13" t="inlineStr">
        <is>
          <t>Negative</t>
        </is>
      </c>
      <c r="E182" s="14" t="n">
        <v>4</v>
      </c>
      <c r="F182" s="13" t="inlineStr">
        <is>
          <t>Send correctly signed but ten minutes old.</t>
        </is>
      </c>
      <c r="G182" s="13" t="inlineStr">
        <is>
          <t>HTTP 401 — outside the tolerance.</t>
        </is>
      </c>
      <c r="H182" s="13" t="inlineStr"/>
      <c r="I182" s="13" t="inlineStr"/>
      <c r="J182" s="13" t="inlineStr"/>
    </row>
    <row r="183">
      <c r="A183" s="13" t="inlineStr">
        <is>
          <t>TC-040</t>
        </is>
      </c>
      <c r="B183" s="13" t="inlineStr">
        <is>
          <t>VER-17</t>
        </is>
      </c>
      <c r="C183" s="13" t="inlineStr">
        <is>
          <t>An unsigned or stale webhook never reaches the account</t>
        </is>
      </c>
      <c r="D183" s="13" t="inlineStr">
        <is>
          <t>Negative</t>
        </is>
      </c>
      <c r="E183" s="14" t="n">
        <v>5</v>
      </c>
      <c r="F183" s="13" t="inlineStr">
        <is>
          <t>Send correctly signed but ten minutes in the FUTURE.</t>
        </is>
      </c>
      <c r="G183" s="13" t="inlineStr">
        <is>
          <t>HTTP 401 — a forward-skewed clock is not a replay window.</t>
        </is>
      </c>
      <c r="H183" s="13" t="inlineStr"/>
      <c r="I183" s="13" t="inlineStr"/>
      <c r="J183" s="13" t="inlineStr"/>
    </row>
    <row r="184">
      <c r="A184" s="13" t="inlineStr">
        <is>
          <t>TC-041</t>
        </is>
      </c>
      <c r="B184" s="13" t="inlineStr">
        <is>
          <t>VER-17</t>
        </is>
      </c>
      <c r="C184" s="13" t="inlineStr">
        <is>
          <t>Features are gated by plan, not by a counter</t>
        </is>
      </c>
      <c r="D184" s="13" t="inlineStr">
        <is>
          <t>Negative</t>
        </is>
      </c>
      <c r="E184" s="14" t="n">
        <v>1</v>
      </c>
      <c r="F184" s="13" t="inlineStr">
        <is>
          <t>As a Pro account, use a Scale-only feature (deal desk).</t>
        </is>
      </c>
      <c r="G184" s="13" t="inlineStr">
        <is>
          <t>Refused, reason plan_does_not_include, with upgradeTo naming scale.</t>
        </is>
      </c>
      <c r="H184" s="13" t="inlineStr"/>
      <c r="I184" s="13" t="inlineStr"/>
      <c r="J184" s="13" t="inlineStr"/>
    </row>
    <row r="185">
      <c r="A185" s="13" t="inlineStr">
        <is>
          <t>TC-041</t>
        </is>
      </c>
      <c r="B185" s="13" t="inlineStr">
        <is>
          <t>VER-17</t>
        </is>
      </c>
      <c r="C185" s="13" t="inlineStr">
        <is>
          <t>Features are gated by plan, not by a counter</t>
        </is>
      </c>
      <c r="D185" s="13" t="inlineStr">
        <is>
          <t>Negative</t>
        </is>
      </c>
      <c r="E185" s="14" t="n">
        <v>2</v>
      </c>
      <c r="F185" s="13" t="inlineStr">
        <is>
          <t>As a Scale account, use it.</t>
        </is>
      </c>
      <c r="G185" s="13" t="inlineStr">
        <is>
          <t>Allowed.</t>
        </is>
      </c>
      <c r="H185" s="13" t="inlineStr"/>
      <c r="I185" s="13" t="inlineStr"/>
      <c r="J185" s="13" t="inlineStr"/>
    </row>
    <row r="186">
      <c r="A186" s="13" t="inlineStr">
        <is>
          <t>TC-041</t>
        </is>
      </c>
      <c r="B186" s="13" t="inlineStr">
        <is>
          <t>VER-17</t>
        </is>
      </c>
      <c r="C186" s="13" t="inlineStr">
        <is>
          <t>Features are gated by plan, not by a counter</t>
        </is>
      </c>
      <c r="D186" s="13" t="inlineStr">
        <is>
          <t>Negative</t>
        </is>
      </c>
      <c r="E186" s="14" t="n">
        <v>3</v>
      </c>
      <c r="F186" s="13" t="inlineStr">
        <is>
          <t>As a trial account, use a Pro feature.</t>
        </is>
      </c>
      <c r="G186" s="13" t="inlineStr">
        <is>
          <t>Allowed — the trial has the Pro shape, so the trial is real.</t>
        </is>
      </c>
      <c r="H186" s="13" t="inlineStr"/>
      <c r="I186" s="13" t="inlineStr"/>
      <c r="J186" s="13" t="inlineStr"/>
    </row>
    <row r="187">
      <c r="A187" s="13" t="inlineStr">
        <is>
          <t>TC-041</t>
        </is>
      </c>
      <c r="B187" s="13" t="inlineStr">
        <is>
          <t>VER-17</t>
        </is>
      </c>
      <c r="C187" s="13" t="inlineStr">
        <is>
          <t>Features are gated by plan, not by a counter</t>
        </is>
      </c>
      <c r="D187" s="13" t="inlineStr">
        <is>
          <t>Negative</t>
        </is>
      </c>
      <c r="E187" s="14" t="n">
        <v>4</v>
      </c>
      <c r="F187" s="13" t="inlineStr">
        <is>
          <t>As a past_due account, READ analytics.</t>
        </is>
      </c>
      <c r="G187" s="13" t="inlineStr">
        <is>
          <t>Allowed.</t>
        </is>
      </c>
      <c r="H187" s="13" t="inlineStr"/>
      <c r="I187" s="13" t="inlineStr"/>
      <c r="J187" s="13" t="inlineStr"/>
    </row>
    <row r="188">
      <c r="A188" s="13" t="inlineStr">
        <is>
          <t>TC-041</t>
        </is>
      </c>
      <c r="B188" s="13" t="inlineStr">
        <is>
          <t>VER-17</t>
        </is>
      </c>
      <c r="C188" s="13" t="inlineStr">
        <is>
          <t>Features are gated by plan, not by a counter</t>
        </is>
      </c>
      <c r="D188" s="13" t="inlineStr">
        <is>
          <t>Negative</t>
        </is>
      </c>
      <c r="E188" s="14" t="n">
        <v>5</v>
      </c>
      <c r="F188" s="13" t="inlineStr">
        <is>
          <t>As a past_due account, WRITE a price book.</t>
        </is>
      </c>
      <c r="G188" s="13" t="inlineStr">
        <is>
          <t>Refused, reason read_only — losing access to your own data over a failed payment is how a billing problem becomes churn.</t>
        </is>
      </c>
      <c r="H188" s="13" t="inlineStr"/>
      <c r="I188" s="13" t="inlineStr"/>
      <c r="J188" s="13" t="inlineStr"/>
    </row>
    <row r="189">
      <c r="A189" s="13" t="inlineStr">
        <is>
          <t>TC-041</t>
        </is>
      </c>
      <c r="B189" s="13" t="inlineStr">
        <is>
          <t>VER-17</t>
        </is>
      </c>
      <c r="C189" s="13" t="inlineStr">
        <is>
          <t>Features are gated by plan, not by a counter</t>
        </is>
      </c>
      <c r="D189" s="13" t="inlineStr">
        <is>
          <t>Negative</t>
        </is>
      </c>
      <c r="E189" s="14" t="n">
        <v>6</v>
      </c>
      <c r="F189" s="13" t="inlineStr">
        <is>
          <t>As a cancelled account, read anything.</t>
        </is>
      </c>
      <c r="G189" s="13" t="inlineStr">
        <is>
          <t>Refused outright.</t>
        </is>
      </c>
      <c r="H189" s="13" t="inlineStr"/>
      <c r="I189" s="13" t="inlineStr"/>
      <c r="J189" s="13" t="inlineStr"/>
    </row>
    <row r="190">
      <c r="A190" s="3" t="inlineStr">
        <is>
          <t>TC-042</t>
        </is>
      </c>
      <c r="B190" s="3" t="inlineStr">
        <is>
          <t>VER-17</t>
        </is>
      </c>
      <c r="C190" s="3" t="inlineStr">
        <is>
          <t>Proration uses real calendar months</t>
        </is>
      </c>
      <c r="D190" s="3" t="inlineStr">
        <is>
          <t>Positive</t>
        </is>
      </c>
      <c r="E190" s="11" t="n">
        <v>1</v>
      </c>
      <c r="F190" s="3" t="inlineStr">
        <is>
          <t>Change plan mid-February and record the credit, charge and net.</t>
        </is>
      </c>
      <c r="G190" s="3" t="inlineStr">
        <is>
          <t>Computed over a 28-day period.</t>
        </is>
      </c>
      <c r="H190" s="3" t="inlineStr"/>
      <c r="I190" s="3" t="inlineStr"/>
      <c r="J190" s="3" t="inlineStr"/>
    </row>
    <row r="191">
      <c r="A191" s="4" t="inlineStr">
        <is>
          <t>TC-042</t>
        </is>
      </c>
      <c r="B191" s="4" t="inlineStr">
        <is>
          <t>VER-17</t>
        </is>
      </c>
      <c r="C191" s="4" t="inlineStr">
        <is>
          <t>Proration uses real calendar months</t>
        </is>
      </c>
      <c r="D191" s="4" t="inlineStr">
        <is>
          <t>Positive</t>
        </is>
      </c>
      <c r="E191" s="16" t="n">
        <v>2</v>
      </c>
      <c r="F191" s="4" t="inlineStr">
        <is>
          <t>Change plan on the same day-of-month in March.</t>
        </is>
      </c>
      <c r="G191" s="4" t="inlineStr">
        <is>
          <t>Computed over a 31-day period — a different number.</t>
        </is>
      </c>
      <c r="H191" s="4" t="inlineStr"/>
      <c r="I191" s="4" t="inlineStr"/>
      <c r="J191" s="4" t="inlineStr"/>
    </row>
    <row r="192">
      <c r="A192" s="3" t="inlineStr">
        <is>
          <t>TC-042</t>
        </is>
      </c>
      <c r="B192" s="3" t="inlineStr">
        <is>
          <t>VER-17</t>
        </is>
      </c>
      <c r="C192" s="3" t="inlineStr">
        <is>
          <t>Proration uses real calendar months</t>
        </is>
      </c>
      <c r="D192" s="3" t="inlineStr">
        <is>
          <t>Positive</t>
        </is>
      </c>
      <c r="E192" s="11" t="n">
        <v>3</v>
      </c>
      <c r="F192" s="3" t="inlineStr">
        <is>
          <t>Compare the two.</t>
        </is>
      </c>
      <c r="G192" s="3" t="inlineStr">
        <is>
          <t>They differ; a fixed-30 implementation would have produced the same figure twice.</t>
        </is>
      </c>
      <c r="H192" s="3" t="inlineStr"/>
      <c r="I192" s="3" t="inlineStr"/>
      <c r="J192" s="3" t="inlineStr"/>
    </row>
    <row r="193">
      <c r="A193" s="4" t="inlineStr">
        <is>
          <t>TC-042</t>
        </is>
      </c>
      <c r="B193" s="4" t="inlineStr">
        <is>
          <t>VER-17</t>
        </is>
      </c>
      <c r="C193" s="4" t="inlineStr">
        <is>
          <t>Proration uses real calendar months</t>
        </is>
      </c>
      <c r="D193" s="4" t="inlineStr">
        <is>
          <t>Positive</t>
        </is>
      </c>
      <c r="E193" s="16" t="n">
        <v>4</v>
      </c>
      <c r="F193" s="4" t="inlineStr">
        <is>
          <t>Check a 31st-of-the-month anchor in February.</t>
        </is>
      </c>
      <c r="G193" s="4" t="inlineStr">
        <is>
          <t>It clamps to the 28th (29th in a leap year) and springs back to the 31st in March.</t>
        </is>
      </c>
      <c r="H193" s="4" t="inlineStr"/>
      <c r="I193" s="4" t="inlineStr"/>
      <c r="J193" s="4" t="inlineStr"/>
    </row>
    <row r="194">
      <c r="A194" s="3" t="inlineStr">
        <is>
          <t>TC-042</t>
        </is>
      </c>
      <c r="B194" s="3" t="inlineStr">
        <is>
          <t>VER-17</t>
        </is>
      </c>
      <c r="C194" s="3" t="inlineStr">
        <is>
          <t>Proration uses real calendar months</t>
        </is>
      </c>
      <c r="D194" s="3" t="inlineStr">
        <is>
          <t>Positive</t>
        </is>
      </c>
      <c r="E194" s="11" t="n">
        <v>5</v>
      </c>
      <c r="F194" s="3" t="inlineStr">
        <is>
          <t>Verify credit − charge = net exactly.</t>
        </is>
      </c>
      <c r="G194" s="3" t="inlineStr">
        <is>
          <t>The invoice arithmetic adds up as printed.</t>
        </is>
      </c>
      <c r="H194" s="3" t="inlineStr"/>
      <c r="I194" s="3" t="inlineStr"/>
      <c r="J194" s="3" t="inlineStr"/>
    </row>
    <row r="195">
      <c r="A195" s="4" t="inlineStr">
        <is>
          <t>TC-043</t>
        </is>
      </c>
      <c r="B195" s="4" t="inlineStr">
        <is>
          <t>VER-17</t>
        </is>
      </c>
      <c r="C195" s="4" t="inlineStr">
        <is>
          <t>A migration rolls back and re-applies cleanly</t>
        </is>
      </c>
      <c r="D195" s="4" t="inlineStr">
        <is>
          <t>Positive</t>
        </is>
      </c>
      <c r="E195" s="16" t="n">
        <v>1</v>
      </c>
      <c r="F195" s="4" t="inlineStr">
        <is>
          <t>Apply all migrations.</t>
        </is>
      </c>
      <c r="G195" s="4" t="inlineStr">
        <is>
          <t>The quotes and desk_requests tables exist and envelopes has the document column.</t>
        </is>
      </c>
      <c r="H195" s="4" t="inlineStr"/>
      <c r="I195" s="4" t="inlineStr"/>
      <c r="J195" s="4" t="inlineStr"/>
    </row>
    <row r="196">
      <c r="A196" s="3" t="inlineStr">
        <is>
          <t>TC-043</t>
        </is>
      </c>
      <c r="B196" s="3" t="inlineStr">
        <is>
          <t>VER-17</t>
        </is>
      </c>
      <c r="C196" s="3" t="inlineStr">
        <is>
          <t>A migration rolls back and re-applies cleanly</t>
        </is>
      </c>
      <c r="D196" s="3" t="inlineStr">
        <is>
          <t>Positive</t>
        </is>
      </c>
      <c r="E196" s="11" t="n">
        <v>2</v>
      </c>
      <c r="F196" s="3" t="inlineStr">
        <is>
          <t>Request the rollback PLAN to 013 without executing it.</t>
        </is>
      </c>
      <c r="G196" s="3" t="inlineStr">
        <is>
          <t>It lists 017, 016, 015, 014, 013, newest first, all marked reversible.</t>
        </is>
      </c>
      <c r="H196" s="3" t="inlineStr"/>
      <c r="I196" s="3" t="inlineStr"/>
      <c r="J196" s="3" t="inlineStr"/>
    </row>
    <row r="197">
      <c r="A197" s="4" t="inlineStr">
        <is>
          <t>TC-043</t>
        </is>
      </c>
      <c r="B197" s="4" t="inlineStr">
        <is>
          <t>VER-17</t>
        </is>
      </c>
      <c r="C197" s="4" t="inlineStr">
        <is>
          <t>A migration rolls back and re-applies cleanly</t>
        </is>
      </c>
      <c r="D197" s="4" t="inlineStr">
        <is>
          <t>Positive</t>
        </is>
      </c>
      <c r="E197" s="16" t="n">
        <v>3</v>
      </c>
      <c r="F197" s="4" t="inlineStr">
        <is>
          <t>Execute the rollback to 013.</t>
        </is>
      </c>
      <c r="G197" s="4" t="inlineStr">
        <is>
          <t>Those tables and columns are gone.</t>
        </is>
      </c>
      <c r="H197" s="4" t="inlineStr"/>
      <c r="I197" s="4" t="inlineStr"/>
      <c r="J197" s="4" t="inlineStr"/>
    </row>
    <row r="198">
      <c r="A198" s="3" t="inlineStr">
        <is>
          <t>TC-043</t>
        </is>
      </c>
      <c r="B198" s="3" t="inlineStr">
        <is>
          <t>VER-17</t>
        </is>
      </c>
      <c r="C198" s="3" t="inlineStr">
        <is>
          <t>A migration rolls back and re-applies cleanly</t>
        </is>
      </c>
      <c r="D198" s="3" t="inlineStr">
        <is>
          <t>Positive</t>
        </is>
      </c>
      <c r="E198" s="11" t="n">
        <v>4</v>
      </c>
      <c r="F198" s="3" t="inlineStr">
        <is>
          <t>Inspect the tables the rollback did not cover.</t>
        </is>
      </c>
      <c r="G198" s="3" t="inlineStr">
        <is>
          <t>jobs and feature_settings are untouched.</t>
        </is>
      </c>
      <c r="H198" s="3" t="inlineStr"/>
      <c r="I198" s="3" t="inlineStr"/>
      <c r="J198" s="3" t="inlineStr"/>
    </row>
    <row r="199">
      <c r="A199" s="4" t="inlineStr">
        <is>
          <t>TC-043</t>
        </is>
      </c>
      <c r="B199" s="4" t="inlineStr">
        <is>
          <t>VER-17</t>
        </is>
      </c>
      <c r="C199" s="4" t="inlineStr">
        <is>
          <t>A migration rolls back and re-applies cleanly</t>
        </is>
      </c>
      <c r="D199" s="4" t="inlineStr">
        <is>
          <t>Positive</t>
        </is>
      </c>
      <c r="E199" s="16" t="n">
        <v>5</v>
      </c>
      <c r="F199" s="4" t="inlineStr">
        <is>
          <t>Apply all migrations forward again.</t>
        </is>
      </c>
      <c r="G199" s="4" t="inlineStr">
        <is>
          <t>Everything returns; no residue, no duplicate-object errors.</t>
        </is>
      </c>
      <c r="H199" s="4" t="inlineStr"/>
      <c r="I199" s="4" t="inlineStr"/>
      <c r="J199" s="4" t="inlineStr"/>
    </row>
    <row r="200">
      <c r="A200" s="13" t="inlineStr">
        <is>
          <t>TC-044</t>
        </is>
      </c>
      <c r="B200" s="13" t="inlineStr">
        <is>
          <t>VER-17</t>
        </is>
      </c>
      <c r="C200" s="13" t="inlineStr">
        <is>
          <t>A rollback across an irreversible step refuses first</t>
        </is>
      </c>
      <c r="D200" s="13" t="inlineStr">
        <is>
          <t>Negative</t>
        </is>
      </c>
      <c r="E200" s="14" t="n">
        <v>1</v>
      </c>
      <c r="F200" s="13" t="inlineStr">
        <is>
          <t>Request a rollback to 008 (which would cross 012, the writer-lease retirement).</t>
        </is>
      </c>
      <c r="G200" s="13" t="inlineStr">
        <is>
          <t>It is REFUSED before anything runs.</t>
        </is>
      </c>
      <c r="H200" s="13" t="inlineStr"/>
      <c r="I200" s="13" t="inlineStr"/>
      <c r="J200" s="13" t="inlineStr"/>
    </row>
    <row r="201">
      <c r="A201" s="13" t="inlineStr">
        <is>
          <t>TC-044</t>
        </is>
      </c>
      <c r="B201" s="13" t="inlineStr">
        <is>
          <t>VER-17</t>
        </is>
      </c>
      <c r="C201" s="13" t="inlineStr">
        <is>
          <t>A rollback across an irreversible step refuses first</t>
        </is>
      </c>
      <c r="D201" s="13" t="inlineStr">
        <is>
          <t>Negative</t>
        </is>
      </c>
      <c r="E201" s="14" t="n">
        <v>2</v>
      </c>
      <c r="F201" s="13" t="inlineStr">
        <is>
          <t>Read the error.</t>
        </is>
      </c>
      <c r="G201" s="13" t="inlineStr">
        <is>
          <t>It names 012 specifically and says to restore from backup instead.</t>
        </is>
      </c>
      <c r="H201" s="13" t="inlineStr"/>
      <c r="I201" s="13" t="inlineStr"/>
      <c r="J201" s="13" t="inlineStr"/>
    </row>
    <row r="202">
      <c r="A202" s="13" t="inlineStr">
        <is>
          <t>TC-044</t>
        </is>
      </c>
      <c r="B202" s="13" t="inlineStr">
        <is>
          <t>VER-17</t>
        </is>
      </c>
      <c r="C202" s="13" t="inlineStr">
        <is>
          <t>A rollback across an irreversible step refuses first</t>
        </is>
      </c>
      <c r="D202" s="13" t="inlineStr">
        <is>
          <t>Negative</t>
        </is>
      </c>
      <c r="E202" s="14" t="n">
        <v>3</v>
      </c>
      <c r="F202" s="13" t="inlineStr">
        <is>
          <t>Inspect the schema.</t>
        </is>
      </c>
      <c r="G202" s="13" t="inlineStr">
        <is>
          <t>quotes, jobs and feature_settings all still exist — nothing was dropped on the way to the refusal.</t>
        </is>
      </c>
      <c r="H202" s="13" t="inlineStr"/>
      <c r="I202" s="13" t="inlineStr"/>
      <c r="J202" s="13" t="inlineStr"/>
    </row>
    <row r="203">
      <c r="A203" s="13" t="inlineStr">
        <is>
          <t>TC-044</t>
        </is>
      </c>
      <c r="B203" s="13" t="inlineStr">
        <is>
          <t>VER-17</t>
        </is>
      </c>
      <c r="C203" s="13" t="inlineStr">
        <is>
          <t>A rollback across an irreversible step refuses first</t>
        </is>
      </c>
      <c r="D203" s="13" t="inlineStr">
        <is>
          <t>Negative</t>
        </is>
      </c>
      <c r="E203" s="14" t="n">
        <v>4</v>
      </c>
      <c r="F203" s="13" t="inlineStr">
        <is>
          <t>Request a rollback of the whole set.</t>
        </is>
      </c>
      <c r="G203" s="13" t="inlineStr">
        <is>
          <t>Refused: the core schema 001–006 is declared irreversible by design.</t>
        </is>
      </c>
      <c r="H203" s="13" t="inlineStr"/>
      <c r="I203" s="13" t="inlineStr"/>
      <c r="J203" s="13" t="inlineStr"/>
    </row>
    <row r="204">
      <c r="A204" s="13" t="inlineStr">
        <is>
          <t>TC-045</t>
        </is>
      </c>
      <c r="B204" s="13" t="inlineStr">
        <is>
          <t>VER-17</t>
        </is>
      </c>
      <c r="C204" s="13" t="inlineStr">
        <is>
          <t>Each dependency killed, degradation is graceful</t>
        </is>
      </c>
      <c r="D204" s="13" t="inlineStr">
        <is>
          <t>Negative</t>
        </is>
      </c>
      <c r="E204" s="14" t="n">
        <v>1</v>
      </c>
      <c r="F204" s="13" t="inlineStr">
        <is>
          <t>Stop Postgres and make any API call.</t>
        </is>
      </c>
      <c r="G204" s="13" t="inlineStr">
        <is>
          <t>A typed retryable 503 — not a hung socket and not a 200 with empty data.</t>
        </is>
      </c>
      <c r="H204" s="13" t="inlineStr"/>
      <c r="I204" s="13" t="inlineStr"/>
      <c r="J204" s="13" t="inlineStr"/>
    </row>
    <row r="205">
      <c r="A205" s="13" t="inlineStr">
        <is>
          <t>TC-045</t>
        </is>
      </c>
      <c r="B205" s="13" t="inlineStr">
        <is>
          <t>VER-17</t>
        </is>
      </c>
      <c r="C205" s="13" t="inlineStr">
        <is>
          <t>Each dependency killed, degradation is graceful</t>
        </is>
      </c>
      <c r="D205" s="13" t="inlineStr">
        <is>
          <t>Negative</t>
        </is>
      </c>
      <c r="E205" s="14" t="n">
        <v>2</v>
      </c>
      <c r="F205" s="13" t="inlineStr">
        <is>
          <t>Restore Postgres and retry.</t>
        </is>
      </c>
      <c r="G205" s="13" t="inlineStr">
        <is>
          <t>Succeeds.</t>
        </is>
      </c>
      <c r="H205" s="13" t="inlineStr"/>
      <c r="I205" s="13" t="inlineStr"/>
      <c r="J205" s="13" t="inlineStr"/>
    </row>
    <row r="206">
      <c r="A206" s="13" t="inlineStr">
        <is>
          <t>TC-045</t>
        </is>
      </c>
      <c r="B206" s="13" t="inlineStr">
        <is>
          <t>VER-17</t>
        </is>
      </c>
      <c r="C206" s="13" t="inlineStr">
        <is>
          <t>Each dependency killed, degradation is graceful</t>
        </is>
      </c>
      <c r="D206" s="13" t="inlineStr">
        <is>
          <t>Negative</t>
        </is>
      </c>
      <c r="E206" s="14" t="n">
        <v>3</v>
      </c>
      <c r="F206" s="13" t="inlineStr">
        <is>
          <t>Point the HubSpot client at a 503 stub and push a quote to a deal.</t>
        </is>
      </c>
      <c r="G206" s="13" t="inlineStr">
        <is>
          <t>The push does NOT throw a 500: it records a FAILED sync run with the error code, visible to the rep and retryable.</t>
        </is>
      </c>
      <c r="H206" s="13" t="inlineStr"/>
      <c r="I206" s="13" t="inlineStr"/>
      <c r="J206" s="13" t="inlineStr"/>
    </row>
    <row r="207">
      <c r="A207" s="13" t="inlineStr">
        <is>
          <t>TC-045</t>
        </is>
      </c>
      <c r="B207" s="13" t="inlineStr">
        <is>
          <t>VER-17</t>
        </is>
      </c>
      <c r="C207" s="13" t="inlineStr">
        <is>
          <t>Each dependency killed, degradation is graceful</t>
        </is>
      </c>
      <c r="D207" s="13" t="inlineStr">
        <is>
          <t>Negative</t>
        </is>
      </c>
      <c r="E207" s="14" t="n">
        <v>4</v>
      </c>
      <c r="F207" s="13" t="inlineStr">
        <is>
          <t>Point mail at a 503 stub and trigger a notification.</t>
        </is>
      </c>
      <c r="G207" s="13" t="inlineStr">
        <is>
          <t>The API call succeeds; the mail job backs off and eventually dead-letters.</t>
        </is>
      </c>
      <c r="H207" s="13" t="inlineStr"/>
      <c r="I207" s="13" t="inlineStr"/>
      <c r="J207" s="13" t="inlineStr"/>
    </row>
    <row r="208">
      <c r="A208" s="13" t="inlineStr">
        <is>
          <t>TC-045</t>
        </is>
      </c>
      <c r="B208" s="13" t="inlineStr">
        <is>
          <t>VER-17</t>
        </is>
      </c>
      <c r="C208" s="13" t="inlineStr">
        <is>
          <t>Each dependency killed, degradation is graceful</t>
        </is>
      </c>
      <c r="D208" s="13" t="inlineStr">
        <is>
          <t>Negative</t>
        </is>
      </c>
      <c r="E208" s="14" t="n">
        <v>5</v>
      </c>
      <c r="F208" s="13" t="inlineStr">
        <is>
          <t>Restore everything and retry each.</t>
        </is>
      </c>
      <c r="G208" s="13" t="inlineStr">
        <is>
          <t>All three recover with no manual repair.</t>
        </is>
      </c>
      <c r="H208" s="13" t="inlineStr"/>
      <c r="I208" s="13" t="inlineStr"/>
      <c r="J208" s="13" t="inlineStr"/>
    </row>
    <row r="209">
      <c r="A209" s="13" t="inlineStr">
        <is>
          <t>TC-046</t>
        </is>
      </c>
      <c r="B209" s="13" t="inlineStr">
        <is>
          <t>VER-17</t>
        </is>
      </c>
      <c r="C209" s="13" t="inlineStr">
        <is>
          <t>The evidence gate fails a build that overstates itself</t>
        </is>
      </c>
      <c r="D209" s="13" t="inlineStr">
        <is>
          <t>Negative</t>
        </is>
      </c>
      <c r="E209" s="14" t="n">
        <v>1</v>
      </c>
      <c r="F209" s="13" t="inlineStr">
        <is>
          <t>Run the test suite as delivered.</t>
        </is>
      </c>
      <c r="G209" s="13" t="inlineStr">
        <is>
          <t>Passes; the evidence matrix prints per-class counts.</t>
        </is>
      </c>
      <c r="H209" s="13" t="inlineStr"/>
      <c r="I209" s="13" t="inlineStr"/>
      <c r="J209" s="13" t="inlineStr"/>
    </row>
    <row r="210">
      <c r="A210" s="13" t="inlineStr">
        <is>
          <t>TC-046</t>
        </is>
      </c>
      <c r="B210" s="13" t="inlineStr">
        <is>
          <t>VER-17</t>
        </is>
      </c>
      <c r="C210" s="13" t="inlineStr">
        <is>
          <t>The evidence gate fails a build that overstates itself</t>
        </is>
      </c>
      <c r="D210" s="13" t="inlineStr">
        <is>
          <t>Negative</t>
        </is>
      </c>
      <c r="E210" s="14" t="n">
        <v>2</v>
      </c>
      <c r="F210" s="13" t="inlineStr">
        <is>
          <t>Add a new test file with no @evidence tag and run again.</t>
        </is>
      </c>
      <c r="G210" s="13" t="inlineStr">
        <is>
          <t>The build FAILS naming the untagged file.</t>
        </is>
      </c>
      <c r="H210" s="13" t="inlineStr"/>
      <c r="I210" s="13" t="inlineStr"/>
      <c r="J210" s="13" t="inlineStr"/>
    </row>
    <row r="211">
      <c r="A211" s="13" t="inlineStr">
        <is>
          <t>TC-046</t>
        </is>
      </c>
      <c r="B211" s="13" t="inlineStr">
        <is>
          <t>VER-17</t>
        </is>
      </c>
      <c r="C211" s="13" t="inlineStr">
        <is>
          <t>The evidence gate fails a build that overstates itself</t>
        </is>
      </c>
      <c r="D211" s="13" t="inlineStr">
        <is>
          <t>Negative</t>
        </is>
      </c>
      <c r="E211" s="14" t="n">
        <v>3</v>
      </c>
      <c r="F211" s="13" t="inlineStr">
        <is>
          <t>Tag a file @evidence NONSENSE.</t>
        </is>
      </c>
      <c r="G211" s="13" t="inlineStr">
        <is>
          <t>The invalid class is reported.</t>
        </is>
      </c>
      <c r="H211" s="13" t="inlineStr"/>
      <c r="I211" s="13" t="inlineStr"/>
      <c r="J211" s="13" t="inlineStr"/>
    </row>
    <row r="212">
      <c r="A212" s="13" t="inlineStr">
        <is>
          <t>TC-046</t>
        </is>
      </c>
      <c r="B212" s="13" t="inlineStr">
        <is>
          <t>VER-17</t>
        </is>
      </c>
      <c r="C212" s="13" t="inlineStr">
        <is>
          <t>The evidence gate fails a build that overstates itself</t>
        </is>
      </c>
      <c r="D212" s="13" t="inlineStr">
        <is>
          <t>Negative</t>
        </is>
      </c>
      <c r="E212" s="14" t="n">
        <v>4</v>
      </c>
      <c r="F212" s="13" t="inlineStr">
        <is>
          <t>Edit the claims register to mark a blocked claim as supported without adding evidence.</t>
        </is>
      </c>
      <c r="G212" s="13" t="inlineStr">
        <is>
          <t>The claims test fails.</t>
        </is>
      </c>
      <c r="H212" s="13" t="inlineStr"/>
      <c r="I212" s="13" t="inlineStr"/>
      <c r="J212" s="13" t="inlineStr"/>
    </row>
    <row r="213">
      <c r="A213" s="13" t="inlineStr">
        <is>
          <t>TC-046</t>
        </is>
      </c>
      <c r="B213" s="13" t="inlineStr">
        <is>
          <t>VER-17</t>
        </is>
      </c>
      <c r="C213" s="13" t="inlineStr">
        <is>
          <t>The evidence gate fails a build that overstates itself</t>
        </is>
      </c>
      <c r="D213" s="13" t="inlineStr">
        <is>
          <t>Negative</t>
        </is>
      </c>
      <c r="E213" s="14" t="n">
        <v>5</v>
      </c>
      <c r="F213" s="13" t="inlineStr">
        <is>
          <t>Remove the gapOwner from a blocked claim.</t>
        </is>
      </c>
      <c r="G213" s="13" t="inlineStr">
        <is>
          <t>The test fails — a gap must be owned.</t>
        </is>
      </c>
      <c r="H213" s="13" t="inlineStr"/>
      <c r="I213" s="13" t="inlineStr"/>
      <c r="J213" s="13" t="inlineStr"/>
    </row>
    <row r="214">
      <c r="A214" s="3" t="inlineStr">
        <is>
          <t>TC-047</t>
        </is>
      </c>
      <c r="B214" s="3" t="inlineStr">
        <is>
          <t>VER-17</t>
        </is>
      </c>
      <c r="C214" s="3" t="inlineStr">
        <is>
          <t>The release manifest reports counted, not typed, figures</t>
        </is>
      </c>
      <c r="D214" s="3" t="inlineStr">
        <is>
          <t>Positive</t>
        </is>
      </c>
      <c r="E214" s="11" t="n">
        <v>1</v>
      </c>
      <c r="F214" s="3" t="inlineStr">
        <is>
          <t>Run npm run release:manifest.</t>
        </is>
      </c>
      <c r="G214" s="3" t="inlineStr">
        <is>
          <t>JSON is produced with file counts, line counts, migration count and a tree hash.</t>
        </is>
      </c>
      <c r="H214" s="3" t="inlineStr"/>
      <c r="I214" s="3" t="inlineStr"/>
      <c r="J214" s="3" t="inlineStr"/>
    </row>
    <row r="215">
      <c r="A215" s="4" t="inlineStr">
        <is>
          <t>TC-047</t>
        </is>
      </c>
      <c r="B215" s="4" t="inlineStr">
        <is>
          <t>VER-17</t>
        </is>
      </c>
      <c r="C215" s="4" t="inlineStr">
        <is>
          <t>The release manifest reports counted, not typed, figures</t>
        </is>
      </c>
      <c r="D215" s="4" t="inlineStr">
        <is>
          <t>Positive</t>
        </is>
      </c>
      <c r="E215" s="16" t="n">
        <v>2</v>
      </c>
      <c r="F215" s="4" t="inlineStr">
        <is>
          <t>Compare the test totals to the jest summary.</t>
        </is>
      </c>
      <c r="G215" s="4" t="inlineStr">
        <is>
          <t>They match, because they are parsed from it.</t>
        </is>
      </c>
      <c r="H215" s="4" t="inlineStr"/>
      <c r="I215" s="4" t="inlineStr"/>
      <c r="J215" s="4" t="inlineStr"/>
    </row>
    <row r="216">
      <c r="A216" s="3" t="inlineStr">
        <is>
          <t>TC-047</t>
        </is>
      </c>
      <c r="B216" s="3" t="inlineStr">
        <is>
          <t>VER-17</t>
        </is>
      </c>
      <c r="C216" s="3" t="inlineStr">
        <is>
          <t>The release manifest reports counted, not typed, figures</t>
        </is>
      </c>
      <c r="D216" s="3" t="inlineStr">
        <is>
          <t>Positive</t>
        </is>
      </c>
      <c r="E216" s="11" t="n">
        <v>3</v>
      </c>
      <c r="F216" s="3" t="inlineStr">
        <is>
          <t>Add a source file and re-run.</t>
        </is>
      </c>
      <c r="G216" s="3" t="inlineStr">
        <is>
          <t>The counts change without anyone editing them.</t>
        </is>
      </c>
      <c r="H216" s="3" t="inlineStr"/>
      <c r="I216" s="3" t="inlineStr"/>
      <c r="J216" s="3" t="inlineStr"/>
    </row>
    <row r="217">
      <c r="A217" s="4" t="inlineStr">
        <is>
          <t>TC-047</t>
        </is>
      </c>
      <c r="B217" s="4" t="inlineStr">
        <is>
          <t>VER-17</t>
        </is>
      </c>
      <c r="C217" s="4" t="inlineStr">
        <is>
          <t>The release manifest reports counted, not typed, figures</t>
        </is>
      </c>
      <c r="D217" s="4" t="inlineStr">
        <is>
          <t>Positive</t>
        </is>
      </c>
      <c r="E217" s="16" t="n">
        <v>4</v>
      </c>
      <c r="F217" s="4" t="inlineStr">
        <is>
          <t>Read the evidence block.</t>
        </is>
      </c>
      <c r="G217" s="4" t="inlineStr">
        <is>
          <t>Per-class test-file counts, untagged files, and the blocked-claims list with owners are present.</t>
        </is>
      </c>
      <c r="H217" s="4" t="inlineStr"/>
      <c r="I217" s="4" t="inlineStr"/>
      <c r="J217" s="4" t="inlineStr"/>
    </row>
    <row r="218">
      <c r="A218" s="3" t="inlineStr">
        <is>
          <t>TC-048</t>
        </is>
      </c>
      <c r="B218" s="3" t="inlineStr">
        <is>
          <t>VER-11</t>
        </is>
      </c>
      <c r="C218" s="3" t="inlineStr">
        <is>
          <t>Delete-my-data really removes everything</t>
        </is>
      </c>
      <c r="D218" s="3" t="inlineStr">
        <is>
          <t>Positive</t>
        </is>
      </c>
      <c r="E218" s="11" t="n">
        <v>1</v>
      </c>
      <c r="F218" s="3" t="inlineStr">
        <is>
          <t>Populate at least one record in every store listed above.</t>
        </is>
      </c>
      <c r="G218" s="3" t="inlineStr">
        <is>
          <t>All present.</t>
        </is>
      </c>
      <c r="H218" s="3" t="inlineStr"/>
      <c r="I218" s="3" t="inlineStr"/>
      <c r="J218" s="3" t="inlineStr"/>
    </row>
    <row r="219">
      <c r="A219" s="4" t="inlineStr">
        <is>
          <t>TC-048</t>
        </is>
      </c>
      <c r="B219" s="4" t="inlineStr">
        <is>
          <t>VER-11</t>
        </is>
      </c>
      <c r="C219" s="4" t="inlineStr">
        <is>
          <t>Delete-my-data really removes everything</t>
        </is>
      </c>
      <c r="D219" s="4" t="inlineStr">
        <is>
          <t>Positive</t>
        </is>
      </c>
      <c r="E219" s="16" t="n">
        <v>2</v>
      </c>
      <c r="F219" s="4" t="inlineStr">
        <is>
          <t>Request deletion and confirm it with the returned token.</t>
        </is>
      </c>
      <c r="G219" s="4" t="inlineStr">
        <is>
          <t>Accepted.</t>
        </is>
      </c>
      <c r="H219" s="4" t="inlineStr"/>
      <c r="I219" s="4" t="inlineStr"/>
      <c r="J219" s="4" t="inlineStr"/>
    </row>
    <row r="220">
      <c r="A220" s="3" t="inlineStr">
        <is>
          <t>TC-048</t>
        </is>
      </c>
      <c r="B220" s="3" t="inlineStr">
        <is>
          <t>VER-11</t>
        </is>
      </c>
      <c r="C220" s="3" t="inlineStr">
        <is>
          <t>Delete-my-data really removes everything</t>
        </is>
      </c>
      <c r="D220" s="3" t="inlineStr">
        <is>
          <t>Positive</t>
        </is>
      </c>
      <c r="E220" s="11" t="n">
        <v>3</v>
      </c>
      <c r="F220" s="3" t="inlineStr">
        <is>
          <t>Query every store for that portal.</t>
        </is>
      </c>
      <c r="G220" s="3" t="inlineStr">
        <is>
          <t>Zero rows everywhere — including the newer CPQ stores added in VER-15.</t>
        </is>
      </c>
      <c r="H220" s="3" t="inlineStr"/>
      <c r="I220" s="3" t="inlineStr"/>
      <c r="J220" s="3" t="inlineStr"/>
    </row>
    <row r="221">
      <c r="A221" s="4" t="inlineStr">
        <is>
          <t>TC-048</t>
        </is>
      </c>
      <c r="B221" s="4" t="inlineStr">
        <is>
          <t>VER-11</t>
        </is>
      </c>
      <c r="C221" s="4" t="inlineStr">
        <is>
          <t>Delete-my-data really removes everything</t>
        </is>
      </c>
      <c r="D221" s="4" t="inlineStr">
        <is>
          <t>Positive</t>
        </is>
      </c>
      <c r="E221" s="16" t="n">
        <v>4</v>
      </c>
      <c r="F221" s="4" t="inlineStr">
        <is>
          <t>Query the same stores for a DIFFERENT portal.</t>
        </is>
      </c>
      <c r="G221" s="4" t="inlineStr">
        <is>
          <t>That portal’s data is untouched.</t>
        </is>
      </c>
      <c r="H221" s="4" t="inlineStr"/>
      <c r="I221" s="4" t="inlineStr"/>
      <c r="J221" s="4" t="inlineStr"/>
    </row>
    <row r="222">
      <c r="A222" s="3" t="inlineStr">
        <is>
          <t>TC-048</t>
        </is>
      </c>
      <c r="B222" s="3" t="inlineStr">
        <is>
          <t>VER-11</t>
        </is>
      </c>
      <c r="C222" s="3" t="inlineStr">
        <is>
          <t>Delete-my-data really removes everything</t>
        </is>
      </c>
      <c r="D222" s="3" t="inlineStr">
        <is>
          <t>Positive</t>
        </is>
      </c>
      <c r="E222" s="11" t="n">
        <v>5</v>
      </c>
      <c r="F222" s="3" t="inlineStr">
        <is>
          <t>Re-read the audit trail.</t>
        </is>
      </c>
      <c r="G222" s="3" t="inlineStr">
        <is>
          <t>The deletion itself is recorded.</t>
        </is>
      </c>
      <c r="H222" s="3" t="inlineStr"/>
      <c r="I222" s="3" t="inlineStr"/>
      <c r="J222" s="3" t="inlineStr"/>
    </row>
    <row r="223">
      <c r="A223" s="4" t="inlineStr">
        <is>
          <t>TC-049</t>
        </is>
      </c>
      <c r="B223" s="4" t="inlineStr">
        <is>
          <t>VER-11</t>
        </is>
      </c>
      <c r="C223" s="4" t="inlineStr">
        <is>
          <t>Re-install inside the retention window restores the portal</t>
        </is>
      </c>
      <c r="D223" s="4" t="inlineStr">
        <is>
          <t>Positive</t>
        </is>
      </c>
      <c r="E223" s="16" t="n">
        <v>1</v>
      </c>
      <c r="F223" s="4" t="inlineStr">
        <is>
          <t>Trigger the uninstall webhook.</t>
        </is>
      </c>
      <c r="G223" s="4" t="inlineStr">
        <is>
          <t>Tokens removed; deletion scheduled.</t>
        </is>
      </c>
      <c r="H223" s="4" t="inlineStr"/>
      <c r="I223" s="4" t="inlineStr"/>
      <c r="J223" s="4" t="inlineStr"/>
    </row>
    <row r="224">
      <c r="A224" s="3" t="inlineStr">
        <is>
          <t>TC-049</t>
        </is>
      </c>
      <c r="B224" s="3" t="inlineStr">
        <is>
          <t>VER-11</t>
        </is>
      </c>
      <c r="C224" s="3" t="inlineStr">
        <is>
          <t>Re-install inside the retention window restores the portal</t>
        </is>
      </c>
      <c r="D224" s="3" t="inlineStr">
        <is>
          <t>Positive</t>
        </is>
      </c>
      <c r="E224" s="11" t="n">
        <v>2</v>
      </c>
      <c r="F224" s="3" t="inlineStr">
        <is>
          <t>Re-install through the OAuth flow within the window.</t>
        </is>
      </c>
      <c r="G224" s="3" t="inlineStr">
        <is>
          <t>Install succeeds.</t>
        </is>
      </c>
      <c r="H224" s="3" t="inlineStr"/>
      <c r="I224" s="3" t="inlineStr"/>
      <c r="J224" s="3" t="inlineStr"/>
    </row>
    <row r="225">
      <c r="A225" s="4" t="inlineStr">
        <is>
          <t>TC-049</t>
        </is>
      </c>
      <c r="B225" s="4" t="inlineStr">
        <is>
          <t>VER-11</t>
        </is>
      </c>
      <c r="C225" s="4" t="inlineStr">
        <is>
          <t>Re-install inside the retention window restores the portal</t>
        </is>
      </c>
      <c r="D225" s="4" t="inlineStr">
        <is>
          <t>Positive</t>
        </is>
      </c>
      <c r="E225" s="16" t="n">
        <v>3</v>
      </c>
      <c r="F225" s="4" t="inlineStr">
        <is>
          <t>Read the price books and approval chains.</t>
        </is>
      </c>
      <c r="G225" s="4" t="inlineStr">
        <is>
          <t>They are still there.</t>
        </is>
      </c>
      <c r="H225" s="4" t="inlineStr"/>
      <c r="I225" s="4" t="inlineStr"/>
      <c r="J225" s="4" t="inlineStr"/>
    </row>
    <row r="226">
      <c r="A226" s="3" t="inlineStr">
        <is>
          <t>TC-049</t>
        </is>
      </c>
      <c r="B226" s="3" t="inlineStr">
        <is>
          <t>VER-11</t>
        </is>
      </c>
      <c r="C226" s="3" t="inlineStr">
        <is>
          <t>Re-install inside the retention window restores the portal</t>
        </is>
      </c>
      <c r="D226" s="3" t="inlineStr">
        <is>
          <t>Positive</t>
        </is>
      </c>
      <c r="E226" s="11" t="n">
        <v>4</v>
      </c>
      <c r="F226" s="3" t="inlineStr">
        <is>
          <t>Inspect the deletion queue.</t>
        </is>
      </c>
      <c r="G226" s="3" t="inlineStr">
        <is>
          <t>The scheduled deletion was cancelled.</t>
        </is>
      </c>
      <c r="H226" s="3" t="inlineStr"/>
      <c r="I226" s="3" t="inlineStr"/>
      <c r="J226" s="3" t="inlineStr"/>
    </row>
    <row r="227">
      <c r="A227" s="13" t="inlineStr">
        <is>
          <t>TC-050</t>
        </is>
      </c>
      <c r="B227" s="13" t="inlineStr">
        <is>
          <t>VER-14</t>
        </is>
      </c>
      <c r="C227" s="13" t="inlineStr">
        <is>
          <t>Ops surfaces require the operator token, not tenant RBAC</t>
        </is>
      </c>
      <c r="D227" s="13" t="inlineStr">
        <is>
          <t>Negative</t>
        </is>
      </c>
      <c r="E227" s="14" t="n">
        <v>1</v>
      </c>
      <c r="F227" s="13" t="inlineStr">
        <is>
          <t>As a tenant OWNER, call each /api/ops/* surface with no ops token.</t>
        </is>
      </c>
      <c r="G227" s="13" t="inlineStr">
        <is>
          <t>Every one is refused.</t>
        </is>
      </c>
      <c r="H227" s="13" t="inlineStr"/>
      <c r="I227" s="13" t="inlineStr"/>
      <c r="J227" s="13" t="inlineStr"/>
    </row>
    <row r="228">
      <c r="A228" s="13" t="inlineStr">
        <is>
          <t>TC-050</t>
        </is>
      </c>
      <c r="B228" s="13" t="inlineStr">
        <is>
          <t>VER-14</t>
        </is>
      </c>
      <c r="C228" s="13" t="inlineStr">
        <is>
          <t>Ops surfaces require the operator token, not tenant RBAC</t>
        </is>
      </c>
      <c r="D228" s="13" t="inlineStr">
        <is>
          <t>Negative</t>
        </is>
      </c>
      <c r="E228" s="14" t="n">
        <v>2</v>
      </c>
      <c r="F228" s="13" t="inlineStr">
        <is>
          <t>Call them with an incorrect ops token.</t>
        </is>
      </c>
      <c r="G228" s="13" t="inlineStr">
        <is>
          <t>Refused.</t>
        </is>
      </c>
      <c r="H228" s="13" t="inlineStr"/>
      <c r="I228" s="13" t="inlineStr"/>
      <c r="J228" s="13" t="inlineStr"/>
    </row>
    <row r="229">
      <c r="A229" s="13" t="inlineStr">
        <is>
          <t>TC-050</t>
        </is>
      </c>
      <c r="B229" s="13" t="inlineStr">
        <is>
          <t>VER-14</t>
        </is>
      </c>
      <c r="C229" s="13" t="inlineStr">
        <is>
          <t>Ops surfaces require the operator token, not tenant RBAC</t>
        </is>
      </c>
      <c r="D229" s="13" t="inlineStr">
        <is>
          <t>Negative</t>
        </is>
      </c>
      <c r="E229" s="14" t="n">
        <v>3</v>
      </c>
      <c r="F229" s="13" t="inlineStr">
        <is>
          <t>Call them with the correct ops token.</t>
        </is>
      </c>
      <c r="G229" s="13" t="inlineStr">
        <is>
          <t>They succeed.</t>
        </is>
      </c>
      <c r="H229" s="13" t="inlineStr"/>
      <c r="I229" s="13" t="inlineStr"/>
      <c r="J229" s="13" t="inlineStr"/>
    </row>
    <row r="230">
      <c r="A230" s="13" t="inlineStr">
        <is>
          <t>TC-050</t>
        </is>
      </c>
      <c r="B230" s="13" t="inlineStr">
        <is>
          <t>VER-14</t>
        </is>
      </c>
      <c r="C230" s="13" t="inlineStr">
        <is>
          <t>Ops surfaces require the operator token, not tenant RBAC</t>
        </is>
      </c>
      <c r="D230" s="13" t="inlineStr">
        <is>
          <t>Negative</t>
        </is>
      </c>
      <c r="E230" s="14" t="n">
        <v>4</v>
      </c>
      <c r="F230" s="13" t="inlineStr">
        <is>
          <t>Confirm the fleet-wide public status page needs no token.</t>
        </is>
      </c>
      <c r="G230" s="13" t="inlineStr">
        <is>
          <t>It is reachable and exposes no tenant-identifying data.</t>
        </is>
      </c>
      <c r="H230" s="13" t="inlineStr"/>
      <c r="I230" s="13" t="inlineStr"/>
      <c r="J230" s="13" t="inlineStr"/>
    </row>
    <row r="231">
      <c r="A231" s="13" t="inlineStr">
        <is>
          <t>TC-051</t>
        </is>
      </c>
      <c r="B231" s="13" t="inlineStr">
        <is>
          <t>VER-12</t>
        </is>
      </c>
      <c r="C231" s="13" t="inlineStr">
        <is>
          <t>Production refuses to boot in an unsafe configuration</t>
        </is>
      </c>
      <c r="D231" s="13" t="inlineStr">
        <is>
          <t>Negative</t>
        </is>
      </c>
      <c r="E231" s="14" t="n">
        <v>1</v>
      </c>
      <c r="F231" s="13" t="inlineStr">
        <is>
          <t>Start with NODE_ENV=production and no DATABASE_URL.</t>
        </is>
      </c>
      <c r="G231" s="13" t="inlineStr">
        <is>
          <t>Boot FAILS naming the in-memory store finding.</t>
        </is>
      </c>
      <c r="H231" s="13" t="inlineStr"/>
      <c r="I231" s="13" t="inlineStr"/>
      <c r="J231" s="13" t="inlineStr"/>
    </row>
    <row r="232">
      <c r="A232" s="13" t="inlineStr">
        <is>
          <t>TC-051</t>
        </is>
      </c>
      <c r="B232" s="13" t="inlineStr">
        <is>
          <t>VER-12</t>
        </is>
      </c>
      <c r="C232" s="13" t="inlineStr">
        <is>
          <t>Production refuses to boot in an unsafe configuration</t>
        </is>
      </c>
      <c r="D232" s="13" t="inlineStr">
        <is>
          <t>Negative</t>
        </is>
      </c>
      <c r="E232" s="14" t="n">
        <v>2</v>
      </c>
      <c r="F232" s="13" t="inlineStr">
        <is>
          <t>Start with NODE_ENV=production, a database, and no mail provider configured.</t>
        </is>
      </c>
      <c r="G232" s="13" t="inlineStr">
        <is>
          <t>Boot FAILS naming the mail finding (QF-010).</t>
        </is>
      </c>
      <c r="H232" s="13" t="inlineStr"/>
      <c r="I232" s="13" t="inlineStr"/>
      <c r="J232" s="13" t="inlineStr"/>
    </row>
    <row r="233">
      <c r="A233" s="13" t="inlineStr">
        <is>
          <t>TC-051</t>
        </is>
      </c>
      <c r="B233" s="13" t="inlineStr">
        <is>
          <t>VER-12</t>
        </is>
      </c>
      <c r="C233" s="13" t="inlineStr">
        <is>
          <t>Production refuses to boot in an unsafe configuration</t>
        </is>
      </c>
      <c r="D233" s="13" t="inlineStr">
        <is>
          <t>Negative</t>
        </is>
      </c>
      <c r="E233" s="14" t="n">
        <v>3</v>
      </c>
      <c r="F233" s="13" t="inlineStr">
        <is>
          <t>Start with both configured.</t>
        </is>
      </c>
      <c r="G233" s="13" t="inlineStr">
        <is>
          <t>Boot succeeds.</t>
        </is>
      </c>
      <c r="H233" s="13" t="inlineStr"/>
      <c r="I233" s="13" t="inlineStr"/>
      <c r="J233" s="13" t="inlineStr"/>
    </row>
    <row r="234">
      <c r="A234" s="13" t="inlineStr">
        <is>
          <t>TC-051</t>
        </is>
      </c>
      <c r="B234" s="13" t="inlineStr">
        <is>
          <t>VER-12</t>
        </is>
      </c>
      <c r="C234" s="13" t="inlineStr">
        <is>
          <t>Production refuses to boot in an unsafe configuration</t>
        </is>
      </c>
      <c r="D234" s="13" t="inlineStr">
        <is>
          <t>Negative</t>
        </is>
      </c>
      <c r="E234" s="14" t="n">
        <v>4</v>
      </c>
      <c r="F234" s="13" t="inlineStr">
        <is>
          <t>Start with NODE_ENV unset and neither configured.</t>
        </is>
      </c>
      <c r="G234" s="13" t="inlineStr">
        <is>
          <t>Boot succeeds — development is still convenient.</t>
        </is>
      </c>
      <c r="H234" s="13" t="inlineStr"/>
      <c r="I234" s="13" t="inlineStr"/>
      <c r="J234" s="13" t="inlineStr"/>
    </row>
    <row r="235">
      <c r="A235" s="4" t="inlineStr">
        <is>
          <t>TC-052</t>
        </is>
      </c>
      <c r="B235" s="4" t="inlineStr">
        <is>
          <t>VER-15</t>
        </is>
      </c>
      <c r="C235" s="4" t="inlineStr">
        <is>
          <t>CPQ authoring survives a restart and is portal-scoped</t>
        </is>
      </c>
      <c r="D235" s="4" t="inlineStr">
        <is>
          <t>Positive</t>
        </is>
      </c>
      <c r="E235" s="16" t="n">
        <v>1</v>
      </c>
      <c r="F235" s="4" t="inlineStr">
        <is>
          <t>On portal 1, save a product model, a pricing catalogue, a DAG and a delegation.</t>
        </is>
      </c>
      <c r="G235" s="4" t="inlineStr">
        <is>
          <t>All accepted.</t>
        </is>
      </c>
      <c r="H235" s="4" t="inlineStr"/>
      <c r="I235" s="4" t="inlineStr"/>
      <c r="J235" s="4" t="inlineStr"/>
    </row>
    <row r="236">
      <c r="A236" s="3" t="inlineStr">
        <is>
          <t>TC-052</t>
        </is>
      </c>
      <c r="B236" s="3" t="inlineStr">
        <is>
          <t>VER-15</t>
        </is>
      </c>
      <c r="C236" s="3" t="inlineStr">
        <is>
          <t>CPQ authoring survives a restart and is portal-scoped</t>
        </is>
      </c>
      <c r="D236" s="3" t="inlineStr">
        <is>
          <t>Positive</t>
        </is>
      </c>
      <c r="E236" s="11" t="n">
        <v>2</v>
      </c>
      <c r="F236" s="3" t="inlineStr">
        <is>
          <t>Restart the app and re-read all four.</t>
        </is>
      </c>
      <c r="G236" s="3" t="inlineStr">
        <is>
          <t>All present.</t>
        </is>
      </c>
      <c r="H236" s="3" t="inlineStr"/>
      <c r="I236" s="3" t="inlineStr"/>
      <c r="J236" s="3" t="inlineStr"/>
    </row>
    <row r="237">
      <c r="A237" s="4" t="inlineStr">
        <is>
          <t>TC-052</t>
        </is>
      </c>
      <c r="B237" s="4" t="inlineStr">
        <is>
          <t>VER-15</t>
        </is>
      </c>
      <c r="C237" s="4" t="inlineStr">
        <is>
          <t>CPQ authoring survives a restart and is portal-scoped</t>
        </is>
      </c>
      <c r="D237" s="4" t="inlineStr">
        <is>
          <t>Positive</t>
        </is>
      </c>
      <c r="E237" s="16" t="n">
        <v>3</v>
      </c>
      <c r="F237" s="4" t="inlineStr">
        <is>
          <t>As portal 2, list each of the four.</t>
        </is>
      </c>
      <c r="G237" s="4" t="inlineStr">
        <is>
          <t>All empty — none of portal 1’s authoring is visible.</t>
        </is>
      </c>
      <c r="H237" s="4" t="inlineStr"/>
      <c r="I237" s="4" t="inlineStr"/>
      <c r="J237" s="4" t="inlineStr"/>
    </row>
    <row r="238">
      <c r="A238" s="3" t="inlineStr">
        <is>
          <t>TC-052</t>
        </is>
      </c>
      <c r="B238" s="3" t="inlineStr">
        <is>
          <t>VER-15</t>
        </is>
      </c>
      <c r="C238" s="3" t="inlineStr">
        <is>
          <t>CPQ authoring survives a restart and is portal-scoped</t>
        </is>
      </c>
      <c r="D238" s="3" t="inlineStr">
        <is>
          <t>Positive</t>
        </is>
      </c>
      <c r="E238" s="11" t="n">
        <v>4</v>
      </c>
      <c r="F238" s="3" t="inlineStr">
        <is>
          <t>Submit a desk request on portal 1, then try to read it as portal 2.</t>
        </is>
      </c>
      <c r="G238" s="3" t="inlineStr">
        <is>
          <t>HTTP 404.</t>
        </is>
      </c>
      <c r="H238" s="3" t="inlineStr"/>
      <c r="I238" s="3" t="inlineStr"/>
      <c r="J238" s="3" t="inlineStr"/>
    </row>
    <row r="239">
      <c r="A239" s="4" t="inlineStr">
        <is>
          <t>TC-052</t>
        </is>
      </c>
      <c r="B239" s="4" t="inlineStr">
        <is>
          <t>VER-15</t>
        </is>
      </c>
      <c r="C239" s="4" t="inlineStr">
        <is>
          <t>CPQ authoring survives a restart and is portal-scoped</t>
        </is>
      </c>
      <c r="D239" s="4" t="inlineStr">
        <is>
          <t>Positive</t>
        </is>
      </c>
      <c r="E239" s="16" t="n">
        <v>5</v>
      </c>
      <c r="F239" s="4" t="inlineStr">
        <is>
          <t>Run the whole test again with DATABASE_URL unset (in-memory backend).</t>
        </is>
      </c>
      <c r="G239" s="4" t="inlineStr">
        <is>
          <t>Identical behaviour, minus durability across restart — the two backends agree.</t>
        </is>
      </c>
      <c r="H239" s="4" t="inlineStr"/>
      <c r="I239" s="4" t="inlineStr"/>
      <c r="J239" s="4" t="inlineStr"/>
    </row>
    <row r="240">
      <c r="A240" s="13" t="inlineStr">
        <is>
          <t>TC-053</t>
        </is>
      </c>
      <c r="B240" s="13" t="inlineStr">
        <is>
          <t>VER-13</t>
        </is>
      </c>
      <c r="C240" s="13" t="inlineStr">
        <is>
          <t>A sessionless card request is refused</t>
        </is>
      </c>
      <c r="D240" s="13" t="inlineStr">
        <is>
          <t>Negative</t>
        </is>
      </c>
      <c r="E240" s="14" t="n">
        <v>1</v>
      </c>
      <c r="F240" s="13" t="inlineStr">
        <is>
          <t>GET /api/cards/deal/42 with no headers at all.</t>
        </is>
      </c>
      <c r="G240" s="13" t="inlineStr">
        <is>
          <t>HTTP 401, SESSION_REQUIRED.</t>
        </is>
      </c>
      <c r="H240" s="13" t="inlineStr"/>
      <c r="I240" s="13" t="inlineStr"/>
      <c r="J240" s="13" t="inlineStr"/>
    </row>
    <row r="241">
      <c r="A241" s="13" t="inlineStr">
        <is>
          <t>TC-053</t>
        </is>
      </c>
      <c r="B241" s="13" t="inlineStr">
        <is>
          <t>VER-13</t>
        </is>
      </c>
      <c r="C241" s="13" t="inlineStr">
        <is>
          <t>A sessionless card request is refused</t>
        </is>
      </c>
      <c r="D241" s="13" t="inlineStr">
        <is>
          <t>Negative</t>
        </is>
      </c>
      <c r="E241" s="14" t="n">
        <v>2</v>
      </c>
      <c r="F241" s="13" t="inlineStr">
        <is>
          <t>GET with an expired session.</t>
        </is>
      </c>
      <c r="G241" s="13" t="inlineStr">
        <is>
          <t>HTTP 401, SESSION_EXPIRED.</t>
        </is>
      </c>
      <c r="H241" s="13" t="inlineStr"/>
      <c r="I241" s="13" t="inlineStr"/>
      <c r="J241" s="13" t="inlineStr"/>
    </row>
    <row r="242">
      <c r="A242" s="13" t="inlineStr">
        <is>
          <t>TC-053</t>
        </is>
      </c>
      <c r="B242" s="13" t="inlineStr">
        <is>
          <t>VER-13</t>
        </is>
      </c>
      <c r="C242" s="13" t="inlineStr">
        <is>
          <t>A sessionless card request is refused</t>
        </is>
      </c>
      <c r="D242" s="13" t="inlineStr">
        <is>
          <t>Negative</t>
        </is>
      </c>
      <c r="E242" s="14" t="n">
        <v>3</v>
      </c>
      <c r="F242" s="13" t="inlineStr">
        <is>
          <t>GET with a session for portal 2 and ask for portal 1’s deal.</t>
        </is>
      </c>
      <c r="G242" s="13" t="inlineStr">
        <is>
          <t>The response contains only portal 2’s data — the portal comes from the session, never from the URL.</t>
        </is>
      </c>
      <c r="H242" s="13" t="inlineStr"/>
      <c r="I242" s="13" t="inlineStr"/>
      <c r="J242" s="13" t="inlineStr"/>
    </row>
    <row r="243">
      <c r="A243" s="4" t="inlineStr">
        <is>
          <t>TC-054</t>
        </is>
      </c>
      <c r="B243" s="4" t="inlineStr">
        <is>
          <t>VER-16</t>
        </is>
      </c>
      <c r="C243" s="4" t="inlineStr">
        <is>
          <t>Native and QuoteFlow quotes coexist by a stated rule</t>
        </is>
      </c>
      <c r="D243" s="4" t="inlineStr">
        <is>
          <t>Positive</t>
        </is>
      </c>
      <c r="E243" s="16" t="n">
        <v>1</v>
      </c>
      <c r="F243" s="4" t="inlineStr">
        <is>
          <t>Read the ownership table returned with GET /api/quotes.</t>
        </is>
      </c>
      <c r="G243" s="4" t="inlineStr">
        <is>
          <t>It states which system owns which field.</t>
        </is>
      </c>
      <c r="H243" s="4" t="inlineStr"/>
      <c r="I243" s="4" t="inlineStr"/>
      <c r="J243" s="4" t="inlineStr"/>
    </row>
    <row r="244">
      <c r="A244" s="3" t="inlineStr">
        <is>
          <t>TC-054</t>
        </is>
      </c>
      <c r="B244" s="3" t="inlineStr">
        <is>
          <t>VER-16</t>
        </is>
      </c>
      <c r="C244" s="3" t="inlineStr">
        <is>
          <t>Native and QuoteFlow quotes coexist by a stated rule</t>
        </is>
      </c>
      <c r="D244" s="3" t="inlineStr">
        <is>
          <t>Positive</t>
        </is>
      </c>
      <c r="E244" s="11" t="n">
        <v>2</v>
      </c>
      <c r="F244" s="3" t="inlineStr">
        <is>
          <t>Create a QuoteFlow quote on the same deal.</t>
        </is>
      </c>
      <c r="G244" s="3" t="inlineStr">
        <is>
          <t>Accepted.</t>
        </is>
      </c>
      <c r="H244" s="3" t="inlineStr"/>
      <c r="I244" s="3" t="inlineStr"/>
      <c r="J244" s="3" t="inlineStr"/>
    </row>
    <row r="245">
      <c r="A245" s="4" t="inlineStr">
        <is>
          <t>TC-054</t>
        </is>
      </c>
      <c r="B245" s="4" t="inlineStr">
        <is>
          <t>VER-16</t>
        </is>
      </c>
      <c r="C245" s="4" t="inlineStr">
        <is>
          <t>Native and QuoteFlow quotes coexist by a stated rule</t>
        </is>
      </c>
      <c r="D245" s="4" t="inlineStr">
        <is>
          <t>Positive</t>
        </is>
      </c>
      <c r="E245" s="16" t="n">
        <v>3</v>
      </c>
      <c r="F245" s="4" t="inlineStr">
        <is>
          <t>Push it.</t>
        </is>
      </c>
      <c r="G245" s="4" t="inlineStr">
        <is>
          <t>Only QuoteFlow-owned fields and items are written.</t>
        </is>
      </c>
      <c r="H245" s="4" t="inlineStr"/>
      <c r="I245" s="4" t="inlineStr"/>
      <c r="J245" s="4" t="inlineStr"/>
    </row>
    <row r="246">
      <c r="A246" s="3" t="inlineStr">
        <is>
          <t>TC-054</t>
        </is>
      </c>
      <c r="B246" s="3" t="inlineStr">
        <is>
          <t>VER-16</t>
        </is>
      </c>
      <c r="C246" s="3" t="inlineStr">
        <is>
          <t>Native and QuoteFlow quotes coexist by a stated rule</t>
        </is>
      </c>
      <c r="D246" s="3" t="inlineStr">
        <is>
          <t>Positive</t>
        </is>
      </c>
      <c r="E246" s="11" t="n">
        <v>4</v>
      </c>
      <c r="F246" s="3" t="inlineStr">
        <is>
          <t>Read the drift report.</t>
        </is>
      </c>
      <c r="G246" s="3" t="inlineStr">
        <is>
          <t>The native quote is reported as coexisting, not overwritten.</t>
        </is>
      </c>
      <c r="H246" s="3" t="inlineStr"/>
      <c r="I246" s="3" t="inlineStr"/>
      <c r="J246" s="3" t="inlineStr"/>
    </row>
    <row r="247">
      <c r="A247" s="13" t="inlineStr">
        <is>
          <t>TC-055</t>
        </is>
      </c>
      <c r="B247" s="13" t="inlineStr">
        <is>
          <t>VER-17</t>
        </is>
      </c>
      <c r="C247" s="13" t="inlineStr">
        <is>
          <t>The trust posture cannot claim more than the code does</t>
        </is>
      </c>
      <c r="D247" s="13" t="inlineStr">
        <is>
          <t>Negative</t>
        </is>
      </c>
      <c r="E247" s="14" t="n">
        <v>1</v>
      </c>
      <c r="F247" s="13" t="inlineStr">
        <is>
          <t>Read the data-flow map.</t>
        </is>
      </c>
      <c r="G247" s="13" t="inlineStr">
        <is>
          <t>Each store declares atRest as application, platform or none.</t>
        </is>
      </c>
      <c r="H247" s="13" t="inlineStr"/>
      <c r="I247" s="13" t="inlineStr"/>
      <c r="J247" s="13" t="inlineStr"/>
    </row>
    <row r="248">
      <c r="A248" s="13" t="inlineStr">
        <is>
          <t>TC-055</t>
        </is>
      </c>
      <c r="B248" s="13" t="inlineStr">
        <is>
          <t>VER-17</t>
        </is>
      </c>
      <c r="C248" s="13" t="inlineStr">
        <is>
          <t>The trust posture cannot claim more than the code does</t>
        </is>
      </c>
      <c r="D248" s="13" t="inlineStr">
        <is>
          <t>Negative</t>
        </is>
      </c>
      <c r="E248" s="14" t="n">
        <v>2</v>
      </c>
      <c r="F248" s="13" t="inlineStr">
        <is>
          <t>Edit one store to claim application encryption it does not have, and run the suite.</t>
        </is>
      </c>
      <c r="G248" s="13" t="inlineStr">
        <is>
          <t>The build FAILS.</t>
        </is>
      </c>
      <c r="H248" s="13" t="inlineStr"/>
      <c r="I248" s="13" t="inlineStr"/>
      <c r="J248" s="13" t="inlineStr"/>
    </row>
    <row r="249">
      <c r="A249" s="13" t="inlineStr">
        <is>
          <t>TC-055</t>
        </is>
      </c>
      <c r="B249" s="13" t="inlineStr">
        <is>
          <t>VER-17</t>
        </is>
      </c>
      <c r="C249" s="13" t="inlineStr">
        <is>
          <t>The trust posture cannot claim more than the code does</t>
        </is>
      </c>
      <c r="D249" s="13" t="inlineStr">
        <is>
          <t>Negative</t>
        </is>
      </c>
      <c r="E249" s="14" t="n">
        <v>3</v>
      </c>
      <c r="F249" s="13" t="inlineStr">
        <is>
          <t>Read the residency declarations.</t>
        </is>
      </c>
      <c r="G249" s="13" t="inlineStr">
        <is>
          <t>Three regions are available; NONE is provisioned.</t>
        </is>
      </c>
      <c r="H249" s="13" t="inlineStr"/>
      <c r="I249" s="13" t="inlineStr"/>
      <c r="J249" s="13" t="inlineStr"/>
    </row>
    <row r="250">
      <c r="A250" s="13" t="inlineStr">
        <is>
          <t>TC-055</t>
        </is>
      </c>
      <c r="B250" s="13" t="inlineStr">
        <is>
          <t>VER-17</t>
        </is>
      </c>
      <c r="C250" s="13" t="inlineStr">
        <is>
          <t>The trust posture cannot claim more than the code does</t>
        </is>
      </c>
      <c r="D250" s="13" t="inlineStr">
        <is>
          <t>Negative</t>
        </is>
      </c>
      <c r="E250" s="14" t="n">
        <v>4</v>
      </c>
      <c r="F250" s="13" t="inlineStr">
        <is>
          <t>Read the subprocessor list.</t>
        </is>
      </c>
      <c r="G250" s="13" t="inlineStr">
        <is>
          <t>Only HubSpot is marked in use; the rest are marked chosen-but-not-wired.</t>
        </is>
      </c>
      <c r="H250" s="13" t="inlineStr"/>
      <c r="I250" s="13" t="inlineStr"/>
      <c r="J250" s="13" t="inlineStr"/>
    </row>
    <row r="251">
      <c r="A251" s="13" t="inlineStr">
        <is>
          <t>TC-055</t>
        </is>
      </c>
      <c r="B251" s="13" t="inlineStr">
        <is>
          <t>VER-17</t>
        </is>
      </c>
      <c r="C251" s="13" t="inlineStr">
        <is>
          <t>The trust posture cannot claim more than the code does</t>
        </is>
      </c>
      <c r="D251" s="13" t="inlineStr">
        <is>
          <t>Negative</t>
        </is>
      </c>
      <c r="E251" s="14" t="n">
        <v>5</v>
      </c>
      <c r="F251" s="13" t="inlineStr">
        <is>
          <t>Mark a region provisioned without provisioning it and run the suite.</t>
        </is>
      </c>
      <c r="G251" s="13" t="inlineStr">
        <is>
          <t>The posture validation fails.</t>
        </is>
      </c>
      <c r="H251" s="13" t="inlineStr"/>
      <c r="I251" s="13" t="inlineStr"/>
      <c r="J251" s="13" t="inlineStr"/>
    </row>
    <row r="252">
      <c r="A252" s="3" t="inlineStr">
        <is>
          <t>TC-056</t>
        </is>
      </c>
      <c r="B252" s="3" t="inlineStr">
        <is>
          <t>VER-18</t>
        </is>
      </c>
      <c r="C252" s="3" t="inlineStr">
        <is>
          <t>The Projects app uploads and the card renders on a real deal</t>
        </is>
      </c>
      <c r="D252" s="3" t="inlineStr">
        <is>
          <t>Positive</t>
        </is>
      </c>
      <c r="E252" s="11" t="n">
        <v>1</v>
      </c>
      <c r="F252" s="3" t="inlineStr">
        <is>
          <t>Run hs project upload against the developer account.</t>
        </is>
      </c>
      <c r="G252" s="3" t="inlineStr">
        <is>
          <t>The project uploads with no schema errors against platformVersion 2026.03.</t>
        </is>
      </c>
      <c r="H252" s="3" t="inlineStr"/>
      <c r="I252" s="3" t="inlineStr"/>
      <c r="J252" s="3" t="inlineStr"/>
    </row>
    <row r="253">
      <c r="A253" s="4" t="inlineStr">
        <is>
          <t>TC-056</t>
        </is>
      </c>
      <c r="B253" s="4" t="inlineStr">
        <is>
          <t>VER-18</t>
        </is>
      </c>
      <c r="C253" s="4" t="inlineStr">
        <is>
          <t>The Projects app uploads and the card renders on a real deal</t>
        </is>
      </c>
      <c r="D253" s="4" t="inlineStr">
        <is>
          <t>Positive</t>
        </is>
      </c>
      <c r="E253" s="16" t="n">
        <v>2</v>
      </c>
      <c r="F253" s="4" t="inlineStr">
        <is>
          <t>Install the app into a test portal through the OAuth flow.</t>
        </is>
      </c>
      <c r="G253" s="4" t="inlineStr">
        <is>
          <t>Install completes and scopes are granted.</t>
        </is>
      </c>
      <c r="H253" s="4" t="inlineStr"/>
      <c r="I253" s="4" t="inlineStr"/>
      <c r="J253" s="4" t="inlineStr"/>
    </row>
    <row r="254">
      <c r="A254" s="3" t="inlineStr">
        <is>
          <t>TC-056</t>
        </is>
      </c>
      <c r="B254" s="3" t="inlineStr">
        <is>
          <t>VER-18</t>
        </is>
      </c>
      <c r="C254" s="3" t="inlineStr">
        <is>
          <t>The Projects app uploads and the card renders on a real deal</t>
        </is>
      </c>
      <c r="D254" s="3" t="inlineStr">
        <is>
          <t>Positive</t>
        </is>
      </c>
      <c r="E254" s="11" t="n">
        <v>3</v>
      </c>
      <c r="F254" s="3" t="inlineStr">
        <is>
          <t>Open a deal record in that portal.</t>
        </is>
      </c>
      <c r="G254" s="3" t="inlineStr">
        <is>
          <t>The QuoteFlow app card renders.</t>
        </is>
      </c>
      <c r="H254" s="3" t="inlineStr"/>
      <c r="I254" s="3" t="inlineStr"/>
      <c r="J254" s="3" t="inlineStr"/>
    </row>
    <row r="255">
      <c r="A255" s="4" t="inlineStr">
        <is>
          <t>TC-056</t>
        </is>
      </c>
      <c r="B255" s="4" t="inlineStr">
        <is>
          <t>VER-18</t>
        </is>
      </c>
      <c r="C255" s="4" t="inlineStr">
        <is>
          <t>The Projects app uploads and the card renders on a real deal</t>
        </is>
      </c>
      <c r="D255" s="4" t="inlineStr">
        <is>
          <t>Positive</t>
        </is>
      </c>
      <c r="E255" s="16" t="n">
        <v>4</v>
      </c>
      <c r="F255" s="4" t="inlineStr">
        <is>
          <t>Observe the network call the card makes.</t>
        </is>
      </c>
      <c r="G255" s="4" t="inlineStr">
        <is>
          <t>The serverless function mints a session; no secret appears in the browser.</t>
        </is>
      </c>
      <c r="H255" s="4" t="inlineStr"/>
      <c r="I255" s="4" t="inlineStr"/>
      <c r="J255" s="4" t="inlineStr"/>
    </row>
    <row r="256">
      <c r="A256" s="3" t="inlineStr">
        <is>
          <t>TC-056</t>
        </is>
      </c>
      <c r="B256" s="3" t="inlineStr">
        <is>
          <t>VER-18</t>
        </is>
      </c>
      <c r="C256" s="3" t="inlineStr">
        <is>
          <t>The Projects app uploads and the card renders on a real deal</t>
        </is>
      </c>
      <c r="D256" s="3" t="inlineStr">
        <is>
          <t>Positive</t>
        </is>
      </c>
      <c r="E256" s="11" t="n">
        <v>5</v>
      </c>
      <c r="F256" s="3" t="inlineStr">
        <is>
          <t>Configure, price and push a quote end to end.</t>
        </is>
      </c>
      <c r="G256" s="3" t="inlineStr">
        <is>
          <t>Line items appear on the real deal carrying qf_managed.</t>
        </is>
      </c>
      <c r="H256" s="3" t="inlineStr"/>
      <c r="I256" s="3" t="inlineStr"/>
      <c r="J256" s="3" t="inlineStr"/>
    </row>
    <row r="257">
      <c r="A257" s="4" t="inlineStr">
        <is>
          <t>TC-057</t>
        </is>
      </c>
      <c r="B257" s="4" t="inlineStr">
        <is>
          <t>VER-19</t>
        </is>
      </c>
      <c r="C257" s="4" t="inlineStr">
        <is>
          <t>A full subscription lifecycle runs in provider test mode</t>
        </is>
      </c>
      <c r="D257" s="4" t="inlineStr">
        <is>
          <t>Positive</t>
        </is>
      </c>
      <c r="E257" s="16" t="n">
        <v>1</v>
      </c>
      <c r="F257" s="4" t="inlineStr">
        <is>
          <t>Subscribe a test portal in Stripe test mode.</t>
        </is>
      </c>
      <c r="G257" s="4" t="inlineStr">
        <is>
          <t>The charge is accepted by the real API.</t>
        </is>
      </c>
      <c r="H257" s="4" t="inlineStr"/>
      <c r="I257" s="4" t="inlineStr"/>
      <c r="J257" s="4" t="inlineStr"/>
    </row>
    <row r="258">
      <c r="A258" s="3" t="inlineStr">
        <is>
          <t>TC-057</t>
        </is>
      </c>
      <c r="B258" s="3" t="inlineStr">
        <is>
          <t>VER-19</t>
        </is>
      </c>
      <c r="C258" s="3" t="inlineStr">
        <is>
          <t>A full subscription lifecycle runs in provider test mode</t>
        </is>
      </c>
      <c r="D258" s="3" t="inlineStr">
        <is>
          <t>Positive</t>
        </is>
      </c>
      <c r="E258" s="11" t="n">
        <v>2</v>
      </c>
      <c r="F258" s="3" t="inlineStr">
        <is>
          <t>Upgrade the plan mid-period.</t>
        </is>
      </c>
      <c r="G258" s="3" t="inlineStr">
        <is>
          <t>Proration is charged and matches the local calculation to the cent.</t>
        </is>
      </c>
      <c r="H258" s="3" t="inlineStr"/>
      <c r="I258" s="3" t="inlineStr"/>
      <c r="J258" s="3" t="inlineStr"/>
    </row>
    <row r="259">
      <c r="A259" s="4" t="inlineStr">
        <is>
          <t>TC-057</t>
        </is>
      </c>
      <c r="B259" s="4" t="inlineStr">
        <is>
          <t>VER-19</t>
        </is>
      </c>
      <c r="C259" s="4" t="inlineStr">
        <is>
          <t>A full subscription lifecycle runs in provider test mode</t>
        </is>
      </c>
      <c r="D259" s="4" t="inlineStr">
        <is>
          <t>Positive</t>
        </is>
      </c>
      <c r="E259" s="16" t="n">
        <v>3</v>
      </c>
      <c r="F259" s="4" t="inlineStr">
        <is>
          <t>Force a card failure with a Stripe test card.</t>
        </is>
      </c>
      <c r="G259" s="4" t="inlineStr">
        <is>
          <t>The real payment_failed webhook arrives, is verified, and moves the account to past_due.</t>
        </is>
      </c>
      <c r="H259" s="4" t="inlineStr"/>
      <c r="I259" s="4" t="inlineStr"/>
      <c r="J259" s="4" t="inlineStr"/>
    </row>
    <row r="260">
      <c r="A260" s="3" t="inlineStr">
        <is>
          <t>TC-057</t>
        </is>
      </c>
      <c r="B260" s="3" t="inlineStr">
        <is>
          <t>VER-19</t>
        </is>
      </c>
      <c r="C260" s="3" t="inlineStr">
        <is>
          <t>A full subscription lifecycle runs in provider test mode</t>
        </is>
      </c>
      <c r="D260" s="3" t="inlineStr">
        <is>
          <t>Positive</t>
        </is>
      </c>
      <c r="E260" s="11" t="n">
        <v>4</v>
      </c>
      <c r="F260" s="3" t="inlineStr">
        <is>
          <t>Recover with a good card.</t>
        </is>
      </c>
      <c r="G260" s="3" t="inlineStr">
        <is>
          <t>The account returns to active.</t>
        </is>
      </c>
      <c r="H260" s="3" t="inlineStr"/>
      <c r="I260" s="3" t="inlineStr"/>
      <c r="J260" s="3" t="inlineStr"/>
    </row>
    <row r="261">
      <c r="A261" s="4" t="inlineStr">
        <is>
          <t>TC-057</t>
        </is>
      </c>
      <c r="B261" s="4" t="inlineStr">
        <is>
          <t>VER-19</t>
        </is>
      </c>
      <c r="C261" s="4" t="inlineStr">
        <is>
          <t>A full subscription lifecycle runs in provider test mode</t>
        </is>
      </c>
      <c r="D261" s="4" t="inlineStr">
        <is>
          <t>Positive</t>
        </is>
      </c>
      <c r="E261" s="16" t="n">
        <v>5</v>
      </c>
      <c r="F261" s="4" t="inlineStr">
        <is>
          <t>Replay an old webhook and deliver one out of order.</t>
        </is>
      </c>
      <c r="G261" s="4" t="inlineStr">
        <is>
          <t>Neither changes state incorrectly.</t>
        </is>
      </c>
      <c r="H261" s="4" t="inlineStr"/>
      <c r="I261" s="4" t="inlineStr"/>
      <c r="J261" s="4" t="inlineStr"/>
    </row>
    <row r="262">
      <c r="A262" s="3" t="inlineStr">
        <is>
          <t>TC-057</t>
        </is>
      </c>
      <c r="B262" s="3" t="inlineStr">
        <is>
          <t>VER-19</t>
        </is>
      </c>
      <c r="C262" s="3" t="inlineStr">
        <is>
          <t>A full subscription lifecycle runs in provider test mode</t>
        </is>
      </c>
      <c r="D262" s="3" t="inlineStr">
        <is>
          <t>Positive</t>
        </is>
      </c>
      <c r="E262" s="11" t="n">
        <v>6</v>
      </c>
      <c r="F262" s="3" t="inlineStr">
        <is>
          <t>Cancel.</t>
        </is>
      </c>
      <c r="G262" s="3" t="inlineStr">
        <is>
          <t>The lifecycle completes with an audit trail.</t>
        </is>
      </c>
      <c r="H262" s="3" t="inlineStr"/>
      <c r="I262" s="3" t="inlineStr"/>
      <c r="J262" s="3" t="inlineStr"/>
    </row>
    <row r="263">
      <c r="A263" s="4" t="inlineStr">
        <is>
          <t>TC-058</t>
        </is>
      </c>
      <c r="B263" s="4" t="inlineStr">
        <is>
          <t>VER-20</t>
        </is>
      </c>
      <c r="C263" s="4" t="inlineStr">
        <is>
          <t>Two instances hold p95 under 500ms at a stated concurrency</t>
        </is>
      </c>
      <c r="D263" s="4" t="inlineStr">
        <is>
          <t>Positive</t>
        </is>
      </c>
      <c r="E263" s="16" t="n">
        <v>1</v>
      </c>
      <c r="F263" s="4" t="inlineStr">
        <is>
          <t>Deploy two instances against one database.</t>
        </is>
      </c>
      <c r="G263" s="4" t="inlineStr">
        <is>
          <t>Both healthy.</t>
        </is>
      </c>
      <c r="H263" s="4" t="inlineStr"/>
      <c r="I263" s="4" t="inlineStr"/>
      <c r="J263" s="4" t="inlineStr"/>
    </row>
    <row r="264">
      <c r="A264" s="3" t="inlineStr">
        <is>
          <t>TC-058</t>
        </is>
      </c>
      <c r="B264" s="3" t="inlineStr">
        <is>
          <t>VER-20</t>
        </is>
      </c>
      <c r="C264" s="3" t="inlineStr">
        <is>
          <t>Two instances hold p95 under 500ms at a stated concurrency</t>
        </is>
      </c>
      <c r="D264" s="3" t="inlineStr">
        <is>
          <t>Positive</t>
        </is>
      </c>
      <c r="E264" s="11" t="n">
        <v>2</v>
      </c>
      <c r="F264" s="3" t="inlineStr">
        <is>
          <t>Mint a session and run scripts/loadtest.js at concurrency 50 for 60 seconds against the DEPLOYED base URL.</t>
        </is>
      </c>
      <c r="G264" s="3" t="inlineStr">
        <is>
          <t>The run completes.</t>
        </is>
      </c>
      <c r="H264" s="3" t="inlineStr"/>
      <c r="I264" s="3" t="inlineStr"/>
      <c r="J264" s="3" t="inlineStr"/>
    </row>
    <row r="265">
      <c r="A265" s="4" t="inlineStr">
        <is>
          <t>TC-058</t>
        </is>
      </c>
      <c r="B265" s="4" t="inlineStr">
        <is>
          <t>VER-20</t>
        </is>
      </c>
      <c r="C265" s="4" t="inlineStr">
        <is>
          <t>Two instances hold p95 under 500ms at a stated concurrency</t>
        </is>
      </c>
      <c r="D265" s="4" t="inlineStr">
        <is>
          <t>Positive</t>
        </is>
      </c>
      <c r="E265" s="16" t="n">
        <v>3</v>
      </c>
      <c r="F265" s="4" t="inlineStr">
        <is>
          <t>Read the JSON output.</t>
        </is>
      </c>
      <c r="G265" s="4" t="inlineStr">
        <is>
          <t>p50, p95, p99, throughput and error rate are reported.</t>
        </is>
      </c>
      <c r="H265" s="4" t="inlineStr"/>
      <c r="I265" s="4" t="inlineStr"/>
      <c r="J265" s="4" t="inlineStr"/>
    </row>
    <row r="266">
      <c r="A266" s="3" t="inlineStr">
        <is>
          <t>TC-058</t>
        </is>
      </c>
      <c r="B266" s="3" t="inlineStr">
        <is>
          <t>VER-20</t>
        </is>
      </c>
      <c r="C266" s="3" t="inlineStr">
        <is>
          <t>Two instances hold p95 under 500ms at a stated concurrency</t>
        </is>
      </c>
      <c r="D266" s="3" t="inlineStr">
        <is>
          <t>Positive</t>
        </is>
      </c>
      <c r="E266" s="11" t="n">
        <v>4</v>
      </c>
      <c r="F266" s="3" t="inlineStr">
        <is>
          <t>Compare p95 against the 500ms target.</t>
        </is>
      </c>
      <c r="G266" s="3" t="inlineStr">
        <is>
          <t>meetsTarget is true, or the figure is recorded honestly as a miss.</t>
        </is>
      </c>
      <c r="H266" s="3" t="inlineStr"/>
      <c r="I266" s="3" t="inlineStr"/>
      <c r="J266" s="3" t="inlineStr"/>
    </row>
    <row r="267">
      <c r="A267" s="4" t="inlineStr">
        <is>
          <t>TC-058</t>
        </is>
      </c>
      <c r="B267" s="4" t="inlineStr">
        <is>
          <t>VER-20</t>
        </is>
      </c>
      <c r="C267" s="4" t="inlineStr">
        <is>
          <t>Two instances hold p95 under 500ms at a stated concurrency</t>
        </is>
      </c>
      <c r="D267" s="4" t="inlineStr">
        <is>
          <t>Positive</t>
        </is>
      </c>
      <c r="E267" s="16" t="n">
        <v>5</v>
      </c>
      <c r="F267" s="4" t="inlineStr">
        <is>
          <t>Paste the output into the release manifest.</t>
        </is>
      </c>
      <c r="G267" s="4" t="inlineStr">
        <is>
          <t>PERF evidence exists for the first time.</t>
        </is>
      </c>
      <c r="H267" s="4" t="inlineStr"/>
      <c r="I267" s="4" t="inlineStr"/>
      <c r="J267" s="4" t="inlineStr"/>
    </row>
    <row r="268">
      <c r="A268" s="3" t="inlineStr">
        <is>
          <t>TC-059</t>
        </is>
      </c>
      <c r="B268" s="3" t="inlineStr">
        <is>
          <t>VER-21</t>
        </is>
      </c>
      <c r="C268" s="3" t="inlineStr">
        <is>
          <t>A restore produces a measured RPO and RTO</t>
        </is>
      </c>
      <c r="D268" s="3" t="inlineStr">
        <is>
          <t>Positive</t>
        </is>
      </c>
      <c r="E268" s="11" t="n">
        <v>1</v>
      </c>
      <c r="F268" s="3" t="inlineStr">
        <is>
          <t>Seed a marker row in a test portal and run scripts/restore-drill.sh.</t>
        </is>
      </c>
      <c r="G268" s="3" t="inlineStr">
        <is>
          <t>The script takes a backup.</t>
        </is>
      </c>
      <c r="H268" s="3" t="inlineStr"/>
      <c r="I268" s="3" t="inlineStr"/>
      <c r="J268" s="3" t="inlineStr"/>
    </row>
    <row r="269">
      <c r="A269" s="4" t="inlineStr">
        <is>
          <t>TC-059</t>
        </is>
      </c>
      <c r="B269" s="4" t="inlineStr">
        <is>
          <t>VER-21</t>
        </is>
      </c>
      <c r="C269" s="4" t="inlineStr">
        <is>
          <t>A restore produces a measured RPO and RTO</t>
        </is>
      </c>
      <c r="D269" s="4" t="inlineStr">
        <is>
          <t>Positive</t>
        </is>
      </c>
      <c r="E269" s="16" t="n">
        <v>2</v>
      </c>
      <c r="F269" s="4" t="inlineStr">
        <is>
          <t>Observe the post-backup write it makes.</t>
        </is>
      </c>
      <c r="G269" s="4" t="inlineStr">
        <is>
          <t>A second marker is written AFTER the backup boundary.</t>
        </is>
      </c>
      <c r="H269" s="4" t="inlineStr"/>
      <c r="I269" s="4" t="inlineStr"/>
      <c r="J269" s="4" t="inlineStr"/>
    </row>
    <row r="270">
      <c r="A270" s="3" t="inlineStr">
        <is>
          <t>TC-059</t>
        </is>
      </c>
      <c r="B270" s="3" t="inlineStr">
        <is>
          <t>VER-21</t>
        </is>
      </c>
      <c r="C270" s="3" t="inlineStr">
        <is>
          <t>A restore produces a measured RPO and RTO</t>
        </is>
      </c>
      <c r="D270" s="3" t="inlineStr">
        <is>
          <t>Positive</t>
        </is>
      </c>
      <c r="E270" s="11" t="n">
        <v>3</v>
      </c>
      <c r="F270" s="3" t="inlineStr">
        <is>
          <t>Let the restore run.</t>
        </is>
      </c>
      <c r="G270" s="3" t="inlineStr">
        <is>
          <t>pg_restore completes into the empty database.</t>
        </is>
      </c>
      <c r="H270" s="3" t="inlineStr"/>
      <c r="I270" s="3" t="inlineStr"/>
      <c r="J270" s="3" t="inlineStr"/>
    </row>
    <row r="271">
      <c r="A271" s="4" t="inlineStr">
        <is>
          <t>TC-059</t>
        </is>
      </c>
      <c r="B271" s="4" t="inlineStr">
        <is>
          <t>VER-21</t>
        </is>
      </c>
      <c r="C271" s="4" t="inlineStr">
        <is>
          <t>A restore produces a measured RPO and RTO</t>
        </is>
      </c>
      <c r="D271" s="4" t="inlineStr">
        <is>
          <t>Positive</t>
        </is>
      </c>
      <c r="E271" s="16" t="n">
        <v>4</v>
      </c>
      <c r="F271" s="4" t="inlineStr">
        <is>
          <t>Observe the verification step.</t>
        </is>
      </c>
      <c r="G271" s="4" t="inlineStr">
        <is>
          <t>The restored database serves tenant-scoped reads through the app’s own GUC mechanism — a restore that breaks RLS is not a successful restore.</t>
        </is>
      </c>
      <c r="H271" s="4" t="inlineStr"/>
      <c r="I271" s="4" t="inlineStr"/>
      <c r="J271" s="4" t="inlineStr"/>
    </row>
    <row r="272">
      <c r="A272" s="3" t="inlineStr">
        <is>
          <t>TC-059</t>
        </is>
      </c>
      <c r="B272" s="3" t="inlineStr">
        <is>
          <t>VER-21</t>
        </is>
      </c>
      <c r="C272" s="3" t="inlineStr">
        <is>
          <t>A restore produces a measured RPO and RTO</t>
        </is>
      </c>
      <c r="D272" s="3" t="inlineStr">
        <is>
          <t>Positive</t>
        </is>
      </c>
      <c r="E272" s="11" t="n">
        <v>5</v>
      </c>
      <c r="F272" s="3" t="inlineStr">
        <is>
          <t>Read the printed JSON.</t>
        </is>
      </c>
      <c r="G272" s="3" t="inlineStr">
        <is>
          <t>rpoMs and rtoSeconds are real numbers.</t>
        </is>
      </c>
      <c r="H272" s="3" t="inlineStr"/>
      <c r="I272" s="3" t="inlineStr"/>
      <c r="J272" s="3" t="inlineStr"/>
    </row>
    <row r="273">
      <c r="A273" s="4" t="inlineStr">
        <is>
          <t>TC-060</t>
        </is>
      </c>
      <c r="B273" s="4" t="inlineStr">
        <is>
          <t>VER-22</t>
        </is>
      </c>
      <c r="C273" s="4" t="inlineStr">
        <is>
          <t>A blue/green deploy drops zero requests</t>
        </is>
      </c>
      <c r="D273" s="4" t="inlineStr">
        <is>
          <t>Positive</t>
        </is>
      </c>
      <c r="E273" s="16" t="n">
        <v>1</v>
      </c>
      <c r="F273" s="4" t="inlineStr">
        <is>
          <t>Start continuous traffic against the deployed service.</t>
        </is>
      </c>
      <c r="G273" s="4" t="inlineStr">
        <is>
          <t>Steady 200s.</t>
        </is>
      </c>
      <c r="H273" s="4" t="inlineStr"/>
      <c r="I273" s="4" t="inlineStr"/>
      <c r="J273" s="4" t="inlineStr"/>
    </row>
    <row r="274">
      <c r="A274" s="3" t="inlineStr">
        <is>
          <t>TC-060</t>
        </is>
      </c>
      <c r="B274" s="3" t="inlineStr">
        <is>
          <t>VER-22</t>
        </is>
      </c>
      <c r="C274" s="3" t="inlineStr">
        <is>
          <t>A blue/green deploy drops zero requests</t>
        </is>
      </c>
      <c r="D274" s="3" t="inlineStr">
        <is>
          <t>Positive</t>
        </is>
      </c>
      <c r="E274" s="11" t="n">
        <v>2</v>
      </c>
      <c r="F274" s="3" t="inlineStr">
        <is>
          <t>Trigger the blue/green workflow.</t>
        </is>
      </c>
      <c r="G274" s="3" t="inlineStr">
        <is>
          <t>The new colour comes up; the old one drains.</t>
        </is>
      </c>
      <c r="H274" s="3" t="inlineStr"/>
      <c r="I274" s="3" t="inlineStr"/>
      <c r="J274" s="3" t="inlineStr"/>
    </row>
    <row r="275">
      <c r="A275" s="4" t="inlineStr">
        <is>
          <t>TC-060</t>
        </is>
      </c>
      <c r="B275" s="4" t="inlineStr">
        <is>
          <t>VER-22</t>
        </is>
      </c>
      <c r="C275" s="4" t="inlineStr">
        <is>
          <t>A blue/green deploy drops zero requests</t>
        </is>
      </c>
      <c r="D275" s="4" t="inlineStr">
        <is>
          <t>Positive</t>
        </is>
      </c>
      <c r="E275" s="16" t="n">
        <v>3</v>
      </c>
      <c r="F275" s="4" t="inlineStr">
        <is>
          <t>Watch the traffic throughout.</t>
        </is>
      </c>
      <c r="G275" s="4" t="inlineStr">
        <is>
          <t>Zero non-200 responses attributable to the deploy.</t>
        </is>
      </c>
      <c r="H275" s="4" t="inlineStr"/>
      <c r="I275" s="4" t="inlineStr"/>
      <c r="J275" s="4" t="inlineStr"/>
    </row>
    <row r="276">
      <c r="A276" s="3" t="inlineStr">
        <is>
          <t>TC-060</t>
        </is>
      </c>
      <c r="B276" s="3" t="inlineStr">
        <is>
          <t>VER-22</t>
        </is>
      </c>
      <c r="C276" s="3" t="inlineStr">
        <is>
          <t>A blue/green deploy drops zero requests</t>
        </is>
      </c>
      <c r="D276" s="3" t="inlineStr">
        <is>
          <t>Positive</t>
        </is>
      </c>
      <c r="E276" s="11" t="n">
        <v>4</v>
      </c>
      <c r="F276" s="3" t="inlineStr">
        <is>
          <t>Confirm both instances served during the overlap.</t>
        </is>
      </c>
      <c r="G276" s="3" t="inlineStr">
        <is>
          <t>No writer-lease refusal appears in the logs — the tripwire in the workflow also guards against its return.</t>
        </is>
      </c>
      <c r="H276" s="3" t="inlineStr"/>
      <c r="I276" s="3" t="inlineStr"/>
      <c r="J276" s="3" t="inlineStr"/>
    </row>
    <row r="277">
      <c r="A277" s="4" t="inlineStr">
        <is>
          <t>TC-061</t>
        </is>
      </c>
      <c r="B277" s="4" t="inlineStr">
        <is>
          <t>VER-03</t>
        </is>
      </c>
      <c r="C277" s="4" t="inlineStr">
        <is>
          <t>Pause and resume loses no data</t>
        </is>
      </c>
      <c r="D277" s="4" t="inlineStr">
        <is>
          <t>Positive</t>
        </is>
      </c>
      <c r="E277" s="16" t="n">
        <v>1</v>
      </c>
      <c r="F277" s="4" t="inlineStr">
        <is>
          <t>Record the price books, approval chains and quotes currently in the portal.</t>
        </is>
      </c>
      <c r="G277" s="4" t="inlineStr">
        <is>
          <t>Baseline captured.</t>
        </is>
      </c>
      <c r="H277" s="4" t="inlineStr"/>
      <c r="I277" s="4" t="inlineStr"/>
      <c r="J277" s="4" t="inlineStr"/>
    </row>
    <row r="278">
      <c r="A278" s="3" t="inlineStr">
        <is>
          <t>TC-061</t>
        </is>
      </c>
      <c r="B278" s="3" t="inlineStr">
        <is>
          <t>VER-03</t>
        </is>
      </c>
      <c r="C278" s="3" t="inlineStr">
        <is>
          <t>Pause and resume loses no data</t>
        </is>
      </c>
      <c r="D278" s="3" t="inlineStr">
        <is>
          <t>Positive</t>
        </is>
      </c>
      <c r="E278" s="11" t="n">
        <v>2</v>
      </c>
      <c r="F278" s="3" t="inlineStr">
        <is>
          <t>POST /api/settings/pause with no feature (whole app).</t>
        </is>
      </c>
      <c r="G278" s="3" t="inlineStr">
        <is>
          <t>HTTP 200; paused is true.</t>
        </is>
      </c>
      <c r="H278" s="3" t="inlineStr"/>
      <c r="I278" s="3" t="inlineStr"/>
      <c r="J278" s="3" t="inlineStr"/>
    </row>
    <row r="279">
      <c r="A279" s="4" t="inlineStr">
        <is>
          <t>TC-061</t>
        </is>
      </c>
      <c r="B279" s="4" t="inlineStr">
        <is>
          <t>VER-03</t>
        </is>
      </c>
      <c r="C279" s="4" t="inlineStr">
        <is>
          <t>Pause and resume loses no data</t>
        </is>
      </c>
      <c r="D279" s="4" t="inlineStr">
        <is>
          <t>Positive</t>
        </is>
      </c>
      <c r="E279" s="16" t="n">
        <v>3</v>
      </c>
      <c r="F279" s="4" t="inlineStr">
        <is>
          <t>Attempt a write, e.g. create a price book.</t>
        </is>
      </c>
      <c r="G279" s="4" t="inlineStr">
        <is>
          <t>Refused with a clear paused error, not a 500.</t>
        </is>
      </c>
      <c r="H279" s="4" t="inlineStr"/>
      <c r="I279" s="4" t="inlineStr"/>
      <c r="J279" s="4" t="inlineStr"/>
    </row>
    <row r="280">
      <c r="A280" s="3" t="inlineStr">
        <is>
          <t>TC-061</t>
        </is>
      </c>
      <c r="B280" s="3" t="inlineStr">
        <is>
          <t>VER-03</t>
        </is>
      </c>
      <c r="C280" s="3" t="inlineStr">
        <is>
          <t>Pause and resume loses no data</t>
        </is>
      </c>
      <c r="D280" s="3" t="inlineStr">
        <is>
          <t>Positive</t>
        </is>
      </c>
      <c r="E280" s="11" t="n">
        <v>4</v>
      </c>
      <c r="F280" s="3" t="inlineStr">
        <is>
          <t>Attempt a read, e.g. GET /api/pricebooks.</t>
        </is>
      </c>
      <c r="G280" s="3" t="inlineStr">
        <is>
          <t>Succeeds — reads survive a pause.</t>
        </is>
      </c>
      <c r="H280" s="3" t="inlineStr"/>
      <c r="I280" s="3" t="inlineStr"/>
      <c r="J280" s="3" t="inlineStr"/>
    </row>
    <row r="281">
      <c r="A281" s="4" t="inlineStr">
        <is>
          <t>TC-061</t>
        </is>
      </c>
      <c r="B281" s="4" t="inlineStr">
        <is>
          <t>VER-03</t>
        </is>
      </c>
      <c r="C281" s="4" t="inlineStr">
        <is>
          <t>Pause and resume loses no data</t>
        </is>
      </c>
      <c r="D281" s="4" t="inlineStr">
        <is>
          <t>Positive</t>
        </is>
      </c>
      <c r="E281" s="16" t="n">
        <v>5</v>
      </c>
      <c r="F281" s="4" t="inlineStr">
        <is>
          <t>POST /api/settings/resume and re-read everything from step 1.</t>
        </is>
      </c>
      <c r="G281" s="4" t="inlineStr">
        <is>
          <t>Identical to the baseline; nothing was lost or altered.</t>
        </is>
      </c>
      <c r="H281" s="4" t="inlineStr"/>
      <c r="I281" s="4" t="inlineStr"/>
      <c r="J281" s="4" t="inlineStr"/>
    </row>
    <row r="282">
      <c r="A282" s="3" t="inlineStr">
        <is>
          <t>TC-061</t>
        </is>
      </c>
      <c r="B282" s="3" t="inlineStr">
        <is>
          <t>VER-03</t>
        </is>
      </c>
      <c r="C282" s="3" t="inlineStr">
        <is>
          <t>Pause and resume loses no data</t>
        </is>
      </c>
      <c r="D282" s="3" t="inlineStr">
        <is>
          <t>Positive</t>
        </is>
      </c>
      <c r="E282" s="11" t="n">
        <v>6</v>
      </c>
      <c r="F282" s="3" t="inlineStr">
        <is>
          <t>Pause a single feature (esign) and check the others.</t>
        </is>
      </c>
      <c r="G282" s="3" t="inlineStr">
        <is>
          <t>Only that feature is gated.</t>
        </is>
      </c>
      <c r="H282" s="3" t="inlineStr"/>
      <c r="I282" s="3" t="inlineStr"/>
      <c r="J282" s="3" t="inlineStr"/>
    </row>
    <row r="283">
      <c r="A283" s="13" t="inlineStr">
        <is>
          <t>TC-062</t>
        </is>
      </c>
      <c r="B283" s="13" t="inlineStr">
        <is>
          <t>VER-03</t>
        </is>
      </c>
      <c r="C283" s="13" t="inlineStr">
        <is>
          <t>A CSV import reports its errors instead of failing silently</t>
        </is>
      </c>
      <c r="D283" s="13" t="inlineStr">
        <is>
          <t>Negative</t>
        </is>
      </c>
      <c r="E283" s="14" t="n">
        <v>1</v>
      </c>
      <c r="F283" s="13" t="inlineStr">
        <is>
          <t>Import a CSV with 3 valid rows and 2 malformed rows.</t>
        </is>
      </c>
      <c r="G283" s="13" t="inlineStr">
        <is>
          <t>HTTP 200 with imported and skipped counts that add up to 5.</t>
        </is>
      </c>
      <c r="H283" s="13" t="inlineStr"/>
      <c r="I283" s="13" t="inlineStr"/>
      <c r="J283" s="13" t="inlineStr"/>
    </row>
    <row r="284">
      <c r="A284" s="13" t="inlineStr">
        <is>
          <t>TC-062</t>
        </is>
      </c>
      <c r="B284" s="13" t="inlineStr">
        <is>
          <t>VER-03</t>
        </is>
      </c>
      <c r="C284" s="13" t="inlineStr">
        <is>
          <t>A CSV import reports its errors instead of failing silently</t>
        </is>
      </c>
      <c r="D284" s="13" t="inlineStr">
        <is>
          <t>Negative</t>
        </is>
      </c>
      <c r="E284" s="14" t="n">
        <v>2</v>
      </c>
      <c r="F284" s="13" t="inlineStr">
        <is>
          <t>Read the errors array.</t>
        </is>
      </c>
      <c r="G284" s="13" t="inlineStr">
        <is>
          <t>Each skipped row is named with its row number and the reason.</t>
        </is>
      </c>
      <c r="H284" s="13" t="inlineStr"/>
      <c r="I284" s="13" t="inlineStr"/>
      <c r="J284" s="13" t="inlineStr"/>
    </row>
    <row r="285">
      <c r="A285" s="13" t="inlineStr">
        <is>
          <t>TC-062</t>
        </is>
      </c>
      <c r="B285" s="13" t="inlineStr">
        <is>
          <t>VER-03</t>
        </is>
      </c>
      <c r="C285" s="13" t="inlineStr">
        <is>
          <t>A CSV import reports its errors instead of failing silently</t>
        </is>
      </c>
      <c r="D285" s="13" t="inlineStr">
        <is>
          <t>Negative</t>
        </is>
      </c>
      <c r="E285" s="14" t="n">
        <v>3</v>
      </c>
      <c r="F285" s="13" t="inlineStr">
        <is>
          <t>GET the price book.</t>
        </is>
      </c>
      <c r="G285" s="13" t="inlineStr">
        <is>
          <t>Exactly the 3 valid items were added; no partial or corrupted item exists.</t>
        </is>
      </c>
      <c r="H285" s="13" t="inlineStr"/>
      <c r="I285" s="13" t="inlineStr"/>
      <c r="J285" s="13" t="inlineStr"/>
    </row>
    <row r="286">
      <c r="A286" s="13" t="inlineStr">
        <is>
          <t>TC-062</t>
        </is>
      </c>
      <c r="B286" s="13" t="inlineStr">
        <is>
          <t>VER-03</t>
        </is>
      </c>
      <c r="C286" s="13" t="inlineStr">
        <is>
          <t>A CSV import reports its errors instead of failing silently</t>
        </is>
      </c>
      <c r="D286" s="13" t="inlineStr">
        <is>
          <t>Negative</t>
        </is>
      </c>
      <c r="E286" s="14" t="n">
        <v>4</v>
      </c>
      <c r="F286" s="13" t="inlineStr">
        <is>
          <t>Import a CSV with an unrecognised format value.</t>
        </is>
      </c>
      <c r="G286" s="13" t="inlineStr">
        <is>
          <t>Refused with IMPORT_FORMAT_INVALID.</t>
        </is>
      </c>
      <c r="H286" s="13" t="inlineStr"/>
      <c r="I286" s="13" t="inlineStr"/>
      <c r="J286" s="13" t="inlineStr"/>
    </row>
    <row r="287">
      <c r="A287" s="13" t="inlineStr">
        <is>
          <t>TC-062</t>
        </is>
      </c>
      <c r="B287" s="13" t="inlineStr">
        <is>
          <t>VER-03</t>
        </is>
      </c>
      <c r="C287" s="13" t="inlineStr">
        <is>
          <t>A CSV import reports its errors instead of failing silently</t>
        </is>
      </c>
      <c r="D287" s="13" t="inlineStr">
        <is>
          <t>Negative</t>
        </is>
      </c>
      <c r="E287" s="14" t="n">
        <v>5</v>
      </c>
      <c r="F287" s="13" t="inlineStr">
        <is>
          <t>Attempt the import as a member.</t>
        </is>
      </c>
      <c r="G287" s="13" t="inlineStr">
        <is>
          <t>HTTP 403.</t>
        </is>
      </c>
      <c r="H287" s="13" t="inlineStr"/>
      <c r="I287" s="13" t="inlineStr"/>
      <c r="J287" s="13" t="inlineStr"/>
    </row>
    <row r="288">
      <c r="A288" s="3" t="inlineStr">
        <is>
          <t>TC-063</t>
        </is>
      </c>
      <c r="B288" s="3" t="inlineStr">
        <is>
          <t>VER-04</t>
        </is>
      </c>
      <c r="C288" s="3" t="inlineStr">
        <is>
          <t>A discounted quote routes for approval and notifies the approver</t>
        </is>
      </c>
      <c r="D288" s="3" t="inlineStr">
        <is>
          <t>Positive</t>
        </is>
      </c>
      <c r="E288" s="11" t="n">
        <v>1</v>
      </c>
      <c r="F288" s="3" t="inlineStr">
        <is>
          <t>POST /api/approvals/chains/defaults as an admin.</t>
        </is>
      </c>
      <c r="G288" s="3" t="inlineStr">
        <is>
          <t>HTTP 201; a 15% manager rule exists.</t>
        </is>
      </c>
      <c r="H288" s="3" t="inlineStr"/>
      <c r="I288" s="3" t="inlineStr"/>
      <c r="J288" s="3" t="inlineStr"/>
    </row>
    <row r="289">
      <c r="A289" s="4" t="inlineStr">
        <is>
          <t>TC-063</t>
        </is>
      </c>
      <c r="B289" s="4" t="inlineStr">
        <is>
          <t>VER-04</t>
        </is>
      </c>
      <c r="C289" s="4" t="inlineStr">
        <is>
          <t>A discounted quote routes for approval and notifies the approver</t>
        </is>
      </c>
      <c r="D289" s="4" t="inlineStr">
        <is>
          <t>Positive</t>
        </is>
      </c>
      <c r="E289" s="16" t="n">
        <v>2</v>
      </c>
      <c r="F289" s="4" t="inlineStr">
        <is>
          <t>As a member, request approval for a quote discounted beyond the trigger.</t>
        </is>
      </c>
      <c r="G289" s="4" t="inlineStr">
        <is>
          <t>HTTP 201; status pending.</t>
        </is>
      </c>
      <c r="H289" s="4" t="inlineStr"/>
      <c r="I289" s="4" t="inlineStr"/>
      <c r="J289" s="4" t="inlineStr"/>
    </row>
    <row r="290">
      <c r="A290" s="3" t="inlineStr">
        <is>
          <t>TC-063</t>
        </is>
      </c>
      <c r="B290" s="3" t="inlineStr">
        <is>
          <t>VER-04</t>
        </is>
      </c>
      <c r="C290" s="3" t="inlineStr">
        <is>
          <t>A discounted quote routes for approval and notifies the approver</t>
        </is>
      </c>
      <c r="D290" s="3" t="inlineStr">
        <is>
          <t>Positive</t>
        </is>
      </c>
      <c r="E290" s="11" t="n">
        <v>3</v>
      </c>
      <c r="F290" s="3" t="inlineStr">
        <is>
          <t>Read the approver’s notifications.</t>
        </is>
      </c>
      <c r="G290" s="3" t="inlineStr">
        <is>
          <t>An approval_requested notification is present.</t>
        </is>
      </c>
      <c r="H290" s="3" t="inlineStr"/>
      <c r="I290" s="3" t="inlineStr"/>
      <c r="J290" s="3" t="inlineStr"/>
    </row>
    <row r="291">
      <c r="A291" s="4" t="inlineStr">
        <is>
          <t>TC-063</t>
        </is>
      </c>
      <c r="B291" s="4" t="inlineStr">
        <is>
          <t>VER-04</t>
        </is>
      </c>
      <c r="C291" s="4" t="inlineStr">
        <is>
          <t>A discounted quote routes for approval and notifies the approver</t>
        </is>
      </c>
      <c r="D291" s="4" t="inlineStr">
        <is>
          <t>Positive</t>
        </is>
      </c>
      <c r="E291" s="16" t="n">
        <v>4</v>
      </c>
      <c r="F291" s="4" t="inlineStr">
        <is>
          <t>As the approver, approve it.</t>
        </is>
      </c>
      <c r="G291" s="4" t="inlineStr">
        <is>
          <t>Status becomes approved.</t>
        </is>
      </c>
      <c r="H291" s="4" t="inlineStr"/>
      <c r="I291" s="4" t="inlineStr"/>
      <c r="J291" s="4" t="inlineStr"/>
    </row>
    <row r="292">
      <c r="A292" s="3" t="inlineStr">
        <is>
          <t>TC-063</t>
        </is>
      </c>
      <c r="B292" s="3" t="inlineStr">
        <is>
          <t>VER-04</t>
        </is>
      </c>
      <c r="C292" s="3" t="inlineStr">
        <is>
          <t>A discounted quote routes for approval and notifies the approver</t>
        </is>
      </c>
      <c r="D292" s="3" t="inlineStr">
        <is>
          <t>Positive</t>
        </is>
      </c>
      <c r="E292" s="11" t="n">
        <v>5</v>
      </c>
      <c r="F292" s="3" t="inlineStr">
        <is>
          <t>Read the requester’s notifications.</t>
        </is>
      </c>
      <c r="G292" s="3" t="inlineStr">
        <is>
          <t>They were told the outcome.</t>
        </is>
      </c>
      <c r="H292" s="3" t="inlineStr"/>
      <c r="I292" s="3" t="inlineStr"/>
      <c r="J292" s="3" t="inlineStr"/>
    </row>
    <row r="293">
      <c r="A293" s="4" t="inlineStr">
        <is>
          <t>TC-063</t>
        </is>
      </c>
      <c r="B293" s="4" t="inlineStr">
        <is>
          <t>VER-04</t>
        </is>
      </c>
      <c r="C293" s="4" t="inlineStr">
        <is>
          <t>A discounted quote routes for approval and notifies the approver</t>
        </is>
      </c>
      <c r="D293" s="4" t="inlineStr">
        <is>
          <t>Positive</t>
        </is>
      </c>
      <c r="E293" s="16" t="n">
        <v>6</v>
      </c>
      <c r="F293" s="4" t="inlineStr">
        <is>
          <t>Request approval for a small quote below the trigger.</t>
        </is>
      </c>
      <c r="G293" s="4" t="inlineStr">
        <is>
          <t>It auto-approves and says so rather than sitting pending forever.</t>
        </is>
      </c>
      <c r="H293" s="4" t="inlineStr"/>
      <c r="I293" s="4" t="inlineStr"/>
      <c r="J293" s="4" t="inlineStr"/>
    </row>
    <row r="294">
      <c r="A294" s="13" t="inlineStr">
        <is>
          <t>TC-064</t>
        </is>
      </c>
      <c r="B294" s="13" t="inlineStr">
        <is>
          <t>VER-04</t>
        </is>
      </c>
      <c r="C294" s="13" t="inlineStr">
        <is>
          <t>An in-flight request is immune to a chain edit</t>
        </is>
      </c>
      <c r="D294" s="13" t="inlineStr">
        <is>
          <t>Negative</t>
        </is>
      </c>
      <c r="E294" s="14" t="n">
        <v>1</v>
      </c>
      <c r="F294" s="13" t="inlineStr">
        <is>
          <t>Note the steps the pending request requires.</t>
        </is>
      </c>
      <c r="G294" s="13" t="inlineStr">
        <is>
          <t>Baseline captured.</t>
        </is>
      </c>
      <c r="H294" s="13" t="inlineStr"/>
      <c r="I294" s="13" t="inlineStr"/>
      <c r="J294" s="13" t="inlineStr"/>
    </row>
    <row r="295">
      <c r="A295" s="13" t="inlineStr">
        <is>
          <t>TC-064</t>
        </is>
      </c>
      <c r="B295" s="13" t="inlineStr">
        <is>
          <t>VER-04</t>
        </is>
      </c>
      <c r="C295" s="13" t="inlineStr">
        <is>
          <t>An in-flight request is immune to a chain edit</t>
        </is>
      </c>
      <c r="D295" s="13" t="inlineStr">
        <is>
          <t>Negative</t>
        </is>
      </c>
      <c r="E295" s="14" t="n">
        <v>2</v>
      </c>
      <c r="F295" s="13" t="inlineStr">
        <is>
          <t>Edit the chain to add an extra approval step.</t>
        </is>
      </c>
      <c r="G295" s="13" t="inlineStr">
        <is>
          <t>Accepted.</t>
        </is>
      </c>
      <c r="H295" s="13" t="inlineStr"/>
      <c r="I295" s="13" t="inlineStr"/>
      <c r="J295" s="13" t="inlineStr"/>
    </row>
    <row r="296">
      <c r="A296" s="13" t="inlineStr">
        <is>
          <t>TC-064</t>
        </is>
      </c>
      <c r="B296" s="13" t="inlineStr">
        <is>
          <t>VER-04</t>
        </is>
      </c>
      <c r="C296" s="13" t="inlineStr">
        <is>
          <t>An in-flight request is immune to a chain edit</t>
        </is>
      </c>
      <c r="D296" s="13" t="inlineStr">
        <is>
          <t>Negative</t>
        </is>
      </c>
      <c r="E296" s="14" t="n">
        <v>3</v>
      </c>
      <c r="F296" s="13" t="inlineStr">
        <is>
          <t>Re-read the pending request.</t>
        </is>
      </c>
      <c r="G296" s="13" t="inlineStr">
        <is>
          <t>Its required steps are unchanged — it kept the snapshot it was raised against.</t>
        </is>
      </c>
      <c r="H296" s="13" t="inlineStr"/>
      <c r="I296" s="13" t="inlineStr"/>
      <c r="J296" s="13" t="inlineStr"/>
    </row>
    <row r="297">
      <c r="A297" s="13" t="inlineStr">
        <is>
          <t>TC-064</t>
        </is>
      </c>
      <c r="B297" s="13" t="inlineStr">
        <is>
          <t>VER-04</t>
        </is>
      </c>
      <c r="C297" s="13" t="inlineStr">
        <is>
          <t>An in-flight request is immune to a chain edit</t>
        </is>
      </c>
      <c r="D297" s="13" t="inlineStr">
        <is>
          <t>Negative</t>
        </is>
      </c>
      <c r="E297" s="14" t="n">
        <v>4</v>
      </c>
      <c r="F297" s="13" t="inlineStr">
        <is>
          <t>Raise a NEW request.</t>
        </is>
      </c>
      <c r="G297" s="13" t="inlineStr">
        <is>
          <t>It picks up the edited chain.</t>
        </is>
      </c>
      <c r="H297" s="13" t="inlineStr"/>
      <c r="I297" s="13" t="inlineStr"/>
      <c r="J297" s="13" t="inlineStr"/>
    </row>
    <row r="298">
      <c r="A298" s="3" t="inlineStr">
        <is>
          <t>TC-065</t>
        </is>
      </c>
      <c r="B298" s="3" t="inlineStr">
        <is>
          <t>VER-05</t>
        </is>
      </c>
      <c r="C298" s="3" t="inlineStr">
        <is>
          <t>An envelope is sent, signed, and the count reflects it</t>
        </is>
      </c>
      <c r="D298" s="3" t="inlineStr">
        <is>
          <t>Positive</t>
        </is>
      </c>
      <c r="E298" s="11" t="n">
        <v>1</v>
      </c>
      <c r="F298" s="3" t="inlineStr">
        <is>
          <t>POST /api/esign/envelopes with a signer.</t>
        </is>
      </c>
      <c r="G298" s="3" t="inlineStr">
        <is>
          <t>HTTP 201 with a signer token.</t>
        </is>
      </c>
      <c r="H298" s="3" t="inlineStr"/>
      <c r="I298" s="3" t="inlineStr"/>
      <c r="J298" s="3" t="inlineStr"/>
    </row>
    <row r="299">
      <c r="A299" s="4" t="inlineStr">
        <is>
          <t>TC-065</t>
        </is>
      </c>
      <c r="B299" s="4" t="inlineStr">
        <is>
          <t>VER-05</t>
        </is>
      </c>
      <c r="C299" s="4" t="inlineStr">
        <is>
          <t>An envelope is sent, signed, and the count reflects it</t>
        </is>
      </c>
      <c r="D299" s="4" t="inlineStr">
        <is>
          <t>Positive</t>
        </is>
      </c>
      <c r="E299" s="16" t="n">
        <v>2</v>
      </c>
      <c r="F299" s="4" t="inlineStr">
        <is>
          <t>Check the deal app card.</t>
        </is>
      </c>
      <c r="G299" s="4" t="inlineStr">
        <is>
          <t>awaitingSignature is 1.</t>
        </is>
      </c>
      <c r="H299" s="4" t="inlineStr"/>
      <c r="I299" s="4" t="inlineStr"/>
      <c r="J299" s="4" t="inlineStr"/>
    </row>
    <row r="300">
      <c r="A300" s="3" t="inlineStr">
        <is>
          <t>TC-065</t>
        </is>
      </c>
      <c r="B300" s="3" t="inlineStr">
        <is>
          <t>VER-05</t>
        </is>
      </c>
      <c r="C300" s="3" t="inlineStr">
        <is>
          <t>An envelope is sent, signed, and the count reflects it</t>
        </is>
      </c>
      <c r="D300" s="3" t="inlineStr">
        <is>
          <t>Positive</t>
        </is>
      </c>
      <c r="E300" s="11" t="n">
        <v>3</v>
      </c>
      <c r="F300" s="3" t="inlineStr">
        <is>
          <t>Open /ui/sign and sign with the token.</t>
        </is>
      </c>
      <c r="G300" s="3" t="inlineStr">
        <is>
          <t>HTTP 200; envelope status becomes signed/completed.</t>
        </is>
      </c>
      <c r="H300" s="3" t="inlineStr"/>
      <c r="I300" s="3" t="inlineStr"/>
      <c r="J300" s="3" t="inlineStr"/>
    </row>
    <row r="301">
      <c r="A301" s="4" t="inlineStr">
        <is>
          <t>TC-065</t>
        </is>
      </c>
      <c r="B301" s="4" t="inlineStr">
        <is>
          <t>VER-05</t>
        </is>
      </c>
      <c r="C301" s="4" t="inlineStr">
        <is>
          <t>An envelope is sent, signed, and the count reflects it</t>
        </is>
      </c>
      <c r="D301" s="4" t="inlineStr">
        <is>
          <t>Positive</t>
        </is>
      </c>
      <c r="E301" s="16" t="n">
        <v>4</v>
      </c>
      <c r="F301" s="4" t="inlineStr">
        <is>
          <t>Check the card again.</t>
        </is>
      </c>
      <c r="G301" s="4" t="inlineStr">
        <is>
          <t>awaitingSignature is 0.</t>
        </is>
      </c>
      <c r="H301" s="4" t="inlineStr"/>
      <c r="I301" s="4" t="inlineStr"/>
      <c r="J301" s="4" t="inlineStr"/>
    </row>
    <row r="302">
      <c r="A302" s="3" t="inlineStr">
        <is>
          <t>TC-065</t>
        </is>
      </c>
      <c r="B302" s="3" t="inlineStr">
        <is>
          <t>VER-05</t>
        </is>
      </c>
      <c r="C302" s="3" t="inlineStr">
        <is>
          <t>An envelope is sent, signed, and the count reflects it</t>
        </is>
      </c>
      <c r="D302" s="3" t="inlineStr">
        <is>
          <t>Positive</t>
        </is>
      </c>
      <c r="E302" s="11" t="n">
        <v>5</v>
      </c>
      <c r="F302" s="3" t="inlineStr">
        <is>
          <t>Attempt to sign again with the same token.</t>
        </is>
      </c>
      <c r="G302" s="3" t="inlineStr">
        <is>
          <t>Refused — a token is single-use.</t>
        </is>
      </c>
      <c r="H302" s="3" t="inlineStr"/>
      <c r="I302" s="3" t="inlineStr"/>
      <c r="J302" s="3" t="inlineStr"/>
    </row>
    <row r="303">
      <c r="A303" s="13" t="inlineStr">
        <is>
          <t>TC-066</t>
        </is>
      </c>
      <c r="B303" s="13" t="inlineStr">
        <is>
          <t>VER-05</t>
        </is>
      </c>
      <c r="C303" s="13" t="inlineStr">
        <is>
          <t>A declined or voided envelope cannot be signed</t>
        </is>
      </c>
      <c r="D303" s="13" t="inlineStr">
        <is>
          <t>Negative</t>
        </is>
      </c>
      <c r="E303" s="14" t="n">
        <v>1</v>
      </c>
      <c r="F303" s="13" t="inlineStr">
        <is>
          <t>Decline the envelope as the signer.</t>
        </is>
      </c>
      <c r="G303" s="13" t="inlineStr">
        <is>
          <t>Status becomes declined.</t>
        </is>
      </c>
      <c r="H303" s="13" t="inlineStr"/>
      <c r="I303" s="13" t="inlineStr"/>
      <c r="J303" s="13" t="inlineStr"/>
    </row>
    <row r="304">
      <c r="A304" s="13" t="inlineStr">
        <is>
          <t>TC-066</t>
        </is>
      </c>
      <c r="B304" s="13" t="inlineStr">
        <is>
          <t>VER-05</t>
        </is>
      </c>
      <c r="C304" s="13" t="inlineStr">
        <is>
          <t>A declined or voided envelope cannot be signed</t>
        </is>
      </c>
      <c r="D304" s="13" t="inlineStr">
        <is>
          <t>Negative</t>
        </is>
      </c>
      <c r="E304" s="14" t="n">
        <v>2</v>
      </c>
      <c r="F304" s="13" t="inlineStr">
        <is>
          <t>Attempt to sign it with the same token.</t>
        </is>
      </c>
      <c r="G304" s="13" t="inlineStr">
        <is>
          <t>Refused.</t>
        </is>
      </c>
      <c r="H304" s="13" t="inlineStr"/>
      <c r="I304" s="13" t="inlineStr"/>
      <c r="J304" s="13" t="inlineStr"/>
    </row>
    <row r="305">
      <c r="A305" s="13" t="inlineStr">
        <is>
          <t>TC-066</t>
        </is>
      </c>
      <c r="B305" s="13" t="inlineStr">
        <is>
          <t>VER-05</t>
        </is>
      </c>
      <c r="C305" s="13" t="inlineStr">
        <is>
          <t>A declined or voided envelope cannot be signed</t>
        </is>
      </c>
      <c r="D305" s="13" t="inlineStr">
        <is>
          <t>Negative</t>
        </is>
      </c>
      <c r="E305" s="14" t="n">
        <v>3</v>
      </c>
      <c r="F305" s="13" t="inlineStr">
        <is>
          <t>Void a different envelope as an admin, then attempt to sign it.</t>
        </is>
      </c>
      <c r="G305" s="13" t="inlineStr">
        <is>
          <t>Refused.</t>
        </is>
      </c>
      <c r="H305" s="13" t="inlineStr"/>
      <c r="I305" s="13" t="inlineStr"/>
      <c r="J305" s="13" t="inlineStr"/>
    </row>
    <row r="306">
      <c r="A306" s="13" t="inlineStr">
        <is>
          <t>TC-066</t>
        </is>
      </c>
      <c r="B306" s="13" t="inlineStr">
        <is>
          <t>VER-05</t>
        </is>
      </c>
      <c r="C306" s="13" t="inlineStr">
        <is>
          <t>A declined or voided envelope cannot be signed</t>
        </is>
      </c>
      <c r="D306" s="13" t="inlineStr">
        <is>
          <t>Negative</t>
        </is>
      </c>
      <c r="E306" s="14" t="n">
        <v>4</v>
      </c>
      <c r="F306" s="13" t="inlineStr">
        <is>
          <t>Attempt to sign an envelope whose expiry has passed.</t>
        </is>
      </c>
      <c r="G306" s="13" t="inlineStr">
        <is>
          <t>Refused as expired — and the expiry flip persists, so a second read agrees.</t>
        </is>
      </c>
      <c r="H306" s="13" t="inlineStr"/>
      <c r="I306" s="13" t="inlineStr"/>
      <c r="J306" s="13" t="inlineStr"/>
    </row>
    <row r="307">
      <c r="A307" s="13" t="inlineStr">
        <is>
          <t>TC-067</t>
        </is>
      </c>
      <c r="B307" s="13" t="inlineStr">
        <is>
          <t>VER-06</t>
        </is>
      </c>
      <c r="C307" s="13" t="inlineStr">
        <is>
          <t>The trial expires and converts to read-only</t>
        </is>
      </c>
      <c r="D307" s="13" t="inlineStr">
        <is>
          <t>Negative</t>
        </is>
      </c>
      <c r="E307" s="14" t="n">
        <v>1</v>
      </c>
      <c r="F307" s="13" t="inlineStr">
        <is>
          <t>Read the billing view on day 1.</t>
        </is>
      </c>
      <c r="G307" s="13" t="inlineStr">
        <is>
          <t>Status trial with days remaining counting down.</t>
        </is>
      </c>
      <c r="H307" s="13" t="inlineStr"/>
      <c r="I307" s="13" t="inlineStr"/>
      <c r="J307" s="13" t="inlineStr"/>
    </row>
    <row r="308">
      <c r="A308" s="13" t="inlineStr">
        <is>
          <t>TC-067</t>
        </is>
      </c>
      <c r="B308" s="13" t="inlineStr">
        <is>
          <t>VER-06</t>
        </is>
      </c>
      <c r="C308" s="13" t="inlineStr">
        <is>
          <t>The trial expires and converts to read-only</t>
        </is>
      </c>
      <c r="D308" s="13" t="inlineStr">
        <is>
          <t>Negative</t>
        </is>
      </c>
      <c r="E308" s="14" t="n">
        <v>2</v>
      </c>
      <c r="F308" s="13" t="inlineStr">
        <is>
          <t>Advance past the 14-day trial (or use a seeded account).</t>
        </is>
      </c>
      <c r="G308" s="13" t="inlineStr">
        <is>
          <t>Status reports trial_expired.</t>
        </is>
      </c>
      <c r="H308" s="13" t="inlineStr"/>
      <c r="I308" s="13" t="inlineStr"/>
      <c r="J308" s="13" t="inlineStr"/>
    </row>
    <row r="309">
      <c r="A309" s="13" t="inlineStr">
        <is>
          <t>TC-067</t>
        </is>
      </c>
      <c r="B309" s="13" t="inlineStr">
        <is>
          <t>VER-06</t>
        </is>
      </c>
      <c r="C309" s="13" t="inlineStr">
        <is>
          <t>The trial expires and converts to read-only</t>
        </is>
      </c>
      <c r="D309" s="13" t="inlineStr">
        <is>
          <t>Negative</t>
        </is>
      </c>
      <c r="E309" s="14" t="n">
        <v>3</v>
      </c>
      <c r="F309" s="13" t="inlineStr">
        <is>
          <t>Attempt a write, e.g. create a price book.</t>
        </is>
      </c>
      <c r="G309" s="13" t="inlineStr">
        <is>
          <t>Refused — read-only.</t>
        </is>
      </c>
      <c r="H309" s="13" t="inlineStr"/>
      <c r="I309" s="13" t="inlineStr"/>
      <c r="J309" s="13" t="inlineStr"/>
    </row>
    <row r="310">
      <c r="A310" s="13" t="inlineStr">
        <is>
          <t>TC-067</t>
        </is>
      </c>
      <c r="B310" s="13" t="inlineStr">
        <is>
          <t>VER-06</t>
        </is>
      </c>
      <c r="C310" s="13" t="inlineStr">
        <is>
          <t>The trial expires and converts to read-only</t>
        </is>
      </c>
      <c r="D310" s="13" t="inlineStr">
        <is>
          <t>Negative</t>
        </is>
      </c>
      <c r="E310" s="14" t="n">
        <v>4</v>
      </c>
      <c r="F310" s="13" t="inlineStr">
        <is>
          <t>Attempt a read.</t>
        </is>
      </c>
      <c r="G310" s="13" t="inlineStr">
        <is>
          <t>Succeeds.</t>
        </is>
      </c>
      <c r="H310" s="13" t="inlineStr"/>
      <c r="I310" s="13" t="inlineStr"/>
      <c r="J310" s="13" t="inlineStr"/>
    </row>
    <row r="311">
      <c r="A311" s="13" t="inlineStr">
        <is>
          <t>TC-067</t>
        </is>
      </c>
      <c r="B311" s="13" t="inlineStr">
        <is>
          <t>VER-06</t>
        </is>
      </c>
      <c r="C311" s="13" t="inlineStr">
        <is>
          <t>The trial expires and converts to read-only</t>
        </is>
      </c>
      <c r="D311" s="13" t="inlineStr">
        <is>
          <t>Negative</t>
        </is>
      </c>
      <c r="E311" s="14" t="n">
        <v>5</v>
      </c>
      <c r="F311" s="13" t="inlineStr">
        <is>
          <t>Subscribe to a plan.</t>
        </is>
      </c>
      <c r="G311" s="13" t="inlineStr">
        <is>
          <t>Writes work again.</t>
        </is>
      </c>
      <c r="H311" s="13" t="inlineStr"/>
      <c r="I311" s="13" t="inlineStr"/>
      <c r="J311" s="13" t="inlineStr"/>
    </row>
    <row r="312">
      <c r="A312" s="13" t="inlineStr">
        <is>
          <t>TC-068</t>
        </is>
      </c>
      <c r="B312" s="13" t="inlineStr">
        <is>
          <t>VER-06</t>
        </is>
      </c>
      <c r="C312" s="13" t="inlineStr">
        <is>
          <t>Pushing the same quote twice does not duplicate line items</t>
        </is>
      </c>
      <c r="D312" s="13" t="inlineStr">
        <is>
          <t>Negative</t>
        </is>
      </c>
      <c r="E312" s="14" t="n">
        <v>1</v>
      </c>
      <c r="F312" s="13" t="inlineStr">
        <is>
          <t>Push the quote to the deal.</t>
        </is>
      </c>
      <c r="G312" s="13" t="inlineStr">
        <is>
          <t>A sync run is recorded as synced.</t>
        </is>
      </c>
      <c r="H312" s="13" t="inlineStr"/>
      <c r="I312" s="13" t="inlineStr"/>
      <c r="J312" s="13" t="inlineStr"/>
    </row>
    <row r="313">
      <c r="A313" s="13" t="inlineStr">
        <is>
          <t>TC-068</t>
        </is>
      </c>
      <c r="B313" s="13" t="inlineStr">
        <is>
          <t>VER-06</t>
        </is>
      </c>
      <c r="C313" s="13" t="inlineStr">
        <is>
          <t>Pushing the same quote twice does not duplicate line items</t>
        </is>
      </c>
      <c r="D313" s="13" t="inlineStr">
        <is>
          <t>Negative</t>
        </is>
      </c>
      <c r="E313" s="14" t="n">
        <v>2</v>
      </c>
      <c r="F313" s="13" t="inlineStr">
        <is>
          <t>Push the identical quote to the same deal again.</t>
        </is>
      </c>
      <c r="G313" s="13" t="inlineStr">
        <is>
          <t>The run is recorded as SKIPPED with a reason naming the earlier run — no second write.</t>
        </is>
      </c>
      <c r="H313" s="13" t="inlineStr"/>
      <c r="I313" s="13" t="inlineStr"/>
      <c r="J313" s="13" t="inlineStr"/>
    </row>
    <row r="314">
      <c r="A314" s="13" t="inlineStr">
        <is>
          <t>TC-068</t>
        </is>
      </c>
      <c r="B314" s="13" t="inlineStr">
        <is>
          <t>VER-06</t>
        </is>
      </c>
      <c r="C314" s="13" t="inlineStr">
        <is>
          <t>Pushing the same quote twice does not duplicate line items</t>
        </is>
      </c>
      <c r="D314" s="13" t="inlineStr">
        <is>
          <t>Negative</t>
        </is>
      </c>
      <c r="E314" s="14" t="n">
        <v>3</v>
      </c>
      <c r="F314" s="13" t="inlineStr">
        <is>
          <t>Change one line and push again.</t>
        </is>
      </c>
      <c r="G314" s="13" t="inlineStr">
        <is>
          <t>It syncs: the idempotency key is over the quote content, not the deal.</t>
        </is>
      </c>
      <c r="H314" s="13" t="inlineStr"/>
      <c r="I314" s="13" t="inlineStr"/>
      <c r="J314" s="13" t="inlineStr"/>
    </row>
    <row r="315">
      <c r="A315" s="13" t="inlineStr">
        <is>
          <t>TC-068</t>
        </is>
      </c>
      <c r="B315" s="13" t="inlineStr">
        <is>
          <t>VER-06</t>
        </is>
      </c>
      <c r="C315" s="13" t="inlineStr">
        <is>
          <t>Pushing the same quote twice does not duplicate line items</t>
        </is>
      </c>
      <c r="D315" s="13" t="inlineStr">
        <is>
          <t>Negative</t>
        </is>
      </c>
      <c r="E315" s="14" t="n">
        <v>4</v>
      </c>
      <c r="F315" s="13" t="inlineStr">
        <is>
          <t>Push a quote below the configured minimum total.</t>
        </is>
      </c>
      <c r="G315" s="13" t="inlineStr">
        <is>
          <t>Skipped with a threshold reason.</t>
        </is>
      </c>
      <c r="H315" s="13" t="inlineStr"/>
      <c r="I315" s="13" t="inlineStr"/>
      <c r="J315" s="13" t="inlineStr"/>
    </row>
    <row r="316">
      <c r="A316" s="13" t="inlineStr">
        <is>
          <t>TC-068</t>
        </is>
      </c>
      <c r="B316" s="13" t="inlineStr">
        <is>
          <t>VER-06</t>
        </is>
      </c>
      <c r="C316" s="13" t="inlineStr">
        <is>
          <t>Pushing the same quote twice does not duplicate line items</t>
        </is>
      </c>
      <c r="D316" s="13" t="inlineStr">
        <is>
          <t>Negative</t>
        </is>
      </c>
      <c r="E316" s="14" t="n">
        <v>5</v>
      </c>
      <c r="F316" s="13" t="inlineStr">
        <is>
          <t>Push to a deal in an excluded pipeline stage.</t>
        </is>
      </c>
      <c r="G316" s="13" t="inlineStr">
        <is>
          <t>Skipped naming the stage.</t>
        </is>
      </c>
      <c r="H316" s="13" t="inlineStr"/>
      <c r="I316" s="13" t="inlineStr"/>
      <c r="J316" s="13" t="inlineStr"/>
    </row>
    <row r="317">
      <c r="A317" s="13" t="inlineStr">
        <is>
          <t>TC-069</t>
        </is>
      </c>
      <c r="B317" s="13" t="inlineStr">
        <is>
          <t>VER-07</t>
        </is>
      </c>
      <c r="C317" s="13" t="inlineStr">
        <is>
          <t>The launch preflight reads live state, not constants</t>
        </is>
      </c>
      <c r="D317" s="13" t="inlineStr">
        <is>
          <t>Negative</t>
        </is>
      </c>
      <c r="E317" s="14" t="n">
        <v>1</v>
      </c>
      <c r="F317" s="13" t="inlineStr">
        <is>
          <t>Call the launch preflight with billing credentials absent.</t>
        </is>
      </c>
      <c r="G317" s="13" t="inlineStr">
        <is>
          <t>It returns no_go and names billing as the reason.</t>
        </is>
      </c>
      <c r="H317" s="13" t="inlineStr"/>
      <c r="I317" s="13" t="inlineStr"/>
      <c r="J317" s="13" t="inlineStr"/>
    </row>
    <row r="318">
      <c r="A318" s="13" t="inlineStr">
        <is>
          <t>TC-069</t>
        </is>
      </c>
      <c r="B318" s="13" t="inlineStr">
        <is>
          <t>VER-07</t>
        </is>
      </c>
      <c r="C318" s="13" t="inlineStr">
        <is>
          <t>The launch preflight reads live state, not constants</t>
        </is>
      </c>
      <c r="D318" s="13" t="inlineStr">
        <is>
          <t>Negative</t>
        </is>
      </c>
      <c r="E318" s="14" t="n">
        <v>2</v>
      </c>
      <c r="F318" s="13" t="inlineStr">
        <is>
          <t>Introduce a real failure — e.g. make a sync run fail — and re-check the public status page.</t>
        </is>
      </c>
      <c r="G318" s="13" t="inlineStr">
        <is>
          <t>It reflects the failure rather than reporting healthy.</t>
        </is>
      </c>
      <c r="H318" s="13" t="inlineStr"/>
      <c r="I318" s="13" t="inlineStr"/>
      <c r="J318" s="13" t="inlineStr"/>
    </row>
    <row r="319">
      <c r="A319" s="13" t="inlineStr">
        <is>
          <t>TC-069</t>
        </is>
      </c>
      <c r="B319" s="13" t="inlineStr">
        <is>
          <t>VER-07</t>
        </is>
      </c>
      <c r="C319" s="13" t="inlineStr">
        <is>
          <t>The launch preflight reads live state, not constants</t>
        </is>
      </c>
      <c r="D319" s="13" t="inlineStr">
        <is>
          <t>Negative</t>
        </is>
      </c>
      <c r="E319" s="14" t="n">
        <v>3</v>
      </c>
      <c r="F319" s="13" t="inlineStr">
        <is>
          <t>Resolve the failure and re-check.</t>
        </is>
      </c>
      <c r="G319" s="13" t="inlineStr">
        <is>
          <t>It returns to healthy.</t>
        </is>
      </c>
      <c r="H319" s="13" t="inlineStr"/>
      <c r="I319" s="13" t="inlineStr"/>
      <c r="J319" s="13" t="inlineStr"/>
    </row>
    <row r="320">
      <c r="A320" s="13" t="inlineStr">
        <is>
          <t>TC-069</t>
        </is>
      </c>
      <c r="B320" s="13" t="inlineStr">
        <is>
          <t>VER-07</t>
        </is>
      </c>
      <c r="C320" s="13" t="inlineStr">
        <is>
          <t>The launch preflight reads live state, not constants</t>
        </is>
      </c>
      <c r="D320" s="13" t="inlineStr">
        <is>
          <t>Negative</t>
        </is>
      </c>
      <c r="E320" s="14" t="n">
        <v>4</v>
      </c>
      <c r="F320" s="13" t="inlineStr">
        <is>
          <t>Read the status page for tenant-identifying data.</t>
        </is>
      </c>
      <c r="G320" s="13" t="inlineStr">
        <is>
          <t>None is exposed — it aggregates fleet-wide.</t>
        </is>
      </c>
      <c r="H320" s="13" t="inlineStr"/>
      <c r="I320" s="13" t="inlineStr"/>
      <c r="J320" s="13" t="inlineStr"/>
    </row>
    <row r="321">
      <c r="A321" s="4" t="inlineStr">
        <is>
          <t>TC-070</t>
        </is>
      </c>
      <c r="B321" s="4" t="inlineStr">
        <is>
          <t>VER-10</t>
        </is>
      </c>
      <c r="C321" s="4" t="inlineStr">
        <is>
          <t>Both backends behave identically</t>
        </is>
      </c>
      <c r="D321" s="4" t="inlineStr">
        <is>
          <t>Positive</t>
        </is>
      </c>
      <c r="E321" s="16" t="n">
        <v>1</v>
      </c>
      <c r="F321" s="4" t="inlineStr">
        <is>
          <t>Run the app with DATABASE_URL unset and perform a representative write in each module.</t>
        </is>
      </c>
      <c r="G321" s="4" t="inlineStr">
        <is>
          <t>All succeed.</t>
        </is>
      </c>
      <c r="H321" s="4" t="inlineStr"/>
      <c r="I321" s="4" t="inlineStr"/>
      <c r="J321" s="4" t="inlineStr"/>
    </row>
    <row r="322">
      <c r="A322" s="3" t="inlineStr">
        <is>
          <t>TC-070</t>
        </is>
      </c>
      <c r="B322" s="3" t="inlineStr">
        <is>
          <t>VER-10</t>
        </is>
      </c>
      <c r="C322" s="3" t="inlineStr">
        <is>
          <t>Both backends behave identically</t>
        </is>
      </c>
      <c r="D322" s="3" t="inlineStr">
        <is>
          <t>Positive</t>
        </is>
      </c>
      <c r="E322" s="11" t="n">
        <v>2</v>
      </c>
      <c r="F322" s="3" t="inlineStr">
        <is>
          <t>Record the exact responses.</t>
        </is>
      </c>
      <c r="G322" s="3" t="inlineStr">
        <is>
          <t>Baseline captured.</t>
        </is>
      </c>
      <c r="H322" s="3" t="inlineStr"/>
      <c r="I322" s="3" t="inlineStr"/>
      <c r="J322" s="3" t="inlineStr"/>
    </row>
    <row r="323">
      <c r="A323" s="4" t="inlineStr">
        <is>
          <t>TC-070</t>
        </is>
      </c>
      <c r="B323" s="4" t="inlineStr">
        <is>
          <t>VER-10</t>
        </is>
      </c>
      <c r="C323" s="4" t="inlineStr">
        <is>
          <t>Both backends behave identically</t>
        </is>
      </c>
      <c r="D323" s="4" t="inlineStr">
        <is>
          <t>Positive</t>
        </is>
      </c>
      <c r="E323" s="16" t="n">
        <v>3</v>
      </c>
      <c r="F323" s="4" t="inlineStr">
        <is>
          <t>Restart with DATABASE_URL set to a real Postgres and repeat the identical calls.</t>
        </is>
      </c>
      <c r="G323" s="4" t="inlineStr">
        <is>
          <t>Same status codes and same response shapes.</t>
        </is>
      </c>
      <c r="H323" s="4" t="inlineStr"/>
      <c r="I323" s="4" t="inlineStr"/>
      <c r="J323" s="4" t="inlineStr"/>
    </row>
    <row r="324">
      <c r="A324" s="3" t="inlineStr">
        <is>
          <t>TC-070</t>
        </is>
      </c>
      <c r="B324" s="3" t="inlineStr">
        <is>
          <t>VER-10</t>
        </is>
      </c>
      <c r="C324" s="3" t="inlineStr">
        <is>
          <t>Both backends behave identically</t>
        </is>
      </c>
      <c r="D324" s="3" t="inlineStr">
        <is>
          <t>Positive</t>
        </is>
      </c>
      <c r="E324" s="11" t="n">
        <v>4</v>
      </c>
      <c r="F324" s="3" t="inlineStr">
        <is>
          <t>Compare optional fields that were omitted on the way in.</t>
        </is>
      </c>
      <c r="G324" s="3" t="inlineStr">
        <is>
          <t>They come back absent on both, not as the string "null" on one.</t>
        </is>
      </c>
      <c r="H324" s="3" t="inlineStr"/>
      <c r="I324" s="3" t="inlineStr"/>
      <c r="J324" s="3" t="inlineStr"/>
    </row>
    <row r="325">
      <c r="A325" s="4" t="inlineStr">
        <is>
          <t>TC-070</t>
        </is>
      </c>
      <c r="B325" s="4" t="inlineStr">
        <is>
          <t>VER-10</t>
        </is>
      </c>
      <c r="C325" s="4" t="inlineStr">
        <is>
          <t>Both backends behave identically</t>
        </is>
      </c>
      <c r="D325" s="4" t="inlineStr">
        <is>
          <t>Positive</t>
        </is>
      </c>
      <c r="E325" s="16" t="n">
        <v>5</v>
      </c>
      <c r="F325" s="4" t="inlineStr">
        <is>
          <t>Restart the Postgres-backed app and re-read.</t>
        </is>
      </c>
      <c r="G325" s="4" t="inlineStr">
        <is>
          <t>Data survives — the only difference between the backends is durability.</t>
        </is>
      </c>
      <c r="H325" s="4" t="inlineStr"/>
      <c r="I325" s="4" t="inlineStr"/>
      <c r="J325" s="4" t="inlineStr"/>
    </row>
    <row r="326">
      <c r="A326" s="13" t="inlineStr">
        <is>
          <t>TC-071</t>
        </is>
      </c>
      <c r="B326" s="13" t="inlineStr">
        <is>
          <t>VER-08</t>
        </is>
      </c>
      <c r="C326" s="13" t="inlineStr">
        <is>
          <t>The four critical defects of pass 1 stay fixed</t>
        </is>
      </c>
      <c r="D326" s="13" t="inlineStr">
        <is>
          <t>Negative</t>
        </is>
      </c>
      <c r="E326" s="14" t="n">
        <v>1</v>
      </c>
      <c r="F326" s="13" t="inlineStr">
        <is>
          <t>F-Q01: request delete-my-data and then query EVERY store for that portal.</t>
        </is>
      </c>
      <c r="G326" s="13" t="inlineStr">
        <is>
          <t>Zero rows everywhere — no store is left behind.</t>
        </is>
      </c>
      <c r="H326" s="13" t="inlineStr"/>
      <c r="I326" s="13" t="inlineStr"/>
      <c r="J326" s="13" t="inlineStr"/>
    </row>
    <row r="327">
      <c r="A327" s="13" t="inlineStr">
        <is>
          <t>TC-071</t>
        </is>
      </c>
      <c r="B327" s="13" t="inlineStr">
        <is>
          <t>VER-08</t>
        </is>
      </c>
      <c r="C327" s="13" t="inlineStr">
        <is>
          <t>The four critical defects of pass 1 stay fixed</t>
        </is>
      </c>
      <c r="D327" s="13" t="inlineStr">
        <is>
          <t>Negative</t>
        </is>
      </c>
      <c r="E327" s="14" t="n">
        <v>2</v>
      </c>
      <c r="F327" s="13" t="inlineStr">
        <is>
          <t>F-Q02: start the application the way the deploy workflow does.</t>
        </is>
      </c>
      <c r="G327" s="13" t="inlineStr">
        <is>
          <t>A process starts and listens; it does not exit immediately.</t>
        </is>
      </c>
      <c r="H327" s="13" t="inlineStr"/>
      <c r="I327" s="13" t="inlineStr"/>
      <c r="J327" s="13" t="inlineStr"/>
    </row>
    <row r="328">
      <c r="A328" s="13" t="inlineStr">
        <is>
          <t>TC-071</t>
        </is>
      </c>
      <c r="B328" s="13" t="inlineStr">
        <is>
          <t>VER-08</t>
        </is>
      </c>
      <c r="C328" s="13" t="inlineStr">
        <is>
          <t>The four critical defects of pass 1 stay fixed</t>
        </is>
      </c>
      <c r="D328" s="13" t="inlineStr">
        <is>
          <t>Negative</t>
        </is>
      </c>
      <c r="E328" s="14" t="n">
        <v>3</v>
      </c>
      <c r="F328" s="13" t="inlineStr">
        <is>
          <t>F-Q03: call an API route with unsigned X-QF-Portal-Id / X-QF-User-Id headers.</t>
        </is>
      </c>
      <c r="G328" s="13" t="inlineStr">
        <is>
          <t>HTTP 401 — caller-declared identity is refused.</t>
        </is>
      </c>
      <c r="H328" s="13" t="inlineStr"/>
      <c r="I328" s="13" t="inlineStr"/>
      <c r="J328" s="13" t="inlineStr"/>
    </row>
    <row r="329">
      <c r="A329" s="13" t="inlineStr">
        <is>
          <t>TC-071</t>
        </is>
      </c>
      <c r="B329" s="13" t="inlineStr">
        <is>
          <t>VER-08</t>
        </is>
      </c>
      <c r="C329" s="13" t="inlineStr">
        <is>
          <t>The four critical defects of pass 1 stay fixed</t>
        </is>
      </c>
      <c r="D329" s="13" t="inlineStr">
        <is>
          <t>Negative</t>
        </is>
      </c>
      <c r="E329" s="14" t="n">
        <v>4</v>
      </c>
      <c r="F329" s="13" t="inlineStr">
        <is>
          <t>F-Q04: read the billing view for an expired trial.</t>
        </is>
      </c>
      <c r="G329" s="13" t="inlineStr">
        <is>
          <t>It reports read-only rather than granting perpetual free use.</t>
        </is>
      </c>
      <c r="H329" s="13" t="inlineStr"/>
      <c r="I329" s="13" t="inlineStr"/>
      <c r="J329" s="13" t="inlineStr"/>
    </row>
    <row r="330">
      <c r="A330" s="13" t="inlineStr">
        <is>
          <t>TC-072</t>
        </is>
      </c>
      <c r="B330" s="13" t="inlineStr">
        <is>
          <t>VER-09</t>
        </is>
      </c>
      <c r="C330" s="13" t="inlineStr">
        <is>
          <t>Published controls still have code behind them</t>
        </is>
      </c>
      <c r="D330" s="13" t="inlineStr">
        <is>
          <t>Negative</t>
        </is>
      </c>
      <c r="E330" s="14" t="n">
        <v>1</v>
      </c>
      <c r="F330" s="13" t="inlineStr">
        <is>
          <t>Retention: age data past the retention boundary and run the sweep.</t>
        </is>
      </c>
      <c r="G330" s="13" t="inlineStr">
        <is>
          <t>It is actually deleted — the policy is enforced, not merely published.</t>
        </is>
      </c>
      <c r="H330" s="13" t="inlineStr"/>
      <c r="I330" s="13" t="inlineStr"/>
      <c r="J330" s="13" t="inlineStr"/>
    </row>
    <row r="331">
      <c r="A331" s="13" t="inlineStr">
        <is>
          <t>TC-072</t>
        </is>
      </c>
      <c r="B331" s="13" t="inlineStr">
        <is>
          <t>VER-09</t>
        </is>
      </c>
      <c r="C331" s="13" t="inlineStr">
        <is>
          <t>Published controls still have code behind them</t>
        </is>
      </c>
      <c r="D331" s="13" t="inlineStr">
        <is>
          <t>Negative</t>
        </is>
      </c>
      <c r="E331" s="14" t="n">
        <v>2</v>
      </c>
      <c r="F331" s="13" t="inlineStr">
        <is>
          <t>Redaction: exercise the redaction control.</t>
        </is>
      </c>
      <c r="G331" s="13" t="inlineStr">
        <is>
          <t>It has call sites and takes effect; it is not an unreferenced function.</t>
        </is>
      </c>
      <c r="H331" s="13" t="inlineStr"/>
      <c r="I331" s="13" t="inlineStr"/>
      <c r="J331" s="13" t="inlineStr"/>
    </row>
    <row r="332">
      <c r="A332" s="13" t="inlineStr">
        <is>
          <t>TC-072</t>
        </is>
      </c>
      <c r="B332" s="13" t="inlineStr">
        <is>
          <t>VER-09</t>
        </is>
      </c>
      <c r="C332" s="13" t="inlineStr">
        <is>
          <t>Published controls still have code behind them</t>
        </is>
      </c>
      <c r="D332" s="13" t="inlineStr">
        <is>
          <t>Negative</t>
        </is>
      </c>
      <c r="E332" s="14" t="n">
        <v>3</v>
      </c>
      <c r="F332" s="13" t="inlineStr">
        <is>
          <t>Breaker: force repeated failures on a READ path.</t>
        </is>
      </c>
      <c r="G332" s="13" t="inlineStr">
        <is>
          <t>The breaker opens for reads too, not only writes.</t>
        </is>
      </c>
      <c r="H332" s="13" t="inlineStr"/>
      <c r="I332" s="13" t="inlineStr"/>
      <c r="J332" s="13" t="inlineStr"/>
    </row>
    <row r="333">
      <c r="A333" s="13" t="inlineStr">
        <is>
          <t>TC-072</t>
        </is>
      </c>
      <c r="B333" s="13" t="inlineStr">
        <is>
          <t>VER-09</t>
        </is>
      </c>
      <c r="C333" s="13" t="inlineStr">
        <is>
          <t>Published controls still have code behind them</t>
        </is>
      </c>
      <c r="D333" s="13" t="inlineStr">
        <is>
          <t>Negative</t>
        </is>
      </c>
      <c r="E333" s="14" t="n">
        <v>4</v>
      </c>
      <c r="F333" s="13" t="inlineStr">
        <is>
          <t>Signatures: submit a webhook with a timestamp in the future.</t>
        </is>
      </c>
      <c r="G333" s="13" t="inlineStr">
        <is>
          <t>Refused — future-dated requests are not replayable.</t>
        </is>
      </c>
      <c r="H333" s="13" t="inlineStr"/>
      <c r="I333" s="13" t="inlineStr"/>
      <c r="J333" s="13" t="inlineStr"/>
    </row>
    <row r="334">
      <c r="A334" s="13" t="inlineStr">
        <is>
          <t>TC-072</t>
        </is>
      </c>
      <c r="B334" s="13" t="inlineStr">
        <is>
          <t>VER-09</t>
        </is>
      </c>
      <c r="C334" s="13" t="inlineStr">
        <is>
          <t>Published controls still have code behind them</t>
        </is>
      </c>
      <c r="D334" s="13" t="inlineStr">
        <is>
          <t>Negative</t>
        </is>
      </c>
      <c r="E334" s="14" t="n">
        <v>5</v>
      </c>
      <c r="F334" s="13" t="inlineStr">
        <is>
          <t>Vendor surfaces: call each /api/ops/* route with a tenant owner session and no ops token.</t>
        </is>
      </c>
      <c r="G334" s="13" t="inlineStr">
        <is>
          <t>All refused.</t>
        </is>
      </c>
      <c r="H334" s="13" t="inlineStr"/>
      <c r="I334" s="13" t="inlineStr"/>
      <c r="J334" s="13" t="inlineStr"/>
    </row>
  </sheetData>
  <autoFilter ref="A3:J3"/>
  <mergeCells count="2">
    <mergeCell ref="A1:J1"/>
    <mergeCell ref="A2:J2"/>
  </mergeCells>
  <dataValidations count="1">
    <dataValidation sqref="I4:I334"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tabColor rgb="001F3864"/>
    <outlinePr summaryBelow="1" summaryRight="1"/>
    <pageSetUpPr/>
  </sheetPr>
  <dimension ref="A1:J32"/>
  <sheetViews>
    <sheetView workbookViewId="0">
      <pane ySplit="3" topLeftCell="A4" activePane="bottomLeft" state="frozen"/>
      <selection pane="bottomLeft" activeCell="A1" sqref="A1"/>
    </sheetView>
  </sheetViews>
  <sheetFormatPr baseColWidth="8" defaultRowHeight="15"/>
  <cols>
    <col width="11" customWidth="1" min="1" max="1"/>
    <col width="44" customWidth="1" min="2" max="2"/>
    <col width="12" customWidth="1" min="3" max="3"/>
    <col width="8" customWidth="1" min="4" max="4"/>
    <col width="9" customWidth="1" min="5" max="5"/>
    <col width="9" customWidth="1" min="6" max="6"/>
    <col width="9" customWidth="1" min="7" max="7"/>
    <col width="40" customWidth="1" min="8" max="8"/>
    <col width="40" customWidth="1" min="9" max="9"/>
    <col width="24" customWidth="1" min="10" max="10"/>
  </cols>
  <sheetData>
    <row r="1" ht="24" customHeight="1">
      <c r="A1" s="1" t="inlineStr">
        <is>
          <t>TRACEABILITY — case → version → finding → evidence</t>
        </is>
      </c>
    </row>
    <row r="2" ht="42" customHeight="1">
      <c r="A2" s="2" t="inlineStr">
        <is>
          <t>Use at the end of a cycle to prove nothing was skipped. Every COMPLETED version carries at least one case, and every version with cases carries at least one negative one. Four pending versions carry no case, for a stated reason — see the note below the table.</t>
        </is>
      </c>
    </row>
    <row r="3" ht="30" customHeight="1">
      <c r="A3" s="7" t="inlineStr">
        <is>
          <t>Version ID</t>
        </is>
      </c>
      <c r="B3" s="7" t="inlineStr">
        <is>
          <t>Release</t>
        </is>
      </c>
      <c r="C3" s="7" t="inlineStr">
        <is>
          <t>Status</t>
        </is>
      </c>
      <c r="D3" s="7" t="inlineStr">
        <is>
          <t>Cases</t>
        </is>
      </c>
      <c r="E3" s="7" t="inlineStr">
        <is>
          <t>Positive</t>
        </is>
      </c>
      <c r="F3" s="7" t="inlineStr">
        <is>
          <t>Negative</t>
        </is>
      </c>
      <c r="G3" s="7" t="inlineStr">
        <is>
          <t>P0 cases</t>
        </is>
      </c>
      <c r="H3" s="7" t="inlineStr">
        <is>
          <t>Test IDs</t>
        </is>
      </c>
      <c r="I3" s="7" t="inlineStr">
        <is>
          <t>Findings / stories covered</t>
        </is>
      </c>
      <c r="J3" s="7" t="inlineStr">
        <is>
          <t>Evidence class reached</t>
        </is>
      </c>
    </row>
    <row r="4">
      <c r="A4" s="8" t="inlineStr">
        <is>
          <t>VER-01</t>
        </is>
      </c>
      <c r="B4" s="8" t="inlineStr">
        <is>
          <t>S1 — Foundation</t>
        </is>
      </c>
      <c r="C4" s="8" t="inlineStr">
        <is>
          <t>COMPLETED</t>
        </is>
      </c>
      <c r="D4" s="8" t="n">
        <v>4</v>
      </c>
      <c r="E4" s="8" t="n">
        <v>2</v>
      </c>
      <c r="F4" s="8" t="n">
        <v>2</v>
      </c>
      <c r="G4" s="8" t="n">
        <v>4</v>
      </c>
      <c r="H4" s="8" t="inlineStr">
        <is>
          <t>TC-001, TC-002, TC-003, TC-004</t>
        </is>
      </c>
      <c r="I4" s="8" t="inlineStr">
        <is>
          <t>ST-051/052/055/056</t>
        </is>
      </c>
      <c r="J4" s="8" t="inlineStr">
        <is>
          <t>CODE</t>
        </is>
      </c>
    </row>
    <row r="5">
      <c r="A5" s="8" t="inlineStr">
        <is>
          <t>VER-02</t>
        </is>
      </c>
      <c r="B5" s="8" t="inlineStr">
        <is>
          <t>S2 — Price book part 1</t>
        </is>
      </c>
      <c r="C5" s="8" t="inlineStr">
        <is>
          <t>COMPLETED</t>
        </is>
      </c>
      <c r="D5" s="8" t="n">
        <v>3</v>
      </c>
      <c r="E5" s="8" t="n">
        <v>2</v>
      </c>
      <c r="F5" s="8" t="n">
        <v>1</v>
      </c>
      <c r="G5" s="8" t="n">
        <v>3</v>
      </c>
      <c r="H5" s="8" t="inlineStr">
        <is>
          <t>TC-005, TC-006, TC-007</t>
        </is>
      </c>
      <c r="I5" s="8" t="inlineStr">
        <is>
          <t>ST-001..004, ST-053/054</t>
        </is>
      </c>
      <c r="J5" s="8" t="inlineStr">
        <is>
          <t>CODE</t>
        </is>
      </c>
    </row>
    <row r="6">
      <c r="A6" s="8" t="inlineStr">
        <is>
          <t>VER-03</t>
        </is>
      </c>
      <c r="B6" s="8" t="inlineStr">
        <is>
          <t>S3 — Price book part 2 + card</t>
        </is>
      </c>
      <c r="C6" s="8" t="inlineStr">
        <is>
          <t>COMPLETED</t>
        </is>
      </c>
      <c r="D6" s="8" t="n">
        <v>2</v>
      </c>
      <c r="E6" s="8" t="n">
        <v>1</v>
      </c>
      <c r="F6" s="8" t="n">
        <v>1</v>
      </c>
      <c r="G6" s="8" t="n">
        <v>0</v>
      </c>
      <c r="H6" s="8" t="inlineStr">
        <is>
          <t>TC-061, TC-062</t>
        </is>
      </c>
      <c r="I6" s="8" t="inlineStr">
        <is>
          <t>ST-005..010</t>
        </is>
      </c>
      <c r="J6" s="8" t="inlineStr">
        <is>
          <t>CODE</t>
        </is>
      </c>
    </row>
    <row r="7">
      <c r="A7" s="8" t="inlineStr">
        <is>
          <t>VER-04</t>
        </is>
      </c>
      <c r="B7" s="8" t="inlineStr">
        <is>
          <t>S4 — Approval chains</t>
        </is>
      </c>
      <c r="C7" s="8" t="inlineStr">
        <is>
          <t>COMPLETED</t>
        </is>
      </c>
      <c r="D7" s="8" t="n">
        <v>2</v>
      </c>
      <c r="E7" s="8" t="n">
        <v>1</v>
      </c>
      <c r="F7" s="8" t="n">
        <v>1</v>
      </c>
      <c r="G7" s="8" t="n">
        <v>1</v>
      </c>
      <c r="H7" s="8" t="inlineStr">
        <is>
          <t>TC-063, TC-064</t>
        </is>
      </c>
      <c r="I7" s="8" t="inlineStr">
        <is>
          <t>ST-011..015</t>
        </is>
      </c>
      <c r="J7" s="8" t="inlineStr">
        <is>
          <t>CODE</t>
        </is>
      </c>
    </row>
    <row r="8">
      <c r="A8" s="8" t="inlineStr">
        <is>
          <t>VER-05</t>
        </is>
      </c>
      <c r="B8" s="8" t="inlineStr">
        <is>
          <t>S5 — E-signature + alpha hardening</t>
        </is>
      </c>
      <c r="C8" s="8" t="inlineStr">
        <is>
          <t>COMPLETED</t>
        </is>
      </c>
      <c r="D8" s="8" t="n">
        <v>2</v>
      </c>
      <c r="E8" s="8" t="n">
        <v>1</v>
      </c>
      <c r="F8" s="8" t="n">
        <v>1</v>
      </c>
      <c r="G8" s="8" t="n">
        <v>0</v>
      </c>
      <c r="H8" s="8" t="inlineStr">
        <is>
          <t>TC-065, TC-066</t>
        </is>
      </c>
      <c r="I8" s="8" t="inlineStr">
        <is>
          <t>ST-021..025</t>
        </is>
      </c>
      <c r="J8" s="8" t="inlineStr">
        <is>
          <t>CODE</t>
        </is>
      </c>
    </row>
    <row r="9">
      <c r="A9" s="8" t="inlineStr">
        <is>
          <t>VER-06</t>
        </is>
      </c>
      <c r="B9" s="8" t="inlineStr">
        <is>
          <t>S6–S8 — Analytics, billing, deal sync, trust</t>
        </is>
      </c>
      <c r="C9" s="8" t="inlineStr">
        <is>
          <t>COMPLETED</t>
        </is>
      </c>
      <c r="D9" s="8" t="n">
        <v>2</v>
      </c>
      <c r="E9" s="8" t="n">
        <v>0</v>
      </c>
      <c r="F9" s="8" t="n">
        <v>2</v>
      </c>
      <c r="G9" s="8" t="n">
        <v>2</v>
      </c>
      <c r="H9" s="8" t="inlineStr">
        <is>
          <t>TC-067, TC-068</t>
        </is>
      </c>
      <c r="I9" s="8" t="inlineStr">
        <is>
          <t>ST-031..070</t>
        </is>
      </c>
      <c r="J9" s="8" t="inlineStr">
        <is>
          <t>CODE</t>
        </is>
      </c>
    </row>
    <row r="10">
      <c r="A10" s="8" t="inlineStr">
        <is>
          <t>VER-07</t>
        </is>
      </c>
      <c r="B10" s="8" t="inlineStr">
        <is>
          <t>S9–S12 — Marketplace, launch, iterate</t>
        </is>
      </c>
      <c r="C10" s="8" t="inlineStr">
        <is>
          <t>COMPLETED</t>
        </is>
      </c>
      <c r="D10" s="8" t="n">
        <v>1</v>
      </c>
      <c r="E10" s="8" t="n">
        <v>0</v>
      </c>
      <c r="F10" s="8" t="n">
        <v>1</v>
      </c>
      <c r="G10" s="8" t="n">
        <v>0</v>
      </c>
      <c r="H10" s="8" t="inlineStr">
        <is>
          <t>TC-069</t>
        </is>
      </c>
      <c r="I10" s="8" t="inlineStr">
        <is>
          <t>ST-081..100</t>
        </is>
      </c>
      <c r="J10" s="8" t="inlineStr">
        <is>
          <t>CODE</t>
        </is>
      </c>
    </row>
    <row r="11">
      <c r="A11" s="8" t="inlineStr">
        <is>
          <t>VER-08</t>
        </is>
      </c>
      <c r="B11" s="8" t="inlineStr">
        <is>
          <t>RP1 — First cold review</t>
        </is>
      </c>
      <c r="C11" s="8" t="inlineStr">
        <is>
          <t>COMPLETED</t>
        </is>
      </c>
      <c r="D11" s="8" t="n">
        <v>1</v>
      </c>
      <c r="E11" s="8" t="n">
        <v>0</v>
      </c>
      <c r="F11" s="8" t="n">
        <v>1</v>
      </c>
      <c r="G11" s="8" t="n">
        <v>1</v>
      </c>
      <c r="H11" s="8" t="inlineStr">
        <is>
          <t>TC-071</t>
        </is>
      </c>
      <c r="I11" s="8" t="inlineStr">
        <is>
          <t>F-Q01..F-Q08</t>
        </is>
      </c>
      <c r="J11" s="8" t="inlineStr">
        <is>
          <t>CODE</t>
        </is>
      </c>
    </row>
    <row r="12">
      <c r="A12" s="8" t="inlineStr">
        <is>
          <t>VER-09</t>
        </is>
      </c>
      <c r="B12" s="8" t="inlineStr">
        <is>
          <t>RP2 + RP3 — Second and third cold reviews</t>
        </is>
      </c>
      <c r="C12" s="8" t="inlineStr">
        <is>
          <t>COMPLETED</t>
        </is>
      </c>
      <c r="D12" s="8" t="n">
        <v>1</v>
      </c>
      <c r="E12" s="8" t="n">
        <v>0</v>
      </c>
      <c r="F12" s="8" t="n">
        <v>1</v>
      </c>
      <c r="G12" s="8" t="n">
        <v>1</v>
      </c>
      <c r="H12" s="8" t="inlineStr">
        <is>
          <t>TC-072</t>
        </is>
      </c>
      <c r="I12" s="8" t="inlineStr">
        <is>
          <t>F-Q09..F-Q17</t>
        </is>
      </c>
      <c r="J12" s="8" t="inlineStr">
        <is>
          <t>CODE</t>
        </is>
      </c>
    </row>
    <row r="13">
      <c r="A13" s="8" t="inlineStr">
        <is>
          <t>VER-10</t>
        </is>
      </c>
      <c r="B13" s="8" t="inlineStr">
        <is>
          <t>Postgres persistence</t>
        </is>
      </c>
      <c r="C13" s="8" t="inlineStr">
        <is>
          <t>COMPLETED</t>
        </is>
      </c>
      <c r="D13" s="8" t="n">
        <v>1</v>
      </c>
      <c r="E13" s="8" t="n">
        <v>1</v>
      </c>
      <c r="F13" s="8" t="n">
        <v>0</v>
      </c>
      <c r="G13" s="8" t="n">
        <v>1</v>
      </c>
      <c r="H13" s="8" t="inlineStr">
        <is>
          <t>TC-070</t>
        </is>
      </c>
      <c r="I13" s="8" t="inlineStr">
        <is>
          <t>R-Q4, R-Q14</t>
        </is>
      </c>
      <c r="J13" s="8" t="inlineStr">
        <is>
          <t>CODE</t>
        </is>
      </c>
    </row>
    <row r="14">
      <c r="A14" s="8" t="inlineStr">
        <is>
          <t>VER-11</t>
        </is>
      </c>
      <c r="B14" s="8" t="inlineStr">
        <is>
          <t>Async store cascade (R-Q13)</t>
        </is>
      </c>
      <c r="C14" s="8" t="inlineStr">
        <is>
          <t>COMPLETED</t>
        </is>
      </c>
      <c r="D14" s="8" t="n">
        <v>2</v>
      </c>
      <c r="E14" s="8" t="n">
        <v>2</v>
      </c>
      <c r="F14" s="8" t="n">
        <v>0</v>
      </c>
      <c r="G14" s="8" t="n">
        <v>1</v>
      </c>
      <c r="H14" s="8" t="inlineStr">
        <is>
          <t>TC-048, TC-049</t>
        </is>
      </c>
      <c r="I14" s="8" t="inlineStr">
        <is>
          <t>R-Q13, PXR-005</t>
        </is>
      </c>
      <c r="J14" s="8" t="inlineStr">
        <is>
          <t>CODE</t>
        </is>
      </c>
    </row>
    <row r="15">
      <c r="A15" s="8" t="inlineStr">
        <is>
          <t>VER-12</t>
        </is>
      </c>
      <c r="B15" s="8" t="inlineStr">
        <is>
          <t>EXT-V001 — First external review</t>
        </is>
      </c>
      <c r="C15" s="8" t="inlineStr">
        <is>
          <t>COMPLETED</t>
        </is>
      </c>
      <c r="D15" s="8" t="n">
        <v>1</v>
      </c>
      <c r="E15" s="8" t="n">
        <v>0</v>
      </c>
      <c r="F15" s="8" t="n">
        <v>1</v>
      </c>
      <c r="G15" s="8" t="n">
        <v>1</v>
      </c>
      <c r="H15" s="8" t="inlineStr">
        <is>
          <t>TC-051</t>
        </is>
      </c>
      <c r="I15" s="8" t="inlineStr">
        <is>
          <t>QF-001..QF-014</t>
        </is>
      </c>
      <c r="J15" s="8" t="inlineStr">
        <is>
          <t>CODE</t>
        </is>
      </c>
    </row>
    <row r="16">
      <c r="A16" s="8" t="inlineStr">
        <is>
          <t>VER-13</t>
        </is>
      </c>
      <c r="B16" s="8" t="inlineStr">
        <is>
          <t>EXT-V002 part A — Platform surface (PS14–PS17)</t>
        </is>
      </c>
      <c r="C16" s="8" t="inlineStr">
        <is>
          <t>COMPLETED</t>
        </is>
      </c>
      <c r="D16" s="8" t="n">
        <v>7</v>
      </c>
      <c r="E16" s="8" t="n">
        <v>2</v>
      </c>
      <c r="F16" s="8" t="n">
        <v>5</v>
      </c>
      <c r="G16" s="8" t="n">
        <v>6</v>
      </c>
      <c r="H16" s="8" t="inlineStr">
        <is>
          <t>TC-008, TC-009, TC-010, TC-011, TC-012, TC-013, TC-053</t>
        </is>
      </c>
      <c r="I16" s="8" t="inlineStr">
        <is>
          <t>PXR-001, PXR-013, PXR-014, DQ41, DQ42</t>
        </is>
      </c>
      <c r="J16" s="8" t="inlineStr">
        <is>
          <t>CODE</t>
        </is>
      </c>
    </row>
    <row r="17">
      <c r="A17" s="8" t="inlineStr">
        <is>
          <t>VER-14</t>
        </is>
      </c>
      <c r="B17" s="8" t="inlineStr">
        <is>
          <t>EXT-V002 part B — Enterprise floor (PS18–PS22)</t>
        </is>
      </c>
      <c r="C17" s="8" t="inlineStr">
        <is>
          <t>COMPLETED</t>
        </is>
      </c>
      <c r="D17" s="8" t="n">
        <v>6</v>
      </c>
      <c r="E17" s="8" t="n">
        <v>1</v>
      </c>
      <c r="F17" s="8" t="n">
        <v>5</v>
      </c>
      <c r="G17" s="8" t="n">
        <v>4</v>
      </c>
      <c r="H17" s="8" t="inlineStr">
        <is>
          <t>TC-014, TC-015, TC-016, TC-017, TC-018, TC-050</t>
        </is>
      </c>
      <c r="I17" s="8" t="inlineStr">
        <is>
          <t>PXR-002, PXR-003, PXR-016</t>
        </is>
      </c>
      <c r="J17" s="8" t="inlineStr">
        <is>
          <t>CODE + SECURITY</t>
        </is>
      </c>
    </row>
    <row r="18">
      <c r="A18" s="8" t="inlineStr">
        <is>
          <t>VER-15</t>
        </is>
      </c>
      <c r="B18" s="8" t="inlineStr">
        <is>
          <t>EXT-V002 part C — CPQ depth (PS23–PS25)</t>
        </is>
      </c>
      <c r="C18" s="8" t="inlineStr">
        <is>
          <t>COMPLETED</t>
        </is>
      </c>
      <c r="D18" s="8" t="n">
        <v>14</v>
      </c>
      <c r="E18" s="8" t="n">
        <v>7</v>
      </c>
      <c r="F18" s="8" t="n">
        <v>7</v>
      </c>
      <c r="G18" s="8" t="n">
        <v>10</v>
      </c>
      <c r="H18" s="8" t="inlineStr">
        <is>
          <t>TC-019, TC-020, TC-021, TC-022, TC-023, TC-024, TC-025, TC-026, TC-027, TC-028, TC-029, TC-030, TC-031, TC-052</t>
        </is>
      </c>
      <c r="I18" s="8" t="inlineStr">
        <is>
          <t>PXR-009, PXR-010, DQ44..DQ47</t>
        </is>
      </c>
      <c r="J18" s="8" t="inlineStr">
        <is>
          <t>CODE + SECURITY</t>
        </is>
      </c>
    </row>
    <row r="19">
      <c r="A19" s="8" t="inlineStr">
        <is>
          <t>VER-16</t>
        </is>
      </c>
      <c r="B19" s="8" t="inlineStr">
        <is>
          <t>EXT-V002 part D — Quote, documents, sync (PS26–PS28)</t>
        </is>
      </c>
      <c r="C19" s="8" t="inlineStr">
        <is>
          <t>COMPLETED</t>
        </is>
      </c>
      <c r="D19" s="8" t="n">
        <v>6</v>
      </c>
      <c r="E19" s="8" t="n">
        <v>4</v>
      </c>
      <c r="F19" s="8" t="n">
        <v>2</v>
      </c>
      <c r="G19" s="8" t="n">
        <v>3</v>
      </c>
      <c r="H19" s="8" t="inlineStr">
        <is>
          <t>TC-032, TC-033, TC-034, TC-035, TC-036, TC-054</t>
        </is>
      </c>
      <c r="I19" s="8" t="inlineStr">
        <is>
          <t>PXR-004, PXR-007, PXR-008</t>
        </is>
      </c>
      <c r="J19" s="8" t="inlineStr">
        <is>
          <t>CODE + SECURITY + CONTRACT</t>
        </is>
      </c>
    </row>
    <row r="20">
      <c r="A20" s="8" t="inlineStr">
        <is>
          <t>VER-17</t>
        </is>
      </c>
      <c r="B20" s="8" t="inlineStr">
        <is>
          <t>EXT-V002 part E — Billing, operations, quality system (PS29–PS31)</t>
        </is>
      </c>
      <c r="C20" s="8" t="inlineStr">
        <is>
          <t>COMPLETED</t>
        </is>
      </c>
      <c r="D20" s="8" t="n">
        <v>12</v>
      </c>
      <c r="E20" s="8" t="n">
        <v>4</v>
      </c>
      <c r="F20" s="8" t="n">
        <v>8</v>
      </c>
      <c r="G20" s="8" t="n">
        <v>8</v>
      </c>
      <c r="H20" s="8" t="inlineStr">
        <is>
          <t>TC-037, TC-038, TC-039, TC-040, TC-041, TC-042, TC-043, TC-044, TC-045, TC-046, TC-047, TC-055</t>
        </is>
      </c>
      <c r="I20" s="8" t="inlineStr">
        <is>
          <t>PXR-011, PXR-012, PXR-015, DQ48..DQ50</t>
        </is>
      </c>
      <c r="J20" s="8" t="inlineStr">
        <is>
          <t>CODE + OPS</t>
        </is>
      </c>
    </row>
    <row r="21">
      <c r="A21" s="10" t="inlineStr">
        <is>
          <t>VER-18</t>
        </is>
      </c>
      <c r="B21" s="10" t="inlineStr">
        <is>
          <t>PENDING — Live install inside HubSpot (PS14/PS15 LIVE)</t>
        </is>
      </c>
      <c r="C21" s="10" t="inlineStr">
        <is>
          <t>PENDING</t>
        </is>
      </c>
      <c r="D21" s="10" t="n">
        <v>1</v>
      </c>
      <c r="E21" s="10" t="n">
        <v>1</v>
      </c>
      <c r="F21" s="10" t="n">
        <v>0</v>
      </c>
      <c r="G21" s="10" t="n">
        <v>1</v>
      </c>
      <c r="H21" s="10" t="inlineStr">
        <is>
          <t>TC-056</t>
        </is>
      </c>
      <c r="I21" s="10" t="inlineStr">
        <is>
          <t>R-Q15, CL-01</t>
        </is>
      </c>
      <c r="J21" s="10" t="inlineStr">
        <is>
          <t>LIVE (absent)</t>
        </is>
      </c>
    </row>
    <row r="22">
      <c r="A22" s="10" t="inlineStr">
        <is>
          <t>VER-19</t>
        </is>
      </c>
      <c r="B22" s="10" t="inlineStr">
        <is>
          <t>PENDING — Billing against a real provider (PS29 CONTRACT)</t>
        </is>
      </c>
      <c r="C22" s="10" t="inlineStr">
        <is>
          <t>PENDING</t>
        </is>
      </c>
      <c r="D22" s="10" t="n">
        <v>1</v>
      </c>
      <c r="E22" s="10" t="n">
        <v>1</v>
      </c>
      <c r="F22" s="10" t="n">
        <v>0</v>
      </c>
      <c r="G22" s="10" t="n">
        <v>1</v>
      </c>
      <c r="H22" s="10" t="inlineStr">
        <is>
          <t>TC-057</t>
        </is>
      </c>
      <c r="I22" s="10" t="inlineStr">
        <is>
          <t>R-Q10, CL-09</t>
        </is>
      </c>
      <c r="J22" s="10" t="inlineStr">
        <is>
          <t>CONTRACT (absent)</t>
        </is>
      </c>
    </row>
    <row r="23">
      <c r="A23" s="10" t="inlineStr">
        <is>
          <t>VER-20</t>
        </is>
      </c>
      <c r="B23" s="10" t="inlineStr">
        <is>
          <t>PENDING — p95 under load (PS30-01)</t>
        </is>
      </c>
      <c r="C23" s="10" t="inlineStr">
        <is>
          <t>PENDING</t>
        </is>
      </c>
      <c r="D23" s="10" t="n">
        <v>1</v>
      </c>
      <c r="E23" s="10" t="n">
        <v>1</v>
      </c>
      <c r="F23" s="10" t="n">
        <v>0</v>
      </c>
      <c r="G23" s="10" t="n">
        <v>1</v>
      </c>
      <c r="H23" s="10" t="inlineStr">
        <is>
          <t>TC-058</t>
        </is>
      </c>
      <c r="I23" s="10" t="inlineStr">
        <is>
          <t>R-Q17, CL-10</t>
        </is>
      </c>
      <c r="J23" s="10" t="inlineStr">
        <is>
          <t>PERF (absent)</t>
        </is>
      </c>
    </row>
    <row r="24">
      <c r="A24" s="10" t="inlineStr">
        <is>
          <t>VER-21</t>
        </is>
      </c>
      <c r="B24" s="10" t="inlineStr">
        <is>
          <t>PENDING — Measured RPO and RTO (PS30-03)</t>
        </is>
      </c>
      <c r="C24" s="10" t="inlineStr">
        <is>
          <t>PENDING</t>
        </is>
      </c>
      <c r="D24" s="10" t="n">
        <v>1</v>
      </c>
      <c r="E24" s="10" t="n">
        <v>1</v>
      </c>
      <c r="F24" s="10" t="n">
        <v>0</v>
      </c>
      <c r="G24" s="10" t="n">
        <v>1</v>
      </c>
      <c r="H24" s="10" t="inlineStr">
        <is>
          <t>TC-059</t>
        </is>
      </c>
      <c r="I24" s="10" t="inlineStr">
        <is>
          <t>R-Q18, CL-11</t>
        </is>
      </c>
      <c r="J24" s="10" t="inlineStr">
        <is>
          <t>OPS (absent)</t>
        </is>
      </c>
    </row>
    <row r="25">
      <c r="A25" s="10" t="inlineStr">
        <is>
          <t>VER-22</t>
        </is>
      </c>
      <c r="B25" s="10" t="inlineStr">
        <is>
          <t>PENDING — Zero-dropped-request deploy (PS30-02)</t>
        </is>
      </c>
      <c r="C25" s="10" t="inlineStr">
        <is>
          <t>PENDING</t>
        </is>
      </c>
      <c r="D25" s="10" t="n">
        <v>1</v>
      </c>
      <c r="E25" s="10" t="n">
        <v>1</v>
      </c>
      <c r="F25" s="10" t="n">
        <v>0</v>
      </c>
      <c r="G25" s="10" t="n">
        <v>0</v>
      </c>
      <c r="H25" s="10" t="inlineStr">
        <is>
          <t>TC-060</t>
        </is>
      </c>
      <c r="I25" s="10" t="inlineStr">
        <is>
          <t>CL-12</t>
        </is>
      </c>
      <c r="J25" s="10" t="inlineStr">
        <is>
          <t>OPS (absent)</t>
        </is>
      </c>
    </row>
    <row r="26">
      <c r="A26" s="10" t="inlineStr">
        <is>
          <t>VER-23</t>
        </is>
      </c>
      <c r="B26" s="10" t="inlineStr">
        <is>
          <t>PENDING — External penetration test (PS30-06)</t>
        </is>
      </c>
      <c r="C26" s="10" t="inlineStr">
        <is>
          <t>PENDING</t>
        </is>
      </c>
      <c r="D26" s="10" t="n">
        <v>0</v>
      </c>
      <c r="E26" s="10" t="n">
        <v>0</v>
      </c>
      <c r="F26" s="10" t="n">
        <v>0</v>
      </c>
      <c r="G26" s="10" t="n">
        <v>0</v>
      </c>
      <c r="H26" s="10" t="inlineStr">
        <is>
          <t>— none (covered indirectly)</t>
        </is>
      </c>
      <c r="I26" s="10" t="inlineStr">
        <is>
          <t>R-Q12, CL-13</t>
        </is>
      </c>
      <c r="J26" s="10" t="inlineStr">
        <is>
          <t>SECURITY (independent, absent)</t>
        </is>
      </c>
    </row>
    <row r="27">
      <c r="A27" s="10" t="inlineStr">
        <is>
          <t>VER-24</t>
        </is>
      </c>
      <c r="B27" s="10" t="inlineStr">
        <is>
          <t>PENDING — SOC 2 Type I readiness (PS30-08)</t>
        </is>
      </c>
      <c r="C27" s="10" t="inlineStr">
        <is>
          <t>PENDING</t>
        </is>
      </c>
      <c r="D27" s="10" t="n">
        <v>0</v>
      </c>
      <c r="E27" s="10" t="n">
        <v>0</v>
      </c>
      <c r="F27" s="10" t="n">
        <v>0</v>
      </c>
      <c r="G27" s="10" t="n">
        <v>0</v>
      </c>
      <c r="H27" s="10" t="inlineStr">
        <is>
          <t>— none (covered indirectly)</t>
        </is>
      </c>
      <c r="I27" s="10" t="inlineStr">
        <is>
          <t>—</t>
        </is>
      </c>
      <c r="J27" s="10" t="inlineStr">
        <is>
          <t>OPS (absent)</t>
        </is>
      </c>
    </row>
    <row r="28">
      <c r="A28" s="10" t="inlineStr">
        <is>
          <t>VER-25</t>
        </is>
      </c>
      <c r="B28" s="10" t="inlineStr">
        <is>
          <t>PENDING — Invoice tax depth (R-Q20)</t>
        </is>
      </c>
      <c r="C28" s="10" t="inlineStr">
        <is>
          <t>PENDING</t>
        </is>
      </c>
      <c r="D28" s="10" t="n">
        <v>0</v>
      </c>
      <c r="E28" s="10" t="n">
        <v>0</v>
      </c>
      <c r="F28" s="10" t="n">
        <v>0</v>
      </c>
      <c r="G28" s="10" t="n">
        <v>0</v>
      </c>
      <c r="H28" s="10" t="inlineStr">
        <is>
          <t>— none (covered indirectly)</t>
        </is>
      </c>
      <c r="I28" s="10" t="inlineStr">
        <is>
          <t>PXR-010, R-Q20</t>
        </is>
      </c>
      <c r="J28" s="10" t="inlineStr">
        <is>
          <t>CODE (not started)</t>
        </is>
      </c>
    </row>
    <row r="29">
      <c r="A29" s="10" t="inlineStr">
        <is>
          <t>VER-26</t>
        </is>
      </c>
      <c r="B29" s="10" t="inlineStr">
        <is>
          <t>PENDING — Positioning decision and PMF (PS13, PS32)</t>
        </is>
      </c>
      <c r="C29" s="10" t="inlineStr">
        <is>
          <t>PENDING</t>
        </is>
      </c>
      <c r="D29" s="10" t="n">
        <v>0</v>
      </c>
      <c r="E29" s="10" t="n">
        <v>0</v>
      </c>
      <c r="F29" s="10" t="n">
        <v>0</v>
      </c>
      <c r="G29" s="10" t="n">
        <v>0</v>
      </c>
      <c r="H29" s="10" t="inlineStr">
        <is>
          <t>— none (covered indirectly)</t>
        </is>
      </c>
      <c r="I29" s="10" t="inlineStr">
        <is>
          <t>R-Q1, R-Q19, CL-14</t>
        </is>
      </c>
      <c r="J29" s="10" t="inlineStr">
        <is>
          <t>COMMERCIAL (absent)</t>
        </is>
      </c>
    </row>
    <row r="31">
      <c r="A31" s="5" t="inlineStr">
        <is>
          <t>COVERAGE NOTE</t>
        </is>
      </c>
    </row>
    <row r="32" ht="86" customHeight="1">
      <c r="A32" s="6" t="inlineStr">
        <is>
          <t>Every COMPLETED version has at least one case, and every version that has cases has at least one NEGATIVE case — a pack of only happy paths proves the product works when nothing goes wrong, which is not the interesting question. Four PENDING versions carry no case on purpose: VER-23 (an external penetration test) and VER-24 (a SOC 2 readiness assessment) are performed by a third party against their own methodology, not by this pack; VER-25 (invoice tax depth) has no code to test yet; and VER-26 (positioning and PMF) is a commercial outcome, not a behaviour. Writing manual test cases for any of the four would be theatre. The other five pending versions DO carry their case — TC-056 to TC-060 — written in full so the day the blocker clears the test is already there.</t>
        </is>
      </c>
    </row>
  </sheetData>
  <autoFilter ref="A3:J3"/>
  <mergeCells count="3">
    <mergeCell ref="A1:J1"/>
    <mergeCell ref="A32:J32"/>
    <mergeCell ref="A2:J2"/>
  </mergeCells>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P12"/>
  <sheetViews>
    <sheetView workbookViewId="0">
      <pane ySplit="3" topLeftCell="A4" activePane="bottomLeft" state="frozen"/>
      <selection pane="bottomLeft" activeCell="A1" sqref="A1"/>
    </sheetView>
  </sheetViews>
  <sheetFormatPr baseColWidth="8" defaultRowHeight="15"/>
  <cols>
    <col width="11" customWidth="1" min="1" max="1"/>
    <col width="13" customWidth="1" min="2" max="2"/>
    <col width="10" customWidth="1" min="3" max="3"/>
    <col width="8" customWidth="1" min="4" max="4"/>
    <col width="11" customWidth="1" min="5" max="5"/>
    <col width="12" customWidth="1" min="6" max="6"/>
    <col width="50" customWidth="1" min="7" max="7"/>
    <col width="62" customWidth="1" min="8" max="8"/>
    <col width="44" customWidth="1" min="9" max="9"/>
    <col width="44" customWidth="1" min="10" max="10"/>
    <col width="20" customWidth="1" min="11" max="11"/>
    <col width="40" customWidth="1" min="12" max="12"/>
    <col width="16" customWidth="1" min="13" max="13"/>
    <col width="12" customWidth="1" min="14" max="14"/>
    <col width="44" customWidth="1" min="15" max="15"/>
    <col width="12" customWidth="1" min="16" max="16"/>
  </cols>
  <sheetData>
    <row r="1" ht="24" customHeight="1">
      <c r="A1" s="1" t="inlineStr">
        <is>
          <t>DEFECT LOG</t>
        </is>
      </c>
    </row>
    <row r="2" ht="42" customHeight="1">
      <c r="A2" s="2" t="inlineStr">
        <is>
          <t>One row per defect found by executing this pack. Reference the Test ID and the failing Step No so a developer can reproduce it in one read. Do NOT amend a test case to make it pass — that is how a test pack stops being evidence.</t>
        </is>
      </c>
    </row>
    <row r="3" ht="30" customHeight="1">
      <c r="A3" s="7" t="inlineStr">
        <is>
          <t>Defect ID</t>
        </is>
      </c>
      <c r="B3" s="7" t="inlineStr">
        <is>
          <t>Raised</t>
        </is>
      </c>
      <c r="C3" s="7" t="inlineStr">
        <is>
          <t>Test ID</t>
        </is>
      </c>
      <c r="D3" s="7" t="inlineStr">
        <is>
          <t>Step No</t>
        </is>
      </c>
      <c r="E3" s="7" t="inlineStr">
        <is>
          <t>Version ID</t>
        </is>
      </c>
      <c r="F3" s="7" t="inlineStr">
        <is>
          <t>Severity</t>
        </is>
      </c>
      <c r="G3" s="7" t="inlineStr">
        <is>
          <t>Summary</t>
        </is>
      </c>
      <c r="H3" s="7" t="inlineStr">
        <is>
          <t>Steps to reproduce</t>
        </is>
      </c>
      <c r="I3" s="7" t="inlineStr">
        <is>
          <t>Expected</t>
        </is>
      </c>
      <c r="J3" s="7" t="inlineStr">
        <is>
          <t>Actual</t>
        </is>
      </c>
      <c r="K3" s="7" t="inlineStr">
        <is>
          <t>Environment</t>
        </is>
      </c>
      <c r="L3" s="7" t="inlineStr">
        <is>
          <t>Severity rationale</t>
        </is>
      </c>
      <c r="M3" s="7" t="inlineStr">
        <is>
          <t>Assigned to</t>
        </is>
      </c>
      <c r="N3" s="7" t="inlineStr">
        <is>
          <t>Status</t>
        </is>
      </c>
      <c r="O3" s="7" t="inlineStr">
        <is>
          <t>Resolution</t>
        </is>
      </c>
      <c r="P3" s="7" t="inlineStr">
        <is>
          <t>Closed</t>
        </is>
      </c>
    </row>
    <row r="4">
      <c r="A4" s="13" t="inlineStr">
        <is>
          <t>DEF-000</t>
        </is>
      </c>
      <c r="B4" s="13" t="inlineStr">
        <is>
          <t>(example)</t>
        </is>
      </c>
      <c r="C4" s="13" t="inlineStr">
        <is>
          <t>TC-000</t>
        </is>
      </c>
      <c r="D4" s="13" t="inlineStr">
        <is>
          <t>0</t>
        </is>
      </c>
      <c r="E4" s="13" t="inlineStr">
        <is>
          <t>VER-00</t>
        </is>
      </c>
      <c r="F4" s="13" t="inlineStr">
        <is>
          <t>EXAMPLE</t>
        </is>
      </c>
      <c r="G4" s="13" t="inlineStr">
        <is>
          <t>This row is an example of the level of detail required — delete it before use.</t>
        </is>
      </c>
      <c r="H4" s="13" t="inlineStr">
        <is>
          <t>1. Mint an admin session. 2. PUT /api/config/models/pm-1 with the model from the Environments sheet. 3. Observe the response.</t>
        </is>
      </c>
      <c r="I4" s="13" t="inlineStr">
        <is>
          <t>HTTP 200 and the model echoed back.</t>
        </is>
      </c>
      <c r="J4" s="13" t="inlineStr">
        <is>
          <t>HTTP 500 with an unhandled TypeError.</t>
        </is>
      </c>
      <c r="K4" s="13" t="inlineStr">
        <is>
          <t>Local, in-memory backend, build &lt;tree hash&gt;</t>
        </is>
      </c>
      <c r="L4" s="13" t="inlineStr">
        <is>
          <t>Critical if it blocks a P0 path with no workaround; High if a workaround exists; Medium if cosmetic but wrong; Low if presentational.</t>
        </is>
      </c>
      <c r="M4" s="13" t="inlineStr">
        <is>
          <t>—</t>
        </is>
      </c>
      <c r="N4" s="13" t="inlineStr">
        <is>
          <t>Example</t>
        </is>
      </c>
      <c r="O4" s="13" t="inlineStr">
        <is>
          <t>n/a</t>
        </is>
      </c>
      <c r="P4" s="13" t="inlineStr"/>
    </row>
    <row r="8">
      <c r="A8" s="5" t="inlineStr">
        <is>
          <t>SEVERITY DEFINITIONS</t>
        </is>
      </c>
    </row>
    <row r="9">
      <c r="A9" s="20" t="inlineStr">
        <is>
          <t>Critical</t>
        </is>
      </c>
      <c r="B9" s="6" t="inlineStr">
        <is>
          <t>Customer data loss, cross-tenant exposure, an approval bypass, a money error, or a P0 path with no workaround. Stops the release.</t>
        </is>
      </c>
    </row>
    <row r="10">
      <c r="A10" s="20" t="inlineStr">
        <is>
          <t>High</t>
        </is>
      </c>
      <c r="B10" s="6" t="inlineStr">
        <is>
          <t>A P0 path with a workaround, or any defect in billing, identity or tenancy that is not itself Critical.</t>
        </is>
      </c>
    </row>
    <row r="11">
      <c r="A11" s="20" t="inlineStr">
        <is>
          <t>Medium</t>
        </is>
      </c>
      <c r="B11" s="6" t="inlineStr">
        <is>
          <t>Wrong behaviour in a P1 path, or a correct behaviour reported misleadingly.</t>
        </is>
      </c>
    </row>
    <row r="12">
      <c r="A12" s="20" t="inlineStr">
        <is>
          <t>Low</t>
        </is>
      </c>
      <c r="B12" s="6" t="inlineStr">
        <is>
          <t>Presentational, or a documentation defect in this pack itself.</t>
        </is>
      </c>
    </row>
  </sheetData>
  <autoFilter ref="A3:P3"/>
  <mergeCells count="6">
    <mergeCell ref="B9:H9"/>
    <mergeCell ref="A1:P1"/>
    <mergeCell ref="B12:H12"/>
    <mergeCell ref="B10:H10"/>
    <mergeCell ref="B11:H11"/>
    <mergeCell ref="A2:P2"/>
  </mergeCells>
  <dataValidations count="2">
    <dataValidation sqref="F5:F200" showDropDown="0" showInputMessage="0" showErrorMessage="0" allowBlank="1" type="list">
      <formula1>"Critical,High,Medium,Low"</formula1>
    </dataValidation>
    <dataValidation sqref="N5:N200" showDropDown="0" showInputMessage="0" showErrorMessage="0" allowBlank="1" type="list">
      <formula1>"Open,In Progress,Fixed,Retest,Closed,Rejected,Deferred"</formula1>
    </dataValidation>
  </dataValidations>
  <pageMargins left="0.75" right="0.75" top="1" bottom="1" header="0.5" footer="0.5"/>
</worksheet>
</file>

<file path=xl/worksheets/sheet11.xml><?xml version="1.0" encoding="utf-8"?>
<worksheet xmlns="http://schemas.openxmlformats.org/spreadsheetml/2006/main">
  <sheetPr>
    <tabColor rgb="001F3864"/>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30" customWidth="1" min="1" max="1"/>
    <col width="96" customWidth="1" min="2" max="2"/>
    <col width="40" customWidth="1" min="3" max="3"/>
    <col width="16" customWidth="1" min="4" max="4"/>
  </cols>
  <sheetData>
    <row r="1" ht="24" customHeight="1">
      <c r="A1" s="1" t="inlineStr">
        <is>
          <t>ENVIRONMENTS, ACCOUNTS AND TEST DATA</t>
        </is>
      </c>
    </row>
    <row r="2" ht="42" customHeight="1">
      <c r="A2" s="2" t="inlineStr">
        <is>
          <t>Set this up before the first case. Everything here is required by TC-001 onwards; the blocked cases (TC-056..TC-060) additionally need the accounts in the second table, which do not exist.</t>
        </is>
      </c>
    </row>
    <row r="3" ht="30" customHeight="1">
      <c r="A3" s="7" t="inlineStr">
        <is>
          <t>Item</t>
        </is>
      </c>
      <c r="B3" s="7" t="inlineStr">
        <is>
          <t>Value / how to obtain it</t>
        </is>
      </c>
      <c r="C3" s="7" t="inlineStr">
        <is>
          <t>Needed for</t>
        </is>
      </c>
      <c r="D3" s="7" t="inlineStr">
        <is>
          <t>Available today?</t>
        </is>
      </c>
    </row>
    <row r="4">
      <c r="A4" s="3" t="inlineStr">
        <is>
          <t>Runtime</t>
        </is>
      </c>
      <c r="B4" s="3" t="inlineStr">
        <is>
          <t>Node 22. From the delivered zip: npm ci, then npm run build.</t>
        </is>
      </c>
      <c r="C4" s="3" t="inlineStr">
        <is>
          <t>All cases</t>
        </is>
      </c>
      <c r="D4" s="3" t="inlineStr">
        <is>
          <t>YES</t>
        </is>
      </c>
    </row>
    <row r="5">
      <c r="A5" s="4" t="inlineStr">
        <is>
          <t>Local run (in-memory)</t>
        </is>
      </c>
      <c r="B5" s="4" t="inlineStr">
        <is>
          <t>HUBSPOT_CLIENT_ID=cid HUBSPOT_CLIENT_SECRET=csecret OAUTH_REDIRECT_URI=http://localhost:3000/oauth/callback npm start</t>
        </is>
      </c>
      <c r="C5" s="4" t="inlineStr">
        <is>
          <t>Most functional cases</t>
        </is>
      </c>
      <c r="D5" s="4" t="inlineStr">
        <is>
          <t>YES</t>
        </is>
      </c>
    </row>
    <row r="6">
      <c r="A6" s="3" t="inlineStr">
        <is>
          <t>Local run (Postgres)</t>
        </is>
      </c>
      <c r="B6" s="3" t="inlineStr">
        <is>
          <t>As above plus DATABASE_URL pointing at a Postgres 15+ instance, connected as a NON-superuser role without BYPASSRLS (create one: CREATE ROLE quoteflow_app LOGIN PASSWORD ...).</t>
        </is>
      </c>
      <c r="C6" s="3" t="inlineStr">
        <is>
          <t>TC-014, TC-015, TC-016, TC-043, TC-044, TC-052</t>
        </is>
      </c>
      <c r="D6" s="3" t="inlineStr">
        <is>
          <t>YES — any local Postgres</t>
        </is>
      </c>
    </row>
    <row r="7">
      <c r="A7" s="4" t="inlineStr">
        <is>
          <t>Operator token</t>
        </is>
      </c>
      <c r="B7" s="4" t="inlineStr">
        <is>
          <t>QF_OPS_TOKEN=&lt;any value&gt;. Sent as X-QF-Ops-Token on vendor-only surfaces.</t>
        </is>
      </c>
      <c r="C7" s="4" t="inlineStr">
        <is>
          <t>TC-050</t>
        </is>
      </c>
      <c r="D7" s="4" t="inlineStr">
        <is>
          <t>YES</t>
        </is>
      </c>
    </row>
    <row r="8">
      <c r="A8" s="3" t="inlineStr">
        <is>
          <t>Mail provider stub</t>
        </is>
      </c>
      <c r="B8" s="3" t="inlineStr">
        <is>
          <t>QF_EMAIL_URL / QF_EMAIL_TOKEN / QF_EMAIL_FROM pointed at a local stub you can make fail on demand.</t>
        </is>
      </c>
      <c r="C8" s="3" t="inlineStr">
        <is>
          <t>TC-017, TC-045</t>
        </is>
      </c>
      <c r="D8" s="3" t="inlineStr">
        <is>
          <t>YES</t>
        </is>
      </c>
    </row>
    <row r="9">
      <c r="A9" s="4" t="inlineStr">
        <is>
          <t>Minting a session</t>
        </is>
      </c>
      <c r="B9" s="4" t="inlineStr">
        <is>
          <t>Sessions are HMAC-signed and mint only from a HubSpot-SIGNED body. For testing, POST /session/mint with the v3 signature computed over POST + the full URI + the raw body + the timestamp, using HUBSPOT_CLIENT_SECRET. The repository’s tests/support/session.ts shows the exact construction; copy it into a small script.</t>
        </is>
      </c>
      <c r="C9" s="4" t="inlineStr">
        <is>
          <t>Every authenticated case</t>
        </is>
      </c>
      <c r="D9" s="4" t="inlineStr">
        <is>
          <t>YES</t>
        </is>
      </c>
    </row>
    <row r="10">
      <c r="A10" s="3" t="inlineStr">
        <is>
          <t>Sample product model</t>
        </is>
      </c>
      <c r="B10" s="3" t="inlineStr">
        <is>
          <t>Use the model in tests/cpqApi.test.ts (gateway/cellular/data-plan with an implies rule and an excludes rule) — it exercises implication, exclusion and conditional visibility in four options.</t>
        </is>
      </c>
      <c r="C10" s="3" t="inlineStr">
        <is>
          <t>TC-019..TC-022</t>
        </is>
      </c>
      <c r="D10" s="3" t="inlineStr">
        <is>
          <t>YES</t>
        </is>
      </c>
    </row>
    <row r="11">
      <c r="A11" s="4" t="inlineStr">
        <is>
          <t>Sample pricing catalogue</t>
        </is>
      </c>
      <c r="B11" s="4" t="inlineStr">
        <is>
          <t>Use the catalogue in tests/pricingDepth.test.ts: a USD parent book, a EUR subsidiary book that overrides one SKU, two nested bundles, four rules, a channel matrix and two floor policies.</t>
        </is>
      </c>
      <c r="C11" s="4" t="inlineStr">
        <is>
          <t>TC-023..TC-026</t>
        </is>
      </c>
      <c r="D11" s="4" t="inlineStr">
        <is>
          <t>YES</t>
        </is>
      </c>
    </row>
    <row r="12">
      <c r="A12" s="3" t="inlineStr">
        <is>
          <t>Sample approval DAG</t>
        </is>
      </c>
      <c r="B12" s="3" t="inlineStr">
        <is>
          <t>Use the DAG in tests/dealDesk.test.ts: legal and finance in parallel feeding a conditional CFO node, plus an entity-gated VP node and a 2-of-3 quorum security node.</t>
        </is>
      </c>
      <c r="C12" s="3" t="inlineStr">
        <is>
          <t>TC-027..TC-031</t>
        </is>
      </c>
      <c r="D12" s="3" t="inlineStr">
        <is>
          <t>YES</t>
        </is>
      </c>
    </row>
    <row r="13">
      <c r="A13" s="4" t="inlineStr">
        <is>
          <t>Recorded HubSpot fixtures</t>
        </is>
      </c>
      <c r="B13" s="4" t="inlineStr">
        <is>
          <t>The fixture harness in tests/extreview2.test.ts returns a deal carrying one QuoteFlow line, one rep-added line and one native-quote line.</t>
        </is>
      </c>
      <c r="C13" s="4" t="inlineStr">
        <is>
          <t>TC-036</t>
        </is>
      </c>
      <c r="D13" s="4" t="inlineStr">
        <is>
          <t>YES</t>
        </is>
      </c>
    </row>
    <row r="15">
      <c r="A15" s="5" t="inlineStr">
        <is>
          <t>ACCOUNTS AND ENVIRONMENTS THAT DO NOT EXIST</t>
        </is>
      </c>
    </row>
    <row r="16">
      <c r="A16" s="21" t="inlineStr">
        <is>
          <t>Item</t>
        </is>
      </c>
      <c r="B16" s="21" t="inlineStr">
        <is>
          <t>Why it is needed</t>
        </is>
      </c>
      <c r="C16" s="21" t="inlineStr">
        <is>
          <t>Blocks</t>
        </is>
      </c>
      <c r="D16" s="21" t="inlineStr">
        <is>
          <t>Owner</t>
        </is>
      </c>
    </row>
    <row r="17">
      <c r="A17" s="10" t="inlineStr">
        <is>
          <t>HubSpot developer account + test portal</t>
        </is>
      </c>
      <c r="B17" s="10" t="inlineStr">
        <is>
          <t>The only way to upload the Projects app, install it, render the app card and obtain LIVE evidence.</t>
        </is>
      </c>
      <c r="C17" s="10" t="inlineStr">
        <is>
          <t>TC-056 — and the LIVE class for every other feature</t>
        </is>
      </c>
      <c r="D17" s="10" t="inlineStr">
        <is>
          <t>Senthil (R-Q15)</t>
        </is>
      </c>
    </row>
    <row r="18">
      <c r="A18" s="10" t="inlineStr">
        <is>
          <t>Stripe test-mode keys</t>
        </is>
      </c>
      <c r="B18" s="10" t="inlineStr">
        <is>
          <t>To prove the charge payload is accepted by the real API and that real webhooks are handled.</t>
        </is>
      </c>
      <c r="C18" s="10" t="inlineStr">
        <is>
          <t>TC-057</t>
        </is>
      </c>
      <c r="D18" s="10" t="inlineStr">
        <is>
          <t>Senthil (R-Q10)</t>
        </is>
      </c>
    </row>
    <row r="19">
      <c r="A19" s="10" t="inlineStr">
        <is>
          <t>HubSpot marketplace monetisation access</t>
        </is>
      </c>
      <c r="B19" s="10" t="inlineStr">
        <is>
          <t>To exercise the marketplace billing rail that HubSpot mandates for marketplace-acquired portals.</t>
        </is>
      </c>
      <c r="C19" s="10" t="inlineStr">
        <is>
          <t>TC-057</t>
        </is>
      </c>
      <c r="D19" s="10" t="inlineStr">
        <is>
          <t>Senthil (R-Q10)</t>
        </is>
      </c>
    </row>
    <row r="20">
      <c r="A20" s="10" t="inlineStr">
        <is>
          <t>Hosted environment (2 instances + load balancer)</t>
        </is>
      </c>
      <c r="B20" s="10" t="inlineStr">
        <is>
          <t>To measure p95 under load against something that is not localhost.</t>
        </is>
      </c>
      <c r="C20" s="10" t="inlineStr">
        <is>
          <t>TC-058, TC-060</t>
        </is>
      </c>
      <c r="D20" s="10" t="inlineStr">
        <is>
          <t>Senthil (R-Q17)</t>
        </is>
      </c>
    </row>
    <row r="21">
      <c r="A21" s="10" t="inlineStr">
        <is>
          <t>Managed Postgres with PITR + empty restore target</t>
        </is>
      </c>
      <c r="B21" s="10" t="inlineStr">
        <is>
          <t>To run the restore drill and produce a real RPO and RTO.</t>
        </is>
      </c>
      <c r="C21" s="10" t="inlineStr">
        <is>
          <t>TC-059</t>
        </is>
      </c>
      <c r="D21" s="10" t="inlineStr">
        <is>
          <t>Senthil (R-Q18)</t>
        </is>
      </c>
    </row>
    <row r="22">
      <c r="A22" s="10" t="inlineStr">
        <is>
          <t>Signature provider account</t>
        </is>
      </c>
      <c r="B22" s="10" t="inlineStr">
        <is>
          <t>To exercise the provider adapter instead of the homegrown signer.</t>
        </is>
      </c>
      <c r="C22" s="10" t="inlineStr">
        <is>
          <t>Part of TC-034 (provider path)</t>
        </is>
      </c>
      <c r="D22" s="10" t="inlineStr">
        <is>
          <t>Senthil</t>
        </is>
      </c>
    </row>
  </sheetData>
  <autoFilter ref="A3:D3"/>
  <mergeCells count="2">
    <mergeCell ref="A1:D1"/>
    <mergeCell ref="A2:D2"/>
  </mergeCells>
  <pageMargins left="0.75" right="0.75" top="1" bottom="1" header="0.5" footer="0.5"/>
</worksheet>
</file>

<file path=xl/worksheets/sheet12.xml><?xml version="1.0" encoding="utf-8"?>
<worksheet xmlns="http://schemas.openxmlformats.org/spreadsheetml/2006/main">
  <sheetPr>
    <tabColor rgb="001F3864"/>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6" customWidth="1" min="1" max="1"/>
    <col width="76" customWidth="1" min="2" max="2"/>
    <col width="12" customWidth="1" min="3" max="3"/>
    <col width="86" customWidth="1" min="4" max="4"/>
    <col width="16" customWidth="1" min="5" max="5"/>
  </cols>
  <sheetData>
    <row r="1" ht="24" customHeight="1">
      <c r="A1" s="1" t="inlineStr">
        <is>
          <t>ENTRY AND EXIT CRITERIA</t>
        </is>
      </c>
    </row>
    <row r="2" ht="42" customHeight="1">
      <c r="A2" s="2" t="inlineStr">
        <is>
          <t>A cycle started without its entry criteria produces results nobody can trust, and a cycle closed without its exit criteria produces a number nobody can defend.</t>
        </is>
      </c>
    </row>
    <row r="3" ht="30" customHeight="1">
      <c r="A3" s="7" t="inlineStr">
        <is>
          <t>#</t>
        </is>
      </c>
      <c r="B3" s="7" t="inlineStr">
        <is>
          <t>Criterion</t>
        </is>
      </c>
      <c r="C3" s="7" t="inlineStr">
        <is>
          <t>Type</t>
        </is>
      </c>
      <c r="D3" s="7" t="inlineStr">
        <is>
          <t>Why it is there</t>
        </is>
      </c>
      <c r="E3" s="7" t="inlineStr">
        <is>
          <t>Met? (fill in)</t>
        </is>
      </c>
    </row>
    <row r="4">
      <c r="A4" s="8" t="inlineStr">
        <is>
          <t>E1</t>
        </is>
      </c>
      <c r="B4" s="8" t="inlineStr">
        <is>
          <t>The build under test is a clean extraction of the delivered zip, and npm ci + npm run build both succeed.</t>
        </is>
      </c>
      <c r="C4" s="8" t="inlineStr">
        <is>
          <t>Entry</t>
        </is>
      </c>
      <c r="D4" s="8" t="inlineStr">
        <is>
          <t>A modified working tree makes every result ambiguous.</t>
        </is>
      </c>
      <c r="E4" s="8" t="inlineStr"/>
    </row>
    <row r="5">
      <c r="A5" s="8" t="inlineStr">
        <is>
          <t>E2</t>
        </is>
      </c>
      <c r="B5" s="8" t="inlineStr">
        <is>
          <t>The tree hash on 01_Cover matches the build.</t>
        </is>
      </c>
      <c r="C5" s="8" t="inlineStr">
        <is>
          <t>Entry</t>
        </is>
      </c>
      <c r="D5" s="8" t="inlineStr">
        <is>
          <t>Otherwise the pack describes a different product.</t>
        </is>
      </c>
      <c r="E5" s="8" t="inlineStr"/>
    </row>
    <row r="6">
      <c r="A6" s="8" t="inlineStr">
        <is>
          <t>E3</t>
        </is>
      </c>
      <c r="B6" s="8" t="inlineStr">
        <is>
          <t>The automated suite passes at 100% on that build before manual execution starts.</t>
        </is>
      </c>
      <c r="C6" s="8" t="inlineStr">
        <is>
          <t>Entry</t>
        </is>
      </c>
      <c r="D6" s="8" t="inlineStr">
        <is>
          <t>Manual time is expensive; do not spend it finding what the suite would have found for free.</t>
        </is>
      </c>
      <c r="E6" s="8" t="inlineStr"/>
    </row>
    <row r="7">
      <c r="A7" s="8" t="inlineStr">
        <is>
          <t>E4</t>
        </is>
      </c>
      <c r="B7" s="8" t="inlineStr">
        <is>
          <t>The environment on 11_Environments is set up, including a Postgres instance connected as a non-superuser role.</t>
        </is>
      </c>
      <c r="C7" s="8" t="inlineStr">
        <is>
          <t>Entry</t>
        </is>
      </c>
      <c r="D7" s="8" t="inlineStr">
        <is>
          <t>Six cases are meaningless without a real engine, and two exist specifically to check the superuser refusal.</t>
        </is>
      </c>
      <c r="E7" s="8" t="inlineStr"/>
    </row>
    <row r="8">
      <c r="A8" s="8" t="inlineStr">
        <is>
          <t>E5</t>
        </is>
      </c>
      <c r="B8" s="8" t="inlineStr">
        <is>
          <t>A session can be minted (TC-010 passes).</t>
        </is>
      </c>
      <c r="C8" s="8" t="inlineStr">
        <is>
          <t>Entry</t>
        </is>
      </c>
      <c r="D8" s="8" t="inlineStr">
        <is>
          <t>Every authenticated case depends on it.</t>
        </is>
      </c>
      <c r="E8" s="8" t="inlineStr"/>
    </row>
    <row r="9">
      <c r="A9" s="13" t="inlineStr">
        <is>
          <t>X1</t>
        </is>
      </c>
      <c r="B9" s="13" t="inlineStr">
        <is>
          <t>Every P0 case has a Status of Pass or Blocked, with Blocked only for TC-056..TC-060.</t>
        </is>
      </c>
      <c r="C9" s="13" t="inlineStr">
        <is>
          <t>Exit</t>
        </is>
      </c>
      <c r="D9" s="13" t="inlineStr">
        <is>
          <t>A P0 left Not Run is a P0 nobody looked at.</t>
        </is>
      </c>
      <c r="E9" s="13" t="inlineStr"/>
    </row>
    <row r="10">
      <c r="A10" s="13" t="inlineStr">
        <is>
          <t>X2</t>
        </is>
      </c>
      <c r="B10" s="13" t="inlineStr">
        <is>
          <t>Every Fail has a corresponding row in 10_Defect_Log with a step number.</t>
        </is>
      </c>
      <c r="C10" s="13" t="inlineStr">
        <is>
          <t>Exit</t>
        </is>
      </c>
      <c r="D10" s="13" t="inlineStr">
        <is>
          <t>A failure with no defect is a failure that will be forgotten.</t>
        </is>
      </c>
      <c r="E10" s="13" t="inlineStr"/>
    </row>
    <row r="11">
      <c r="A11" s="13" t="inlineStr">
        <is>
          <t>X3</t>
        </is>
      </c>
      <c r="B11" s="13" t="inlineStr">
        <is>
          <t>No Critical or High defect is open, or each open one has a written, dated waiver on 14_Sign_Off.</t>
        </is>
      </c>
      <c r="C11" s="13" t="inlineStr">
        <is>
          <t>Exit</t>
        </is>
      </c>
      <c r="D11" s="13" t="inlineStr">
        <is>
          <t>Shipping over a known Critical should require a signature.</t>
        </is>
      </c>
      <c r="E11" s="13" t="inlineStr"/>
    </row>
    <row r="12">
      <c r="A12" s="13" t="inlineStr">
        <is>
          <t>X4</t>
        </is>
      </c>
      <c r="B12" s="13" t="inlineStr">
        <is>
          <t>Every negative case in the run has been executed — not skipped in favour of the happy path.</t>
        </is>
      </c>
      <c r="C12" s="13" t="inlineStr">
        <is>
          <t>Exit</t>
        </is>
      </c>
      <c r="D12" s="13" t="inlineStr">
        <is>
          <t>Three cold reviews found 17 defects; almost all were found by negative reasoning.</t>
        </is>
      </c>
      <c r="E12" s="13" t="inlineStr"/>
    </row>
    <row r="13">
      <c r="A13" s="13" t="inlineStr">
        <is>
          <t>X5</t>
        </is>
      </c>
      <c r="B13" s="13" t="inlineStr">
        <is>
          <t>13_Test_Summary has been refreshed and 14_Sign_Off is complete and dated.</t>
        </is>
      </c>
      <c r="C13" s="13" t="inlineStr">
        <is>
          <t>Exit</t>
        </is>
      </c>
      <c r="D13" s="13" t="inlineStr">
        <is>
          <t>A cycle with no sign-off is a rehearsal.</t>
        </is>
      </c>
      <c r="E13" s="13" t="inlineStr"/>
    </row>
  </sheetData>
  <autoFilter ref="A3:E3"/>
  <mergeCells count="2">
    <mergeCell ref="A2:E2"/>
    <mergeCell ref="A1:E1"/>
  </mergeCells>
  <pageMargins left="0.75" right="0.75" top="1" bottom="1" header="0.5" footer="0.5"/>
</worksheet>
</file>

<file path=xl/worksheets/sheet13.xml><?xml version="1.0" encoding="utf-8"?>
<worksheet xmlns="http://schemas.openxmlformats.org/spreadsheetml/2006/main">
  <sheetPr>
    <tabColor rgb="001F3864"/>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46" customWidth="1" min="1" max="1"/>
    <col width="20" customWidth="1" min="2" max="2"/>
    <col width="96" customWidth="1" min="3" max="3"/>
  </cols>
  <sheetData>
    <row r="1" ht="24" customHeight="1">
      <c r="A1" s="1" t="inlineStr">
        <is>
          <t>TEST SUMMARY — live counts</t>
        </is>
      </c>
    </row>
    <row r="2" ht="42" customHeight="1">
      <c r="A2" s="2" t="inlineStr">
        <is>
          <t>Every figure here is a formula over 07_Test_Cases. Fill in the Status column there and these update by themselves; nothing on this sheet is typed, for the same reason the release manifest is generated rather than written.</t>
        </is>
      </c>
    </row>
    <row r="3" ht="30" customHeight="1">
      <c r="A3" s="7" t="inlineStr">
        <is>
          <t>Metric</t>
        </is>
      </c>
      <c r="B3" s="7" t="inlineStr">
        <is>
          <t>Value</t>
        </is>
      </c>
      <c r="C3" s="7" t="inlineStr">
        <is>
          <t>Note</t>
        </is>
      </c>
    </row>
    <row r="4">
      <c r="A4" s="3" t="inlineStr">
        <is>
          <t>Total test cases</t>
        </is>
      </c>
      <c r="B4" s="3">
        <f>COUNTA('07_Test_Cases'!A4:A75)</f>
        <v/>
      </c>
      <c r="C4" s="3" t="inlineStr">
        <is>
          <t>All cases in the pack.</t>
        </is>
      </c>
    </row>
    <row r="5">
      <c r="A5" s="4" t="inlineStr">
        <is>
          <t>Positive cases</t>
        </is>
      </c>
      <c r="B5" s="4">
        <f>COUNTIF('07_Test_Cases'!E4:E75,"Positive")</f>
        <v/>
      </c>
      <c r="C5" s="4" t="inlineStr">
        <is>
          <t>Does it do what it should?</t>
        </is>
      </c>
    </row>
    <row r="6">
      <c r="A6" s="3" t="inlineStr">
        <is>
          <t>Negative cases</t>
        </is>
      </c>
      <c r="B6" s="3">
        <f>COUNTIF('07_Test_Cases'!E4:E75,"Negative")</f>
        <v/>
      </c>
      <c r="C6" s="3" t="inlineStr">
        <is>
          <t>Does it refuse what it should? Historically where the defects are.</t>
        </is>
      </c>
    </row>
    <row r="7">
      <c r="A7" s="4" t="inlineStr">
        <is>
          <t>P0 cases</t>
        </is>
      </c>
      <c r="B7" s="4">
        <f>COUNTIF('07_Test_Cases'!F4:F75,"P0")</f>
        <v/>
      </c>
      <c r="C7" s="4" t="inlineStr">
        <is>
          <t>Must pass or be explicitly waived.</t>
        </is>
      </c>
    </row>
    <row r="8">
      <c r="A8" s="3" t="inlineStr">
        <is>
          <t>Total steps</t>
        </is>
      </c>
      <c r="B8" s="3">
        <f>SUM('07_Test_Cases'!I4:I75)</f>
        <v/>
      </c>
      <c r="C8" s="3" t="inlineStr">
        <is>
          <t>Numbered, individually recordable steps.</t>
        </is>
      </c>
    </row>
    <row r="9">
      <c r="A9" s="4" t="inlineStr">
        <is>
          <t>Passed</t>
        </is>
      </c>
      <c r="B9" s="4">
        <f>COUNTIF('07_Test_Cases'!N4:N75,"Pass")</f>
        <v/>
      </c>
      <c r="C9" s="4" t="inlineStr"/>
    </row>
    <row r="10">
      <c r="A10" s="3" t="inlineStr">
        <is>
          <t>Failed</t>
        </is>
      </c>
      <c r="B10" s="3">
        <f>COUNTIF('07_Test_Cases'!N4:N75,"Fail")</f>
        <v/>
      </c>
      <c r="C10" s="3" t="inlineStr">
        <is>
          <t>Each must appear in 10_Defect_Log.</t>
        </is>
      </c>
    </row>
    <row r="11">
      <c r="A11" s="4" t="inlineStr">
        <is>
          <t>Blocked</t>
        </is>
      </c>
      <c r="B11" s="4">
        <f>COUNTIF('07_Test_Cases'!N4:N75,"Blocked")</f>
        <v/>
      </c>
      <c r="C11" s="4" t="inlineStr">
        <is>
          <t>Expected to be 5 until an account or environment exists (TC-056..TC-060).</t>
        </is>
      </c>
    </row>
    <row r="12">
      <c r="A12" s="3" t="inlineStr">
        <is>
          <t>Not run</t>
        </is>
      </c>
      <c r="B12" s="3">
        <f>COUNTIF('07_Test_Cases'!N4:N75,"Not Run")</f>
        <v/>
      </c>
      <c r="C12" s="3" t="inlineStr">
        <is>
          <t>Must be zero at exit for P0 cases.</t>
        </is>
      </c>
    </row>
    <row r="13">
      <c r="A13" s="4" t="inlineStr">
        <is>
          <t>Executed %</t>
        </is>
      </c>
      <c r="B13" s="4">
        <f>IFERROR(ROUND((COUNTIF('07_Test_Cases'!N4:N75,"Pass")+COUNTIF('07_Test_Cases'!N4:N75,"Fail"))/COUNTA('07_Test_Cases'!A4:A75)*100,1),0)</f>
        <v/>
      </c>
      <c r="C13" s="4" t="inlineStr">
        <is>
          <t>Of all cases, including the ones that cannot be run.</t>
        </is>
      </c>
    </row>
    <row r="14">
      <c r="A14" s="3" t="inlineStr">
        <is>
          <t>Pass rate of executed %</t>
        </is>
      </c>
      <c r="B14" s="3">
        <f>IFERROR(ROUND(COUNTIF('07_Test_Cases'!N4:N75,"Pass")/(COUNTIF('07_Test_Cases'!N4:N75,"Pass")+COUNTIF('07_Test_Cases'!N4:N75,"Fail"))*100,1),0)</f>
        <v/>
      </c>
      <c r="C14" s="3" t="inlineStr">
        <is>
          <t>The honest headline: excludes blocked and not-run.</t>
        </is>
      </c>
    </row>
    <row r="17">
      <c r="A17" s="5" t="inlineStr">
        <is>
          <t>BY MODULE</t>
        </is>
      </c>
    </row>
    <row r="18">
      <c r="A18" s="21" t="inlineStr">
        <is>
          <t>Module</t>
        </is>
      </c>
      <c r="B18" s="21" t="inlineStr">
        <is>
          <t>Cases</t>
        </is>
      </c>
      <c r="C18" s="21" t="inlineStr">
        <is>
          <t>Passed</t>
        </is>
      </c>
    </row>
    <row r="19">
      <c r="A19" s="3" t="inlineStr">
        <is>
          <t>Abuse controls</t>
        </is>
      </c>
      <c r="B19" s="3">
        <f>COUNTIF('07_Test_Cases'!C4:C75,"Abuse controls")</f>
        <v/>
      </c>
      <c r="C19" s="3">
        <f>COUNTIFS('07_Test_Cases'!C4:C75,"Abuse controls",'07_Test_Cases'!N4:N75,"Pass")</f>
        <v/>
      </c>
    </row>
    <row r="20">
      <c r="A20" s="4" t="inlineStr">
        <is>
          <t>App card</t>
        </is>
      </c>
      <c r="B20" s="4">
        <f>COUNTIF('07_Test_Cases'!C4:C75,"App card")</f>
        <v/>
      </c>
      <c r="C20" s="4">
        <f>COUNTIFS('07_Test_Cases'!C4:C75,"App card",'07_Test_Cases'!N4:N75,"Pass")</f>
        <v/>
      </c>
    </row>
    <row r="21">
      <c r="A21" s="3" t="inlineStr">
        <is>
          <t>Approvals (chain)</t>
        </is>
      </c>
      <c r="B21" s="3">
        <f>COUNTIF('07_Test_Cases'!C4:C75,"Approvals (chain)")</f>
        <v/>
      </c>
      <c r="C21" s="3">
        <f>COUNTIFS('07_Test_Cases'!C4:C75,"Approvals (chain)",'07_Test_Cases'!N4:N75,"Pass")</f>
        <v/>
      </c>
    </row>
    <row r="22">
      <c r="A22" s="4" t="inlineStr">
        <is>
          <t>Billing</t>
        </is>
      </c>
      <c r="B22" s="4">
        <f>COUNTIF('07_Test_Cases'!C4:C75,"Billing")</f>
        <v/>
      </c>
      <c r="C22" s="4">
        <f>COUNTIFS('07_Test_Cases'!C4:C75,"Billing",'07_Test_Cases'!N4:N75,"Pass")</f>
        <v/>
      </c>
    </row>
    <row r="23">
      <c r="A23" s="3" t="inlineStr">
        <is>
          <t>Billing (trial)</t>
        </is>
      </c>
      <c r="B23" s="3">
        <f>COUNTIF('07_Test_Cases'!C4:C75,"Billing (trial)")</f>
        <v/>
      </c>
      <c r="C23" s="3">
        <f>COUNTIFS('07_Test_Cases'!C4:C75,"Billing (trial)",'07_Test_Cases'!N4:N75,"Pass")</f>
        <v/>
      </c>
    </row>
    <row r="24">
      <c r="A24" s="4" t="inlineStr">
        <is>
          <t>Boot safety</t>
        </is>
      </c>
      <c r="B24" s="4">
        <f>COUNTIF('07_Test_Cases'!C4:C75,"Boot safety")</f>
        <v/>
      </c>
      <c r="C24" s="4">
        <f>COUNTIFS('07_Test_Cases'!C4:C75,"Boot safety",'07_Test_Cases'!N4:N75,"Pass")</f>
        <v/>
      </c>
    </row>
    <row r="25">
      <c r="A25" s="3" t="inlineStr">
        <is>
          <t>CPQ persistence</t>
        </is>
      </c>
      <c r="B25" s="3">
        <f>COUNTIF('07_Test_Cases'!C4:C75,"CPQ persistence")</f>
        <v/>
      </c>
      <c r="C25" s="3">
        <f>COUNTIFS('07_Test_Cases'!C4:C75,"CPQ persistence",'07_Test_Cases'!N4:N75,"Pass")</f>
        <v/>
      </c>
    </row>
    <row r="26">
      <c r="A26" s="4" t="inlineStr">
        <is>
          <t>Configuration</t>
        </is>
      </c>
      <c r="B26" s="4">
        <f>COUNTIF('07_Test_Cases'!C4:C75,"Configuration")</f>
        <v/>
      </c>
      <c r="C26" s="4">
        <f>COUNTIFS('07_Test_Cases'!C4:C75,"Configuration",'07_Test_Cases'!N4:N75,"Pass")</f>
        <v/>
      </c>
    </row>
    <row r="27">
      <c r="A27" s="3" t="inlineStr">
        <is>
          <t>Data lifecycle</t>
        </is>
      </c>
      <c r="B27" s="3">
        <f>COUNTIF('07_Test_Cases'!C4:C75,"Data lifecycle")</f>
        <v/>
      </c>
      <c r="C27" s="3">
        <f>COUNTIFS('07_Test_Cases'!C4:C75,"Data lifecycle",'07_Test_Cases'!N4:N75,"Pass")</f>
        <v/>
      </c>
    </row>
    <row r="28">
      <c r="A28" s="4" t="inlineStr">
        <is>
          <t>Deal desk</t>
        </is>
      </c>
      <c r="B28" s="4">
        <f>COUNTIF('07_Test_Cases'!C4:C75,"Deal desk")</f>
        <v/>
      </c>
      <c r="C28" s="4">
        <f>COUNTIFS('07_Test_Cases'!C4:C75,"Deal desk",'07_Test_Cases'!N4:N75,"Pass")</f>
        <v/>
      </c>
    </row>
    <row r="29">
      <c r="A29" s="3" t="inlineStr">
        <is>
          <t>Deal sync</t>
        </is>
      </c>
      <c r="B29" s="3">
        <f>COUNTIF('07_Test_Cases'!C4:C75,"Deal sync")</f>
        <v/>
      </c>
      <c r="C29" s="3">
        <f>COUNTIFS('07_Test_Cases'!C4:C75,"Deal sync",'07_Test_Cases'!N4:N75,"Pass")</f>
        <v/>
      </c>
    </row>
    <row r="30">
      <c r="A30" s="4" t="inlineStr">
        <is>
          <t>Deploy (PENDING)</t>
        </is>
      </c>
      <c r="B30" s="4">
        <f>COUNTIF('07_Test_Cases'!C4:C75,"Deploy (PENDING)")</f>
        <v/>
      </c>
      <c r="C30" s="4">
        <f>COUNTIFS('07_Test_Cases'!C4:C75,"Deploy (PENDING)",'07_Test_Cases'!N4:N75,"Pass")</f>
        <v/>
      </c>
    </row>
    <row r="31">
      <c r="A31" s="3" t="inlineStr">
        <is>
          <t>Durability</t>
        </is>
      </c>
      <c r="B31" s="3">
        <f>COUNTIF('07_Test_Cases'!C4:C75,"Durability")</f>
        <v/>
      </c>
      <c r="C31" s="3">
        <f>COUNTIFS('07_Test_Cases'!C4:C75,"Durability",'07_Test_Cases'!N4:N75,"Pass")</f>
        <v/>
      </c>
    </row>
    <row r="32">
      <c r="A32" s="4" t="inlineStr">
        <is>
          <t>E-signature</t>
        </is>
      </c>
      <c r="B32" s="4">
        <f>COUNTIF('07_Test_Cases'!C4:C75,"E-signature")</f>
        <v/>
      </c>
      <c r="C32" s="4">
        <f>COUNTIFS('07_Test_Cases'!C4:C75,"E-signature",'07_Test_Cases'!N4:N75,"Pass")</f>
        <v/>
      </c>
    </row>
    <row r="33">
      <c r="A33" s="3" t="inlineStr">
        <is>
          <t>Entitlements</t>
        </is>
      </c>
      <c r="B33" s="3">
        <f>COUNTIF('07_Test_Cases'!C4:C75,"Entitlements")</f>
        <v/>
      </c>
      <c r="C33" s="3">
        <f>COUNTIFS('07_Test_Cases'!C4:C75,"Entitlements",'07_Test_Cases'!N4:N75,"Pass")</f>
        <v/>
      </c>
    </row>
    <row r="34">
      <c r="A34" s="4" t="inlineStr">
        <is>
          <t>HubSpot sync</t>
        </is>
      </c>
      <c r="B34" s="4">
        <f>COUNTIF('07_Test_Cases'!C4:C75,"HubSpot sync")</f>
        <v/>
      </c>
      <c r="C34" s="4">
        <f>COUNTIFS('07_Test_Cases'!C4:C75,"HubSpot sync",'07_Test_Cases'!N4:N75,"Pass")</f>
        <v/>
      </c>
    </row>
    <row r="35">
      <c r="A35" s="3" t="inlineStr">
        <is>
          <t>Identity</t>
        </is>
      </c>
      <c r="B35" s="3">
        <f>COUNTIF('07_Test_Cases'!C4:C75,"Identity")</f>
        <v/>
      </c>
      <c r="C35" s="3">
        <f>COUNTIFS('07_Test_Cases'!C4:C75,"Identity",'07_Test_Cases'!N4:N75,"Pass")</f>
        <v/>
      </c>
    </row>
    <row r="36">
      <c r="A36" s="4" t="inlineStr">
        <is>
          <t>Import</t>
        </is>
      </c>
      <c r="B36" s="4">
        <f>COUNTIF('07_Test_Cases'!C4:C75,"Import")</f>
        <v/>
      </c>
      <c r="C36" s="4">
        <f>COUNTIFS('07_Test_Cases'!C4:C75,"Import",'07_Test_Cases'!N4:N75,"Pass")</f>
        <v/>
      </c>
    </row>
    <row r="37">
      <c r="A37" s="3" t="inlineStr">
        <is>
          <t>Install &amp; OAuth</t>
        </is>
      </c>
      <c r="B37" s="3">
        <f>COUNTIF('07_Test_Cases'!C4:C75,"Install &amp; OAuth")</f>
        <v/>
      </c>
      <c r="C37" s="3">
        <f>COUNTIFS('07_Test_Cases'!C4:C75,"Install &amp; OAuth",'07_Test_Cases'!N4:N75,"Pass")</f>
        <v/>
      </c>
    </row>
    <row r="38">
      <c r="A38" s="4" t="inlineStr">
        <is>
          <t>Launch readiness</t>
        </is>
      </c>
      <c r="B38" s="4">
        <f>COUNTIF('07_Test_Cases'!C4:C75,"Launch readiness")</f>
        <v/>
      </c>
      <c r="C38" s="4">
        <f>COUNTIFS('07_Test_Cases'!C4:C75,"Launch readiness",'07_Test_Cases'!N4:N75,"Pass")</f>
        <v/>
      </c>
    </row>
    <row r="39">
      <c r="A39" s="3" t="inlineStr">
        <is>
          <t>Live billing (PENDING)</t>
        </is>
      </c>
      <c r="B39" s="3">
        <f>COUNTIF('07_Test_Cases'!C4:C75,"Live billing (PENDING)")</f>
        <v/>
      </c>
      <c r="C39" s="3">
        <f>COUNTIFS('07_Test_Cases'!C4:C75,"Live billing (PENDING)",'07_Test_Cases'!N4:N75,"Pass")</f>
        <v/>
      </c>
    </row>
    <row r="40">
      <c r="A40" s="4" t="inlineStr">
        <is>
          <t>Live install (PENDING)</t>
        </is>
      </c>
      <c r="B40" s="4">
        <f>COUNTIF('07_Test_Cases'!C4:C75,"Live install (PENDING)")</f>
        <v/>
      </c>
      <c r="C40" s="4">
        <f>COUNTIFS('07_Test_Cases'!C4:C75,"Live install (PENDING)",'07_Test_Cases'!N4:N75,"Pass")</f>
        <v/>
      </c>
    </row>
    <row r="41">
      <c r="A41" s="3" t="inlineStr">
        <is>
          <t>Load (PENDING)</t>
        </is>
      </c>
      <c r="B41" s="3">
        <f>COUNTIF('07_Test_Cases'!C4:C75,"Load (PENDING)")</f>
        <v/>
      </c>
      <c r="C41" s="3">
        <f>COUNTIFS('07_Test_Cases'!C4:C75,"Load (PENDING)",'07_Test_Cases'!N4:N75,"Pass")</f>
        <v/>
      </c>
    </row>
    <row r="42">
      <c r="A42" s="4" t="inlineStr">
        <is>
          <t>Operations</t>
        </is>
      </c>
      <c r="B42" s="4">
        <f>COUNTIF('07_Test_Cases'!C4:C75,"Operations")</f>
        <v/>
      </c>
      <c r="C42" s="4">
        <f>COUNTIFS('07_Test_Cases'!C4:C75,"Operations",'07_Test_Cases'!N4:N75,"Pass")</f>
        <v/>
      </c>
    </row>
    <row r="43">
      <c r="A43" s="3" t="inlineStr">
        <is>
          <t>Posture</t>
        </is>
      </c>
      <c r="B43" s="3">
        <f>COUNTIF('07_Test_Cases'!C4:C75,"Posture")</f>
        <v/>
      </c>
      <c r="C43" s="3">
        <f>COUNTIFS('07_Test_Cases'!C4:C75,"Posture",'07_Test_Cases'!N4:N75,"Pass")</f>
        <v/>
      </c>
    </row>
    <row r="44">
      <c r="A44" s="4" t="inlineStr">
        <is>
          <t>Price book</t>
        </is>
      </c>
      <c r="B44" s="4">
        <f>COUNTIF('07_Test_Cases'!C4:C75,"Price book")</f>
        <v/>
      </c>
      <c r="C44" s="4">
        <f>COUNTIFS('07_Test_Cases'!C4:C75,"Price book",'07_Test_Cases'!N4:N75,"Pass")</f>
        <v/>
      </c>
    </row>
    <row r="45">
      <c r="A45" s="3" t="inlineStr">
        <is>
          <t>Pricing</t>
        </is>
      </c>
      <c r="B45" s="3">
        <f>COUNTIF('07_Test_Cases'!C4:C75,"Pricing")</f>
        <v/>
      </c>
      <c r="C45" s="3">
        <f>COUNTIFS('07_Test_Cases'!C4:C75,"Pricing",'07_Test_Cases'!N4:N75,"Pass")</f>
        <v/>
      </c>
    </row>
    <row r="46">
      <c r="A46" s="4" t="inlineStr">
        <is>
          <t>Quality system</t>
        </is>
      </c>
      <c r="B46" s="4">
        <f>COUNTIF('07_Test_Cases'!C4:C75,"Quality system")</f>
        <v/>
      </c>
      <c r="C46" s="4">
        <f>COUNTIFS('07_Test_Cases'!C4:C75,"Quality system",'07_Test_Cases'!N4:N75,"Pass")</f>
        <v/>
      </c>
    </row>
    <row r="47">
      <c r="A47" s="3" t="inlineStr">
        <is>
          <t>Quote</t>
        </is>
      </c>
      <c r="B47" s="3">
        <f>COUNTIF('07_Test_Cases'!C4:C75,"Quote")</f>
        <v/>
      </c>
      <c r="C47" s="3">
        <f>COUNTIFS('07_Test_Cases'!C4:C75,"Quote",'07_Test_Cases'!N4:N75,"Pass")</f>
        <v/>
      </c>
    </row>
    <row r="48">
      <c r="A48" s="4" t="inlineStr">
        <is>
          <t>RBAC</t>
        </is>
      </c>
      <c r="B48" s="4">
        <f>COUNTIF('07_Test_Cases'!C4:C75,"RBAC")</f>
        <v/>
      </c>
      <c r="C48" s="4">
        <f>COUNTIFS('07_Test_Cases'!C4:C75,"RBAC",'07_Test_Cases'!N4:N75,"Pass")</f>
        <v/>
      </c>
    </row>
    <row r="49">
      <c r="A49" s="3" t="inlineStr">
        <is>
          <t>Regression (cold review 1)</t>
        </is>
      </c>
      <c r="B49" s="3">
        <f>COUNTIF('07_Test_Cases'!C4:C75,"Regression (cold review 1)")</f>
        <v/>
      </c>
      <c r="C49" s="3">
        <f>COUNTIFS('07_Test_Cases'!C4:C75,"Regression (cold review 1)",'07_Test_Cases'!N4:N75,"Pass")</f>
        <v/>
      </c>
    </row>
    <row r="50">
      <c r="A50" s="4" t="inlineStr">
        <is>
          <t>Regression (cold reviews 2 and 3)</t>
        </is>
      </c>
      <c r="B50" s="4">
        <f>COUNTIF('07_Test_Cases'!C4:C75,"Regression (cold reviews 2 and 3)")</f>
        <v/>
      </c>
      <c r="C50" s="4">
        <f>COUNTIFS('07_Test_Cases'!C4:C75,"Regression (cold reviews 2 and 3)",'07_Test_Cases'!N4:N75,"Pass")</f>
        <v/>
      </c>
    </row>
    <row r="51">
      <c r="A51" s="3" t="inlineStr">
        <is>
          <t>Restore drill (PENDING)</t>
        </is>
      </c>
      <c r="B51" s="3">
        <f>COUNTIF('07_Test_Cases'!C4:C75,"Restore drill (PENDING)")</f>
        <v/>
      </c>
      <c r="C51" s="3">
        <f>COUNTIFS('07_Test_Cases'!C4:C75,"Restore drill (PENDING)",'07_Test_Cases'!N4:N75,"Pass")</f>
        <v/>
      </c>
    </row>
    <row r="52">
      <c r="A52" s="4" t="inlineStr">
        <is>
          <t>Store contract</t>
        </is>
      </c>
      <c r="B52" s="4">
        <f>COUNTIF('07_Test_Cases'!C4:C75,"Store contract")</f>
        <v/>
      </c>
      <c r="C52" s="4">
        <f>COUNTIFS('07_Test_Cases'!C4:C75,"Store contract",'07_Test_Cases'!N4:N75,"Pass")</f>
        <v/>
      </c>
    </row>
    <row r="53">
      <c r="A53" s="3" t="inlineStr">
        <is>
          <t>Tenancy</t>
        </is>
      </c>
      <c r="B53" s="3">
        <f>COUNTIF('07_Test_Cases'!C4:C75,"Tenancy")</f>
        <v/>
      </c>
      <c r="C53" s="3">
        <f>COUNTIFS('07_Test_Cases'!C4:C75,"Tenancy",'07_Test_Cases'!N4:N75,"Pass")</f>
        <v/>
      </c>
    </row>
    <row r="55">
      <c r="A55" s="5" t="inlineStr">
        <is>
          <t>BY VERSION</t>
        </is>
      </c>
    </row>
    <row r="56">
      <c r="A56" s="21" t="inlineStr">
        <is>
          <t>Version ID</t>
        </is>
      </c>
      <c r="B56" s="21" t="inlineStr">
        <is>
          <t>Cases</t>
        </is>
      </c>
      <c r="C56" s="21" t="inlineStr">
        <is>
          <t>Passed</t>
        </is>
      </c>
    </row>
    <row r="57">
      <c r="A57" s="3" t="inlineStr">
        <is>
          <t>VER-01</t>
        </is>
      </c>
      <c r="B57" s="3">
        <f>COUNTIF('07_Test_Cases'!B4:B75,"VER-01")</f>
        <v/>
      </c>
      <c r="C57" s="3">
        <f>COUNTIFS('07_Test_Cases'!B4:B75,"VER-01",'07_Test_Cases'!N4:N75,"Pass")</f>
        <v/>
      </c>
    </row>
    <row r="58">
      <c r="A58" s="4" t="inlineStr">
        <is>
          <t>VER-02</t>
        </is>
      </c>
      <c r="B58" s="4">
        <f>COUNTIF('07_Test_Cases'!B4:B75,"VER-02")</f>
        <v/>
      </c>
      <c r="C58" s="4">
        <f>COUNTIFS('07_Test_Cases'!B4:B75,"VER-02",'07_Test_Cases'!N4:N75,"Pass")</f>
        <v/>
      </c>
    </row>
    <row r="59">
      <c r="A59" s="3" t="inlineStr">
        <is>
          <t>VER-03</t>
        </is>
      </c>
      <c r="B59" s="3">
        <f>COUNTIF('07_Test_Cases'!B4:B75,"VER-03")</f>
        <v/>
      </c>
      <c r="C59" s="3">
        <f>COUNTIFS('07_Test_Cases'!B4:B75,"VER-03",'07_Test_Cases'!N4:N75,"Pass")</f>
        <v/>
      </c>
    </row>
    <row r="60">
      <c r="A60" s="4" t="inlineStr">
        <is>
          <t>VER-04</t>
        </is>
      </c>
      <c r="B60" s="4">
        <f>COUNTIF('07_Test_Cases'!B4:B75,"VER-04")</f>
        <v/>
      </c>
      <c r="C60" s="4">
        <f>COUNTIFS('07_Test_Cases'!B4:B75,"VER-04",'07_Test_Cases'!N4:N75,"Pass")</f>
        <v/>
      </c>
    </row>
    <row r="61">
      <c r="A61" s="3" t="inlineStr">
        <is>
          <t>VER-05</t>
        </is>
      </c>
      <c r="B61" s="3">
        <f>COUNTIF('07_Test_Cases'!B4:B75,"VER-05")</f>
        <v/>
      </c>
      <c r="C61" s="3">
        <f>COUNTIFS('07_Test_Cases'!B4:B75,"VER-05",'07_Test_Cases'!N4:N75,"Pass")</f>
        <v/>
      </c>
    </row>
    <row r="62">
      <c r="A62" s="4" t="inlineStr">
        <is>
          <t>VER-06</t>
        </is>
      </c>
      <c r="B62" s="4">
        <f>COUNTIF('07_Test_Cases'!B4:B75,"VER-06")</f>
        <v/>
      </c>
      <c r="C62" s="4">
        <f>COUNTIFS('07_Test_Cases'!B4:B75,"VER-06",'07_Test_Cases'!N4:N75,"Pass")</f>
        <v/>
      </c>
    </row>
    <row r="63">
      <c r="A63" s="3" t="inlineStr">
        <is>
          <t>VER-07</t>
        </is>
      </c>
      <c r="B63" s="3">
        <f>COUNTIF('07_Test_Cases'!B4:B75,"VER-07")</f>
        <v/>
      </c>
      <c r="C63" s="3">
        <f>COUNTIFS('07_Test_Cases'!B4:B75,"VER-07",'07_Test_Cases'!N4:N75,"Pass")</f>
        <v/>
      </c>
    </row>
    <row r="64">
      <c r="A64" s="4" t="inlineStr">
        <is>
          <t>VER-08</t>
        </is>
      </c>
      <c r="B64" s="4">
        <f>COUNTIF('07_Test_Cases'!B4:B75,"VER-08")</f>
        <v/>
      </c>
      <c r="C64" s="4">
        <f>COUNTIFS('07_Test_Cases'!B4:B75,"VER-08",'07_Test_Cases'!N4:N75,"Pass")</f>
        <v/>
      </c>
    </row>
    <row r="65">
      <c r="A65" s="3" t="inlineStr">
        <is>
          <t>VER-09</t>
        </is>
      </c>
      <c r="B65" s="3">
        <f>COUNTIF('07_Test_Cases'!B4:B75,"VER-09")</f>
        <v/>
      </c>
      <c r="C65" s="3">
        <f>COUNTIFS('07_Test_Cases'!B4:B75,"VER-09",'07_Test_Cases'!N4:N75,"Pass")</f>
        <v/>
      </c>
    </row>
    <row r="66">
      <c r="A66" s="4" t="inlineStr">
        <is>
          <t>VER-10</t>
        </is>
      </c>
      <c r="B66" s="4">
        <f>COUNTIF('07_Test_Cases'!B4:B75,"VER-10")</f>
        <v/>
      </c>
      <c r="C66" s="4">
        <f>COUNTIFS('07_Test_Cases'!B4:B75,"VER-10",'07_Test_Cases'!N4:N75,"Pass")</f>
        <v/>
      </c>
    </row>
    <row r="67">
      <c r="A67" s="3" t="inlineStr">
        <is>
          <t>VER-11</t>
        </is>
      </c>
      <c r="B67" s="3">
        <f>COUNTIF('07_Test_Cases'!B4:B75,"VER-11")</f>
        <v/>
      </c>
      <c r="C67" s="3">
        <f>COUNTIFS('07_Test_Cases'!B4:B75,"VER-11",'07_Test_Cases'!N4:N75,"Pass")</f>
        <v/>
      </c>
    </row>
    <row r="68">
      <c r="A68" s="4" t="inlineStr">
        <is>
          <t>VER-12</t>
        </is>
      </c>
      <c r="B68" s="4">
        <f>COUNTIF('07_Test_Cases'!B4:B75,"VER-12")</f>
        <v/>
      </c>
      <c r="C68" s="4">
        <f>COUNTIFS('07_Test_Cases'!B4:B75,"VER-12",'07_Test_Cases'!N4:N75,"Pass")</f>
        <v/>
      </c>
    </row>
    <row r="69">
      <c r="A69" s="3" t="inlineStr">
        <is>
          <t>VER-13</t>
        </is>
      </c>
      <c r="B69" s="3">
        <f>COUNTIF('07_Test_Cases'!B4:B75,"VER-13")</f>
        <v/>
      </c>
      <c r="C69" s="3">
        <f>COUNTIFS('07_Test_Cases'!B4:B75,"VER-13",'07_Test_Cases'!N4:N75,"Pass")</f>
        <v/>
      </c>
    </row>
    <row r="70">
      <c r="A70" s="4" t="inlineStr">
        <is>
          <t>VER-14</t>
        </is>
      </c>
      <c r="B70" s="4">
        <f>COUNTIF('07_Test_Cases'!B4:B75,"VER-14")</f>
        <v/>
      </c>
      <c r="C70" s="4">
        <f>COUNTIFS('07_Test_Cases'!B4:B75,"VER-14",'07_Test_Cases'!N4:N75,"Pass")</f>
        <v/>
      </c>
    </row>
    <row r="71">
      <c r="A71" s="3" t="inlineStr">
        <is>
          <t>VER-15</t>
        </is>
      </c>
      <c r="B71" s="3">
        <f>COUNTIF('07_Test_Cases'!B4:B75,"VER-15")</f>
        <v/>
      </c>
      <c r="C71" s="3">
        <f>COUNTIFS('07_Test_Cases'!B4:B75,"VER-15",'07_Test_Cases'!N4:N75,"Pass")</f>
        <v/>
      </c>
    </row>
    <row r="72">
      <c r="A72" s="4" t="inlineStr">
        <is>
          <t>VER-16</t>
        </is>
      </c>
      <c r="B72" s="4">
        <f>COUNTIF('07_Test_Cases'!B4:B75,"VER-16")</f>
        <v/>
      </c>
      <c r="C72" s="4">
        <f>COUNTIFS('07_Test_Cases'!B4:B75,"VER-16",'07_Test_Cases'!N4:N75,"Pass")</f>
        <v/>
      </c>
    </row>
    <row r="73">
      <c r="A73" s="3" t="inlineStr">
        <is>
          <t>VER-17</t>
        </is>
      </c>
      <c r="B73" s="3">
        <f>COUNTIF('07_Test_Cases'!B4:B75,"VER-17")</f>
        <v/>
      </c>
      <c r="C73" s="3">
        <f>COUNTIFS('07_Test_Cases'!B4:B75,"VER-17",'07_Test_Cases'!N4:N75,"Pass")</f>
        <v/>
      </c>
    </row>
    <row r="74">
      <c r="A74" s="4" t="inlineStr">
        <is>
          <t>VER-18</t>
        </is>
      </c>
      <c r="B74" s="4">
        <f>COUNTIF('07_Test_Cases'!B4:B75,"VER-18")</f>
        <v/>
      </c>
      <c r="C74" s="4">
        <f>COUNTIFS('07_Test_Cases'!B4:B75,"VER-18",'07_Test_Cases'!N4:N75,"Pass")</f>
        <v/>
      </c>
    </row>
    <row r="75">
      <c r="A75" s="3" t="inlineStr">
        <is>
          <t>VER-19</t>
        </is>
      </c>
      <c r="B75" s="3">
        <f>COUNTIF('07_Test_Cases'!B4:B75,"VER-19")</f>
        <v/>
      </c>
      <c r="C75" s="3">
        <f>COUNTIFS('07_Test_Cases'!B4:B75,"VER-19",'07_Test_Cases'!N4:N75,"Pass")</f>
        <v/>
      </c>
    </row>
    <row r="76">
      <c r="A76" s="4" t="inlineStr">
        <is>
          <t>VER-20</t>
        </is>
      </c>
      <c r="B76" s="4">
        <f>COUNTIF('07_Test_Cases'!B4:B75,"VER-20")</f>
        <v/>
      </c>
      <c r="C76" s="4">
        <f>COUNTIFS('07_Test_Cases'!B4:B75,"VER-20",'07_Test_Cases'!N4:N75,"Pass")</f>
        <v/>
      </c>
    </row>
    <row r="77">
      <c r="A77" s="3" t="inlineStr">
        <is>
          <t>VER-21</t>
        </is>
      </c>
      <c r="B77" s="3">
        <f>COUNTIF('07_Test_Cases'!B4:B75,"VER-21")</f>
        <v/>
      </c>
      <c r="C77" s="3">
        <f>COUNTIFS('07_Test_Cases'!B4:B75,"VER-21",'07_Test_Cases'!N4:N75,"Pass")</f>
        <v/>
      </c>
    </row>
    <row r="78">
      <c r="A78" s="4" t="inlineStr">
        <is>
          <t>VER-22</t>
        </is>
      </c>
      <c r="B78" s="4">
        <f>COUNTIF('07_Test_Cases'!B4:B75,"VER-22")</f>
        <v/>
      </c>
      <c r="C78" s="4">
        <f>COUNTIFS('07_Test_Cases'!B4:B75,"VER-22",'07_Test_Cases'!N4:N75,"Pass")</f>
        <v/>
      </c>
    </row>
  </sheetData>
  <autoFilter ref="A3:C3"/>
  <mergeCells count="2">
    <mergeCell ref="A1:C1"/>
    <mergeCell ref="A2:C2"/>
  </mergeCells>
  <pageMargins left="0.75" right="0.75" top="1" bottom="1" header="0.5" footer="0.5"/>
</worksheet>
</file>

<file path=xl/worksheets/sheet14.xml><?xml version="1.0" encoding="utf-8"?>
<worksheet xmlns="http://schemas.openxmlformats.org/spreadsheetml/2006/main">
  <sheetPr>
    <tabColor rgb="001F3864"/>
    <outlinePr summaryBelow="1" summaryRight="1"/>
    <pageSetUpPr/>
  </sheetPr>
  <dimension ref="A1:C18"/>
  <sheetViews>
    <sheetView workbookViewId="0">
      <pane ySplit="3" topLeftCell="A4" activePane="bottomLeft" state="frozen"/>
      <selection pane="bottomLeft" activeCell="A1" sqref="A1"/>
    </sheetView>
  </sheetViews>
  <sheetFormatPr baseColWidth="8" defaultRowHeight="15"/>
  <cols>
    <col width="30" customWidth="1" min="1" max="1"/>
    <col width="56" customWidth="1" min="2" max="2"/>
    <col width="96" customWidth="1" min="3" max="3"/>
  </cols>
  <sheetData>
    <row r="1" ht="24" customHeight="1">
      <c r="A1" s="1" t="inlineStr">
        <is>
          <t>EXECUTION RECORD AND SIGN-OFF</t>
        </is>
      </c>
    </row>
    <row r="2" ht="42" customHeight="1">
      <c r="A2" s="2" t="inlineStr">
        <is>
          <t>One block per execution cycle. Copy the block for each new cycle; a cycle is not complete until it is signed and dated.</t>
        </is>
      </c>
    </row>
    <row r="3" ht="30" customHeight="1">
      <c r="A3" s="7" t="inlineStr">
        <is>
          <t>Field</t>
        </is>
      </c>
      <c r="B3" s="7" t="inlineStr">
        <is>
          <t>Value</t>
        </is>
      </c>
      <c r="C3" s="7" t="inlineStr">
        <is>
          <t>Guidance</t>
        </is>
      </c>
    </row>
    <row r="4">
      <c r="A4" s="3" t="inlineStr">
        <is>
          <t>Cycle reference</t>
        </is>
      </c>
      <c r="B4" s="3" t="inlineStr"/>
      <c r="C4" s="3" t="inlineStr">
        <is>
          <t>e.g. CYC-001. Reference it in 10_Defect_Log entries.</t>
        </is>
      </c>
    </row>
    <row r="5">
      <c r="A5" s="4" t="inlineStr">
        <is>
          <t>Build / tree hash tested</t>
        </is>
      </c>
      <c r="B5" s="4" t="inlineStr"/>
      <c r="C5" s="4" t="inlineStr">
        <is>
          <t>Must match 01_Cover, or state why it differs.</t>
        </is>
      </c>
    </row>
    <row r="6">
      <c r="A6" s="3" t="inlineStr">
        <is>
          <t>Environment</t>
        </is>
      </c>
      <c r="B6" s="3" t="inlineStr"/>
      <c r="C6" s="3" t="inlineStr">
        <is>
          <t>Local in-memory, local Postgres, or a deployed target if one ever exists.</t>
        </is>
      </c>
    </row>
    <row r="7">
      <c r="A7" s="4" t="inlineStr">
        <is>
          <t>Cycle start</t>
        </is>
      </c>
      <c r="B7" s="4" t="inlineStr"/>
      <c r="C7" s="4" t="inlineStr"/>
    </row>
    <row r="8">
      <c r="A8" s="3" t="inlineStr">
        <is>
          <t>Cycle end</t>
        </is>
      </c>
      <c r="B8" s="3" t="inlineStr"/>
      <c r="C8" s="3" t="inlineStr"/>
    </row>
    <row r="9">
      <c r="A9" s="4" t="inlineStr">
        <is>
          <t>Cases executed</t>
        </is>
      </c>
      <c r="B9" s="4" t="inlineStr"/>
      <c r="C9" s="4" t="inlineStr">
        <is>
          <t>Take from 13_Test_Summary.</t>
        </is>
      </c>
    </row>
    <row r="10">
      <c r="A10" s="3" t="inlineStr">
        <is>
          <t>Pass / Fail / Blocked</t>
        </is>
      </c>
      <c r="B10" s="3" t="inlineStr"/>
      <c r="C10" s="3" t="inlineStr">
        <is>
          <t>Take from 13_Test_Summary.</t>
        </is>
      </c>
    </row>
    <row r="11">
      <c r="A11" s="4" t="inlineStr">
        <is>
          <t>Critical or High defects open at exit</t>
        </is>
      </c>
      <c r="B11" s="4" t="inlineStr"/>
      <c r="C11" s="4" t="inlineStr">
        <is>
          <t>If non-zero, a written waiver is required below.</t>
        </is>
      </c>
    </row>
    <row r="12">
      <c r="A12" s="3" t="inlineStr">
        <is>
          <t>Waiver (if any)</t>
        </is>
      </c>
      <c r="B12" s="3" t="inlineStr"/>
      <c r="C12" s="3" t="inlineStr">
        <is>
          <t>State the defect, the risk accepted, who accepted it and until when. A waiver with no expiry is a decision nobody will revisit.</t>
        </is>
      </c>
    </row>
    <row r="13">
      <c r="A13" s="4" t="inlineStr"/>
      <c r="B13" s="4" t="inlineStr"/>
      <c r="C13" s="4" t="inlineStr"/>
    </row>
    <row r="14">
      <c r="A14" s="3" t="inlineStr">
        <is>
          <t>Tested by</t>
        </is>
      </c>
      <c r="B14" s="3" t="inlineStr"/>
      <c r="C14" s="3" t="inlineStr">
        <is>
          <t>Name, role, date.</t>
        </is>
      </c>
    </row>
    <row r="15">
      <c r="A15" s="4" t="inlineStr">
        <is>
          <t>Reviewed by</t>
        </is>
      </c>
      <c r="B15" s="4" t="inlineStr"/>
      <c r="C15" s="4" t="inlineStr">
        <is>
          <t>Someone who did not execute the cases.</t>
        </is>
      </c>
    </row>
    <row r="16">
      <c r="A16" s="3" t="inlineStr">
        <is>
          <t>Accepted by</t>
        </is>
      </c>
      <c r="B16" s="3" t="inlineStr"/>
      <c r="C16" s="3" t="inlineStr">
        <is>
          <t>Product owner — Senthil/KP.</t>
        </is>
      </c>
    </row>
    <row r="17">
      <c r="A17" s="4" t="inlineStr"/>
      <c r="B17" s="4" t="inlineStr"/>
      <c r="C17" s="4" t="inlineStr"/>
    </row>
    <row r="18">
      <c r="A18" s="13" t="inlineStr">
        <is>
          <t>Statement of scope</t>
        </is>
      </c>
      <c r="B18" s="13" t="inlineStr">
        <is>
          <t>This cycle tested a build of QuoteFlow outside HubSpot. It does not and cannot constitute evidence that the product works inside a HubSpot portal.</t>
        </is>
      </c>
      <c r="C18" s="13" t="inlineStr">
        <is>
          <t>Leave this statement in place until TC-056 passes. It is the single most important caveat on any result this pack produces.</t>
        </is>
      </c>
    </row>
  </sheetData>
  <autoFilter ref="A3:C3"/>
  <mergeCells count="2">
    <mergeCell ref="A1:C1"/>
    <mergeCell ref="A2:C2"/>
  </mergeCells>
  <pageMargins left="0.75" right="0.75" top="1" bottom="1" header="0.5" footer="0.5"/>
</worksheet>
</file>

<file path=xl/worksheets/sheet15.xml><?xml version="1.0" encoding="utf-8"?>
<worksheet xmlns="http://schemas.openxmlformats.org/spreadsheetml/2006/main">
  <sheetPr>
    <tabColor rgb="001F3864"/>
    <outlinePr summaryBelow="1" summaryRight="1"/>
    <pageSetUpPr/>
  </sheetPr>
  <dimension ref="A1:B29"/>
  <sheetViews>
    <sheetView workbookViewId="0">
      <pane ySplit="3" topLeftCell="A4" activePane="bottomLeft" state="frozen"/>
      <selection pane="bottomLeft" activeCell="A1" sqref="A1"/>
    </sheetView>
  </sheetViews>
  <sheetFormatPr baseColWidth="8" defaultRowHeight="15"/>
  <cols>
    <col width="26" customWidth="1" min="1" max="1"/>
    <col width="130" customWidth="1" min="2" max="2"/>
  </cols>
  <sheetData>
    <row r="1" ht="24" customHeight="1">
      <c r="A1" s="1" t="inlineStr">
        <is>
          <t>GLOSSARY</t>
        </is>
      </c>
    </row>
    <row r="2" ht="42" customHeight="1">
      <c r="A2" s="2" t="inlineStr">
        <is>
          <t>Every term, code and abbreviation used in this pack, in one place.</t>
        </is>
      </c>
    </row>
    <row r="3" ht="30" customHeight="1">
      <c r="A3" s="7" t="inlineStr">
        <is>
          <t>Term</t>
        </is>
      </c>
      <c r="B3" s="7" t="inlineStr">
        <is>
          <t>Meaning</t>
        </is>
      </c>
    </row>
    <row r="4">
      <c r="A4" s="3" t="inlineStr">
        <is>
          <t>CPQ</t>
        </is>
      </c>
      <c r="B4" s="3" t="inlineStr">
        <is>
          <t>Configure, Price, Quote — the product category QuoteFlow sits in.</t>
        </is>
      </c>
    </row>
    <row r="5">
      <c r="A5" s="4" t="inlineStr">
        <is>
          <t>Portal</t>
        </is>
      </c>
      <c r="B5" s="4" t="inlineStr">
        <is>
          <t>A HubSpot customer account. The tenant boundary for everything in this product.</t>
        </is>
      </c>
    </row>
    <row r="6">
      <c r="A6" s="3" t="inlineStr">
        <is>
          <t>App card</t>
        </is>
      </c>
      <c r="B6" s="3" t="inlineStr">
        <is>
          <t>The React UI extension rendered on a HubSpot deal record. Replaces the legacy CRM card, which was deleted.</t>
        </is>
      </c>
    </row>
    <row r="7">
      <c r="A7" s="4" t="inlineStr">
        <is>
          <t>Projects app</t>
        </is>
      </c>
      <c r="B7" s="4" t="inlineStr">
        <is>
          <t>The HubSpot developer-platform packaging format (platformVersion 2026.03) that an app card must ship inside to be listable.</t>
        </is>
      </c>
    </row>
    <row r="8">
      <c r="A8" s="3" t="inlineStr">
        <is>
          <t>Session (X-QF-Session)</t>
        </is>
      </c>
      <c r="B8" s="3" t="inlineStr">
        <is>
          <t>A short-lived HMAC-signed token, the only identity the API accepts. Minted at POST /session/mint from a HubSpot-signed context.</t>
        </is>
      </c>
    </row>
    <row r="9">
      <c r="A9" s="4" t="inlineStr">
        <is>
          <t>RLS</t>
        </is>
      </c>
      <c r="B9" s="4" t="inlineStr">
        <is>
          <t>Row-level security: Postgres enforcing tenant isolation at the database, so a query that forgets its portal filter returns nothing.</t>
        </is>
      </c>
    </row>
    <row r="10">
      <c r="A10" s="3" t="inlineStr">
        <is>
          <t>GUC</t>
        </is>
      </c>
      <c r="B10" s="3" t="inlineStr">
        <is>
          <t>A Postgres runtime setting. Here, a transaction-local setting carrying the current portal id that RLS policies read.</t>
        </is>
      </c>
    </row>
    <row r="11">
      <c r="A11" s="4" t="inlineStr">
        <is>
          <t>Outbox</t>
        </is>
      </c>
      <c r="B11" s="4" t="inlineStr">
        <is>
          <t>The durable job table through which side effects (mail, deletions) are issued, with retry, backoff, dead-letter and replay.</t>
        </is>
      </c>
    </row>
    <row r="12">
      <c r="A12" s="3" t="inlineStr">
        <is>
          <t>Envelope encryption</t>
        </is>
      </c>
      <c r="B12" s="3" t="inlineStr">
        <is>
          <t>Encrypting each record with its own key, which is itself wrapped by a master key — so rotation re-wraps keys rather than re-encrypting data.</t>
        </is>
      </c>
    </row>
    <row r="13">
      <c r="A13" s="4" t="inlineStr">
        <is>
          <t>Waterfall</t>
        </is>
      </c>
      <c r="B13" s="4" t="inlineStr">
        <is>
          <t>The per-line price audit: list → book → bundle → rule → discount → channel → floor → fx, each step attributed.</t>
        </is>
      </c>
    </row>
    <row r="14">
      <c r="A14" s="3" t="inlineStr">
        <is>
          <t>DAG</t>
        </is>
      </c>
      <c r="B14" s="3" t="inlineStr">
        <is>
          <t>Directed acyclic graph — the approval shape that allows parallel branches, as opposed to a linear chain.</t>
        </is>
      </c>
    </row>
    <row r="15">
      <c r="A15" s="4" t="inlineStr">
        <is>
          <t>Quorum</t>
        </is>
      </c>
      <c r="B15" s="4" t="inlineStr">
        <is>
          <t>The number of distinct approvals a single approval node requires (e.g. two of three security reviewers).</t>
        </is>
      </c>
    </row>
    <row r="16">
      <c r="A16" s="3" t="inlineStr">
        <is>
          <t>Content hash</t>
        </is>
      </c>
      <c r="B16" s="3" t="inlineStr">
        <is>
          <t>A hash of the exact quote content a decision or signature was given against. Change the content and the hash changes, which is how stale approvals are invalidated.</t>
        </is>
      </c>
    </row>
    <row r="17">
      <c r="A17" s="4" t="inlineStr">
        <is>
          <t>Provenance (qf_managed)</t>
        </is>
      </c>
      <c r="B17" s="4" t="inlineStr">
        <is>
          <t>The property QuoteFlow writes on every line item it creates, so a later push can tell its own items from a rep’s.</t>
        </is>
      </c>
    </row>
    <row r="18">
      <c r="A18" s="3" t="inlineStr">
        <is>
          <t>Evidence class</t>
        </is>
      </c>
      <c r="B18" s="3" t="inlineStr">
        <is>
          <t>How strong a claim is: CODE, CONTRACT, LIVE, SECURITY, PERF, OPS or COMMERCIAL. Defined in full on 04_Context.</t>
        </is>
      </c>
    </row>
    <row r="19">
      <c r="A19" s="4" t="inlineStr">
        <is>
          <t>Regression floor</t>
        </is>
      </c>
      <c r="B19" s="4" t="inlineStr">
        <is>
          <t>What the 100% coverage gate actually is: it stops behaviour disappearing unnoticed. It is not a quality claim.</t>
        </is>
      </c>
    </row>
    <row r="20">
      <c r="A20" s="3" t="inlineStr">
        <is>
          <t>Claims register</t>
        </is>
      </c>
      <c r="B20" s="3" t="inlineStr">
        <is>
          <t>The list in src/services/evidence.ts pairing every published claim with the evidence classes it requires and holds. Enforced by CI.</t>
        </is>
      </c>
    </row>
    <row r="21">
      <c r="A21" s="4" t="inlineStr">
        <is>
          <t>CL-nn</t>
        </is>
      </c>
      <c r="B21" s="4" t="inlineStr">
        <is>
          <t>A claim in that register. CL-01 is "quotes are configured, priced and approved inside HubSpot"; CL-14 is "customers pay for QuoteFlow".</t>
        </is>
      </c>
    </row>
    <row r="22">
      <c r="A22" s="3" t="inlineStr">
        <is>
          <t>PXR-nnn</t>
        </is>
      </c>
      <c r="B22" s="3" t="inlineStr">
        <is>
          <t>A finding from external review V002 (Perplexity, 16 Sep 2026). PXR-001..PXR-016.</t>
        </is>
      </c>
    </row>
    <row r="23">
      <c r="A23" s="4" t="inlineStr">
        <is>
          <t>QF-nnn</t>
        </is>
      </c>
      <c r="B23" s="4" t="inlineStr">
        <is>
          <t>A finding from external review V001 (ChatGPT, 13 Sep 2026). QF-001..QF-014.</t>
        </is>
      </c>
    </row>
    <row r="24">
      <c r="A24" s="3" t="inlineStr">
        <is>
          <t>F-Qnn</t>
        </is>
      </c>
      <c r="B24" s="3" t="inlineStr">
        <is>
          <t>A defect from one of the three internal cold-review passes.</t>
        </is>
      </c>
    </row>
    <row r="25">
      <c r="A25" s="4" t="inlineStr">
        <is>
          <t>R-Qnn</t>
        </is>
      </c>
      <c r="B25" s="4" t="inlineStr">
        <is>
          <t>A RAID item — risk, assumption, issue or dependency. R-Q15 (no HubSpot developer account) is the one that gates the product.</t>
        </is>
      </c>
    </row>
    <row r="26">
      <c r="A26" s="3" t="inlineStr">
        <is>
          <t>DQnn</t>
        </is>
      </c>
      <c r="B26" s="3" t="inlineStr">
        <is>
          <t>A locked build decision. DQ40 (no blind scaffolding) was overruled on instruction and the overrule is recorded as such.</t>
        </is>
      </c>
    </row>
    <row r="27">
      <c r="A27" s="4" t="inlineStr">
        <is>
          <t>PSnn</t>
        </is>
      </c>
      <c r="B27" s="4" t="inlineStr">
        <is>
          <t>A sprint in the external review V002 remediation plan, PS13 through PS32.</t>
        </is>
      </c>
    </row>
    <row r="28">
      <c r="A28" s="3" t="inlineStr">
        <is>
          <t>ST-nnn</t>
        </is>
      </c>
      <c r="B28" s="3" t="inlineStr">
        <is>
          <t>A user story in the product backlog and traceability matrix.</t>
        </is>
      </c>
    </row>
    <row r="29">
      <c r="A29" s="4" t="inlineStr">
        <is>
          <t>Blocked (status)</t>
        </is>
      </c>
      <c r="B29" s="4" t="inlineStr">
        <is>
          <t>In this pack: the case could not be executed because an account, environment or purchase does not exist. Distinct from Fail.</t>
        </is>
      </c>
    </row>
  </sheetData>
  <autoFilter ref="A3:B3"/>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2026-09-20T17:31:29Z</dcterms:created>
  <dcterms:modified xmlns:dcterms="http://purl.org/dc/terms/" xmlns:xsi="http://www.w3.org/2001/XMLSchema-instance" xsi:type="dcterms:W3CDTF">2026-09-20T17:31:29Z</dcterms:modified>
</cp:coreProperties>
</file>