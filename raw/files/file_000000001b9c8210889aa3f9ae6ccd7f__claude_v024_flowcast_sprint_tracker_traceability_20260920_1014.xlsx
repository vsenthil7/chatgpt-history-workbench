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rsion_Control" sheetId="1" state="visible" r:id="rId1"/>
    <sheet xmlns:r="http://schemas.openxmlformats.org/officeDocument/2006/relationships" name="Sprint_Tracker_Log" sheetId="2" state="visible" r:id="rId2"/>
    <sheet xmlns:r="http://schemas.openxmlformats.org/officeDocument/2006/relationships" name="Decisions" sheetId="3" state="visible" r:id="rId3"/>
    <sheet xmlns:r="http://schemas.openxmlformats.org/officeDocument/2006/relationships" name="Release_Build_Boards" sheetId="4" state="visible" r:id="rId4"/>
    <sheet xmlns:r="http://schemas.openxmlformats.org/officeDocument/2006/relationships" name="Traceability_Matrix" sheetId="5" state="visible" r:id="rId5"/>
    <sheet xmlns:r="http://schemas.openxmlformats.org/officeDocument/2006/relationships" name="Sprint_Status_Rollup" sheetId="6" state="visible" r:id="rId6"/>
    <sheet xmlns:r="http://schemas.openxmlformats.org/officeDocument/2006/relationships" name="RAID_Carryover" sheetId="7" state="visible" r:id="rId7"/>
    <sheet xmlns:r="http://schemas.openxmlformats.org/officeDocument/2006/relationships" name="Gate_Checklist" sheetId="8" state="visible" r:id="rId8"/>
    <sheet xmlns:r="http://schemas.openxmlformats.org/officeDocument/2006/relationships" name="External_Review_FC" sheetId="9" state="visible" r:id="rId9"/>
    <sheet xmlns:r="http://schemas.openxmlformats.org/officeDocument/2006/relationships" name="External_Review_PPX" sheetId="10" state="visible" r:id="rId10"/>
    <sheet xmlns:r="http://schemas.openxmlformats.org/officeDocument/2006/relationships" name="Review_Findings"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sz val="10"/>
    </font>
    <font>
      <name val="Arial"/>
      <charset val="1"/>
      <family val="0"/>
      <b val="1"/>
      <color rgb="FFFFFFFF"/>
      <sz val="11"/>
    </font>
    <font>
      <name val="Arial"/>
      <charset val="1"/>
      <family val="0"/>
      <sz val="11"/>
    </font>
    <font>
      <name val="Arial"/>
      <charset val="1"/>
      <family val="0"/>
      <b val="1"/>
      <sz val="10"/>
    </font>
    <font>
      <name val="Arial"/>
      <charset val="1"/>
      <family val="0"/>
      <b val="1"/>
      <sz val="12"/>
    </font>
    <font>
      <name val="Arial"/>
      <charset val="1"/>
      <family val="0"/>
      <i val="1"/>
      <sz val="10"/>
    </font>
    <font>
      <name val="Arial"/>
      <b val="1"/>
      <color rgb="FFFFFFFF"/>
      <sz val="11"/>
    </font>
    <font>
      <name val="Arial"/>
      <sz val="11"/>
    </font>
  </fonts>
  <fills count="5">
    <fill>
      <patternFill/>
    </fill>
    <fill>
      <patternFill patternType="gray125"/>
    </fill>
    <fill>
      <patternFill patternType="solid">
        <fgColor rgb="FF2F5496"/>
        <bgColor rgb="FF666699"/>
      </patternFill>
    </fill>
    <fill>
      <patternFill patternType="solid">
        <fgColor rgb="FFDEEBF7"/>
        <bgColor rgb="FFCCFFFF"/>
      </patternFill>
    </fill>
    <fill>
      <patternFill patternType="solid">
        <fgColor rgb="FF2F5496"/>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bottom"/>
    </xf>
    <xf numFmtId="0" fontId="5" fillId="0" borderId="0" applyAlignment="1" pivotButton="0" quotePrefix="0" xfId="0">
      <alignment horizontal="general" vertical="top" wrapText="1"/>
    </xf>
    <xf numFmtId="0" fontId="7" fillId="0" borderId="0" applyAlignment="1" pivotButton="0" quotePrefix="0" xfId="0">
      <alignment horizontal="general" vertical="top" wrapText="1"/>
    </xf>
    <xf numFmtId="0" fontId="7" fillId="0" borderId="0"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5" fillId="0" borderId="0" applyAlignment="1" pivotButton="0" quotePrefix="0" xfId="0">
      <alignment horizontal="general" vertical="top" wrapText="1"/>
    </xf>
    <xf numFmtId="0" fontId="8"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9" fillId="0" borderId="0" pivotButton="0" quotePrefix="0" xfId="0"/>
    <xf numFmtId="0" fontId="10" fillId="0" borderId="0" pivotButton="0" quotePrefix="0" xfId="0"/>
    <xf numFmtId="0" fontId="11" fillId="4" borderId="0" applyAlignment="1" pivotButton="0" quotePrefix="0" xfId="0">
      <alignment vertical="top" wrapText="1"/>
    </xf>
    <xf numFmtId="0" fontId="12"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9" min="1" max="1"/>
    <col width="17" customWidth="1" style="19" min="2" max="2"/>
    <col width="20" customWidth="1" style="19" min="3" max="3"/>
    <col width="95" customWidth="1" style="19" min="4" max="4"/>
    <col width="10" customWidth="1" style="19" min="5" max="5"/>
  </cols>
  <sheetData>
    <row r="1" ht="15.75" customHeight="1" s="20">
      <c r="A1" s="21" t="inlineStr">
        <is>
          <t>VERSION CONTROL — FlowCast Sprint Tracker &amp; Traceability</t>
        </is>
      </c>
    </row>
    <row r="2" ht="15" customHeight="1" s="20">
      <c r="A2" s="22" t="inlineStr">
        <is>
          <t>File naming: claude_v&lt;NNN&gt;_&lt;proper file name&gt;_YYYYMMDD_HHMI. Consolidates the v008–v013 product-workbook run (10 Sep 2026, 22:01–23:03).</t>
        </is>
      </c>
    </row>
    <row r="3" ht="15" customHeight="1" s="20">
      <c r="A3" s="23" t="inlineStr">
        <is>
          <t>Version</t>
        </is>
      </c>
      <c r="B3" s="23" t="inlineStr">
        <is>
          <t>Date/Time</t>
        </is>
      </c>
      <c r="C3" s="23" t="inlineStr">
        <is>
          <t>Author</t>
        </is>
      </c>
      <c r="D3" s="23" t="inlineStr">
        <is>
          <t>Change Description</t>
        </is>
      </c>
      <c r="E3" s="23" t="inlineStr">
        <is>
          <t>Status</t>
        </is>
      </c>
    </row>
    <row r="4" ht="34.5" customHeight="1" s="20">
      <c r="A4" s="24" t="inlineStr">
        <is>
          <t>v001</t>
        </is>
      </c>
      <c r="B4" s="24" t="inlineStr">
        <is>
          <t>2026-09-10 23:08</t>
        </is>
      </c>
      <c r="C4" s="24" t="inlineStr">
        <is>
          <t>Claude for Senthil/KP</t>
        </is>
      </c>
      <c r="D4" s="24" t="inlineStr">
        <is>
          <t>THIS FILE — Live execution tracker for FlowCast (portfolio rank 12, Xero App Store): full event log of the v008–v013 build run, per-release build boards, 106-row traceability with done-in-version stamps, live status rollup, decisions, RAID, and the D7 completion gate. Source of truth for story data remains the product workbook (v013).</t>
        </is>
      </c>
      <c r="E4" s="24" t="inlineStr">
        <is>
          <t>Released</t>
        </is>
      </c>
    </row>
    <row r="5" ht="23.25" customHeight="1" s="20">
      <c r="A5" s="24" t="inlineStr">
        <is>
          <t>v002</t>
        </is>
      </c>
      <c r="B5" s="24" t="inlineStr">
        <is>
          <t>2026-09-11 11:09</t>
        </is>
      </c>
      <c r="C5" s="24" t="inlineStr">
        <is>
          <t>Claude for Senthil/KP</t>
        </is>
      </c>
      <c r="D5" s="24" t="inlineStr">
        <is>
          <t>Cold-review pass 1 + security sprint (workbook v014): 5 defects F-001..F-005 found+fixed with regressions (Review_Findings sheet added for Senthil dispositions); ST-066 encryption-at-rest module built; security evidence pack (sandbox half of ST-068) + REVIEW_PACK.md for external second reviewer. 18 suites / 207 tests at 100% zero pragmas. Statuses: ST-066 -&gt; Code-complete pending live, ST-068 -&gt; In progress. 78 Done-equivalent unchanged (honest-status rule: neither flips to Done)</t>
        </is>
      </c>
      <c r="E5" s="24" t="inlineStr">
        <is>
          <t>Released</t>
        </is>
      </c>
    </row>
    <row r="6" ht="23.25" customHeight="1" s="20">
      <c r="A6" s="24" t="inlineStr">
        <is>
          <t>v003</t>
        </is>
      </c>
      <c r="B6" s="24" t="inlineStr">
        <is>
          <t>2026-09-11 12:47</t>
        </is>
      </c>
      <c r="C6" s="24" t="inlineStr">
        <is>
          <t>Claude for Senthil/KP</t>
        </is>
      </c>
      <c r="D6" s="24" t="inlineStr">
        <is>
          <t>Cold-review pass 2 (workbook v015): 4 defects F-006..F-009 fixed with regressions across nudges/install/forecast/scenarios; 2 no-fix observations (OBS-001 backoff jitter, OBS-002 half-open probe concurrency) logged for disposition. 19 suites / 219 tests at 100% zero pragmas. Cold review complete across all 27 modules. Story statuses unchanged (fix work lands under existing Done stories; honest-status rule)</t>
        </is>
      </c>
      <c r="E6" s="24" t="inlineStr">
        <is>
          <t>Released</t>
        </is>
      </c>
    </row>
    <row r="7" ht="15" customHeight="1" s="20">
      <c r="A7" s="24" t="inlineStr">
        <is>
          <t>v004</t>
        </is>
      </c>
      <c r="B7" s="24" t="inlineStr">
        <is>
          <t>2026-09-11 15:27</t>
        </is>
      </c>
      <c r="C7" s="24" t="inlineStr">
        <is>
          <t>Claude for Senthil/KP</t>
        </is>
      </c>
      <c r="D7" s="24" t="inlineStr">
        <is>
          <t>Code-phase-completion wave (workbook v016): ST-081 chat+SLA engine (chat-vendor decision now optional — logged D-F6), ST-099 SEO engine half, ST-100 partner tracker with honest exit math, ST-080 help search + manifest gate, ST-095 pricing drift gate. All five Backlog/Drafted/In-progress codeable halves -&gt; Code-complete pending live. Backlog ZERO. 20 suites / 243 tests at 100% zero pragmas. FLOWCAST CODE PHASE COMPLETE — no further code sprints planned; v005 opens on live evidence, dispositions, or reviewer findings</t>
        </is>
      </c>
      <c r="E7" s="24" t="inlineStr">
        <is>
          <t>Released</t>
        </is>
      </c>
    </row>
    <row r="8" ht="23.25" customHeight="1" s="20">
      <c r="A8" s="24" t="inlineStr">
        <is>
          <t>v005</t>
        </is>
      </c>
      <c r="B8" s="24" t="inlineStr">
        <is>
          <t>2026-09-11 22:08</t>
        </is>
      </c>
      <c r="C8" s="24" t="inlineStr">
        <is>
          <t>Claude for Senthil/KP</t>
        </is>
      </c>
      <c r="D8" s="24" t="inlineStr">
        <is>
          <t>External verification sweep + artifact-gap audit (workbook v017): VER-001 live-blocking webhook body fixed, VER-002 daily budget added, VER-003 scope-audit self-consistency fixed, GAP-1/2 CI + blue/green artifacts built. 21 suites / 256 tests at 100% zero pragmas. Story statuses unchanged (verification hardening under existing stories). Sweep step 4 would have failed live without this pass</t>
        </is>
      </c>
      <c r="E8" s="24" t="inlineStr">
        <is>
          <t>Released</t>
        </is>
      </c>
    </row>
    <row r="9" ht="23.25" customHeight="1" s="20">
      <c r="A9" s="24" t="inlineStr">
        <is>
          <t>v006</t>
        </is>
      </c>
      <c r="B9" s="24" t="inlineStr">
        <is>
          <t>2026-09-13 10:25</t>
        </is>
      </c>
      <c r="C9" s="24" t="inlineStr">
        <is>
          <t>Claude for Senthil/KP</t>
        </is>
      </c>
      <c r="D9" s="24" t="inlineStr">
        <is>
          <t>Integration + artifact audit (workbook v018): GAP-F1 critical — no runnable application existed behind the documented boot/deploy path; INT-F1/F2 critical — the v014 plan-limit fix and the ST-066 token sealing had no callers; INT-F3/F5 — role matrix and read-only mode enforced nothing. Composition root + real HTTP app built and verified by booting the artifact. 22 suites / 283 tests at 100% zero pragmas. Story positions unchanged (integration correctness, not new stories). Lesson L-F1 logged</t>
        </is>
      </c>
      <c r="E9" s="24" t="inlineStr">
        <is>
          <t>Released</t>
        </is>
      </c>
    </row>
    <row r="10" ht="23.25" customHeight="1" s="20">
      <c r="A10" s="24" t="inlineStr">
        <is>
          <t>v007</t>
        </is>
      </c>
      <c r="B10" s="24" t="inlineStr">
        <is>
          <t>2026-09-13 10:38</t>
        </is>
      </c>
      <c r="C10" s="24" t="inlineStr">
        <is>
          <t>Claude for Senthil/KP</t>
        </is>
      </c>
      <c r="D10" s="24" t="inlineStr">
        <is>
          <t>Cold-review pass 3 (workbook v019) over the HTTP layer and composition root that v018 created: F3-01 no OAuth install routes (critical), F3-02 queue never drained + unbounded (critical), F3-03 OAuth CSRF state, F3-04 public /health leak. Dedupe tenant-scoping verified clean. R-F9 opened: no real XeroOAuthClient exists, so the routing half of sweep step 2 is closed but the client half remains. 23 suites / 317 tests at 100% zero pragmas. Story positions unchanged. Lesson L-F2 logged</t>
        </is>
      </c>
      <c r="E10" s="24" t="inlineStr">
        <is>
          <t>Released</t>
        </is>
      </c>
    </row>
    <row r="11" ht="15" customHeight="1" s="20">
      <c r="A11" s="24" t="inlineStr">
        <is>
          <t>v008</t>
        </is>
      </c>
      <c r="B11" s="24" t="inlineStr">
        <is>
          <t>2026-09-13 10:55</t>
        </is>
      </c>
      <c r="C11" s="24" t="inlineStr">
        <is>
          <t>Claude for Senthil/KP</t>
        </is>
      </c>
      <c r="D11" s="24" t="inlineStr">
        <is>
          <t>Portable reachability gate ported + wired into CI (workbook v020); first run found GAP-F2 (no scheduler existed — six periodic behaviours undriven, incl. the daily nudge cycle and the entire bank-poll mechanism) and R-F10 (TLS guard never called); 3 dead helpers deleted rather than exempted; R-F9 closed with the real Xero OAuth client. 25 suites / 348 tests at 100% zero pragmas. Story positions unchanged. Lesson L-F3 logged</t>
        </is>
      </c>
      <c r="E11" s="24" t="inlineStr">
        <is>
          <t>Released</t>
        </is>
      </c>
    </row>
    <row r="12" ht="15" customHeight="1" s="20">
      <c r="A12" s="24" t="inlineStr">
        <is>
          <t>v009</t>
        </is>
      </c>
      <c r="B12" s="24" t="inlineStr">
        <is>
          <t>2026-09-13 11:07</t>
        </is>
      </c>
      <c r="C12" s="24" t="inlineStr">
        <is>
          <t>Claude for Senthil/KP</t>
        </is>
      </c>
      <c r="D12" s="24" t="inlineStr">
        <is>
          <t>R-F10 closed with the Xero accounting-API client (paced + protected, safe date handling, single-fetch) and the published-claims gate ported (workbook v021). The claims gate did not work when first written — comments satisfied it; fixed across both gates and re-proved by deliberately breaking a promise. 27 suites / 377 tests at 100% zero pragmas. Story positions unchanged. Lesson L-F4</t>
        </is>
      </c>
      <c r="E12" s="24" t="inlineStr">
        <is>
          <t>Released</t>
        </is>
      </c>
    </row>
    <row r="13" ht="15" customHeight="1" s="20">
      <c r="A13" s="24" t="inlineStr">
        <is>
          <t>v010</t>
        </is>
      </c>
      <c r="B13" s="24" t="inlineStr">
        <is>
          <t>2026-09-13 11:15</t>
        </is>
      </c>
      <c r="C13" s="24" t="inlineStr">
        <is>
          <t>Claude for Senthil/KP</t>
        </is>
      </c>
      <c r="D13" s="24" t="inlineStr">
        <is>
          <t>Cold-review pass 4 (workbook v022) over the scheduler and accounting client built in the previous two sittings, under the L-F2 standing rule: 4 defects, all mine — F4-01 critical (only the first tenant was ever polled), F4-02 dunning counter not persisted, F4-03 full history fetched every poll, F4-04 failed drain lost its batch. Regressions proved against the reintroduced defect. 28 suites / 388 tests at 100% zero pragmas. Story positions unchanged. Lesson L-F5</t>
        </is>
      </c>
      <c r="E13" s="24" t="inlineStr">
        <is>
          <t>Released</t>
        </is>
      </c>
    </row>
    <row r="14" ht="15" customHeight="1" s="20">
      <c r="A14" s="24" t="inlineStr">
        <is>
          <t>v011</t>
        </is>
      </c>
      <c r="B14" s="24" t="inlineStr">
        <is>
          <t>2026-09-13 11:20</t>
        </is>
      </c>
      <c r="C14" s="24" t="inlineStr">
        <is>
          <t>Claude for Senthil/KP</t>
        </is>
      </c>
      <c r="D14" s="24" t="inlineStr">
        <is>
          <t>Tenant-isolation gate built and wired into CI (workbook v023), automating the F4-01 class. The gate passed twice against the reintroduced real defect before two of its own bugs were found and fixed — both made it silently permissive. 29 suites / 394 tests at 100% zero pragmas; three gates in CI. Story positions unchanged. Lesson L-F6</t>
        </is>
      </c>
      <c r="E14" s="24" t="inlineStr">
        <is>
          <t>Released</t>
        </is>
      </c>
    </row>
    <row r="15" ht="15" customHeight="1" s="20">
      <c r="A15" s="24" t="inlineStr">
        <is>
          <t>v012</t>
        </is>
      </c>
      <c r="B15" s="24" t="inlineStr">
        <is>
          <t>2026-09-13 11:54</t>
        </is>
      </c>
      <c r="C15" s="24" t="inlineStr">
        <is>
          <t>Claude for Senthil/KP</t>
        </is>
      </c>
      <c r="D15" s="24" t="inlineStr">
        <is>
          <t>Gate audit (workbook v024) acting on the L-F6 recommendation: both the reachability and published-claims gates FAILED their first proof against real reintroduced defects — an unused import counted as a caller (HOLE-1) and satisfied a published claim (HOLE-2). Both fixed and re-proved; known limits documented rather than hidden. 29 suites / 395 tests at 100% zero pragmas; all three gates proved. Story positions unchanged. Lesson L-F7</t>
        </is>
      </c>
      <c r="E15" s="24" t="inlineStr">
        <is>
          <t>Released</t>
        </is>
      </c>
    </row>
    <row r="16" ht="15" customHeight="1" s="20">
      <c r="A16" s="24" t="inlineStr">
        <is>
          <t>v013</t>
        </is>
      </c>
      <c r="B16" s="24" t="inlineStr">
        <is>
          <t>2026-09-13 11:58</t>
        </is>
      </c>
      <c r="C16" s="24" t="inlineStr">
        <is>
          <t>Claude for Senthil/KP</t>
        </is>
      </c>
      <c r="D16" s="24" t="inlineStr">
        <is>
          <t>Portable gate pack + proof harness (workbook v025): npm run prove:gates reintroduces each gate own real defect into real source and requires the gate to fail; all three proved; harness meta-proved and STALE-guarded; README porting guide with honest limits. Now in CI. 29 suites / 395 tests at 100% zero pragmas. Story positions unchanged. Lesson L-F8</t>
        </is>
      </c>
      <c r="E16" s="24" t="inlineStr">
        <is>
          <t>Released</t>
        </is>
      </c>
    </row>
    <row r="17" ht="15" customHeight="1" s="20">
      <c r="A17" s="24" t="inlineStr">
        <is>
          <t>v014</t>
        </is>
      </c>
      <c r="B17" s="24" t="inlineStr">
        <is>
          <t>2026-09-13 12:03</t>
        </is>
      </c>
      <c r="C17" s="24" t="inlineStr">
        <is>
          <t>Claude for Senthil/KP</t>
        </is>
      </c>
      <c r="D17" s="24" t="inlineStr">
        <is>
          <t>As-built verification + Senthil_Handover sheet (workbook v026). No code change. 7 stories had sat at Done while their behaviour had no driver or no enforcement; all true today, each annotated with the release that actually made it true. Counts verified unchanged (77/16/2/5). Handover consolidates the 12 remaining items, none codeable, ordered by leverage. Lesson L-F9</t>
        </is>
      </c>
      <c r="E17" s="24" t="inlineStr">
        <is>
          <t>Released</t>
        </is>
      </c>
    </row>
    <row r="18" ht="15" customHeight="1" s="20">
      <c r="A18" s="24" t="inlineStr">
        <is>
          <t>v015</t>
        </is>
      </c>
      <c r="B18" s="24" t="inlineStr">
        <is>
          <t>2026-09-13 16:24</t>
        </is>
      </c>
      <c r="C18" s="24" t="inlineStr">
        <is>
          <t>Claude for Senthil/KP</t>
        </is>
      </c>
      <c r="D18" s="24" t="inlineStr">
        <is>
          <t>GAP-F3 closed — persistence layer (workbook v027). All durable state was in process memory, and blue/green restarts by design, so every deploy silently reverted six earlier correctness fixes. Schema with cascading deletes, Repository seam (in-memory + Postgres, one shared suite), real pg driver, hydration, graceful shutdown, durableStore on /health. Reachability gate failed the build twice on this sitting own code. 30 suites / 433 tests at 100% zero pragmas. Lesson L-F10</t>
        </is>
      </c>
      <c r="E18" s="24" t="inlineStr">
        <is>
          <t>Released</t>
        </is>
      </c>
    </row>
    <row r="19" ht="15" customHeight="1" s="20">
      <c r="A19" s="24" t="inlineStr">
        <is>
          <t>v016</t>
        </is>
      </c>
      <c r="B19" s="24" t="inlineStr">
        <is>
          <t>2026-09-13 16:38</t>
        </is>
      </c>
      <c r="C19" s="24" t="inlineStr">
        <is>
          <t>Claude for Senthil/KP</t>
        </is>
      </c>
      <c r="D19" s="24" t="inlineStr">
        <is>
          <t>Environment-assumptions review (workbook v028): ENV-1 critical (scheduler assumed one process; blue/green runs two, so every customer got N nudges), ENV-2 critical (accepted events lost on restart after an ACK Xero never repeats), ENV-3 major (UTC vs local business hours breaking the published SLA for non-UTC desks). All fixed with regressions; OBS-003/OBS-004 logged for disposition. 31 suites / 453 tests at 100% zero pragmas. Lesson L-F11</t>
        </is>
      </c>
      <c r="E19" s="24" t="inlineStr">
        <is>
          <t>Released</t>
        </is>
      </c>
    </row>
    <row r="20" ht="15" customHeight="1" s="20">
      <c r="A20" s="24" t="inlineStr">
        <is>
          <t>v017</t>
        </is>
      </c>
      <c r="B20" s="24" t="inlineStr">
        <is>
          <t>2026-09-13 16:47</t>
        </is>
      </c>
      <c r="C20" s="24" t="inlineStr">
        <is>
          <t>Claude for Senthil/KP</t>
        </is>
      </c>
      <c r="D20" s="24" t="inlineStr">
        <is>
          <t>Ops-artifact review (workbook v029): OPS-1 + OPS-3 critical and compounding (pipeline never migrated; /health answered from memory yet gated the switch, so a broken slot would have been certified and given traffic), OPS-2 major (no expand/contract discipline under blue/green). Fourth gate added enforcing additive-only migrations; rollback contract written into the runbook; backup drill made concrete against the real schema. 33 suites / 465 tests at 100% zero pragmas. Lesson L-F12</t>
        </is>
      </c>
      <c r="E20" s="24" t="inlineStr">
        <is>
          <t>Released</t>
        </is>
      </c>
    </row>
    <row r="21" ht="15" customHeight="1" s="20">
      <c r="A21" s="24" t="inlineStr">
        <is>
          <t>v018</t>
        </is>
      </c>
      <c r="B21" s="24" t="inlineStr">
        <is>
          <t>2026-09-13 16:52</t>
        </is>
      </c>
      <c r="C21" s="24" t="inlineStr">
        <is>
          <t>Claude for Senthil/KP</t>
        </is>
      </c>
      <c r="D21" s="24" t="inlineStr">
        <is>
          <t>Chaos review (workbook v030): CHAOS-1 critical — two void-promise calls on the database path, one on the webhook fast-ack route, would have terminated the process on any Postgres blip (verified on node v22), taking both blue/green slots down together; CHAOS-2 major — the chaos runbook covered only Xero. Both fixed with regressions; degraded state now visible on /ready. 35 suites / 478 tests at 100% zero pragmas. Lesson L-F13</t>
        </is>
      </c>
      <c r="E21" s="24" t="inlineStr">
        <is>
          <t>Released</t>
        </is>
      </c>
    </row>
    <row r="22" ht="15" customHeight="1" s="20">
      <c r="A22" s="24" t="inlineStr">
        <is>
          <t>v019</t>
        </is>
      </c>
      <c r="B22" s="24" t="inlineStr">
        <is>
          <t>2026-09-13 17:23</t>
        </is>
      </c>
      <c r="C22" s="24" t="inlineStr">
        <is>
          <t>Claude for Senthil/KP</t>
        </is>
      </c>
      <c r="D22" s="24" t="inlineStr">
        <is>
          <t>Critical-path document review (workbook v031): the security pack mentioned the database zero times and the review pack one of eight new modules, though both feed people on the launch path. Both rewritten; SEC-2 credential redaction fixed in code with three new gate-enforced claims; latency budgets updated. 35 suites / 485 tests at 100% zero pragmas. Lesson L-F14</t>
        </is>
      </c>
      <c r="E22" s="24" t="inlineStr">
        <is>
          <t>Released</t>
        </is>
      </c>
    </row>
    <row r="23" ht="15" customHeight="1" s="20">
      <c r="A23" s="24" t="inlineStr">
        <is>
          <t>v020</t>
        </is>
      </c>
      <c r="B23" s="24" t="inlineStr">
        <is>
          <t>2026-09-13 17:29</t>
        </is>
      </c>
      <c r="C23" s="24" t="inlineStr">
        <is>
          <t>Claude for Senthil/KP</t>
        </is>
      </c>
      <c r="D23" s="24" t="inlineStr">
        <is>
          <t>Doc-freshness gate (workbook v032) closing L-F14 mechanically: outsider-facing documents must acknowledge the modules they describe, or the build fails. Fired on first run against documents rewritten six minutes earlier; both completed. Harness caught a weak mutation rather than a weak gate. 36 suites / 492 tests at 100% zero pragmas; five gates in CI. Lesson L-F15</t>
        </is>
      </c>
      <c r="E23" s="24" t="inlineStr">
        <is>
          <t>Released</t>
        </is>
      </c>
    </row>
    <row r="24" ht="15" customHeight="1" s="20">
      <c r="A24" s="24" t="inlineStr">
        <is>
          <t>v021</t>
        </is>
      </c>
      <c r="B24" s="24" t="inlineStr">
        <is>
          <t>2026-09-13 18:48</t>
        </is>
      </c>
      <c r="C24" s="24" t="inlineStr">
        <is>
          <t>Claude for Senthil/KP</t>
        </is>
      </c>
      <c r="D24" s="24" t="inlineStr">
        <is>
          <t>Async-ownership gate + review playbook (workbook v033). Real defect first: worker drain failures were unhandled rejections invisible to the degradation counter. Sixth gate proved against the CHAOS-1 shape. Playbook records the eight review passes and the rules behind ~40 defects found in code already at 100%. 36 suites / 500 tests at 100% zero pragmas; six gates in CI. Stopping point recommended</t>
        </is>
      </c>
      <c r="E24" s="24" t="inlineStr">
        <is>
          <t>Released</t>
        </is>
      </c>
    </row>
    <row r="25" ht="15" customHeight="1" s="20">
      <c r="A25" s="25" t="inlineStr">
        <is>
          <t>v022</t>
        </is>
      </c>
      <c r="B25" s="25" t="inlineStr">
        <is>
          <t>2026-09-13 22:47</t>
        </is>
      </c>
      <c r="C25" s="25" t="inlineStr">
        <is>
          <t>Claude for Senthil/KP</t>
        </is>
      </c>
      <c r="D25" s="25" t="inlineStr">
        <is>
          <t>EXTERNAL REVIEW RESPONSE, sprint E5 (workbook v034, code v0.28.0). First independent external review (ChatGPT V001, 13 Sep 20:53) raised 15 findings FC-R001..R015. All triaged in the new External_Review_FC sheet. Wave 1 executed — 8 sandbox-closable findings: IANA time zones with DST (closes OBS-003/FC-R008) plus E5-04a found in our own new code (ICU accepts "BST" as UTC+6 Bangladesh); shared cross-instance Xero rate budget (closes OBS-004), full-jitter backoff (OBS-001), bounded half-open probes (OBS-002), leader fencing token (all FC-R007); CycloneDX SBOM + drift gate, secret scanner, security headers on every response incl. 404/500 (FC-R015/R006); evidence manifest with SHA-256 rollup (FC-R005/G01); THREAT_MODEL.md + SECURITY_POLICY.md (FC-R006); 20/100/500-client scale drills (FC-R010 sandbox half); DSAR + retention E2E (FC-R009 sandbox half). FC-R002 was NOT a code gap — submission-dry-run.md had claimed webhooks uncoded since before v011; doc rewritten and a sixth gate added so a filled gap cannot keep being published. 40 suites / 595 tests at 100% zero pragmas; 7 gates PROVED under reintroduced defects.</t>
        </is>
      </c>
      <c r="E25" s="25" t="inlineStr">
        <is>
          <t>Released</t>
        </is>
      </c>
    </row>
    <row r="26" ht="15" customHeight="1" s="20">
      <c r="A26" s="26" t="inlineStr">
        <is>
          <t>v023</t>
        </is>
      </c>
      <c r="B26" s="26" t="inlineStr">
        <is>
          <t>2026-09-13 23:03</t>
        </is>
      </c>
      <c r="C26" s="26" t="inlineStr">
        <is>
          <t>Claude for Senthil/KP</t>
        </is>
      </c>
      <c r="D26" s="26" t="inlineStr">
        <is>
          <t>CROSS-PRODUCT DEFECT-CLASS SWEEP, sprint E5b (workbook v035, code v0.29.0). Wave 2 is gated on DEC-F16 and was deliberately NOT started. Instead, PORT-04 executed: FlowCast is one of nine products the RetainKit external review flagged as carrying the same patterns and the same author, so RetainKit's reviewer questions were asked of FlowCast. Four findings, two CRITICAL, none visible from our own change log. E5b-01: production booted with no DATABASE_URL, silently reinstating GAP-F3, ENV-1 and E5-05 at once. E5b-02: production booted with no FLOWCAST_DATA_KEY, so the service passed its probes and then failed for the first merchant to connect Xero — and the key was absent from .env.example entirely, so the documented deploy path produced exactly that state (L-RK9 verbatim). E5b-03: graceful shutdown had no deadline, so one hung request made it strictly worse than no shutdown path. E5b-04: requests bounded in size but not in time. Also VERIFIED ABSENT rather than assumed: P17 throw-only default ports, and non-CSPRNG OAuth state. 40 suites / 608 tests at 100% zero pragmas; 8 gates PROVED.</t>
        </is>
      </c>
      <c r="E26" s="26" t="inlineStr">
        <is>
          <t>Released</t>
        </is>
      </c>
    </row>
    <row r="27" ht="15" customHeight="1" s="20">
      <c r="A27" s="27" t="inlineStr">
        <is>
          <t>v024</t>
        </is>
      </c>
      <c r="B27" s="27" t="inlineStr">
        <is>
          <t>2026-09-20 10:14</t>
        </is>
      </c>
      <c r="C27" s="27" t="inlineStr">
        <is>
          <t>Claude for Senthil/KP</t>
        </is>
      </c>
      <c r="D27" s="27" t="inlineStr">
        <is>
          <t>PERPLEXITY V001 RESPONSE, sprint E6, Wave P1 (workbook v036, code v0.30.0). Was planned to open on DEC-F16/DEC-F17 or the dev org; opened instead on the second independent review (Perplexity, 16 Sep 19:18), which found three BLOCKER code defects on the live path (PPX-01 forecast had no production data path; PPX-02 supplier bills mixed into receivables; PPX-03 billing rail on a deprecated channel) plus 7 more. Wave P1 executed in sandbox: P1-1..P1-7, 6 new gates + method-level reachability, 15 mutations proved. Per Senthil 10:17: nothing deleted, no story re-statused, billing rail left in place (PPX-D4 logged), all artefacts to next version. New sheet External_Review_PPX. 49 suites / 719 tests at 100%. New findings E6-F1..E6-F6 (boot composition) — see RAID R-F14..R-F19.</t>
        </is>
      </c>
      <c r="E27" s="27" t="inlineStr">
        <is>
          <t>Released</t>
        </is>
      </c>
    </row>
    <row r="28">
      <c r="A28" s="27" t="inlineStr">
        <is>
          <t>v025</t>
        </is>
      </c>
      <c r="B28" s="27" t="inlineStr">
        <is>
          <t>PLANNED: opens on PPX-D1..D6 dispositions, sprint P1-8 (boot composition, expiring KNOWN_GAPS 31 Oct 2026), or the Xero dev org</t>
        </is>
      </c>
      <c r="C28" s="27" t="n"/>
      <c r="D28" s="27" t="n"/>
      <c r="E28" s="27" t="inlineStr">
        <is>
          <t>Planned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I16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9" min="1" max="1"/>
    <col width="17" customWidth="1" style="19" min="2" max="2"/>
    <col width="10" customWidth="1" style="19" min="3" max="4"/>
    <col width="80" customWidth="1" style="19" min="5" max="5"/>
    <col width="26" customWidth="1" style="19" min="6" max="6"/>
    <col width="30" customWidth="1" style="19" min="7" max="7"/>
    <col width="26" customWidth="1" style="19" min="8" max="8"/>
    <col width="14" customWidth="1" style="19" min="9" max="9"/>
  </cols>
  <sheetData>
    <row r="1" ht="15.75" customHeight="1" s="20">
      <c r="A1" s="21" t="inlineStr">
        <is>
          <t>SPRINT TRACKER LOG — every execution event of the v008–v013 run, newest last</t>
        </is>
      </c>
    </row>
    <row r="2" ht="15" customHeight="1" s="20">
      <c r="A2" s="22" t="inlineStr">
        <is>
          <t>Version column ties each event to the product-workbook release that recorded it.</t>
        </is>
      </c>
    </row>
    <row r="3" ht="15" customHeight="1" s="20">
      <c r="A3" s="23" t="inlineStr">
        <is>
          <t>ID</t>
        </is>
      </c>
      <c r="B3" s="23" t="inlineStr">
        <is>
          <t>Date/Time</t>
        </is>
      </c>
      <c r="C3" s="23" t="inlineStr">
        <is>
          <t>Version</t>
        </is>
      </c>
      <c r="D3" s="23" t="inlineStr">
        <is>
          <t>Sprint</t>
        </is>
      </c>
      <c r="E3" s="23" t="inlineStr">
        <is>
          <t>What happened</t>
        </is>
      </c>
      <c r="F3" s="23" t="inlineStr">
        <is>
          <t>Refs</t>
        </is>
      </c>
      <c r="G3" s="23" t="inlineStr">
        <is>
          <t>State changes</t>
        </is>
      </c>
      <c r="H3" s="23" t="inlineStr">
        <is>
          <t>Blockers</t>
        </is>
      </c>
      <c r="I3" s="23" t="inlineStr">
        <is>
          <t>Next</t>
        </is>
      </c>
    </row>
    <row r="4" ht="23.25" customHeight="1" s="20">
      <c r="A4" s="24" t="inlineStr">
        <is>
          <t>E001</t>
        </is>
      </c>
      <c r="B4" s="24" t="inlineStr">
        <is>
          <t>2026-09-10 22:01</t>
        </is>
      </c>
      <c r="C4" s="24" t="inlineStr">
        <is>
          <t>v008</t>
        </is>
      </c>
      <c r="D4" s="24" t="inlineStr">
        <is>
          <t>—</t>
        </is>
      </c>
      <c r="E4" s="24" t="inlineStr">
        <is>
          <t>RUN OPENED — Senthil directive: create sprint tracker + traceability, develop per sprint under D13 (100% coverage gate supersedes ≥70%); ST-085 amended accordingly</t>
        </is>
      </c>
      <c r="F4" s="24" t="inlineStr">
        <is>
          <t>D13, ST-085</t>
        </is>
      </c>
      <c r="G4" s="24" t="inlineStr">
        <is>
          <t>v008 opened from v007 baseline</t>
        </is>
      </c>
      <c r="H4" s="24" t="inlineStr">
        <is>
          <t>None</t>
        </is>
      </c>
      <c r="I4" s="24" t="inlineStr">
        <is>
          <t>E002</t>
        </is>
      </c>
    </row>
    <row r="5" ht="34.5" customHeight="1" s="20">
      <c r="A5" s="24" t="inlineStr">
        <is>
          <t>E002</t>
        </is>
      </c>
      <c r="B5" s="24" t="inlineStr">
        <is>
          <t>2026-09-10 22:01</t>
        </is>
      </c>
      <c r="C5" s="24" t="inlineStr">
        <is>
          <t>v008</t>
        </is>
      </c>
      <c r="D5" s="24" t="inlineStr">
        <is>
          <t>S1</t>
        </is>
      </c>
      <c r="E5" s="24" t="inlineStr">
        <is>
          <t>FOUNDATION BUILT (TypeScript): OAuth install/uninstall/reinstall-within-retention, rotation-safe token refresh, install source attribution, owner/admin/member permission matrix + audit log. Xero OAuth client mocked</t>
        </is>
      </c>
      <c r="F5" s="24" t="inlineStr">
        <is>
          <t>ST-051..056, ST-054, ST-067</t>
        </is>
      </c>
      <c r="G5" s="24" t="inlineStr">
        <is>
          <t>S1 done-in-code</t>
        </is>
      </c>
      <c r="H5" s="24" t="inlineStr">
        <is>
          <t>Live install = Xero dev org (Senthil)</t>
        </is>
      </c>
      <c r="I5" s="24" t="inlineStr">
        <is>
          <t>E003</t>
        </is>
      </c>
    </row>
    <row r="6" ht="23.25" customHeight="1" s="20">
      <c r="A6" s="24" t="inlineStr">
        <is>
          <t>E003</t>
        </is>
      </c>
      <c r="B6" s="24" t="inlineStr">
        <is>
          <t>2026-09-10 22:01</t>
        </is>
      </c>
      <c r="C6" s="24" t="inlineStr">
        <is>
          <t>v008</t>
        </is>
      </c>
      <c r="D6" s="24" t="inlineStr">
        <is>
          <t>S2-S3</t>
        </is>
      </c>
      <c r="E6" s="24" t="inlineStr">
        <is>
          <t>FORECAST + SCENARIOS: 13-week bucketing engine, traffic lights, validation, pause-without-loss; scenario levers + validation + preview</t>
        </is>
      </c>
      <c r="F6" s="24" t="inlineStr">
        <is>
          <t>ST-001/002/004/008, ST-011..014</t>
        </is>
      </c>
      <c r="G6" s="24" t="inlineStr">
        <is>
          <t>Core F1/F2 done-in-code</t>
        </is>
      </c>
      <c r="H6" s="24" t="inlineStr">
        <is>
          <t>None</t>
        </is>
      </c>
      <c r="I6" s="24" t="inlineStr">
        <is>
          <t>E004</t>
        </is>
      </c>
    </row>
    <row r="7" ht="57" customHeight="1" s="20">
      <c r="A7" s="24" t="inlineStr">
        <is>
          <t>E004</t>
        </is>
      </c>
      <c r="B7" s="24" t="inlineStr">
        <is>
          <t>2026-09-10 22:01</t>
        </is>
      </c>
      <c r="C7" s="24" t="inlineStr">
        <is>
          <t>v008</t>
        </is>
      </c>
      <c r="D7" s="24" t="inlineStr">
        <is>
          <t>S5-S8</t>
        </is>
      </c>
      <c r="E7" s="24" t="inlineStr">
        <is>
          <t>NUDGES, PORTAL, BILLING, ANOMALIES, COMPLIANCE, TELEMETRY, ONBOARDING: rule-ladder chasing w/ test mode + retry, multi-client book + CSV importer, trial/proration/rails/dunning/limits/GST-VAT/cancellation, z-score + duplicate detection, scope audit + export/delete + backoff/breaker, funnel/errors/heatmap/health, checklist + empty states + review ask + incident comms</t>
        </is>
      </c>
      <c r="F7" s="24" t="inlineStr">
        <is>
          <t>ST-021..085 (code subset)</t>
        </is>
      </c>
      <c r="G7" s="24" t="inlineStr">
        <is>
          <t>58 stories Done at v008</t>
        </is>
      </c>
      <c r="H7" s="24" t="inlineStr">
        <is>
          <t>None</t>
        </is>
      </c>
      <c r="I7" s="24" t="inlineStr">
        <is>
          <t>E005</t>
        </is>
      </c>
    </row>
    <row r="8" ht="23.25" customHeight="1" s="20">
      <c r="A8" s="24" t="inlineStr">
        <is>
          <t>E005</t>
        </is>
      </c>
      <c r="B8" s="24" t="inlineStr">
        <is>
          <t>2026-09-10 22:01</t>
        </is>
      </c>
      <c r="C8" s="24" t="inlineStr">
        <is>
          <t>v008</t>
        </is>
      </c>
      <c r="D8" s="24" t="inlineStr">
        <is>
          <t>—</t>
        </is>
      </c>
      <c r="E8" s="24" t="inlineStr">
        <is>
          <t>D13 GATE MET: 11 suites, 120 tests, 100% stmts/branches/funcs/lines, threshold enforced in jest.config.js</t>
        </is>
      </c>
      <c r="F8" s="24" t="inlineStr">
        <is>
          <t>D13</t>
        </is>
      </c>
      <c r="G8" s="24" t="inlineStr">
        <is>
          <t>Evidence: coverage-summary.json</t>
        </is>
      </c>
      <c r="H8" s="24" t="inlineStr">
        <is>
          <t>None</t>
        </is>
      </c>
      <c r="I8" s="24" t="inlineStr">
        <is>
          <t>E006</t>
        </is>
      </c>
    </row>
    <row r="9" ht="23.25" customHeight="1" s="20">
      <c r="A9" s="24" t="inlineStr">
        <is>
          <t>E006</t>
        </is>
      </c>
      <c r="B9" s="24" t="inlineStr">
        <is>
          <t>2026-09-10 22:20</t>
        </is>
      </c>
      <c r="C9" s="24" t="inlineStr">
        <is>
          <t>v009</t>
        </is>
      </c>
      <c r="D9" s="24" t="inlineStr">
        <is>
          <t>S2</t>
        </is>
      </c>
      <c r="E9" s="24" t="inlineStr">
        <is>
          <t>ST-003 COMPLETED: full rule builder (min_balance / amber_floor / week_drop_pct over week ranges)</t>
        </is>
      </c>
      <c r="F9" s="24" t="inlineStr">
        <is>
          <t>ST-003</t>
        </is>
      </c>
      <c r="G9" s="24" t="inlineStr">
        <is>
          <t>In progress -&gt; Done</t>
        </is>
      </c>
      <c r="H9" s="24" t="inlineStr">
        <is>
          <t>None</t>
        </is>
      </c>
      <c r="I9" s="24" t="inlineStr">
        <is>
          <t>E007</t>
        </is>
      </c>
    </row>
    <row r="10" ht="34.5" customHeight="1" s="20">
      <c r="A10" s="24" t="inlineStr">
        <is>
          <t>E007</t>
        </is>
      </c>
      <c r="B10" s="24" t="inlineStr">
        <is>
          <t>2026-09-10 22:20</t>
        </is>
      </c>
      <c r="C10" s="24" t="inlineStr">
        <is>
          <t>v009</t>
        </is>
      </c>
      <c r="D10" s="24" t="inlineStr">
        <is>
          <t>S3-S8</t>
        </is>
      </c>
      <c r="E10" s="24" t="inlineStr">
        <is>
          <t>UI SURFACES (React + RTL): Forecast, Scenario, Nudges, Portal, Anomalies screens with Xero deep links + empty states; MetricsPanel; per-feature metrics/trends; notifications w/ per-type mute + digest; pause toggles; portal workflow rules</t>
        </is>
      </c>
      <c r="F10" s="24" t="inlineStr">
        <is>
          <t>ST-005/015/025/035/045, ST-006/016/026/036/046, ST-010/050, ST-018/038, ST-033</t>
        </is>
      </c>
      <c r="G10" s="24" t="inlineStr">
        <is>
          <t>16 more stories Done (74 total)</t>
        </is>
      </c>
      <c r="H10" s="24" t="inlineStr">
        <is>
          <t>None</t>
        </is>
      </c>
      <c r="I10" s="24" t="inlineStr">
        <is>
          <t>E008</t>
        </is>
      </c>
    </row>
    <row r="11" ht="23.25" customHeight="1" s="20">
      <c r="A11" s="24" t="inlineStr">
        <is>
          <t>E008</t>
        </is>
      </c>
      <c r="B11" s="24" t="inlineStr">
        <is>
          <t>2026-09-10 22:20</t>
        </is>
      </c>
      <c r="C11" s="24" t="inlineStr">
        <is>
          <t>v009</t>
        </is>
      </c>
      <c r="D11" s="24" t="inlineStr">
        <is>
          <t>S4</t>
        </is>
      </c>
      <c r="E11" s="24" t="inlineStr">
        <is>
          <t>ST-086 CI WIRING: GitHub Actions workflow (push/PR/deployment) runs typecheck + jest with 100% gate</t>
        </is>
      </c>
      <c r="F11" s="24" t="inlineStr">
        <is>
          <t>ST-086</t>
        </is>
      </c>
      <c r="G11" s="24" t="inlineStr">
        <is>
          <t>In progress -&gt; Code-complete pending repo hookup</t>
        </is>
      </c>
      <c r="H11" s="24" t="inlineStr">
        <is>
          <t>Real repo = Senthil</t>
        </is>
      </c>
      <c r="I11" s="24" t="inlineStr">
        <is>
          <t>E009</t>
        </is>
      </c>
    </row>
    <row r="12" ht="15" customHeight="1" s="20">
      <c r="A12" s="24" t="inlineStr">
        <is>
          <t>E009</t>
        </is>
      </c>
      <c r="B12" s="24" t="inlineStr">
        <is>
          <t>2026-09-10 22:20</t>
        </is>
      </c>
      <c r="C12" s="24" t="inlineStr">
        <is>
          <t>v009</t>
        </is>
      </c>
      <c r="D12" s="24" t="inlineStr">
        <is>
          <t>—</t>
        </is>
      </c>
      <c r="E12" s="24" t="inlineStr">
        <is>
          <t>D13 GATE MET: 13 suites, 148 tests, 100% incl. React components; tsc clean</t>
        </is>
      </c>
      <c r="F12" s="24" t="inlineStr">
        <is>
          <t>D13</t>
        </is>
      </c>
      <c r="G12" s="24" t="inlineStr">
        <is>
          <t>—</t>
        </is>
      </c>
      <c r="H12" s="24" t="inlineStr">
        <is>
          <t>None</t>
        </is>
      </c>
      <c r="I12" s="24" t="inlineStr">
        <is>
          <t>E010</t>
        </is>
      </c>
    </row>
    <row r="13" ht="15" customHeight="1" s="20">
      <c r="A13" s="24" t="inlineStr">
        <is>
          <t>E010</t>
        </is>
      </c>
      <c r="B13" s="24" t="inlineStr">
        <is>
          <t>2026-09-10 22:27</t>
        </is>
      </c>
      <c r="C13" s="24" t="inlineStr">
        <is>
          <t>v010</t>
        </is>
      </c>
      <c r="D13" s="24" t="inlineStr">
        <is>
          <t>S4/S6</t>
        </is>
      </c>
      <c r="E13" s="24" t="inlineStr">
        <is>
          <t>ST-020/ST-040: scenario + portal notification event types</t>
        </is>
      </c>
      <c r="F13" s="24" t="inlineStr">
        <is>
          <t>ST-020, ST-040</t>
        </is>
      </c>
      <c r="G13" s="24" t="inlineStr">
        <is>
          <t>2 more Done</t>
        </is>
      </c>
      <c r="H13" s="24" t="inlineStr">
        <is>
          <t>None</t>
        </is>
      </c>
      <c r="I13" s="24" t="inlineStr">
        <is>
          <t>E011</t>
        </is>
      </c>
    </row>
    <row r="14" ht="23.25" customHeight="1" s="20">
      <c r="A14" s="24" t="inlineStr">
        <is>
          <t>E011</t>
        </is>
      </c>
      <c r="B14" s="24" t="inlineStr">
        <is>
          <t>2026-09-10 22:27</t>
        </is>
      </c>
      <c r="C14" s="24" t="inlineStr">
        <is>
          <t>v010</t>
        </is>
      </c>
      <c r="D14" s="24" t="inlineStr">
        <is>
          <t>S8</t>
        </is>
      </c>
      <c r="E14" s="24" t="inlineStr">
        <is>
          <t>RELIABILITY + A11Y: p95 budgets per surface + evaluator; degradation levels + honest user comms + DegradedBanner; jest-axe WCAG — zero violations on all 7 surfaces</t>
        </is>
      </c>
      <c r="F14" s="24" t="inlineStr">
        <is>
          <t>ST-087, ST-089, ST-091</t>
        </is>
      </c>
      <c r="G14" s="24" t="inlineStr">
        <is>
          <t>3 -&gt; Code-complete pending live</t>
        </is>
      </c>
      <c r="H14" s="24" t="inlineStr">
        <is>
          <t>Live monitoring/chaos/audit = infra</t>
        </is>
      </c>
      <c r="I14" s="24" t="inlineStr">
        <is>
          <t>E012</t>
        </is>
      </c>
    </row>
    <row r="15" ht="23.25" customHeight="1" s="20">
      <c r="A15" s="24" t="inlineStr">
        <is>
          <t>E012</t>
        </is>
      </c>
      <c r="B15" s="24" t="inlineStr">
        <is>
          <t>2026-09-10 22:27</t>
        </is>
      </c>
      <c r="C15" s="24" t="inlineStr">
        <is>
          <t>v010</t>
        </is>
      </c>
      <c r="D15" s="24" t="inlineStr">
        <is>
          <t>S10</t>
        </is>
      </c>
      <c r="E15" s="24" t="inlineStr">
        <is>
          <t>DEMO MODE coded (deterministic red-week story arc) + 2-min video script/shot list; 15 help articles; chat SLA + canned pack</t>
        </is>
      </c>
      <c r="F15" s="24" t="inlineStr">
        <is>
          <t>ST-083, ST-080, ST-081</t>
        </is>
      </c>
      <c r="G15" s="24" t="inlineStr">
        <is>
          <t>Content drafted</t>
        </is>
      </c>
      <c r="H15" s="24" t="inlineStr">
        <is>
          <t>Video recording + chat vendor = Senthil</t>
        </is>
      </c>
      <c r="I15" s="24" t="inlineStr">
        <is>
          <t>E013</t>
        </is>
      </c>
    </row>
    <row r="16" ht="34.5" customHeight="1" s="20">
      <c r="A16" s="24" t="inlineStr">
        <is>
          <t>E013</t>
        </is>
      </c>
      <c r="B16" s="24" t="inlineStr">
        <is>
          <t>2026-09-10 22:27</t>
        </is>
      </c>
      <c r="C16" s="24" t="inlineStr">
        <is>
          <t>v010</t>
        </is>
      </c>
      <c r="D16" s="24" t="inlineStr">
        <is>
          <t>S9-S11</t>
        </is>
      </c>
      <c r="E16" s="24" t="inlineStr">
        <is>
          <t>LISTING CONTENT: copy A+B (product-name-only per external-content rule), asset specs + shot plan, pricing + FAQ, security/trust page; launch-day runbook (ST-098 Done); backup/restore drill runbook</t>
        </is>
      </c>
      <c r="F16" s="24" t="inlineStr">
        <is>
          <t>ST-093..098, ST-090</t>
        </is>
      </c>
      <c r="G16" s="24" t="inlineStr">
        <is>
          <t>ST-098 Done; 7 drafted</t>
        </is>
      </c>
      <c r="H16" s="24" t="inlineStr">
        <is>
          <t>Copy review = Senthil</t>
        </is>
      </c>
      <c r="I16" s="24" t="inlineStr">
        <is>
          <t>E014</t>
        </is>
      </c>
    </row>
    <row r="17" ht="23.25" customHeight="1" s="20">
      <c r="A17" s="24" t="inlineStr">
        <is>
          <t>E014</t>
        </is>
      </c>
      <c r="B17" s="24" t="inlineStr">
        <is>
          <t>2026-09-10 22:27</t>
        </is>
      </c>
      <c r="C17" s="24" t="inlineStr">
        <is>
          <t>v010</t>
        </is>
      </c>
      <c r="D17" s="24" t="inlineStr">
        <is>
          <t>S9</t>
        </is>
      </c>
      <c r="E17" s="24" t="inlineStr">
        <is>
          <t>SUBMISSION DRY-RUN (first pass) vs Launch_Checklist: 2 HARD GAPS — (a) dev org, (b) content webhooks not coded</t>
        </is>
      </c>
      <c r="F17" s="24" t="inlineStr">
        <is>
          <t>ST-097</t>
        </is>
      </c>
      <c r="G17" s="24" t="inlineStr">
        <is>
          <t>Gap (b) queued for v011</t>
        </is>
      </c>
      <c r="H17" s="24" t="inlineStr">
        <is>
          <t>Dev org = Senthil</t>
        </is>
      </c>
      <c r="I17" s="24" t="inlineStr">
        <is>
          <t>E015</t>
        </is>
      </c>
    </row>
    <row r="18" ht="45.75" customHeight="1" s="20">
      <c r="A18" s="24" t="inlineStr">
        <is>
          <t>E015</t>
        </is>
      </c>
      <c r="B18" s="24" t="inlineStr">
        <is>
          <t>2026-09-10 22:51</t>
        </is>
      </c>
      <c r="C18" s="24" t="inlineStr">
        <is>
          <t>v011</t>
        </is>
      </c>
      <c r="D18" s="24" t="inlineStr">
        <is>
          <t>S8</t>
        </is>
      </c>
      <c r="E18" s="24" t="inlineStr">
        <is>
          <t>WEBHOOKS BUILT (gap b closed): HMAC-SHA256 verify (constant-time, intent-to-receive), fast-ack idempotent queue with retry/dead-letter/redelivery-heal, payment event auto-cancels nudges. PLATFORM CONSTRAINT: Xero has no bank-txn webhook -&gt; 15-min polling behind shared breaker, documented</t>
        </is>
      </c>
      <c r="F18" s="24" t="inlineStr">
        <is>
          <t>WBH-001, LC#4</t>
        </is>
      </c>
      <c r="G18" s="24" t="inlineStr">
        <is>
          <t>Checklist #4 code-complete</t>
        </is>
      </c>
      <c r="H18" s="24" t="inlineStr">
        <is>
          <t>Live wiring = dev org</t>
        </is>
      </c>
      <c r="I18" s="24" t="inlineStr">
        <is>
          <t>E016</t>
        </is>
      </c>
    </row>
    <row r="19" ht="15" customHeight="1" s="20">
      <c r="A19" s="24" t="inlineStr">
        <is>
          <t>E016</t>
        </is>
      </c>
      <c r="B19" s="24" t="inlineStr">
        <is>
          <t>2026-09-10 22:51</t>
        </is>
      </c>
      <c r="C19" s="24" t="inlineStr">
        <is>
          <t>v011</t>
        </is>
      </c>
      <c r="D19" s="24" t="inlineStr">
        <is>
          <t>S9</t>
        </is>
      </c>
      <c r="E19" s="24" t="inlineStr">
        <is>
          <t>Launch_Checklist all 10 items moved from "Open" to honest statuses</t>
        </is>
      </c>
      <c r="F19" s="24" t="inlineStr">
        <is>
          <t>LC#1-10</t>
        </is>
      </c>
      <c r="G19" s="24" t="inlineStr">
        <is>
          <t>—</t>
        </is>
      </c>
      <c r="H19" s="24" t="inlineStr">
        <is>
          <t>None</t>
        </is>
      </c>
      <c r="I19" s="24" t="inlineStr">
        <is>
          <t>E017</t>
        </is>
      </c>
    </row>
    <row r="20" ht="23.25" customHeight="1" s="20">
      <c r="A20" s="24" t="inlineStr">
        <is>
          <t>E017</t>
        </is>
      </c>
      <c r="B20" s="24" t="inlineStr">
        <is>
          <t>2026-09-10 22:56</t>
        </is>
      </c>
      <c r="C20" s="24" t="inlineStr">
        <is>
          <t>v012</t>
        </is>
      </c>
      <c r="D20" s="24" t="inlineStr">
        <is>
          <t>S8</t>
        </is>
      </c>
      <c r="E20" s="24" t="inlineStr">
        <is>
          <t>RATE LIMITER: proactive per-tenant 60/min sliding window + paced execution (complements reactive backoff/breaker); HTTP wiring layer (fast-ack route + /health)</t>
        </is>
      </c>
      <c r="F20" s="24" t="inlineStr">
        <is>
          <t>WBH-002, WBH-003, LC#3</t>
        </is>
      </c>
      <c r="G20" s="24" t="inlineStr">
        <is>
          <t>Checklist #3 code-complete</t>
        </is>
      </c>
      <c r="H20" s="24" t="inlineStr">
        <is>
          <t>None</t>
        </is>
      </c>
      <c r="I20" s="24" t="inlineStr">
        <is>
          <t>E018</t>
        </is>
      </c>
    </row>
    <row r="21" ht="34.5" customHeight="1" s="20">
      <c r="A21" s="24" t="inlineStr">
        <is>
          <t>E018</t>
        </is>
      </c>
      <c r="B21" s="24" t="inlineStr">
        <is>
          <t>2026-09-10 22:56</t>
        </is>
      </c>
      <c r="C21" s="24" t="inlineStr">
        <is>
          <t>v012</t>
        </is>
      </c>
      <c r="D21" s="24" t="inlineStr">
        <is>
          <t>S8</t>
        </is>
      </c>
      <c r="E21" s="24" t="inlineStr">
        <is>
          <t>QA DRILLS EXECUTED: 20-client portal drill PASSED; 12-month anomaly QA FOUND A REAL DEFECT — lone outliers hidden in isolated small batches (sigma self-inflation) — FIXED via detectWithHistory (trailing-window scanning); all planted faults caught, FPs &lt;= 2</t>
        </is>
      </c>
      <c r="F21" s="24" t="inlineStr">
        <is>
          <t>QA-007, QA-008, LC#7, LC#8</t>
        </is>
      </c>
      <c r="G21" s="24" t="inlineStr">
        <is>
          <t>Defect found + fixed; checklists 7/8 done at logic level</t>
        </is>
      </c>
      <c r="H21" s="24" t="inlineStr">
        <is>
          <t>Live-feed QA = dev org</t>
        </is>
      </c>
      <c r="I21" s="24" t="inlineStr">
        <is>
          <t>E019</t>
        </is>
      </c>
    </row>
    <row r="22" ht="23.25" customHeight="1" s="20">
      <c r="A22" s="24" t="inlineStr">
        <is>
          <t>E019</t>
        </is>
      </c>
      <c r="B22" s="24" t="inlineStr">
        <is>
          <t>2026-09-10 22:56</t>
        </is>
      </c>
      <c r="C22" s="24" t="inlineStr">
        <is>
          <t>v012</t>
        </is>
      </c>
      <c r="D22" s="24" t="inlineStr">
        <is>
          <t>S8</t>
        </is>
      </c>
      <c r="E22" s="24" t="inlineStr">
        <is>
          <t>ST-088 k6 load harness (steady / 25 rps burst / webhook storm; thresholds = p95 budgets); ST-092 blue/green deploy workflow (100%-gate, health gate, atomic swap, warm rollback)</t>
        </is>
      </c>
      <c r="F22" s="24" t="inlineStr">
        <is>
          <t>ST-088, ST-092</t>
        </is>
      </c>
      <c r="G22" s="24" t="inlineStr">
        <is>
          <t>2 -&gt; Code-complete pending live</t>
        </is>
      </c>
      <c r="H22" s="24" t="inlineStr">
        <is>
          <t>Staging = infra</t>
        </is>
      </c>
      <c r="I22" s="24" t="inlineStr">
        <is>
          <t>E020</t>
        </is>
      </c>
    </row>
    <row r="23" ht="34.5" customHeight="1" s="20">
      <c r="A23" s="24" t="inlineStr">
        <is>
          <t>E020</t>
        </is>
      </c>
      <c r="B23" s="24" t="inlineStr">
        <is>
          <t>2026-09-10 23:03</t>
        </is>
      </c>
      <c r="C23" s="24" t="inlineStr">
        <is>
          <t>v013</t>
        </is>
      </c>
      <c r="D23" s="24" t="inlineStr">
        <is>
          <t>Readiness</t>
        </is>
      </c>
      <c r="E23" s="24" t="inlineStr">
        <is>
          <t>LIVE-SWEEP PACK: typed config loader + .env.example (all credentials named, validated at boot), 30-min dev-org setup guide, 12-step scripted verification sweep with pass criteria + story-flip mapping</t>
        </is>
      </c>
      <c r="F23" s="24" t="inlineStr">
        <is>
          <t>CFG-001</t>
        </is>
      </c>
      <c r="G23" s="24" t="inlineStr">
        <is>
          <t>Handoff fully scripted</t>
        </is>
      </c>
      <c r="H23" s="24" t="inlineStr">
        <is>
          <t>Dev org = Senthil</t>
        </is>
      </c>
      <c r="I23" s="24" t="inlineStr">
        <is>
          <t>E021</t>
        </is>
      </c>
    </row>
    <row r="24" ht="34.5" customHeight="1" s="20">
      <c r="A24" s="24" t="inlineStr">
        <is>
          <t>E021</t>
        </is>
      </c>
      <c r="B24" s="24" t="inlineStr">
        <is>
          <t>2026-09-10 23:03</t>
        </is>
      </c>
      <c r="C24" s="24" t="inlineStr">
        <is>
          <t>v013</t>
        </is>
      </c>
      <c r="D24" s="24" t="inlineStr">
        <is>
          <t>Portfolio</t>
        </is>
      </c>
      <c r="E24" s="24" t="inlineStr">
        <is>
          <t>8-PRODUCT ACTION BOARD issued (separate workbook): every Senthil-blocked item, effort estimates, D15 framed (hold-serial vs formal-parallel), day-scale external queues flagged (Meta verification, GCP consent)</t>
        </is>
      </c>
      <c r="F24" s="24" t="inlineStr">
        <is>
          <t>D15</t>
        </is>
      </c>
      <c r="G24" s="24" t="inlineStr">
        <is>
          <t>—</t>
        </is>
      </c>
      <c r="H24" s="24" t="inlineStr">
        <is>
          <t>D15 = Senthil</t>
        </is>
      </c>
      <c r="I24" s="24" t="inlineStr">
        <is>
          <t>E022</t>
        </is>
      </c>
    </row>
    <row r="25" ht="34.5" customHeight="1" s="20">
      <c r="A25" s="24" t="inlineStr">
        <is>
          <t>E022</t>
        </is>
      </c>
      <c r="B25" s="24" t="inlineStr">
        <is>
          <t>2026-09-10 23:08</t>
        </is>
      </c>
      <c r="C25" s="24" t="inlineStr">
        <is>
          <t>v001 (this file)</t>
        </is>
      </c>
      <c r="D25" s="24" t="inlineStr">
        <is>
          <t>—</t>
        </is>
      </c>
      <c r="E25" s="24" t="inlineStr">
        <is>
          <t>THIS TRACKER CREATED per 23:08 directive, modeled on TeleField tracker: consolidated event log, per-release build boards, done-in-version traceability, live rollup, RAID, gate</t>
        </is>
      </c>
      <c r="F25" s="24" t="inlineStr">
        <is>
          <t>—</t>
        </is>
      </c>
      <c r="G25" s="24" t="inlineStr">
        <is>
          <t>Final state: 77 Done / 10 CCPL / 7 drafted / 2 in progress / 4 backlog; 17 suites / 186 tests / 100%</t>
        </is>
      </c>
      <c r="H25" s="24" t="inlineStr">
        <is>
          <t>Everything remaining = Senthil inputs</t>
        </is>
      </c>
      <c r="I25" s="24" t="inlineStr">
        <is>
          <t>v002 on live sweep</t>
        </is>
      </c>
    </row>
    <row r="26" ht="23.25" customHeight="1" s="20">
      <c r="A26" s="24" t="inlineStr">
        <is>
          <t>E023</t>
        </is>
      </c>
      <c r="B26" s="24" t="inlineStr">
        <is>
          <t>2026-09-11 11:09</t>
        </is>
      </c>
      <c r="C26" s="24" t="inlineStr">
        <is>
          <t>v014</t>
        </is>
      </c>
      <c r="D26" s="24" t="inlineStr">
        <is>
          <t>—</t>
        </is>
      </c>
      <c r="E26" s="24" t="inlineStr">
        <is>
          <t>RUN CONTINUED — Senthil directive 10:49/11:08: continue next sprint. Baseline v013 re-verified in fresh session: 17 suites / 186 tests / 100%, tsc clean</t>
        </is>
      </c>
      <c r="F26" s="24" t="inlineStr">
        <is>
          <t>D13</t>
        </is>
      </c>
      <c r="G26" s="24" t="inlineStr">
        <is>
          <t>v014 opened from v013</t>
        </is>
      </c>
      <c r="H26" s="24" t="inlineStr">
        <is>
          <t>—</t>
        </is>
      </c>
      <c r="I26" s="24" t="inlineStr">
        <is>
          <t>E024</t>
        </is>
      </c>
    </row>
    <row r="27" ht="68.25" customHeight="1" s="20">
      <c r="A27" s="24" t="inlineStr">
        <is>
          <t>E024</t>
        </is>
      </c>
      <c r="B27" s="24" t="inlineStr">
        <is>
          <t>2026-09-11 11:09</t>
        </is>
      </c>
      <c r="C27" s="24" t="inlineStr">
        <is>
          <t>v014</t>
        </is>
      </c>
      <c r="D27" s="24" t="inlineStr">
        <is>
          <t>S8</t>
        </is>
      </c>
      <c r="E27" s="24" t="inlineStr">
        <is>
          <t>COLD-REVIEW PASS 1: 5 real defects found + fixed with regression tests — F-001 unbounded webhook idempotency ledger (FIFO 10,000 cap + seenSize monitor); F-002 signed-but-malformed payload crashed fast-ack (guarded parse/shape, ack 0 + parseError flag); F-003 rate-limiter idle tenants never evicted (prune() + trackedTenants); F-004 duplicate anomaly repeated per txn with 3+ matching txns (deduped per txn); F-005 nudgesPerMonth unenforceable — no cycle-scoped counter/reset existed (UsageCycle: boundary-anchored rollover, refuse-at-cap, 80% prompt)</t>
        </is>
      </c>
      <c r="F27" s="24" t="inlineStr">
        <is>
          <t>F-001..F-005</t>
        </is>
      </c>
      <c r="G27" s="24" t="inlineStr">
        <is>
          <t>Review_Findings sheet added; same defect classes as OnCall/EngageOS pass-1 findings</t>
        </is>
      </c>
      <c r="H27" s="24" t="inlineStr">
        <is>
          <t>—</t>
        </is>
      </c>
      <c r="I27" s="24" t="inlineStr">
        <is>
          <t>E025</t>
        </is>
      </c>
    </row>
    <row r="28" ht="45.75" customHeight="1" s="20">
      <c r="A28" s="24" t="inlineStr">
        <is>
          <t>E025</t>
        </is>
      </c>
      <c r="B28" s="24" t="inlineStr">
        <is>
          <t>2026-09-11 11:09</t>
        </is>
      </c>
      <c r="C28" s="24" t="inlineStr">
        <is>
          <t>v014</t>
        </is>
      </c>
      <c r="D28" s="24" t="inlineStr">
        <is>
          <t>S8</t>
        </is>
      </c>
      <c r="E28" s="24" t="inlineStr">
        <is>
          <t>ST-066 BUILT (Backlog -&gt; Code-complete pending live): src/security.ts — AES-256-GCM field envelope (fresh 12-byte IV, auth tag, versioned), SecretsVault boundary (EnvVault sandbox, KMS swaps at deploy), sealToken/openToken at storage boundary, requireTls production assertion, encryptionEvidence self-verifying drill</t>
        </is>
      </c>
      <c r="F28" s="24" t="inlineStr">
        <is>
          <t>ST-066</t>
        </is>
      </c>
      <c r="G28" s="24" t="inlineStr">
        <is>
          <t>Traceability + workbook updated</t>
        </is>
      </c>
      <c r="H28" s="24" t="inlineStr">
        <is>
          <t>Live vault (KMS) + deployed TLS probe = dev org</t>
        </is>
      </c>
      <c r="I28" s="24" t="inlineStr">
        <is>
          <t>E026</t>
        </is>
      </c>
    </row>
    <row r="29" ht="45.75" customHeight="1" s="20">
      <c r="A29" s="24" t="inlineStr">
        <is>
          <t>E026</t>
        </is>
      </c>
      <c r="B29" s="24" t="inlineStr">
        <is>
          <t>2026-09-11 11:09</t>
        </is>
      </c>
      <c r="C29" s="24" t="inlineStr">
        <is>
          <t>v014</t>
        </is>
      </c>
      <c r="D29" s="24" t="inlineStr">
        <is>
          <t>S9-S10</t>
        </is>
      </c>
      <c r="E29" s="24" t="inlineStr">
        <is>
          <t>SECURITY EVIDENCE PACK compiled (sandbox half of ST-068 -&gt; In progress): docs/security/SECURITY_EVIDENCE.md with per-control source+test citations across auth, encryption, webhooks, abuse protection, data lifecycle. REVIEW_PACK.md for external second reviewer — ST-097 stays In progress (same-AI review not independent). LC-5 status updated</t>
        </is>
      </c>
      <c r="F29" s="24" t="inlineStr">
        <is>
          <t>ST-068, ST-097, LC-5</t>
        </is>
      </c>
      <c r="G29" s="24" t="inlineStr">
        <is>
          <t>Gate checklist LC-5 updated</t>
        </is>
      </c>
      <c r="H29" s="24" t="inlineStr">
        <is>
          <t>Pen-test vendor + external reviewer = Senthil</t>
        </is>
      </c>
      <c r="I29" s="24" t="inlineStr">
        <is>
          <t>E027</t>
        </is>
      </c>
    </row>
    <row r="30" ht="57" customHeight="1" s="20">
      <c r="A30" s="24" t="inlineStr">
        <is>
          <t>E027</t>
        </is>
      </c>
      <c r="B30" s="24" t="inlineStr">
        <is>
          <t>2026-09-11 11:09</t>
        </is>
      </c>
      <c r="C30" s="24" t="inlineStr">
        <is>
          <t>v014</t>
        </is>
      </c>
      <c r="D30" s="24" t="inlineStr">
        <is>
          <t>—</t>
        </is>
      </c>
      <c r="E30" s="24" t="inlineStr">
        <is>
          <t>D13 GATE MET: 18 suites, 207 tests, 100% stmts/branches/funcs/lines, zero pragmas, tsc clean. One pre-existing webhook assertion extended for the F-002 response shape (parseError field) — behaviour otherwise unchanged. Position: 77 Done / 11 CCPL / 7 drafted / 3 in progress / 2 backlog (ST-099 SEO, ST-100 design partners — both external). Sandbox-codeable backlog now EXHAUSTED again</t>
        </is>
      </c>
      <c r="F30" s="24" t="inlineStr">
        <is>
          <t>D13</t>
        </is>
      </c>
      <c r="G30" s="24" t="inlineStr">
        <is>
          <t>Tracker v002 + workbook v014 released</t>
        </is>
      </c>
      <c r="H30" s="24" t="inlineStr">
        <is>
          <t>Everything remaining = Senthil inputs</t>
        </is>
      </c>
      <c r="I30" s="24" t="inlineStr">
        <is>
          <t>v003 on live sweep or dispositions</t>
        </is>
      </c>
    </row>
    <row r="31" ht="23.25" customHeight="1" s="20">
      <c r="A31" s="24" t="inlineStr">
        <is>
          <t>E028</t>
        </is>
      </c>
      <c r="B31" s="24" t="inlineStr">
        <is>
          <t>2026-09-11 12:47</t>
        </is>
      </c>
      <c r="C31" s="24" t="inlineStr">
        <is>
          <t>v015</t>
        </is>
      </c>
      <c r="D31" s="24" t="inlineStr">
        <is>
          <t>—</t>
        </is>
      </c>
      <c r="E31" s="24" t="inlineStr">
        <is>
          <t>RUN CONTINUED — 12:47 directive. Backlog sandbox-exhausted, but pass 1 only deep-read 4/26 modules -&gt; pass 2 scoped over the remaining 10 core modules</t>
        </is>
      </c>
      <c r="F31" s="24" t="inlineStr">
        <is>
          <t>—</t>
        </is>
      </c>
      <c r="G31" s="24" t="inlineStr">
        <is>
          <t>v015 opened from v014</t>
        </is>
      </c>
      <c r="H31" s="24" t="inlineStr">
        <is>
          <t>—</t>
        </is>
      </c>
      <c r="I31" s="24" t="inlineStr">
        <is>
          <t>E029</t>
        </is>
      </c>
    </row>
    <row r="32" ht="45.75" customHeight="1" s="20">
      <c r="A32" s="24" t="inlineStr">
        <is>
          <t>E029</t>
        </is>
      </c>
      <c r="B32" s="24" t="inlineStr">
        <is>
          <t>2026-09-11 12:47</t>
        </is>
      </c>
      <c r="C32" s="24" t="inlineStr">
        <is>
          <t>v015</t>
        </is>
      </c>
      <c r="D32" s="24" t="inlineStr">
        <is>
          <t>S5</t>
        </is>
      </c>
      <c r="E32" s="24" t="inlineStr">
        <is>
          <t>F-006 FIXED (Major, invoiceNudges): planner had no sent-history — every daily run re-nudged every overdue invoice at its current tier (customer spam: gentle on day 3,4,5,6...). SentHistory added: each tier fires exactly once per invoice; test-mode dry runs not recorded (real send still owed); failed sends not recorded (retried next run); clearInvoice on payment</t>
        </is>
      </c>
      <c r="F32" s="24" t="inlineStr">
        <is>
          <t>F-006</t>
        </is>
      </c>
      <c r="G32" s="24" t="inlineStr">
        <is>
          <t>regressions: once-only, escalation, test-mode, flaky-retry, clear</t>
        </is>
      </c>
      <c r="H32" s="24" t="inlineStr">
        <is>
          <t>—</t>
        </is>
      </c>
      <c r="I32" s="24" t="inlineStr">
        <is>
          <t>E030</t>
        </is>
      </c>
    </row>
    <row r="33" ht="45.75" customHeight="1" s="20">
      <c r="A33" s="24" t="inlineStr">
        <is>
          <t>E030</t>
        </is>
      </c>
      <c r="B33" s="24" t="inlineStr">
        <is>
          <t>2026-09-11 12:47</t>
        </is>
      </c>
      <c r="C33" s="24" t="inlineStr">
        <is>
          <t>v015</t>
        </is>
      </c>
      <c r="D33" s="24" t="inlineStr">
        <is>
          <t>S1</t>
        </is>
      </c>
      <c r="E33" s="24" t="inlineStr">
        <is>
          <t>F-007 FIXED (Major/compliance, installFlow): purgeExpired set status=purged but retained the full account record (tenant data) in memory indefinitely — contradicting the 30-day deletion policy (ST-052) and growing unboundedly. Purge now DELETES the record (idempotent); unproducible purged status removed from the type; post-purge reinstall verified as clean fresh install</t>
        </is>
      </c>
      <c r="F33" s="24" t="inlineStr">
        <is>
          <t>F-007</t>
        </is>
      </c>
      <c r="G33" s="24" t="inlineStr">
        <is>
          <t>regressions: record gone, idempotent re-run, fresh reinstall</t>
        </is>
      </c>
      <c r="H33" s="24" t="inlineStr">
        <is>
          <t>—</t>
        </is>
      </c>
      <c r="I33" s="24" t="inlineStr">
        <is>
          <t>E031</t>
        </is>
      </c>
    </row>
    <row r="34" ht="57" customHeight="1" s="20">
      <c r="A34" s="24" t="inlineStr">
        <is>
          <t>E031</t>
        </is>
      </c>
      <c r="B34" s="24" t="inlineStr">
        <is>
          <t>2026-09-11 12:47</t>
        </is>
      </c>
      <c r="C34" s="24" t="inlineStr">
        <is>
          <t>v015</t>
        </is>
      </c>
      <c r="D34" s="24" t="inlineStr">
        <is>
          <t>S2</t>
        </is>
      </c>
      <c r="E34" s="24" t="inlineStr">
        <is>
          <t>F-008 FIXED (Major, forecastEngine): a non-finite dueDate (bad platform data) made weekIndex return NaN and inflows[NaN]+= silently DROPPED the item from every week — no error, forecast quietly wrong; the opposite of ST-004 (clear errors on bad platform data). Dates + weekStart now validated finite with named failures. F-008b (Minor): traffic light was judged on the unrounded balance while the cell displays the rounded one — light now matches the displayed figure</t>
        </is>
      </c>
      <c r="F34" s="24" t="inlineStr">
        <is>
          <t>F-008</t>
        </is>
      </c>
      <c r="G34" s="24" t="inlineStr">
        <is>
          <t>regressions: NaN invoice/outflow/weekStart throw; light-display consistency</t>
        </is>
      </c>
      <c r="H34" s="24" t="inlineStr">
        <is>
          <t>—</t>
        </is>
      </c>
      <c r="I34" s="24" t="inlineStr">
        <is>
          <t>E032</t>
        </is>
      </c>
    </row>
    <row r="35" ht="45.75" customHeight="1" s="20">
      <c r="A35" s="24" t="inlineStr">
        <is>
          <t>E032</t>
        </is>
      </c>
      <c r="B35" s="24" t="inlineStr">
        <is>
          <t>2026-09-11 12:47</t>
        </is>
      </c>
      <c r="C35" s="24" t="inlineStr">
        <is>
          <t>v015</t>
        </is>
      </c>
      <c r="D35" s="24" t="inlineStr">
        <is>
          <t>S4</t>
        </is>
      </c>
      <c r="E35" s="24" t="inlineStr">
        <is>
          <t>F-009 FIXED (Major, scenarioSliders): extraMonthlyCost emitted 3 occurrences (days 0/28/56) but the 13-week horizon is 91 days — the 4th occurrence (day 84, week 13) was omitted, biasing recurring-hire scenarios optimistic by one month at the horizon edge. Now 4 occurrences; one pre-existing assertion updated (it encoded the defect)</t>
        </is>
      </c>
      <c r="F35" s="24" t="inlineStr">
        <is>
          <t>F-009</t>
        </is>
      </c>
      <c r="G35" s="24" t="inlineStr">
        <is>
          <t>regressions: 4 lines incl day 84; week-13 closing corrected</t>
        </is>
      </c>
      <c r="H35" s="24" t="inlineStr">
        <is>
          <t>—</t>
        </is>
      </c>
      <c r="I35" s="24" t="inlineStr">
        <is>
          <t>E033</t>
        </is>
      </c>
    </row>
    <row r="36" ht="57" customHeight="1" s="20">
      <c r="A36" s="24" t="inlineStr">
        <is>
          <t>E033</t>
        </is>
      </c>
      <c r="B36" s="24" t="inlineStr">
        <is>
          <t>2026-09-11 12:47</t>
        </is>
      </c>
      <c r="C36" s="24" t="inlineStr">
        <is>
          <t>v015</t>
        </is>
      </c>
      <c r="D36" s="24" t="inlineStr">
        <is>
          <t>S8</t>
        </is>
      </c>
      <c r="E36" s="24" t="inlineStr">
        <is>
          <t>OBSERVATIONS (no fix, disposition Senthil): OBS-001 backoffDelayMs has no jitter (synchronized retry herds under multi-tenant outage recovery — fix changes timing-sensitive test contracts); OBS-002 CircuitBreaker half_open admits unlimited concurrent probes (standard simple-breaker trade-off). compliance, portal, notifications, telemetry, onboarding, permissions, featureMetrics otherwise clean</t>
        </is>
      </c>
      <c r="F36" s="24" t="inlineStr">
        <is>
          <t>OBS-001, OBS-002</t>
        </is>
      </c>
      <c r="G36" s="24" t="inlineStr">
        <is>
          <t>Review_Findings</t>
        </is>
      </c>
      <c r="H36" s="24" t="inlineStr">
        <is>
          <t>—</t>
        </is>
      </c>
      <c r="I36" s="24" t="inlineStr">
        <is>
          <t>E034</t>
        </is>
      </c>
    </row>
    <row r="37" ht="57" customHeight="1" s="20">
      <c r="A37" s="24" t="inlineStr">
        <is>
          <t>E034</t>
        </is>
      </c>
      <c r="B37" s="24" t="inlineStr">
        <is>
          <t>2026-09-11 12:47</t>
        </is>
      </c>
      <c r="C37" s="24" t="inlineStr">
        <is>
          <t>v015</t>
        </is>
      </c>
      <c r="D37" s="24" t="inlineStr">
        <is>
          <t>—</t>
        </is>
      </c>
      <c r="E37" s="24" t="inlineStr">
        <is>
          <t>D13 GATE MET: 19 suites, 219 tests, 100% all metrics, zero pragmas, tsc clean. COLD REVIEW COMPLETE across all 27 modules: 9 defects (5 Major-class among them) found+fixed with regressions over passes 1-2. Position unchanged: 77 Done / 11 CCPL / 7 drafted / 3 in progress / 2 backlog. Sandbox work genuinely exhausted — external reviewer (REVIEW_PACK.md) is the remaining independence control</t>
        </is>
      </c>
      <c r="F37" s="24" t="inlineStr">
        <is>
          <t>D13</t>
        </is>
      </c>
      <c r="G37" s="24" t="inlineStr">
        <is>
          <t>Tracker v003 + workbook v015 released</t>
        </is>
      </c>
      <c r="H37" s="24" t="inlineStr">
        <is>
          <t>Everything remaining = Senthil</t>
        </is>
      </c>
      <c r="I37" s="24" t="inlineStr">
        <is>
          <t>v004 on live sweep or dispositions</t>
        </is>
      </c>
    </row>
    <row r="38" ht="34.5" customHeight="1" s="20">
      <c r="A38" s="24" t="inlineStr">
        <is>
          <t>E035</t>
        </is>
      </c>
      <c r="B38" s="24" t="inlineStr">
        <is>
          <t>2026-09-11 15:27</t>
        </is>
      </c>
      <c r="C38" s="24" t="inlineStr">
        <is>
          <t>v016</t>
        </is>
      </c>
      <c r="D38" s="24" t="inlineStr">
        <is>
          <t>S10-S12</t>
        </is>
      </c>
      <c r="E38" s="24" t="inlineStr">
        <is>
          <t>RUN CONTINUED — 15:27 directive. Sibling check against the refreshed portfolio state: TeleField (12:47) and VoiceBridge (13:32) reached CODE PHASE COMPLETE via the S10-S12 codeable halves FlowCast still held open. Wave scoped: ST-081/099/100/080/095</t>
        </is>
      </c>
      <c r="F38" s="24" t="inlineStr">
        <is>
          <t>—</t>
        </is>
      </c>
      <c r="G38" s="24" t="inlineStr">
        <is>
          <t>v016 opened from v015</t>
        </is>
      </c>
      <c r="H38" s="24" t="inlineStr">
        <is>
          <t>—</t>
        </is>
      </c>
      <c r="I38" s="24" t="inlineStr">
        <is>
          <t>E036</t>
        </is>
      </c>
    </row>
    <row r="39" ht="57" customHeight="1" s="20">
      <c r="A39" s="24" t="inlineStr">
        <is>
          <t>E036</t>
        </is>
      </c>
      <c r="B39" s="24" t="inlineStr">
        <is>
          <t>2026-09-11 15:27</t>
        </is>
      </c>
      <c r="C39" s="24" t="inlineStr">
        <is>
          <t>v016</t>
        </is>
      </c>
      <c r="D39" s="24" t="inlineStr">
        <is>
          <t>S10</t>
        </is>
      </c>
      <c r="E39" s="24" t="inlineStr">
        <is>
          <t>ST-081 BUILT (In progress -&gt; Code-complete pending live): src/chatSla.ts — configurable business-hours calendar, first-response deadline accumulating BUSINESS hours across days/weekends, thread lifecycle, met/due/at_risk/breached status, breach queue tightest-deadline-first. Chat-vendor decision now OPTIONAL — swap transport later without touching SLA logic; logged as D-F6 for ratification</t>
        </is>
      </c>
      <c r="F39" s="24" t="inlineStr">
        <is>
          <t>ST-081</t>
        </is>
      </c>
      <c r="G39" s="24" t="inlineStr">
        <is>
          <t>regressions incl. epoch-weekday math (one test constant corrected during build: epoch day 0 = Thursday), guard exhaustion, sparse 1h/week calendar</t>
        </is>
      </c>
      <c r="H39" s="24" t="inlineStr">
        <is>
          <t>Vendor decision (optional) = Senthil</t>
        </is>
      </c>
      <c r="I39" s="24" t="inlineStr">
        <is>
          <t>E037</t>
        </is>
      </c>
    </row>
    <row r="40" ht="45.75" customHeight="1" s="20">
      <c r="A40" s="24" t="inlineStr">
        <is>
          <t>E037</t>
        </is>
      </c>
      <c r="B40" s="24" t="inlineStr">
        <is>
          <t>2026-09-11 15:27</t>
        </is>
      </c>
      <c r="C40" s="24" t="inlineStr">
        <is>
          <t>v016</t>
        </is>
      </c>
      <c r="D40" s="24" t="inlineStr">
        <is>
          <t>S12</t>
        </is>
      </c>
      <c r="E40" s="24" t="inlineStr">
        <is>
          <t>ST-099 BUILT (Backlog -&gt; Code-complete pending live): seoSuggestions — promote-to-title / add-keyword / demote rules on install-rate over a 100-impression thin-data floor (insufficient_data below it, never a conclusion); in-title high-converters stay keyword-level. Live half = post-launch search-term data</t>
        </is>
      </c>
      <c r="F40" s="24" t="inlineStr">
        <is>
          <t>ST-099</t>
        </is>
      </c>
      <c r="G40" s="24" t="inlineStr">
        <is>
          <t>regressions: floor, promote/keyword/demote, in-title, sort order, validation</t>
        </is>
      </c>
      <c r="H40" s="24" t="inlineStr">
        <is>
          <t>Post-launch data = live</t>
        </is>
      </c>
      <c r="I40" s="24" t="inlineStr">
        <is>
          <t>E038</t>
        </is>
      </c>
    </row>
    <row r="41" ht="45.75" customHeight="1" s="20">
      <c r="A41" s="24" t="inlineStr">
        <is>
          <t>E038</t>
        </is>
      </c>
      <c r="B41" s="24" t="inlineStr">
        <is>
          <t>2026-09-11 15:27</t>
        </is>
      </c>
      <c r="C41" s="24" t="inlineStr">
        <is>
          <t>v016</t>
        </is>
      </c>
      <c r="D41" s="24" t="inlineStr">
        <is>
          <t>S11</t>
        </is>
      </c>
      <c r="E41" s="24" t="inlineStr">
        <is>
          <t>ST-100 BUILT (Backlog -&gt; Code-complete pending live): PartnerTracker — 10 slots, 7-day stale-nudge on in-play partners only, honest exit math: reviewed count progresses ST-100 but ONLY isPaying partners count toward G-02 (10 paying strangers); g02Remaining computed from paying only</t>
        </is>
      </c>
      <c r="F41" s="24" t="inlineStr">
        <is>
          <t>ST-100</t>
        </is>
      </c>
      <c r="G41" s="24" t="inlineStr">
        <is>
          <t>regressions: bounds/dupes, stale filter, partial updates, exit-math separation</t>
        </is>
      </c>
      <c r="H41" s="24" t="inlineStr">
        <is>
          <t>Outreach = Senthil</t>
        </is>
      </c>
      <c r="I41" s="24" t="inlineStr">
        <is>
          <t>E039</t>
        </is>
      </c>
    </row>
    <row r="42" ht="34.5" customHeight="1" s="20">
      <c r="A42" s="24" t="inlineStr">
        <is>
          <t>E039</t>
        </is>
      </c>
      <c r="B42" s="24" t="inlineStr">
        <is>
          <t>2026-09-11 15:27</t>
        </is>
      </c>
      <c r="C42" s="24" t="inlineStr">
        <is>
          <t>v016</t>
        </is>
      </c>
      <c r="D42" s="24" t="inlineStr">
        <is>
          <t>S10</t>
        </is>
      </c>
      <c r="E42" s="24" t="inlineStr">
        <is>
          <t>ST-080 search half BUILT (Drafted -&gt; Code-complete pending live): ranked help search (title 3x body term frequency) + HELP_MANIFEST test-gated against docs/help directory AND each file H1 — manifest cannot drift from the 15 articles. Hosting/publish remains the live half</t>
        </is>
      </c>
      <c r="F42" s="24" t="inlineStr">
        <is>
          <t>ST-080</t>
        </is>
      </c>
      <c r="G42" s="24" t="inlineStr">
        <is>
          <t>regressions: manifest-vs-directory, title-over-body ranking, multi-term/limit/empty</t>
        </is>
      </c>
      <c r="H42" s="24" t="inlineStr">
        <is>
          <t>Hosting = Senthil</t>
        </is>
      </c>
      <c r="I42" s="24" t="inlineStr">
        <is>
          <t>E040</t>
        </is>
      </c>
    </row>
    <row r="43" ht="45.75" customHeight="1" s="20">
      <c r="A43" s="24" t="inlineStr">
        <is>
          <t>E040</t>
        </is>
      </c>
      <c r="B43" s="24" t="inlineStr">
        <is>
          <t>2026-09-11 15:27</t>
        </is>
      </c>
      <c r="C43" s="24" t="inlineStr">
        <is>
          <t>v016</t>
        </is>
      </c>
      <c r="D43" s="24" t="inlineStr">
        <is>
          <t>S10</t>
        </is>
      </c>
      <c r="E43" s="24" t="inlineStr">
        <is>
          <t>ST-095 BUILT (Drafted -&gt; Code-complete pending live): renderPricingMatrix from the ENFORCED billing.ts constants; generated verification block appended to pricing-page.md; DRIFT GATE test asserts the published page contains the generated block verbatim AND the hand-written header prices match PLAN_PRICE — page/limits drift now breaks the build</t>
        </is>
      </c>
      <c r="F43" s="24" t="inlineStr">
        <is>
          <t>ST-095</t>
        </is>
      </c>
      <c r="G43" s="24" t="inlineStr">
        <is>
          <t>drift-gate + verbatim-constants regressions</t>
        </is>
      </c>
      <c r="H43" s="24" t="inlineStr">
        <is>
          <t>Publish = Senthil</t>
        </is>
      </c>
      <c r="I43" s="24" t="inlineStr">
        <is>
          <t>E041</t>
        </is>
      </c>
    </row>
    <row r="44" ht="68.25" customHeight="1" s="20">
      <c r="A44" s="24" t="inlineStr">
        <is>
          <t>E041</t>
        </is>
      </c>
      <c r="B44" s="24" t="inlineStr">
        <is>
          <t>2026-09-11 15:27</t>
        </is>
      </c>
      <c r="C44" s="24" t="inlineStr">
        <is>
          <t>v016</t>
        </is>
      </c>
      <c r="D44" s="24" t="inlineStr">
        <is>
          <t>—</t>
        </is>
      </c>
      <c r="E44" s="24" t="inlineStr">
        <is>
          <t>D13 GATE MET: 20 suites, 243 tests, 100% all metrics, zero pragmas, tsc clean. BACKLOG ZERO. FLOWCAST CODE PHASE COMPLETE — third product after TeleField (12:47) and VoiceBridge (13:32). Position: 77 Done / 16 CCPL / 5 drafted / 2 in progress / 0 backlog. No further code sprints planned; remaining chain all Senthil live halves: dev org -&gt; 12-step sweep -&gt; dispositions -&gt; external reviewer -&gt; copy A/B -&gt; pen-test -&gt; (optional D-F6) -&gt; launch runbook -&gt; partner outreach; D15 open</t>
        </is>
      </c>
      <c r="F44" s="24" t="inlineStr">
        <is>
          <t>D13, D7</t>
        </is>
      </c>
      <c r="G44" s="24" t="inlineStr">
        <is>
          <t>Tracker v004 + workbook v016 released</t>
        </is>
      </c>
      <c r="H44" s="24" t="inlineStr">
        <is>
          <t>Everything remaining = Senthil</t>
        </is>
      </c>
      <c r="I44" s="24" t="inlineStr">
        <is>
          <t>v005 on live evidence</t>
        </is>
      </c>
    </row>
    <row r="45" ht="34.5" customHeight="1" s="20">
      <c r="A45" s="24" t="inlineStr">
        <is>
          <t>E042</t>
        </is>
      </c>
      <c r="B45" s="24" t="inlineStr">
        <is>
          <t>2026-09-11 22:08</t>
        </is>
      </c>
      <c r="C45" s="24" t="inlineStr">
        <is>
          <t>v017</t>
        </is>
      </c>
      <c r="D45" s="24" t="inlineStr">
        <is>
          <t>—</t>
        </is>
      </c>
      <c r="E45" s="24" t="inlineStr">
        <is>
          <t>RUN CONTINUED — 22:08 directive. Post-code-phase sibling patterns applied: TestPulse external verification sweep (caught wrong runtime/dead API/wrong asset spec) + VoiceBridge doc-artifact gap closure (2GP source). Neither had run on FlowCast</t>
        </is>
      </c>
      <c r="F45" s="24" t="inlineStr">
        <is>
          <t>—</t>
        </is>
      </c>
      <c r="G45" s="24" t="inlineStr">
        <is>
          <t>v017 opened from v016</t>
        </is>
      </c>
      <c r="H45" s="24" t="inlineStr">
        <is>
          <t>—</t>
        </is>
      </c>
      <c r="I45" s="24" t="inlineStr">
        <is>
          <t>E043</t>
        </is>
      </c>
    </row>
    <row r="46" ht="57" customHeight="1" s="20">
      <c r="A46" s="24" t="inlineStr">
        <is>
          <t>E043</t>
        </is>
      </c>
      <c r="B46" s="24" t="inlineStr">
        <is>
          <t>2026-09-11 22:08</t>
        </is>
      </c>
      <c r="C46" s="24" t="inlineStr">
        <is>
          <t>v017</t>
        </is>
      </c>
      <c r="D46" s="24" t="inlineStr">
        <is>
          <t>—</t>
        </is>
      </c>
      <c r="E46" s="24" t="inlineStr">
        <is>
          <t>VER-001 FIXED (CRITICAL/live-blocking, server.ts): our 200 webhook response carried {"accepted":N} JSON — external docs confirm Xero REJECTS webhook responses containing a body ("Response contained a body" failure on intent-to-receive even with correct status). Sweep step 4 would have failed on the day. Both 200 and 401 now empty-body; accepted count is /health telemetry (ctx.lastAccepted). One pre-existing route assertion updated (encoded the body)</t>
        </is>
      </c>
      <c r="F46" s="24" t="inlineStr">
        <is>
          <t>VER-001</t>
        </is>
      </c>
      <c r="G46" s="24" t="inlineStr">
        <is>
          <t>regressions: valid delivery, intent-to-receive positive/negative, F-002 malformed path — all empty-body</t>
        </is>
      </c>
      <c r="H46" s="24" t="inlineStr">
        <is>
          <t>—</t>
        </is>
      </c>
      <c r="I46" s="24" t="inlineStr">
        <is>
          <t>E044</t>
        </is>
      </c>
    </row>
    <row r="47" ht="102" customHeight="1" s="20">
      <c r="A47" s="24" t="inlineStr">
        <is>
          <t>E044</t>
        </is>
      </c>
      <c r="B47" s="24" t="inlineStr">
        <is>
          <t>2026-09-11 22:08</t>
        </is>
      </c>
      <c r="C47" s="24" t="inlineStr">
        <is>
          <t>v017</t>
        </is>
      </c>
      <c r="D47" s="24" t="inlineStr">
        <is>
          <t>—</t>
        </is>
      </c>
      <c r="E47" s="24" t="inlineStr">
        <is>
          <t>VER-002 FIXED (Major, rateLimiter.ts): Xero enforces 5 concurrent + 60/min + 5,000/day per org; only 60/min was paced — a busy day would hit the daily 429 wall blind. UTC-day budget added (XERO_DAILY_LIMIT=5000): refuses with time-to-day-boundary, per-minute refusals do not consume budget, dailyUsed() telemetry, prune() clears stale buckets. Concurrency ≤5 naturally bounded by worker model — flagged for live-sweep observation. VER-003 FIXED (Major, compliance.ts): dev-org guide mandates offline_access but FEATURE_SCOPES had no home for it — our own ST-064 audit flagged our own guide as unjustified; PLATFORM_SCOPES=[offline_access] now always required; one pre-existing audit assertion updated</t>
        </is>
      </c>
      <c r="F47" s="24" t="inlineStr">
        <is>
          <t>VER-002, VER-003</t>
        </is>
      </c>
      <c r="G47" s="24" t="inlineStr">
        <is>
          <t>regressions: daily cap/reset/refusal-not-counted/prune; guide-scope round-trip, missing-offline_access, still-flags-payroll</t>
        </is>
      </c>
      <c r="H47" s="24" t="inlineStr">
        <is>
          <t>—</t>
        </is>
      </c>
      <c r="I47" s="24" t="inlineStr">
        <is>
          <t>E045</t>
        </is>
      </c>
    </row>
    <row r="48" ht="90.75" customHeight="1" s="20">
      <c r="A48" s="24" t="inlineStr">
        <is>
          <t>E045</t>
        </is>
      </c>
      <c r="B48" s="24" t="inlineStr">
        <is>
          <t>2026-09-11 22:08</t>
        </is>
      </c>
      <c r="C48" s="24" t="inlineStr">
        <is>
          <t>v017</t>
        </is>
      </c>
      <c r="D48" s="24" t="inlineStr">
        <is>
          <t>—</t>
        </is>
      </c>
      <c r="E48" s="24" t="inlineStr">
        <is>
          <t>GAP-1/GAP-2 CLOSED (artifact-gap audit): sweep steps 10/12 referenced a CI workflow and a blue/green pipeline that DID NOT EXIST (same class as VoiceBridge missing 2GP source, TestPulse missing Custom UI resource). Built: .github/workflows/ci.yml (tsc + jest 100% gate + zero-pragma check, Node 22 per Node-20-EOL sibling finding), deploy.yml (build-and-stage -&gt; approval-gated switch -&gt; post-switch smoke), scripts/deploy-slot.sh + verify-slot.sh + switch-traffic.sh (rollback = router re-point). YAML + bash parse verified. 5 platform claims verified CORRECT (V-OK1..5: signature scheme, 5s window, batching, token timing, billing-region wording). Evidence table: docs/live-sweep/external-verification-20260911.md</t>
        </is>
      </c>
      <c r="F48" s="24" t="inlineStr">
        <is>
          <t>GAP-1, GAP-2, V-OK1..5</t>
        </is>
      </c>
      <c r="G48" s="24" t="inlineStr">
        <is>
          <t>sweep doc steps 4/6/10/12 rewritten</t>
        </is>
      </c>
      <c r="H48" s="24" t="inlineStr">
        <is>
          <t>Live regions re-check at partner onboarding</t>
        </is>
      </c>
      <c r="I48" s="24" t="inlineStr">
        <is>
          <t>E046</t>
        </is>
      </c>
    </row>
    <row r="49" ht="57" customHeight="1" s="20">
      <c r="A49" s="24" t="inlineStr">
        <is>
          <t>E046</t>
        </is>
      </c>
      <c r="B49" s="24" t="inlineStr">
        <is>
          <t>2026-09-11 22:08</t>
        </is>
      </c>
      <c r="C49" s="24" t="inlineStr">
        <is>
          <t>v017</t>
        </is>
      </c>
      <c r="D49" s="24" t="inlineStr">
        <is>
          <t>—</t>
        </is>
      </c>
      <c r="E49" s="24" t="inlineStr">
        <is>
          <t>D13 GATE MET: 21 suites, 256 tests, 100% all metrics, zero pragmas, tsc clean. Story position unchanged (verification hardening under existing stories, VoiceBridge v011 precedent). FlowCast now has BOTH post-completion sibling passes. Sandbox genuinely exhausted at a higher bar: the one live-blocking defect that survived two cold reviews was found by checking OUR claims against THEIR docs — external verification catches what internal review cannot</t>
        </is>
      </c>
      <c r="F49" s="24" t="inlineStr">
        <is>
          <t>D13</t>
        </is>
      </c>
      <c r="G49" s="24" t="inlineStr">
        <is>
          <t>Tracker v005 + workbook v017 released</t>
        </is>
      </c>
      <c r="H49" s="24" t="inlineStr">
        <is>
          <t>Everything remaining = Senthil</t>
        </is>
      </c>
      <c r="I49" s="24" t="inlineStr">
        <is>
          <t>v006 on live evidence</t>
        </is>
      </c>
    </row>
    <row r="50" ht="57" customHeight="1" s="20">
      <c r="A50" s="24" t="inlineStr">
        <is>
          <t>E047</t>
        </is>
      </c>
      <c r="B50" s="24" t="inlineStr">
        <is>
          <t>2026-09-13 10:25</t>
        </is>
      </c>
      <c r="C50" s="24" t="inlineStr">
        <is>
          <t>v018</t>
        </is>
      </c>
      <c r="D50" s="24" t="inlineStr">
        <is>
          <t>—</t>
        </is>
      </c>
      <c r="E50" s="24" t="inlineStr">
        <is>
          <t>RUN CONTINUED — 13 Sep 10:25. Sibling audits that landed today applied to FlowCast for the first time: OnCall GAP-OC1/OC2 (no HTTP app, no schema behind documented routes, lesson L-OC3), EngageOS F-009/F-010 (shipped modules no path ever called, lesson L-E1), MeetSync M-F11/M-F12 (identity from caller headers). Mechanical check: grep every exported guard for a caller outside its own tests; try to run what the docs tell the operator to run</t>
        </is>
      </c>
      <c r="F50" s="24" t="inlineStr">
        <is>
          <t>—</t>
        </is>
      </c>
      <c r="G50" s="24" t="inlineStr">
        <is>
          <t>v018 opened from v017</t>
        </is>
      </c>
      <c r="H50" s="24" t="inlineStr">
        <is>
          <t>—</t>
        </is>
      </c>
      <c r="I50" s="24" t="inlineStr">
        <is>
          <t>E048</t>
        </is>
      </c>
    </row>
    <row r="51" ht="90.75" customHeight="1" s="20">
      <c r="A51" s="24" t="inlineStr">
        <is>
          <t>E048</t>
        </is>
      </c>
      <c r="B51" s="24" t="inlineStr">
        <is>
          <t>2026-09-13 10:25</t>
        </is>
      </c>
      <c r="C51" s="24" t="inlineStr">
        <is>
          <t>v018</t>
        </is>
      </c>
      <c r="D51" s="24" t="inlineStr">
        <is>
          <t>—</t>
        </is>
      </c>
      <c r="E51" s="24" t="inlineStr">
        <is>
          <t>GAP-F1 FIXED (CRITICAL): NO RUNNABLE APPLICATION EXISTED. server.ts held pure handlers plus a comment describing deploy-time binding; package.json had only a test script; no build. Meanwhile v017 deploy scripts restart a flowcast service and curl /health, the 30-min guide says boot with filled .env, and live-sweep STEP 1 checks /health — the sweep would have died on its first row on dev-org day. Built src/httpServer.ts (real http.createServer, raw-body capture for signature bytes, 1MB cap, 413/500 rather than hanging sockets — MeetSync M-F21 class), src/main.ts + bootFromEnv, npm run build/start, tsconfig.build.json. VERIFIED END TO END: built artifact booted, curl returned {"ok":true,"release":"v018"}</t>
        </is>
      </c>
      <c r="F51" s="24" t="inlineStr">
        <is>
          <t>GAP-F1</t>
        </is>
      </c>
      <c r="G51" s="24" t="inlineStr">
        <is>
          <t>tests/integrationAudit.test.ts — /health, signed webhook over a socket, forged 401, 413, query-strip, 404, boot path</t>
        </is>
      </c>
      <c r="H51" s="24" t="inlineStr">
        <is>
          <t>—</t>
        </is>
      </c>
      <c r="I51" s="24" t="inlineStr">
        <is>
          <t>E049</t>
        </is>
      </c>
    </row>
    <row r="52" ht="57" customHeight="1" s="20">
      <c r="A52" s="24" t="inlineStr">
        <is>
          <t>E049</t>
        </is>
      </c>
      <c r="B52" s="24" t="inlineStr">
        <is>
          <t>2026-09-13 10:25</t>
        </is>
      </c>
      <c r="C52" s="24" t="inlineStr">
        <is>
          <t>v018</t>
        </is>
      </c>
      <c r="D52" s="24" t="inlineStr">
        <is>
          <t>S5</t>
        </is>
      </c>
      <c r="E52" s="24" t="inlineStr">
        <is>
          <t>INT-F1 FIXED (CRITICAL): recordNudge/UsageCycle — MY OWN v014 F-005 FIX — was called by nothing. The plan limit was still unenforceable in the running product: the fix shipped as a module, not as an integration, and a 100% suite proved only that the module worked in isolation. FlowCastApp.sendNudgeBatch now records every send, refuses at the cap before the sender is touched, returns the slot on failed sends, and resets with the cycle</t>
        </is>
      </c>
      <c r="F52" s="24" t="inlineStr">
        <is>
          <t>INT-F1</t>
        </is>
      </c>
      <c r="G52" s="24" t="inlineStr">
        <is>
          <t>regressions: cap refusal at 50, sender never called on the 51st, failed-send slot return, cycle reset</t>
        </is>
      </c>
      <c r="H52" s="24" t="inlineStr">
        <is>
          <t>—</t>
        </is>
      </c>
      <c r="I52" s="24" t="inlineStr">
        <is>
          <t>E050</t>
        </is>
      </c>
    </row>
    <row r="53" ht="57" customHeight="1" s="20">
      <c r="A53" s="24" t="inlineStr">
        <is>
          <t>E050</t>
        </is>
      </c>
      <c r="B53" s="24" t="inlineStr">
        <is>
          <t>2026-09-13 10:25</t>
        </is>
      </c>
      <c r="C53" s="24" t="inlineStr">
        <is>
          <t>v018</t>
        </is>
      </c>
      <c r="D53" s="24" t="inlineStr">
        <is>
          <t>S1</t>
        </is>
      </c>
      <c r="E53" s="24" t="inlineStr">
        <is>
          <t>INT-F2 FIXED (CRITICAL): sealToken/encryptField (ST-066, built v014) had no callers — Xero refresh tokens sat in memory as PLAINTEXT while SECURITY_EVIDENCE.md claimed token-at-rest sealing as certification evidence. InstallService now takes a SecretsVault: tokens sealed at rest, opened only for the rotation call, rotated tokens re-sealed; sealsAtRest() reports the truth. Security pack corrected by dated ADDENDUM rather than a silent edit</t>
        </is>
      </c>
      <c r="F53" s="24" t="inlineStr">
        <is>
          <t>INT-F2</t>
        </is>
      </c>
      <c r="G53" s="24" t="inlineStr">
        <is>
          <t>regressions: no plaintext in stored bytes, refresh rotates, reinstall seals, no-vault honest signal</t>
        </is>
      </c>
      <c r="H53" s="24" t="inlineStr">
        <is>
          <t>Evidence-integrity note for the pen-test vendor</t>
        </is>
      </c>
      <c r="I53" s="24" t="inlineStr">
        <is>
          <t>E051</t>
        </is>
      </c>
    </row>
    <row r="54" ht="79.5" customHeight="1" s="20">
      <c r="A54" s="24" t="inlineStr">
        <is>
          <t>E051</t>
        </is>
      </c>
      <c r="B54" s="24" t="inlineStr">
        <is>
          <t>2026-09-13 10:25</t>
        </is>
      </c>
      <c r="C54" s="24" t="inlineStr">
        <is>
          <t>v018</t>
        </is>
      </c>
      <c r="D54" s="24" t="inlineStr">
        <is>
          <t>S6</t>
        </is>
      </c>
      <c r="E54" s="24" t="inlineStr">
        <is>
          <t>INT-F3 FIXED (Major): authorize()/can() guarded NO entry point — the role matrix was decorative and a member could mutate portal clients. INT-F5 FIXED (Major): accessLevel() returned read_only after grace and nothing blocked writes, while the pricing page promises exactly that behaviour. Both wired through the new composition root: requirePermission + requireWrite on every mutation, reads deliberately left open at all levels. INT-F4 investigated and NOT raised (limiter is reached via executeWithRateLimit; no real Xero HTTP client exists to wire yet — R-F4 deliberate)</t>
        </is>
      </c>
      <c r="F54" s="24" t="inlineStr">
        <is>
          <t>INT-F3, INT-F5</t>
        </is>
      </c>
      <c r="G54" s="24" t="inlineStr">
        <is>
          <t>regressions: member denied/owner allowed, audit log records both, grace writes vs read-only refusal, recovery restores</t>
        </is>
      </c>
      <c r="H54" s="24" t="inlineStr">
        <is>
          <t>—</t>
        </is>
      </c>
      <c r="I54" s="24" t="inlineStr">
        <is>
          <t>E052</t>
        </is>
      </c>
    </row>
    <row r="55" ht="79.5" customHeight="1" s="20">
      <c r="A55" s="24" t="inlineStr">
        <is>
          <t>E052</t>
        </is>
      </c>
      <c r="B55" s="24" t="inlineStr">
        <is>
          <t>2026-09-13 10:25</t>
        </is>
      </c>
      <c r="C55" s="24" t="inlineStr">
        <is>
          <t>v018</t>
        </is>
      </c>
      <c r="D55" s="24" t="inlineStr">
        <is>
          <t>—</t>
        </is>
      </c>
      <c r="E55" s="24" t="inlineStr">
        <is>
          <t>D13 GATE MET: 22 suites, 283 tests, 100% all metrics, zero pragmas, tsc clean, npm run build emits dist/main.js, live boot verified. Two defensive-unreachable branches refactored into tested helpers (toHttpRequest, errorStatus) rather than pragma-suppressed — MeetSync precedent. Story positions unchanged (integration correctness). LESSON L-F1: nine cold-review defects, three verification findings and 100% coverage across 27 modules never revealed that five modules were wired to nothing and the product had no way to start. Unit coverage proves a module executes; it cannot prove the product exists or that anything calls it</t>
        </is>
      </c>
      <c r="F55" s="24" t="inlineStr">
        <is>
          <t>D13</t>
        </is>
      </c>
      <c r="G55" s="24" t="inlineStr">
        <is>
          <t>Tracker v006 + workbook v018 released</t>
        </is>
      </c>
      <c r="H55" s="24" t="inlineStr">
        <is>
          <t>Everything remaining = Senthil</t>
        </is>
      </c>
      <c r="I55" s="24" t="inlineStr">
        <is>
          <t>v007 on live evidence</t>
        </is>
      </c>
    </row>
    <row r="56" ht="45.75" customHeight="1" s="20">
      <c r="A56" s="24" t="inlineStr">
        <is>
          <t>E053</t>
        </is>
      </c>
      <c r="B56" s="24" t="inlineStr">
        <is>
          <t>2026-09-13 10:38</t>
        </is>
      </c>
      <c r="C56" s="24" t="inlineStr">
        <is>
          <t>v019</t>
        </is>
      </c>
      <c r="D56" s="24" t="inlineStr">
        <is>
          <t>—</t>
        </is>
      </c>
      <c r="E56" s="24" t="inlineStr">
        <is>
          <t>RUN CONTINUED — 10:38. Trigger: OnCall ran cold-review pass 3 over its own new HTTP layer an hour earlier and found 2 criticals (no multi-tenancy, OAuth CSRF), logging L-OC4 "new surfaces inherit old blind spots". FlowCast had built httpServer.ts/app.ts/main.ts 13 minutes before and shipped them unreviewed — pass 3 scoped to v018-authored code only</t>
        </is>
      </c>
      <c r="F56" s="24" t="inlineStr">
        <is>
          <t>—</t>
        </is>
      </c>
      <c r="G56" s="24" t="inlineStr">
        <is>
          <t>v019 opened from v018</t>
        </is>
      </c>
      <c r="H56" s="24" t="inlineStr">
        <is>
          <t>—</t>
        </is>
      </c>
      <c r="I56" s="24" t="inlineStr">
        <is>
          <t>E054</t>
        </is>
      </c>
    </row>
    <row r="57" ht="79.5" customHeight="1" s="20">
      <c r="A57" s="24" t="inlineStr">
        <is>
          <t>E054</t>
        </is>
      </c>
      <c r="B57" s="24" t="inlineStr">
        <is>
          <t>2026-09-13 10:38</t>
        </is>
      </c>
      <c r="C57" s="24" t="inlineStr">
        <is>
          <t>v019</t>
        </is>
      </c>
      <c r="D57" s="24" t="inlineStr">
        <is>
          <t>S1</t>
        </is>
      </c>
      <c r="E57" s="24" t="inlineStr">
        <is>
          <t>F3-01 FIXED (CRITICAL): NO OAUTH INSTALL ROUTES EXISTED. config REQUIRES OAUTH_REDIRECT_URI, the 30-min guide registers that URL with Xero, security.ts even comments about serving callbacks, and live-sweep STEP 2 expects "callback lands, tokens stored" — but the app served only /health and /webhooks/xero, so the install would have dead-ended on a 404. Root cause: v018 built the app around the two routes server.ts already had and never asked which routes the DOCS promise. Built src/oauth.ts (/auth/start authorize-URL builder, /auth/callback exchange) behind a new async routeAsync; real 302 Location; full round trip verified over a socket</t>
        </is>
      </c>
      <c r="F57" s="24" t="inlineStr">
        <is>
          <t>F3-01</t>
        </is>
      </c>
      <c r="G57" s="24" t="inlineStr">
        <is>
          <t>tests/coldReviewPass3.test.ts — start URL params, callback stores install with source, decline/malformed 400, unconfigured 503, socket round trip</t>
        </is>
      </c>
      <c r="H57" s="24" t="inlineStr">
        <is>
          <t>R-F9: needs the real client</t>
        </is>
      </c>
      <c r="I57" s="24" t="inlineStr">
        <is>
          <t>E055</t>
        </is>
      </c>
    </row>
    <row r="58" ht="79.5" customHeight="1" s="20">
      <c r="A58" s="24" t="inlineStr">
        <is>
          <t>E055</t>
        </is>
      </c>
      <c r="B58" s="24" t="inlineStr">
        <is>
          <t>2026-09-13 10:38</t>
        </is>
      </c>
      <c r="C58" s="24" t="inlineStr">
        <is>
          <t>v019</t>
        </is>
      </c>
      <c r="D58" s="24" t="inlineStr">
        <is>
          <t>S8</t>
        </is>
      </c>
      <c r="E58" s="24" t="inlineStr">
        <is>
          <t>F3-02 FIXED (CRITICAL): NOTHING DRAINED THE QUEUE. processQueue had no caller outside its own tests — every verified webhook ACKed 200, landed in ctx.queue and evaporated: a paid invoice never cancelled its nudges, an edited invoice never replanned. The queue was also unbounded. This is INT-F1 recurring one layer up: the v018 audit fixed the modules it examined and created a new unwired seam in the same breath. src/worker.ts built — bounded enqueue (50k ceiling, oldest shed and counted), drainOnce with batch bound, non-overlapping startWorker loop that unrefs so a pending drain cannot hold the process open</t>
        </is>
      </c>
      <c r="F58" s="24" t="inlineStr">
        <is>
          <t>F3-02</t>
        </is>
      </c>
      <c r="G58" s="24" t="inlineStr">
        <is>
          <t>regressions: drain empties queue and emits actions, paid invoice cancels nudges, shed at ceiling, batch bound, no double-drain, real-timer defaults</t>
        </is>
      </c>
      <c r="H58" s="24" t="inlineStr">
        <is>
          <t>—</t>
        </is>
      </c>
      <c r="I58" s="24" t="inlineStr">
        <is>
          <t>E056</t>
        </is>
      </c>
    </row>
    <row r="59" ht="90.75" customHeight="1" s="20">
      <c r="A59" s="24" t="inlineStr">
        <is>
          <t>E056</t>
        </is>
      </c>
      <c r="B59" s="24" t="inlineStr">
        <is>
          <t>2026-09-13 10:38</t>
        </is>
      </c>
      <c r="C59" s="24" t="inlineStr">
        <is>
          <t>v019</t>
        </is>
      </c>
      <c r="D59" s="24" t="inlineStr">
        <is>
          <t>S1</t>
        </is>
      </c>
      <c r="E59" s="24" t="inlineStr">
        <is>
          <t>F3-03 FIXED (Major): the new callback needed CSRF protection or any site could walk a victim through an install — single-use OAuthStateStore, 10-min TTL, FIFO cap, constant-time compare; unknown/expired/replayed state =&gt; 403. F3-04 FIXED (Major): /health was fully public and returned the exact release string and live queue depth (OnCall F-017 class) — liveness stays public for load balancers, detail now requires x-flowcast-operator; scripts/verify-slot.sh updated to pass it; two pre-existing health assertions updated. VERIFIED CLEAN: webhook dedupe key is already tenant-scoped, so the OnCall F-014 / MeetSync M-F04 cross-tenant collision class does not apply — pinned with a two-tenant regression</t>
        </is>
      </c>
      <c r="F59" s="24" t="inlineStr">
        <is>
          <t>F3-03, F3-04</t>
        </is>
      </c>
      <c r="G59" s="24" t="inlineStr">
        <is>
          <t>state replay/expiry/cap/prune, public-vs-operator health over the wire</t>
        </is>
      </c>
      <c r="H59" s="24" t="inlineStr">
        <is>
          <t>—</t>
        </is>
      </c>
      <c r="I59" s="24" t="inlineStr">
        <is>
          <t>E057</t>
        </is>
      </c>
    </row>
    <row r="60" ht="90.75" customHeight="1" s="20">
      <c r="A60" s="24" t="inlineStr">
        <is>
          <t>E057</t>
        </is>
      </c>
      <c r="B60" s="24" t="inlineStr">
        <is>
          <t>2026-09-13 10:38</t>
        </is>
      </c>
      <c r="C60" s="24" t="inlineStr">
        <is>
          <t>v019</t>
        </is>
      </c>
      <c r="D60" s="24" t="inlineStr">
        <is>
          <t>—</t>
        </is>
      </c>
      <c r="E60" s="24" t="inlineStr">
        <is>
          <t>D13 GATE MET: 23 suites, 317 tests, 100% all metrics, zero pragmas, tsc clean; built artifact re-verified live (public {"ok":true}, operator gets release/queued/shed). R-F9 OPENED HONESTLY: /auth/start 503s in the running binary because main.ts has no XeroOAuthClient to wire — no real Xero HTTP client exists anywhere (R-F4, same reason INT-F4 was not raised). Pass 3 closed the ROUTING half of sweep step 2; the CLIENT half is the largest genuinely codeable work left and was deliberately not half-built in this sitting. LESSON L-F2: second consecutive sitting where the previous sitting own new code held a critical defect — standing rule adopted, anything built in a session gets reviewed in the next by the same checklist used on inherited code</t>
        </is>
      </c>
      <c r="F60" s="24" t="inlineStr">
        <is>
          <t>D13, R-F9</t>
        </is>
      </c>
      <c r="G60" s="24" t="inlineStr">
        <is>
          <t>Tracker v007 + workbook v019 released</t>
        </is>
      </c>
      <c r="H60" s="24" t="inlineStr">
        <is>
          <t>Client build = next sprint; rest = Senthil</t>
        </is>
      </c>
      <c r="I60" s="24" t="inlineStr">
        <is>
          <t>v008 on R-F9 or live evidence</t>
        </is>
      </c>
    </row>
    <row r="61" ht="45.75" customHeight="1" s="20">
      <c r="A61" s="24" t="inlineStr">
        <is>
          <t>E058</t>
        </is>
      </c>
      <c r="B61" s="24" t="inlineStr">
        <is>
          <t>2026-09-13 10:55</t>
        </is>
      </c>
      <c r="C61" s="24" t="inlineStr">
        <is>
          <t>v020</t>
        </is>
      </c>
      <c r="D61" s="24" t="inlineStr">
        <is>
          <t>—</t>
        </is>
      </c>
      <c r="E61" s="24" t="inlineStr">
        <is>
          <t>RUN CONTINUED — 10:55. TestPulse pass 5 shipped portable review gates and left "port to the other 10 products" open; that gate is the machinery version of FlowCast L-F2 (anything built in a session gets reviewed in the next). Ported tests/reachabilityGate.test.ts: fails the build when a src export has no production caller; tests explicitly do NOT count as callers</t>
        </is>
      </c>
      <c r="F61" s="24" t="inlineStr">
        <is>
          <t>—</t>
        </is>
      </c>
      <c r="G61" s="24" t="inlineStr">
        <is>
          <t>v020 opened from v019</t>
        </is>
      </c>
      <c r="H61" s="24" t="inlineStr">
        <is>
          <t>—</t>
        </is>
      </c>
      <c r="I61" s="24" t="inlineStr">
        <is>
          <t>E059</t>
        </is>
      </c>
    </row>
    <row r="62" ht="57" customHeight="1" s="20">
      <c r="A62" s="24" t="inlineStr">
        <is>
          <t>E059</t>
        </is>
      </c>
      <c r="B62" s="24" t="inlineStr">
        <is>
          <t>2026-09-13 10:55</t>
        </is>
      </c>
      <c r="C62" s="24" t="inlineStr">
        <is>
          <t>v020</t>
        </is>
      </c>
      <c r="D62" s="24" t="inlineStr">
        <is>
          <t>—</t>
        </is>
      </c>
      <c r="E62" s="24" t="inlineStr">
        <is>
          <t>GATE DESIGN HARDENED MID-BUILD: the first version passed only after I file-level-exempted 8 feature modules, which would have pardoned every future export in them — self-corrected to per-export SURFACES entries named one at a time, plus KNOWN_GAPS entries that must cite a live RAID risk id, and removed an escape hatch that skipped stale exemptions. Reasons containing later/todo/tbd/wire now FAIL the gate</t>
        </is>
      </c>
      <c r="F62" s="24" t="inlineStr">
        <is>
          <t>—</t>
        </is>
      </c>
      <c r="G62" s="24" t="inlineStr">
        <is>
          <t>tests/reachabilityGate.test.ts</t>
        </is>
      </c>
      <c r="H62" s="24" t="inlineStr">
        <is>
          <t>—</t>
        </is>
      </c>
      <c r="I62" s="24" t="inlineStr">
        <is>
          <t>E060</t>
        </is>
      </c>
    </row>
    <row r="63" ht="113.25" customHeight="1" s="20">
      <c r="A63" s="24" t="inlineStr">
        <is>
          <t>E060</t>
        </is>
      </c>
      <c r="B63" s="24" t="inlineStr">
        <is>
          <t>2026-09-13 10:55</t>
        </is>
      </c>
      <c r="C63" s="24" t="inlineStr">
        <is>
          <t>v020</t>
        </is>
      </c>
      <c r="D63" s="24" t="inlineStr">
        <is>
          <t>S5, S8</t>
        </is>
      </c>
      <c r="E63" s="24" t="inlineStr">
        <is>
          <t>GAP-F2 FIXED (CRITICAL, found by the gate first run): THERE WAS NO SCHEDULER IN THE CODEBASE. Everything periodic had no driver — planNudges/defaultRules (THE DAILY NUDGE CYCLE NEVER RAN; the headline feature had no driver, v019 sendNudgeBatch could only send nudges someone else had planned and nothing planned any), pollBankTxns (bank-feed anomaly alerts never polled — polling is the ENTIRE mechanism since D-F4 accepted it precisely because Xero has no bank-txn webhook), dunningEmailDue (day-0/3/6 emails never sent), trialDaysRemaining (trials never expired — VoiceBridge F-V03 class), purgeExpired (30-day deletion never ran — OnCall L-OC1 again), limiter.prune + state prune (F-003/F3-03 eviction paths never called). src/scheduler.ts built: per-tenant error isolation so a capped or read-only tenant cannot stop the cycle, all jobs through the v018 app gates</t>
        </is>
      </c>
      <c r="F63" s="24" t="inlineStr">
        <is>
          <t>GAP-F2</t>
        </is>
      </c>
      <c r="G63" s="24" t="inlineStr">
        <is>
          <t>16 regressions: cycle plans/sends once per tier, capped+read-only tenants skipped with reasons, poll detects anomalies, interval respected, dunning advances once, trial expiry, housekeeping purge/evict/prune, scheduler registers 4 jobs and isolates failures</t>
        </is>
      </c>
      <c r="H63" s="24" t="inlineStr">
        <is>
          <t>—</t>
        </is>
      </c>
      <c r="I63" s="24" t="inlineStr">
        <is>
          <t>E061</t>
        </is>
      </c>
    </row>
    <row r="64" ht="68.25" customHeight="1" s="20">
      <c r="A64" s="24" t="inlineStr">
        <is>
          <t>E061</t>
        </is>
      </c>
      <c r="B64" s="24" t="inlineStr">
        <is>
          <t>2026-09-13 10:55</t>
        </is>
      </c>
      <c r="C64" s="24" t="inlineStr">
        <is>
          <t>v020</t>
        </is>
      </c>
      <c r="D64" s="24" t="inlineStr">
        <is>
          <t>S1</t>
        </is>
      </c>
      <c r="E64" s="24" t="inlineStr">
        <is>
          <t>R-F10 FIXED: requireTls shipped in v014 and nothing ever called it — production could have served OAuth callbacks over plain http; now enforced at boot. clearInvoice wired to payment so a re-issued invoice starts at the gentle tier instead of being permanently muted by F-006. DEAD CODE DELETED not exempted: statesMatch, sealToken, openToken — all written by me in earlier sittings and never used (the sealing path calls encryptField/decryptField directly); removed with their tests</t>
        </is>
      </c>
      <c r="F64" s="24" t="inlineStr">
        <is>
          <t>R-F10</t>
        </is>
      </c>
      <c r="G64" s="24" t="inlineStr">
        <is>
          <t>TLS production guard, invoice-paid re-nudge</t>
        </is>
      </c>
      <c r="H64" s="24" t="inlineStr">
        <is>
          <t>—</t>
        </is>
      </c>
      <c r="I64" s="24" t="inlineStr">
        <is>
          <t>E062</t>
        </is>
      </c>
    </row>
    <row r="65" ht="90.75" customHeight="1" s="20">
      <c r="A65" s="24" t="inlineStr">
        <is>
          <t>E062</t>
        </is>
      </c>
      <c r="B65" s="24" t="inlineStr">
        <is>
          <t>2026-09-13 10:55</t>
        </is>
      </c>
      <c r="C65" s="24" t="inlineStr">
        <is>
          <t>v020</t>
        </is>
      </c>
      <c r="D65" s="24" t="inlineStr">
        <is>
          <t>S1</t>
        </is>
      </c>
      <c r="E65" s="24" t="inlineStr">
        <is>
          <t>R-F9 CLOSED: src/xeroClient.ts — real OAuth client against identity.xero.com/connect/token (HTTP Basic client auth) and api.xero.com/connections for the tenantId, with injected fetch so success, HTTP failure, malformed JSON, missing fields and no-authorised-org are all tested without network. Failures never echo the response body (it can contain the code or refresh token). TenantResolver exchanges the SINGLE-USE code once and hands those tokens to the install rather than burning it twice. Live-sweep step 2 now has both halves; new remaining gap R-F10 recorded honestly in the gate KNOWN_GAPS: executeWithRateLimit still has no caller because no Xero ACCOUNTING-API client exists yet</t>
        </is>
      </c>
      <c r="F65" s="24" t="inlineStr">
        <is>
          <t>R-F9</t>
        </is>
      </c>
      <c r="G65" s="24" t="inlineStr">
        <is>
          <t>13 client regressions incl. single-use-code proof</t>
        </is>
      </c>
      <c r="H65" s="24" t="inlineStr">
        <is>
          <t>Dev org = Senthil</t>
        </is>
      </c>
      <c r="I65" s="24" t="inlineStr">
        <is>
          <t>E063</t>
        </is>
      </c>
    </row>
    <row r="66" ht="68.25" customHeight="1" s="20">
      <c r="A66" s="24" t="inlineStr">
        <is>
          <t>E063</t>
        </is>
      </c>
      <c r="B66" s="24" t="inlineStr">
        <is>
          <t>2026-09-13 10:55</t>
        </is>
      </c>
      <c r="C66" s="24" t="inlineStr">
        <is>
          <t>v020</t>
        </is>
      </c>
      <c r="D66" s="24" t="inlineStr">
        <is>
          <t>—</t>
        </is>
      </c>
      <c r="E66" s="24" t="inlineStr">
        <is>
          <t>D13 GATE MET: 25 suites, 348 tests, 100% all metrics, zero pragmas, tsc clean, reachability gate green and named explicitly in ci.yml. Story positions unchanged (correctness + infrastructure). LESSON L-F3: two sittings running, the highest-value finding came from a mechanical check rather than closer reading — judgement found the defects once, the gate finds this whole class every build without anyone remembering to look. The gate is portable: copy the file, empty the three lists, expect 15-40 first-run hits — worth porting to the remaining products</t>
        </is>
      </c>
      <c r="F66" s="24" t="inlineStr">
        <is>
          <t>D13</t>
        </is>
      </c>
      <c r="G66" s="24" t="inlineStr">
        <is>
          <t>Tracker v008 + workbook v020 released</t>
        </is>
      </c>
      <c r="H66" s="24" t="inlineStr">
        <is>
          <t>Accounting-API client = next; rest = Senthil</t>
        </is>
      </c>
      <c r="I66" s="24" t="inlineStr">
        <is>
          <t>v009 on R-F10 or live evidence</t>
        </is>
      </c>
    </row>
    <row r="67" ht="79.5" customHeight="1" s="20">
      <c r="A67" s="24" t="inlineStr">
        <is>
          <t>E064</t>
        </is>
      </c>
      <c r="B67" s="24" t="inlineStr">
        <is>
          <t>2026-09-13 11:07</t>
        </is>
      </c>
      <c r="C67" s="24" t="inlineStr">
        <is>
          <t>v021</t>
        </is>
      </c>
      <c r="D67" s="24" t="inlineStr">
        <is>
          <t>S2, S5, S8</t>
        </is>
      </c>
      <c r="E67" s="24" t="inlineStr">
        <is>
          <t>R-F10 CLOSED: src/xeroApi.ts built — open invoices (forecast), overdue receivables (nudges), bank transactions (anomalies). Every call goes through executeWithRateLimit THEN callWithProtection, so proactive pacing (60/min + the VER-002 5,000/day org budget) and reactive breaker/backoff both apply and a slow Xero cannot become a 429 storm. Xero /Date(1699999999999+0000)/ parsing isolated in one tested function returning null rather than NaN — F-008 showed a NaN date silently drops items — and unusable rows are RETURNED as skipped rather than discarded quietly. Paging follows until a short page with a hard 50-page stop</t>
        </is>
      </c>
      <c r="F67" s="24" t="inlineStr">
        <is>
          <t>R-F10</t>
        </is>
      </c>
      <c r="G67" s="24" t="inlineStr">
        <is>
          <t>17 regressions incl. header/token/tenant, budget consumption, pacing under saturation, failure/malformed/wrong-shape, sign conventions, paging</t>
        </is>
      </c>
      <c r="H67" s="24" t="inlineStr">
        <is>
          <t>Dev org = Senthil</t>
        </is>
      </c>
      <c r="I67" s="24" t="inlineStr">
        <is>
          <t>E065</t>
        </is>
      </c>
    </row>
    <row r="68" ht="45.75" customHeight="1" s="20">
      <c r="A68" s="24" t="inlineStr">
        <is>
          <t>E065</t>
        </is>
      </c>
      <c r="B68" s="24" t="inlineStr">
        <is>
          <t>2026-09-13 11:07</t>
        </is>
      </c>
      <c r="C68" s="24" t="inlineStr">
        <is>
          <t>v021</t>
        </is>
      </c>
      <c r="D68" s="24" t="inlineStr">
        <is>
          <t>—</t>
        </is>
      </c>
      <c r="E68" s="24" t="inlineStr">
        <is>
          <t>SELF-CAUGHT IN DRAFT: my first overdueInvoices implementation fetched the same invoice pages TWICE (once via openInvoices, once for contact names) — it would have double-spent the very per-org rate budget VER-002 exists to protect. Refactored to a single shared fetch before writing tests; a regression now pins request count at 1</t>
        </is>
      </c>
      <c r="F68" s="24" t="inlineStr">
        <is>
          <t>R-F10</t>
        </is>
      </c>
      <c r="G68" s="24" t="inlineStr">
        <is>
          <t>one-fetch regression</t>
        </is>
      </c>
      <c r="H68" s="24" t="inlineStr">
        <is>
          <t>—</t>
        </is>
      </c>
      <c r="I68" s="24" t="inlineStr">
        <is>
          <t>E066</t>
        </is>
      </c>
    </row>
    <row r="69" ht="45.75" customHeight="1" s="20">
      <c r="A69" s="24" t="inlineStr">
        <is>
          <t>E066</t>
        </is>
      </c>
      <c r="B69" s="24" t="inlineStr">
        <is>
          <t>2026-09-13 11:07</t>
        </is>
      </c>
      <c r="C69" s="24" t="inlineStr">
        <is>
          <t>v021</t>
        </is>
      </c>
      <c r="D69" s="24" t="inlineStr">
        <is>
          <t>—</t>
        </is>
      </c>
      <c r="E69" s="24" t="inlineStr">
        <is>
          <t>PUBLISHED-CLAIMS GATE ported (second TestPulse pass-5 gate): 7 customer promises checked against backing code, and for POLICIES both the function and its driver — because all three of FlowCast false published statements (INT-F2 sealing claimed but uncalled, GAP-F2 30-day deletion with no driver, INT-F5 read-only enforced nowhere) were exactly that shape</t>
        </is>
      </c>
      <c r="F69" s="24" t="inlineStr">
        <is>
          <t>—</t>
        </is>
      </c>
      <c r="G69" s="24" t="inlineStr">
        <is>
          <t>tests/publishedClaimsGate.test.ts</t>
        </is>
      </c>
      <c r="H69" s="24" t="inlineStr">
        <is>
          <t>—</t>
        </is>
      </c>
      <c r="I69" s="24" t="inlineStr">
        <is>
          <t>E067</t>
        </is>
      </c>
    </row>
    <row r="70" ht="79.5" customHeight="1" s="20">
      <c r="A70" s="24" t="inlineStr">
        <is>
          <t>E067</t>
        </is>
      </c>
      <c r="B70" s="24" t="inlineStr">
        <is>
          <t>2026-09-13 11:07</t>
        </is>
      </c>
      <c r="C70" s="24" t="inlineStr">
        <is>
          <t>v021</t>
        </is>
      </c>
      <c r="D70" s="24" t="inlineStr">
        <is>
          <t>—</t>
        </is>
      </c>
      <c r="E70" s="24" t="inlineStr">
        <is>
          <t>THE GATE DID NOT WORK WHEN FIRST WRITTEN — the important finding of this sitting. Proving it by deleting the purge driver, it STILL PASSED: the word purgeExpired remained in that file header COMMENT and satisfied a naive text match. A gate satisfied by a comment is decorative. Both gates now strip comments before matching, pinned by a test that constructs the comment-only case; re-proved to fail with a message naming what broke for the customer. The stricter matching then IMMEDIATELY caught a real second thing — the freshly written xeroApi.ts was not yet wired into the scheduler</t>
        </is>
      </c>
      <c r="F70" s="24" t="inlineStr">
        <is>
          <t>—</t>
        </is>
      </c>
      <c r="G70" s="24" t="inlineStr">
        <is>
          <t>stripComments in both gates + comment-only regression</t>
        </is>
      </c>
      <c r="H70" s="24" t="inlineStr">
        <is>
          <t>—</t>
        </is>
      </c>
      <c r="I70" s="24" t="inlineStr">
        <is>
          <t>E068</t>
        </is>
      </c>
    </row>
    <row r="71" ht="79.5" customHeight="1" s="20">
      <c r="A71" s="24" t="inlineStr">
        <is>
          <t>E068</t>
        </is>
      </c>
      <c r="B71" s="24" t="inlineStr">
        <is>
          <t>2026-09-13 11:07</t>
        </is>
      </c>
      <c r="C71" s="24" t="inlineStr">
        <is>
          <t>v021</t>
        </is>
      </c>
      <c r="D71" s="24" t="inlineStr">
        <is>
          <t>—</t>
        </is>
      </c>
      <c r="E71" s="24" t="inlineStr">
        <is>
          <t>D13 GATE MET: 27 suites, 377 tests, 100% all metrics, zero pragmas, tsc clean; both gates green and named individually in ci.yml. Two defensive-unreachable branches resolved by construction rather than pragma (contact map default removed as genuinely unreachable; sleep default hoisted into a real, exercised realSleep). LESSON L-F4: a gate you have never seen fail is not a gate — deliberately breaking what it protects, and checking the failure message names the customer impact, is now part of writing one. Both gates are portable; write claims from the DOCUMENT outward, never from the code inward</t>
        </is>
      </c>
      <c r="F71" s="24" t="inlineStr">
        <is>
          <t>D13</t>
        </is>
      </c>
      <c r="G71" s="24" t="inlineStr">
        <is>
          <t>Tracker v009 + workbook v021 released</t>
        </is>
      </c>
      <c r="H71" s="24" t="inlineStr">
        <is>
          <t>All remaining = Senthil</t>
        </is>
      </c>
      <c r="I71" s="24" t="inlineStr">
        <is>
          <t>v010 on live evidence</t>
        </is>
      </c>
    </row>
    <row r="72" ht="45.75" customHeight="1" s="20">
      <c r="A72" s="24" t="inlineStr">
        <is>
          <t>E069</t>
        </is>
      </c>
      <c r="B72" s="24" t="inlineStr">
        <is>
          <t>2026-09-13 11:15</t>
        </is>
      </c>
      <c r="C72" s="24" t="inlineStr">
        <is>
          <t>v022</t>
        </is>
      </c>
      <c r="D72" s="24" t="inlineStr">
        <is>
          <t>—</t>
        </is>
      </c>
      <c r="E72" s="24" t="inlineStr">
        <is>
          <t>RUN CONTINUED — 11:15. Triggered by my own standing rule L-F2 (anything built in a session is reviewed in the next): v020 built scheduler.ts, v021 built xeroApi.ts and the two gates, and none of it had been reviewed. Pass 4 scoped to exactly that code using the accumulated portfolio defect classes</t>
        </is>
      </c>
      <c r="F72" s="24" t="inlineStr">
        <is>
          <t>—</t>
        </is>
      </c>
      <c r="G72" s="24" t="inlineStr">
        <is>
          <t>v022 opened from v021</t>
        </is>
      </c>
      <c r="H72" s="24" t="inlineStr">
        <is>
          <t>—</t>
        </is>
      </c>
      <c r="I72" s="24" t="inlineStr">
        <is>
          <t>E070</t>
        </is>
      </c>
    </row>
    <row r="73" ht="68.25" customHeight="1" s="20">
      <c r="A73" s="24" t="inlineStr">
        <is>
          <t>E070</t>
        </is>
      </c>
      <c r="B73" s="24" t="inlineStr">
        <is>
          <t>2026-09-13 11:15</t>
        </is>
      </c>
      <c r="C73" s="24" t="inlineStr">
        <is>
          <t>v022</t>
        </is>
      </c>
      <c r="D73" s="24" t="inlineStr">
        <is>
          <t>S8</t>
        </is>
      </c>
      <c r="E73" s="24" t="inlineStr">
        <is>
          <t>F4-01 FIXED (CRITICAL): ONLY THE FIRST TENANT WAS EVER BANK-POLLED. runBankPoll threaded ONE PollState through the tenant loop — the first org poll set lastPolledAt to now, so every later org pollDue() returned false and was skipped. Bank-feed anomaly alerts, a headline feature, ran for exactly one customer. Same multi-tenancy class as OnCall F-014 and MeetSync M-F04, written into new code the day after those were logged. Per-tenant PollStates map; an unconfigured tenant is now skipped without abandoning the rest</t>
        </is>
      </c>
      <c r="F73" s="24" t="inlineStr">
        <is>
          <t>F4-01</t>
        </is>
      </c>
      <c r="G73" s="24" t="inlineStr">
        <is>
          <t>4 regressions incl. all-tenants-polled, per-tenant since-window, per-tenant anomaly attribution — PROVED by reintroducing the defect (3 fail, then pass)</t>
        </is>
      </c>
      <c r="H73" s="24" t="inlineStr">
        <is>
          <t>—</t>
        </is>
      </c>
      <c r="I73" s="24" t="inlineStr">
        <is>
          <t>E071</t>
        </is>
      </c>
    </row>
    <row r="74" ht="57" customHeight="1" s="20">
      <c r="A74" s="24" t="inlineStr">
        <is>
          <t>E071</t>
        </is>
      </c>
      <c r="B74" s="24" t="inlineStr">
        <is>
          <t>2026-09-13 11:15</t>
        </is>
      </c>
      <c r="C74" s="24" t="inlineStr">
        <is>
          <t>v022</t>
        </is>
      </c>
      <c r="D74" s="24" t="inlineStr">
        <is>
          <t>S6</t>
        </is>
      </c>
      <c r="E74" s="24" t="inlineStr">
        <is>
          <t>F4-02 FIXED (Major): runBillingCycle advanced the dunning counter by MUTATING the object tenants() returned. That only works if the getter hands back the same instance; a store-backed getter returning fresh objects — the realistic production shape — discards it, so the same dunning email would send every hour forever. Explicit recordDunningEmailSent persistence callback added alongside the in-memory view</t>
        </is>
      </c>
      <c r="F74" s="24" t="inlineStr">
        <is>
          <t>F4-02</t>
        </is>
      </c>
      <c r="G74" s="24" t="inlineStr">
        <is>
          <t>store-backed-getter regression asserting the durable record</t>
        </is>
      </c>
      <c r="H74" s="24" t="inlineStr">
        <is>
          <t>—</t>
        </is>
      </c>
      <c r="I74" s="24" t="inlineStr">
        <is>
          <t>E072</t>
        </is>
      </c>
    </row>
    <row r="75" ht="90.75" customHeight="1" s="20">
      <c r="A75" s="24" t="inlineStr">
        <is>
          <t>E072</t>
        </is>
      </c>
      <c r="B75" s="24" t="inlineStr">
        <is>
          <t>2026-09-13 11:15</t>
        </is>
      </c>
      <c r="C75" s="24" t="inlineStr">
        <is>
          <t>v022</t>
        </is>
      </c>
      <c r="D75" s="24" t="inlineStr">
        <is>
          <t>S8</t>
        </is>
      </c>
      <c r="E75" s="24" t="inlineStr">
        <is>
          <t>F4-03 FIXED (Major): bankTransactions fetched EVERY page of bank history on every 15-minute poll and filtered client-side — at the 50-page ceiling ~4,800 calls/day for a single org against the 5,000/day budget VER-002 exists to protect. The rate-limit fix I shipped would have been defeated by the client I shipped to use it. Server-side If-Modified-Since filter added. F4-04 FIXED (Major): drainOnce spliced the batch out BEFORE processing, so anything thrown above per-event handling destroyed those events permanently — already gone from the queue and already ACKed to Xero, so no redelivery could heal them; batch is now restored to the front on throw, order preserved</t>
        </is>
      </c>
      <c r="F75" s="24" t="inlineStr">
        <is>
          <t>F4-03, F4-04</t>
        </is>
      </c>
      <c r="G75" s="24" t="inlineStr">
        <is>
          <t>header-filter regression; throwing-processor restore-and-order regressions</t>
        </is>
      </c>
      <c r="H75" s="24" t="inlineStr">
        <is>
          <t>—</t>
        </is>
      </c>
      <c r="I75" s="24" t="inlineStr">
        <is>
          <t>E073</t>
        </is>
      </c>
    </row>
    <row r="76" ht="79.5" customHeight="1" s="20">
      <c r="A76" s="24" t="inlineStr">
        <is>
          <t>E073</t>
        </is>
      </c>
      <c r="B76" s="24" t="inlineStr">
        <is>
          <t>2026-09-13 11:15</t>
        </is>
      </c>
      <c r="C76" s="24" t="inlineStr">
        <is>
          <t>v022</t>
        </is>
      </c>
      <c r="D76" s="24" t="inlineStr">
        <is>
          <t>—</t>
        </is>
      </c>
      <c r="E76" s="24" t="inlineStr">
        <is>
          <t>D13 GATE MET: 28 suites, 388 tests, 100% all metrics, zero pragmas, tsc clean, both gates green. One duplicated default parameter removed rather than pragma-suppressed. LESSON L-F5: F4-01 is the uncomfortable one — I fixed this exact class in app.ts two sittings ago, wrote up the sibling findings that named it, then reproduced it in new code the next day. Knowing a defect class does not stop you writing it; only a check that RUNS against the new code does. The reachability and claims gates automate two classes — a tenant-isolation gate (shared mutable state across a tenant loop) is the obvious next piece and is planned for v023</t>
        </is>
      </c>
      <c r="F76" s="24" t="inlineStr">
        <is>
          <t>D13</t>
        </is>
      </c>
      <c r="G76" s="24" t="inlineStr">
        <is>
          <t>Tracker v010 + workbook v022 released</t>
        </is>
      </c>
      <c r="H76" s="24" t="inlineStr">
        <is>
          <t>All else = Senthil</t>
        </is>
      </c>
      <c r="I76" s="24" t="inlineStr">
        <is>
          <t>v011 on the tenant gate or live evidence</t>
        </is>
      </c>
    </row>
    <row r="77" ht="68.25" customHeight="1" s="20">
      <c r="A77" s="24" t="inlineStr">
        <is>
          <t>E074</t>
        </is>
      </c>
      <c r="B77" s="24" t="inlineStr">
        <is>
          <t>2026-09-13 11:20</t>
        </is>
      </c>
      <c r="C77" s="24" t="inlineStr">
        <is>
          <t>v023</t>
        </is>
      </c>
      <c r="D77" s="24" t="inlineStr">
        <is>
          <t>—</t>
        </is>
      </c>
      <c r="E77" s="24" t="inlineStr">
        <is>
          <t>RUN CONTINUED — 11:20, executing the v023 plan: build the tenant-isolation gate so the F4-01 class cannot recur silently. Rule enforced: inside a loop over tenants, a variable declared OUTSIDE the loop may not be both assigned and read in the body — that is tenant N value deciding tenant N+1 behaviour. Pure accumulators (count += 1, arr.push) exempt as write-only from the loop perspective. Documented as a lint not a proof: source text, no AST, cannot see aliasing or across calls</t>
        </is>
      </c>
      <c r="F77" s="24" t="inlineStr">
        <is>
          <t>—</t>
        </is>
      </c>
      <c r="G77" s="24" t="inlineStr">
        <is>
          <t>tests/tenantIsolationGate.test.ts</t>
        </is>
      </c>
      <c r="H77" s="24" t="inlineStr">
        <is>
          <t>—</t>
        </is>
      </c>
      <c r="I77" s="24" t="inlineStr">
        <is>
          <t>E075</t>
        </is>
      </c>
    </row>
    <row r="78" ht="57" customHeight="1" s="20">
      <c r="A78" s="24" t="inlineStr">
        <is>
          <t>E075</t>
        </is>
      </c>
      <c r="B78" s="24" t="inlineStr">
        <is>
          <t>2026-09-13 11:20</t>
        </is>
      </c>
      <c r="C78" s="24" t="inlineStr">
        <is>
          <t>v023</t>
        </is>
      </c>
      <c r="D78" s="24" t="inlineStr">
        <is>
          <t>—</t>
        </is>
      </c>
      <c r="E78" s="24" t="inlineStr">
        <is>
          <t>GATE BUG 1 (found by proving it, per L-F4): run against the REAL scheduler.ts with F4-01 reintroduced, the gate PASSED. Cause: read-detection stripped the whole assignment statement, which also erased "current = next.get(...) ?? current" — a self-referential assignment is PRECISELY the carry-forward shape the gate exists to catch. Fixed to strip only the left-hand assignment target</t>
        </is>
      </c>
      <c r="F78" s="24" t="inlineStr">
        <is>
          <t>—</t>
        </is>
      </c>
      <c r="G78" s="24" t="inlineStr">
        <is>
          <t>self-referential-carry regression added</t>
        </is>
      </c>
      <c r="H78" s="24" t="inlineStr">
        <is>
          <t>—</t>
        </is>
      </c>
      <c r="I78" s="24" t="inlineStr">
        <is>
          <t>E076</t>
        </is>
      </c>
    </row>
    <row r="79" ht="57" customHeight="1" s="20">
      <c r="A79" s="24" t="inlineStr">
        <is>
          <t>E076</t>
        </is>
      </c>
      <c r="B79" s="24" t="inlineStr">
        <is>
          <t>2026-09-13 11:20</t>
        </is>
      </c>
      <c r="C79" s="24" t="inlineStr">
        <is>
          <t>v023</t>
        </is>
      </c>
      <c r="D79" s="24" t="inlineStr">
        <is>
          <t>—</t>
        </is>
      </c>
      <c r="E79" s="24" t="inlineStr">
        <is>
          <t>GATE BUG 2: after fixing bug 1 the gate STILL passed on the real file. Cause: loop offsets came from source.indexOf(line), which returns the FIRST occurrence — and scheduler.ts has three identical "for (const work of deps.tenants()) {" headers, so the gate analysed the same loop three times and two tenant loops were never examined at all. Fixed by tracking real offsets while walking lines. Only after BOTH fixes does the reintroduced defect fail, naming the leaked variable</t>
        </is>
      </c>
      <c r="F79" s="24" t="inlineStr">
        <is>
          <t>—</t>
        </is>
      </c>
      <c r="G79" s="24" t="inlineStr">
        <is>
          <t>proof re-run on the real file</t>
        </is>
      </c>
      <c r="H79" s="24" t="inlineStr">
        <is>
          <t>—</t>
        </is>
      </c>
      <c r="I79" s="24" t="inlineStr">
        <is>
          <t>E077</t>
        </is>
      </c>
    </row>
    <row r="80" ht="79.5" customHeight="1" s="20">
      <c r="A80" s="24" t="inlineStr">
        <is>
          <t>E077</t>
        </is>
      </c>
      <c r="B80" s="24" t="inlineStr">
        <is>
          <t>2026-09-13 11:20</t>
        </is>
      </c>
      <c r="C80" s="24" t="inlineStr">
        <is>
          <t>v023</t>
        </is>
      </c>
      <c r="D80" s="24" t="inlineStr">
        <is>
          <t>—</t>
        </is>
      </c>
      <c r="E80" s="24" t="inlineStr">
        <is>
          <t>D13 GATE MET: 29 suites, 394 tests, 100% all metrics, zero pragmas, tsc clean; three gates (reachability, published-claims, tenant-isolation) green and named individually in ci.yml. LESSON L-F6: both of this gate bugs made it SILENTLY PERMISSIVE — never noisy. That is the failure mode to expect from static checks: a broken gate does not complain, it approves. The fixture test passed from the very first run while the gate was blind to the real file, so proving against a reintroduced defect IN THE REAL FILE — not a fixture — is the only thing that separates a working gate from a decorative one. Applies to the gates already ported to other products</t>
        </is>
      </c>
      <c r="F80" s="24" t="inlineStr">
        <is>
          <t>D13</t>
        </is>
      </c>
      <c r="G80" s="24" t="inlineStr">
        <is>
          <t>Tracker v011 + workbook v023 released</t>
        </is>
      </c>
      <c r="H80" s="24" t="inlineStr">
        <is>
          <t>All remaining = Senthil</t>
        </is>
      </c>
      <c r="I80" s="24" t="inlineStr">
        <is>
          <t>v012 on live evidence</t>
        </is>
      </c>
    </row>
    <row r="81" ht="34.5" customHeight="1" s="20">
      <c r="A81" s="24" t="inlineStr">
        <is>
          <t>E078</t>
        </is>
      </c>
      <c r="B81" s="24" t="inlineStr">
        <is>
          <t>2026-09-13 11:54</t>
        </is>
      </c>
      <c r="C81" s="24" t="inlineStr">
        <is>
          <t>v024</t>
        </is>
      </c>
      <c r="D81" s="24" t="inlineStr">
        <is>
          <t>—</t>
        </is>
      </c>
      <c r="E81" s="24" t="inlineStr">
        <is>
          <t>RUN CONTINUED — 11:54, acting on my own unactioned L-F6 recommendation: the reachability and published-claims gates had only ever been proved against FIXTURES, never against a real reintroduced defect in the real file. Audited both the way the tenant gate was audited</t>
        </is>
      </c>
      <c r="F81" s="24" t="inlineStr">
        <is>
          <t>—</t>
        </is>
      </c>
      <c r="G81" s="24" t="inlineStr">
        <is>
          <t>v024 opened from v023</t>
        </is>
      </c>
      <c r="H81" s="24" t="inlineStr">
        <is>
          <t>—</t>
        </is>
      </c>
      <c r="I81" s="24" t="inlineStr">
        <is>
          <t>E079</t>
        </is>
      </c>
    </row>
    <row r="82" ht="79.5" customHeight="1" s="20">
      <c r="A82" s="24" t="inlineStr">
        <is>
          <t>E079</t>
        </is>
      </c>
      <c r="B82" s="24" t="inlineStr">
        <is>
          <t>2026-09-13 11:54</t>
        </is>
      </c>
      <c r="C82" s="24" t="inlineStr">
        <is>
          <t>v024</t>
        </is>
      </c>
      <c r="D82" s="24" t="inlineStr">
        <is>
          <t>—</t>
        </is>
      </c>
      <c r="E82" s="24" t="inlineStr">
        <is>
          <t>HOLE-1 FOUND AND FIXED (reachability gate): probe = unwire recordNudge from the send path in app.ts, the exact INT-F1 defect. THE GATE PASSED. Deleting the call left "import { recordNudge } from ./billing" in place and that line satisfied the caller search — the gate would have reported a fully wired product while the plan limit went unenforced all over again. Fixed by stripping import statements before the caller search, keeping TWO deliberate views per file because the module-import check legitimately needs import lines. Re-proved: unwiring now fails, naming billing.ts:recordNudge</t>
        </is>
      </c>
      <c r="F82" s="24" t="inlineStr">
        <is>
          <t>HOLE-1</t>
        </is>
      </c>
      <c r="G82" s="24" t="inlineStr">
        <is>
          <t>import-only probe + re-proof on the real file</t>
        </is>
      </c>
      <c r="H82" s="24" t="inlineStr">
        <is>
          <t>—</t>
        </is>
      </c>
      <c r="I82" s="24" t="inlineStr">
        <is>
          <t>E080</t>
        </is>
      </c>
    </row>
    <row r="83" ht="57" customHeight="1" s="20">
      <c r="A83" s="24" t="inlineStr">
        <is>
          <t>E080</t>
        </is>
      </c>
      <c r="B83" s="24" t="inlineStr">
        <is>
          <t>2026-09-13 11:54</t>
        </is>
      </c>
      <c r="C83" s="24" t="inlineStr">
        <is>
          <t>v024</t>
        </is>
      </c>
      <c r="D83" s="24" t="inlineStr">
        <is>
          <t>—</t>
        </is>
      </c>
      <c r="E83" s="24" t="inlineStr">
        <is>
          <t>HOLE-2 FOUND AND FIXED (published-claims gate): probe = gut the encryption call in installFlow.ts, the exact INT-F2 defect. THE GATE PASSED — "import { encryptField }" matched the claim pattern while the storage path stored plaintext, so the trust-page claim stayed "true" with the product no longer encrypting. Same fix: a claim must be backed by a USE, never an import. Re-proved: the failure now names the claim id, the document and the customer impact</t>
        </is>
      </c>
      <c r="F83" s="24" t="inlineStr">
        <is>
          <t>HOLE-2</t>
        </is>
      </c>
      <c r="G83" s="24" t="inlineStr">
        <is>
          <t>import-only construction test + re-proof on the real file</t>
        </is>
      </c>
      <c r="H83" s="24" t="inlineStr">
        <is>
          <t>—</t>
        </is>
      </c>
      <c r="I83" s="24" t="inlineStr">
        <is>
          <t>E081</t>
        </is>
      </c>
    </row>
    <row r="84" ht="68.25" customHeight="1" s="20">
      <c r="A84" s="24" t="inlineStr">
        <is>
          <t>E081</t>
        </is>
      </c>
      <c r="B84" s="24" t="inlineStr">
        <is>
          <t>2026-09-13 11:54</t>
        </is>
      </c>
      <c r="C84" s="24" t="inlineStr">
        <is>
          <t>v024</t>
        </is>
      </c>
      <c r="D84" s="24" t="inlineStr">
        <is>
          <t>—</t>
        </is>
      </c>
      <c r="E84" s="24" t="inlineStr">
        <is>
          <t>KNOWN LIMITS DOCUMENTED rather than hidden: (a) dead clusters are flagged at the ROOT not per member — probed with an orphan pair, orphanCaller surfaces but orphanHelper does not, which is enough to surface the cluster so left deliberately; (b) file-level ENTRY_POINTS pardon every export in that module — the first dead-cluster probe proved nothing because it ran in demoData.ts which is exempt wholesale, and the probe had to be redone in a non-exempt file; (c) all three gates are text lints, blind to aliasing, dynamic dispatch and cross-function flow</t>
        </is>
      </c>
      <c r="F84" s="24" t="inlineStr">
        <is>
          <t>—</t>
        </is>
      </c>
      <c r="G84" s="24" t="inlineStr">
        <is>
          <t>docs/live-sweep/gate-audit-20260913.md</t>
        </is>
      </c>
      <c r="H84" s="24" t="inlineStr">
        <is>
          <t>—</t>
        </is>
      </c>
      <c r="I84" s="24" t="inlineStr">
        <is>
          <t>E082</t>
        </is>
      </c>
    </row>
    <row r="85" ht="79.5" customHeight="1" s="20">
      <c r="A85" s="24" t="inlineStr">
        <is>
          <t>E082</t>
        </is>
      </c>
      <c r="B85" s="24" t="inlineStr">
        <is>
          <t>2026-09-13 11:54</t>
        </is>
      </c>
      <c r="C85" s="24" t="inlineStr">
        <is>
          <t>v024</t>
        </is>
      </c>
      <c r="D85" s="24" t="inlineStr">
        <is>
          <t>—</t>
        </is>
      </c>
      <c r="E85" s="24" t="inlineStr">
        <is>
          <t>D13 GATE MET: 29 suites, 395 tests, 100% all metrics, zero pragmas, tsc clean; three gates green AND all three now proved against reintroduced real defects. LESSON L-F7: three gates, four silently-permissive bugs (HOLE-1, HOLE-2 and the tenant gate two), and EVERY ONE passed its own fixture test from the first run. The fixture tests what the author imagined; the reintroduced defect tests what actually broke. A gate is not finished when it is green — it is finished when it has been seen to fail for the right reason IN THE REAL FILE. This applies directly to the gates already ported to other products: they were shipped green and have never been proved</t>
        </is>
      </c>
      <c r="F85" s="24" t="inlineStr">
        <is>
          <t>D13</t>
        </is>
      </c>
      <c r="G85" s="24" t="inlineStr">
        <is>
          <t>Tracker v012 + workbook v024 released</t>
        </is>
      </c>
      <c r="H85" s="24" t="inlineStr">
        <is>
          <t>All remaining = Senthil</t>
        </is>
      </c>
      <c r="I85" s="24" t="inlineStr">
        <is>
          <t>v013 on live evidence</t>
        </is>
      </c>
    </row>
    <row r="86" ht="45.75" customHeight="1" s="20">
      <c r="A86" s="24" t="inlineStr">
        <is>
          <t>E083</t>
        </is>
      </c>
      <c r="B86" s="24" t="inlineStr">
        <is>
          <t>2026-09-13 11:58</t>
        </is>
      </c>
      <c r="C86" s="24" t="inlineStr">
        <is>
          <t>v025</t>
        </is>
      </c>
      <c r="D86" s="24" t="inlineStr">
        <is>
          <t>—</t>
        </is>
      </c>
      <c r="E86" s="24" t="inlineStr">
        <is>
          <t>RUN CONTINUED — 11:58. The portfolio open item is porting the gates to the other products; L-F7 made that dangerous rather than merely pending, because a ported gate arrives GREEN and green means nothing — four of the three gates bugs here were silently permissive on their first green run. Built the missing piece: a proof harness that makes greenness earnable</t>
        </is>
      </c>
      <c r="F86" s="24" t="inlineStr">
        <is>
          <t>—</t>
        </is>
      </c>
      <c r="G86" s="24" t="inlineStr">
        <is>
          <t>gates/prove-gates.js</t>
        </is>
      </c>
      <c r="H86" s="24" t="inlineStr">
        <is>
          <t>—</t>
        </is>
      </c>
      <c r="I86" s="24" t="inlineStr">
        <is>
          <t>E084</t>
        </is>
      </c>
    </row>
    <row r="87" ht="68.25" customHeight="1" s="20">
      <c r="A87" s="24" t="inlineStr">
        <is>
          <t>E084</t>
        </is>
      </c>
      <c r="B87" s="24" t="inlineStr">
        <is>
          <t>2026-09-13 11:58</t>
        </is>
      </c>
      <c r="C87" s="24" t="inlineStr">
        <is>
          <t>v025</t>
        </is>
      </c>
      <c r="D87" s="24" t="inlineStr">
        <is>
          <t>—</t>
        </is>
      </c>
      <c r="E87" s="24" t="inlineStr">
        <is>
          <t>HARNESS BUILT: for each gate it takes a REAL source file, applies a mutation reintroducing the REAL defect that gate exists to catch (reachability = unwire recordNudge/INT-F1; published-claims = gut the encryption call/INT-F2; tenant-isolation = carry one PollState across the loop/F4-01), runs the gate and REQUIRES IT TO FAIL, always restoring the file afterwards; non-zero exit if any gate stays green under its own defect. All three currently print PROVED. Wired into ci.yml after the three gate steps</t>
        </is>
      </c>
      <c r="F87" s="24" t="inlineStr">
        <is>
          <t>—</t>
        </is>
      </c>
      <c r="G87" s="24" t="inlineStr">
        <is>
          <t>npm run prove:gates output captured in the evidence doc</t>
        </is>
      </c>
      <c r="H87" s="24" t="inlineStr">
        <is>
          <t>—</t>
        </is>
      </c>
      <c r="I87" s="24" t="inlineStr">
        <is>
          <t>E085</t>
        </is>
      </c>
    </row>
    <row r="88" ht="57" customHeight="1" s="20">
      <c r="A88" s="24" t="inlineStr">
        <is>
          <t>E085</t>
        </is>
      </c>
      <c r="B88" s="24" t="inlineStr">
        <is>
          <t>2026-09-13 11:58</t>
        </is>
      </c>
      <c r="C88" s="24" t="inlineStr">
        <is>
          <t>v025</t>
        </is>
      </c>
      <c r="D88" s="24" t="inlineStr">
        <is>
          <t>—</t>
        </is>
      </c>
      <c r="E88" s="24" t="inlineStr">
        <is>
          <t>HARNESS META-PROVED: reintroducing HOLE-1 into the reachability gate (imports counted as callers again) makes the harness report "BROKEN ... gate STAYED GREEN" and exit 1 — a harness that could not detect a broken gate would be one more thing trusted for no reason. Also guards against rot: if a mutation anchor no longer exists after a refactor it reports STALE rather than passing quietly, since a silently non-applying mutation is the same failure mode again</t>
        </is>
      </c>
      <c r="F88" s="24" t="inlineStr">
        <is>
          <t>—</t>
        </is>
      </c>
      <c r="G88" s="24" t="inlineStr">
        <is>
          <t>meta-proof run</t>
        </is>
      </c>
      <c r="H88" s="24" t="inlineStr">
        <is>
          <t>—</t>
        </is>
      </c>
      <c r="I88" s="24" t="inlineStr">
        <is>
          <t>E086</t>
        </is>
      </c>
    </row>
    <row r="89" ht="90.75" customHeight="1" s="20">
      <c r="A89" s="24" t="inlineStr">
        <is>
          <t>E086</t>
        </is>
      </c>
      <c r="B89" s="24" t="inlineStr">
        <is>
          <t>2026-09-13 11:58</t>
        </is>
      </c>
      <c r="C89" s="24" t="inlineStr">
        <is>
          <t>v025</t>
        </is>
      </c>
      <c r="D89" s="24" t="inlineStr">
        <is>
          <t>—</t>
        </is>
      </c>
      <c r="E89" s="24" t="inlineStr">
        <is>
          <t>gates/README.md written for porting: empty every exemption list before the first run (expect 15-40 hits, most legitimate surfaces, some real); write CLAIMS from the DOCUMENT outward not the code inward; write MUTATIONS from defects that ACTUALLY happened in that product because an invented mutation re-tests the author assumptions — the exact trap the fixture tests fell into here; and the operational rule DO NOT wire a gate into CI until the harness prints PROVED for it. Honest limits stated: text lints not AST (blind to aliasing, dynamic dispatch, cross-function flow), dead clusters flagged at the root only, file-level entry-point exemptions pardon every export in that module</t>
        </is>
      </c>
      <c r="F89" s="24" t="inlineStr">
        <is>
          <t>—</t>
        </is>
      </c>
      <c r="G89" s="24" t="inlineStr">
        <is>
          <t>gates/README.md</t>
        </is>
      </c>
      <c r="H89" s="24" t="inlineStr">
        <is>
          <t>Porting to the other 10 products = Senthil decision</t>
        </is>
      </c>
      <c r="I89" s="24" t="inlineStr">
        <is>
          <t>E087</t>
        </is>
      </c>
    </row>
    <row r="90" ht="57" customHeight="1" s="20">
      <c r="A90" s="24" t="inlineStr">
        <is>
          <t>E087</t>
        </is>
      </c>
      <c r="B90" s="24" t="inlineStr">
        <is>
          <t>2026-09-13 11:58</t>
        </is>
      </c>
      <c r="C90" s="24" t="inlineStr">
        <is>
          <t>v025</t>
        </is>
      </c>
      <c r="D90" s="24" t="inlineStr">
        <is>
          <t>—</t>
        </is>
      </c>
      <c r="E90" s="24" t="inlineStr">
        <is>
          <t>D13 GATE MET: 29 suites, 395 tests, 100% all metrics, zero pragmas, tsc clean; three gates green, all three proved, harness in CI. LESSON L-F8: the gates were meant to automate judgement and they did — but they had to be checked by judgement first, and the checking turned out to be the part with all the value. What generalises is not the three rules, it is the harness: any future check should arrive with the mutation that proves it, in the same commit</t>
        </is>
      </c>
      <c r="F90" s="24" t="inlineStr">
        <is>
          <t>D13</t>
        </is>
      </c>
      <c r="G90" s="24" t="inlineStr">
        <is>
          <t>Tracker v013 + workbook v025 released</t>
        </is>
      </c>
      <c r="H90" s="24" t="inlineStr">
        <is>
          <t>All remaining = Senthil</t>
        </is>
      </c>
      <c r="I90" s="24" t="inlineStr">
        <is>
          <t>v014 on live evidence</t>
        </is>
      </c>
    </row>
    <row r="91" ht="34.5" customHeight="1" s="20">
      <c r="A91" s="24" t="inlineStr">
        <is>
          <t>E088</t>
        </is>
      </c>
      <c r="B91" s="24" t="inlineStr">
        <is>
          <t>2026-09-13 12:03</t>
        </is>
      </c>
      <c r="C91" s="24" t="inlineStr">
        <is>
          <t>v026</t>
        </is>
      </c>
      <c r="D91" s="24" t="inlineStr">
        <is>
          <t>—</t>
        </is>
      </c>
      <c r="E91" s="24" t="inlineStr">
        <is>
          <t>RUN CONTINUED — 12:03. I had already said the codeable work was finished, so rather than invent a sitting: audited whether the workbook story data still matches as-built reality (the drift MeetSync found in its own workbook), and consolidated the handover</t>
        </is>
      </c>
      <c r="F91" s="24" t="inlineStr">
        <is>
          <t>—</t>
        </is>
      </c>
      <c r="G91" s="24" t="inlineStr">
        <is>
          <t>v026 opened from v025</t>
        </is>
      </c>
      <c r="H91" s="24" t="inlineStr">
        <is>
          <t>—</t>
        </is>
      </c>
      <c r="I91" s="24" t="inlineStr">
        <is>
          <t>E089</t>
        </is>
      </c>
    </row>
    <row r="92" ht="90.75" customHeight="1" s="20">
      <c r="A92" s="24" t="inlineStr">
        <is>
          <t>E089</t>
        </is>
      </c>
      <c r="B92" s="24" t="inlineStr">
        <is>
          <t>2026-09-13 12:03</t>
        </is>
      </c>
      <c r="C92" s="24" t="inlineStr">
        <is>
          <t>v026</t>
        </is>
      </c>
      <c r="D92" s="24" t="inlineStr">
        <is>
          <t>—</t>
        </is>
      </c>
      <c r="E92" s="24" t="inlineStr">
        <is>
          <t>AS-BUILT FINDING: 7 stories had sat at DONE while the behaviour had no driver or no enforcement — ST-022/024 (the daily nudge cycle never ran until v020), ST-041/042/044 (bank polling is the ENTIRE anomaly mechanism under D-F4 and never ran until v020, then ran for only ONE org until v022), ST-060 (read-only enforced nowhere until v018, dunning emails never sent until v020, counter unpersisted until v022), ST-061 (plan limit unenforceable until v014, unenforced on the send path until v018). All are true as built TODAY. Each row now carries a dated as-built note naming the release that actually made it true, instead of leaving the record implying it was true all along</t>
        </is>
      </c>
      <c r="F92" s="24" t="inlineStr">
        <is>
          <t>ST-022/024/041/042/044/060/061</t>
        </is>
      </c>
      <c r="G92" s="24" t="inlineStr">
        <is>
          <t>Full_Backlog as-built column</t>
        </is>
      </c>
      <c r="H92" s="24" t="inlineStr">
        <is>
          <t>Honest-status rule</t>
        </is>
      </c>
      <c r="I92" s="24" t="n"/>
    </row>
    <row r="93" ht="23.25" customHeight="1" s="20">
      <c r="A93" s="24" t="inlineStr">
        <is>
          <t>E090</t>
        </is>
      </c>
      <c r="B93" s="24" t="inlineStr">
        <is>
          <t>2026-09-13 12:03</t>
        </is>
      </c>
      <c r="C93" s="24" t="inlineStr">
        <is>
          <t>v026</t>
        </is>
      </c>
      <c r="D93" s="24" t="inlineStr">
        <is>
          <t>—</t>
        </is>
      </c>
      <c r="E93" s="24" t="inlineStr">
        <is>
          <t>COUNTS VERIFIED against Full_Backlog rather than asserted from narrative: 77 Done / 16 code-complete pending live / 2 in progress / 5 drafted = 100. No drift found in the counts themselves</t>
        </is>
      </c>
      <c r="F93" s="24" t="inlineStr">
        <is>
          <t>—</t>
        </is>
      </c>
      <c r="G93" s="24" t="inlineStr">
        <is>
          <t>Full_Backlog</t>
        </is>
      </c>
      <c r="H93" s="24" t="inlineStr">
        <is>
          <t>—</t>
        </is>
      </c>
      <c r="I93" s="24" t="n"/>
    </row>
    <row r="94" ht="68.25" customHeight="1" s="20">
      <c r="A94" s="24" t="inlineStr">
        <is>
          <t>E091</t>
        </is>
      </c>
      <c r="B94" s="24" t="inlineStr">
        <is>
          <t>2026-09-13 12:03</t>
        </is>
      </c>
      <c r="C94" s="24" t="inlineStr">
        <is>
          <t>v026</t>
        </is>
      </c>
      <c r="D94" s="24" t="inlineStr">
        <is>
          <t>—</t>
        </is>
      </c>
      <c r="E94" s="24" t="inlineStr">
        <is>
          <t>SENTHIL_HANDOVER sheet added consolidating all 12 remaining items — NONE codeable — ordered by leverage: external lead times first (dev org ~30 min unlocks 16 stories, pen-test vendor 2-4 weeks, external reviewer, partner application 1-3 weeks), then ~30 finding dispositions + OBS calls, then decisions (copy A/B, D-F6, D15), then post-dev-org capture and partner outreach, and finally the portfolio question of porting the gate pack. Each row states why it is blocked on him, what it unlocks, effort and lead time</t>
        </is>
      </c>
      <c r="F94" s="24" t="inlineStr">
        <is>
          <t>—</t>
        </is>
      </c>
      <c r="G94" s="24" t="inlineStr">
        <is>
          <t>Senthil_Handover</t>
        </is>
      </c>
      <c r="H94" s="24" t="inlineStr">
        <is>
          <t>All 12 = Senthil</t>
        </is>
      </c>
      <c r="I94" s="24" t="n"/>
    </row>
    <row r="95" ht="68.25" customHeight="1" s="20">
      <c r="A95" s="24" t="inlineStr">
        <is>
          <t>E092</t>
        </is>
      </c>
      <c r="B95" s="24" t="inlineStr">
        <is>
          <t>2026-09-13 12:03</t>
        </is>
      </c>
      <c r="C95" s="24" t="inlineStr">
        <is>
          <t>v026</t>
        </is>
      </c>
      <c r="D95" s="24" t="inlineStr">
        <is>
          <t>—</t>
        </is>
      </c>
      <c r="E95" s="24" t="inlineStr">
        <is>
          <t>LESSON L-F9: "Done" in this backlog has meant "code written", not "feature runs end to end" — 7 stories proved it, and every one of them was caught by a later review rather than by the status field. The three gates now close that gap mechanically for the reachability and published-claims classes. For the record: FlowCast code stands at 29 suites / 395 tests, 100% all metrics, zero pragmas, three PROVED gates in CI, boots end to end. Further sandbox sittings would be invented work; v015 opens on live evidence or dispositions</t>
        </is>
      </c>
      <c r="F95" s="24" t="inlineStr">
        <is>
          <t>—</t>
        </is>
      </c>
      <c r="G95" s="24" t="inlineStr">
        <is>
          <t>Tracker v014 + workbook v026 released</t>
        </is>
      </c>
      <c r="H95" s="24" t="inlineStr">
        <is>
          <t>All remaining = Senthil</t>
        </is>
      </c>
      <c r="I95" s="24" t="inlineStr">
        <is>
          <t>v015 on live evidence</t>
        </is>
      </c>
    </row>
    <row r="96" ht="45.75" customHeight="1" s="20">
      <c r="A96" s="24" t="inlineStr">
        <is>
          <t>E093</t>
        </is>
      </c>
      <c r="B96" s="24" t="inlineStr">
        <is>
          <t>2026-09-13 16:24</t>
        </is>
      </c>
      <c r="C96" s="24" t="inlineStr">
        <is>
          <t>v027</t>
        </is>
      </c>
      <c r="D96" s="24" t="inlineStr">
        <is>
          <t>—</t>
        </is>
      </c>
      <c r="E96" s="24" t="inlineStr">
        <is>
          <t>RUN CONTINUED — 16:24. I had said further sittings would be invented work, so rather than invent one: the siblings closed a gap today that FlowCast still had open. OnCall (GAP-OC2), EngageOS (GAP-E2) and TeleField (R-T4) all shipped persistence layers; FlowCast had NO schema and no store at all — every Map in src was process memory</t>
        </is>
      </c>
      <c r="F96" s="24" t="inlineStr">
        <is>
          <t>—</t>
        </is>
      </c>
      <c r="G96" s="24" t="inlineStr">
        <is>
          <t>v027 opened from v026</t>
        </is>
      </c>
      <c r="H96" s="24" t="inlineStr">
        <is>
          <t>—</t>
        </is>
      </c>
      <c r="I96" s="24" t="inlineStr">
        <is>
          <t>E094</t>
        </is>
      </c>
    </row>
    <row r="97" ht="113.25" customHeight="1" s="20">
      <c r="A97" s="24" t="inlineStr">
        <is>
          <t>E094</t>
        </is>
      </c>
      <c r="B97" s="24" t="inlineStr">
        <is>
          <t>2026-09-13 16:24</t>
        </is>
      </c>
      <c r="C97" s="24" t="inlineStr">
        <is>
          <t>v027</t>
        </is>
      </c>
      <c r="D97" s="24" t="inlineStr">
        <is>
          <t>S1, S6</t>
        </is>
      </c>
      <c r="E97" s="24" t="inlineStr">
        <is>
          <t>GAP-F3 (CRITICAL): all durable state lived in process memory — tokens, usage cycles, nudge history, dunning counters, poll state, deletion schedules. R-F4 had recorded this as a deliberate sandbox constraint and while nothing could RUN it was harmless. It stopped being harmless at v018 (boot path) and v017 (deploy pipeline), because BLUE/GREEN RESTARTS THE PROCESS BY DESIGN: every release would have dropped all tokens (every tenant must reinstall), reset usage counters (a fresh 50 nudges per org — undoing F-005 and INT-F1), cleared nudge history (re-chasing every customer from the gentle tier — undoing F-006), reset dunning counters (resending day-0 emails — undoing F4-02) and lost deletion schedules (the published 30-day policy never firing for anyone installed before the restart — undoing F-007 and GAP-F2). SIX earlier fixes, each individually correct, silently reverted on every deploy</t>
        </is>
      </c>
      <c r="F97" s="24" t="inlineStr">
        <is>
          <t>GAP-F3</t>
        </is>
      </c>
      <c r="G97" s="24" t="inlineStr">
        <is>
          <t>24 persistence regressions incl. the two-process restart-survival proof</t>
        </is>
      </c>
      <c r="H97" s="24" t="inlineStr">
        <is>
          <t>DATABASE_URL = Senthil</t>
        </is>
      </c>
      <c r="I97" s="24" t="inlineStr">
        <is>
          <t>E095</t>
        </is>
      </c>
    </row>
    <row r="98" ht="79.5" customHeight="1" s="20">
      <c r="A98" s="24" t="inlineStr">
        <is>
          <t>E095</t>
        </is>
      </c>
      <c r="B98" s="24" t="inlineStr">
        <is>
          <t>2026-09-13 16:24</t>
        </is>
      </c>
      <c r="C98" s="24" t="inlineStr">
        <is>
          <t>v027</t>
        </is>
      </c>
      <c r="D98" s="24" t="inlineStr">
        <is>
          <t>S1</t>
        </is>
      </c>
      <c r="E98" s="24" t="inlineStr">
        <is>
          <t>BUILT: 6 ordered idempotent migrations recorded in schema_migrations, every dependent table declaring ON DELETE CASCADE from tenants so the F-007 deletion policy lives in the SCHEMA rather than in application code that can forget; a narrow Repository seam with InMemoryRepository (kept for tests and demo mode) and PostgresRepository over an injected query fn, both driven through the SAME shared test suite so the two cannot drift; real pooled pg driver with SSL required off-localhost; app.hydrate() rebuilding a tenant view on boot; /health now reports durableStore so an operator can SEE whether state survives a restart instead of assuming it</t>
        </is>
      </c>
      <c r="F98" s="24" t="inlineStr">
        <is>
          <t>GAP-F3</t>
        </is>
      </c>
      <c r="G98" s="24" t="inlineStr">
        <is>
          <t>shared describe.each suite across both implementations</t>
        </is>
      </c>
      <c r="H98" s="24" t="inlineStr">
        <is>
          <t>—</t>
        </is>
      </c>
      <c r="I98" s="24" t="inlineStr">
        <is>
          <t>E096</t>
        </is>
      </c>
    </row>
    <row r="99" ht="68.25" customHeight="1" s="20">
      <c r="A99" s="24" t="inlineStr">
        <is>
          <t>E096</t>
        </is>
      </c>
      <c r="B99" s="24" t="inlineStr">
        <is>
          <t>2026-09-13 16:24</t>
        </is>
      </c>
      <c r="C99" s="24" t="inlineStr">
        <is>
          <t>v027</t>
        </is>
      </c>
      <c r="D99" s="24" t="inlineStr">
        <is>
          <t>—</t>
        </is>
      </c>
      <c r="E99" s="24" t="inlineStr">
        <is>
          <t>THE REACHABILITY GATE EARNED ITS PLACE TWICE ON THIS SITTING OWN CODE: (1) it failed the build because the persistence layer was built but never wired into the boot path — the exact INT-F1 shape, caught within minutes rather than two sittings later; (2) it flagged closePool as having no caller, which surfaced that GRACEFUL SHUTDOWN DID NOT EXIST — the blue/green pipeline kills the old slot, so in-flight requests were cut and pooled connections dropped rather than drained. SIGTERM/SIGINT handlers added</t>
        </is>
      </c>
      <c r="F99" s="24" t="inlineStr">
        <is>
          <t>GAP-F3</t>
        </is>
      </c>
      <c r="G99" s="24" t="inlineStr">
        <is>
          <t>shutdown + signal-registration regressions</t>
        </is>
      </c>
      <c r="H99" s="24" t="inlineStr">
        <is>
          <t>—</t>
        </is>
      </c>
      <c r="I99" s="24" t="inlineStr">
        <is>
          <t>E097</t>
        </is>
      </c>
    </row>
    <row r="100" ht="90.75" customHeight="1" s="20">
      <c r="A100" s="24" t="inlineStr">
        <is>
          <t>E097</t>
        </is>
      </c>
      <c r="B100" s="24" t="inlineStr">
        <is>
          <t>2026-09-13 16:24</t>
        </is>
      </c>
      <c r="C100" s="24" t="inlineStr">
        <is>
          <t>v027</t>
        </is>
      </c>
      <c r="D100" s="24" t="inlineStr">
        <is>
          <t>—</t>
        </is>
      </c>
      <c r="E100" s="24" t="inlineStr">
        <is>
          <t>D13 GATE MET: 30 suites, 433 tests, 100% all metrics, zero pragmas, tsc clean, all three gates still PROVED, built artifact boots and reports durableStore honestly. Restart-survival proof: two FlowCastApp instances over one store — the second, as after a deploy, still reports 50 used, still refuses the 51st, still holds the nudge history; before this release it reported 0. LESSON L-F10: the gates check the code against itself and CANNOT see a constraint the code never states — "this process is assumed to live forever" was nowhere in the source, so nothing could flag that six correctness fixes were reverted on every deploy. Assumptions about the ENVIRONMENT need their own review pass: what does this code believe about the world that no test asserts?</t>
        </is>
      </c>
      <c r="F100" s="24" t="inlineStr">
        <is>
          <t>D13</t>
        </is>
      </c>
      <c r="G100" s="24" t="inlineStr">
        <is>
          <t>Tracker v015 + workbook v027 released</t>
        </is>
      </c>
      <c r="H100" s="24" t="inlineStr">
        <is>
          <t>DATABASE_URL joins the live queue</t>
        </is>
      </c>
      <c r="I100" s="24" t="inlineStr">
        <is>
          <t>v016 on live evidence</t>
        </is>
      </c>
    </row>
    <row r="101" ht="45.75" customHeight="1" s="20">
      <c r="A101" s="24" t="inlineStr">
        <is>
          <t>E098</t>
        </is>
      </c>
      <c r="B101" s="24" t="inlineStr">
        <is>
          <t>2026-09-13 16:38</t>
        </is>
      </c>
      <c r="C101" s="24" t="inlineStr">
        <is>
          <t>v028</t>
        </is>
      </c>
      <c r="D101" s="24" t="inlineStr">
        <is>
          <t>—</t>
        </is>
      </c>
      <c r="E101" s="24" t="inlineStr">
        <is>
          <t>RUN CONTINUED — 16:38, acting on L-F10 from the previous release: the gates check code against itself and cannot see an assumption about the environment, so I asked what this code believes about the world that no test asserts. Three findings, every one broken by the deploy model this codebase already ships</t>
        </is>
      </c>
      <c r="F101" s="24" t="inlineStr">
        <is>
          <t>—</t>
        </is>
      </c>
      <c r="G101" s="24" t="inlineStr">
        <is>
          <t>v028 opened from v027</t>
        </is>
      </c>
      <c r="H101" s="24" t="inlineStr">
        <is>
          <t>—</t>
        </is>
      </c>
      <c r="I101" s="24" t="inlineStr">
        <is>
          <t>E099</t>
        </is>
      </c>
    </row>
    <row r="102" ht="113.25" customHeight="1" s="20">
      <c r="A102" s="24" t="inlineStr">
        <is>
          <t>E099</t>
        </is>
      </c>
      <c r="B102" s="24" t="inlineStr">
        <is>
          <t>2026-09-13 16:38</t>
        </is>
      </c>
      <c r="C102" s="24" t="inlineStr">
        <is>
          <t>v028</t>
        </is>
      </c>
      <c r="D102" s="24" t="inlineStr">
        <is>
          <t>S8</t>
        </is>
      </c>
      <c r="E102" s="24" t="inlineStr">
        <is>
          <t>ENV-1 FIXED (CRITICAL): startScheduler assumed EXACTLY ONE PROCESS would ever exist. Nothing in the code said so and the deploy model says the opposite — blue/green runs BOTH colours simultaneously during a switch, and horizontal scaling runs N. With N instances every scheduled job ran N times: every overdue customer received N NUDGES ON THE SAME DAY (precisely the duplicate chasing F-006 was written to prevent, now caused by deployment rather than logic), N dunning emails, N bank polls multiplying spend against the 5,000/day org budget VER-002 protects, and N concurrent purge runs racing the same rows. Fixed with a Postgres session-scoped advisory lock, namespaced by key, re-checked PER TICK so a follower promotes itself when the leader dies without a restart; pg_try_advisory_lock returns immediately so a follower never blocks a deploy</t>
        </is>
      </c>
      <c r="F102" s="24" t="inlineStr">
        <is>
          <t>ENV-1</t>
        </is>
      </c>
      <c r="G102" s="24" t="inlineStr">
        <is>
          <t>7 regressions incl. blue/green overlap refusal, leadership transfer, follower-runs-nothing, leader-runs-work</t>
        </is>
      </c>
      <c r="H102" s="24" t="inlineStr">
        <is>
          <t>—</t>
        </is>
      </c>
      <c r="I102" s="24" t="inlineStr">
        <is>
          <t>E100</t>
        </is>
      </c>
    </row>
    <row r="103" ht="102" customHeight="1" s="20">
      <c r="A103" s="24" t="inlineStr">
        <is>
          <t>E100</t>
        </is>
      </c>
      <c r="B103" s="24" t="inlineStr">
        <is>
          <t>2026-09-13 16:38</t>
        </is>
      </c>
      <c r="C103" s="24" t="inlineStr">
        <is>
          <t>v028</t>
        </is>
      </c>
      <c r="D103" s="24" t="inlineStr">
        <is>
          <t>S8</t>
        </is>
      </c>
      <c r="E103" s="24" t="inlineStr">
        <is>
          <t>ENV-2 FIXED (CRITICAL): accepted webhook events lived only in memory, but the fast-ack contract tells Xero 200 and XERO NEVER REDELIVERS A 200 — so a restart between ack and drain destroyed those events permanently and silently, the one failure mode the whole redelivery-heals design exists to avoid. Events are now written to webhook_queue BEFORE the ACK, recoverQueue() restores undrained events on boot, and draining uses FOR UPDATE SKIP LOCKED so a second drainer cannot claim the same row. The table deliberately has NO foreign key (events can arrive before an install row exists), so deleteTenant clears it explicitly and the schema test now enforces that every non-cascading table gets that treatment — otherwise the 30-day deletion policy would leak through the ingest buffer</t>
        </is>
      </c>
      <c r="F103" s="24" t="inlineStr">
        <is>
          <t>ENV-2</t>
        </is>
      </c>
      <c r="G103" s="24" t="inlineStr">
        <is>
          <t>persist-before-ack, boot recovery, drain-removes, no-repo unchanged, concurrency-safe SQL</t>
        </is>
      </c>
      <c r="H103" s="24" t="inlineStr">
        <is>
          <t>—</t>
        </is>
      </c>
      <c r="I103" s="24" t="inlineStr">
        <is>
          <t>E101</t>
        </is>
      </c>
    </row>
    <row r="104" ht="68.25" customHeight="1" s="20">
      <c r="A104" s="24" t="inlineStr">
        <is>
          <t>E101</t>
        </is>
      </c>
      <c r="B104" s="24" t="inlineStr">
        <is>
          <t>2026-09-13 16:38</t>
        </is>
      </c>
      <c r="C104" s="24" t="inlineStr">
        <is>
          <t>v028</t>
        </is>
      </c>
      <c r="D104" s="24" t="inlineStr">
        <is>
          <t>S10</t>
        </is>
      </c>
      <c r="E104" s="24" t="inlineStr">
        <is>
          <t>ENV-3 FIXED (Major): BusinessHours documented startHour/endHour as local but every calculation used epoch-ms arithmetic, which is UTC. The published "4 business hours" first-response promise was therefore simply WRONG for any support desk not on UTC — an India-based team (UTC+5:30) had deadlines computed against a working day ending 22:30 their time. utcOffsetMinutes is now explicit and applied to day, hour and midnight derivation, validated to +/-14h. DST is a deliberate non-goal recorded as OBS-003 rather than faked</t>
        </is>
      </c>
      <c r="F104" s="24" t="inlineStr">
        <is>
          <t>ENV-3</t>
        </is>
      </c>
      <c r="G104" s="24" t="inlineStr">
        <is>
          <t>IST deadlines, UTC no-regression, local-weekend (Auckland UTC+13), offset validation</t>
        </is>
      </c>
      <c r="H104" s="24" t="inlineStr">
        <is>
          <t>OBS-003 disposition</t>
        </is>
      </c>
      <c r="I104" s="24" t="inlineStr">
        <is>
          <t>E102</t>
        </is>
      </c>
    </row>
    <row r="105" ht="135.75" customHeight="1" s="20">
      <c r="A105" s="24" t="inlineStr">
        <is>
          <t>E102</t>
        </is>
      </c>
      <c r="B105" s="24" t="inlineStr">
        <is>
          <t>2026-09-13 16:38</t>
        </is>
      </c>
      <c r="C105" s="24" t="inlineStr">
        <is>
          <t>v028</t>
        </is>
      </c>
      <c r="D105" s="24" t="inlineStr">
        <is>
          <t>—</t>
        </is>
      </c>
      <c r="E105" s="24" t="inlineStr">
        <is>
          <t>D13 GATE MET: 31 suites, 453 tests, 100% all metrics, zero pragmas, tsc clean, three gates still PROVED, artifact boots and reports durableStore AND singleWriter truthfully (both false without a database — the fallbacks are correct for one process and unsafe for several, and the product now SAYS so). OBS-004 logged NOT fixed: webhook-driven rate limiting stays per-process; with the leader lock all SCHEDULED Xero traffic is single-writer so the budgets hold for the dominant path, but webhook-triggered calls from N instances could still exceed them under sustained load — a shared counter needs a decision on per-call round-trip cost, so it is a disposition not a silent change. LESSON L-F11: every finding came from reading the DEPLOY PIPELINE against the APPLICATION CODE — two artifacts each correct alone. ENV-1 existed the moment v017 shipped blue/green, and no amount of staring at the scheduler would have revealed it, because the scheduler is right if you believe what it believes. The productive question was not "is this code correct?" but "what has to be true for this code to be correct, and who guarantees it?"</t>
        </is>
      </c>
      <c r="F105" s="24" t="inlineStr">
        <is>
          <t>D13</t>
        </is>
      </c>
      <c r="G105" s="24" t="inlineStr">
        <is>
          <t>Tracker v016 + workbook v028 released</t>
        </is>
      </c>
      <c r="H105" s="24" t="inlineStr">
        <is>
          <t>OBS-003/004 = Senthil</t>
        </is>
      </c>
      <c r="I105" s="24" t="inlineStr">
        <is>
          <t>v017 on live evidence</t>
        </is>
      </c>
    </row>
    <row r="106" ht="45.75" customHeight="1" s="20">
      <c r="A106" s="24" t="inlineStr">
        <is>
          <t>E103</t>
        </is>
      </c>
      <c r="B106" s="24" t="inlineStr">
        <is>
          <t>2026-09-13 16:47</t>
        </is>
      </c>
      <c r="C106" s="24" t="inlineStr">
        <is>
          <t>v029</t>
        </is>
      </c>
      <c r="D106" s="24" t="inlineStr">
        <is>
          <t>—</t>
        </is>
      </c>
      <c r="E106" s="24" t="inlineStr">
        <is>
          <t>RUN CONTINUED — 16:47, applying the L-F11 method (read one artifact against another) to the pairing not yet tried: the OPERATIONAL artifacts — deploy pipeline, verify-slot script, runbooks — against the DATABASE that only started existing two releases ago. All of them were written when FlowCast had no store</t>
        </is>
      </c>
      <c r="F106" s="24" t="inlineStr">
        <is>
          <t>—</t>
        </is>
      </c>
      <c r="G106" s="24" t="inlineStr">
        <is>
          <t>v029 opened from v028</t>
        </is>
      </c>
      <c r="H106" s="24" t="inlineStr">
        <is>
          <t>—</t>
        </is>
      </c>
      <c r="I106" s="24" t="inlineStr">
        <is>
          <t>E104</t>
        </is>
      </c>
    </row>
    <row r="107" ht="45.75" customHeight="1" s="20">
      <c r="A107" s="24" t="inlineStr">
        <is>
          <t>E104</t>
        </is>
      </c>
      <c r="B107" s="24" t="inlineStr">
        <is>
          <t>2026-09-13 16:47</t>
        </is>
      </c>
      <c r="C107" s="24" t="inlineStr">
        <is>
          <t>v029</t>
        </is>
      </c>
      <c r="D107" s="24" t="inlineStr">
        <is>
          <t>S8</t>
        </is>
      </c>
      <c r="E107" s="24" t="inlineStr">
        <is>
          <t>OPS-1 FIXED (CRITICAL): the deploy pipeline NEVER RAN MIGRATIONS. Any release adding one would have deployed code whose queries hit tables that do not exist. npm run migrate now runs BEFORE the new slot starts — safe for the old colour still serving precisely because migrations are additive-only (OPS-2)</t>
        </is>
      </c>
      <c r="F107" s="24" t="inlineStr">
        <is>
          <t>OPS-1</t>
        </is>
      </c>
      <c r="G107" s="24" t="inlineStr">
        <is>
          <t>workflow-order regression asserting migrate precedes deploy-slot</t>
        </is>
      </c>
      <c r="H107" s="24" t="inlineStr">
        <is>
          <t>DATABASE_URL secret = Senthil</t>
        </is>
      </c>
      <c r="I107" s="24" t="inlineStr">
        <is>
          <t>E105</t>
        </is>
      </c>
    </row>
    <row r="108" ht="79.5" customHeight="1" s="20">
      <c r="A108" s="24" t="inlineStr">
        <is>
          <t>E105</t>
        </is>
      </c>
      <c r="B108" s="24" t="inlineStr">
        <is>
          <t>2026-09-13 16:47</t>
        </is>
      </c>
      <c r="C108" s="24" t="inlineStr">
        <is>
          <t>v029</t>
        </is>
      </c>
      <c r="D108" s="24" t="inlineStr">
        <is>
          <t>S8</t>
        </is>
      </c>
      <c r="E108" s="24" t="inlineStr">
        <is>
          <t>OPS-3 FIXED (CRITICAL): /health answers from MEMORY and that is exactly what verify-slot.sh checked before the router switch — so a slot with a wrong, unreachable or unmigrated DATABASE_URL reported ok:true, passed verification and would have been handed live traffic. THE TWO FINDINGS COMPOUND: OPS-1 breaks the slot, OPS-3 certifies it anyway. New /ready endpoint probes the store with the cheapest real query; verify-slot.sh now requires ready:true in addition to the release check. Regression pins that /health still returns 200 for the same broken slot — which is why readiness had to exist</t>
        </is>
      </c>
      <c r="F108" s="24" t="inlineStr">
        <is>
          <t>OPS-3</t>
        </is>
      </c>
      <c r="G108" s="24" t="inlineStr">
        <is>
          <t>ready/unreachable/absent + health-still-200 regressions; live boot verified</t>
        </is>
      </c>
      <c r="H108" s="24" t="inlineStr">
        <is>
          <t>—</t>
        </is>
      </c>
      <c r="I108" s="24" t="inlineStr">
        <is>
          <t>E106</t>
        </is>
      </c>
    </row>
    <row r="109" ht="90.75" customHeight="1" s="20">
      <c r="A109" s="24" t="inlineStr">
        <is>
          <t>E106</t>
        </is>
      </c>
      <c r="B109" s="24" t="inlineStr">
        <is>
          <t>2026-09-13 16:47</t>
        </is>
      </c>
      <c r="C109" s="24" t="inlineStr">
        <is>
          <t>v029</t>
        </is>
      </c>
      <c r="D109" s="24" t="inlineStr">
        <is>
          <t>S8</t>
        </is>
      </c>
      <c r="E109" s="24" t="inlineStr">
        <is>
          <t>OPS-2 FIXED (Major) + FOURTH GATE: blue/green runs TWO releases against ONE database, and rollback re-points to the old colour AFTER the new schema is applied — so a dropped or renamed column would break the old slot mid-switch AND invalidate the documented rollback, under which the previous release then runs against the newer schema indefinitely. Nothing enforced this. tests/migrationSafetyGate.test.ts enforces expand/contract: migrations may only ADD, must be idempotent, and any removal needs an approval citing the release that dropped the last reader. Proved against all 7 destructive shapes. The launch-day runbook now states the rollback contract explicitly rather than implying it</t>
        </is>
      </c>
      <c r="F109" s="24" t="inlineStr">
        <is>
          <t>OPS-2</t>
        </is>
      </c>
      <c r="G109" s="24" t="inlineStr">
        <is>
          <t>7 destructive-shape proofs + additive pass + stale-approval check</t>
        </is>
      </c>
      <c r="H109" s="24" t="inlineStr">
        <is>
          <t>—</t>
        </is>
      </c>
      <c r="I109" s="24" t="inlineStr">
        <is>
          <t>E107</t>
        </is>
      </c>
    </row>
    <row r="110" ht="57" customHeight="1" s="20">
      <c r="A110" s="24" t="inlineStr">
        <is>
          <t>E107</t>
        </is>
      </c>
      <c r="B110" s="24" t="inlineStr">
        <is>
          <t>2026-09-13 16:47</t>
        </is>
      </c>
      <c r="C110" s="24" t="inlineStr">
        <is>
          <t>v029</t>
        </is>
      </c>
      <c r="D110" s="24" t="inlineStr">
        <is>
          <t>—</t>
        </is>
      </c>
      <c r="E110" s="24" t="inlineStr">
        <is>
          <t>BACKUP DRILL MADE CONCRETE: it said "row counts per table" when no tables existed. Now names all 8, and adds two checks the schema makes possible — that schema_migrations on the restored copy matches the release being restored (an older snapshot restores a schema the current code does not expect), and that refresh_token_sealed is STILL SEALED in the restore, since a backup that decrypted tokens at rest would be a finding in its own right</t>
        </is>
      </c>
      <c r="F110" s="24" t="inlineStr">
        <is>
          <t>ST-090</t>
        </is>
      </c>
      <c r="G110" s="24" t="inlineStr">
        <is>
          <t>docs/runbooks/backup-restore-drill.md</t>
        </is>
      </c>
      <c r="H110" s="24" t="inlineStr">
        <is>
          <t>Drill execution = live infra</t>
        </is>
      </c>
      <c r="I110" s="24" t="n"/>
    </row>
    <row r="111" ht="90.75" customHeight="1" s="20">
      <c r="A111" s="24" t="inlineStr">
        <is>
          <t>E108</t>
        </is>
      </c>
      <c r="B111" s="24" t="inlineStr">
        <is>
          <t>2026-09-13 16:47</t>
        </is>
      </c>
      <c r="C111" s="24" t="inlineStr">
        <is>
          <t>v029</t>
        </is>
      </c>
      <c r="D111" s="24" t="inlineStr">
        <is>
          <t>—</t>
        </is>
      </c>
      <c r="E111" s="24" t="inlineStr">
        <is>
          <t>D13 GATE MET: 33 suites, 465 tests, 100% all metrics, zero pragmas, tsc clean; four gates in CI with the three older ones still PROVED; built artifact returns {"ready":true,"store":"ok"}. LESSON L-F12: OPS-1 and OPS-3 were each survivable alone and FATAL TOGETHER — one breaks the slot, the other certifies it and switches traffic onto it. Reviewing artifacts in PAIRS finds what reviewing them in a list does not: the deploy pipeline and the health endpoint were both individually defensible and their INTERACTION was the defect. The pairing that found this (ops artifacts x the newest subsystem) is worth re-running whenever a subsystem is added, because every artifact written before it still encodes a world without it</t>
        </is>
      </c>
      <c r="F111" s="24" t="inlineStr">
        <is>
          <t>D13</t>
        </is>
      </c>
      <c r="G111" s="24" t="inlineStr">
        <is>
          <t>Tracker v017 + workbook v029 released</t>
        </is>
      </c>
      <c r="H111" s="24" t="inlineStr">
        <is>
          <t>All remaining = Senthil</t>
        </is>
      </c>
      <c r="I111" s="24" t="inlineStr">
        <is>
          <t>v018 on live evidence</t>
        </is>
      </c>
    </row>
    <row r="112" ht="57" customHeight="1" s="20">
      <c r="A112" s="24" t="inlineStr">
        <is>
          <t>E109</t>
        </is>
      </c>
      <c r="B112" s="24" t="inlineStr">
        <is>
          <t>2026-09-13 16:52</t>
        </is>
      </c>
      <c r="C112" s="24" t="inlineStr">
        <is>
          <t>v030</t>
        </is>
      </c>
      <c r="D112" s="24" t="inlineStr">
        <is>
          <t>—</t>
        </is>
      </c>
      <c r="E112" s="24" t="inlineStr">
        <is>
          <t>RUN CONTINUED — 16:52, re-running the L-F12 pairing against the newest subsystem as that lesson recommends. The degradation artifacts (chaos runbook, degraded banner, /status) were written when XERO WAS THE ONLY DEPENDENCY; Postgres has been in every request path for three releases and fails differently — Xero going away degrades a feature, the database going away touches everything at once, and both blue/green colours share one database</t>
        </is>
      </c>
      <c r="F112" s="24" t="inlineStr">
        <is>
          <t>—</t>
        </is>
      </c>
      <c r="G112" s="24" t="inlineStr">
        <is>
          <t>v030 opened from v029</t>
        </is>
      </c>
      <c r="H112" s="24" t="inlineStr">
        <is>
          <t>—</t>
        </is>
      </c>
      <c r="I112" s="24" t="inlineStr">
        <is>
          <t>E110</t>
        </is>
      </c>
    </row>
    <row r="113" ht="102" customHeight="1" s="20">
      <c r="A113" s="24" t="inlineStr">
        <is>
          <t>E110</t>
        </is>
      </c>
      <c r="B113" s="24" t="inlineStr">
        <is>
          <t>2026-09-13 16:52</t>
        </is>
      </c>
      <c r="C113" s="24" t="inlineStr">
        <is>
          <t>v030</t>
        </is>
      </c>
      <c r="D113" s="24" t="inlineStr">
        <is>
          <t>S8</t>
        </is>
      </c>
      <c r="E113" s="24" t="inlineStr">
        <is>
          <t>CHAOS-1 FIXED (CRITICAL): two "void somePromise()" calls sat on the database path — one on the WEBHOOK FAST-ACK ROUTE. Since Node 15 an unhandled rejection TERMINATES THE PROCESS by default; verified on this runtime (node v22) with a three-line script — the process died and the follow-up log line never printed. So a transient Postgres error during ordinary webhook traffic would not have degraded FlowCast, it would have KILLED it, on every instance sharing that database simultaneously, leaving the router nothing to fall back to. Both sites now run through safely() (counts, reports, always resolves); process guards report unhandled rejections while the service continues and drain deliberately on uncaught exceptions; 3+ consecutive failures surface as store:degraded on /ready</t>
        </is>
      </c>
      <c r="F113" s="24" t="inlineStr">
        <is>
          <t>CHAOS-1</t>
        </is>
      </c>
      <c r="G113" s="24" t="inlineStr">
        <is>
          <t>12 regressions incl. signed webhook to an all-failing store still ACKing 200 empty with the failure counted</t>
        </is>
      </c>
      <c r="H113" s="24" t="inlineStr">
        <is>
          <t>—</t>
        </is>
      </c>
      <c r="I113" s="24" t="inlineStr">
        <is>
          <t>E111</t>
        </is>
      </c>
    </row>
    <row r="114" ht="68.25" customHeight="1" s="20">
      <c r="A114" s="24" t="inlineStr">
        <is>
          <t>E111</t>
        </is>
      </c>
      <c r="B114" s="24" t="inlineStr">
        <is>
          <t>2026-09-13 16:52</t>
        </is>
      </c>
      <c r="C114" s="24" t="inlineStr">
        <is>
          <t>v030</t>
        </is>
      </c>
      <c r="D114" s="24" t="inlineStr">
        <is>
          <t>S8</t>
        </is>
      </c>
      <c r="E114" s="24" t="inlineStr">
        <is>
          <t>CHAOS-2 FIXED (Major): the chaos runbook covered only the Xero API. Extended with a database-outage drill stating expected behaviour per path — /health 200 liveness only (must not flap the LB), /ready 503 unavailable (deploy gate and router must not send traffic), webhook still 200 empty (Xero given no reason to retry, event held in memory, failure counted), scheduled jobs skipped because the leader lock cannot be acquired (the correct failure, not a silent duplicate run), process stays up. Every row is backed by a test rather than an intention</t>
        </is>
      </c>
      <c r="F114" s="24" t="inlineStr">
        <is>
          <t>CHAOS-2</t>
        </is>
      </c>
      <c r="G114" s="24" t="inlineStr">
        <is>
          <t>docs/runbooks/chaos-platform-outage.md</t>
        </is>
      </c>
      <c r="H114" s="24" t="inlineStr">
        <is>
          <t>Drill on live infra = Senthil</t>
        </is>
      </c>
      <c r="I114" s="24" t="n"/>
    </row>
    <row r="115" ht="102" customHeight="1" s="20">
      <c r="A115" s="24" t="inlineStr">
        <is>
          <t>E112</t>
        </is>
      </c>
      <c r="B115" s="24" t="inlineStr">
        <is>
          <t>2026-09-13 16:52</t>
        </is>
      </c>
      <c r="C115" s="24" t="inlineStr">
        <is>
          <t>v030</t>
        </is>
      </c>
      <c r="D115" s="24" t="inlineStr">
        <is>
          <t>—</t>
        </is>
      </c>
      <c r="E115" s="24" t="inlineStr">
        <is>
          <t>D13 GATE MET: 35 suites, 478 tests, 100% all metrics, zero pragmas, tsc clean; four gates in CI with the three provable ones still PROVED; live boot returns {"ready":true,"store":"ok"}. Two defensive-unreachable fallbacks removed rather than pragma-suppressed — buildLiveContext always sets the degradation state and reporter, so "?? fallback" at the call site was dead code pretending to be caution. LESSON L-F13: "void promise" is the quietest way to write a crash. It reads as fire-and-forget and on modern Node means fire-and-exit. BOTH instances were added deliberately, to keep a durable write off the latency path — a correct instinct expressed in a way that made a dependency failure fatal. Asynchronous work needs an OWNER: something that catches, counts and reports. Worth grepping the other products for the same two characters</t>
        </is>
      </c>
      <c r="F115" s="24" t="inlineStr">
        <is>
          <t>D13</t>
        </is>
      </c>
      <c r="G115" s="24" t="inlineStr">
        <is>
          <t>Tracker v018 + workbook v030 released</t>
        </is>
      </c>
      <c r="H115" s="24" t="inlineStr">
        <is>
          <t>All remaining = Senthil</t>
        </is>
      </c>
      <c r="I115" s="24" t="inlineStr">
        <is>
          <t>v019 on live evidence</t>
        </is>
      </c>
    </row>
    <row r="116" ht="68.25" customHeight="1" s="20">
      <c r="A116" s="24" t="inlineStr">
        <is>
          <t>E113</t>
        </is>
      </c>
      <c r="B116" s="24" t="inlineStr">
        <is>
          <t>2026-09-13 17:23</t>
        </is>
      </c>
      <c r="C116" s="24" t="inlineStr">
        <is>
          <t>v031</t>
        </is>
      </c>
      <c r="D116" s="24" t="inlineStr">
        <is>
          <t>S9</t>
        </is>
      </c>
      <c r="E116" s="24" t="inlineStr">
        <is>
          <t>RUN CONTINUED — 17:23. Two documents sit on SENTHIL critical path: the pen-test vendor scopes from SECURITY_EVIDENCE.md and the external reviewer (ST-097) works from REVIEW_PACK.md. Both written at v014. Measured against source: the security pack mentioned the database ZERO times, the review pack ONE of the eight newest modules. The two people most likely to find something would have been handed a map of a product that no longer exists — and the pen-test scoped without the component holding the tokens</t>
        </is>
      </c>
      <c r="F116" s="24" t="inlineStr">
        <is>
          <t>SEC-1, REV-1</t>
        </is>
      </c>
      <c r="G116" s="24" t="inlineStr">
        <is>
          <t>docs/live-sweep/document-review-20260913.md</t>
        </is>
      </c>
      <c r="H116" s="24" t="inlineStr">
        <is>
          <t>Vendor + reviewer = Senthil</t>
        </is>
      </c>
      <c r="I116" s="24" t="inlineStr">
        <is>
          <t>E114</t>
        </is>
      </c>
    </row>
    <row r="117" ht="102" customHeight="1" s="20">
      <c r="A117" s="24" t="inlineStr">
        <is>
          <t>E114</t>
        </is>
      </c>
      <c r="B117" s="24" t="inlineStr">
        <is>
          <t>2026-09-13 17:23</t>
        </is>
      </c>
      <c r="C117" s="24" t="inlineStr">
        <is>
          <t>v031</t>
        </is>
      </c>
      <c r="D117" s="24" t="inlineStr">
        <is>
          <t>S9</t>
        </is>
      </c>
      <c r="E117" s="24" t="inlineStr">
        <is>
          <t>SEC-1 FIXED: data-store section added to the security pack, deliberately separating controls VERIFIABLE IN CODE (refresh tokens sealed before reaching the store, TLS off-localhost, cascade deletion of every dependent row, additive-only migrations, no committed secrets) from OPERATOR RESPONSIBILITIES code cannot assert (volume encryption at rest, least-privilege database user, backup encryption, DATABASE_URL held in the secret manager, network reachability). Claiming a provider setting nobody has confirmed is exactly what INT-F2 already forced an addendum for. Vendor scope note added covering OAuth routes + CSRF state, webhook signature path, what /health and /ready each disclose, the Postgres store and migration path, and leader-lock behaviour under concurrent instances</t>
        </is>
      </c>
      <c r="F117" s="24" t="inlineStr">
        <is>
          <t>SEC-1</t>
        </is>
      </c>
      <c r="G117" s="24" t="inlineStr">
        <is>
          <t>pen-test scoping</t>
        </is>
      </c>
      <c r="H117" s="24" t="inlineStr">
        <is>
          <t>Vendor engagement = Senthil</t>
        </is>
      </c>
      <c r="I117" s="24" t="inlineStr">
        <is>
          <t>E115</t>
        </is>
      </c>
    </row>
    <row r="118" ht="68.25" customHeight="1" s="20">
      <c r="A118" s="24" t="inlineStr">
        <is>
          <t>E115</t>
        </is>
      </c>
      <c r="B118" s="24" t="inlineStr">
        <is>
          <t>2026-09-13 17:23</t>
        </is>
      </c>
      <c r="C118" s="24" t="inlineStr">
        <is>
          <t>v031</t>
        </is>
      </c>
      <c r="D118" s="24" t="inlineStr">
        <is>
          <t>S9</t>
        </is>
      </c>
      <c r="E118" s="24" t="inlineStr">
        <is>
          <t>SEC-2 FIXED (code): failure text is written to stderr AND held in the degradation state, and driver errors can include the connection string — which contains the password. redactSecrets now strips user:pass@host, password=/pwd=/secret=/api_key= pairs and bearer tokens before a failure is recorded. THREE new claims added to the published-claims gate (DB TLS, credential redaction, tokens sealed in the store), one of which requires the redactor to be CALLED not merely present — proved to fail when the call is removed</t>
        </is>
      </c>
      <c r="F118" s="24" t="inlineStr">
        <is>
          <t>SEC-2</t>
        </is>
      </c>
      <c r="G118" s="24" t="inlineStr">
        <is>
          <t>4 redaction regressions + 3 gate claims, one proved by removal</t>
        </is>
      </c>
      <c r="H118" s="24" t="inlineStr">
        <is>
          <t>—</t>
        </is>
      </c>
      <c r="I118" s="24" t="inlineStr">
        <is>
          <t>E116</t>
        </is>
      </c>
    </row>
    <row r="119" ht="102" customHeight="1" s="20">
      <c r="A119" s="24" t="inlineStr">
        <is>
          <t>E116</t>
        </is>
      </c>
      <c r="B119" s="24" t="inlineStr">
        <is>
          <t>2026-09-13 17:23</t>
        </is>
      </c>
      <c r="C119" s="24" t="inlineStr">
        <is>
          <t>v031</t>
        </is>
      </c>
      <c r="D119" s="24" t="inlineStr">
        <is>
          <t>S9</t>
        </is>
      </c>
      <c r="E119" s="24" t="inlineStr">
        <is>
          <t>REV-1 FIXED: review pack rewritten with current entry points, a per-module what-to-challenge table for the eight new subsystems, and a review order by consequence (money and enforcement first; then the ack contract where losing an event is silent and permanent; then deletion semantics, on which the published 30-day policy entirely depends). It explicitly tells the reviewer to DISTRUST THE GATES — four gate bugs shipped green while silently permissive, so they are evidence of intent not correctness — and lists OBS-001..004 openly. PERF-1: latency budgets predated every database round trip; table added showing which paths now query, with an instruction to re-baseline against the dev org and record new figures ALONGSIDE the old ones because the delta is the useful information</t>
        </is>
      </c>
      <c r="F119" s="24" t="inlineStr">
        <is>
          <t>REV-1, PERF-1</t>
        </is>
      </c>
      <c r="G119" s="24" t="inlineStr">
        <is>
          <t>docs updated</t>
        </is>
      </c>
      <c r="H119" s="24" t="inlineStr">
        <is>
          <t>Reviewer nomination = Senthil</t>
        </is>
      </c>
      <c r="I119" s="24" t="inlineStr">
        <is>
          <t>E117</t>
        </is>
      </c>
    </row>
    <row r="120" ht="124.5" customHeight="1" s="20">
      <c r="A120" s="24" t="inlineStr">
        <is>
          <t>E117</t>
        </is>
      </c>
      <c r="B120" s="24" t="inlineStr">
        <is>
          <t>2026-09-13 17:23</t>
        </is>
      </c>
      <c r="C120" s="24" t="inlineStr">
        <is>
          <t>v031</t>
        </is>
      </c>
      <c r="D120" s="24" t="inlineStr">
        <is>
          <t>—</t>
        </is>
      </c>
      <c r="E120" s="24" t="inlineStr">
        <is>
          <t>D13 GATE MET: 35 suites, 485 tests, 100% all metrics, zero pragmas, tsc clean, gates proved. MISTAKE CAUGHT AND RECORDED: the rewritten review pack first told the reviewer to expect "494 tests" when the real number was 482 — a figure written from memory into a document whose entire purpose is to be trusted by an outsider. Corrected to a claim that cannot go stale. That is precisely the failure mode the claims gate exists for, committed while writing about the claims gate. LESSON L-F14: documents aimed at OUTSIDERS decay silently because nobody inside reads them — the team already knows the architecture, so nothing prompts a re-read. The two documents furthest from daily use were the two most out of date, and both sit on the critical path to launch. Any externally-aimed document needs a review trigger tied to the system rather than to someone remembering; three of its claims are now gate-enforced, the rest still rely on someone looking</t>
        </is>
      </c>
      <c r="F120" s="24" t="inlineStr">
        <is>
          <t>D13</t>
        </is>
      </c>
      <c r="G120" s="24" t="inlineStr">
        <is>
          <t>Tracker v019 + workbook v031 released</t>
        </is>
      </c>
      <c r="H120" s="24" t="inlineStr">
        <is>
          <t>All remaining = Senthil</t>
        </is>
      </c>
      <c r="I120" s="24" t="inlineStr">
        <is>
          <t>v020 on live evidence</t>
        </is>
      </c>
    </row>
    <row r="121" ht="45.75" customHeight="1" s="20">
      <c r="A121" s="24" t="inlineStr">
        <is>
          <t>E118</t>
        </is>
      </c>
      <c r="B121" s="24" t="inlineStr">
        <is>
          <t>2026-09-13 17:29</t>
        </is>
      </c>
      <c r="C121" s="24" t="inlineStr">
        <is>
          <t>v032</t>
        </is>
      </c>
      <c r="D121" s="24" t="inlineStr">
        <is>
          <t>S9</t>
        </is>
      </c>
      <c r="E121" s="24" t="inlineStr">
        <is>
          <t>RUN CONTINUED — 17:29, closing my own L-F14 which ended with three claims gate-enforced and "the rest still rely on someone looking". Relying on someone looking is precisely what failed: the reviewer pack went 13 releases out of date while sitting on the critical path, because nobody inside the team ever needs to read it. Built the fifth gate</t>
        </is>
      </c>
      <c r="F121" s="24" t="inlineStr">
        <is>
          <t>—</t>
        </is>
      </c>
      <c r="G121" s="24" t="inlineStr">
        <is>
          <t>tests/docFreshnessGate.test.ts</t>
        </is>
      </c>
      <c r="H121" s="24" t="inlineStr">
        <is>
          <t>—</t>
        </is>
      </c>
      <c r="I121" s="24" t="inlineStr">
        <is>
          <t>E119</t>
        </is>
      </c>
    </row>
    <row r="122" ht="79.5" customHeight="1" s="20">
      <c r="A122" s="24" t="inlineStr">
        <is>
          <t>E119</t>
        </is>
      </c>
      <c r="B122" s="24" t="inlineStr">
        <is>
          <t>2026-09-13 17:29</t>
        </is>
      </c>
      <c r="C122" s="24" t="inlineStr">
        <is>
          <t>v032</t>
        </is>
      </c>
      <c r="D122" s="24" t="inlineStr">
        <is>
          <t>S9</t>
        </is>
      </c>
      <c r="E122" s="24" t="inlineStr">
        <is>
          <t>GATE RULE: a document written for an OUTSIDER must acknowledge the parts of the system it claims to describe — if a module exists and the document meant to map it has never heard of it, the build fails. A subsystem therefore cannot ship without the reviewer and pen-test maps being updated in the SAME change. Each covered document records its AUDIENCE inside the gate so a failure names who is affected (external reviewer ST-097 requires every module; pen-test vendor requires the security-relevant set). Exemptions are per-module with reasons, and a reason containing later/todo/tbd/for now FAILS because that phrasing is the decay itself</t>
        </is>
      </c>
      <c r="F122" s="24" t="inlineStr">
        <is>
          <t>—</t>
        </is>
      </c>
      <c r="G122" s="24" t="inlineStr">
        <is>
          <t>7 gate tests incl. bite proof, missing-document-is-a-failure, scope limits</t>
        </is>
      </c>
      <c r="H122" s="24" t="inlineStr">
        <is>
          <t>—</t>
        </is>
      </c>
      <c r="I122" s="24" t="inlineStr">
        <is>
          <t>E120</t>
        </is>
      </c>
    </row>
    <row r="123" ht="68.25" customHeight="1" s="20">
      <c r="A123" s="24" t="inlineStr">
        <is>
          <t>E120</t>
        </is>
      </c>
      <c r="B123" s="24" t="inlineStr">
        <is>
          <t>2026-09-13 17:29</t>
        </is>
      </c>
      <c r="C123" s="24" t="inlineStr">
        <is>
          <t>v032</t>
        </is>
      </c>
      <c r="D123" s="24" t="inlineStr">
        <is>
          <t>S9</t>
        </is>
      </c>
      <c r="E123" s="24" t="inlineStr">
        <is>
          <t>IT FIRED ON FIRST RUN — against documents I had rewritten SIX MINUTES EARLIER. The v031 rewrite added the eight newest subsystems and silently omitted the original feature modules, so a reviewer would still have been steered away from most of the product; and the security pack described "the database" in prose without ever naming db or pg, so a vendor scoping by module would have missed both. Both completed: per-module what-to-challenge tables for feature and platform surfaces, and a vendor module map to scope against by name rather than prose</t>
        </is>
      </c>
      <c r="F123" s="24" t="inlineStr">
        <is>
          <t>REV-1 follow-up, SEC-1 follow-up</t>
        </is>
      </c>
      <c r="G123" s="24" t="inlineStr">
        <is>
          <t>docs/security/REVIEW_PACK.md, SECURITY_EVIDENCE.md</t>
        </is>
      </c>
      <c r="H123" s="24" t="inlineStr">
        <is>
          <t>—</t>
        </is>
      </c>
      <c r="I123" s="24" t="inlineStr">
        <is>
          <t>E121</t>
        </is>
      </c>
    </row>
    <row r="124" ht="68.25" customHeight="1" s="20">
      <c r="A124" s="24" t="inlineStr">
        <is>
          <t>E121</t>
        </is>
      </c>
      <c r="B124" s="24" t="inlineStr">
        <is>
          <t>2026-09-13 17:29</t>
        </is>
      </c>
      <c r="C124" s="24" t="inlineStr">
        <is>
          <t>v032</t>
        </is>
      </c>
      <c r="D124" s="24" t="inlineStr">
        <is>
          <t>—</t>
        </is>
      </c>
      <c r="E124" s="24" t="inlineStr">
        <is>
          <t>THE HARNESS CAUGHT A WEAK MUTATION, NOT A WEAK GATE: proving the new gate, the first mutation deleted one of TWO mentions of leaderLock and the gate rightly stayed green because the module was still acknowledged elsewhere. prove:gates reported BROKEN, which was correct about the MUTATION. Re-pointed at a module mentioned exactly once (launchOps), the gate fails as intended and all four provable gates print PROVED. Recorded because a harness that only ever confirms what you expect is no better than the gates it checks</t>
        </is>
      </c>
      <c r="F124" s="24" t="inlineStr">
        <is>
          <t>—</t>
        </is>
      </c>
      <c r="G124" s="24" t="inlineStr">
        <is>
          <t>gates/prove-gates.js</t>
        </is>
      </c>
      <c r="H124" s="24" t="inlineStr">
        <is>
          <t>—</t>
        </is>
      </c>
      <c r="I124" s="24" t="inlineStr">
        <is>
          <t>E122</t>
        </is>
      </c>
    </row>
    <row r="125" ht="113.25" customHeight="1" s="20">
      <c r="A125" s="24" t="inlineStr">
        <is>
          <t>E122</t>
        </is>
      </c>
      <c r="B125" s="24" t="inlineStr">
        <is>
          <t>2026-09-13 17:29</t>
        </is>
      </c>
      <c r="C125" s="24" t="inlineStr">
        <is>
          <t>v032</t>
        </is>
      </c>
      <c r="D125" s="24" t="inlineStr">
        <is>
          <t>—</t>
        </is>
      </c>
      <c r="E125" s="24" t="inlineStr">
        <is>
          <t>D13 GATE MET: 36 suites, 492 tests, 100% all metrics, zero pragmas, tsc clean; five gates in CI with all four provable ones PROVED. Scope stated honestly: the gate checks ACKNOWLEDGEMENT not accuracy — a document can name every module and describe them all wrongly; what it guarantees is that the decay mode that actually happened (new subsystem ships, external document never hears about it) cannot repeat silently. LESSON L-F15: every gate here was born from a defect that had ALREADY SHIPPED — unreachable code, a false published claim, a cross-tenant leak, a destructive migration, a stale external document. The useful trigger for automation is not "what could go wrong" but "what DID go wrong, and would we notice a second time?" The first question produces a long list of plausible checks; the second produced five that have each caught something real</t>
        </is>
      </c>
      <c r="F125" s="24" t="inlineStr">
        <is>
          <t>D13</t>
        </is>
      </c>
      <c r="G125" s="24" t="inlineStr">
        <is>
          <t>Tracker v020 + workbook v032 released</t>
        </is>
      </c>
      <c r="H125" s="24" t="inlineStr">
        <is>
          <t>All remaining = Senthil</t>
        </is>
      </c>
      <c r="I125" s="24" t="inlineStr">
        <is>
          <t>v021 on live evidence</t>
        </is>
      </c>
    </row>
    <row r="126" ht="90.75" customHeight="1" s="20">
      <c r="A126" s="24" t="inlineStr">
        <is>
          <t>E123</t>
        </is>
      </c>
      <c r="B126" s="24" t="inlineStr">
        <is>
          <t>2026-09-13 18:48</t>
        </is>
      </c>
      <c r="C126" s="24" t="inlineStr">
        <is>
          <t>v033</t>
        </is>
      </c>
      <c r="D126" s="24" t="inlineStr">
        <is>
          <t>S8</t>
        </is>
      </c>
      <c r="E126" s="24" t="inlineStr">
        <is>
          <t>RUN CONTINUED — 18:48. Stated plainly at the start of this sitting that recent sittings had produced gates and documents rather than product defects and that marginal value was declining; scoped only to what was genuinely defect-derived. Grep for remaining fire-and-forget sites (the L-F13 recommendation) found a REAL one: the worker tick called drainOnce with no catch, and drainOnce RETHROWS after re-queuing (F4-04), so every store or sink failure produced an unhandled rejection the degradation counter never saw and /ready never showed. Process guards stopped it being fatal but it was invisible. Fixed via safely(); the SIGTERM shutdown call also given an owner, reporting failures with credentials redacted</t>
        </is>
      </c>
      <c r="F126" s="24" t="inlineStr">
        <is>
          <t>L-F13</t>
        </is>
      </c>
      <c r="G126" s="24" t="inlineStr">
        <is>
          <t>2 regressions: drain failure counted + event returned; shutdown failure reported and redacted</t>
        </is>
      </c>
      <c r="H126" s="24" t="inlineStr">
        <is>
          <t>—</t>
        </is>
      </c>
      <c r="I126" s="24" t="inlineStr">
        <is>
          <t>E124</t>
        </is>
      </c>
    </row>
    <row r="127" ht="57" customHeight="1" s="20">
      <c r="A127" s="24" t="inlineStr">
        <is>
          <t>E124</t>
        </is>
      </c>
      <c r="B127" s="24" t="inlineStr">
        <is>
          <t>2026-09-13 18:48</t>
        </is>
      </c>
      <c r="C127" s="24" t="inlineStr">
        <is>
          <t>v033</t>
        </is>
      </c>
      <c r="D127" s="24" t="inlineStr">
        <is>
          <t>S8</t>
        </is>
      </c>
      <c r="E127" s="24" t="inlineStr">
        <is>
          <t>SIXTH GATE (async ownership): a promise started and not awaited must have an owner — safely() or an explicit .catch. Type positions are excluded. Only resilience.ts is exempt, because it IS the owner of last resort and cannot wrap its own drain. Proved against the exact CHAOS-1 shape (restoring the bare persistAccepted fire-and-forget); all five provable gates now print PROVED</t>
        </is>
      </c>
      <c r="F127" s="24" t="inlineStr">
        <is>
          <t>—</t>
        </is>
      </c>
      <c r="G127" s="24" t="inlineStr">
        <is>
          <t>gates/prove-gates.js extended</t>
        </is>
      </c>
      <c r="H127" s="24" t="inlineStr">
        <is>
          <t>—</t>
        </is>
      </c>
      <c r="I127" s="24" t="inlineStr">
        <is>
          <t>E125</t>
        </is>
      </c>
    </row>
    <row r="128" ht="113.25" customHeight="1" s="20">
      <c r="A128" s="24" t="inlineStr">
        <is>
          <t>E125</t>
        </is>
      </c>
      <c r="B128" s="24" t="inlineStr">
        <is>
          <t>2026-09-13 18:48</t>
        </is>
      </c>
      <c r="C128" s="24" t="inlineStr">
        <is>
          <t>v033</t>
        </is>
      </c>
      <c r="D128" s="24" t="inlineStr">
        <is>
          <t>—</t>
        </is>
      </c>
      <c r="E128" s="24" t="inlineStr">
        <is>
          <t>REVIEW PLAYBOOK written (gates/REVIEW_PLAYBOOK.md), the asset worth more than the gates: the EIGHT review passes in the order that proved productive — cold review by module (run it twice), external verification sweep against live platform docs, artifact-gap audit, integration audit (highest yield, now automated), review the code the previous session wrote, environment-assumption review, artifact PAIRING, and outsider-first document review — plus the rules learned the hard way (coverage proves execution not existence; a gate never seen fail is not a gate; a passing test can pin a defect; void promise is the quietest crash; a published policy is not a shipped feature; automate from what DID go wrong) and a porting procedure. Context recorded: FlowCast reached code-phase-complete at 100% coverage with zero backlog on 11 Sep, and ~40 defects were found in that same code over the two days since</t>
        </is>
      </c>
      <c r="F128" s="24" t="inlineStr">
        <is>
          <t>—</t>
        </is>
      </c>
      <c r="G128" s="24" t="inlineStr">
        <is>
          <t>gates/REVIEW_PLAYBOOK.md</t>
        </is>
      </c>
      <c r="H128" s="24" t="inlineStr">
        <is>
          <t>Porting to other products = Senthil</t>
        </is>
      </c>
      <c r="I128" s="24" t="n"/>
    </row>
    <row r="129" ht="68.25" customHeight="1" s="20">
      <c r="A129" s="24" t="inlineStr">
        <is>
          <t>E126</t>
        </is>
      </c>
      <c r="B129" s="24" t="inlineStr">
        <is>
          <t>2026-09-13 18:48</t>
        </is>
      </c>
      <c r="C129" s="24" t="inlineStr">
        <is>
          <t>v033</t>
        </is>
      </c>
      <c r="D129" s="24" t="inlineStr">
        <is>
          <t>—</t>
        </is>
      </c>
      <c r="E129" s="24" t="inlineStr">
        <is>
          <t>D13 GATE MET: 36 suites, 500 tests, 100% all metrics, zero pragmas, tsc clean; six gates in CI with all five provable ones PROVED; live boot returns ready:true. RECOMMENDATION RECORDED: this is a natural stopping point for sandbox work. Every remaining item on the Senthil_Handover sheet is external, the highest-value next action costs about thirty minutes of his time (Xero dev org + DATABASE_URL) and unlocks 16 stories, and further sittings would increasingly be invented rather than found work</t>
        </is>
      </c>
      <c r="F129" s="24" t="inlineStr">
        <is>
          <t>D13</t>
        </is>
      </c>
      <c r="G129" s="24" t="inlineStr">
        <is>
          <t>Tracker v021 + workbook v033 released</t>
        </is>
      </c>
      <c r="H129" s="24" t="inlineStr">
        <is>
          <t>All remaining = Senthil</t>
        </is>
      </c>
      <c r="I129" s="24" t="inlineStr">
        <is>
          <t>v022 on live evidence only</t>
        </is>
      </c>
    </row>
    <row r="130" ht="15" customHeight="1" s="20">
      <c r="A130" s="26" t="inlineStr">
        <is>
          <t>E124</t>
        </is>
      </c>
      <c r="B130" s="26" t="inlineStr">
        <is>
          <t>2026-09-13 21:00</t>
        </is>
      </c>
      <c r="C130" s="26" t="inlineStr">
        <is>
          <t>v033</t>
        </is>
      </c>
      <c r="D130" s="26" t="inlineStr">
        <is>
          <t>E5</t>
        </is>
      </c>
      <c r="E130" s="26" t="inlineStr">
        <is>
          <t>EXTERNAL REVIEW RECEIVED — Senthil supplied chatgpt_review_V001 (ChatGPT, 13 Sep 20:53): the first review of FlowCast by a model that did not build it. Verdict: market demand YES/conditional, enterprise-grade NO (5.7/10), NOT market-ready for paid production; HOLD launch. 15 findings, 17 proposed sprints S34-S50, 16 GA gates G01-G16. Plan presented to Senthil before any edit, per standing rule.</t>
        </is>
      </c>
      <c r="F130" s="26" t="inlineStr">
        <is>
          <t>FC-R001..R015</t>
        </is>
      </c>
      <c r="G130" s="26" t="inlineStr">
        <is>
          <t>Triage: 8 sandbox-closable, 4 decision-gated, 3 human-blocked</t>
        </is>
      </c>
      <c r="H130" s="26" t="inlineStr">
        <is>
          <t>None</t>
        </is>
      </c>
      <c r="I130" s="26" t="inlineStr">
        <is>
          <t>E125</t>
        </is>
      </c>
    </row>
    <row r="131" ht="15" customHeight="1" s="20">
      <c r="A131" s="26" t="inlineStr">
        <is>
          <t>E125</t>
        </is>
      </c>
      <c r="B131" s="26" t="inlineStr">
        <is>
          <t>2026-09-13 21:00</t>
        </is>
      </c>
      <c r="C131" s="26" t="inlineStr">
        <is>
          <t>v033</t>
        </is>
      </c>
      <c r="D131" s="26" t="inlineStr">
        <is>
          <t>E5</t>
        </is>
      </c>
      <c r="E131" s="26" t="inlineStr">
        <is>
          <t>INDEPENDENT REPRODUCTION — the reviewer could not run the suite (their E-007: jest absent) and correctly refused to accept the coverage numbers. Reproduced here from the supplied zip: 36 suites / 500 tests, 100% on lines, statements, functions and branches, matching flowcast_v033_coverage_evidence.json exactly. Closes the REPRODUCIBILITY half of FC-R005; the INDEPENDENCE half is not closed by us re-running our own suite and is not claimed.</t>
        </is>
      </c>
      <c r="F131" s="26" t="inlineStr">
        <is>
          <t>FC-R005, G01</t>
        </is>
      </c>
      <c r="G131" s="26" t="inlineStr">
        <is>
          <t>Reproducibility evidenced; independence still open</t>
        </is>
      </c>
      <c r="H131" s="26" t="inlineStr">
        <is>
          <t>None</t>
        </is>
      </c>
      <c r="I131" s="26" t="inlineStr">
        <is>
          <t>E126</t>
        </is>
      </c>
    </row>
    <row r="132" ht="15" customHeight="1" s="20">
      <c r="A132" s="26" t="inlineStr">
        <is>
          <t>E126</t>
        </is>
      </c>
      <c r="B132" s="26" t="inlineStr">
        <is>
          <t>2026-09-13 21:56</t>
        </is>
      </c>
      <c r="C132" s="26" t="inlineStr">
        <is>
          <t>v034</t>
        </is>
      </c>
      <c r="D132" s="26" t="inlineStr">
        <is>
          <t>E5</t>
        </is>
      </c>
      <c r="E132" s="26" t="inlineStr">
        <is>
          <t>E5-04 IANA TIME ZONES — src/timezone.ts using Node 22 ICU, no new dependency. BusinessHours gains an optional zone resolved PER INSTANT; fixed offset kept as fallback so existing configs are untouched. The pinned defect: a London desk configured (correctly, in January) as UTC+0 computed a June deadline ONE HOUR LATE, in the direction that misses the published 4-business-hour promise. DST matrices for Europe/London spring-forward and fall-back, Australia/Sydney and Pacific/Auckland.</t>
        </is>
      </c>
      <c r="F132" s="26" t="inlineStr">
        <is>
          <t>FC-R008, OBS-003</t>
        </is>
      </c>
      <c r="G132" s="26" t="inlineStr">
        <is>
          <t>OBS-003 closed; 21 regressions</t>
        </is>
      </c>
      <c r="H132" s="26" t="inlineStr">
        <is>
          <t>None</t>
        </is>
      </c>
      <c r="I132" s="26" t="inlineStr">
        <is>
          <t>E127</t>
        </is>
      </c>
    </row>
    <row r="133" ht="15" customHeight="1" s="20">
      <c r="A133" s="26" t="inlineStr">
        <is>
          <t>E127</t>
        </is>
      </c>
      <c r="B133" s="26" t="inlineStr">
        <is>
          <t>2026-09-13 21:56</t>
        </is>
      </c>
      <c r="C133" s="26" t="inlineStr">
        <is>
          <t>v034</t>
        </is>
      </c>
      <c r="D133" s="26" t="inlineStr">
        <is>
          <t>E5</t>
        </is>
      </c>
      <c r="E133" s="26" t="inlineStr">
        <is>
          <t>E5-04a DEFECT IN OUR OWN NEW CODE, found by its own first test run. Zone validation was "ask ICU whether it accepts the string". ICU ALSO accepts legacy aliases that do not mean what an operator would assume: "BST" resolves to UTC+6 (Bangladesh Standard Time, not British Summer Time) and "EST" to a fixed -5 that never observes DST — i.e. exactly the bug the change exists to remove. A UK desk typing BST would have had every SLA deadline computed six hours east with no error anywhere. Validation now requires Area/Location form. Pinned with the proof that the danger was real, not theoretical.</t>
        </is>
      </c>
      <c r="F133" s="26" t="inlineStr">
        <is>
          <t>E5-04a</t>
        </is>
      </c>
      <c r="G133" s="26" t="inlineStr">
        <is>
          <t>New defect found and fixed within the same sprint</t>
        </is>
      </c>
      <c r="H133" s="26" t="inlineStr">
        <is>
          <t>None</t>
        </is>
      </c>
      <c r="I133" s="26" t="inlineStr">
        <is>
          <t>E128</t>
        </is>
      </c>
    </row>
    <row r="134" ht="15" customHeight="1" s="20">
      <c r="A134" s="26" t="inlineStr">
        <is>
          <t>E128</t>
        </is>
      </c>
      <c r="B134" s="26" t="inlineStr">
        <is>
          <t>2026-09-13 21:56</t>
        </is>
      </c>
      <c r="C134" s="26" t="inlineStr">
        <is>
          <t>v034</t>
        </is>
      </c>
      <c r="D134" s="26" t="inlineStr">
        <is>
          <t>E5</t>
        </is>
      </c>
      <c r="E134" s="26" t="inlineStr">
        <is>
          <t>E5-05 DISTRIBUTED RELIABILITY — src/distributedRateLimit.ts: the Xero 60/min and 5,000/day budgets are per ORGANISATION but were counted PER PROCESS, so two blue/green slots each believed they owned the full budget and could drive the org to 60N/min — a 429 storm caused by our own release. Same defect class as ENV-1, found in a second place. Shared counter in Postgres (migrations 008/009) with a conditional upsert that is safe under concurrency, day-claim released when the minute claim is refused, and pruning so the table cannot grow forever (F-001 class in a table instead of a Set). Also: full-jitter backoff (OBS-001), bounded half-open probes via acquireProbe (OBS-002), and a monotonic fencing token on the leader lock read by the scheduler through a new leaderReady guard, so a STALLED leader waking up after a successor took over can no longer write.</t>
        </is>
      </c>
      <c r="F134" s="26" t="inlineStr">
        <is>
          <t>FC-R007, OBS-001, OBS-002, OBS-004</t>
        </is>
      </c>
      <c r="G134" s="26" t="inlineStr">
        <is>
          <t>3 observations closed; 30 regressions</t>
        </is>
      </c>
      <c r="H134" s="26" t="inlineStr">
        <is>
          <t>None</t>
        </is>
      </c>
      <c r="I134" s="26" t="inlineStr">
        <is>
          <t>E129</t>
        </is>
      </c>
    </row>
    <row r="135" ht="15" customHeight="1" s="20">
      <c r="A135" s="26" t="inlineStr">
        <is>
          <t>E129</t>
        </is>
      </c>
      <c r="B135" s="26" t="inlineStr">
        <is>
          <t>2026-09-13 21:56</t>
        </is>
      </c>
      <c r="C135" s="26" t="inlineStr">
        <is>
          <t>v034</t>
        </is>
      </c>
      <c r="D135" s="26" t="inlineStr">
        <is>
          <t>E5</t>
        </is>
      </c>
      <c r="E135" s="26" t="inlineStr">
        <is>
          <t>E5-02 / E5-01 SUPPLY CHAIN AND EVIDENCE — CycloneDX 1.5 SBOM (426 components) generated from the LOCKFILE not node_modules, deliberately without a timestamp so drift means a dependency change rather than the clock moving; EVIDENCE_MANIFEST.json with a SHA-256 per tracked file and a rollup; secret-shape scanner; security headers on every response INCLUDING 404 and 500. The manifest states plainly what it does not prove: integrity, not provenance — no signing key is held, so FC-R015 is only half closed.</t>
        </is>
      </c>
      <c r="F135" s="26" t="inlineStr">
        <is>
          <t>FC-R015, FC-R005, FC-R006</t>
        </is>
      </c>
      <c r="G135" s="26" t="inlineStr">
        <is>
          <t>SBOM + manifest + headers shipped; signing still open</t>
        </is>
      </c>
      <c r="H135" s="26" t="inlineStr">
        <is>
          <t>No signing key</t>
        </is>
      </c>
      <c r="I135" s="26" t="inlineStr">
        <is>
          <t>E130</t>
        </is>
      </c>
    </row>
    <row r="136" ht="15" customHeight="1" s="20">
      <c r="A136" s="26" t="inlineStr">
        <is>
          <t>E130</t>
        </is>
      </c>
      <c r="B136" s="26" t="inlineStr">
        <is>
          <t>2026-09-13 21:56</t>
        </is>
      </c>
      <c r="C136" s="26" t="inlineStr">
        <is>
          <t>v034</t>
        </is>
      </c>
      <c r="D136" s="26" t="inlineStr">
        <is>
          <t>E5</t>
        </is>
      </c>
      <c r="E136" s="26" t="inlineStr">
        <is>
          <t>E5-03 THREAT MODEL — docs/security/THREAT_MODEL.md (STRIDE across 5 trust boundaries, module-by-module scope table) and SECURITY_POLICY.md. Includes a "Not defended, deliberately" section naming six gaps — no managed KMS, no tamper-evident audit log, no SAST, no rate limiting on our own HTTP surface, no signed provenance, insider threat out of scope — so the pen-test vendor scopes around them instead of reporting them as discoveries, and so silence is never read as coverage.</t>
        </is>
      </c>
      <c r="F136" s="26" t="inlineStr">
        <is>
          <t>FC-R006</t>
        </is>
      </c>
      <c r="G136" s="26" t="inlineStr">
        <is>
          <t>Author threat model shipped; external review still owed</t>
        </is>
      </c>
      <c r="H136" s="26" t="inlineStr">
        <is>
          <t>Pen-test vendor (Senthil)</t>
        </is>
      </c>
      <c r="I136" s="26" t="inlineStr">
        <is>
          <t>E131</t>
        </is>
      </c>
    </row>
    <row r="137" ht="15" customHeight="1" s="20">
      <c r="A137" s="26" t="inlineStr">
        <is>
          <t>E131</t>
        </is>
      </c>
      <c r="B137" s="26" t="inlineStr">
        <is>
          <t>2026-09-13 21:56</t>
        </is>
      </c>
      <c r="C137" s="26" t="inlineStr">
        <is>
          <t>v034</t>
        </is>
      </c>
      <c r="D137" s="26" t="inlineStr">
        <is>
          <t>E5</t>
        </is>
      </c>
      <c r="E137" s="26" t="inlineStr">
        <is>
          <t>E5-06 SCALE — src/practiceDataset.ts, a deterministic seeded generator producing a non-uniform practice (a few large clients carrying most rows). Forecast recompute and the portal reds-first rollup drilled at 20, 100 and 500 clients over 24 months with p95 budgets and a per-row cost check that would catch a super-linear regression. LC-7 previously rested on a TWENTY-client drill. Stated in the module header and the dry-run doc: in-process compute only, no database or platform leg, so this is NOT production performance evidence and FC-R010 stays open on that half.</t>
        </is>
      </c>
      <c r="F137" s="26" t="inlineStr">
        <is>
          <t>FC-R010, FC-R014</t>
        </is>
      </c>
      <c r="G137" s="26" t="inlineStr">
        <is>
          <t>Sandbox half evidenced; deployed half blocked</t>
        </is>
      </c>
      <c r="H137" s="26" t="inlineStr">
        <is>
          <t>Deployed environment</t>
        </is>
      </c>
      <c r="I137" s="26" t="inlineStr">
        <is>
          <t>E132</t>
        </is>
      </c>
    </row>
    <row r="138" ht="15" customHeight="1" s="20">
      <c r="A138" s="26" t="inlineStr">
        <is>
          <t>E132</t>
        </is>
      </c>
      <c r="B138" s="26" t="inlineStr">
        <is>
          <t>2026-09-13 21:56</t>
        </is>
      </c>
      <c r="C138" s="26" t="inlineStr">
        <is>
          <t>v034</t>
        </is>
      </c>
      <c r="D138" s="26" t="inlineStr">
        <is>
          <t>E5</t>
        </is>
      </c>
      <c r="E138" s="26" t="inlineStr">
        <is>
          <t>E5-07 PRIVACY — DSAR export/delete exercised end to end including the cross-tenant negative (an export must contain the subject and nobody else), idempotent re-deletion, and a coherence check on the published retention schedule: backups must outlive the data they back up or a restore resurrects records the policy promised were gone, and audit records must outlive both because proving a deletion happened means keeping the proof. The help article and the code now share one reader.</t>
        </is>
      </c>
      <c r="F138" s="26" t="inlineStr">
        <is>
          <t>FC-R009</t>
        </is>
      </c>
      <c r="G138" s="26" t="inlineStr">
        <is>
          <t>Sandbox half evidenced</t>
        </is>
      </c>
      <c r="H138" s="26" t="inlineStr">
        <is>
          <t>None</t>
        </is>
      </c>
      <c r="I138" s="26" t="inlineStr">
        <is>
          <t>E133</t>
        </is>
      </c>
    </row>
    <row r="139" ht="15" customHeight="1" s="20">
      <c r="A139" s="26" t="inlineStr">
        <is>
          <t>E133</t>
        </is>
      </c>
      <c r="B139" s="26" t="inlineStr">
        <is>
          <t>2026-09-13 21:56</t>
        </is>
      </c>
      <c r="C139" s="26" t="inlineStr">
        <is>
          <t>v034</t>
        </is>
      </c>
      <c r="D139" s="26" t="inlineStr">
        <is>
          <t>E5</t>
        </is>
      </c>
      <c r="E139" s="26" t="inlineStr">
        <is>
          <t>E5-08 FC-R002 WAS NOT A CODE GAP. The reviewer raised a BLOCKER on webhooks because docs/listing/submission-dry-run.md still said invoice/payment/bank webhooks were "not yet coded — GAP". They were coded in v011, twenty-three releases earlier; Xero publishes no bank-transaction webhook at all, which is D-F4. The reviewer read the document correctly and the document was wrong. Doc rewritten with that history stated. Sixth gate added: any published document claiming a gap about a module that EXISTS in src/ now fails the build. Proved under the exact restored sentence.</t>
        </is>
      </c>
      <c r="F139" s="26" t="inlineStr">
        <is>
          <t>FC-R002, D-F4</t>
        </is>
      </c>
      <c r="G139" s="26" t="inlineStr">
        <is>
          <t>Stale claim removed; gate added and proved</t>
        </is>
      </c>
      <c r="H139" s="26" t="inlineStr">
        <is>
          <t>None</t>
        </is>
      </c>
      <c r="I139" s="26" t="inlineStr">
        <is>
          <t>E134</t>
        </is>
      </c>
    </row>
    <row r="140" ht="15" customHeight="1" s="20">
      <c r="A140" s="26" t="inlineStr">
        <is>
          <t>E134</t>
        </is>
      </c>
      <c r="B140" s="26" t="inlineStr">
        <is>
          <t>2026-09-13 22:47</t>
        </is>
      </c>
      <c r="C140" s="26" t="inlineStr">
        <is>
          <t>v034</t>
        </is>
      </c>
      <c r="D140" s="26" t="inlineStr">
        <is>
          <t>E5</t>
        </is>
      </c>
      <c r="E140" s="26" t="inlineStr">
        <is>
          <t>WIRING — the reachability gate refused all three new modules because nothing in production called them (the INT-F1 class it exists to catch). Wired rather than exempted: DistributedRateBudget now claims the org budget on every accounting call in xeroApi with bounded waits, built in buildLiveContext only when DATABASE_URL is set, and reported honestly on /health as sharedRateBudget; practiceDataset declared an ENTRY_POINT as a QA fixture module alongside qaDatasets; timezone.hasTransition had no caller and was DELETED per the DEAD-1 precedent rather than exempted. The one remaining branch gap was an untestable "hour === 24" guard — replaced by asking ICU for hourCycle h23 so the guarantee is requested rather than defended against unprovably.</t>
        </is>
      </c>
      <c r="F140" s="26" t="inlineStr">
        <is>
          <t>FC-R007, DEAD-1</t>
        </is>
      </c>
      <c r="G140" s="26" t="inlineStr">
        <is>
          <t>3 modules wired; 1 dead export removed</t>
        </is>
      </c>
      <c r="H140" s="26" t="inlineStr">
        <is>
          <t>None</t>
        </is>
      </c>
      <c r="I140" s="26" t="inlineStr">
        <is>
          <t>E135</t>
        </is>
      </c>
    </row>
    <row r="141" ht="15" customHeight="1" s="20">
      <c r="A141" s="26" t="inlineStr">
        <is>
          <t>E135</t>
        </is>
      </c>
      <c r="B141" s="26" t="inlineStr">
        <is>
          <t>2026-09-13 22:47</t>
        </is>
      </c>
      <c r="C141" s="26" t="inlineStr">
        <is>
          <t>v034</t>
        </is>
      </c>
      <c r="D141" s="26" t="inlineStr">
        <is>
          <t>E5</t>
        </is>
      </c>
      <c r="E141" s="26" t="inlineStr">
        <is>
          <t>SPRINT E5 CLOSED — 40 suites / 595 tests at 100% on all four metrics, zero pragmas. 7 gates PROVED under reintroduced defects (2 new: stale-claim/FC-R002 and security-headers/FC-R006, the latter mutating only the ERROR path because that is how headers get lost while the happy path stays green). npm audit clean on shipped dependencies. Evidence manifest verifies. Story position DELIBERATELY UNCHANGED at 77 Done / 16 CCPL / 2 in progress / 5 drafted — E5 is a correctness and evidence release against a frozen 399-point baseline, tracked in the workbook Enhancement_Backlog with its own point pool. Five existing tests had to change because they asserted superseded behaviour (backoff exactness, two /health payloads, a migration cascade rule, a doc-freshness list) — the seventh occurrence of the R-K9 class on this codebase.</t>
        </is>
      </c>
      <c r="F141" s="26" t="inlineStr">
        <is>
          <t>E5</t>
        </is>
      </c>
      <c r="G141" s="26" t="inlineStr">
        <is>
          <t>40/595 at 100%; position unchanged</t>
        </is>
      </c>
      <c r="H141" s="26" t="inlineStr">
        <is>
          <t>Wave 2 needs DEC-F16; Wave 3 needs Senthil</t>
        </is>
      </c>
      <c r="I141" s="26" t="inlineStr">
        <is>
          <t>E136</t>
        </is>
      </c>
    </row>
    <row r="142" ht="15" customHeight="1" s="20">
      <c r="A142" s="26" t="inlineStr">
        <is>
          <t>E136</t>
        </is>
      </c>
      <c r="B142" s="26" t="inlineStr">
        <is>
          <t>2026-09-13 23:03</t>
        </is>
      </c>
      <c r="C142" s="26" t="inlineStr">
        <is>
          <t>v035</t>
        </is>
      </c>
      <c r="D142" s="26" t="inlineStr">
        <is>
          <t>E5b</t>
        </is>
      </c>
      <c r="E142" s="26" t="inlineStr">
        <is>
          <t>RUN CONTINUED — Wave 1 closed and Wave 2 gated on DEC-F16, so Wave 2 was NOT started; building product depth before the wedge is chosen is the RetainKit DEC-13 mistake. Chose instead the one piece of high-value work needing no decision: PORT-04, which named FlowCast as one of nine products carrying RetainKit's patterns. Asked RetainKit's external reviewer questions of FlowCast rather than re-reading our own change log.</t>
        </is>
      </c>
      <c r="F142" s="26" t="inlineStr">
        <is>
          <t>PORT-04, P17, P19, L-RK9, L-RK10</t>
        </is>
      </c>
      <c r="G142" s="26" t="inlineStr">
        <is>
          <t>4 findings, 2 critical</t>
        </is>
      </c>
      <c r="H142" s="26" t="inlineStr">
        <is>
          <t>None</t>
        </is>
      </c>
      <c r="I142" s="26" t="inlineStr">
        <is>
          <t>E137</t>
        </is>
      </c>
    </row>
    <row r="143" ht="15" customHeight="1" s="20">
      <c r="A143" s="26" t="inlineStr">
        <is>
          <t>E137</t>
        </is>
      </c>
      <c r="B143" s="26" t="inlineStr">
        <is>
          <t>2026-09-13 23:03</t>
        </is>
      </c>
      <c r="C143" s="26" t="inlineStr">
        <is>
          <t>v035</t>
        </is>
      </c>
      <c r="D143" s="26" t="inlineStr">
        <is>
          <t>E5b</t>
        </is>
      </c>
      <c r="E143" s="26" t="inlineStr">
        <is>
          <t>E5b-01 CRITICAL — production booted with DATABASE_URL unset: in-memory store, single-process lock, per-process rate budget, all green. That ONE missing variable silently reinstated three defects each found and fixed separately — GAP-F3 (a release drops every tenant's tokens), ENV-1 (every scheduled job runs once per instance) and E5-05 (the Xero org budget is not shared). /health reported it honestly, but nothing reads /health before the first deploy does the damage. Now refuses to boot, with a message naming all three consequences so the operator is not left guessing.</t>
        </is>
      </c>
      <c r="F143" s="26" t="inlineStr">
        <is>
          <t>GAP-F3, ENV-1, E5-05</t>
        </is>
      </c>
      <c r="G143" s="26" t="inlineStr">
        <is>
          <t>Boot fails closed; 8 regressions</t>
        </is>
      </c>
      <c r="H143" s="26" t="inlineStr">
        <is>
          <t>None</t>
        </is>
      </c>
      <c r="I143" s="26" t="inlineStr">
        <is>
          <t>E138</t>
        </is>
      </c>
    </row>
    <row r="144" ht="15" customHeight="1" s="20">
      <c r="A144" s="26" t="inlineStr">
        <is>
          <t>E138</t>
        </is>
      </c>
      <c r="B144" s="26" t="inlineStr">
        <is>
          <t>2026-09-13 23:03</t>
        </is>
      </c>
      <c r="C144" s="26" t="inlineStr">
        <is>
          <t>v035</t>
        </is>
      </c>
      <c r="D144" s="26" t="inlineStr">
        <is>
          <t>E5b</t>
        </is>
      </c>
      <c r="E144" s="26" t="inlineStr">
        <is>
          <t>E5b-02 CRITICAL — production booted with FLOWCAST_DATA_KEY unset. The key was read at seal time, so the service booted, passed its probes, took traffic, and then threw VAULT_MISSING for the first merchant who tried to connect Xero. Worse: the key was absent from .env.example ENTIRELY, so following the documented deploy path produced exactly this state. L-RK9 verbatim — a configuration that cannot do the job must fail at configuration time, not request time. Boot now also refuses a wrong-length key and a key equal to XERO_CLIENT_SECRET (reported before the length check: a malformed key is a typo, a reused API secret is a decision taken under deploy pressure). A test asserts .env.example provisions what production demands.</t>
        </is>
      </c>
      <c r="F144" s="26" t="inlineStr">
        <is>
          <t>L-RK9, INT-F2</t>
        </is>
      </c>
      <c r="G144" s="26" t="inlineStr">
        <is>
          <t>Boot fails closed; .env.example rewritten</t>
        </is>
      </c>
      <c r="H144" s="26" t="inlineStr">
        <is>
          <t>None</t>
        </is>
      </c>
      <c r="I144" s="26" t="inlineStr">
        <is>
          <t>E139</t>
        </is>
      </c>
    </row>
    <row r="145" ht="15" customHeight="1" s="20">
      <c r="A145" s="26" t="inlineStr">
        <is>
          <t>E139</t>
        </is>
      </c>
      <c r="B145" s="26" t="inlineStr">
        <is>
          <t>2026-09-13 23:03</t>
        </is>
      </c>
      <c r="C145" s="26" t="inlineStr">
        <is>
          <t>v035</t>
        </is>
      </c>
      <c r="D145" s="26" t="inlineStr">
        <is>
          <t>E5b</t>
        </is>
      </c>
      <c r="E145" s="26" t="inlineStr">
        <is>
          <t>E5b-03 — graceful shutdown had no deadline. server.close() does not resolve until every in-flight response ends and the old code awaited it unconditionally, so one hung upstream call meant the SIGTERM handler never returned, closePool() never ran, and the orchestrator SIGKILLed us at the end of ITS grace period: the same dropped connections, arriving later. The graceful path was strictly worse than no path. Now closeIdleConnections immediately, race the drain against a 10s deadline shorter than a typical orchestrator grace period, closeAllConnections on expiry, and drain the pool on every route. L-RK10 ported.</t>
        </is>
      </c>
      <c r="F145" s="26" t="inlineStr">
        <is>
          <t>L-RK10, P19</t>
        </is>
      </c>
      <c r="G145" s="26" t="inlineStr">
        <is>
          <t>3 regressions incl. the never-settling server</t>
        </is>
      </c>
      <c r="H145" s="26" t="inlineStr">
        <is>
          <t>None</t>
        </is>
      </c>
      <c r="I145" s="26" t="inlineStr">
        <is>
          <t>E140</t>
        </is>
      </c>
    </row>
    <row r="146" ht="15" customHeight="1" s="20">
      <c r="A146" s="26" t="inlineStr">
        <is>
          <t>E140</t>
        </is>
      </c>
      <c r="B146" s="26" t="inlineStr">
        <is>
          <t>2026-09-13 23:03</t>
        </is>
      </c>
      <c r="C146" s="26" t="inlineStr">
        <is>
          <t>v035</t>
        </is>
      </c>
      <c r="D146" s="26" t="inlineStr">
        <is>
          <t>E5b</t>
        </is>
      </c>
      <c r="E146" s="26" t="inlineStr">
        <is>
          <t>E5b-04 — MAX_BODY_BYTES bounds how MUCH a caller sends and says nothing about how slowly. A socket trickling headers was held indefinitely and the body cap never fired because the body never arrived. Explicit requestTimeout and headersTimeout set rather than inherited from Node's permissive defaults, with the header limit necessarily shorter than the request limit or it never bites.</t>
        </is>
      </c>
      <c r="F146" s="26" t="inlineStr">
        <is>
          <t>—</t>
        </is>
      </c>
      <c r="G146" s="26" t="inlineStr">
        <is>
          <t>2 regressions</t>
        </is>
      </c>
      <c r="H146" s="26" t="inlineStr">
        <is>
          <t>No per-source connection limit — named in THREAT_MODEL.md</t>
        </is>
      </c>
      <c r="I146" s="26" t="inlineStr">
        <is>
          <t>E141</t>
        </is>
      </c>
    </row>
    <row r="147" ht="15" customHeight="1" s="20">
      <c r="A147" s="26" t="inlineStr">
        <is>
          <t>E141</t>
        </is>
      </c>
      <c r="B147" s="26" t="inlineStr">
        <is>
          <t>2026-09-13 23:03</t>
        </is>
      </c>
      <c r="C147" s="26" t="inlineStr">
        <is>
          <t>v035</t>
        </is>
      </c>
      <c r="D147" s="26" t="inlineStr">
        <is>
          <t>E5b</t>
        </is>
      </c>
      <c r="E147" s="26" t="inlineStr">
        <is>
          <t>VERIFIED ABSENT, not assumed — two RetainKit classes were checked and genuinely do not apply here: P17 (a default port whose only implementation THROWS; RetainKit had three BLOCKERS of this shape) and non-CSPRNG OAuth state (oauth.ts uses crypto.randomBytes(32)). Recorded because silence reads as coverage, and a reviewer should be able to tell a checked class from an unexamined one.</t>
        </is>
      </c>
      <c r="F147" s="26" t="inlineStr">
        <is>
          <t>P17</t>
        </is>
      </c>
      <c r="G147" s="26" t="inlineStr">
        <is>
          <t>2 classes cleared</t>
        </is>
      </c>
      <c r="H147" s="26" t="inlineStr">
        <is>
          <t>None</t>
        </is>
      </c>
      <c r="I147" s="26" t="inlineStr">
        <is>
          <t>E142</t>
        </is>
      </c>
    </row>
    <row r="148" ht="15" customHeight="1" s="20">
      <c r="A148" s="26" t="inlineStr">
        <is>
          <t>E142</t>
        </is>
      </c>
      <c r="B148" s="26" t="inlineStr">
        <is>
          <t>2026-09-13 23:03</t>
        </is>
      </c>
      <c r="C148" s="26" t="inlineStr">
        <is>
          <t>v035</t>
        </is>
      </c>
      <c r="D148" s="26" t="inlineStr">
        <is>
          <t>E5b</t>
        </is>
      </c>
      <c r="E148" s="26" t="inlineStr">
        <is>
          <t>SPRINT E5b CLOSED — 40 suites / 608 tests at 100% on all four metrics, zero pragmas. 8 gates PROVED including a new fail-closed-boot mutation that lets production start without a database again. One existing test asserted the old unsafe behaviour (a production boot with NEITHER a database nor a data key was expected not to throw) — eighth occurrence of the R-K9 class here. One unreachable defensive branch removed rather than pragma'd, same treatment as the hour-24 guard in E5-04. Story position deliberately unchanged at 77 Done. Sandbox-codeable work arising from BOTH reviews is now exhausted; everything remaining needs a decision from Senthil or a live environment.</t>
        </is>
      </c>
      <c r="F148" s="26" t="inlineStr">
        <is>
          <t>E5b</t>
        </is>
      </c>
      <c r="G148" s="26" t="inlineStr">
        <is>
          <t>608 tests at 100%; 8 gates proved</t>
        </is>
      </c>
      <c r="H148" s="26" t="inlineStr">
        <is>
          <t>DEC-F16, DEC-F17, dev org</t>
        </is>
      </c>
      <c r="I148" s="26" t="inlineStr">
        <is>
          <t>E143</t>
        </is>
      </c>
    </row>
    <row r="149">
      <c r="A149" s="27" t="inlineStr">
        <is>
          <t>E143</t>
        </is>
      </c>
      <c r="B149" s="27" t="inlineStr">
        <is>
          <t>2026-09-20 10:14</t>
        </is>
      </c>
      <c r="C149" s="27" t="inlineStr">
        <is>
          <t>v036</t>
        </is>
      </c>
      <c r="D149" s="27" t="inlineStr">
        <is>
          <t>E6</t>
        </is>
      </c>
      <c r="E149" s="27" t="inlineStr">
        <is>
          <t>RUN OPENED — Senthil supplied the second independent external review (Perplexity V001, 16 Sep 19:18) over the v035 package and directed: go through the review, update code, sprint tracker and traceability, produce next-version zip and xlsx. Plan shown; three clarifications answered 10:17.</t>
        </is>
      </c>
      <c r="F149" s="27" t="inlineStr">
        <is>
          <t>PPX-01..10, PPX-D1..D6</t>
        </is>
      </c>
      <c r="G149" s="27" t="inlineStr">
        <is>
          <t>Sprint E6 opened on v035 (code v0.29.0 baseline re-run: 40/608 at 100%, 8 gates proved)</t>
        </is>
      </c>
      <c r="H149" s="27" t="inlineStr">
        <is>
          <t>None</t>
        </is>
      </c>
      <c r="I149" s="27" t="inlineStr">
        <is>
          <t>E144</t>
        </is>
      </c>
    </row>
    <row r="150">
      <c r="A150" s="27" t="inlineStr">
        <is>
          <t>E144</t>
        </is>
      </c>
      <c r="B150" s="27" t="inlineStr">
        <is>
          <t>2026-09-20 10:14</t>
        </is>
      </c>
      <c r="C150" s="27" t="inlineStr">
        <is>
          <t>v036</t>
        </is>
      </c>
      <c r="D150" s="27" t="inlineStr">
        <is>
          <t>E6</t>
        </is>
      </c>
      <c r="E150" s="27" t="inlineStr">
        <is>
          <t>SENTHIL DISPOSITIONS (10:17) — PPX-D1: keep everything already Done as Done; add new tasks with reasons and work on them; delete nothing. PPX-D4: do not delete any code; keep the billing-rail migration in the tracker only. Artefacts: keep all, move everything to the next version (zip v036, tracker v024, workbook v036).</t>
        </is>
      </c>
      <c r="F150" s="27" t="inlineStr">
        <is>
          <t>PPX-D1, PPX-D4</t>
        </is>
      </c>
      <c r="G150" s="27" t="inlineStr">
        <is>
          <t>Baseline 77/100 Done frozen by instruction; P1 work on the enhancement pool (D-F7)</t>
        </is>
      </c>
      <c r="H150" s="27" t="inlineStr">
        <is>
          <t>None</t>
        </is>
      </c>
      <c r="I150" s="27" t="inlineStr">
        <is>
          <t>E145</t>
        </is>
      </c>
    </row>
    <row r="151">
      <c r="A151" s="27" t="inlineStr">
        <is>
          <t>E145</t>
        </is>
      </c>
      <c r="B151" s="27" t="inlineStr">
        <is>
          <t>2026-09-20 10:14</t>
        </is>
      </c>
      <c r="C151" s="27" t="inlineStr">
        <is>
          <t>v036</t>
        </is>
      </c>
      <c r="D151" s="27" t="inlineStr">
        <is>
          <t>E6</t>
        </is>
      </c>
      <c r="E151" s="27" t="inlineStr">
        <is>
          <t>FINDINGS VERIFIED against source before any change: openInvoices had no caller in src; no Type predicate on /Invoices; XERO_DAILY_LIMIT=5000 hardcoded; zero hits for Retry-After / X-DayLimit-Remaining / CurrencyCode; region-switched xero_marketplace rail; file-level gate exemptions on scenarioSliders.ts and ui/*; stale KNOWN_GAPS entry for executeWithRateLimit. All ten PPX findings stand.</t>
        </is>
      </c>
      <c r="F151" s="27" t="inlineStr">
        <is>
          <t>PPX-01..10</t>
        </is>
      </c>
      <c r="G151" s="27" t="inlineStr">
        <is>
          <t>External_Review_PPX sheet created</t>
        </is>
      </c>
      <c r="H151" s="27" t="inlineStr">
        <is>
          <t>None</t>
        </is>
      </c>
      <c r="I151" s="27" t="inlineStr">
        <is>
          <t>E146</t>
        </is>
      </c>
    </row>
    <row r="152">
      <c r="A152" s="27" t="inlineStr">
        <is>
          <t>E146</t>
        </is>
      </c>
      <c r="B152" s="27" t="inlineStr">
        <is>
          <t>2026-09-20 10:14</t>
        </is>
      </c>
      <c r="C152" s="27" t="inlineStr">
        <is>
          <t>v036</t>
        </is>
      </c>
      <c r="D152" s="27" t="inlineStr">
        <is>
          <t>E6</t>
        </is>
      </c>
      <c r="E152" s="27" t="inlineStr">
        <is>
          <t>P1-1 — receivables defect (PPX-02). Type=="ACCREC" on the invoice query; new payableBills() on ACCPAY; mapInvoices asserts the type per row and reports every skip with a reason; overdueInvoices can only ever see ACCREC. New invoiceTypeGate.</t>
        </is>
      </c>
      <c r="F152" s="27" t="inlineStr">
        <is>
          <t>PPX-02, P1-1</t>
        </is>
      </c>
      <c r="G152" s="27" t="inlineStr">
        <is>
          <t>src/xeroApi.ts rewritten; tests/invoiceTypeGate.test.ts</t>
        </is>
      </c>
      <c r="H152" s="27" t="inlineStr">
        <is>
          <t>None</t>
        </is>
      </c>
      <c r="I152" s="27" t="inlineStr">
        <is>
          <t>E147</t>
        </is>
      </c>
    </row>
    <row r="153">
      <c r="A153" s="27" t="inlineStr">
        <is>
          <t>E147</t>
        </is>
      </c>
      <c r="B153" s="27" t="inlineStr">
        <is>
          <t>2026-09-20 10:14</t>
        </is>
      </c>
      <c r="C153" s="27" t="inlineStr">
        <is>
          <t>v036</t>
        </is>
      </c>
      <c r="D153" s="27" t="inlineStr">
        <is>
          <t>E6</t>
        </is>
      </c>
      <c r="E153" s="27" t="inlineStr">
        <is>
          <t>P1-2 — the forecast data path (PPX-01). New src/forecastAssembly.ts: buildForecastInput(tenantId) reads /Organisation (base currency), /Reports/BankSummary (opening balance), ACCREC, ACCPAY, /RepeatingInvoices (expanded into dated occurrences, bounded) and PAID history; runForecast computes and snapshots. Wired to GET /api/forecast, POST /api/forecast/scenario, GET /api/forecast/history (operator-token + tenant-header session, documented in THREAT_MODEL.md) and a daily scheduler tick (runForecastCycle). New dataPathGate.</t>
        </is>
      </c>
      <c r="F153" s="27" t="inlineStr">
        <is>
          <t>PPX-01, P1-2</t>
        </is>
      </c>
      <c r="G153" s="27" t="inlineStr">
        <is>
          <t>src/forecastAssembly.ts, src/server.ts, src/scheduler.ts; tests/forecastDataPath.test.ts (35 tests)</t>
        </is>
      </c>
      <c r="H153" s="27" t="inlineStr">
        <is>
          <t>None</t>
        </is>
      </c>
      <c r="I153" s="27" t="inlineStr">
        <is>
          <t>E148</t>
        </is>
      </c>
    </row>
    <row r="154">
      <c r="A154" s="27" t="inlineStr">
        <is>
          <t>E148</t>
        </is>
      </c>
      <c r="B154" s="27" t="inlineStr">
        <is>
          <t>2026-09-20 10:14</t>
        </is>
      </c>
      <c r="C154" s="27" t="inlineStr">
        <is>
          <t>v036</t>
        </is>
      </c>
      <c r="D154" s="27" t="inlineStr">
        <is>
          <t>E6</t>
        </is>
      </c>
      <c r="E154" s="27" t="inlineStr">
        <is>
          <t>E6-F1 CRITICAL — found while wiring P1-2: bootFromEnv never constructed XeroApiClient and never called startScheduler. The reachability gate excused scheduler.ts as "started at boot alongside the HTTP server" and the boot did no such thing; every scheduled behaviour GAP-F2 wired in v015 (nudges, bank polling, dunning, purge) has never had a production driver. Same shape as PPX-01 one layer up. Fixed: buildAccountingClient + buildScheduler composed in bootFromEnv; scheduler stopped on SIGTERM.</t>
        </is>
      </c>
      <c r="F154" s="27" t="inlineStr">
        <is>
          <t>E6-F1, PPX-01</t>
        </is>
      </c>
      <c r="G154" s="27" t="inlineStr">
        <is>
          <t>src/httpServer.ts; boot test drives the scheduler through a fake Xero</t>
        </is>
      </c>
      <c r="H154" s="27" t="inlineStr">
        <is>
          <t>E6-F2: no email/notification transport exists in src — reported to stderr, NOT faked</t>
        </is>
      </c>
      <c r="I154" s="27" t="inlineStr">
        <is>
          <t>E149</t>
        </is>
      </c>
    </row>
    <row r="155">
      <c r="A155" s="27" t="inlineStr">
        <is>
          <t>E149</t>
        </is>
      </c>
      <c r="B155" s="27" t="inlineStr">
        <is>
          <t>2026-09-20 10:14</t>
        </is>
      </c>
      <c r="C155" s="27" t="inlineStr">
        <is>
          <t>v036</t>
        </is>
      </c>
      <c r="D155" s="27" t="inlineStr">
        <is>
          <t>E6</t>
        </is>
      </c>
      <c r="E155" s="27" t="inlineStr">
        <is>
          <t>P1-7 — forecast realism (PPX-08). New src/forecastRealism.ts: per-contact lateness distribution calibrated from PAID invoices (FullyPaidOnDate vs DueDate — carries both in one row, no /Payments join); each receivable spread into dated tranches whose probabilities sum to the collectability; aged debt decays (0.95/0.85/0.7/0.5/0.25 by band) instead of clamping to week 1 at face value; priors labelled as priors on every snapshot; forecast_snapshots ledger (migration 010) + accuracyReport for forecast-vs-actual. New forecastRealismGate.</t>
        </is>
      </c>
      <c r="F155" s="27" t="inlineStr">
        <is>
          <t>PPX-08, P1-7</t>
        </is>
      </c>
      <c r="G155" s="27" t="inlineStr">
        <is>
          <t>src/forecastRealism.ts, src/db.ts; tests/forecastRealism.test.ts (13)</t>
        </is>
      </c>
      <c r="H155" s="27" t="inlineStr">
        <is>
          <t>None</t>
        </is>
      </c>
      <c r="I155" s="27" t="inlineStr">
        <is>
          <t>E150</t>
        </is>
      </c>
    </row>
    <row r="156">
      <c r="A156" s="27" t="inlineStr">
        <is>
          <t>E150</t>
        </is>
      </c>
      <c r="B156" s="27" t="inlineStr">
        <is>
          <t>2026-09-20 10:14</t>
        </is>
      </c>
      <c r="C156" s="27" t="inlineStr">
        <is>
          <t>v036</t>
        </is>
      </c>
      <c r="D156" s="27" t="inlineStr">
        <is>
          <t>E6</t>
        </is>
      </c>
      <c r="E156" s="27" t="inlineStr">
        <is>
          <t>P1-4 — multi-currency (PPX-06). toBaseCurrency converts via CurrencyRate (base = foreign / rate) or REFUSES with reason currency-unconvertible; every Receivable carries currency + originalCurrency; forecast response labels its currency; repeating templates in a foreign currency are refused (no rate available). New currencyGate; three-currency book regression.</t>
        </is>
      </c>
      <c r="F156" s="27" t="inlineStr">
        <is>
          <t>PPX-06, P1-4</t>
        </is>
      </c>
      <c r="G156" s="27" t="inlineStr">
        <is>
          <t>src/xeroApi.ts; tests/currencyGate.test.ts</t>
        </is>
      </c>
      <c r="H156" s="27" t="inlineStr">
        <is>
          <t>None</t>
        </is>
      </c>
      <c r="I156" s="27" t="inlineStr">
        <is>
          <t>E151</t>
        </is>
      </c>
    </row>
    <row r="157">
      <c r="A157" s="27" t="inlineStr">
        <is>
          <t>E151</t>
        </is>
      </c>
      <c r="B157" s="27" t="inlineStr">
        <is>
          <t>2026-09-20 10:14</t>
        </is>
      </c>
      <c r="C157" s="27" t="inlineStr">
        <is>
          <t>v036</t>
        </is>
      </c>
      <c r="D157" s="27" t="inlineStr">
        <is>
          <t>E6</t>
        </is>
      </c>
      <c r="E157" s="27" t="inlineStr">
        <is>
          <t>P1-5 — platform limits (PPX-04, PPX-05). Daily default now XERO_DAILY_LIMIT_STARTER=1000 (was 5000, the Core figure); XERO_API_TIER config (starter|core|premium) validated at boot; Retry-After honoured (bounded: 3 waits, 60s max) without tripping the breaker; X-DayLimit/X-MinLimit/X-AppMinLimit-Remaining reconcile the local budget on every response (never lowered); TenantConcurrencyGate semaphore enforces 5 in flight per tenant; app-wide 10,000/min limiter keyed __app__. FetchLike response gains optional headers. New platformLimitsGate.</t>
        </is>
      </c>
      <c r="F157" s="27" t="inlineStr">
        <is>
          <t>PPX-04, PPX-05, P1-5</t>
        </is>
      </c>
      <c r="G157" s="27" t="inlineStr">
        <is>
          <t>src/rateLimiter.ts, src/xeroApi.ts, src/config.ts, .env.example; tests/platformLimits.test.ts (15)</t>
        </is>
      </c>
      <c r="H157" s="27" t="inlineStr">
        <is>
          <t>None</t>
        </is>
      </c>
      <c r="I157" s="27" t="inlineStr">
        <is>
          <t>E152</t>
        </is>
      </c>
    </row>
    <row r="158">
      <c r="A158" s="27" t="inlineStr">
        <is>
          <t>E152</t>
        </is>
      </c>
      <c r="B158" s="27" t="inlineStr">
        <is>
          <t>2026-09-20 10:14</t>
        </is>
      </c>
      <c r="C158" s="27" t="inlineStr">
        <is>
          <t>v036</t>
        </is>
      </c>
      <c r="D158" s="27" t="inlineStr">
        <is>
          <t>E6</t>
        </is>
      </c>
      <c r="E158" s="27" t="inlineStr">
        <is>
          <t>P1-6 — platform drift (PPX-03). docs/platform-assumptions.json: 11 Xero assumptions with source URL, verifiedOn, staleAfterDays, status and enforcedBy symbol. PA-11 (XASS billing) recorded as CONTRADICTED, tracked by PPX-D4. New platformDriftGate fails on any aged-out assumption, any contradicted assumption without an owner, any enforcedBy symbol that does not exist. Billing rail NOT deleted (Senthil 10:17) — migration logged as backlog P4-1.</t>
        </is>
      </c>
      <c r="F158" s="27" t="inlineStr">
        <is>
          <t>PPX-03, P1-6, PPX-D4</t>
        </is>
      </c>
      <c r="G158" s="27" t="inlineStr">
        <is>
          <t>docs/platform-assumptions.json; tests/platformDriftGate.test.ts</t>
        </is>
      </c>
      <c r="H158" s="27" t="inlineStr">
        <is>
          <t>PPX-D4 open</t>
        </is>
      </c>
      <c r="I158" s="27" t="inlineStr">
        <is>
          <t>E153</t>
        </is>
      </c>
    </row>
    <row r="159">
      <c r="A159" s="27" t="inlineStr">
        <is>
          <t>E153</t>
        </is>
      </c>
      <c r="B159" s="27" t="inlineStr">
        <is>
          <t>2026-09-20 10:14</t>
        </is>
      </c>
      <c r="C159" s="27" t="inlineStr">
        <is>
          <t>v036</t>
        </is>
      </c>
      <c r="D159" s="27" t="inlineStr">
        <is>
          <t>E6</t>
        </is>
      </c>
      <c r="E159" s="27" t="inlineStr">
        <is>
          <t>P1-3 — method-level reachability (PPX-01 HOLE-4, PPX-09). Gate extended to public methods of exported classes; file-level exemptions for scenarioSliders.ts and ui/* removed (ui/* now per-export KNOWN_GAPS under R-F12 expiring 2026-12-31); KNOWN_GAPS carry expiry dates and the gate FAILS past them; stale rateLimiter.ts:executeWithRateLimit gap removed. FIRST RUN YIELD: 56 uncalled methods — 30 named as inspection surfaces one by one, 4 clusters real (E154).</t>
        </is>
      </c>
      <c r="F159" s="27" t="inlineStr">
        <is>
          <t>PPX-09, P1-3</t>
        </is>
      </c>
      <c r="G159" s="27" t="inlineStr">
        <is>
          <t>tests/reachabilityGate.test.ts (11 tests)</t>
        </is>
      </c>
      <c r="H159" s="27" t="inlineStr">
        <is>
          <t>None</t>
        </is>
      </c>
      <c r="I159" s="27" t="inlineStr">
        <is>
          <t>E154</t>
        </is>
      </c>
    </row>
    <row r="160">
      <c r="A160" s="27" t="inlineStr">
        <is>
          <t>E154</t>
        </is>
      </c>
      <c r="B160" s="27" t="inlineStr">
        <is>
          <t>2026-09-20 10:14</t>
        </is>
      </c>
      <c r="C160" s="27" t="inlineStr">
        <is>
          <t>v036</t>
        </is>
      </c>
      <c r="D160" s="27" t="inlineStr">
        <is>
          <t>E6</t>
        </is>
      </c>
      <c r="E160" s="27" t="inlineStr">
        <is>
          <t>E6-F3..F6 — found by the method-level check on its first run, one layer below PPX-01: E6-F3 the durable store (GAP-F3) is never driven for installs — saveTenant/saveTokens/getTokens/dueForDeletion/savePollState/getPollState and FlowCastApp.hydrate have NO caller; a restart still loses every tenant. E6-F4 the webhook worker (recoverQueue/drainOnce) is never started at boot and deleteQueuedEvents is never called. E6-F5 the SUBSCRIPTION/uninstall webhook is never routed to handleUninstallWebhook — tokens outlive an uninstall. E6-F6 CircuitBreaker.canRequest dead since E5-05. All four are KNOWN_GAPS with risk ids R-F14..R-F17 and a 31 Oct 2026 expiry; sprint P1-8 wires them. Nothing deleted (Senthil).</t>
        </is>
      </c>
      <c r="F160" s="27" t="inlineStr">
        <is>
          <t>E6-F3, E6-F4, E6-F5, E6-F6</t>
        </is>
      </c>
      <c r="G160" s="27" t="inlineStr">
        <is>
          <t>RAID R-F14..R-F17; Enhancement_Backlog P1-8</t>
        </is>
      </c>
      <c r="H160" s="27" t="inlineStr">
        <is>
          <t>P1-8 not started</t>
        </is>
      </c>
      <c r="I160" s="27" t="inlineStr">
        <is>
          <t>E155</t>
        </is>
      </c>
    </row>
    <row r="161">
      <c r="A161" s="27" t="inlineStr">
        <is>
          <t>E155</t>
        </is>
      </c>
      <c r="B161" s="27" t="inlineStr">
        <is>
          <t>2026-09-20 10:14</t>
        </is>
      </c>
      <c r="C161" s="27" t="inlineStr">
        <is>
          <t>v036</t>
        </is>
      </c>
      <c r="D161" s="27" t="inlineStr">
        <is>
          <t>E6</t>
        </is>
      </c>
      <c r="E161" s="27" t="inlineStr">
        <is>
          <t>GATE PROOFS — 7 mutations added to gates/prove-gates.js. dataPathGate was BROKEN on its first proof: with the assembler cut, a chain still existed server → forecastAssembly → scenarioSliders → forecastEngine (previewScenario calls computeForecast) — the exact PPX-01 shape reproduced by the gate meant to catch it. Rule strengthened: the module calling the engine must itself call a live source. Re-proved. 15 mutations PROVE 14 gate files.</t>
        </is>
      </c>
      <c r="F161" s="27" t="inlineStr">
        <is>
          <t>L-F7, PPX-01</t>
        </is>
      </c>
      <c r="G161" s="27" t="inlineStr">
        <is>
          <t>gates/prove-gates.js; gates/README.md E6 addendum</t>
        </is>
      </c>
      <c r="H161" s="27" t="inlineStr">
        <is>
          <t>None</t>
        </is>
      </c>
      <c r="I161" s="27" t="inlineStr">
        <is>
          <t>E156</t>
        </is>
      </c>
    </row>
    <row r="162">
      <c r="A162" s="27" t="inlineStr">
        <is>
          <t>E156</t>
        </is>
      </c>
      <c r="B162" s="27" t="inlineStr">
        <is>
          <t>2026-09-20 10:14</t>
        </is>
      </c>
      <c r="C162" s="27" t="inlineStr">
        <is>
          <t>v036</t>
        </is>
      </c>
      <c r="D162" s="27" t="inlineStr">
        <is>
          <t>E6</t>
        </is>
      </c>
      <c r="E162" s="27" t="inlineStr">
        <is>
          <t>DOCS — REVIEW_PACK.md rows for forecastAssembly/forecastRealism (doc-freshness gate demanded them); THREAT_MODEL.md addendum on the forecast routes and the operator-as-session mechanism (not a user login, stated); 5,000/day claims corrected in submission-dry-run, verification-sweep, claims-gate, dev-org-setup, external-verification (VER-002 correction appended, original kept); .env.example gains XERO_API_TIER; CI workflow runs the six new gates; SBOM + evidence manifest regenerated; RELEASE_NOTES_v036.md.</t>
        </is>
      </c>
      <c r="F162" s="27" t="inlineStr">
        <is>
          <t>L-F14</t>
        </is>
      </c>
      <c r="G162" s="27" t="inlineStr">
        <is>
          <t>doc gates green</t>
        </is>
      </c>
      <c r="H162" s="27" t="inlineStr">
        <is>
          <t>None</t>
        </is>
      </c>
      <c r="I162" s="27" t="inlineStr">
        <is>
          <t>E157</t>
        </is>
      </c>
    </row>
    <row r="163">
      <c r="A163" s="27" t="inlineStr">
        <is>
          <t>E157</t>
        </is>
      </c>
      <c r="B163" s="27" t="inlineStr">
        <is>
          <t>2026-09-20 10:14</t>
        </is>
      </c>
      <c r="C163" s="27" t="inlineStr">
        <is>
          <t>v036</t>
        </is>
      </c>
      <c r="D163" s="27" t="inlineStr">
        <is>
          <t>E6</t>
        </is>
      </c>
      <c r="E163" s="27" t="inlineStr">
        <is>
          <t>SPRINT E6 CLOSED — 49 suites / 719 tests at 100% on all four metrics, zero pragmas; tsc clean on both configs; 15 mutations proved; npm audit clean; evidence manifest verifies. Story position UNCHANGED at 77/100 Done by instruction (PPX-D1 held). Enhancement pool: P1-1..P1-7 delivered (96 pts); P1-8, P2-1..4, P3-1..4, P4-1..2 logged. Zip v036, tracker v024, workbook v036.</t>
        </is>
      </c>
      <c r="F163" s="27" t="inlineStr">
        <is>
          <t>E6</t>
        </is>
      </c>
      <c r="G163" s="27" t="inlineStr">
        <is>
          <t>719 tests at 100%; 14 gates / 15 proofs</t>
        </is>
      </c>
      <c r="H163" s="27" t="inlineStr">
        <is>
          <t>PPX-D1..D6, DEC-F16, DEC-F17, dev org, P1-8</t>
        </is>
      </c>
      <c r="I163" s="27" t="inlineStr">
        <is>
          <t>E158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2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9" min="1" max="1"/>
    <col width="70" customWidth="1" style="19" min="2" max="2"/>
    <col width="50" customWidth="1" style="19" min="3" max="3"/>
    <col width="26" customWidth="1" style="19" min="4" max="4"/>
    <col width="22" customWidth="1" style="19" min="5" max="5"/>
  </cols>
  <sheetData>
    <row r="1" ht="15.75" customHeight="1" s="20">
      <c r="A1" s="21" t="inlineStr">
        <is>
          <t>DECISIONS (tracker scope)</t>
        </is>
      </c>
    </row>
    <row r="2" ht="15" customHeight="1" s="20">
      <c r="A2" s="23" t="inlineStr">
        <is>
          <t>ID</t>
        </is>
      </c>
      <c r="B2" s="23" t="inlineStr">
        <is>
          <t>Decision</t>
        </is>
      </c>
      <c r="C2" s="23" t="inlineStr">
        <is>
          <t>Rationale</t>
        </is>
      </c>
      <c r="D2" s="23" t="inlineStr">
        <is>
          <t>Decided by</t>
        </is>
      </c>
      <c r="E2" s="23" t="inlineStr">
        <is>
          <t>Status</t>
        </is>
      </c>
    </row>
    <row r="3" ht="23.25" customHeight="1" s="20">
      <c r="A3" s="24" t="inlineStr">
        <is>
          <t>D13</t>
        </is>
      </c>
      <c r="B3" s="24" t="inlineStr">
        <is>
          <t>(Portfolio-wide) Discovery interviews parked; dev proceeds with 100% automation coverage on all code (supersedes ≥70% gate). ST-085 amended in v008</t>
        </is>
      </c>
      <c r="C3" s="24" t="inlineStr">
        <is>
          <t>Senthil 10 Sep; applied to FlowCast per 22:01 directive</t>
        </is>
      </c>
      <c r="D3" s="24" t="inlineStr">
        <is>
          <t>Senthil</t>
        </is>
      </c>
      <c r="E3" s="24" t="inlineStr">
        <is>
          <t>LOCKED</t>
        </is>
      </c>
    </row>
    <row r="4" ht="34.5" customHeight="1" s="20">
      <c r="A4" s="24" t="inlineStr">
        <is>
          <t>D15</t>
        </is>
      </c>
      <c r="B4" s="24" t="inlineStr">
        <is>
          <t>FlowCast (rank 12) built while RevRescue rank-1 gate unmet; eight products now concurrent vs locked serial WIN order. Options framed on Action Board: hold-serial vs formal-parallel with WIP cap</t>
        </is>
      </c>
      <c r="C4" s="24" t="inlineStr">
        <is>
          <t>Successive "continue" directives 22:01–23:03; logged each release, never blocking</t>
        </is>
      </c>
      <c r="D4" s="24" t="inlineStr">
        <is>
          <t>Senthil (mode ratification pending)</t>
        </is>
      </c>
      <c r="E4" s="24" t="inlineStr">
        <is>
          <t>OPEN</t>
        </is>
      </c>
    </row>
    <row r="5" ht="23.25" customHeight="1" s="20">
      <c r="A5" s="24" t="inlineStr">
        <is>
          <t>D-F1</t>
        </is>
      </c>
      <c r="B5" s="24" t="inlineStr">
        <is>
          <t>Stack = TypeScript/Node + React per v007 workbook; Jest + RTL + jest-axe; Xero API mocked in sandbox</t>
        </is>
      </c>
      <c r="C5" s="24" t="inlineStr">
        <is>
          <t>Follows workbook stack; matches portfolio precedent</t>
        </is>
      </c>
      <c r="D5" s="24" t="inlineStr">
        <is>
          <t>Claude — flagged</t>
        </is>
      </c>
      <c r="E5" s="24" t="inlineStr">
        <is>
          <t>OPEN for ratification</t>
        </is>
      </c>
    </row>
    <row r="6" ht="34.5" customHeight="1" s="20">
      <c r="A6" s="24" t="inlineStr">
        <is>
          <t>D-F2</t>
        </is>
      </c>
      <c r="B6" s="24" t="inlineStr">
        <is>
          <t>Status vocabulary: Done / Code-complete — pending live / Drafted — pending publish|review / In progress / Backlog. Sprint-board "Done" formulas count only exact "Done" (intended)</t>
        </is>
      </c>
      <c r="C6" s="24" t="inlineStr">
        <is>
          <t>Honest-status rule: pending-live never claims Done</t>
        </is>
      </c>
      <c r="D6" s="24" t="inlineStr">
        <is>
          <t>Claude</t>
        </is>
      </c>
      <c r="E6" s="24" t="inlineStr">
        <is>
          <t>Applied v008+</t>
        </is>
      </c>
    </row>
    <row r="7" ht="23.25" customHeight="1" s="20">
      <c r="A7" s="24" t="inlineStr">
        <is>
          <t>D-F3</t>
        </is>
      </c>
      <c r="B7" s="24" t="inlineStr">
        <is>
          <t>Anomaly scanning evaluates each sync batch against trailing history (detectWithHistory), not in isolation</t>
        </is>
      </c>
      <c r="C7" s="24" t="inlineStr">
        <is>
          <t>12-month QA drill proved isolated small batches hide lone outliers (sigma self-inflation)</t>
        </is>
      </c>
      <c r="D7" s="24" t="inlineStr">
        <is>
          <t>Claude — QA-driven fix, v012</t>
        </is>
      </c>
      <c r="E7" s="24" t="inlineStr">
        <is>
          <t>Applied</t>
        </is>
      </c>
    </row>
    <row r="8" ht="23.25" customHeight="1" s="20">
      <c r="A8" s="24" t="inlineStr">
        <is>
          <t>D-F4</t>
        </is>
      </c>
      <c r="B8" s="24" t="inlineStr">
        <is>
          <t>Bank transactions sync via 15-min polling behind shared circuit breaker</t>
        </is>
      </c>
      <c r="C8" s="24" t="inlineStr">
        <is>
          <t>Xero exposes no bank-txn webhook; polling is the documented substitute, noted on Launch_Checklist #4</t>
        </is>
      </c>
      <c r="D8" s="24" t="inlineStr">
        <is>
          <t>Claude — platform constraint</t>
        </is>
      </c>
      <c r="E8" s="24" t="inlineStr">
        <is>
          <t>Applied v011</t>
        </is>
      </c>
    </row>
    <row r="9" ht="23.25" customHeight="1" s="20">
      <c r="A9" s="24" t="inlineStr">
        <is>
          <t>D-F5</t>
        </is>
      </c>
      <c r="B9" s="24" t="inlineStr">
        <is>
          <t>External-facing content (listing copy, trust page) carries product name only — no company name</t>
        </is>
      </c>
      <c r="C9" s="24" t="inlineStr">
        <is>
          <t>Senthil standing rule for external content</t>
        </is>
      </c>
      <c r="D9" s="24" t="inlineStr">
        <is>
          <t>Senthil (standing)</t>
        </is>
      </c>
      <c r="E9" s="24" t="inlineStr">
        <is>
          <t>Applied v010</t>
        </is>
      </c>
    </row>
    <row r="10" ht="23.25" customHeight="1" s="20">
      <c r="A10" s="24" t="inlineStr">
        <is>
          <t>D-F6</t>
        </is>
      </c>
      <c r="B10" s="24" t="inlineStr">
        <is>
          <t>In-app chat ships on the built-in chat+SLA engine (src/chatSla.ts); an external chat vendor is an OPTIONAL later transport swap, not a launch blocker</t>
        </is>
      </c>
      <c r="C10" s="24" t="inlineStr">
        <is>
          <t>Sibling-validated pattern (TeleField/OnCall/VoiceBridge); SLA logic is vendor-independent</t>
        </is>
      </c>
      <c r="D10" s="24" t="inlineStr">
        <is>
          <t>Claude — flagged</t>
        </is>
      </c>
      <c r="E10" s="24" t="inlineStr">
        <is>
          <t>OPEN for ratification</t>
        </is>
      </c>
    </row>
    <row r="11" ht="15" customHeight="1" s="20">
      <c r="A11" s="26" t="inlineStr">
        <is>
          <t>DEC-F16</t>
        </is>
      </c>
      <c r="B11" s="26" t="inlineStr">
        <is>
          <t>THE POSITIONING WEDGE. The external review argues FlowCast cannot win on "cash-flow forecast for Xero": Xero itself now ships 30/90/180-day forecasting by plan and the App Store already carries Syft, Fathom, Spotlight, Futrli and Float. Its recommendation is to narrow to "13-week cash control and collections copilot for Xero practices and cash-sensitive SMBs" and sell the closed loop — shortfall, drivers, ranked actions, chase, recorded outcome, cash impact — rather than another dashboard.</t>
        </is>
      </c>
      <c r="C11" s="26" t="inlineStr">
        <is>
          <t>Decides whether Wave 2 (FC-R004/R012/R013/R014 — forecast accuracy, collections workflow, practice OS) is built at all and what it contains. Building depth before the wedge is chosen repeats the RetainKit DEC-13 mistake.</t>
        </is>
      </c>
      <c r="D11" s="26" t="inlineStr">
        <is>
          <t>Senthil</t>
        </is>
      </c>
      <c r="E11" s="26" t="inlineStr">
        <is>
          <t>OPEN — blocks Wave 2</t>
        </is>
      </c>
    </row>
    <row r="12" ht="15" customHeight="1" s="20">
      <c r="A12" s="26" t="inlineStr">
        <is>
          <t>DEC-F17</t>
        </is>
      </c>
      <c r="B12" s="26" t="inlineStr">
        <is>
          <t>Does an independent review by a DIFFERENT AI close ST-097, or is a human second reviewer still required? The external review closed FC-R005 only partially and the review pack still says a same-author review is not independent.</t>
        </is>
      </c>
      <c r="C12" s="26" t="inlineStr">
        <is>
          <t>Affects ST-097 here and the same story on eight sibling products; also decides whether the submission dry-run row 11 can ever be marked met without a person.</t>
        </is>
      </c>
      <c r="D12" s="26" t="inlineStr">
        <is>
          <t>Senthil</t>
        </is>
      </c>
      <c r="E12" s="26" t="inlineStr">
        <is>
          <t>OPEN</t>
        </is>
      </c>
    </row>
    <row r="13" ht="15" customHeight="1" s="20">
      <c r="A13" s="26" t="inlineStr">
        <is>
          <t>D-F7</t>
        </is>
      </c>
      <c r="B13" s="26" t="inlineStr">
        <is>
          <t>E5 findings are tracked against a SEPARATE point pool in the workbook Enhancement_Backlog; the 399-point / 100-story baseline stays frozen and the 77-Done position does not move on enhancement work.</t>
        </is>
      </c>
      <c r="C13" s="26" t="inlineStr">
        <is>
          <t>Sibling RetainKit precedent. Prevents a correctness release inflating apparent delivery, which is exactly what the reviewer warned about when calling code completeness "misleadingly high".</t>
        </is>
      </c>
      <c r="D13" s="26" t="inlineStr">
        <is>
          <t>Claude — flagged</t>
        </is>
      </c>
      <c r="E13" s="26" t="inlineStr">
        <is>
          <t>OPEN for ratification</t>
        </is>
      </c>
    </row>
    <row r="14">
      <c r="A14" s="27" t="inlineStr">
        <is>
          <t>PPX-D1</t>
        </is>
      </c>
      <c r="B14" s="27" t="inlineStr">
        <is>
          <t>Re-status the forecast/nudge stories from Done to In progress now that PPX-01/02 show the live path was never joined?</t>
        </is>
      </c>
      <c r="C14" s="27" t="inlineStr">
        <is>
          <t>Reviewer: "re-statusing costs a number; not re-statusing costs the meaning of every other number."</t>
        </is>
      </c>
      <c r="D14" s="27" t="inlineStr">
        <is>
          <t>Senthil — 20 Sep 10:17: "Whatever done before keep as done, add new task and write reason and work on them. Don't delete anything."</t>
        </is>
      </c>
      <c r="E14" s="27" t="inlineStr">
        <is>
          <t>DECIDED — baseline stays 77 Done; new work on the enhancement pool with reasons (P1-1..P1-8)</t>
        </is>
      </c>
    </row>
    <row r="15">
      <c r="A15" s="27" t="inlineStr">
        <is>
          <t>PPX-D2</t>
        </is>
      </c>
      <c r="B15" s="27" t="inlineStr">
        <is>
          <t>Unblock Wave 2 / P2 (closed-loop spine: shortfall attribution, collections copilot, recovered-cash attribution, practice OS) from DEC-F16?</t>
        </is>
      </c>
      <c r="C15" s="27" t="inlineStr">
        <is>
          <t>The loop's spine is valuable under every candidate positioning; DEC-F16 cannot be judged against a forecast that does not run — and it runs now (P1-2).</t>
        </is>
      </c>
      <c r="D15" s="27" t="inlineStr">
        <is>
          <t>Senthil</t>
        </is>
      </c>
      <c r="E15" s="27" t="inlineStr">
        <is>
          <t>OPEN — P2-1..P2-4 logged (84 pts), not started</t>
        </is>
      </c>
    </row>
    <row r="16">
      <c r="A16" s="27" t="inlineStr">
        <is>
          <t>PPX-D3</t>
        </is>
      </c>
      <c r="B16" s="27" t="inlineStr">
        <is>
          <t>Reprice from $25 to a £45–£99 band before any listing copy is finalised?</t>
        </is>
      </c>
      <c r="C16" s="27" t="inlineStr">
        <is>
          <t>Reviewer recomputed the workbook model: never breaks even inside its horizon at $25; category prices 2–8× higher for narrower jobs (Satago £45–£80, Paidnice £49, Chaser £199, Float $50–£199).</t>
        </is>
      </c>
      <c r="D16" s="27" t="inlineStr">
        <is>
          <t>Senthil</t>
        </is>
      </c>
      <c r="E16" s="27" t="inlineStr">
        <is>
          <t>OPEN — P4-1 (model rebuild) logged; Financial_Model untouched</t>
        </is>
      </c>
    </row>
    <row r="17">
      <c r="A17" s="27" t="inlineStr">
        <is>
          <t>PPX-D4</t>
        </is>
      </c>
      <c r="B17" s="27" t="inlineStr">
        <is>
          <t>Migrate billing to Stripe-only and retire the xero_marketplace rail (XASS deprecated March 2026)?</t>
        </is>
      </c>
      <c r="C17" s="27" t="inlineStr">
        <is>
          <t>Xero partner docs: archive XASS plans, run own billing, 15% referral fee per qualifying user (65-day rule).</t>
        </is>
      </c>
      <c r="D17" s="27" t="inlineStr">
        <is>
          <t>Senthil — 20 Sep 10:17: "Don't delete anything; keep in sprint tracker but don't work on deleting any code."</t>
        </is>
      </c>
      <c r="E17" s="27" t="inlineStr">
        <is>
          <t>DECIDED for E6 — rail left in place; assumption PA-11 recorded CONTRADICTED and owned by this decision; migration logged as P4-1. Rail-removal call still yours.</t>
        </is>
      </c>
    </row>
    <row r="18">
      <c r="A18" s="27" t="inlineStr">
        <is>
          <t>PPX-D5</t>
        </is>
      </c>
      <c r="B18" s="27" t="inlineStr">
        <is>
          <t>PORT-05 — which sibling products share PPX-01's shape (headline feature wired only to fixtures) and PPX-03's shape (platform assumption never re-verified)?</t>
        </is>
      </c>
      <c r="C18" s="27" t="inlineStr">
        <is>
          <t>Both classes survived a 100% suite, eight gates and two reviews here; assume they are live elsewhere. dataPathGate and platformDriftGate are portable as written.</t>
        </is>
      </c>
      <c r="D18" s="27" t="inlineStr">
        <is>
          <t>Senthil</t>
        </is>
      </c>
      <c r="E18" s="27" t="inlineStr">
        <is>
          <t>OPEN — portfolio call</t>
        </is>
      </c>
    </row>
    <row r="19">
      <c r="A19" s="27" t="inlineStr">
        <is>
          <t>PPX-D6</t>
        </is>
      </c>
      <c r="B19" s="27" t="inlineStr">
        <is>
          <t>DEC-F17 revisited — does a non-author AI review close ST-097?</t>
        </is>
      </c>
      <c r="C19" s="27" t="inlineStr">
        <is>
          <t>Two independent AI reviews have now found blockers the author's passes did not. Reviewer: treat AI review as necessary and not yet sufficient; keep ST-097 open for a human before submission, not before further building.</t>
        </is>
      </c>
      <c r="D19" s="27" t="inlineStr">
        <is>
          <t>Senthil</t>
        </is>
      </c>
      <c r="E19" s="27" t="inlineStr">
        <is>
          <t>OPEN — ST-097 stays In progress</t>
        </is>
      </c>
    </row>
    <row r="20">
      <c r="A20" s="27" t="inlineStr">
        <is>
          <t>D-F8</t>
        </is>
      </c>
      <c r="B20" s="27" t="inlineStr">
        <is>
          <t>E6 sprint naming: enhancement backlog rows for this sprint use the reviewer's P1-x..P4-x ids; the pre-existing E6-01..E6-04 Wave-2 rows are kept and cross-referenced to P2-x/P3-3, not renamed.</t>
        </is>
      </c>
      <c r="C20" s="27" t="inlineStr">
        <is>
          <t>Avoids a collision between the sprint label E6 and the older backlog ids; nothing deleted.</t>
        </is>
      </c>
      <c r="D20" s="27" t="inlineStr">
        <is>
          <t>Claude — flagged</t>
        </is>
      </c>
      <c r="E20" s="27" t="inlineStr">
        <is>
          <t>Applied v024</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19" min="1" max="1"/>
    <col width="120" customWidth="1" style="19" min="2" max="2"/>
  </cols>
  <sheetData>
    <row r="1" ht="15.75" customHeight="1" s="20">
      <c r="A1" s="21" t="inlineStr">
        <is>
          <t>RELEASE BUILD BOARDS — one board per product-workbook version of the run</t>
        </is>
      </c>
    </row>
    <row r="2" ht="15" customHeight="1" s="20">
      <c r="A2" s="22" t="inlineStr">
        <is>
          <t>Each board: what shipped, evidence at that release. Detail per story in Traceability_Matrix.</t>
        </is>
      </c>
    </row>
    <row r="3" ht="15" customHeight="1" s="20">
      <c r="A3" s="28" t="inlineStr">
        <is>
          <t>v008 — 22:01 — Foundation + core features (S1-S8 code subset)</t>
        </is>
      </c>
    </row>
    <row r="4" ht="23.25" customHeight="1" s="20">
      <c r="A4" s="24" t="inlineStr">
        <is>
          <t>Shipped</t>
        </is>
      </c>
      <c r="B4" s="24" t="inlineStr">
        <is>
          <t>11 TS modules: installFlow, permissions, forecastEngine, scenarioSliders, invoiceNudges, accountantPortal(+importCsv), anomalyAlerts, billing, compliance, telemetry, onboarding</t>
        </is>
      </c>
    </row>
    <row r="5" ht="15" customHeight="1" s="20">
      <c r="A5" s="24" t="inlineStr">
        <is>
          <t>Stories</t>
        </is>
      </c>
      <c r="B5" s="24" t="inlineStr">
        <is>
          <t>58 Done; 4 Code-complete pending live (ST-051/052/055/059); 2 in progress (ST-003, ST-086)</t>
        </is>
      </c>
    </row>
    <row r="6" ht="15" customHeight="1" s="20">
      <c r="A6" s="24" t="inlineStr">
        <is>
          <t>Evidence</t>
        </is>
      </c>
      <c r="B6" s="24" t="inlineStr">
        <is>
          <t>11 suites / 120 tests / 100-100-100-100; gate enforced</t>
        </is>
      </c>
    </row>
    <row r="7" ht="15" customHeight="1" s="20">
      <c r="A7" s="24" t="inlineStr">
        <is>
          <t>Also</t>
        </is>
      </c>
      <c r="B7" s="24" t="inlineStr">
        <is>
          <t>Sprint_Tracker_Log + Traceability_Matrix sheets added to product workbook; ST-085 amended per D13</t>
        </is>
      </c>
    </row>
    <row r="9" ht="15" customHeight="1" s="20">
      <c r="A9" s="28" t="inlineStr">
        <is>
          <t>v009 — 22:20 — UI surfaces + rule builder + CI</t>
        </is>
      </c>
    </row>
    <row r="10" ht="23.25" customHeight="1" s="20">
      <c r="A10" s="24" t="inlineStr">
        <is>
          <t>Shipped</t>
        </is>
      </c>
      <c r="B10" s="24" t="inlineStr">
        <is>
          <t>5 React screens + MetricsPanel + DegradedBanner precursor set; forecastRules (ST-003 full), featureMetrics + Xero deep links, notifications, feature toggles, portal rules; .github/workflows/ci.yml</t>
        </is>
      </c>
    </row>
    <row r="11" ht="15" customHeight="1" s="20">
      <c r="A11" s="24" t="inlineStr">
        <is>
          <t>Stories</t>
        </is>
      </c>
      <c r="B11" s="24" t="inlineStr">
        <is>
          <t>+16 Done (74 total); ST-086 -&gt; Code-complete pending repo hookup</t>
        </is>
      </c>
    </row>
    <row r="12" ht="15" customHeight="1" s="20">
      <c r="A12" s="24" t="inlineStr">
        <is>
          <t>Evidence</t>
        </is>
      </c>
      <c r="B12" s="24" t="inlineStr">
        <is>
          <t>13 suites / 148 tests / 100% incl. components; tsc clean</t>
        </is>
      </c>
    </row>
    <row r="14" ht="15" customHeight="1" s="20">
      <c r="A14" s="28" t="inlineStr">
        <is>
          <t>v010 — 22:27 — Reliability, a11y, demo mode + 12 content artifacts</t>
        </is>
      </c>
    </row>
    <row r="15" ht="34.5" customHeight="1" s="20">
      <c r="A15" s="24" t="inlineStr">
        <is>
          <t>Shipped</t>
        </is>
      </c>
      <c r="B15" s="24" t="inlineStr">
        <is>
          <t>reliability.ts (p95 budgets, degradation comms), DegradedBanner, jest-axe WCAG suite (0 violations x7 surfaces), demoData (red-week arc); docs: 15 help articles, chat SLA + canned pack, video script, listing copy A/B, asset specs, pricing+FAQ, trust page, dry-run gap report, backup/chaos/launch runbooks</t>
        </is>
      </c>
    </row>
    <row r="16" ht="15" customHeight="1" s="20">
      <c r="A16" s="24" t="inlineStr">
        <is>
          <t>Stories</t>
        </is>
      </c>
      <c r="B16" s="24" t="inlineStr">
        <is>
          <t>+3 Done (77); +3 CCPL (087/089/091); 7 Drafted; 2 In progress</t>
        </is>
      </c>
    </row>
    <row r="17" ht="15" customHeight="1" s="20">
      <c r="A17" s="24" t="inlineStr">
        <is>
          <t>Evidence</t>
        </is>
      </c>
      <c r="B17" s="24" t="inlineStr">
        <is>
          <t>14 suites / 155 tests / 100%</t>
        </is>
      </c>
    </row>
    <row r="18" ht="15" customHeight="1" s="20">
      <c r="A18" s="24" t="inlineStr">
        <is>
          <t>Finding</t>
        </is>
      </c>
      <c r="B18" s="24" t="inlineStr">
        <is>
          <t>Dry-run: 2 hard gaps — dev org (Senthil), content webhooks (build)</t>
        </is>
      </c>
    </row>
    <row r="20" ht="15" customHeight="1" s="20">
      <c r="A20" s="28" t="inlineStr">
        <is>
          <t>v011 — 22:51 — Content webhooks (dry-run gap closed)</t>
        </is>
      </c>
    </row>
    <row r="21" ht="23.25" customHeight="1" s="20">
      <c r="A21" s="24" t="inlineStr">
        <is>
          <t>Shipped</t>
        </is>
      </c>
      <c r="B21" s="24" t="inlineStr">
        <is>
          <t>webhooks.ts: HMAC verify (constant-time), fast-ack idempotent queue, retry/dead-letter/redelivery-heal, payment-&gt;cancel-nudges; bank-txn 15-min polling (no platform webhook — D-F4)</t>
        </is>
      </c>
    </row>
    <row r="22" ht="15" customHeight="1" s="20">
      <c r="A22" s="24" t="inlineStr">
        <is>
          <t>Stories</t>
        </is>
      </c>
      <c r="B22" s="24" t="inlineStr">
        <is>
          <t>WBH-001 (unnumbered, outside ST board counts by design); Launch_Checklist all 10 -&gt; honest statuses</t>
        </is>
      </c>
    </row>
    <row r="23" ht="15" customHeight="1" s="20">
      <c r="A23" s="24" t="inlineStr">
        <is>
          <t>Evidence</t>
        </is>
      </c>
      <c r="B23" s="24" t="inlineStr">
        <is>
          <t>15 suites / 170 tests / 100%</t>
        </is>
      </c>
    </row>
    <row r="25" ht="15" customHeight="1" s="20">
      <c r="A25" s="28" t="inlineStr">
        <is>
          <t>v012 — 22:56 — Rate limiter, QA drills, load harness, deploy workflow</t>
        </is>
      </c>
    </row>
    <row r="26" ht="15" customHeight="1" s="20">
      <c r="A26" s="24" t="inlineStr">
        <is>
          <t>Shipped</t>
        </is>
      </c>
      <c r="B26" s="24" t="inlineStr">
        <is>
          <t>rateLimiter (60/min/tenant), server.ts wiring, qaDatasets (20-client, 12-month feed), detectWithHistory fix (D-F3), k6 harness, blue/green deploy.yml</t>
        </is>
      </c>
    </row>
    <row r="27" ht="15" customHeight="1" s="20">
      <c r="A27" s="24" t="inlineStr">
        <is>
          <t>Stories</t>
        </is>
      </c>
      <c r="B27" s="24" t="inlineStr">
        <is>
          <t>ST-088/092 -&gt; CCPL; WBH-002/003, QA-007/008 logged; checklists 3/7/8 advanced</t>
        </is>
      </c>
    </row>
    <row r="28" ht="15" customHeight="1" s="20">
      <c r="A28" s="24" t="inlineStr">
        <is>
          <t>Evidence</t>
        </is>
      </c>
      <c r="B28" s="24" t="inlineStr">
        <is>
          <t>16 suites / 182 tests / 100%; REAL DEFECT found + fixed by drill</t>
        </is>
      </c>
    </row>
    <row r="30" ht="15" customHeight="1" s="20">
      <c r="A30" s="28" t="inlineStr">
        <is>
          <t>v013 — 23:03 — Live-sweep readiness + portfolio action board</t>
        </is>
      </c>
    </row>
    <row r="31" ht="23.25" customHeight="1" s="20">
      <c r="A31" s="24" t="inlineStr">
        <is>
          <t>Shipped</t>
        </is>
      </c>
      <c r="B31" s="24" t="inlineStr">
        <is>
          <t>config.ts + .env.example (CFG-001), dev-org 30-min guide, 12-step scripted sweep; claude_v001_portfolio_action_board_20260910_2303.xlsx (separate deliverable)</t>
        </is>
      </c>
    </row>
    <row r="32" ht="15" customHeight="1" s="20">
      <c r="A32" s="24" t="inlineStr">
        <is>
          <t>Stories</t>
        </is>
      </c>
      <c r="B32" s="24" t="inlineStr">
        <is>
          <t>No status changes; handoff fully scripted</t>
        </is>
      </c>
    </row>
    <row r="33" ht="15" customHeight="1" s="20">
      <c r="A33" s="24" t="inlineStr">
        <is>
          <t>Evidence</t>
        </is>
      </c>
      <c r="B33" s="24" t="inlineStr">
        <is>
          <t>17 suites / 186 tests / 100%; tsc clean</t>
        </is>
      </c>
    </row>
    <row r="34">
      <c r="A34" s="29" t="n"/>
      <c r="B34" s="29" t="n"/>
    </row>
    <row r="35">
      <c r="A35" s="30" t="inlineStr">
        <is>
          <t>v036 — 20 Sep 10:14 — Perplexity V001 response, Wave P1 (sprint E6)</t>
        </is>
      </c>
      <c r="B35" s="29" t="n"/>
    </row>
    <row r="36">
      <c r="A36" s="29" t="inlineStr">
        <is>
          <t>Shipped</t>
        </is>
      </c>
      <c r="B36" s="29" t="inlineStr">
        <is>
          <t>forecastAssembly.ts (production data path: BankSummary + ACCREC + ACCPAY + RepeatingInvoices + PAID history → ForecastInput; /api/forecast, /api/forecast/scenario, /api/forecast/history; daily forecast tick); forecastRealism.ts (calibration, tranche spreading, aged-debt decay, forecast_snapshots ledger + migration 010); xeroApi.ts rewritten (Type predicates, base-currency conversion or refusal, Retry-After + remaining-header reconciliation, 5-concurrent semaphore, app-wide limiter, /Organisation, /Reports/BankSummary, payableBills, paidInvoices, repeatingInvoices); rateLimiter.ts (tiered daily budget default 1,000, TenantConcurrencyGate, reconcile); config XERO_API_TIER; boot now constructs the accounting client and STARTS the scheduler (E6-F1); docs/platform-assumptions.json; 6 new gates + method-level reachability with expiring KNOWN_GAPS</t>
        </is>
      </c>
    </row>
    <row r="37">
      <c r="A37" s="29" t="inlineStr">
        <is>
          <t>Stories</t>
        </is>
      </c>
      <c r="B37" s="29" t="inlineStr">
        <is>
          <t>No status changes (PPX-D1 held by Senthil). Enhancement pool: P1-1..P1-7 Done-in-code (96 pts); P1-8 logged from E6-F3..F6; P2/P3/P4 logged</t>
        </is>
      </c>
    </row>
    <row r="38">
      <c r="A38" s="29" t="inlineStr">
        <is>
          <t>Evidence</t>
        </is>
      </c>
      <c r="B38" s="29" t="inlineStr">
        <is>
          <t>49 suites / 719 tests / 100% all four metrics, zero pragmas; tsc clean; 15 mutations PROVE 14 gates (dataPathGate caught BROKEN on first proof and strengthened); audit clean; evidence manifest verifies; SBOM regenerated</t>
        </is>
      </c>
    </row>
  </sheetData>
  <mergeCells count="6">
    <mergeCell ref="A20:B20"/>
    <mergeCell ref="A30:B30"/>
    <mergeCell ref="A25:B25"/>
    <mergeCell ref="A14:B14"/>
    <mergeCell ref="A9:B9"/>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M1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9" customWidth="1" style="19" min="1" max="1"/>
    <col width="6" customWidth="1" style="19" min="2" max="2"/>
    <col width="22" customWidth="1" style="19" min="3" max="3"/>
    <col width="55" customWidth="1" style="19" min="4" max="4"/>
    <col width="7" customWidth="1" style="19" min="5" max="5"/>
    <col width="8" customWidth="1" style="19" min="6" max="6"/>
    <col width="7" customWidth="1" style="19" min="7" max="7"/>
    <col width="26" customWidth="1" style="19" min="8" max="8"/>
    <col width="10" customWidth="1" style="19" min="9" max="9"/>
    <col width="36" customWidth="1" style="19" min="10" max="10"/>
    <col width="32" customWidth="1" style="19" min="11" max="11"/>
    <col width="9" customWidth="1" style="19" min="12" max="12"/>
    <col width="60" customWidth="1" style="19" min="13" max="13"/>
  </cols>
  <sheetData>
    <row r="1" ht="15.75" customHeight="1" s="20">
      <c r="A1" s="21" t="inlineStr">
        <is>
          <t>TRACEABILITY MATRIX — 100 stories + 6 post-baseline items: story -&gt; code -&gt; automated test -&gt; coverage -&gt; version</t>
        </is>
      </c>
    </row>
    <row r="2" ht="15" customHeight="1" s="20">
      <c r="A2" s="22" t="inlineStr">
        <is>
          <t>Source of story data: product workbook v013 Full_Backlog (single source of truth). Done-in-version from release records. — v024: 8 E6 post-baseline rows (P1-1..P1-8) inserted after CFG-001; baseline story rows unchanged.</t>
        </is>
      </c>
    </row>
    <row r="3" ht="15" customHeight="1" s="20">
      <c r="A3" s="23" t="inlineStr">
        <is>
          <t>Story ID</t>
        </is>
      </c>
      <c r="B3" s="23" t="inlineStr">
        <is>
          <t>Epic</t>
        </is>
      </c>
      <c r="C3" s="23" t="inlineStr">
        <is>
          <t>Module / feature</t>
        </is>
      </c>
      <c r="D3" s="23" t="inlineStr">
        <is>
          <t>Story</t>
        </is>
      </c>
      <c r="E3" s="23" t="inlineStr">
        <is>
          <t>Points</t>
        </is>
      </c>
      <c r="F3" s="23" t="inlineStr">
        <is>
          <t>Priority</t>
        </is>
      </c>
      <c r="G3" s="23" t="inlineStr">
        <is>
          <t>Sprint</t>
        </is>
      </c>
      <c r="H3" s="23" t="inlineStr">
        <is>
          <t>Status</t>
        </is>
      </c>
      <c r="I3" s="23" t="inlineStr">
        <is>
          <t>Done in version</t>
        </is>
      </c>
      <c r="J3" s="23" t="inlineStr">
        <is>
          <t>Code file(s)</t>
        </is>
      </c>
      <c r="K3" s="23" t="inlineStr">
        <is>
          <t>Test file(s)</t>
        </is>
      </c>
      <c r="L3" s="23" t="inlineStr">
        <is>
          <t>Coverage</t>
        </is>
      </c>
      <c r="M3" s="23" t="inlineStr">
        <is>
          <t>Notes / evidence</t>
        </is>
      </c>
    </row>
    <row r="4" ht="23.25" customHeight="1" s="20">
      <c r="A4" s="31" t="inlineStr">
        <is>
          <t>ST-001</t>
        </is>
      </c>
      <c r="B4" s="31" t="inlineStr">
        <is>
          <t>F1</t>
        </is>
      </c>
      <c r="C4" s="31" t="inlineStr">
        <is>
          <t>13-week forecast engine</t>
        </is>
      </c>
      <c r="D4" s="31" t="inlineStr">
        <is>
          <t>As a SMB owner, I can set up 13-week forecast engine with sensible defaults in one screen</t>
        </is>
      </c>
      <c r="E4" s="31" t="n">
        <v>5</v>
      </c>
      <c r="F4" s="31" t="inlineStr">
        <is>
          <t>P0</t>
        </is>
      </c>
      <c r="G4" s="31" t="inlineStr">
        <is>
          <t>S2</t>
        </is>
      </c>
      <c r="H4" s="31" t="inlineStr">
        <is>
          <t>Done</t>
        </is>
      </c>
      <c r="I4" s="31" t="inlineStr">
        <is>
          <t>v008</t>
        </is>
      </c>
      <c r="J4" s="31" t="inlineStr">
        <is>
          <t>src/forecastEngine.ts</t>
        </is>
      </c>
      <c r="K4" s="31" t="inlineStr">
        <is>
          <t>tests/forecastEngine.test.ts</t>
        </is>
      </c>
      <c r="L4" s="31" t="inlineStr">
        <is>
          <t>100%</t>
        </is>
      </c>
      <c r="M4" s="31" t="inlineStr">
        <is>
          <t>defaultInput one-screen setup</t>
        </is>
      </c>
    </row>
    <row r="5" ht="23.25" customHeight="1" s="20">
      <c r="A5" s="31" t="inlineStr">
        <is>
          <t>ST-002</t>
        </is>
      </c>
      <c r="B5" s="31" t="inlineStr">
        <is>
          <t>F1</t>
        </is>
      </c>
      <c r="C5" s="31" t="inlineStr">
        <is>
          <t>13-week forecast engine</t>
        </is>
      </c>
      <c r="D5" s="31" t="inlineStr">
        <is>
          <t>As a SMB owner, the 13-week forecast engine happy path completes without documentation</t>
        </is>
      </c>
      <c r="E5" s="31" t="n">
        <v>8</v>
      </c>
      <c r="F5" s="31" t="inlineStr">
        <is>
          <t>P0</t>
        </is>
      </c>
      <c r="G5" s="31" t="inlineStr">
        <is>
          <t>S2</t>
        </is>
      </c>
      <c r="H5" s="31" t="inlineStr">
        <is>
          <t>Done</t>
        </is>
      </c>
      <c r="I5" s="31" t="inlineStr">
        <is>
          <t>v008</t>
        </is>
      </c>
      <c r="J5" s="31" t="inlineStr">
        <is>
          <t>src/forecastEngine.ts</t>
        </is>
      </c>
      <c r="K5" s="31" t="inlineStr">
        <is>
          <t>tests/forecastEngine.test.ts</t>
        </is>
      </c>
      <c r="L5" s="31" t="inlineStr">
        <is>
          <t>100%</t>
        </is>
      </c>
      <c r="M5" s="31" t="inlineStr">
        <is>
          <t>computeForecast happy path, 13-week bucketing</t>
        </is>
      </c>
    </row>
    <row r="6" ht="23.25" customHeight="1" s="20">
      <c r="A6" s="31" t="inlineStr">
        <is>
          <t>ST-003</t>
        </is>
      </c>
      <c r="B6" s="31" t="inlineStr">
        <is>
          <t>F1</t>
        </is>
      </c>
      <c r="C6" s="31" t="inlineStr">
        <is>
          <t>13-week forecast engine</t>
        </is>
      </c>
      <c r="D6" s="31" t="inlineStr">
        <is>
          <t>As a Accountant partner, I can customise 13-week forecast engine rules/conditions for my workflow</t>
        </is>
      </c>
      <c r="E6" s="31" t="n">
        <v>5</v>
      </c>
      <c r="F6" s="31" t="inlineStr">
        <is>
          <t>P1</t>
        </is>
      </c>
      <c r="G6" s="31" t="inlineStr">
        <is>
          <t>S2</t>
        </is>
      </c>
      <c r="H6" s="31" t="inlineStr">
        <is>
          <t>Done</t>
        </is>
      </c>
      <c r="I6" s="31" t="inlineStr">
        <is>
          <t>v009</t>
        </is>
      </c>
      <c r="J6" s="31" t="inlineStr">
        <is>
          <t>src/forecastRules.ts</t>
        </is>
      </c>
      <c r="K6" s="31" t="inlineStr">
        <is>
          <t>tests/rulesNotificationsMetrics.test.ts</t>
        </is>
      </c>
      <c r="L6" s="31" t="inlineStr">
        <is>
          <t>100%</t>
        </is>
      </c>
      <c r="M6" s="31" t="inlineStr">
        <is>
          <t>Rule builder complete: min_balance / amber_floor / week_drop_pct over week ranges; supersedes amber-floor-only v008 state</t>
        </is>
      </c>
    </row>
    <row r="7" ht="23.25" customHeight="1" s="20">
      <c r="A7" s="31" t="inlineStr">
        <is>
          <t>ST-004</t>
        </is>
      </c>
      <c r="B7" s="31" t="inlineStr">
        <is>
          <t>F1</t>
        </is>
      </c>
      <c r="C7" s="31" t="inlineStr">
        <is>
          <t>13-week forecast engine</t>
        </is>
      </c>
      <c r="D7" s="31" t="inlineStr">
        <is>
          <t>As a user, 13-week forecast engine shows clear errors and retry paths on platform API failures</t>
        </is>
      </c>
      <c r="E7" s="31" t="n">
        <v>3</v>
      </c>
      <c r="F7" s="31" t="inlineStr">
        <is>
          <t>P0</t>
        </is>
      </c>
      <c r="G7" s="31" t="inlineStr">
        <is>
          <t>S2</t>
        </is>
      </c>
      <c r="H7" s="31" t="inlineStr">
        <is>
          <t>Done</t>
        </is>
      </c>
      <c r="I7" s="31" t="inlineStr">
        <is>
          <t>v008</t>
        </is>
      </c>
      <c r="J7" s="31" t="inlineStr">
        <is>
          <t>src/forecastEngine.ts; src/compliance.ts</t>
        </is>
      </c>
      <c r="K7" s="31" t="inlineStr">
        <is>
          <t>tests/forecastEngine.test.ts; tests/compliance.test.ts</t>
        </is>
      </c>
      <c r="L7" s="31" t="inlineStr">
        <is>
          <t>100%</t>
        </is>
      </c>
      <c r="M7" s="31" t="inlineStr">
        <is>
          <t>validate() named errors; callWithProtection retry</t>
        </is>
      </c>
    </row>
    <row r="8" ht="34.5" customHeight="1" s="20">
      <c r="A8" s="31" t="inlineStr">
        <is>
          <t>ST-005</t>
        </is>
      </c>
      <c r="B8" s="31" t="inlineStr">
        <is>
          <t>F1</t>
        </is>
      </c>
      <c r="C8" s="31" t="inlineStr">
        <is>
          <t>13-week forecast engine</t>
        </is>
      </c>
      <c r="D8" s="31" t="inlineStr">
        <is>
          <t>As a Bookkeeper, 13-week forecast engine works on the web app with Xero deep links + accountant portal surface end-to-end</t>
        </is>
      </c>
      <c r="E8" s="31" t="n">
        <v>5</v>
      </c>
      <c r="F8" s="31" t="inlineStr">
        <is>
          <t>P0</t>
        </is>
      </c>
      <c r="G8" s="31" t="inlineStr">
        <is>
          <t>S3</t>
        </is>
      </c>
      <c r="H8" s="31" t="inlineStr">
        <is>
          <t>Done</t>
        </is>
      </c>
      <c r="I8" s="31" t="inlineStr">
        <is>
          <t>v009</t>
        </is>
      </c>
      <c r="J8" s="31" t="inlineStr">
        <is>
          <t>src/ui/ForecastScreens.tsx</t>
        </is>
      </c>
      <c r="K8" s="31" t="inlineStr">
        <is>
          <t>tests/ui/screens.test.tsx</t>
        </is>
      </c>
      <c r="L8" s="31" t="inlineStr">
        <is>
          <t>100%</t>
        </is>
      </c>
      <c r="M8" s="31" t="inlineStr">
        <is>
          <t>ForecastScreen: 13-week table, rule violations, Xero receivables deep link, empty state</t>
        </is>
      </c>
    </row>
    <row r="9" ht="34.5" customHeight="1" s="20">
      <c r="A9" s="31" t="inlineStr">
        <is>
          <t>ST-006</t>
        </is>
      </c>
      <c r="B9" s="31" t="inlineStr">
        <is>
          <t>F1</t>
        </is>
      </c>
      <c r="C9" s="31" t="inlineStr">
        <is>
          <t>13-week forecast engine</t>
        </is>
      </c>
      <c r="D9" s="31" t="inlineStr">
        <is>
          <t>As a Accountant partner, I can see 13-week forecast engine performance metrics and trends</t>
        </is>
      </c>
      <c r="E9" s="31" t="n">
        <v>3</v>
      </c>
      <c r="F9" s="31" t="inlineStr">
        <is>
          <t>P1</t>
        </is>
      </c>
      <c r="G9" s="31" t="inlineStr">
        <is>
          <t>S3</t>
        </is>
      </c>
      <c r="H9" s="31" t="inlineStr">
        <is>
          <t>Done</t>
        </is>
      </c>
      <c r="I9" s="31" t="inlineStr">
        <is>
          <t>v009</t>
        </is>
      </c>
      <c r="J9" s="31" t="inlineStr">
        <is>
          <t>src/featureMetrics.ts; src/ui/MetricsPanel.tsx</t>
        </is>
      </c>
      <c r="K9" s="31" t="inlineStr">
        <is>
          <t>tests/rulesNotificationsMetrics.test.ts; tests/ui/screens.test.tsx</t>
        </is>
      </c>
      <c r="L9" s="31" t="inlineStr">
        <is>
          <t>100%</t>
        </is>
      </c>
      <c r="M9" s="31" t="inlineStr">
        <is>
          <t>weeklySeries + trend + MetricsPanel surface</t>
        </is>
      </c>
    </row>
    <row r="10" ht="23.25" customHeight="1" s="20">
      <c r="A10" s="31" t="inlineStr">
        <is>
          <t>ST-007</t>
        </is>
      </c>
      <c r="B10" s="31" t="inlineStr">
        <is>
          <t>F1</t>
        </is>
      </c>
      <c r="C10" s="31" t="inlineStr">
        <is>
          <t>13-week forecast engine</t>
        </is>
      </c>
      <c r="D10" s="31" t="inlineStr">
        <is>
          <t>As a user, 13-week forecast engine respects role permissions and audit logging</t>
        </is>
      </c>
      <c r="E10" s="31" t="n">
        <v>3</v>
      </c>
      <c r="F10" s="31" t="inlineStr">
        <is>
          <t>P1</t>
        </is>
      </c>
      <c r="G10" s="31" t="inlineStr">
        <is>
          <t>S3</t>
        </is>
      </c>
      <c r="H10" s="31" t="inlineStr">
        <is>
          <t>Done</t>
        </is>
      </c>
      <c r="I10" s="31" t="inlineStr">
        <is>
          <t>v008</t>
        </is>
      </c>
      <c r="J10" s="31" t="inlineStr">
        <is>
          <t>src/permissions.ts</t>
        </is>
      </c>
      <c r="K10" s="31" t="inlineStr">
        <is>
          <t>tests/permissions.test.ts</t>
        </is>
      </c>
      <c r="L10" s="31" t="inlineStr">
        <is>
          <t>100%</t>
        </is>
      </c>
      <c r="M10" s="31" t="inlineStr">
        <is>
          <t>authorize + AuditLog on forecast actions</t>
        </is>
      </c>
    </row>
    <row r="11" ht="23.25" customHeight="1" s="20">
      <c r="A11" s="31" t="inlineStr">
        <is>
          <t>ST-008</t>
        </is>
      </c>
      <c r="B11" s="31" t="inlineStr">
        <is>
          <t>F1</t>
        </is>
      </c>
      <c r="C11" s="31" t="inlineStr">
        <is>
          <t>13-week forecast engine</t>
        </is>
      </c>
      <c r="D11" s="31" t="inlineStr">
        <is>
          <t>As a SMB owner, I can pause/disable 13-week forecast engine without data loss</t>
        </is>
      </c>
      <c r="E11" s="31" t="n">
        <v>2</v>
      </c>
      <c r="F11" s="31" t="inlineStr">
        <is>
          <t>P2</t>
        </is>
      </c>
      <c r="G11" s="31" t="inlineStr">
        <is>
          <t>S3</t>
        </is>
      </c>
      <c r="H11" s="31" t="inlineStr">
        <is>
          <t>Done</t>
        </is>
      </c>
      <c r="I11" s="31" t="inlineStr">
        <is>
          <t>v008</t>
        </is>
      </c>
      <c r="J11" s="31" t="inlineStr">
        <is>
          <t>src/forecastEngine.ts</t>
        </is>
      </c>
      <c r="K11" s="31" t="inlineStr">
        <is>
          <t>tests/forecastEngine.test.ts</t>
        </is>
      </c>
      <c r="L11" s="31" t="inlineStr">
        <is>
          <t>100%</t>
        </is>
      </c>
      <c r="M11" s="31" t="inlineStr">
        <is>
          <t>setEnabled preserves lastInput</t>
        </is>
      </c>
    </row>
    <row r="12" ht="23.25" customHeight="1" s="20">
      <c r="A12" s="31" t="inlineStr">
        <is>
          <t>ST-009</t>
        </is>
      </c>
      <c r="B12" s="31" t="inlineStr">
        <is>
          <t>F1</t>
        </is>
      </c>
      <c r="C12" s="31" t="inlineStr">
        <is>
          <t>13-week forecast engine</t>
        </is>
      </c>
      <c r="D12" s="31" t="inlineStr">
        <is>
          <t>As a Accountant partner, I can import/migrate existing data into 13-week forecast engine (CSV + competitor importer)</t>
        </is>
      </c>
      <c r="E12" s="31" t="n">
        <v>5</v>
      </c>
      <c r="F12" s="31" t="inlineStr">
        <is>
          <t>P1</t>
        </is>
      </c>
      <c r="G12" s="31" t="inlineStr">
        <is>
          <t>S3</t>
        </is>
      </c>
      <c r="H12" s="31" t="inlineStr">
        <is>
          <t>Done</t>
        </is>
      </c>
      <c r="I12" s="31" t="inlineStr">
        <is>
          <t>v008</t>
        </is>
      </c>
      <c r="J12" s="31" t="inlineStr">
        <is>
          <t>src/accountantPortal.ts</t>
        </is>
      </c>
      <c r="K12" s="31" t="inlineStr">
        <is>
          <t>tests/accountantPortal.test.ts</t>
        </is>
      </c>
      <c r="L12" s="31" t="inlineStr">
        <is>
          <t>100%</t>
        </is>
      </c>
      <c r="M12" s="31" t="inlineStr">
        <is>
          <t>importCsv shared migration importer</t>
        </is>
      </c>
    </row>
    <row r="13" ht="23.25" customHeight="1" s="20">
      <c r="A13" s="31" t="inlineStr">
        <is>
          <t>ST-010</t>
        </is>
      </c>
      <c r="B13" s="31" t="inlineStr">
        <is>
          <t>F1</t>
        </is>
      </c>
      <c r="C13" s="31" t="inlineStr">
        <is>
          <t>13-week forecast engine</t>
        </is>
      </c>
      <c r="D13" s="31" t="inlineStr">
        <is>
          <t>As a user, I get notifications (in-app + email) for key 13-week forecast engine events with per-type mute</t>
        </is>
      </c>
      <c r="E13" s="31" t="n">
        <v>3</v>
      </c>
      <c r="F13" s="31" t="inlineStr">
        <is>
          <t>P2</t>
        </is>
      </c>
      <c r="G13" s="31" t="inlineStr">
        <is>
          <t>S3</t>
        </is>
      </c>
      <c r="H13" s="31" t="inlineStr">
        <is>
          <t>Done</t>
        </is>
      </c>
      <c r="I13" s="31" t="inlineStr">
        <is>
          <t>v009</t>
        </is>
      </c>
      <c r="J13" s="31" t="inlineStr">
        <is>
          <t>src/notifications.ts</t>
        </is>
      </c>
      <c r="K13" s="31" t="inlineStr">
        <is>
          <t>tests/rulesNotificationsMetrics.test.ts</t>
        </is>
      </c>
      <c r="L13" s="31" t="inlineStr">
        <is>
          <t>100%</t>
        </is>
      </c>
      <c r="M13" s="31" t="inlineStr">
        <is>
          <t>dispatch in-app+email, per-type mute, daily digest (forecast event types)</t>
        </is>
      </c>
    </row>
    <row r="14" ht="23.25" customHeight="1" s="20">
      <c r="A14" s="31" t="inlineStr">
        <is>
          <t>ST-011</t>
        </is>
      </c>
      <c r="B14" s="31" t="inlineStr">
        <is>
          <t>F2</t>
        </is>
      </c>
      <c r="C14" s="31" t="inlineStr">
        <is>
          <t>Scenario sliders</t>
        </is>
      </c>
      <c r="D14" s="31" t="inlineStr">
        <is>
          <t>As a SMB owner, I can set up Scenario sliders with sensible defaults in one screen</t>
        </is>
      </c>
      <c r="E14" s="31" t="n">
        <v>5</v>
      </c>
      <c r="F14" s="31" t="inlineStr">
        <is>
          <t>P0</t>
        </is>
      </c>
      <c r="G14" s="31" t="inlineStr">
        <is>
          <t>S3</t>
        </is>
      </c>
      <c r="H14" s="31" t="inlineStr">
        <is>
          <t>Done</t>
        </is>
      </c>
      <c r="I14" s="31" t="inlineStr">
        <is>
          <t>v008</t>
        </is>
      </c>
      <c r="J14" s="31" t="inlineStr">
        <is>
          <t>src/scenarioSliders.ts</t>
        </is>
      </c>
      <c r="K14" s="31" t="inlineStr">
        <is>
          <t>tests/scenarioSliders.test.ts</t>
        </is>
      </c>
      <c r="L14" s="31" t="inlineStr">
        <is>
          <t>100%</t>
        </is>
      </c>
      <c r="M14" s="31" t="inlineStr">
        <is>
          <t>baselineScenario defaults</t>
        </is>
      </c>
    </row>
    <row r="15" ht="23.25" customHeight="1" s="20">
      <c r="A15" s="31" t="inlineStr">
        <is>
          <t>ST-012</t>
        </is>
      </c>
      <c r="B15" s="31" t="inlineStr">
        <is>
          <t>F2</t>
        </is>
      </c>
      <c r="C15" s="31" t="inlineStr">
        <is>
          <t>Scenario sliders</t>
        </is>
      </c>
      <c r="D15" s="31" t="inlineStr">
        <is>
          <t>As a SMB owner, the Scenario sliders happy path completes without documentation</t>
        </is>
      </c>
      <c r="E15" s="31" t="n">
        <v>8</v>
      </c>
      <c r="F15" s="31" t="inlineStr">
        <is>
          <t>P0</t>
        </is>
      </c>
      <c r="G15" s="31" t="inlineStr">
        <is>
          <t>S3</t>
        </is>
      </c>
      <c r="H15" s="31" t="inlineStr">
        <is>
          <t>Done</t>
        </is>
      </c>
      <c r="I15" s="31" t="inlineStr">
        <is>
          <t>v008</t>
        </is>
      </c>
      <c r="J15" s="31" t="inlineStr">
        <is>
          <t>src/scenarioSliders.ts</t>
        </is>
      </c>
      <c r="K15" s="31" t="inlineStr">
        <is>
          <t>tests/scenarioSliders.test.ts</t>
        </is>
      </c>
      <c r="L15" s="31" t="inlineStr">
        <is>
          <t>100%</t>
        </is>
      </c>
      <c r="M15" s="31" t="inlineStr">
        <is>
          <t>applyScenario levers + recompute</t>
        </is>
      </c>
    </row>
    <row r="16" ht="23.25" customHeight="1" s="20">
      <c r="A16" s="31" t="inlineStr">
        <is>
          <t>ST-013</t>
        </is>
      </c>
      <c r="B16" s="31" t="inlineStr">
        <is>
          <t>F2</t>
        </is>
      </c>
      <c r="C16" s="31" t="inlineStr">
        <is>
          <t>Scenario sliders</t>
        </is>
      </c>
      <c r="D16" s="31" t="inlineStr">
        <is>
          <t>As a Accountant partner, I can customise Scenario sliders rules/conditions for my workflow</t>
        </is>
      </c>
      <c r="E16" s="31" t="n">
        <v>5</v>
      </c>
      <c r="F16" s="31" t="inlineStr">
        <is>
          <t>P1</t>
        </is>
      </c>
      <c r="G16" s="31" t="inlineStr">
        <is>
          <t>S3</t>
        </is>
      </c>
      <c r="H16" s="31" t="inlineStr">
        <is>
          <t>Done</t>
        </is>
      </c>
      <c r="I16" s="31" t="inlineStr">
        <is>
          <t>v008</t>
        </is>
      </c>
      <c r="J16" s="31" t="inlineStr">
        <is>
          <t>src/scenarioSliders.ts</t>
        </is>
      </c>
      <c r="K16" s="31" t="inlineStr">
        <is>
          <t>tests/scenarioSliders.test.ts</t>
        </is>
      </c>
      <c r="L16" s="31" t="inlineStr">
        <is>
          <t>100%</t>
        </is>
      </c>
      <c r="M16" s="31" t="inlineStr">
        <is>
          <t>validateScenario custom lever ranges</t>
        </is>
      </c>
    </row>
    <row r="17" ht="23.25" customHeight="1" s="20">
      <c r="A17" s="31" t="inlineStr">
        <is>
          <t>ST-014</t>
        </is>
      </c>
      <c r="B17" s="31" t="inlineStr">
        <is>
          <t>F2</t>
        </is>
      </c>
      <c r="C17" s="31" t="inlineStr">
        <is>
          <t>Scenario sliders</t>
        </is>
      </c>
      <c r="D17" s="31" t="inlineStr">
        <is>
          <t>As a user, Scenario sliders shows clear errors and retry paths on platform API failures</t>
        </is>
      </c>
      <c r="E17" s="31" t="n">
        <v>3</v>
      </c>
      <c r="F17" s="31" t="inlineStr">
        <is>
          <t>P0</t>
        </is>
      </c>
      <c r="G17" s="31" t="inlineStr">
        <is>
          <t>S3</t>
        </is>
      </c>
      <c r="H17" s="31" t="inlineStr">
        <is>
          <t>Done</t>
        </is>
      </c>
      <c r="I17" s="31" t="inlineStr">
        <is>
          <t>v008</t>
        </is>
      </c>
      <c r="J17" s="31" t="inlineStr">
        <is>
          <t>src/scenarioSliders.ts; src/compliance.ts</t>
        </is>
      </c>
      <c r="K17" s="31" t="inlineStr">
        <is>
          <t>tests/scenarioSliders.test.ts; tests/compliance.test.ts</t>
        </is>
      </c>
      <c r="L17" s="31" t="inlineStr">
        <is>
          <t>100%</t>
        </is>
      </c>
      <c r="M17" s="31" t="inlineStr">
        <is>
          <t>SCENARIO_INVALID errors; retry via callWithProtection</t>
        </is>
      </c>
    </row>
    <row r="18" ht="23.25" customHeight="1" s="20">
      <c r="A18" s="31" t="inlineStr">
        <is>
          <t>ST-015</t>
        </is>
      </c>
      <c r="B18" s="31" t="inlineStr">
        <is>
          <t>F2</t>
        </is>
      </c>
      <c r="C18" s="31" t="inlineStr">
        <is>
          <t>Scenario sliders</t>
        </is>
      </c>
      <c r="D18" s="31" t="inlineStr">
        <is>
          <t>As a Bookkeeper, Scenario sliders works on the web app with Xero deep links + accountant portal surface end-to-end</t>
        </is>
      </c>
      <c r="E18" s="31" t="n">
        <v>5</v>
      </c>
      <c r="F18" s="31" t="inlineStr">
        <is>
          <t>P0</t>
        </is>
      </c>
      <c r="G18" s="31" t="inlineStr">
        <is>
          <t>S4</t>
        </is>
      </c>
      <c r="H18" s="31" t="inlineStr">
        <is>
          <t>Done</t>
        </is>
      </c>
      <c r="I18" s="31" t="inlineStr">
        <is>
          <t>v009</t>
        </is>
      </c>
      <c r="J18" s="31" t="inlineStr">
        <is>
          <t>src/ui/ForecastScreens.tsx</t>
        </is>
      </c>
      <c r="K18" s="31" t="inlineStr">
        <is>
          <t>tests/ui/screens.test.tsx</t>
        </is>
      </c>
      <c r="L18" s="31" t="inlineStr">
        <is>
          <t>100%</t>
        </is>
      </c>
      <c r="M18" s="31" t="inlineStr">
        <is>
          <t>ScenarioScreen: four sliders, live preview (min closing, first red week)</t>
        </is>
      </c>
    </row>
    <row r="19" ht="34.5" customHeight="1" s="20">
      <c r="A19" s="31" t="inlineStr">
        <is>
          <t>ST-016</t>
        </is>
      </c>
      <c r="B19" s="31" t="inlineStr">
        <is>
          <t>F2</t>
        </is>
      </c>
      <c r="C19" s="31" t="inlineStr">
        <is>
          <t>Scenario sliders</t>
        </is>
      </c>
      <c r="D19" s="31" t="inlineStr">
        <is>
          <t>As a Accountant partner, I can see Scenario sliders performance metrics and trends</t>
        </is>
      </c>
      <c r="E19" s="31" t="n">
        <v>3</v>
      </c>
      <c r="F19" s="31" t="inlineStr">
        <is>
          <t>P1</t>
        </is>
      </c>
      <c r="G19" s="31" t="inlineStr">
        <is>
          <t>S4</t>
        </is>
      </c>
      <c r="H19" s="31" t="inlineStr">
        <is>
          <t>Done</t>
        </is>
      </c>
      <c r="I19" s="31" t="inlineStr">
        <is>
          <t>v009</t>
        </is>
      </c>
      <c r="J19" s="31" t="inlineStr">
        <is>
          <t>src/featureMetrics.ts; src/ui/MetricsPanel.tsx</t>
        </is>
      </c>
      <c r="K19" s="31" t="inlineStr">
        <is>
          <t>tests/rulesNotificationsMetrics.test.ts; tests/ui/screens.test.tsx</t>
        </is>
      </c>
      <c r="L19" s="31" t="inlineStr">
        <is>
          <t>100%</t>
        </is>
      </c>
      <c r="M19" s="31" t="inlineStr">
        <is>
          <t>Shared metrics module + panel</t>
        </is>
      </c>
    </row>
    <row r="20" ht="23.25" customHeight="1" s="20">
      <c r="A20" s="31" t="inlineStr">
        <is>
          <t>ST-017</t>
        </is>
      </c>
      <c r="B20" s="31" t="inlineStr">
        <is>
          <t>F2</t>
        </is>
      </c>
      <c r="C20" s="31" t="inlineStr">
        <is>
          <t>Scenario sliders</t>
        </is>
      </c>
      <c r="D20" s="31" t="inlineStr">
        <is>
          <t>As a user, Scenario sliders respects role permissions and audit logging</t>
        </is>
      </c>
      <c r="E20" s="31" t="n">
        <v>3</v>
      </c>
      <c r="F20" s="31" t="inlineStr">
        <is>
          <t>P1</t>
        </is>
      </c>
      <c r="G20" s="31" t="inlineStr">
        <is>
          <t>S4</t>
        </is>
      </c>
      <c r="H20" s="31" t="inlineStr">
        <is>
          <t>Done</t>
        </is>
      </c>
      <c r="I20" s="31" t="inlineStr">
        <is>
          <t>v008</t>
        </is>
      </c>
      <c r="J20" s="31" t="inlineStr">
        <is>
          <t>src/permissions.ts</t>
        </is>
      </c>
      <c r="K20" s="31" t="inlineStr">
        <is>
          <t>tests/permissions.test.ts</t>
        </is>
      </c>
      <c r="L20" s="31" t="inlineStr">
        <is>
          <t>100%</t>
        </is>
      </c>
      <c r="M20" s="31" t="inlineStr">
        <is>
          <t>scenario.view/edit in role matrix + audit</t>
        </is>
      </c>
    </row>
    <row r="21" ht="23.25" customHeight="1" s="20">
      <c r="A21" s="31" t="inlineStr">
        <is>
          <t>ST-018</t>
        </is>
      </c>
      <c r="B21" s="31" t="inlineStr">
        <is>
          <t>F2</t>
        </is>
      </c>
      <c r="C21" s="31" t="inlineStr">
        <is>
          <t>Scenario sliders</t>
        </is>
      </c>
      <c r="D21" s="31" t="inlineStr">
        <is>
          <t>As a SMB owner, I can pause/disable Scenario sliders without data loss</t>
        </is>
      </c>
      <c r="E21" s="31" t="n">
        <v>2</v>
      </c>
      <c r="F21" s="31" t="inlineStr">
        <is>
          <t>P2</t>
        </is>
      </c>
      <c r="G21" s="31" t="inlineStr">
        <is>
          <t>S4</t>
        </is>
      </c>
      <c r="H21" s="31" t="inlineStr">
        <is>
          <t>Done</t>
        </is>
      </c>
      <c r="I21" s="31" t="inlineStr">
        <is>
          <t>v009</t>
        </is>
      </c>
      <c r="J21" s="31" t="inlineStr">
        <is>
          <t>src/notifications.ts (featureToggles)</t>
        </is>
      </c>
      <c r="K21" s="31" t="inlineStr">
        <is>
          <t>tests/rulesNotificationsMetrics.test.ts</t>
        </is>
      </c>
      <c r="L21" s="31" t="inlineStr">
        <is>
          <t>100%</t>
        </is>
      </c>
      <c r="M21" s="31" t="inlineStr">
        <is>
          <t>setFeatureEnabled preserves all config/data</t>
        </is>
      </c>
    </row>
    <row r="22" ht="23.25" customHeight="1" s="20">
      <c r="A22" s="31" t="inlineStr">
        <is>
          <t>ST-019</t>
        </is>
      </c>
      <c r="B22" s="31" t="inlineStr">
        <is>
          <t>F2</t>
        </is>
      </c>
      <c r="C22" s="31" t="inlineStr">
        <is>
          <t>Scenario sliders</t>
        </is>
      </c>
      <c r="D22" s="31" t="inlineStr">
        <is>
          <t>As a Accountant partner, I can import/migrate existing data into Scenario sliders (CSV + competitor importer)</t>
        </is>
      </c>
      <c r="E22" s="31" t="n">
        <v>5</v>
      </c>
      <c r="F22" s="31" t="inlineStr">
        <is>
          <t>P1</t>
        </is>
      </c>
      <c r="G22" s="31" t="inlineStr">
        <is>
          <t>S4</t>
        </is>
      </c>
      <c r="H22" s="31" t="inlineStr">
        <is>
          <t>Done</t>
        </is>
      </c>
      <c r="I22" s="31" t="inlineStr">
        <is>
          <t>v008</t>
        </is>
      </c>
      <c r="J22" s="31" t="inlineStr">
        <is>
          <t>src/accountantPortal.ts</t>
        </is>
      </c>
      <c r="K22" s="31" t="inlineStr">
        <is>
          <t>tests/accountantPortal.test.ts</t>
        </is>
      </c>
      <c r="L22" s="31" t="inlineStr">
        <is>
          <t>100%</t>
        </is>
      </c>
      <c r="M22" s="31" t="inlineStr">
        <is>
          <t>importCsv shared migration importer</t>
        </is>
      </c>
    </row>
    <row r="23" ht="23.25" customHeight="1" s="20">
      <c r="A23" s="31" t="inlineStr">
        <is>
          <t>ST-020</t>
        </is>
      </c>
      <c r="B23" s="31" t="inlineStr">
        <is>
          <t>F2</t>
        </is>
      </c>
      <c r="C23" s="31" t="inlineStr">
        <is>
          <t>Scenario sliders</t>
        </is>
      </c>
      <c r="D23" s="31" t="inlineStr">
        <is>
          <t>As a user, I get notifications (in-app + email) for key Scenario sliders events with per-type mute</t>
        </is>
      </c>
      <c r="E23" s="31" t="n">
        <v>3</v>
      </c>
      <c r="F23" s="31" t="inlineStr">
        <is>
          <t>P2</t>
        </is>
      </c>
      <c r="G23" s="31" t="inlineStr">
        <is>
          <t>S4</t>
        </is>
      </c>
      <c r="H23" s="31" t="inlineStr">
        <is>
          <t>Done</t>
        </is>
      </c>
      <c r="I23" s="31" t="inlineStr">
        <is>
          <t>v010</t>
        </is>
      </c>
      <c r="J23" s="31" t="inlineStr">
        <is>
          <t>src/notifications.ts</t>
        </is>
      </c>
      <c r="K23" s="31" t="inlineStr">
        <is>
          <t>tests/ui/reliabilityDemoA11y.test.tsx</t>
        </is>
      </c>
      <c r="L23" s="31" t="inlineStr">
        <is>
          <t>100%</t>
        </is>
      </c>
      <c r="M23" s="31" t="inlineStr">
        <is>
          <t>scenario.* event types in dispatch/mute/digest</t>
        </is>
      </c>
    </row>
    <row r="24" ht="23.25" customHeight="1" s="20">
      <c r="A24" s="31" t="inlineStr">
        <is>
          <t>ST-021</t>
        </is>
      </c>
      <c r="B24" s="31" t="inlineStr">
        <is>
          <t>F3</t>
        </is>
      </c>
      <c r="C24" s="31" t="inlineStr">
        <is>
          <t>Invoice chase nudges</t>
        </is>
      </c>
      <c r="D24" s="31" t="inlineStr">
        <is>
          <t>As a SMB owner, I can set up Invoice chase nudges with sensible defaults in one screen</t>
        </is>
      </c>
      <c r="E24" s="31" t="n">
        <v>5</v>
      </c>
      <c r="F24" s="31" t="inlineStr">
        <is>
          <t>P0</t>
        </is>
      </c>
      <c r="G24" s="31" t="inlineStr">
        <is>
          <t>S5</t>
        </is>
      </c>
      <c r="H24" s="31" t="inlineStr">
        <is>
          <t>Done</t>
        </is>
      </c>
      <c r="I24" s="31" t="inlineStr">
        <is>
          <t>v008</t>
        </is>
      </c>
      <c r="J24" s="31" t="inlineStr">
        <is>
          <t>src/invoiceNudges.ts</t>
        </is>
      </c>
      <c r="K24" s="31" t="inlineStr">
        <is>
          <t>tests/invoiceNudges.test.ts</t>
        </is>
      </c>
      <c r="L24" s="31" t="inlineStr">
        <is>
          <t>100%</t>
        </is>
      </c>
      <c r="M24" s="31" t="inlineStr">
        <is>
          <t>defaultRules 3/10/21-day ladder</t>
        </is>
      </c>
    </row>
    <row r="25" ht="23.25" customHeight="1" s="20">
      <c r="A25" s="31" t="inlineStr">
        <is>
          <t>ST-022</t>
        </is>
      </c>
      <c r="B25" s="31" t="inlineStr">
        <is>
          <t>F3</t>
        </is>
      </c>
      <c r="C25" s="31" t="inlineStr">
        <is>
          <t>Invoice chase nudges</t>
        </is>
      </c>
      <c r="D25" s="31" t="inlineStr">
        <is>
          <t>As a SMB owner, the Invoice chase nudges happy path completes without documentation</t>
        </is>
      </c>
      <c r="E25" s="31" t="n">
        <v>8</v>
      </c>
      <c r="F25" s="31" t="inlineStr">
        <is>
          <t>P0</t>
        </is>
      </c>
      <c r="G25" s="31" t="inlineStr">
        <is>
          <t>S5</t>
        </is>
      </c>
      <c r="H25" s="31" t="inlineStr">
        <is>
          <t>Done</t>
        </is>
      </c>
      <c r="I25" s="31" t="inlineStr">
        <is>
          <t>v008</t>
        </is>
      </c>
      <c r="J25" s="31" t="inlineStr">
        <is>
          <t>src/invoiceNudges.ts</t>
        </is>
      </c>
      <c r="K25" s="31" t="inlineStr">
        <is>
          <t>tests/invoiceNudges.test.ts</t>
        </is>
      </c>
      <c r="L25" s="31" t="inlineStr">
        <is>
          <t>100%</t>
        </is>
      </c>
      <c r="M25" s="31" t="inlineStr">
        <is>
          <t>planNudges highest-matching-rule selection</t>
        </is>
      </c>
    </row>
    <row r="26" ht="23.25" customHeight="1" s="20">
      <c r="A26" s="31" t="inlineStr">
        <is>
          <t>ST-023</t>
        </is>
      </c>
      <c r="B26" s="31" t="inlineStr">
        <is>
          <t>F3</t>
        </is>
      </c>
      <c r="C26" s="31" t="inlineStr">
        <is>
          <t>Invoice chase nudges</t>
        </is>
      </c>
      <c r="D26" s="31" t="inlineStr">
        <is>
          <t>As a Accountant partner, I can customise Invoice chase nudges rules/conditions for my workflow</t>
        </is>
      </c>
      <c r="E26" s="31" t="n">
        <v>5</v>
      </c>
      <c r="F26" s="31" t="inlineStr">
        <is>
          <t>P1</t>
        </is>
      </c>
      <c r="G26" s="31" t="inlineStr">
        <is>
          <t>S5</t>
        </is>
      </c>
      <c r="H26" s="31" t="inlineStr">
        <is>
          <t>Done</t>
        </is>
      </c>
      <c r="I26" s="31" t="inlineStr">
        <is>
          <t>v008</t>
        </is>
      </c>
      <c r="J26" s="31" t="inlineStr">
        <is>
          <t>src/invoiceNudges.ts</t>
        </is>
      </c>
      <c r="K26" s="31" t="inlineStr">
        <is>
          <t>tests/invoiceNudges.test.ts</t>
        </is>
      </c>
      <c r="L26" s="31" t="inlineStr">
        <is>
          <t>100%</t>
        </is>
      </c>
      <c r="M26" s="31" t="inlineStr">
        <is>
          <t>validateRules custom rule validation</t>
        </is>
      </c>
    </row>
    <row r="27" ht="23.25" customHeight="1" s="20">
      <c r="A27" s="31" t="inlineStr">
        <is>
          <t>ST-024</t>
        </is>
      </c>
      <c r="B27" s="31" t="inlineStr">
        <is>
          <t>F3</t>
        </is>
      </c>
      <c r="C27" s="31" t="inlineStr">
        <is>
          <t>Invoice chase nudges</t>
        </is>
      </c>
      <c r="D27" s="31" t="inlineStr">
        <is>
          <t>As a user, Invoice chase nudges shows clear errors and retry paths on platform API failures</t>
        </is>
      </c>
      <c r="E27" s="31" t="n">
        <v>3</v>
      </c>
      <c r="F27" s="31" t="inlineStr">
        <is>
          <t>P0</t>
        </is>
      </c>
      <c r="G27" s="31" t="inlineStr">
        <is>
          <t>S5</t>
        </is>
      </c>
      <c r="H27" s="31" t="inlineStr">
        <is>
          <t>Done</t>
        </is>
      </c>
      <c r="I27" s="31" t="inlineStr">
        <is>
          <t>v008</t>
        </is>
      </c>
      <c r="J27" s="31" t="inlineStr">
        <is>
          <t>src/invoiceNudges.ts</t>
        </is>
      </c>
      <c r="K27" s="31" t="inlineStr">
        <is>
          <t>tests/invoiceNudges.test.ts</t>
        </is>
      </c>
      <c r="L27" s="31" t="inlineStr">
        <is>
          <t>100%</t>
        </is>
      </c>
      <c r="M27" s="31" t="inlineStr">
        <is>
          <t>sendNudges one-retry + NUDGE_SEND_FAILED surfacing</t>
        </is>
      </c>
    </row>
    <row r="28" ht="23.25" customHeight="1" s="20">
      <c r="A28" s="31" t="inlineStr">
        <is>
          <t>ST-025</t>
        </is>
      </c>
      <c r="B28" s="31" t="inlineStr">
        <is>
          <t>F3</t>
        </is>
      </c>
      <c r="C28" s="31" t="inlineStr">
        <is>
          <t>Invoice chase nudges</t>
        </is>
      </c>
      <c r="D28" s="31" t="inlineStr">
        <is>
          <t>As a Bookkeeper, Invoice chase nudges works on the web app with Xero deep links + accountant portal surface end-to-end</t>
        </is>
      </c>
      <c r="E28" s="31" t="n">
        <v>5</v>
      </c>
      <c r="F28" s="31" t="inlineStr">
        <is>
          <t>P0</t>
        </is>
      </c>
      <c r="G28" s="31" t="inlineStr">
        <is>
          <t>S5</t>
        </is>
      </c>
      <c r="H28" s="31" t="inlineStr">
        <is>
          <t>Done</t>
        </is>
      </c>
      <c r="I28" s="31" t="inlineStr">
        <is>
          <t>v009</t>
        </is>
      </c>
      <c r="J28" s="31" t="inlineStr">
        <is>
          <t>src/ui/FeatureScreens.tsx</t>
        </is>
      </c>
      <c r="K28" s="31" t="inlineStr">
        <is>
          <t>tests/ui/screens.test.tsx</t>
        </is>
      </c>
      <c r="L28" s="31" t="inlineStr">
        <is>
          <t>100%</t>
        </is>
      </c>
      <c r="M28" s="31" t="inlineStr">
        <is>
          <t>NudgesScreen: planned list, test-mode badge, enable + per-type mute controls</t>
        </is>
      </c>
    </row>
    <row r="29" ht="34.5" customHeight="1" s="20">
      <c r="A29" s="31" t="inlineStr">
        <is>
          <t>ST-026</t>
        </is>
      </c>
      <c r="B29" s="31" t="inlineStr">
        <is>
          <t>F3</t>
        </is>
      </c>
      <c r="C29" s="31" t="inlineStr">
        <is>
          <t>Invoice chase nudges</t>
        </is>
      </c>
      <c r="D29" s="31" t="inlineStr">
        <is>
          <t>As a Accountant partner, I can see Invoice chase nudges performance metrics and trends</t>
        </is>
      </c>
      <c r="E29" s="31" t="n">
        <v>3</v>
      </c>
      <c r="F29" s="31" t="inlineStr">
        <is>
          <t>P1</t>
        </is>
      </c>
      <c r="G29" s="31" t="inlineStr">
        <is>
          <t>S5</t>
        </is>
      </c>
      <c r="H29" s="31" t="inlineStr">
        <is>
          <t>Done</t>
        </is>
      </c>
      <c r="I29" s="31" t="inlineStr">
        <is>
          <t>v009</t>
        </is>
      </c>
      <c r="J29" s="31" t="inlineStr">
        <is>
          <t>src/featureMetrics.ts; src/ui/MetricsPanel.tsx</t>
        </is>
      </c>
      <c r="K29" s="31" t="inlineStr">
        <is>
          <t>tests/rulesNotificationsMetrics.test.ts; tests/ui/screens.test.tsx</t>
        </is>
      </c>
      <c r="L29" s="31" t="inlineStr">
        <is>
          <t>100%</t>
        </is>
      </c>
      <c r="M29" s="31" t="inlineStr">
        <is>
          <t>Shared metrics module + panel</t>
        </is>
      </c>
    </row>
    <row r="30" ht="23.25" customHeight="1" s="20">
      <c r="A30" s="31" t="inlineStr">
        <is>
          <t>ST-027</t>
        </is>
      </c>
      <c r="B30" s="31" t="inlineStr">
        <is>
          <t>F3</t>
        </is>
      </c>
      <c r="C30" s="31" t="inlineStr">
        <is>
          <t>Invoice chase nudges</t>
        </is>
      </c>
      <c r="D30" s="31" t="inlineStr">
        <is>
          <t>As a user, Invoice chase nudges respects role permissions and audit logging</t>
        </is>
      </c>
      <c r="E30" s="31" t="n">
        <v>3</v>
      </c>
      <c r="F30" s="31" t="inlineStr">
        <is>
          <t>P1</t>
        </is>
      </c>
      <c r="G30" s="31" t="inlineStr">
        <is>
          <t>S5</t>
        </is>
      </c>
      <c r="H30" s="31" t="inlineStr">
        <is>
          <t>Done</t>
        </is>
      </c>
      <c r="I30" s="31" t="inlineStr">
        <is>
          <t>v008</t>
        </is>
      </c>
      <c r="J30" s="31" t="inlineStr">
        <is>
          <t>src/permissions.ts</t>
        </is>
      </c>
      <c r="K30" s="31" t="inlineStr">
        <is>
          <t>tests/permissions.test.ts</t>
        </is>
      </c>
      <c r="L30" s="31" t="inlineStr">
        <is>
          <t>100%</t>
        </is>
      </c>
      <c r="M30" s="31" t="inlineStr">
        <is>
          <t>nudge.view/edit/send in role matrix + audit</t>
        </is>
      </c>
    </row>
    <row r="31" ht="23.25" customHeight="1" s="20">
      <c r="A31" s="31" t="inlineStr">
        <is>
          <t>ST-028</t>
        </is>
      </c>
      <c r="B31" s="31" t="inlineStr">
        <is>
          <t>F3</t>
        </is>
      </c>
      <c r="C31" s="31" t="inlineStr">
        <is>
          <t>Invoice chase nudges</t>
        </is>
      </c>
      <c r="D31" s="31" t="inlineStr">
        <is>
          <t>As a SMB owner, I can pause/disable Invoice chase nudges without data loss</t>
        </is>
      </c>
      <c r="E31" s="31" t="n">
        <v>2</v>
      </c>
      <c r="F31" s="31" t="inlineStr">
        <is>
          <t>P2</t>
        </is>
      </c>
      <c r="G31" s="31" t="inlineStr">
        <is>
          <t>S5</t>
        </is>
      </c>
      <c r="H31" s="31" t="inlineStr">
        <is>
          <t>Done</t>
        </is>
      </c>
      <c r="I31" s="31" t="inlineStr">
        <is>
          <t>v008</t>
        </is>
      </c>
      <c r="J31" s="31" t="inlineStr">
        <is>
          <t>src/invoiceNudges.ts</t>
        </is>
      </c>
      <c r="K31" s="31" t="inlineStr">
        <is>
          <t>tests/invoiceNudges.test.ts</t>
        </is>
      </c>
      <c r="L31" s="31" t="inlineStr">
        <is>
          <t>100%</t>
        </is>
      </c>
      <c r="M31" s="31" t="inlineStr">
        <is>
          <t>settings.enabled pause path</t>
        </is>
      </c>
    </row>
    <row r="32" ht="23.25" customHeight="1" s="20">
      <c r="A32" s="31" t="inlineStr">
        <is>
          <t>ST-029</t>
        </is>
      </c>
      <c r="B32" s="31" t="inlineStr">
        <is>
          <t>F3</t>
        </is>
      </c>
      <c r="C32" s="31" t="inlineStr">
        <is>
          <t>Invoice chase nudges</t>
        </is>
      </c>
      <c r="D32" s="31" t="inlineStr">
        <is>
          <t>As a Accountant partner, I can import/migrate existing data into Invoice chase nudges (CSV + competitor importer)</t>
        </is>
      </c>
      <c r="E32" s="31" t="n">
        <v>5</v>
      </c>
      <c r="F32" s="31" t="inlineStr">
        <is>
          <t>P1</t>
        </is>
      </c>
      <c r="G32" s="31" t="inlineStr">
        <is>
          <t>S5</t>
        </is>
      </c>
      <c r="H32" s="31" t="inlineStr">
        <is>
          <t>Done</t>
        </is>
      </c>
      <c r="I32" s="31" t="inlineStr">
        <is>
          <t>v008</t>
        </is>
      </c>
      <c r="J32" s="31" t="inlineStr">
        <is>
          <t>src/accountantPortal.ts</t>
        </is>
      </c>
      <c r="K32" s="31" t="inlineStr">
        <is>
          <t>tests/accountantPortal.test.ts</t>
        </is>
      </c>
      <c r="L32" s="31" t="inlineStr">
        <is>
          <t>100%</t>
        </is>
      </c>
      <c r="M32" s="31" t="inlineStr">
        <is>
          <t>importCsv shared migration importer</t>
        </is>
      </c>
    </row>
    <row r="33" ht="23.25" customHeight="1" s="20">
      <c r="A33" s="31" t="inlineStr">
        <is>
          <t>ST-030</t>
        </is>
      </c>
      <c r="B33" s="31" t="inlineStr">
        <is>
          <t>F3</t>
        </is>
      </c>
      <c r="C33" s="31" t="inlineStr">
        <is>
          <t>Invoice chase nudges</t>
        </is>
      </c>
      <c r="D33" s="31" t="inlineStr">
        <is>
          <t>As a user, I get notifications (in-app + email) for key Invoice chase nudges events with per-type mute</t>
        </is>
      </c>
      <c r="E33" s="31" t="n">
        <v>3</v>
      </c>
      <c r="F33" s="31" t="inlineStr">
        <is>
          <t>P2</t>
        </is>
      </c>
      <c r="G33" s="31" t="inlineStr">
        <is>
          <t>S5</t>
        </is>
      </c>
      <c r="H33" s="31" t="inlineStr">
        <is>
          <t>Done</t>
        </is>
      </c>
      <c r="I33" s="31" t="inlineStr">
        <is>
          <t>v008</t>
        </is>
      </c>
      <c r="J33" s="31" t="inlineStr">
        <is>
          <t>src/invoiceNudges.ts</t>
        </is>
      </c>
      <c r="K33" s="31" t="inlineStr">
        <is>
          <t>tests/invoiceNudges.test.ts</t>
        </is>
      </c>
      <c r="L33" s="31" t="inlineStr">
        <is>
          <t>100%</t>
        </is>
      </c>
      <c r="M33" s="31" t="inlineStr">
        <is>
          <t>mutedTypes per-type mute</t>
        </is>
      </c>
    </row>
    <row r="34" ht="23.25" customHeight="1" s="20">
      <c r="A34" s="31" t="inlineStr">
        <is>
          <t>ST-031</t>
        </is>
      </c>
      <c r="B34" s="31" t="inlineStr">
        <is>
          <t>F4</t>
        </is>
      </c>
      <c r="C34" s="31" t="inlineStr">
        <is>
          <t>Accountant portal</t>
        </is>
      </c>
      <c r="D34" s="31" t="inlineStr">
        <is>
          <t>As a SMB owner, I can set up Accountant portal with sensible defaults in one screen</t>
        </is>
      </c>
      <c r="E34" s="31" t="n">
        <v>5</v>
      </c>
      <c r="F34" s="31" t="inlineStr">
        <is>
          <t>P0</t>
        </is>
      </c>
      <c r="G34" s="31" t="inlineStr">
        <is>
          <t>S6</t>
        </is>
      </c>
      <c r="H34" s="31" t="inlineStr">
        <is>
          <t>Done</t>
        </is>
      </c>
      <c r="I34" s="31" t="inlineStr">
        <is>
          <t>v008</t>
        </is>
      </c>
      <c r="J34" s="31" t="inlineStr">
        <is>
          <t>src/accountantPortal.ts</t>
        </is>
      </c>
      <c r="K34" s="31" t="inlineStr">
        <is>
          <t>tests/accountantPortal.test.ts</t>
        </is>
      </c>
      <c r="L34" s="31" t="inlineStr">
        <is>
          <t>100%</t>
        </is>
      </c>
      <c r="M34" s="31" t="inlineStr">
        <is>
          <t>addClient multi-client link</t>
        </is>
      </c>
    </row>
    <row r="35" ht="23.25" customHeight="1" s="20">
      <c r="A35" s="31" t="inlineStr">
        <is>
          <t>ST-032</t>
        </is>
      </c>
      <c r="B35" s="31" t="inlineStr">
        <is>
          <t>F4</t>
        </is>
      </c>
      <c r="C35" s="31" t="inlineStr">
        <is>
          <t>Accountant portal</t>
        </is>
      </c>
      <c r="D35" s="31" t="inlineStr">
        <is>
          <t>As a SMB owner, the Accountant portal happy path completes without documentation</t>
        </is>
      </c>
      <c r="E35" s="31" t="n">
        <v>8</v>
      </c>
      <c r="F35" s="31" t="inlineStr">
        <is>
          <t>P0</t>
        </is>
      </c>
      <c r="G35" s="31" t="inlineStr">
        <is>
          <t>S6</t>
        </is>
      </c>
      <c r="H35" s="31" t="inlineStr">
        <is>
          <t>Done</t>
        </is>
      </c>
      <c r="I35" s="31" t="inlineStr">
        <is>
          <t>v008</t>
        </is>
      </c>
      <c r="J35" s="31" t="inlineStr">
        <is>
          <t>src/accountantPortal.ts</t>
        </is>
      </c>
      <c r="K35" s="31" t="inlineStr">
        <is>
          <t>tests/accountantPortal.test.ts</t>
        </is>
      </c>
      <c r="L35" s="31" t="inlineStr">
        <is>
          <t>100%</t>
        </is>
      </c>
      <c r="M35" s="31" t="inlineStr">
        <is>
          <t>clientBook reds-first rollup</t>
        </is>
      </c>
    </row>
    <row r="36" ht="23.25" customHeight="1" s="20">
      <c r="A36" s="31" t="inlineStr">
        <is>
          <t>ST-033</t>
        </is>
      </c>
      <c r="B36" s="31" t="inlineStr">
        <is>
          <t>F4</t>
        </is>
      </c>
      <c r="C36" s="31" t="inlineStr">
        <is>
          <t>Accountant portal</t>
        </is>
      </c>
      <c r="D36" s="31" t="inlineStr">
        <is>
          <t>As a Accountant partner, I can customise Accountant portal rules/conditions for my workflow</t>
        </is>
      </c>
      <c r="E36" s="31" t="n">
        <v>5</v>
      </c>
      <c r="F36" s="31" t="inlineStr">
        <is>
          <t>P1</t>
        </is>
      </c>
      <c r="G36" s="31" t="inlineStr">
        <is>
          <t>S6</t>
        </is>
      </c>
      <c r="H36" s="31" t="inlineStr">
        <is>
          <t>Done</t>
        </is>
      </c>
      <c r="I36" s="31" t="inlineStr">
        <is>
          <t>v009</t>
        </is>
      </c>
      <c r="J36" s="31" t="inlineStr">
        <is>
          <t>src/notifications.ts (applyPortalRules)</t>
        </is>
      </c>
      <c r="K36" s="31" t="inlineStr">
        <is>
          <t>tests/rulesNotificationsMetrics.test.ts</t>
        </is>
      </c>
      <c r="L36" s="31" t="inlineStr">
        <is>
          <t>100%</t>
        </is>
      </c>
      <c r="M36" s="31" t="inlineStr">
        <is>
          <t>client_red / client_amber / light_changed triggers -&gt; notify / pin_top</t>
        </is>
      </c>
    </row>
    <row r="37" ht="23.25" customHeight="1" s="20">
      <c r="A37" s="31" t="inlineStr">
        <is>
          <t>ST-034</t>
        </is>
      </c>
      <c r="B37" s="31" t="inlineStr">
        <is>
          <t>F4</t>
        </is>
      </c>
      <c r="C37" s="31" t="inlineStr">
        <is>
          <t>Accountant portal</t>
        </is>
      </c>
      <c r="D37" s="31" t="inlineStr">
        <is>
          <t>As a user, Accountant portal shows clear errors and retry paths on platform API failures</t>
        </is>
      </c>
      <c r="E37" s="31" t="n">
        <v>3</v>
      </c>
      <c r="F37" s="31" t="inlineStr">
        <is>
          <t>P0</t>
        </is>
      </c>
      <c r="G37" s="31" t="inlineStr">
        <is>
          <t>S6</t>
        </is>
      </c>
      <c r="H37" s="31" t="inlineStr">
        <is>
          <t>Done</t>
        </is>
      </c>
      <c r="I37" s="31" t="inlineStr">
        <is>
          <t>v008</t>
        </is>
      </c>
      <c r="J37" s="31" t="inlineStr">
        <is>
          <t>src/accountantPortal.ts</t>
        </is>
      </c>
      <c r="K37" s="31" t="inlineStr">
        <is>
          <t>tests/accountantPortal.test.ts</t>
        </is>
      </c>
      <c r="L37" s="31" t="inlineStr">
        <is>
          <t>100%</t>
        </is>
      </c>
      <c r="M37" s="31" t="inlineStr">
        <is>
          <t>PORTAL_DUPLICATE / PORTAL_NOT_FOUND error paths</t>
        </is>
      </c>
    </row>
    <row r="38" ht="23.25" customHeight="1" s="20">
      <c r="A38" s="31" t="inlineStr">
        <is>
          <t>ST-035</t>
        </is>
      </c>
      <c r="B38" s="31" t="inlineStr">
        <is>
          <t>F4</t>
        </is>
      </c>
      <c r="C38" s="31" t="inlineStr">
        <is>
          <t>Accountant portal</t>
        </is>
      </c>
      <c r="D38" s="31" t="inlineStr">
        <is>
          <t>As a Bookkeeper, Accountant portal works on the web app with Xero deep links + accountant portal surface end-to-end</t>
        </is>
      </c>
      <c r="E38" s="31" t="n">
        <v>5</v>
      </c>
      <c r="F38" s="31" t="inlineStr">
        <is>
          <t>P0</t>
        </is>
      </c>
      <c r="G38" s="31" t="inlineStr">
        <is>
          <t>S6</t>
        </is>
      </c>
      <c r="H38" s="31" t="inlineStr">
        <is>
          <t>Done</t>
        </is>
      </c>
      <c r="I38" s="31" t="inlineStr">
        <is>
          <t>v009</t>
        </is>
      </c>
      <c r="J38" s="31" t="inlineStr">
        <is>
          <t>src/ui/FeatureScreens.tsx</t>
        </is>
      </c>
      <c r="K38" s="31" t="inlineStr">
        <is>
          <t>tests/ui/screens.test.tsx</t>
        </is>
      </c>
      <c r="L38" s="31" t="inlineStr">
        <is>
          <t>100%</t>
        </is>
      </c>
      <c r="M38" s="31" t="inlineStr">
        <is>
          <t>PortalScreen: client book, lights, contact deep links, empty state</t>
        </is>
      </c>
    </row>
    <row r="39" ht="34.5" customHeight="1" s="20">
      <c r="A39" s="31" t="inlineStr">
        <is>
          <t>ST-036</t>
        </is>
      </c>
      <c r="B39" s="31" t="inlineStr">
        <is>
          <t>F4</t>
        </is>
      </c>
      <c r="C39" s="31" t="inlineStr">
        <is>
          <t>Accountant portal</t>
        </is>
      </c>
      <c r="D39" s="31" t="inlineStr">
        <is>
          <t>As a Accountant partner, I can see Accountant portal performance metrics and trends</t>
        </is>
      </c>
      <c r="E39" s="31" t="n">
        <v>3</v>
      </c>
      <c r="F39" s="31" t="inlineStr">
        <is>
          <t>P1</t>
        </is>
      </c>
      <c r="G39" s="31" t="inlineStr">
        <is>
          <t>S6</t>
        </is>
      </c>
      <c r="H39" s="31" t="inlineStr">
        <is>
          <t>Done</t>
        </is>
      </c>
      <c r="I39" s="31" t="inlineStr">
        <is>
          <t>v009</t>
        </is>
      </c>
      <c r="J39" s="31" t="inlineStr">
        <is>
          <t>src/featureMetrics.ts; src/ui/MetricsPanel.tsx</t>
        </is>
      </c>
      <c r="K39" s="31" t="inlineStr">
        <is>
          <t>tests/rulesNotificationsMetrics.test.ts; tests/ui/screens.test.tsx</t>
        </is>
      </c>
      <c r="L39" s="31" t="inlineStr">
        <is>
          <t>100%</t>
        </is>
      </c>
      <c r="M39" s="31" t="inlineStr">
        <is>
          <t>Shared metrics module + panel</t>
        </is>
      </c>
    </row>
    <row r="40" ht="23.25" customHeight="1" s="20">
      <c r="A40" s="31" t="inlineStr">
        <is>
          <t>ST-037</t>
        </is>
      </c>
      <c r="B40" s="31" t="inlineStr">
        <is>
          <t>F4</t>
        </is>
      </c>
      <c r="C40" s="31" t="inlineStr">
        <is>
          <t>Accountant portal</t>
        </is>
      </c>
      <c r="D40" s="31" t="inlineStr">
        <is>
          <t>As a user, Accountant portal respects role permissions and audit logging</t>
        </is>
      </c>
      <c r="E40" s="31" t="n">
        <v>3</v>
      </c>
      <c r="F40" s="31" t="inlineStr">
        <is>
          <t>P1</t>
        </is>
      </c>
      <c r="G40" s="31" t="inlineStr">
        <is>
          <t>S6</t>
        </is>
      </c>
      <c r="H40" s="31" t="inlineStr">
        <is>
          <t>Done</t>
        </is>
      </c>
      <c r="I40" s="31" t="inlineStr">
        <is>
          <t>v008</t>
        </is>
      </c>
      <c r="J40" s="31" t="inlineStr">
        <is>
          <t>src/permissions.ts</t>
        </is>
      </c>
      <c r="K40" s="31" t="inlineStr">
        <is>
          <t>tests/permissions.test.ts</t>
        </is>
      </c>
      <c r="L40" s="31" t="inlineStr">
        <is>
          <t>100%</t>
        </is>
      </c>
      <c r="M40" s="31" t="inlineStr">
        <is>
          <t>portal.view/manageClients in role matrix + audit</t>
        </is>
      </c>
    </row>
    <row r="41" ht="23.25" customHeight="1" s="20">
      <c r="A41" s="31" t="inlineStr">
        <is>
          <t>ST-038</t>
        </is>
      </c>
      <c r="B41" s="31" t="inlineStr">
        <is>
          <t>F4</t>
        </is>
      </c>
      <c r="C41" s="31" t="inlineStr">
        <is>
          <t>Accountant portal</t>
        </is>
      </c>
      <c r="D41" s="31" t="inlineStr">
        <is>
          <t>As a SMB owner, I can pause/disable Accountant portal without data loss</t>
        </is>
      </c>
      <c r="E41" s="31" t="n">
        <v>2</v>
      </c>
      <c r="F41" s="31" t="inlineStr">
        <is>
          <t>P2</t>
        </is>
      </c>
      <c r="G41" s="31" t="inlineStr">
        <is>
          <t>S6</t>
        </is>
      </c>
      <c r="H41" s="31" t="inlineStr">
        <is>
          <t>Done</t>
        </is>
      </c>
      <c r="I41" s="31" t="inlineStr">
        <is>
          <t>v009</t>
        </is>
      </c>
      <c r="J41" s="31" t="inlineStr">
        <is>
          <t>src/notifications.ts (featureToggles)</t>
        </is>
      </c>
      <c r="K41" s="31" t="inlineStr">
        <is>
          <t>tests/rulesNotificationsMetrics.test.ts</t>
        </is>
      </c>
      <c r="L41" s="31" t="inlineStr">
        <is>
          <t>100%</t>
        </is>
      </c>
      <c r="M41" s="31" t="inlineStr">
        <is>
          <t>setFeatureEnabled preserves all config/data</t>
        </is>
      </c>
    </row>
    <row r="42" ht="23.25" customHeight="1" s="20">
      <c r="A42" s="31" t="inlineStr">
        <is>
          <t>ST-039</t>
        </is>
      </c>
      <c r="B42" s="31" t="inlineStr">
        <is>
          <t>F4</t>
        </is>
      </c>
      <c r="C42" s="31" t="inlineStr">
        <is>
          <t>Accountant portal</t>
        </is>
      </c>
      <c r="D42" s="31" t="inlineStr">
        <is>
          <t>As a Accountant partner, I can import/migrate existing data into Accountant portal (CSV + competitor importer)</t>
        </is>
      </c>
      <c r="E42" s="31" t="n">
        <v>5</v>
      </c>
      <c r="F42" s="31" t="inlineStr">
        <is>
          <t>P1</t>
        </is>
      </c>
      <c r="G42" s="31" t="inlineStr">
        <is>
          <t>S6</t>
        </is>
      </c>
      <c r="H42" s="31" t="inlineStr">
        <is>
          <t>Done</t>
        </is>
      </c>
      <c r="I42" s="31" t="inlineStr">
        <is>
          <t>v008</t>
        </is>
      </c>
      <c r="J42" s="31" t="inlineStr">
        <is>
          <t>src/accountantPortal.ts</t>
        </is>
      </c>
      <c r="K42" s="31" t="inlineStr">
        <is>
          <t>tests/accountantPortal.test.ts</t>
        </is>
      </c>
      <c r="L42" s="31" t="inlineStr">
        <is>
          <t>100%</t>
        </is>
      </c>
      <c r="M42" s="31" t="inlineStr">
        <is>
          <t>importCsv shared migration importer</t>
        </is>
      </c>
    </row>
    <row r="43" ht="23.25" customHeight="1" s="20">
      <c r="A43" s="31" t="inlineStr">
        <is>
          <t>ST-040</t>
        </is>
      </c>
      <c r="B43" s="31" t="inlineStr">
        <is>
          <t>F4</t>
        </is>
      </c>
      <c r="C43" s="31" t="inlineStr">
        <is>
          <t>Accountant portal</t>
        </is>
      </c>
      <c r="D43" s="31" t="inlineStr">
        <is>
          <t>As a user, I get notifications (in-app + email) for key Accountant portal events with per-type mute</t>
        </is>
      </c>
      <c r="E43" s="31" t="n">
        <v>3</v>
      </c>
      <c r="F43" s="31" t="inlineStr">
        <is>
          <t>P2</t>
        </is>
      </c>
      <c r="G43" s="31" t="inlineStr">
        <is>
          <t>S6</t>
        </is>
      </c>
      <c r="H43" s="31" t="inlineStr">
        <is>
          <t>Done</t>
        </is>
      </c>
      <c r="I43" s="31" t="inlineStr">
        <is>
          <t>v010</t>
        </is>
      </c>
      <c r="J43" s="31" t="inlineStr">
        <is>
          <t>src/notifications.ts</t>
        </is>
      </c>
      <c r="K43" s="31" t="inlineStr">
        <is>
          <t>tests/ui/reliabilityDemoA11y.test.tsx</t>
        </is>
      </c>
      <c r="L43" s="31" t="inlineStr">
        <is>
          <t>100%</t>
        </is>
      </c>
      <c r="M43" s="31" t="inlineStr">
        <is>
          <t>portal.* event types in dispatch/mute/digest</t>
        </is>
      </c>
    </row>
    <row r="44" ht="23.25" customHeight="1" s="20">
      <c r="A44" s="31" t="inlineStr">
        <is>
          <t>ST-041</t>
        </is>
      </c>
      <c r="B44" s="31" t="inlineStr">
        <is>
          <t>F5</t>
        </is>
      </c>
      <c r="C44" s="31" t="inlineStr">
        <is>
          <t>Bank-feed anomaly alerts</t>
        </is>
      </c>
      <c r="D44" s="31" t="inlineStr">
        <is>
          <t>As a SMB owner, I can set up Bank-feed anomaly alerts with sensible defaults in one screen</t>
        </is>
      </c>
      <c r="E44" s="31" t="n">
        <v>5</v>
      </c>
      <c r="F44" s="31" t="inlineStr">
        <is>
          <t>P0</t>
        </is>
      </c>
      <c r="G44" s="31" t="inlineStr">
        <is>
          <t>S8</t>
        </is>
      </c>
      <c r="H44" s="31" t="inlineStr">
        <is>
          <t>Done</t>
        </is>
      </c>
      <c r="I44" s="31" t="inlineStr">
        <is>
          <t>v008</t>
        </is>
      </c>
      <c r="J44" s="31" t="inlineStr">
        <is>
          <t>src/anomalyAlerts.ts</t>
        </is>
      </c>
      <c r="K44" s="31" t="inlineStr">
        <is>
          <t>tests/anomalyAlerts.test.ts</t>
        </is>
      </c>
      <c r="L44" s="31" t="inlineStr">
        <is>
          <t>100%</t>
        </is>
      </c>
      <c r="M44" s="31" t="inlineStr">
        <is>
          <t>defaultConfig sensible thresholds</t>
        </is>
      </c>
    </row>
    <row r="45" ht="23.25" customHeight="1" s="20">
      <c r="A45" s="31" t="inlineStr">
        <is>
          <t>ST-042</t>
        </is>
      </c>
      <c r="B45" s="31" t="inlineStr">
        <is>
          <t>F5</t>
        </is>
      </c>
      <c r="C45" s="31" t="inlineStr">
        <is>
          <t>Bank-feed anomaly alerts</t>
        </is>
      </c>
      <c r="D45" s="31" t="inlineStr">
        <is>
          <t>As a SMB owner, the Bank-feed anomaly alerts happy path completes without documentation</t>
        </is>
      </c>
      <c r="E45" s="31" t="n">
        <v>8</v>
      </c>
      <c r="F45" s="31" t="inlineStr">
        <is>
          <t>P0</t>
        </is>
      </c>
      <c r="G45" s="31" t="inlineStr">
        <is>
          <t>S8</t>
        </is>
      </c>
      <c r="H45" s="31" t="inlineStr">
        <is>
          <t>Done</t>
        </is>
      </c>
      <c r="I45" s="31" t="inlineStr">
        <is>
          <t>v008</t>
        </is>
      </c>
      <c r="J45" s="31" t="inlineStr">
        <is>
          <t>src/anomalyAlerts.ts</t>
        </is>
      </c>
      <c r="K45" s="31" t="inlineStr">
        <is>
          <t>tests/anomalyAlerts.test.ts</t>
        </is>
      </c>
      <c r="L45" s="31" t="inlineStr">
        <is>
          <t>100%</t>
        </is>
      </c>
      <c r="M45" s="31" t="inlineStr">
        <is>
          <t>detectAnomalies z-score outliers + duplicate window</t>
        </is>
      </c>
    </row>
    <row r="46" ht="23.25" customHeight="1" s="20">
      <c r="A46" s="31" t="inlineStr">
        <is>
          <t>ST-043</t>
        </is>
      </c>
      <c r="B46" s="31" t="inlineStr">
        <is>
          <t>F5</t>
        </is>
      </c>
      <c r="C46" s="31" t="inlineStr">
        <is>
          <t>Bank-feed anomaly alerts</t>
        </is>
      </c>
      <c r="D46" s="31" t="inlineStr">
        <is>
          <t>As a Accountant partner, I can customise Bank-feed anomaly alerts rules/conditions for my workflow</t>
        </is>
      </c>
      <c r="E46" s="31" t="n">
        <v>5</v>
      </c>
      <c r="F46" s="31" t="inlineStr">
        <is>
          <t>P1</t>
        </is>
      </c>
      <c r="G46" s="31" t="inlineStr">
        <is>
          <t>S8</t>
        </is>
      </c>
      <c r="H46" s="31" t="inlineStr">
        <is>
          <t>Done</t>
        </is>
      </c>
      <c r="I46" s="31" t="inlineStr">
        <is>
          <t>v008</t>
        </is>
      </c>
      <c r="J46" s="31" t="inlineStr">
        <is>
          <t>src/anomalyAlerts.ts</t>
        </is>
      </c>
      <c r="K46" s="31" t="inlineStr">
        <is>
          <t>tests/anomalyAlerts.test.ts</t>
        </is>
      </c>
      <c r="L46" s="31" t="inlineStr">
        <is>
          <t>100%</t>
        </is>
      </c>
      <c r="M46" s="31" t="inlineStr">
        <is>
          <t>validateConfig custom thresholds</t>
        </is>
      </c>
    </row>
    <row r="47" ht="23.25" customHeight="1" s="20">
      <c r="A47" s="31" t="inlineStr">
        <is>
          <t>ST-044</t>
        </is>
      </c>
      <c r="B47" s="31" t="inlineStr">
        <is>
          <t>F5</t>
        </is>
      </c>
      <c r="C47" s="31" t="inlineStr">
        <is>
          <t>Bank-feed anomaly alerts</t>
        </is>
      </c>
      <c r="D47" s="31" t="inlineStr">
        <is>
          <t>As a user, Bank-feed anomaly alerts shows clear errors and retry paths on platform API failures</t>
        </is>
      </c>
      <c r="E47" s="31" t="n">
        <v>3</v>
      </c>
      <c r="F47" s="31" t="inlineStr">
        <is>
          <t>P0</t>
        </is>
      </c>
      <c r="G47" s="31" t="inlineStr">
        <is>
          <t>S8</t>
        </is>
      </c>
      <c r="H47" s="31" t="inlineStr">
        <is>
          <t>Done</t>
        </is>
      </c>
      <c r="I47" s="31" t="inlineStr">
        <is>
          <t>v008</t>
        </is>
      </c>
      <c r="J47" s="31" t="inlineStr">
        <is>
          <t>src/anomalyAlerts.ts</t>
        </is>
      </c>
      <c r="K47" s="31" t="inlineStr">
        <is>
          <t>tests/anomalyAlerts.test.ts</t>
        </is>
      </c>
      <c r="L47" s="31" t="inlineStr">
        <is>
          <t>100%</t>
        </is>
      </c>
      <c r="M47" s="31" t="inlineStr">
        <is>
          <t>ANOMALY_INVALID errors; upstream retry wrapper</t>
        </is>
      </c>
    </row>
    <row r="48" ht="34.5" customHeight="1" s="20">
      <c r="A48" s="31" t="inlineStr">
        <is>
          <t>ST-045</t>
        </is>
      </c>
      <c r="B48" s="31" t="inlineStr">
        <is>
          <t>F5</t>
        </is>
      </c>
      <c r="C48" s="31" t="inlineStr">
        <is>
          <t>Bank-feed anomaly alerts</t>
        </is>
      </c>
      <c r="D48" s="31" t="inlineStr">
        <is>
          <t>As a Bookkeeper, Bank-feed anomaly alerts works on the web app with Xero deep links + accountant portal surface end-to-end</t>
        </is>
      </c>
      <c r="E48" s="31" t="n">
        <v>5</v>
      </c>
      <c r="F48" s="31" t="inlineStr">
        <is>
          <t>P0</t>
        </is>
      </c>
      <c r="G48" s="31" t="inlineStr">
        <is>
          <t>S8</t>
        </is>
      </c>
      <c r="H48" s="31" t="inlineStr">
        <is>
          <t>Done</t>
        </is>
      </c>
      <c r="I48" s="31" t="inlineStr">
        <is>
          <t>v009</t>
        </is>
      </c>
      <c r="J48" s="31" t="inlineStr">
        <is>
          <t>src/ui/FeatureScreens.tsx</t>
        </is>
      </c>
      <c r="K48" s="31" t="inlineStr">
        <is>
          <t>tests/ui/screens.test.tsx</t>
        </is>
      </c>
      <c r="L48" s="31" t="inlineStr">
        <is>
          <t>100%</t>
        </is>
      </c>
      <c r="M48" s="31" t="inlineStr">
        <is>
          <t>AnomaliesScreen: alert list, paused state, bank-txn deep link, empty state</t>
        </is>
      </c>
    </row>
    <row r="49" ht="34.5" customHeight="1" s="20">
      <c r="A49" s="31" t="inlineStr">
        <is>
          <t>ST-046</t>
        </is>
      </c>
      <c r="B49" s="31" t="inlineStr">
        <is>
          <t>F5</t>
        </is>
      </c>
      <c r="C49" s="31" t="inlineStr">
        <is>
          <t>Bank-feed anomaly alerts</t>
        </is>
      </c>
      <c r="D49" s="31" t="inlineStr">
        <is>
          <t>As a Accountant partner, I can see Bank-feed anomaly alerts performance metrics and trends</t>
        </is>
      </c>
      <c r="E49" s="31" t="n">
        <v>3</v>
      </c>
      <c r="F49" s="31" t="inlineStr">
        <is>
          <t>P1</t>
        </is>
      </c>
      <c r="G49" s="31" t="inlineStr">
        <is>
          <t>S8</t>
        </is>
      </c>
      <c r="H49" s="31" t="inlineStr">
        <is>
          <t>Done</t>
        </is>
      </c>
      <c r="I49" s="31" t="inlineStr">
        <is>
          <t>v009</t>
        </is>
      </c>
      <c r="J49" s="31" t="inlineStr">
        <is>
          <t>src/featureMetrics.ts; src/ui/MetricsPanel.tsx</t>
        </is>
      </c>
      <c r="K49" s="31" t="inlineStr">
        <is>
          <t>tests/rulesNotificationsMetrics.test.ts; tests/ui/screens.test.tsx</t>
        </is>
      </c>
      <c r="L49" s="31" t="inlineStr">
        <is>
          <t>100%</t>
        </is>
      </c>
      <c r="M49" s="31" t="inlineStr">
        <is>
          <t>Shared metrics module + panel</t>
        </is>
      </c>
    </row>
    <row r="50" ht="23.25" customHeight="1" s="20">
      <c r="A50" s="31" t="inlineStr">
        <is>
          <t>ST-047</t>
        </is>
      </c>
      <c r="B50" s="31" t="inlineStr">
        <is>
          <t>F5</t>
        </is>
      </c>
      <c r="C50" s="31" t="inlineStr">
        <is>
          <t>Bank-feed anomaly alerts</t>
        </is>
      </c>
      <c r="D50" s="31" t="inlineStr">
        <is>
          <t>As a user, Bank-feed anomaly alerts respects role permissions and audit logging</t>
        </is>
      </c>
      <c r="E50" s="31" t="n">
        <v>3</v>
      </c>
      <c r="F50" s="31" t="inlineStr">
        <is>
          <t>P1</t>
        </is>
      </c>
      <c r="G50" s="31" t="inlineStr">
        <is>
          <t>S8</t>
        </is>
      </c>
      <c r="H50" s="31" t="inlineStr">
        <is>
          <t>Done</t>
        </is>
      </c>
      <c r="I50" s="31" t="inlineStr">
        <is>
          <t>v008</t>
        </is>
      </c>
      <c r="J50" s="31" t="inlineStr">
        <is>
          <t>src/permissions.ts</t>
        </is>
      </c>
      <c r="K50" s="31" t="inlineStr">
        <is>
          <t>tests/permissions.test.ts</t>
        </is>
      </c>
      <c r="L50" s="31" t="inlineStr">
        <is>
          <t>100%</t>
        </is>
      </c>
      <c r="M50" s="31" t="inlineStr">
        <is>
          <t>anomaly.view/configure in role matrix + audit</t>
        </is>
      </c>
    </row>
    <row r="51" ht="23.25" customHeight="1" s="20">
      <c r="A51" s="31" t="inlineStr">
        <is>
          <t>ST-048</t>
        </is>
      </c>
      <c r="B51" s="31" t="inlineStr">
        <is>
          <t>F5</t>
        </is>
      </c>
      <c r="C51" s="31" t="inlineStr">
        <is>
          <t>Bank-feed anomaly alerts</t>
        </is>
      </c>
      <c r="D51" s="31" t="inlineStr">
        <is>
          <t>As a SMB owner, I can pause/disable Bank-feed anomaly alerts without data loss</t>
        </is>
      </c>
      <c r="E51" s="31" t="n">
        <v>2</v>
      </c>
      <c r="F51" s="31" t="inlineStr">
        <is>
          <t>P2</t>
        </is>
      </c>
      <c r="G51" s="31" t="inlineStr">
        <is>
          <t>S8</t>
        </is>
      </c>
      <c r="H51" s="31" t="inlineStr">
        <is>
          <t>Done</t>
        </is>
      </c>
      <c r="I51" s="31" t="inlineStr">
        <is>
          <t>v008</t>
        </is>
      </c>
      <c r="J51" s="31" t="inlineStr">
        <is>
          <t>src/anomalyAlerts.ts</t>
        </is>
      </c>
      <c r="K51" s="31" t="inlineStr">
        <is>
          <t>tests/anomalyAlerts.test.ts</t>
        </is>
      </c>
      <c r="L51" s="31" t="inlineStr">
        <is>
          <t>100%</t>
        </is>
      </c>
      <c r="M51" s="31" t="inlineStr">
        <is>
          <t>config.enabled pause path</t>
        </is>
      </c>
    </row>
    <row r="52" ht="23.25" customHeight="1" s="20">
      <c r="A52" s="31" t="inlineStr">
        <is>
          <t>ST-049</t>
        </is>
      </c>
      <c r="B52" s="31" t="inlineStr">
        <is>
          <t>F5</t>
        </is>
      </c>
      <c r="C52" s="31" t="inlineStr">
        <is>
          <t>Bank-feed anomaly alerts</t>
        </is>
      </c>
      <c r="D52" s="31" t="inlineStr">
        <is>
          <t>As a Accountant partner, I can import/migrate existing data into Bank-feed anomaly alerts (CSV + competitor importer)</t>
        </is>
      </c>
      <c r="E52" s="31" t="n">
        <v>5</v>
      </c>
      <c r="F52" s="31" t="inlineStr">
        <is>
          <t>P1</t>
        </is>
      </c>
      <c r="G52" s="31" t="inlineStr">
        <is>
          <t>S8</t>
        </is>
      </c>
      <c r="H52" s="31" t="inlineStr">
        <is>
          <t>Done</t>
        </is>
      </c>
      <c r="I52" s="31" t="inlineStr">
        <is>
          <t>v008</t>
        </is>
      </c>
      <c r="J52" s="31" t="inlineStr">
        <is>
          <t>src/accountantPortal.ts</t>
        </is>
      </c>
      <c r="K52" s="31" t="inlineStr">
        <is>
          <t>tests/accountantPortal.test.ts</t>
        </is>
      </c>
      <c r="L52" s="31" t="inlineStr">
        <is>
          <t>100%</t>
        </is>
      </c>
      <c r="M52" s="31" t="inlineStr">
        <is>
          <t>importCsv shared migration importer</t>
        </is>
      </c>
    </row>
    <row r="53" ht="23.25" customHeight="1" s="20">
      <c r="A53" s="31" t="inlineStr">
        <is>
          <t>ST-050</t>
        </is>
      </c>
      <c r="B53" s="31" t="inlineStr">
        <is>
          <t>F5</t>
        </is>
      </c>
      <c r="C53" s="31" t="inlineStr">
        <is>
          <t>Bank-feed anomaly alerts</t>
        </is>
      </c>
      <c r="D53" s="31" t="inlineStr">
        <is>
          <t>As a user, I get notifications (in-app + email) for key Bank-feed anomaly alerts events with per-type mute</t>
        </is>
      </c>
      <c r="E53" s="31" t="n">
        <v>3</v>
      </c>
      <c r="F53" s="31" t="inlineStr">
        <is>
          <t>P2</t>
        </is>
      </c>
      <c r="G53" s="31" t="inlineStr">
        <is>
          <t>S8</t>
        </is>
      </c>
      <c r="H53" s="31" t="inlineStr">
        <is>
          <t>Done</t>
        </is>
      </c>
      <c r="I53" s="31" t="inlineStr">
        <is>
          <t>v009</t>
        </is>
      </c>
      <c r="J53" s="31" t="inlineStr">
        <is>
          <t>src/notifications.ts</t>
        </is>
      </c>
      <c r="K53" s="31" t="inlineStr">
        <is>
          <t>tests/rulesNotificationsMetrics.test.ts</t>
        </is>
      </c>
      <c r="L53" s="31" t="inlineStr">
        <is>
          <t>100%</t>
        </is>
      </c>
      <c r="M53" s="31" t="inlineStr">
        <is>
          <t>anomaly.* event types in dispatch + digest with per-type mute</t>
        </is>
      </c>
    </row>
    <row r="54" ht="23.25" customHeight="1" s="20">
      <c r="A54" s="24" t="inlineStr">
        <is>
          <t>ST-051</t>
        </is>
      </c>
      <c r="B54" s="24" t="inlineStr">
        <is>
          <t>E1</t>
        </is>
      </c>
      <c r="C54" s="24" t="inlineStr">
        <is>
          <t>Install &amp; identity</t>
        </is>
      </c>
      <c r="D54" s="24" t="inlineStr">
        <is>
          <t>Marketplace OAuth install completes and lands on welcome state in &lt;2 min</t>
        </is>
      </c>
      <c r="E54" s="24" t="n">
        <v>5</v>
      </c>
      <c r="F54" s="24" t="inlineStr">
        <is>
          <t>P0</t>
        </is>
      </c>
      <c r="G54" s="24" t="inlineStr">
        <is>
          <t>S1</t>
        </is>
      </c>
      <c r="H54" s="24" t="inlineStr">
        <is>
          <t>Code-complete — pending live</t>
        </is>
      </c>
      <c r="I54" s="24" t="inlineStr">
        <is>
          <t>—</t>
        </is>
      </c>
      <c r="J54" s="24" t="inlineStr">
        <is>
          <t>src/installFlow.ts</t>
        </is>
      </c>
      <c r="K54" s="24" t="inlineStr">
        <is>
          <t>tests/installFlow.test.ts</t>
        </is>
      </c>
      <c r="L54" s="24" t="inlineStr">
        <is>
          <t>100%</t>
        </is>
      </c>
      <c r="M54" s="24" t="inlineStr">
        <is>
          <t>OAuth exchange + welcome state; Xero client mocked — needs live dev-org install</t>
        </is>
      </c>
    </row>
    <row r="55" ht="23.25" customHeight="1" s="20">
      <c r="A55" s="24" t="inlineStr">
        <is>
          <t>ST-052</t>
        </is>
      </c>
      <c r="B55" s="24" t="inlineStr">
        <is>
          <t>E1</t>
        </is>
      </c>
      <c r="C55" s="24" t="inlineStr">
        <is>
          <t>Install &amp; identity</t>
        </is>
      </c>
      <c r="D55" s="24" t="inlineStr">
        <is>
          <t>Uninstall webhook removes tokens, schedules data deletion per policy</t>
        </is>
      </c>
      <c r="E55" s="24" t="n">
        <v>3</v>
      </c>
      <c r="F55" s="24" t="inlineStr">
        <is>
          <t>P0</t>
        </is>
      </c>
      <c r="G55" s="24" t="inlineStr">
        <is>
          <t>S1</t>
        </is>
      </c>
      <c r="H55" s="24" t="inlineStr">
        <is>
          <t>Code-complete — pending live</t>
        </is>
      </c>
      <c r="I55" s="24" t="inlineStr">
        <is>
          <t>—</t>
        </is>
      </c>
      <c r="J55" s="24" t="inlineStr">
        <is>
          <t>src/installFlow.ts</t>
        </is>
      </c>
      <c r="K55" s="24" t="inlineStr">
        <is>
          <t>tests/installFlow.test.ts</t>
        </is>
      </c>
      <c r="L55" s="24" t="inlineStr">
        <is>
          <t>100%</t>
        </is>
      </c>
      <c r="M55" s="24" t="inlineStr">
        <is>
          <t>uninstall webhook: token removal + 30-day deletion schedule; needs live webhook wiring</t>
        </is>
      </c>
    </row>
    <row r="56" ht="15" customHeight="1" s="20">
      <c r="A56" s="31" t="inlineStr">
        <is>
          <t>ST-053</t>
        </is>
      </c>
      <c r="B56" s="31" t="inlineStr">
        <is>
          <t>E1</t>
        </is>
      </c>
      <c r="C56" s="31" t="inlineStr">
        <is>
          <t>Install &amp; identity</t>
        </is>
      </c>
      <c r="D56" s="31" t="inlineStr">
        <is>
          <t>Re-install restores account within retention window</t>
        </is>
      </c>
      <c r="E56" s="31" t="n">
        <v>3</v>
      </c>
      <c r="F56" s="31" t="inlineStr">
        <is>
          <t>P1</t>
        </is>
      </c>
      <c r="G56" s="31" t="inlineStr">
        <is>
          <t>S2</t>
        </is>
      </c>
      <c r="H56" s="31" t="inlineStr">
        <is>
          <t>Done</t>
        </is>
      </c>
      <c r="I56" s="31" t="inlineStr">
        <is>
          <t>v008</t>
        </is>
      </c>
      <c r="J56" s="31" t="inlineStr">
        <is>
          <t>src/installFlow.ts</t>
        </is>
      </c>
      <c r="K56" s="31" t="inlineStr">
        <is>
          <t>tests/installFlow.test.ts</t>
        </is>
      </c>
      <c r="L56" s="31" t="inlineStr">
        <is>
          <t>100%</t>
        </is>
      </c>
      <c r="M56" s="31" t="inlineStr">
        <is>
          <t>re-install restore within retention window</t>
        </is>
      </c>
    </row>
    <row r="57" ht="23.25" customHeight="1" s="20">
      <c r="A57" s="31" t="inlineStr">
        <is>
          <t>ST-054</t>
        </is>
      </c>
      <c r="B57" s="31" t="inlineStr">
        <is>
          <t>E1</t>
        </is>
      </c>
      <c r="C57" s="31" t="inlineStr">
        <is>
          <t>Install &amp; identity</t>
        </is>
      </c>
      <c r="D57" s="31" t="inlineStr">
        <is>
          <t>Multi-user roles: owner/admin/member permission matrix enforced</t>
        </is>
      </c>
      <c r="E57" s="31" t="n">
        <v>5</v>
      </c>
      <c r="F57" s="31" t="inlineStr">
        <is>
          <t>P0</t>
        </is>
      </c>
      <c r="G57" s="31" t="inlineStr">
        <is>
          <t>S2</t>
        </is>
      </c>
      <c r="H57" s="31" t="inlineStr">
        <is>
          <t>Done</t>
        </is>
      </c>
      <c r="I57" s="31" t="inlineStr">
        <is>
          <t>v008</t>
        </is>
      </c>
      <c r="J57" s="31" t="inlineStr">
        <is>
          <t>src/permissions.ts</t>
        </is>
      </c>
      <c r="K57" s="31" t="inlineStr">
        <is>
          <t>tests/permissions.test.ts</t>
        </is>
      </c>
      <c r="L57" s="31" t="inlineStr">
        <is>
          <t>100%</t>
        </is>
      </c>
      <c r="M57" s="31" t="inlineStr">
        <is>
          <t>owner/admin/member matrix, can() enforced</t>
        </is>
      </c>
    </row>
    <row r="58" ht="23.25" customHeight="1" s="20">
      <c r="A58" s="24" t="inlineStr">
        <is>
          <t>ST-055</t>
        </is>
      </c>
      <c r="B58" s="24" t="inlineStr">
        <is>
          <t>E1</t>
        </is>
      </c>
      <c r="C58" s="24" t="inlineStr">
        <is>
          <t>Install &amp; identity</t>
        </is>
      </c>
      <c r="D58" s="24" t="inlineStr">
        <is>
          <t>Session/token refresh survives platform token rotation</t>
        </is>
      </c>
      <c r="E58" s="24" t="n">
        <v>3</v>
      </c>
      <c r="F58" s="24" t="inlineStr">
        <is>
          <t>P0</t>
        </is>
      </c>
      <c r="G58" s="24" t="inlineStr">
        <is>
          <t>S1</t>
        </is>
      </c>
      <c r="H58" s="24" t="inlineStr">
        <is>
          <t>Code-complete — pending live</t>
        </is>
      </c>
      <c r="I58" s="24" t="inlineStr">
        <is>
          <t>—</t>
        </is>
      </c>
      <c r="J58" s="24" t="inlineStr">
        <is>
          <t>src/installFlow.ts</t>
        </is>
      </c>
      <c r="K58" s="24" t="inlineStr">
        <is>
          <t>tests/installFlow.test.ts</t>
        </is>
      </c>
      <c r="L58" s="24" t="inlineStr">
        <is>
          <t>100%</t>
        </is>
      </c>
      <c r="M58" s="24" t="inlineStr">
        <is>
          <t>getValidToken refresh + rotated-token storage; needs live token rotation test</t>
        </is>
      </c>
    </row>
    <row r="59" ht="23.25" customHeight="1" s="20">
      <c r="A59" s="31" t="inlineStr">
        <is>
          <t>ST-056</t>
        </is>
      </c>
      <c r="B59" s="31" t="inlineStr">
        <is>
          <t>E1</t>
        </is>
      </c>
      <c r="C59" s="31" t="inlineStr">
        <is>
          <t>Install &amp; identity</t>
        </is>
      </c>
      <c r="D59" s="31" t="inlineStr">
        <is>
          <t>Install telemetry: source attribution (listing/search/referral) captured</t>
        </is>
      </c>
      <c r="E59" s="31" t="n">
        <v>2</v>
      </c>
      <c r="F59" s="31" t="inlineStr">
        <is>
          <t>P1</t>
        </is>
      </c>
      <c r="G59" s="31" t="inlineStr">
        <is>
          <t>S1</t>
        </is>
      </c>
      <c r="H59" s="31" t="inlineStr">
        <is>
          <t>Done</t>
        </is>
      </c>
      <c r="I59" s="31" t="inlineStr">
        <is>
          <t>v008</t>
        </is>
      </c>
      <c r="J59" s="31" t="inlineStr">
        <is>
          <t>src/installFlow.ts</t>
        </is>
      </c>
      <c r="K59" s="31" t="inlineStr">
        <is>
          <t>tests/installFlow.test.ts</t>
        </is>
      </c>
      <c r="L59" s="31" t="inlineStr">
        <is>
          <t>100%</t>
        </is>
      </c>
      <c r="M59" s="31" t="inlineStr">
        <is>
          <t>install source attribution captured on Account</t>
        </is>
      </c>
    </row>
    <row r="60" ht="15" customHeight="1" s="20">
      <c r="A60" s="31" t="inlineStr">
        <is>
          <t>ST-057</t>
        </is>
      </c>
      <c r="B60" s="31" t="inlineStr">
        <is>
          <t>E5</t>
        </is>
      </c>
      <c r="C60" s="31" t="inlineStr">
        <is>
          <t>Billing</t>
        </is>
      </c>
      <c r="D60" s="31" t="inlineStr">
        <is>
          <t>14-day trial without card; banner shows days remaining</t>
        </is>
      </c>
      <c r="E60" s="31" t="n">
        <v>5</v>
      </c>
      <c r="F60" s="31" t="inlineStr">
        <is>
          <t>P0</t>
        </is>
      </c>
      <c r="G60" s="31" t="inlineStr">
        <is>
          <t>S6</t>
        </is>
      </c>
      <c r="H60" s="31" t="inlineStr">
        <is>
          <t>Done</t>
        </is>
      </c>
      <c r="I60" s="31" t="inlineStr">
        <is>
          <t>v008</t>
        </is>
      </c>
      <c r="J60" s="31" t="inlineStr">
        <is>
          <t>src/billing.ts</t>
        </is>
      </c>
      <c r="K60" s="31" t="inlineStr">
        <is>
          <t>tests/billing.test.ts</t>
        </is>
      </c>
      <c r="L60" s="31" t="inlineStr">
        <is>
          <t>100%</t>
        </is>
      </c>
      <c r="M60" s="31" t="inlineStr">
        <is>
          <t>14-day trial, banner day counts</t>
        </is>
      </c>
    </row>
    <row r="61" ht="15" customHeight="1" s="20">
      <c r="A61" s="31" t="inlineStr">
        <is>
          <t>ST-058</t>
        </is>
      </c>
      <c r="B61" s="31" t="inlineStr">
        <is>
          <t>E5</t>
        </is>
      </c>
      <c r="C61" s="31" t="inlineStr">
        <is>
          <t>Billing</t>
        </is>
      </c>
      <c r="D61" s="31" t="inlineStr">
        <is>
          <t>Upgrade/downgrade mid-cycle prorates correctly</t>
        </is>
      </c>
      <c r="E61" s="31" t="n">
        <v>5</v>
      </c>
      <c r="F61" s="31" t="inlineStr">
        <is>
          <t>P0</t>
        </is>
      </c>
      <c r="G61" s="31" t="inlineStr">
        <is>
          <t>S6</t>
        </is>
      </c>
      <c r="H61" s="31" t="inlineStr">
        <is>
          <t>Done</t>
        </is>
      </c>
      <c r="I61" s="31" t="inlineStr">
        <is>
          <t>v008</t>
        </is>
      </c>
      <c r="J61" s="31" t="inlineStr">
        <is>
          <t>src/billing.ts</t>
        </is>
      </c>
      <c r="K61" s="31" t="inlineStr">
        <is>
          <t>tests/billing.test.ts</t>
        </is>
      </c>
      <c r="L61" s="31" t="inlineStr">
        <is>
          <t>100%</t>
        </is>
      </c>
      <c r="M61" s="31" t="inlineStr">
        <is>
          <t>prorate() credit/charge for remaining days</t>
        </is>
      </c>
    </row>
    <row r="62" ht="23.25" customHeight="1" s="20">
      <c r="A62" s="24" t="inlineStr">
        <is>
          <t>ST-059</t>
        </is>
      </c>
      <c r="B62" s="24" t="inlineStr">
        <is>
          <t>E5</t>
        </is>
      </c>
      <c r="C62" s="24" t="inlineStr">
        <is>
          <t>Billing</t>
        </is>
      </c>
      <c r="D62" s="24" t="inlineStr">
        <is>
          <t>Marketplace billing API used where mandated; external Stripe fallback elsewhere</t>
        </is>
      </c>
      <c r="E62" s="24" t="n">
        <v>8</v>
      </c>
      <c r="F62" s="24" t="inlineStr">
        <is>
          <t>P0</t>
        </is>
      </c>
      <c r="G62" s="24" t="inlineStr">
        <is>
          <t>S6</t>
        </is>
      </c>
      <c r="H62" s="24" t="inlineStr">
        <is>
          <t>Code-complete — pending live</t>
        </is>
      </c>
      <c r="I62" s="24" t="inlineStr">
        <is>
          <t>—</t>
        </is>
      </c>
      <c r="J62" s="24" t="inlineStr">
        <is>
          <t>src/billing.ts</t>
        </is>
      </c>
      <c r="K62" s="24" t="inlineStr">
        <is>
          <t>tests/billing.test.ts</t>
        </is>
      </c>
      <c r="L62" s="24" t="inlineStr">
        <is>
          <t>100%</t>
        </is>
      </c>
      <c r="M62" s="24" t="inlineStr">
        <is>
          <t>selectBillingRail marketplace/Stripe routing; live Xero billing API integration pending</t>
        </is>
      </c>
    </row>
    <row r="63" ht="23.25" customHeight="1" s="20">
      <c r="A63" s="31" t="inlineStr">
        <is>
          <t>ST-060</t>
        </is>
      </c>
      <c r="B63" s="31" t="inlineStr">
        <is>
          <t>E5</t>
        </is>
      </c>
      <c r="C63" s="31" t="inlineStr">
        <is>
          <t>Billing</t>
        </is>
      </c>
      <c r="D63" s="31" t="inlineStr">
        <is>
          <t>Failed payment: 7-day grace, 3 dunning emails, then read-only mode</t>
        </is>
      </c>
      <c r="E63" s="31" t="n">
        <v>3</v>
      </c>
      <c r="F63" s="31" t="inlineStr">
        <is>
          <t>P1</t>
        </is>
      </c>
      <c r="G63" s="31" t="inlineStr">
        <is>
          <t>S7</t>
        </is>
      </c>
      <c r="H63" s="31" t="inlineStr">
        <is>
          <t>Done</t>
        </is>
      </c>
      <c r="I63" s="31" t="inlineStr">
        <is>
          <t>v008</t>
        </is>
      </c>
      <c r="J63" s="31" t="inlineStr">
        <is>
          <t>src/billing.ts</t>
        </is>
      </c>
      <c r="K63" s="31" t="inlineStr">
        <is>
          <t>tests/billing.test.ts</t>
        </is>
      </c>
      <c r="L63" s="31" t="inlineStr">
        <is>
          <t>100%</t>
        </is>
      </c>
      <c r="M63" s="31" t="inlineStr">
        <is>
          <t>7-day grace, day-0/3/6 dunning, read-only after</t>
        </is>
      </c>
    </row>
    <row r="64" ht="15" customHeight="1" s="20">
      <c r="A64" s="31" t="inlineStr">
        <is>
          <t>ST-061</t>
        </is>
      </c>
      <c r="B64" s="31" t="inlineStr">
        <is>
          <t>E5</t>
        </is>
      </c>
      <c r="C64" s="31" t="inlineStr">
        <is>
          <t>Billing</t>
        </is>
      </c>
      <c r="D64" s="31" t="inlineStr">
        <is>
          <t>Plan limits enforced with upgrade prompts at 80%/100%</t>
        </is>
      </c>
      <c r="E64" s="31" t="n">
        <v>3</v>
      </c>
      <c r="F64" s="31" t="inlineStr">
        <is>
          <t>P1</t>
        </is>
      </c>
      <c r="G64" s="31" t="inlineStr">
        <is>
          <t>S7</t>
        </is>
      </c>
      <c r="H64" s="31" t="inlineStr">
        <is>
          <t>Done</t>
        </is>
      </c>
      <c r="I64" s="31" t="inlineStr">
        <is>
          <t>v008</t>
        </is>
      </c>
      <c r="J64" s="31" t="inlineStr">
        <is>
          <t>src/billing.ts</t>
        </is>
      </c>
      <c r="K64" s="31" t="inlineStr">
        <is>
          <t>tests/billing.test.ts</t>
        </is>
      </c>
      <c r="L64" s="31" t="inlineStr">
        <is>
          <t>100%</t>
        </is>
      </c>
      <c r="M64" s="31" t="inlineStr">
        <is>
          <t>checkLimit 80%/100% prompts</t>
        </is>
      </c>
    </row>
    <row r="65" ht="15" customHeight="1" s="20">
      <c r="A65" s="31" t="inlineStr">
        <is>
          <t>ST-062</t>
        </is>
      </c>
      <c r="B65" s="31" t="inlineStr">
        <is>
          <t>E5</t>
        </is>
      </c>
      <c r="C65" s="31" t="inlineStr">
        <is>
          <t>Billing</t>
        </is>
      </c>
      <c r="D65" s="31" t="inlineStr">
        <is>
          <t>Invoices/receipts downloadable; GST/VAT fields supported</t>
        </is>
      </c>
      <c r="E65" s="31" t="n">
        <v>3</v>
      </c>
      <c r="F65" s="31" t="inlineStr">
        <is>
          <t>P2</t>
        </is>
      </c>
      <c r="G65" s="31" t="inlineStr">
        <is>
          <t>S7</t>
        </is>
      </c>
      <c r="H65" s="31" t="inlineStr">
        <is>
          <t>Done</t>
        </is>
      </c>
      <c r="I65" s="31" t="inlineStr">
        <is>
          <t>v008</t>
        </is>
      </c>
      <c r="J65" s="31" t="inlineStr">
        <is>
          <t>src/billing.ts</t>
        </is>
      </c>
      <c r="K65" s="31" t="inlineStr">
        <is>
          <t>tests/billing.test.ts</t>
        </is>
      </c>
      <c r="L65" s="31" t="inlineStr">
        <is>
          <t>100%</t>
        </is>
      </c>
      <c r="M65" s="31" t="inlineStr">
        <is>
          <t>buildInvoice GST/VAT/None fields</t>
        </is>
      </c>
    </row>
    <row r="66" ht="15" customHeight="1" s="20">
      <c r="A66" s="31" t="inlineStr">
        <is>
          <t>ST-063</t>
        </is>
      </c>
      <c r="B66" s="31" t="inlineStr">
        <is>
          <t>E5</t>
        </is>
      </c>
      <c r="C66" s="31" t="inlineStr">
        <is>
          <t>Billing</t>
        </is>
      </c>
      <c r="D66" s="31" t="inlineStr">
        <is>
          <t>Cancellation flow with save-offer and exit survey</t>
        </is>
      </c>
      <c r="E66" s="31" t="n">
        <v>3</v>
      </c>
      <c r="F66" s="31" t="inlineStr">
        <is>
          <t>P1</t>
        </is>
      </c>
      <c r="G66" s="31" t="inlineStr">
        <is>
          <t>S7</t>
        </is>
      </c>
      <c r="H66" s="31" t="inlineStr">
        <is>
          <t>Done</t>
        </is>
      </c>
      <c r="I66" s="31" t="inlineStr">
        <is>
          <t>v008</t>
        </is>
      </c>
      <c r="J66" s="31" t="inlineStr">
        <is>
          <t>src/billing.ts</t>
        </is>
      </c>
      <c r="K66" s="31" t="inlineStr">
        <is>
          <t>tests/billing.test.ts</t>
        </is>
      </c>
      <c r="L66" s="31" t="inlineStr">
        <is>
          <t>100%</t>
        </is>
      </c>
      <c r="M66" s="31" t="inlineStr">
        <is>
          <t>cancelFlow save-offer + exit survey</t>
        </is>
      </c>
    </row>
    <row r="67" ht="23.25" customHeight="1" s="20">
      <c r="A67" s="31" t="inlineStr">
        <is>
          <t>ST-064</t>
        </is>
      </c>
      <c r="B67" s="31" t="inlineStr">
        <is>
          <t>E6</t>
        </is>
      </c>
      <c r="C67" s="31" t="inlineStr">
        <is>
          <t>Compliance</t>
        </is>
      </c>
      <c r="D67" s="31" t="inlineStr">
        <is>
          <t>Scopes requested map 1:1 to shipped features (least privilege doc)</t>
        </is>
      </c>
      <c r="E67" s="31" t="n">
        <v>3</v>
      </c>
      <c r="F67" s="31" t="inlineStr">
        <is>
          <t>P0</t>
        </is>
      </c>
      <c r="G67" s="31" t="inlineStr">
        <is>
          <t>S7</t>
        </is>
      </c>
      <c r="H67" s="31" t="inlineStr">
        <is>
          <t>Done</t>
        </is>
      </c>
      <c r="I67" s="31" t="inlineStr">
        <is>
          <t>v008</t>
        </is>
      </c>
      <c r="J67" s="31" t="inlineStr">
        <is>
          <t>src/compliance.ts</t>
        </is>
      </c>
      <c r="K67" s="31" t="inlineStr">
        <is>
          <t>tests/compliance.test.ts</t>
        </is>
      </c>
      <c r="L67" s="31" t="inlineStr">
        <is>
          <t>100%</t>
        </is>
      </c>
      <c r="M67" s="31" t="inlineStr">
        <is>
          <t>auditScopes justified/unjustified/missing</t>
        </is>
      </c>
    </row>
    <row r="68" ht="23.25" customHeight="1" s="20">
      <c r="A68" s="31" t="inlineStr">
        <is>
          <t>ST-065</t>
        </is>
      </c>
      <c r="B68" s="31" t="inlineStr">
        <is>
          <t>E6</t>
        </is>
      </c>
      <c r="C68" s="31" t="inlineStr">
        <is>
          <t>Compliance</t>
        </is>
      </c>
      <c r="D68" s="31" t="inlineStr">
        <is>
          <t>Data-flow diagram + retention policy published</t>
        </is>
      </c>
      <c r="E68" s="31" t="n">
        <v>3</v>
      </c>
      <c r="F68" s="31" t="inlineStr">
        <is>
          <t>P0</t>
        </is>
      </c>
      <c r="G68" s="31" t="inlineStr">
        <is>
          <t>S8</t>
        </is>
      </c>
      <c r="H68" s="31" t="inlineStr">
        <is>
          <t>Done</t>
        </is>
      </c>
      <c r="I68" s="31" t="inlineStr">
        <is>
          <t>v008</t>
        </is>
      </c>
      <c r="J68" s="31" t="inlineStr">
        <is>
          <t>src/compliance.ts; src/installFlow.ts</t>
        </is>
      </c>
      <c r="K68" s="31" t="inlineStr">
        <is>
          <t>tests/compliance.test.ts; tests/installFlow.test.ts</t>
        </is>
      </c>
      <c r="L68" s="31" t="inlineStr">
        <is>
          <t>100%</t>
        </is>
      </c>
      <c r="M68" s="31" t="inlineStr">
        <is>
          <t>retentionPolicy() aligned to 30-day uninstall window</t>
        </is>
      </c>
    </row>
    <row r="69" ht="15" customHeight="1" s="20">
      <c r="A69" s="24" t="inlineStr">
        <is>
          <t>ST-066</t>
        </is>
      </c>
      <c r="B69" s="24" t="inlineStr">
        <is>
          <t>E6</t>
        </is>
      </c>
      <c r="C69" s="24" t="inlineStr">
        <is>
          <t>Compliance</t>
        </is>
      </c>
      <c r="D69" s="24" t="inlineStr">
        <is>
          <t>Encryption at rest + in transit verified; secrets in vault</t>
        </is>
      </c>
      <c r="E69" s="24" t="n">
        <v>5</v>
      </c>
      <c r="F69" s="24" t="inlineStr">
        <is>
          <t>P0</t>
        </is>
      </c>
      <c r="G69" s="24" t="inlineStr">
        <is>
          <t>S8</t>
        </is>
      </c>
      <c r="H69" s="24" t="inlineStr">
        <is>
          <t>Code-complete — pending live</t>
        </is>
      </c>
      <c r="I69" s="24" t="inlineStr">
        <is>
          <t>v014</t>
        </is>
      </c>
      <c r="J69" s="24" t="inlineStr">
        <is>
          <t>src/security.ts</t>
        </is>
      </c>
      <c r="K69" s="24" t="inlineStr">
        <is>
          <t>tests/coldReviewSecurity.test.ts</t>
        </is>
      </c>
      <c r="L69" s="24" t="inlineStr">
        <is>
          <t>100%</t>
        </is>
      </c>
      <c r="M69" s="24" t="inlineStr">
        <is>
          <t>AES-256-GCM envelope + vault boundary + token sealing + TLS assertion; live vault/TLS probe pending dev org</t>
        </is>
      </c>
    </row>
    <row r="70" ht="15" customHeight="1" s="20">
      <c r="A70" s="31" t="inlineStr">
        <is>
          <t>ST-067</t>
        </is>
      </c>
      <c r="B70" s="31" t="inlineStr">
        <is>
          <t>E6</t>
        </is>
      </c>
      <c r="C70" s="31" t="inlineStr">
        <is>
          <t>Compliance</t>
        </is>
      </c>
      <c r="D70" s="31" t="inlineStr">
        <is>
          <t>Audit log for admin-sensitive actions</t>
        </is>
      </c>
      <c r="E70" s="31" t="n">
        <v>5</v>
      </c>
      <c r="F70" s="31" t="inlineStr">
        <is>
          <t>P1</t>
        </is>
      </c>
      <c r="G70" s="31" t="inlineStr">
        <is>
          <t>S8</t>
        </is>
      </c>
      <c r="H70" s="31" t="inlineStr">
        <is>
          <t>Done</t>
        </is>
      </c>
      <c r="I70" s="31" t="inlineStr">
        <is>
          <t>v008</t>
        </is>
      </c>
      <c r="J70" s="31" t="inlineStr">
        <is>
          <t>src/permissions.ts</t>
        </is>
      </c>
      <c r="K70" s="31" t="inlineStr">
        <is>
          <t>tests/permissions.test.ts</t>
        </is>
      </c>
      <c r="L70" s="31" t="inlineStr">
        <is>
          <t>100%</t>
        </is>
      </c>
      <c r="M70" s="31" t="inlineStr">
        <is>
          <t>AuditLog records allow+deny with timestamps</t>
        </is>
      </c>
    </row>
    <row r="71" ht="15" customHeight="1" s="20">
      <c r="A71" s="24" t="inlineStr">
        <is>
          <t>ST-068</t>
        </is>
      </c>
      <c r="B71" s="24" t="inlineStr">
        <is>
          <t>E6</t>
        </is>
      </c>
      <c r="C71" s="24" t="inlineStr">
        <is>
          <t>Compliance</t>
        </is>
      </c>
      <c r="D71" s="24" t="inlineStr">
        <is>
          <t>Pen-test (or platform-required evidence) completed and archived</t>
        </is>
      </c>
      <c r="E71" s="24" t="n">
        <v>8</v>
      </c>
      <c r="F71" s="24" t="inlineStr">
        <is>
          <t>P0</t>
        </is>
      </c>
      <c r="G71" s="24" t="inlineStr">
        <is>
          <t>S9</t>
        </is>
      </c>
      <c r="H71" s="24" t="inlineStr">
        <is>
          <t>In progress</t>
        </is>
      </c>
      <c r="I71" s="24" t="inlineStr">
        <is>
          <t>—</t>
        </is>
      </c>
      <c r="J71" s="24" t="inlineStr">
        <is>
          <t>docs/security/SECURITY_EVIDENCE.md</t>
        </is>
      </c>
      <c r="K71" s="24" t="inlineStr">
        <is>
          <t>—</t>
        </is>
      </c>
      <c r="L71" s="24" t="inlineStr">
        <is>
          <t>—</t>
        </is>
      </c>
      <c r="M71" s="24" t="inlineStr">
        <is>
          <t>Sandbox evidence half compiled v014 with per-control citations; external pen-test = vendor half (Senthil)</t>
        </is>
      </c>
    </row>
    <row r="72" ht="15" customHeight="1" s="20">
      <c r="A72" s="31" t="inlineStr">
        <is>
          <t>ST-069</t>
        </is>
      </c>
      <c r="B72" s="31" t="inlineStr">
        <is>
          <t>E6</t>
        </is>
      </c>
      <c r="C72" s="31" t="inlineStr">
        <is>
          <t>Compliance</t>
        </is>
      </c>
      <c r="D72" s="31" t="inlineStr">
        <is>
          <t>Data export + delete-my-data self-serve</t>
        </is>
      </c>
      <c r="E72" s="31" t="n">
        <v>5</v>
      </c>
      <c r="F72" s="31" t="inlineStr">
        <is>
          <t>P0</t>
        </is>
      </c>
      <c r="G72" s="31" t="inlineStr">
        <is>
          <t>S9</t>
        </is>
      </c>
      <c r="H72" s="31" t="inlineStr">
        <is>
          <t>Done</t>
        </is>
      </c>
      <c r="I72" s="31" t="inlineStr">
        <is>
          <t>v008</t>
        </is>
      </c>
      <c r="J72" s="31" t="inlineStr">
        <is>
          <t>src/compliance.ts</t>
        </is>
      </c>
      <c r="K72" s="31" t="inlineStr">
        <is>
          <t>tests/compliance.test.ts</t>
        </is>
      </c>
      <c r="L72" s="31" t="inlineStr">
        <is>
          <t>100%</t>
        </is>
      </c>
      <c r="M72" s="31" t="inlineStr">
        <is>
          <t>exportTenantData / deleteTenantData self-serve</t>
        </is>
      </c>
    </row>
    <row r="73" ht="15" customHeight="1" s="20">
      <c r="A73" s="31" t="inlineStr">
        <is>
          <t>ST-070</t>
        </is>
      </c>
      <c r="B73" s="31" t="inlineStr">
        <is>
          <t>E6</t>
        </is>
      </c>
      <c r="C73" s="31" t="inlineStr">
        <is>
          <t>Compliance</t>
        </is>
      </c>
      <c r="D73" s="31" t="inlineStr">
        <is>
          <t>Rate-limit backoff + circuit breaker on platform APIs</t>
        </is>
      </c>
      <c r="E73" s="31" t="n">
        <v>5</v>
      </c>
      <c r="F73" s="31" t="inlineStr">
        <is>
          <t>P0</t>
        </is>
      </c>
      <c r="G73" s="31" t="inlineStr">
        <is>
          <t>S8</t>
        </is>
      </c>
      <c r="H73" s="31" t="inlineStr">
        <is>
          <t>Done</t>
        </is>
      </c>
      <c r="I73" s="31" t="inlineStr">
        <is>
          <t>v008</t>
        </is>
      </c>
      <c r="J73" s="31" t="inlineStr">
        <is>
          <t>src/compliance.ts</t>
        </is>
      </c>
      <c r="K73" s="31" t="inlineStr">
        <is>
          <t>tests/compliance.test.ts</t>
        </is>
      </c>
      <c r="L73" s="31" t="inlineStr">
        <is>
          <t>100%</t>
        </is>
      </c>
      <c r="M73" s="31" t="inlineStr">
        <is>
          <t>backoffDelayMs + CircuitBreaker + callWithProtection</t>
        </is>
      </c>
    </row>
    <row r="74" ht="23.25" customHeight="1" s="20">
      <c r="A74" s="31" t="inlineStr">
        <is>
          <t>ST-071</t>
        </is>
      </c>
      <c r="B74" s="31" t="inlineStr">
        <is>
          <t>E7</t>
        </is>
      </c>
      <c r="C74" s="31" t="inlineStr">
        <is>
          <t>Telemetry &amp; metrics</t>
        </is>
      </c>
      <c r="D74" s="31" t="inlineStr">
        <is>
          <t>Activation funnel events (install-&gt;setup-&gt;aha-&gt;habit) in one dashboard</t>
        </is>
      </c>
      <c r="E74" s="31" t="n">
        <v>5</v>
      </c>
      <c r="F74" s="31" t="inlineStr">
        <is>
          <t>P0</t>
        </is>
      </c>
      <c r="G74" s="31" t="inlineStr">
        <is>
          <t>S4</t>
        </is>
      </c>
      <c r="H74" s="31" t="inlineStr">
        <is>
          <t>Done</t>
        </is>
      </c>
      <c r="I74" s="31" t="inlineStr">
        <is>
          <t>v008</t>
        </is>
      </c>
      <c r="J74" s="31" t="inlineStr">
        <is>
          <t>src/telemetry.ts</t>
        </is>
      </c>
      <c r="K74" s="31" t="inlineStr">
        <is>
          <t>tests/telemetry.test.ts</t>
        </is>
      </c>
      <c r="L74" s="31" t="inlineStr">
        <is>
          <t>100%</t>
        </is>
      </c>
      <c r="M74" s="31" t="inlineStr">
        <is>
          <t>funnelReport install→setup→aha→habit</t>
        </is>
      </c>
    </row>
    <row r="75" ht="15" customHeight="1" s="20">
      <c r="A75" s="31" t="inlineStr">
        <is>
          <t>ST-072</t>
        </is>
      </c>
      <c r="B75" s="31" t="inlineStr">
        <is>
          <t>E7</t>
        </is>
      </c>
      <c r="C75" s="31" t="inlineStr">
        <is>
          <t>Telemetry &amp; metrics</t>
        </is>
      </c>
      <c r="D75" s="31" t="inlineStr">
        <is>
          <t>Error tracking with release tagging; alert on error-rate spike</t>
        </is>
      </c>
      <c r="E75" s="31" t="n">
        <v>3</v>
      </c>
      <c r="F75" s="31" t="inlineStr">
        <is>
          <t>P0</t>
        </is>
      </c>
      <c r="G75" s="31" t="inlineStr">
        <is>
          <t>S4</t>
        </is>
      </c>
      <c r="H75" s="31" t="inlineStr">
        <is>
          <t>Done</t>
        </is>
      </c>
      <c r="I75" s="31" t="inlineStr">
        <is>
          <t>v008</t>
        </is>
      </c>
      <c r="J75" s="31" t="inlineStr">
        <is>
          <t>src/telemetry.ts</t>
        </is>
      </c>
      <c r="K75" s="31" t="inlineStr">
        <is>
          <t>tests/telemetry.test.ts</t>
        </is>
      </c>
      <c r="L75" s="31" t="inlineStr">
        <is>
          <t>100%</t>
        </is>
      </c>
      <c r="M75" s="31" t="inlineStr">
        <is>
          <t>errorSpike window + errorsByRelease tagging</t>
        </is>
      </c>
    </row>
    <row r="76" ht="15" customHeight="1" s="20">
      <c r="A76" s="31" t="inlineStr">
        <is>
          <t>ST-073</t>
        </is>
      </c>
      <c r="B76" s="31" t="inlineStr">
        <is>
          <t>E7</t>
        </is>
      </c>
      <c r="C76" s="31" t="inlineStr">
        <is>
          <t>Telemetry &amp; metrics</t>
        </is>
      </c>
      <c r="D76" s="31" t="inlineStr">
        <is>
          <t>Feature-usage heatmap for roadmap decisions</t>
        </is>
      </c>
      <c r="E76" s="31" t="n">
        <v>3</v>
      </c>
      <c r="F76" s="31" t="inlineStr">
        <is>
          <t>P2</t>
        </is>
      </c>
      <c r="G76" s="31" t="inlineStr">
        <is>
          <t>S8</t>
        </is>
      </c>
      <c r="H76" s="31" t="inlineStr">
        <is>
          <t>Done</t>
        </is>
      </c>
      <c r="I76" s="31" t="inlineStr">
        <is>
          <t>v008</t>
        </is>
      </c>
      <c r="J76" s="31" t="inlineStr">
        <is>
          <t>src/telemetry.ts</t>
        </is>
      </c>
      <c r="K76" s="31" t="inlineStr">
        <is>
          <t>tests/telemetry.test.ts</t>
        </is>
      </c>
      <c r="L76" s="31" t="inlineStr">
        <is>
          <t>100%</t>
        </is>
      </c>
      <c r="M76" s="31" t="inlineStr">
        <is>
          <t>usageHeatmap per feature</t>
        </is>
      </c>
    </row>
    <row r="77" ht="15" customHeight="1" s="20">
      <c r="A77" s="31" t="inlineStr">
        <is>
          <t>ST-074</t>
        </is>
      </c>
      <c r="B77" s="31" t="inlineStr">
        <is>
          <t>E7</t>
        </is>
      </c>
      <c r="C77" s="31" t="inlineStr">
        <is>
          <t>Telemetry &amp; metrics</t>
        </is>
      </c>
      <c r="D77" s="31" t="inlineStr">
        <is>
          <t>Weekly automated metrics email to team</t>
        </is>
      </c>
      <c r="E77" s="31" t="n">
        <v>2</v>
      </c>
      <c r="F77" s="31" t="inlineStr">
        <is>
          <t>P2</t>
        </is>
      </c>
      <c r="G77" s="31" t="inlineStr">
        <is>
          <t>S8</t>
        </is>
      </c>
      <c r="H77" s="31" t="inlineStr">
        <is>
          <t>Done</t>
        </is>
      </c>
      <c r="I77" s="31" t="inlineStr">
        <is>
          <t>v008</t>
        </is>
      </c>
      <c r="J77" s="31" t="inlineStr">
        <is>
          <t>src/telemetry.ts</t>
        </is>
      </c>
      <c r="K77" s="31" t="inlineStr">
        <is>
          <t>tests/telemetry.test.ts</t>
        </is>
      </c>
      <c r="L77" s="31" t="inlineStr">
        <is>
          <t>100%</t>
        </is>
      </c>
      <c r="M77" s="31" t="inlineStr">
        <is>
          <t>weeklyEmail payload</t>
        </is>
      </c>
    </row>
    <row r="78" ht="15" customHeight="1" s="20">
      <c r="A78" s="31" t="inlineStr">
        <is>
          <t>ST-075</t>
        </is>
      </c>
      <c r="B78" s="31" t="inlineStr">
        <is>
          <t>E7</t>
        </is>
      </c>
      <c r="C78" s="31" t="inlineStr">
        <is>
          <t>Telemetry &amp; metrics</t>
        </is>
      </c>
      <c r="D78" s="31" t="inlineStr">
        <is>
          <t>Health score computed per account (usage+billing+support)</t>
        </is>
      </c>
      <c r="E78" s="31" t="n">
        <v>5</v>
      </c>
      <c r="F78" s="31" t="inlineStr">
        <is>
          <t>P1</t>
        </is>
      </c>
      <c r="G78" s="31" t="inlineStr">
        <is>
          <t>S8</t>
        </is>
      </c>
      <c r="H78" s="31" t="inlineStr">
        <is>
          <t>Done</t>
        </is>
      </c>
      <c r="I78" s="31" t="inlineStr">
        <is>
          <t>v008</t>
        </is>
      </c>
      <c r="J78" s="31" t="inlineStr">
        <is>
          <t>src/telemetry.ts</t>
        </is>
      </c>
      <c r="K78" s="31" t="inlineStr">
        <is>
          <t>tests/telemetry.test.ts</t>
        </is>
      </c>
      <c r="L78" s="31" t="inlineStr">
        <is>
          <t>100%</t>
        </is>
      </c>
      <c r="M78" s="31" t="inlineStr">
        <is>
          <t>healthScore usage+billing+support</t>
        </is>
      </c>
    </row>
    <row r="79" ht="15" customHeight="1" s="20">
      <c r="A79" s="31" t="inlineStr">
        <is>
          <t>ST-076</t>
        </is>
      </c>
      <c r="B79" s="31" t="inlineStr">
        <is>
          <t>E7</t>
        </is>
      </c>
      <c r="C79" s="31" t="inlineStr">
        <is>
          <t>Telemetry &amp; metrics</t>
        </is>
      </c>
      <c r="D79" s="31" t="inlineStr">
        <is>
          <t>Metrics export to CSV/warehouse for founder analysis</t>
        </is>
      </c>
      <c r="E79" s="31" t="n">
        <v>3</v>
      </c>
      <c r="F79" s="31" t="inlineStr">
        <is>
          <t>P2</t>
        </is>
      </c>
      <c r="G79" s="31" t="inlineStr">
        <is>
          <t>S8</t>
        </is>
      </c>
      <c r="H79" s="31" t="inlineStr">
        <is>
          <t>Done</t>
        </is>
      </c>
      <c r="I79" s="31" t="inlineStr">
        <is>
          <t>v008</t>
        </is>
      </c>
      <c r="J79" s="31" t="inlineStr">
        <is>
          <t>src/telemetry.ts</t>
        </is>
      </c>
      <c r="K79" s="31" t="inlineStr">
        <is>
          <t>tests/telemetry.test.ts</t>
        </is>
      </c>
      <c r="L79" s="31" t="inlineStr">
        <is>
          <t>100%</t>
        </is>
      </c>
      <c r="M79" s="31" t="inlineStr">
        <is>
          <t>metricsToCsv export</t>
        </is>
      </c>
    </row>
    <row r="80" ht="23.25" customHeight="1" s="20">
      <c r="A80" s="31" t="inlineStr">
        <is>
          <t>ST-077</t>
        </is>
      </c>
      <c r="B80" s="31" t="inlineStr">
        <is>
          <t>E7</t>
        </is>
      </c>
      <c r="C80" s="31" t="inlineStr">
        <is>
          <t>Telemetry &amp; metrics</t>
        </is>
      </c>
      <c r="D80" s="31" t="inlineStr">
        <is>
          <t>Alert thresholds configurable (activation drop, error spike, churn signal)</t>
        </is>
      </c>
      <c r="E80" s="31" t="n">
        <v>3</v>
      </c>
      <c r="F80" s="31" t="inlineStr">
        <is>
          <t>P2</t>
        </is>
      </c>
      <c r="G80" s="31" t="inlineStr">
        <is>
          <t>S8</t>
        </is>
      </c>
      <c r="H80" s="31" t="inlineStr">
        <is>
          <t>Done</t>
        </is>
      </c>
      <c r="I80" s="31" t="inlineStr">
        <is>
          <t>v008</t>
        </is>
      </c>
      <c r="J80" s="31" t="inlineStr">
        <is>
          <t>src/telemetry.ts</t>
        </is>
      </c>
      <c r="K80" s="31" t="inlineStr">
        <is>
          <t>tests/telemetry.test.ts</t>
        </is>
      </c>
      <c r="L80" s="31" t="inlineStr">
        <is>
          <t>100%</t>
        </is>
      </c>
      <c r="M80" s="31" t="inlineStr">
        <is>
          <t>defaultThresholds + evaluateAlerts</t>
        </is>
      </c>
    </row>
    <row r="81" ht="15" customHeight="1" s="20">
      <c r="A81" s="31" t="inlineStr">
        <is>
          <t>ST-078</t>
        </is>
      </c>
      <c r="B81" s="31" t="inlineStr">
        <is>
          <t>E8</t>
        </is>
      </c>
      <c r="C81" s="31" t="inlineStr">
        <is>
          <t>Onboarding &amp; support</t>
        </is>
      </c>
      <c r="D81" s="31" t="inlineStr">
        <is>
          <t>First-run checklist reaches aha-moment in &lt;1 day</t>
        </is>
      </c>
      <c r="E81" s="31" t="n">
        <v>5</v>
      </c>
      <c r="F81" s="31" t="inlineStr">
        <is>
          <t>P0</t>
        </is>
      </c>
      <c r="G81" s="31" t="inlineStr">
        <is>
          <t>S5</t>
        </is>
      </c>
      <c r="H81" s="31" t="inlineStr">
        <is>
          <t>Done</t>
        </is>
      </c>
      <c r="I81" s="31" t="inlineStr">
        <is>
          <t>v008</t>
        </is>
      </c>
      <c r="J81" s="31" t="inlineStr">
        <is>
          <t>src/onboarding.ts</t>
        </is>
      </c>
      <c r="K81" s="31" t="inlineStr">
        <is>
          <t>tests/onboarding.test.ts</t>
        </is>
      </c>
      <c r="L81" s="31" t="inlineStr">
        <is>
          <t>100%</t>
        </is>
      </c>
      <c r="M81" s="31" t="inlineStr">
        <is>
          <t>ordered checklist, aha stamp, &lt;1-day target check</t>
        </is>
      </c>
    </row>
    <row r="82" ht="15" customHeight="1" s="20">
      <c r="A82" s="31" t="inlineStr">
        <is>
          <t>ST-079</t>
        </is>
      </c>
      <c r="B82" s="31" t="inlineStr">
        <is>
          <t>E8</t>
        </is>
      </c>
      <c r="C82" s="31" t="inlineStr">
        <is>
          <t>Onboarding &amp; support</t>
        </is>
      </c>
      <c r="D82" s="31" t="inlineStr">
        <is>
          <t>Empty states teach next action on every screen</t>
        </is>
      </c>
      <c r="E82" s="31" t="n">
        <v>3</v>
      </c>
      <c r="F82" s="31" t="inlineStr">
        <is>
          <t>P1</t>
        </is>
      </c>
      <c r="G82" s="31" t="inlineStr">
        <is>
          <t>S5</t>
        </is>
      </c>
      <c r="H82" s="31" t="inlineStr">
        <is>
          <t>Done</t>
        </is>
      </c>
      <c r="I82" s="31" t="inlineStr">
        <is>
          <t>v008</t>
        </is>
      </c>
      <c r="J82" s="31" t="inlineStr">
        <is>
          <t>src/onboarding.ts</t>
        </is>
      </c>
      <c r="K82" s="31" t="inlineStr">
        <is>
          <t>tests/onboarding.test.ts</t>
        </is>
      </c>
      <c r="L82" s="31" t="inlineStr">
        <is>
          <t>100%</t>
        </is>
      </c>
      <c r="M82" s="31" t="inlineStr">
        <is>
          <t>EMPTY_STATES copy for all six screens</t>
        </is>
      </c>
    </row>
    <row r="83" ht="15" customHeight="1" s="20">
      <c r="A83" s="24" t="inlineStr">
        <is>
          <t>ST-080</t>
        </is>
      </c>
      <c r="B83" s="24" t="inlineStr">
        <is>
          <t>E8</t>
        </is>
      </c>
      <c r="C83" s="24" t="inlineStr">
        <is>
          <t>Onboarding &amp; support</t>
        </is>
      </c>
      <c r="D83" s="24" t="inlineStr">
        <is>
          <t>Help center with 15 launch articles + search</t>
        </is>
      </c>
      <c r="E83" s="24" t="n">
        <v>5</v>
      </c>
      <c r="F83" s="24" t="inlineStr">
        <is>
          <t>P1</t>
        </is>
      </c>
      <c r="G83" s="24" t="inlineStr">
        <is>
          <t>S10</t>
        </is>
      </c>
      <c r="H83" s="24" t="inlineStr">
        <is>
          <t>Code-complete — pending live</t>
        </is>
      </c>
      <c r="I83" s="24" t="inlineStr">
        <is>
          <t>v016</t>
        </is>
      </c>
      <c r="J83" s="24" t="inlineStr">
        <is>
          <t>src/launchOps.ts; docs/help/01..15</t>
        </is>
      </c>
      <c r="K83" s="24" t="inlineStr">
        <is>
          <t>tests/chatSlaLaunchOps.test.ts</t>
        </is>
      </c>
      <c r="L83" s="24" t="inlineStr">
        <is>
          <t>100%</t>
        </is>
      </c>
      <c r="M83" s="24" t="inlineStr">
        <is>
          <t>Ranked search + manifest gate vs docs/help; hosting/publish pending</t>
        </is>
      </c>
    </row>
    <row r="84" ht="23.25" customHeight="1" s="20">
      <c r="A84" s="24" t="inlineStr">
        <is>
          <t>ST-081</t>
        </is>
      </c>
      <c r="B84" s="24" t="inlineStr">
        <is>
          <t>E8</t>
        </is>
      </c>
      <c r="C84" s="24" t="inlineStr">
        <is>
          <t>Onboarding &amp; support</t>
        </is>
      </c>
      <c r="D84" s="24" t="inlineStr">
        <is>
          <t>In-app chat with &lt;4 business-hr first response</t>
        </is>
      </c>
      <c r="E84" s="24" t="n">
        <v>3</v>
      </c>
      <c r="F84" s="24" t="inlineStr">
        <is>
          <t>P0</t>
        </is>
      </c>
      <c r="G84" s="24" t="inlineStr">
        <is>
          <t>S10</t>
        </is>
      </c>
      <c r="H84" s="24" t="inlineStr">
        <is>
          <t>Code-complete — pending live</t>
        </is>
      </c>
      <c r="I84" s="24" t="inlineStr">
        <is>
          <t>v016</t>
        </is>
      </c>
      <c r="J84" s="24" t="inlineStr">
        <is>
          <t>src/chatSla.ts</t>
        </is>
      </c>
      <c r="K84" s="24" t="inlineStr">
        <is>
          <t>tests/chatSlaLaunchOps.test.ts</t>
        </is>
      </c>
      <c r="L84" s="24" t="inlineStr">
        <is>
          <t>100%</t>
        </is>
      </c>
      <c r="M84" s="24" t="inlineStr">
        <is>
          <t>Built-in chat + 4-business-hr SLA engine; vendor decision optional (D-F6)</t>
        </is>
      </c>
    </row>
    <row r="85" ht="23.25" customHeight="1" s="20">
      <c r="A85" s="31" t="inlineStr">
        <is>
          <t>ST-082</t>
        </is>
      </c>
      <c r="B85" s="31" t="inlineStr">
        <is>
          <t>E8</t>
        </is>
      </c>
      <c r="C85" s="31" t="inlineStr">
        <is>
          <t>Onboarding &amp; support</t>
        </is>
      </c>
      <c r="D85" s="31" t="inlineStr">
        <is>
          <t>In-app review ask after aha-moment (marketplace rating engine)</t>
        </is>
      </c>
      <c r="E85" s="31" t="n">
        <v>3</v>
      </c>
      <c r="F85" s="31" t="inlineStr">
        <is>
          <t>P1</t>
        </is>
      </c>
      <c r="G85" s="31" t="inlineStr">
        <is>
          <t>S11</t>
        </is>
      </c>
      <c r="H85" s="31" t="inlineStr">
        <is>
          <t>Done</t>
        </is>
      </c>
      <c r="I85" s="31" t="inlineStr">
        <is>
          <t>v008</t>
        </is>
      </c>
      <c r="J85" s="31" t="inlineStr">
        <is>
          <t>src/onboarding.ts</t>
        </is>
      </c>
      <c r="K85" s="31" t="inlineStr">
        <is>
          <t>tests/onboarding.test.ts</t>
        </is>
      </c>
      <c r="L85" s="31" t="inlineStr">
        <is>
          <t>100%</t>
        </is>
      </c>
      <c r="M85" s="31" t="inlineStr">
        <is>
          <t>shouldAskReview once, 1 day post-aha</t>
        </is>
      </c>
    </row>
    <row r="86" ht="23.25" customHeight="1" s="20">
      <c r="A86" s="24" t="inlineStr">
        <is>
          <t>ST-083</t>
        </is>
      </c>
      <c r="B86" s="24" t="inlineStr">
        <is>
          <t>E8</t>
        </is>
      </c>
      <c r="C86" s="24" t="inlineStr">
        <is>
          <t>Onboarding &amp; support</t>
        </is>
      </c>
      <c r="D86" s="24" t="inlineStr">
        <is>
          <t>Demo video (2 min) + interactive sandbox/demo data mode</t>
        </is>
      </c>
      <c r="E86" s="24" t="n">
        <v>5</v>
      </c>
      <c r="F86" s="24" t="inlineStr">
        <is>
          <t>P1</t>
        </is>
      </c>
      <c r="G86" s="24" t="inlineStr">
        <is>
          <t>S10</t>
        </is>
      </c>
      <c r="H86" s="24" t="inlineStr">
        <is>
          <t>Drafted — pending publish</t>
        </is>
      </c>
      <c r="I86" s="24" t="inlineStr">
        <is>
          <t>—</t>
        </is>
      </c>
      <c r="J86" s="24" t="inlineStr">
        <is>
          <t>src/demoData.ts; docs/demo/video-script.md</t>
        </is>
      </c>
      <c r="K86" s="24" t="inlineStr">
        <is>
          <t>tests/ui/reliabilityDemoA11y.test.tsx</t>
        </is>
      </c>
      <c r="L86" s="24" t="inlineStr">
        <is>
          <t>100%</t>
        </is>
      </c>
      <c r="M86" s="24" t="inlineStr">
        <is>
          <t>Demo mode coded (deterministic red-week arc); 2-min script+shot list drafted; recording pending</t>
        </is>
      </c>
    </row>
    <row r="87" ht="15" customHeight="1" s="20">
      <c r="A87" s="31" t="inlineStr">
        <is>
          <t>ST-084</t>
        </is>
      </c>
      <c r="B87" s="31" t="inlineStr">
        <is>
          <t>E8</t>
        </is>
      </c>
      <c r="C87" s="31" t="inlineStr">
        <is>
          <t>Onboarding &amp; support</t>
        </is>
      </c>
      <c r="D87" s="31" t="inlineStr">
        <is>
          <t>Status page + incident comms template</t>
        </is>
      </c>
      <c r="E87" s="31" t="n">
        <v>2</v>
      </c>
      <c r="F87" s="31" t="inlineStr">
        <is>
          <t>P2</t>
        </is>
      </c>
      <c r="G87" s="31" t="inlineStr">
        <is>
          <t>S10</t>
        </is>
      </c>
      <c r="H87" s="31" t="inlineStr">
        <is>
          <t>Done</t>
        </is>
      </c>
      <c r="I87" s="31" t="inlineStr">
        <is>
          <t>v008</t>
        </is>
      </c>
      <c r="J87" s="31" t="inlineStr">
        <is>
          <t>src/onboarding.ts</t>
        </is>
      </c>
      <c r="K87" s="31" t="inlineStr">
        <is>
          <t>tests/onboarding.test.ts</t>
        </is>
      </c>
      <c r="L87" s="31" t="inlineStr">
        <is>
          <t>100%</t>
        </is>
      </c>
      <c r="M87" s="31" t="inlineStr">
        <is>
          <t>incidentComms template</t>
        </is>
      </c>
    </row>
    <row r="88" ht="23.25" customHeight="1" s="20">
      <c r="A88" s="31" t="inlineStr">
        <is>
          <t>ST-085</t>
        </is>
      </c>
      <c r="B88" s="31" t="inlineStr">
        <is>
          <t>EQ</t>
        </is>
      </c>
      <c r="C88" s="31" t="inlineStr">
        <is>
          <t>Engineering quality</t>
        </is>
      </c>
      <c r="D88" s="31" t="inlineStr">
        <is>
          <t>Unit+integration test coverage gate 100% on all code (D13, 10 Sep 2026 — supersedes former ≥70% gate)</t>
        </is>
      </c>
      <c r="E88" s="31" t="n">
        <v>5</v>
      </c>
      <c r="F88" s="31" t="inlineStr">
        <is>
          <t>P0</t>
        </is>
      </c>
      <c r="G88" s="31" t="inlineStr">
        <is>
          <t>S3</t>
        </is>
      </c>
      <c r="H88" s="31" t="inlineStr">
        <is>
          <t>Done</t>
        </is>
      </c>
      <c r="I88" s="31" t="inlineStr">
        <is>
          <t>v008</t>
        </is>
      </c>
      <c r="J88" s="31" t="inlineStr">
        <is>
          <t>jest.config.js</t>
        </is>
      </c>
      <c r="K88" s="31" t="inlineStr">
        <is>
          <t>full suite (11 files, 120 tests)</t>
        </is>
      </c>
      <c r="L88" s="31" t="inlineStr">
        <is>
          <t>100%</t>
        </is>
      </c>
      <c r="M88" s="31" t="inlineStr">
        <is>
          <t>Gate implemented as jest coverageThreshold=100 (all four metrics); achieved this build</t>
        </is>
      </c>
    </row>
    <row r="89" ht="23.25" customHeight="1" s="20">
      <c r="A89" s="24" t="inlineStr">
        <is>
          <t>ST-086</t>
        </is>
      </c>
      <c r="B89" s="24" t="inlineStr">
        <is>
          <t>EQ</t>
        </is>
      </c>
      <c r="C89" s="24" t="inlineStr">
        <is>
          <t>Engineering quality</t>
        </is>
      </c>
      <c r="D89" s="24" t="inlineStr">
        <is>
          <t>E2E smoke suite runs on every deploy</t>
        </is>
      </c>
      <c r="E89" s="24" t="n">
        <v>5</v>
      </c>
      <c r="F89" s="24" t="inlineStr">
        <is>
          <t>P0</t>
        </is>
      </c>
      <c r="G89" s="24" t="inlineStr">
        <is>
          <t>S4</t>
        </is>
      </c>
      <c r="H89" s="24" t="inlineStr">
        <is>
          <t>Code-complete — pending live</t>
        </is>
      </c>
      <c r="I89" s="24" t="inlineStr">
        <is>
          <t>—</t>
        </is>
      </c>
      <c r="J89" s="24" t="inlineStr">
        <is>
          <t>.github/workflows/ci.yml</t>
        </is>
      </c>
      <c r="K89" s="24" t="inlineStr">
        <is>
          <t>runs npx jest --coverage (13 suites, 148 tests)</t>
        </is>
      </c>
      <c r="L89" s="24" t="inlineStr">
        <is>
          <t>100%</t>
        </is>
      </c>
      <c r="M89" s="24" t="inlineStr">
        <is>
          <t>Workflow triggers on push/PR/deployment with typecheck + 100% gate; live repo/deploy hookup pending</t>
        </is>
      </c>
    </row>
    <row r="90" ht="23.25" customHeight="1" s="20">
      <c r="A90" s="24" t="inlineStr">
        <is>
          <t>ST-087</t>
        </is>
      </c>
      <c r="B90" s="24" t="inlineStr">
        <is>
          <t>EQ</t>
        </is>
      </c>
      <c r="C90" s="24" t="inlineStr">
        <is>
          <t>Engineering quality</t>
        </is>
      </c>
      <c r="D90" s="24" t="inlineStr">
        <is>
          <t>p95 latency budgets defined and monitored per surface</t>
        </is>
      </c>
      <c r="E90" s="24" t="n">
        <v>3</v>
      </c>
      <c r="F90" s="24" t="inlineStr">
        <is>
          <t>P0</t>
        </is>
      </c>
      <c r="G90" s="24" t="inlineStr">
        <is>
          <t>S8</t>
        </is>
      </c>
      <c r="H90" s="24" t="inlineStr">
        <is>
          <t>Code-complete — pending live</t>
        </is>
      </c>
      <c r="I90" s="24" t="inlineStr">
        <is>
          <t>—</t>
        </is>
      </c>
      <c r="J90" s="24" t="inlineStr">
        <is>
          <t>src/reliability.ts; docs/reliability/latency-budgets.md</t>
        </is>
      </c>
      <c r="K90" s="24" t="inlineStr">
        <is>
          <t>tests/ui/reliabilityDemoA11y.test.tsx</t>
        </is>
      </c>
      <c r="L90" s="24" t="inlineStr">
        <is>
          <t>100%</t>
        </is>
      </c>
      <c r="M90" s="24" t="inlineStr">
        <is>
          <t>Budgets defined per surface + p95/evaluateBudget; APM monitoring hookup pending</t>
        </is>
      </c>
    </row>
    <row r="91" ht="23.25" customHeight="1" s="20">
      <c r="A91" s="24" t="inlineStr">
        <is>
          <t>ST-088</t>
        </is>
      </c>
      <c r="B91" s="24" t="inlineStr">
        <is>
          <t>EQ</t>
        </is>
      </c>
      <c r="C91" s="24" t="inlineStr">
        <is>
          <t>Engineering quality</t>
        </is>
      </c>
      <c r="D91" s="24" t="inlineStr">
        <is>
          <t>Load test at 5x expected launch traffic</t>
        </is>
      </c>
      <c r="E91" s="24" t="n">
        <v>5</v>
      </c>
      <c r="F91" s="24" t="inlineStr">
        <is>
          <t>P1</t>
        </is>
      </c>
      <c r="G91" s="24" t="inlineStr">
        <is>
          <t>S8</t>
        </is>
      </c>
      <c r="H91" s="24" t="inlineStr">
        <is>
          <t>Code-complete — pending live</t>
        </is>
      </c>
      <c r="I91" s="24" t="inlineStr">
        <is>
          <t>—</t>
        </is>
      </c>
      <c r="J91" s="24" t="inlineStr">
        <is>
          <t>docs/loadtest/k6-flowcast.js</t>
        </is>
      </c>
      <c r="K91" s="24" t="inlineStr">
        <is>
          <t>thresholds mirror latency-budgets p95</t>
        </is>
      </c>
      <c r="L91" s="24" t="inlineStr">
        <is>
          <t>—</t>
        </is>
      </c>
      <c r="M91" s="24" t="inlineStr">
        <is>
          <t>k6 harness ready: steady/burst(25 rps)/webhook-storm scenarios at 5x launch assumptions; run pending staging</t>
        </is>
      </c>
    </row>
    <row r="92" ht="23.25" customHeight="1" s="20">
      <c r="A92" s="24" t="inlineStr">
        <is>
          <t>ST-089</t>
        </is>
      </c>
      <c r="B92" s="24" t="inlineStr">
        <is>
          <t>EQ</t>
        </is>
      </c>
      <c r="C92" s="24" t="inlineStr">
        <is>
          <t>Engineering quality</t>
        </is>
      </c>
      <c r="D92" s="24" t="inlineStr">
        <is>
          <t>Accessibility WCAG AA pass on primary flows</t>
        </is>
      </c>
      <c r="E92" s="24" t="n">
        <v>3</v>
      </c>
      <c r="F92" s="24" t="inlineStr">
        <is>
          <t>P1</t>
        </is>
      </c>
      <c r="G92" s="24" t="inlineStr">
        <is>
          <t>S9</t>
        </is>
      </c>
      <c r="H92" s="24" t="inlineStr">
        <is>
          <t>Code-complete — pending live</t>
        </is>
      </c>
      <c r="I92" s="24" t="inlineStr">
        <is>
          <t>—</t>
        </is>
      </c>
      <c r="J92" s="24" t="inlineStr">
        <is>
          <t>all src/ui/*.tsx</t>
        </is>
      </c>
      <c r="K92" s="24" t="inlineStr">
        <is>
          <t>tests/ui/reliabilityDemoA11y.test.tsx (jest-axe)</t>
        </is>
      </c>
      <c r="L92" s="24" t="inlineStr">
        <is>
          <t>100%</t>
        </is>
      </c>
      <c r="M92" s="24" t="inlineStr">
        <is>
          <t>Automated axe pass, zero violations on all 7 surfaces; live full-flow AA audit pending</t>
        </is>
      </c>
    </row>
    <row r="93" ht="23.25" customHeight="1" s="20">
      <c r="A93" s="24" t="inlineStr">
        <is>
          <t>ST-090</t>
        </is>
      </c>
      <c r="B93" s="24" t="inlineStr">
        <is>
          <t>EQ</t>
        </is>
      </c>
      <c r="C93" s="24" t="inlineStr">
        <is>
          <t>Engineering quality</t>
        </is>
      </c>
      <c r="D93" s="24" t="inlineStr">
        <is>
          <t>Backup + restore drill executed</t>
        </is>
      </c>
      <c r="E93" s="24" t="n">
        <v>3</v>
      </c>
      <c r="F93" s="24" t="inlineStr">
        <is>
          <t>P1</t>
        </is>
      </c>
      <c r="G93" s="24" t="inlineStr">
        <is>
          <t>S9</t>
        </is>
      </c>
      <c r="H93" s="24" t="inlineStr">
        <is>
          <t>Drafted — pending publish</t>
        </is>
      </c>
      <c r="I93" s="24" t="inlineStr">
        <is>
          <t>—</t>
        </is>
      </c>
      <c r="J93" s="24" t="inlineStr">
        <is>
          <t>docs/runbooks/backup-restore-drill.md</t>
        </is>
      </c>
      <c r="K93" s="24" t="inlineStr">
        <is>
          <t>—</t>
        </is>
      </c>
      <c r="L93" s="24" t="inlineStr">
        <is>
          <t>—</t>
        </is>
      </c>
      <c r="M93" s="24" t="inlineStr">
        <is>
          <t>Policy + drill procedure + RTO/RPO targets drafted; first drill needs live infra</t>
        </is>
      </c>
    </row>
    <row r="94" ht="23.25" customHeight="1" s="20">
      <c r="A94" s="24" t="inlineStr">
        <is>
          <t>ST-091</t>
        </is>
      </c>
      <c r="B94" s="24" t="inlineStr">
        <is>
          <t>EQ</t>
        </is>
      </c>
      <c r="C94" s="24" t="inlineStr">
        <is>
          <t>Engineering quality</t>
        </is>
      </c>
      <c r="D94" s="24" t="inlineStr">
        <is>
          <t>Chaos test: platform API outage degrades gracefully with user comms</t>
        </is>
      </c>
      <c r="E94" s="24" t="n">
        <v>3</v>
      </c>
      <c r="F94" s="24" t="inlineStr">
        <is>
          <t>P2</t>
        </is>
      </c>
      <c r="G94" s="24" t="inlineStr">
        <is>
          <t>S9</t>
        </is>
      </c>
      <c r="H94" s="24" t="inlineStr">
        <is>
          <t>Code-complete — pending live</t>
        </is>
      </c>
      <c r="I94" s="24" t="inlineStr">
        <is>
          <t>—</t>
        </is>
      </c>
      <c r="J94" s="24" t="inlineStr">
        <is>
          <t>src/reliability.ts; src/ui/DegradedBanner.tsx; docs/runbooks/chaos-platform-outage.md</t>
        </is>
      </c>
      <c r="K94" s="24" t="inlineStr">
        <is>
          <t>tests/ui/reliabilityDemoA11y.test.tsx</t>
        </is>
      </c>
      <c r="L94" s="24" t="inlineStr">
        <is>
          <t>100%</t>
        </is>
      </c>
      <c r="M94" s="24" t="inlineStr">
        <is>
          <t>Breaker→level mapping + honest user comms + banner; staging chaos drill pending</t>
        </is>
      </c>
    </row>
    <row r="95" ht="34.5" customHeight="1" s="20">
      <c r="A95" s="24" t="inlineStr">
        <is>
          <t>ST-092</t>
        </is>
      </c>
      <c r="B95" s="24" t="inlineStr">
        <is>
          <t>EQ</t>
        </is>
      </c>
      <c r="C95" s="24" t="inlineStr">
        <is>
          <t>Engineering quality</t>
        </is>
      </c>
      <c r="D95" s="24" t="inlineStr">
        <is>
          <t>Zero-downtime deploy verified (blue/green or rolling)</t>
        </is>
      </c>
      <c r="E95" s="24" t="n">
        <v>3</v>
      </c>
      <c r="F95" s="24" t="inlineStr">
        <is>
          <t>P2</t>
        </is>
      </c>
      <c r="G95" s="24" t="inlineStr">
        <is>
          <t>S8</t>
        </is>
      </c>
      <c r="H95" s="24" t="inlineStr">
        <is>
          <t>Code-complete — pending live</t>
        </is>
      </c>
      <c r="I95" s="24" t="inlineStr">
        <is>
          <t>—</t>
        </is>
      </c>
      <c r="J95" s="24" t="inlineStr">
        <is>
          <t>.github/workflows/deploy.yml</t>
        </is>
      </c>
      <c r="K95" s="24" t="inlineStr">
        <is>
          <t>test-gate job = full 100% suite</t>
        </is>
      </c>
      <c r="L95" s="24" t="inlineStr">
        <is>
          <t>—</t>
        </is>
      </c>
      <c r="M95" s="24" t="inlineStr">
        <is>
          <t>Blue/green workflow drafted: 100%-gate -&gt; idle-colour deploy -&gt; health+smoke gate -&gt; atomic swap -&gt; warm rollback; live verification pending infra</t>
        </is>
      </c>
    </row>
    <row r="96" ht="23.25" customHeight="1" s="20">
      <c r="A96" s="24" t="inlineStr">
        <is>
          <t>ST-093</t>
        </is>
      </c>
      <c r="B96" s="24" t="inlineStr">
        <is>
          <t>EL</t>
        </is>
      </c>
      <c r="C96" s="24" t="inlineStr">
        <is>
          <t>Listing &amp; launch</t>
        </is>
      </c>
      <c r="D96" s="24" t="inlineStr">
        <is>
          <t>Marketplace listing copy A + B variants drafted and reviewed</t>
        </is>
      </c>
      <c r="E96" s="24" t="n">
        <v>3</v>
      </c>
      <c r="F96" s="24" t="inlineStr">
        <is>
          <t>P0</t>
        </is>
      </c>
      <c r="G96" s="24" t="inlineStr">
        <is>
          <t>S9</t>
        </is>
      </c>
      <c r="H96" s="24" t="inlineStr">
        <is>
          <t>Drafted — pending review</t>
        </is>
      </c>
      <c r="I96" s="24" t="inlineStr">
        <is>
          <t>—</t>
        </is>
      </c>
      <c r="J96" s="24" t="inlineStr">
        <is>
          <t>docs/listing/listing-copy-A.md; listing-copy-B.md</t>
        </is>
      </c>
      <c r="K96" s="24" t="inlineStr">
        <is>
          <t>—</t>
        </is>
      </c>
      <c r="L96" s="24" t="inlineStr">
        <is>
          <t>—</t>
        </is>
      </c>
      <c r="M96" s="24" t="inlineStr">
        <is>
          <t>A (forecast-led) + B (chasing-led, accountant channel) drafted; Senthil review pending</t>
        </is>
      </c>
    </row>
    <row r="97" ht="15" customHeight="1" s="20">
      <c r="A97" s="24" t="inlineStr">
        <is>
          <t>ST-094</t>
        </is>
      </c>
      <c r="B97" s="24" t="inlineStr">
        <is>
          <t>EL</t>
        </is>
      </c>
      <c r="C97" s="24" t="inlineStr">
        <is>
          <t>Listing &amp; launch</t>
        </is>
      </c>
      <c r="D97" s="24" t="inlineStr">
        <is>
          <t>5 screenshots + 2-min demo video meet platform asset specs</t>
        </is>
      </c>
      <c r="E97" s="24" t="n">
        <v>5</v>
      </c>
      <c r="F97" s="24" t="inlineStr">
        <is>
          <t>P0</t>
        </is>
      </c>
      <c r="G97" s="24" t="inlineStr">
        <is>
          <t>S9</t>
        </is>
      </c>
      <c r="H97" s="24" t="inlineStr">
        <is>
          <t>Drafted — pending publish</t>
        </is>
      </c>
      <c r="I97" s="24" t="inlineStr">
        <is>
          <t>—</t>
        </is>
      </c>
      <c r="J97" s="24" t="inlineStr">
        <is>
          <t>docs/listing/asset-specs-and-shot-plan.md</t>
        </is>
      </c>
      <c r="K97" s="24" t="inlineStr">
        <is>
          <t>—</t>
        </is>
      </c>
      <c r="L97" s="24" t="inlineStr">
        <is>
          <t>—</t>
        </is>
      </c>
      <c r="M97" s="24" t="inlineStr">
        <is>
          <t>Specs + 5-shot plan drafted; capture needs deployed UI</t>
        </is>
      </c>
    </row>
    <row r="98" ht="15" customHeight="1" s="20">
      <c r="A98" s="24" t="inlineStr">
        <is>
          <t>ST-095</t>
        </is>
      </c>
      <c r="B98" s="24" t="inlineStr">
        <is>
          <t>EL</t>
        </is>
      </c>
      <c r="C98" s="24" t="inlineStr">
        <is>
          <t>Listing &amp; launch</t>
        </is>
      </c>
      <c r="D98" s="24" t="inlineStr">
        <is>
          <t>Pricing page/plan matrix published with FAQ</t>
        </is>
      </c>
      <c r="E98" s="24" t="n">
        <v>3</v>
      </c>
      <c r="F98" s="24" t="inlineStr">
        <is>
          <t>P0</t>
        </is>
      </c>
      <c r="G98" s="24" t="inlineStr">
        <is>
          <t>S10</t>
        </is>
      </c>
      <c r="H98" s="24" t="inlineStr">
        <is>
          <t>Code-complete — pending live</t>
        </is>
      </c>
      <c r="I98" s="24" t="inlineStr">
        <is>
          <t>v016</t>
        </is>
      </c>
      <c r="J98" s="24" t="inlineStr">
        <is>
          <t>src/launchOps.ts; docs/listing/pricing-page.md</t>
        </is>
      </c>
      <c r="K98" s="24" t="inlineStr">
        <is>
          <t>tests/chatSlaLaunchOps.test.ts</t>
        </is>
      </c>
      <c r="L98" s="24" t="inlineStr">
        <is>
          <t>100%</t>
        </is>
      </c>
      <c r="M98" s="24" t="inlineStr">
        <is>
          <t>Matrix generated from billing.ts; DRIFT GATE binds published page to enforced constants</t>
        </is>
      </c>
    </row>
    <row r="99" ht="23.25" customHeight="1" s="20">
      <c r="A99" s="24" t="inlineStr">
        <is>
          <t>ST-096</t>
        </is>
      </c>
      <c r="B99" s="24" t="inlineStr">
        <is>
          <t>EL</t>
        </is>
      </c>
      <c r="C99" s="24" t="inlineStr">
        <is>
          <t>Listing &amp; launch</t>
        </is>
      </c>
      <c r="D99" s="24" t="inlineStr">
        <is>
          <t>Security/trust page (data handling, subprocessors) live</t>
        </is>
      </c>
      <c r="E99" s="24" t="n">
        <v>3</v>
      </c>
      <c r="F99" s="24" t="inlineStr">
        <is>
          <t>P0</t>
        </is>
      </c>
      <c r="G99" s="24" t="inlineStr">
        <is>
          <t>S10</t>
        </is>
      </c>
      <c r="H99" s="24" t="inlineStr">
        <is>
          <t>Drafted — pending publish</t>
        </is>
      </c>
      <c r="I99" s="24" t="inlineStr">
        <is>
          <t>—</t>
        </is>
      </c>
      <c r="J99" s="24" t="inlineStr">
        <is>
          <t>docs/listing/security-trust-page.md</t>
        </is>
      </c>
      <c r="K99" s="24" t="inlineStr">
        <is>
          <t>—</t>
        </is>
      </c>
      <c r="L99" s="24" t="inlineStr">
        <is>
          <t>—</t>
        </is>
      </c>
      <c r="M99" s="24" t="inlineStr">
        <is>
          <t>Scope mapping, retention, controls, subprocessor list drafted; final subprocessors at launch</t>
        </is>
      </c>
    </row>
    <row r="100" ht="34.5" customHeight="1" s="20">
      <c r="A100" s="24" t="inlineStr">
        <is>
          <t>ST-097</t>
        </is>
      </c>
      <c r="B100" s="24" t="inlineStr">
        <is>
          <t>EL</t>
        </is>
      </c>
      <c r="C100" s="24" t="inlineStr">
        <is>
          <t>Listing &amp; launch</t>
        </is>
      </c>
      <c r="D100" s="24" t="inlineStr">
        <is>
          <t>Submission dry-run against platform checklist by second reviewer</t>
        </is>
      </c>
      <c r="E100" s="24" t="n">
        <v>3</v>
      </c>
      <c r="F100" s="24" t="inlineStr">
        <is>
          <t>P0</t>
        </is>
      </c>
      <c r="G100" s="24" t="inlineStr">
        <is>
          <t>S10</t>
        </is>
      </c>
      <c r="H100" s="24" t="inlineStr">
        <is>
          <t>In progress</t>
        </is>
      </c>
      <c r="I100" s="24" t="inlineStr">
        <is>
          <t>—</t>
        </is>
      </c>
      <c r="J100" s="24" t="inlineStr">
        <is>
          <t>docs/listing/submission-dry-run.md</t>
        </is>
      </c>
      <c r="K100" s="24" t="inlineStr">
        <is>
          <t>—</t>
        </is>
      </c>
      <c r="L100" s="24" t="inlineStr">
        <is>
          <t>—</t>
        </is>
      </c>
      <c r="M100" s="24" t="inlineStr">
        <is>
          <t>First-pass dry-run done: gap (a) dev org — Senthil; gap (b) content webhooks CLOSED in v011 (WBH-001); 6 live-verify items remain; second pass = Senthil</t>
        </is>
      </c>
    </row>
    <row r="101" ht="23.25" customHeight="1" s="20">
      <c r="A101" s="31" t="inlineStr">
        <is>
          <t>ST-098</t>
        </is>
      </c>
      <c r="B101" s="31" t="inlineStr">
        <is>
          <t>EL</t>
        </is>
      </c>
      <c r="C101" s="31" t="inlineStr">
        <is>
          <t>Listing &amp; launch</t>
        </is>
      </c>
      <c r="D101" s="31" t="inlineStr">
        <is>
          <t>Launch-day runbook: monitoring, rollback, comms tree</t>
        </is>
      </c>
      <c r="E101" s="31" t="n">
        <v>3</v>
      </c>
      <c r="F101" s="31" t="inlineStr">
        <is>
          <t>P1</t>
        </is>
      </c>
      <c r="G101" s="31" t="inlineStr">
        <is>
          <t>S11</t>
        </is>
      </c>
      <c r="H101" s="31" t="inlineStr">
        <is>
          <t>Done</t>
        </is>
      </c>
      <c r="I101" s="31" t="inlineStr">
        <is>
          <t>v010</t>
        </is>
      </c>
      <c r="J101" s="31" t="inlineStr">
        <is>
          <t>docs/runbooks/launch-day.md</t>
        </is>
      </c>
      <c r="K101" s="31" t="inlineStr">
        <is>
          <t>—</t>
        </is>
      </c>
      <c r="L101" s="31" t="inlineStr">
        <is>
          <t>—</t>
        </is>
      </c>
      <c r="M101" s="31" t="inlineStr">
        <is>
          <t>Runbook complete: T-1 freeze, hourly monitoring set, rollback trigger+path, comms tree, support surge</t>
        </is>
      </c>
    </row>
    <row r="102" ht="15" customHeight="1" s="20">
      <c r="A102" s="24" t="inlineStr">
        <is>
          <t>ST-099</t>
        </is>
      </c>
      <c r="B102" s="24" t="inlineStr">
        <is>
          <t>EL</t>
        </is>
      </c>
      <c r="C102" s="24" t="inlineStr">
        <is>
          <t>Listing &amp; launch</t>
        </is>
      </c>
      <c r="D102" s="24" t="inlineStr">
        <is>
          <t>Post-launch listing SEO iteration 1 from search-term data</t>
        </is>
      </c>
      <c r="E102" s="24" t="n">
        <v>2</v>
      </c>
      <c r="F102" s="24" t="inlineStr">
        <is>
          <t>P2</t>
        </is>
      </c>
      <c r="G102" s="24" t="inlineStr">
        <is>
          <t>S12</t>
        </is>
      </c>
      <c r="H102" s="24" t="inlineStr">
        <is>
          <t>Code-complete — pending live</t>
        </is>
      </c>
      <c r="I102" s="24" t="inlineStr">
        <is>
          <t>v016</t>
        </is>
      </c>
      <c r="J102" s="24" t="inlineStr">
        <is>
          <t>src/launchOps.ts</t>
        </is>
      </c>
      <c r="K102" s="24" t="inlineStr">
        <is>
          <t>tests/chatSlaLaunchOps.test.ts</t>
        </is>
      </c>
      <c r="L102" s="24" t="inlineStr">
        <is>
          <t>100%</t>
        </is>
      </c>
      <c r="M102" s="24" t="inlineStr">
        <is>
          <t>SEO engine half w/ 100-impression thin-data floor; live half = post-launch data</t>
        </is>
      </c>
    </row>
    <row r="103" ht="15" customHeight="1" s="20">
      <c r="A103" s="24" t="inlineStr">
        <is>
          <t>ST-100</t>
        </is>
      </c>
      <c r="B103" s="24" t="inlineStr">
        <is>
          <t>EL</t>
        </is>
      </c>
      <c r="C103" s="24" t="inlineStr">
        <is>
          <t>Listing &amp; launch</t>
        </is>
      </c>
      <c r="D103" s="24" t="inlineStr">
        <is>
          <t>First 10 design-partner reviews scheduled</t>
        </is>
      </c>
      <c r="E103" s="24" t="n">
        <v>2</v>
      </c>
      <c r="F103" s="24" t="inlineStr">
        <is>
          <t>P1</t>
        </is>
      </c>
      <c r="G103" s="24" t="inlineStr">
        <is>
          <t>S11</t>
        </is>
      </c>
      <c r="H103" s="24" t="inlineStr">
        <is>
          <t>Code-complete — pending live</t>
        </is>
      </c>
      <c r="I103" s="24" t="inlineStr">
        <is>
          <t>v016</t>
        </is>
      </c>
      <c r="J103" s="24" t="inlineStr">
        <is>
          <t>src/launchOps.ts</t>
        </is>
      </c>
      <c r="K103" s="24" t="inlineStr">
        <is>
          <t>tests/chatSlaLaunchOps.test.ts</t>
        </is>
      </c>
      <c r="L103" s="24" t="inlineStr">
        <is>
          <t>100%</t>
        </is>
      </c>
      <c r="M103" s="24" t="inlineStr">
        <is>
          <t>10-slot tracker, stale-nudge, exit math: reviews ≠ G-02 paying strangers; outreach = Senthil</t>
        </is>
      </c>
    </row>
    <row r="104" ht="79.5" customHeight="1" s="20">
      <c r="A104" s="24" t="inlineStr">
        <is>
          <t>WBH-001</t>
        </is>
      </c>
      <c r="B104" s="24" t="inlineStr">
        <is>
          <t>EQ+</t>
        </is>
      </c>
      <c r="C104" s="24" t="inlineStr">
        <is>
          <t>Engineering quality (post-baseline)</t>
        </is>
      </c>
      <c r="D104" s="24" t="inlineStr">
        <is>
          <t>(post-baseline item — see notes)</t>
        </is>
      </c>
      <c r="E104" s="24" t="inlineStr">
        <is>
          <t>—</t>
        </is>
      </c>
      <c r="F104" s="24" t="inlineStr">
        <is>
          <t>—</t>
        </is>
      </c>
      <c r="G104" s="24" t="inlineStr">
        <is>
          <t>—</t>
        </is>
      </c>
      <c r="H104" s="24" t="inlineStr">
        <is>
          <t>Code-complete — pending live</t>
        </is>
      </c>
      <c r="I104" s="24" t="inlineStr">
        <is>
          <t>v011</t>
        </is>
      </c>
      <c r="J104" s="24" t="inlineStr">
        <is>
          <t>src/webhooks.ts</t>
        </is>
      </c>
      <c r="K104" s="24" t="inlineStr">
        <is>
          <t>tests/webhooks.test.ts</t>
        </is>
      </c>
      <c r="L104" s="24" t="inlineStr">
        <is>
          <t>100%</t>
        </is>
      </c>
      <c r="M104" s="24" t="inlineStr">
        <is>
          <t>Dry-run gap #4 closed in code: HMAC-SHA256 signature verify (constant-time, intent-to-receive), fast-ack + idempotent queue with retry/dead-letter/redelivery-heal, invoice/contact/subscription action mapping (payment cancels nudges), bank-txn polling behind shared circuit breaker (no platform webhook exists — 15-min poll documented). Live wiring pending dev org. Unnumbered: added post-baseline from dry-run, outside ST-001..100 board counts by design</t>
        </is>
      </c>
    </row>
    <row r="105" ht="34.5" customHeight="1" s="20">
      <c r="A105" s="24" t="inlineStr">
        <is>
          <t>WBH-002</t>
        </is>
      </c>
      <c r="B105" s="24" t="inlineStr">
        <is>
          <t>EQ+</t>
        </is>
      </c>
      <c r="C105" s="24" t="inlineStr">
        <is>
          <t>Engineering quality (post-baseline)</t>
        </is>
      </c>
      <c r="D105" s="24" t="inlineStr">
        <is>
          <t>(post-baseline item — see notes)</t>
        </is>
      </c>
      <c r="E105" s="24" t="inlineStr">
        <is>
          <t>—</t>
        </is>
      </c>
      <c r="F105" s="24" t="inlineStr">
        <is>
          <t>—</t>
        </is>
      </c>
      <c r="G105" s="24" t="inlineStr">
        <is>
          <t>—</t>
        </is>
      </c>
      <c r="H105" s="24" t="inlineStr">
        <is>
          <t>Done (code)</t>
        </is>
      </c>
      <c r="I105" s="24" t="inlineStr">
        <is>
          <t>v012</t>
        </is>
      </c>
      <c r="J105" s="24" t="inlineStr">
        <is>
          <t>src/rateLimiter.ts</t>
        </is>
      </c>
      <c r="K105" s="24" t="inlineStr">
        <is>
          <t>tests/rateLimitQaHttp.test.ts</t>
        </is>
      </c>
      <c r="L105" s="24" t="inlineStr">
        <is>
          <t>100%</t>
        </is>
      </c>
      <c r="M105" s="24" t="inlineStr">
        <is>
          <t>Checklist #3 hardening: proactive per-tenant 60/min sliding-window limiter + paced execution (complements reactive backoff/breaker); live verification pending</t>
        </is>
      </c>
    </row>
    <row r="106" ht="34.5" customHeight="1" s="20">
      <c r="A106" s="24" t="inlineStr">
        <is>
          <t>WBH-003</t>
        </is>
      </c>
      <c r="B106" s="24" t="inlineStr">
        <is>
          <t>EQ+</t>
        </is>
      </c>
      <c r="C106" s="24" t="inlineStr">
        <is>
          <t>Engineering quality (post-baseline)</t>
        </is>
      </c>
      <c r="D106" s="24" t="inlineStr">
        <is>
          <t>(post-baseline item — see notes)</t>
        </is>
      </c>
      <c r="E106" s="24" t="inlineStr">
        <is>
          <t>—</t>
        </is>
      </c>
      <c r="F106" s="24" t="inlineStr">
        <is>
          <t>—</t>
        </is>
      </c>
      <c r="G106" s="24" t="inlineStr">
        <is>
          <t>—</t>
        </is>
      </c>
      <c r="H106" s="24" t="inlineStr">
        <is>
          <t>Done (code)</t>
        </is>
      </c>
      <c r="I106" s="24" t="inlineStr">
        <is>
          <t>v012</t>
        </is>
      </c>
      <c r="J106" s="24" t="inlineStr">
        <is>
          <t>src/server.ts</t>
        </is>
      </c>
      <c r="K106" s="24" t="inlineStr">
        <is>
          <t>tests/rateLimitQaHttp.test.ts</t>
        </is>
      </c>
      <c r="L106" s="24" t="inlineStr">
        <is>
          <t>100%</t>
        </is>
      </c>
      <c r="M106" s="24" t="inlineStr">
        <is>
          <t>HTTP wiring layer: routed fast-ack webhook endpoint (raw-body signature contract) + /health with release + queue depth; net binding is 5 lines at deploy</t>
        </is>
      </c>
    </row>
    <row r="107" ht="23.25" customHeight="1" s="20">
      <c r="A107" s="24" t="inlineStr">
        <is>
          <t>QA-007</t>
        </is>
      </c>
      <c r="B107" s="24" t="inlineStr">
        <is>
          <t>EQ+</t>
        </is>
      </c>
      <c r="C107" s="24" t="inlineStr">
        <is>
          <t>Engineering quality (post-baseline)</t>
        </is>
      </c>
      <c r="D107" s="24" t="inlineStr">
        <is>
          <t>(post-baseline item — see notes)</t>
        </is>
      </c>
      <c r="E107" s="24" t="inlineStr">
        <is>
          <t>—</t>
        </is>
      </c>
      <c r="F107" s="24" t="inlineStr">
        <is>
          <t>—</t>
        </is>
      </c>
      <c r="G107" s="24" t="inlineStr">
        <is>
          <t>—</t>
        </is>
      </c>
      <c r="H107" s="24" t="inlineStr">
        <is>
          <t>Done (logic drill)</t>
        </is>
      </c>
      <c r="I107" s="24" t="inlineStr">
        <is>
          <t>v012</t>
        </is>
      </c>
      <c r="J107" s="24" t="inlineStr">
        <is>
          <t>src/qaDatasets.ts (twentyClientBook)</t>
        </is>
      </c>
      <c r="K107" s="24" t="inlineStr">
        <is>
          <t>tests/rateLimitQaHttp.test.ts</t>
        </is>
      </c>
      <c r="L107" s="24" t="inlineStr">
        <is>
          <t>100%</t>
        </is>
      </c>
      <c r="M107" s="24" t="inlineStr">
        <is>
          <t>Checklist #7: 20-client book drill — risk-first sort + portal rules at scale verified</t>
        </is>
      </c>
    </row>
    <row r="108" ht="45.75" customHeight="1" s="20">
      <c r="A108" s="24" t="inlineStr">
        <is>
          <t>QA-008</t>
        </is>
      </c>
      <c r="B108" s="24" t="inlineStr">
        <is>
          <t>EQ+</t>
        </is>
      </c>
      <c r="C108" s="24" t="inlineStr">
        <is>
          <t>Engineering quality (post-baseline)</t>
        </is>
      </c>
      <c r="D108" s="24" t="inlineStr">
        <is>
          <t>(post-baseline item — see notes)</t>
        </is>
      </c>
      <c r="E108" s="24" t="inlineStr">
        <is>
          <t>—</t>
        </is>
      </c>
      <c r="F108" s="24" t="inlineStr">
        <is>
          <t>—</t>
        </is>
      </c>
      <c r="G108" s="24" t="inlineStr">
        <is>
          <t>—</t>
        </is>
      </c>
      <c r="H108" s="24" t="inlineStr">
        <is>
          <t>Done (logic drill)</t>
        </is>
      </c>
      <c r="I108" s="24" t="inlineStr">
        <is>
          <t>v012</t>
        </is>
      </c>
      <c r="J108" s="24" t="inlineStr">
        <is>
          <t>src/qaDatasets.ts (twelveMonthFeed); src/anomalyAlerts.ts (detectWithHistory)</t>
        </is>
      </c>
      <c r="K108" s="24" t="inlineStr">
        <is>
          <t>tests/rateLimitQaHttp.test.ts</t>
        </is>
      </c>
      <c r="L108" s="24" t="inlineStr">
        <is>
          <t>100%</t>
        </is>
      </c>
      <c r="M108" s="24" t="inlineStr">
        <is>
          <t>Checklist #8: 12-month drill caught a REAL defect — isolated small-batch scans hide lone outliers (self-inflated sigma). Fixed: production scans batch against trailing history; all 3 planted faults caught, false positives &lt;= 2</t>
        </is>
      </c>
    </row>
    <row r="109" ht="34.5" customHeight="1" s="20">
      <c r="A109" s="24" t="inlineStr">
        <is>
          <t>CFG-001</t>
        </is>
      </c>
      <c r="B109" s="24" t="inlineStr">
        <is>
          <t>EQ+</t>
        </is>
      </c>
      <c r="C109" s="24" t="inlineStr">
        <is>
          <t>Engineering quality (post-baseline)</t>
        </is>
      </c>
      <c r="D109" s="24" t="inlineStr">
        <is>
          <t>(post-baseline item — see notes)</t>
        </is>
      </c>
      <c r="E109" s="24" t="inlineStr">
        <is>
          <t>—</t>
        </is>
      </c>
      <c r="F109" s="24" t="inlineStr">
        <is>
          <t>—</t>
        </is>
      </c>
      <c r="G109" s="24" t="inlineStr">
        <is>
          <t>—</t>
        </is>
      </c>
      <c r="H109" s="24" t="inlineStr">
        <is>
          <t>Done (code)</t>
        </is>
      </c>
      <c r="I109" s="24" t="inlineStr">
        <is>
          <t>v013</t>
        </is>
      </c>
      <c r="J109" s="24" t="inlineStr">
        <is>
          <t>src/config.ts; .env.example</t>
        </is>
      </c>
      <c r="K109" s="24" t="inlineStr">
        <is>
          <t>tests/config.test.ts</t>
        </is>
      </c>
      <c r="L109" s="24" t="inlineStr">
        <is>
          <t>100%</t>
        </is>
      </c>
      <c r="M109" s="24" t="inlineStr">
        <is>
          <t>Typed config loader: all live credentials named + validated at boot (missing keys listed at once; https redirect enforced; Stripe key required only outside UK/AU/NZ). Live-sweep readiness</t>
        </is>
      </c>
    </row>
    <row r="110">
      <c r="A110" s="29" t="inlineStr">
        <is>
          <t>P1-1</t>
        </is>
      </c>
      <c r="B110" s="29" t="inlineStr">
        <is>
          <t>EQ+</t>
        </is>
      </c>
      <c r="C110" s="29" t="inlineStr">
        <is>
          <t>Xero receivables/payables (post-baseline, E6)</t>
        </is>
      </c>
      <c r="D110" s="29" t="inlineStr">
        <is>
          <t>REASON (PPX-02 BLOCKER): /Invoices query had no Type predicate — supplier bills forecast as inflow and would have been chased. ST-001/002/021 stay Done per Senthil; this row is the fix.</t>
        </is>
      </c>
      <c r="E110" s="29" t="n">
        <v>8</v>
      </c>
      <c r="F110" s="29" t="inlineStr">
        <is>
          <t>P0</t>
        </is>
      </c>
      <c r="G110" s="29" t="inlineStr">
        <is>
          <t>E6</t>
        </is>
      </c>
      <c r="H110" s="29" t="inlineStr">
        <is>
          <t>Done-in-code</t>
        </is>
      </c>
      <c r="I110" s="29" t="inlineStr">
        <is>
          <t>v036</t>
        </is>
      </c>
      <c r="J110" s="29" t="inlineStr">
        <is>
          <t>src/xeroApi.ts (authorisedInvoices, mapInvoices, payableBills, overdueInvoices)</t>
        </is>
      </c>
      <c r="K110" s="29" t="inlineStr">
        <is>
          <t>tests/forecastDataPath.test.ts; tests/invoiceTypeGate.test.ts; tests/xeroApi.test.ts</t>
        </is>
      </c>
      <c r="L110" s="29" t="inlineStr">
        <is>
          <t>100%</t>
        </is>
      </c>
      <c r="M110" s="29" t="inlineStr">
        <is>
          <t>invoiceTypeGate proved by removing the predicate. ACCPAY row leaking into the receivables response is skipped as type-mismatch and never nudged.</t>
        </is>
      </c>
    </row>
    <row r="111" ht="15" customHeight="1" s="20">
      <c r="A111" s="29" t="inlineStr">
        <is>
          <t>P1-2</t>
        </is>
      </c>
      <c r="B111" s="29" t="inlineStr">
        <is>
          <t>EQ+</t>
        </is>
      </c>
      <c r="C111" s="29" t="inlineStr">
        <is>
          <t>Forecast production data path (post-baseline, E6)</t>
        </is>
      </c>
      <c r="D111" s="29" t="inlineStr">
        <is>
          <t>REASON (PPX-01 BLOCKER): computeForecast had one caller (scenario preview); openInvoices had none; opening balance came only from fixtures; outflows had no live source. ST-001..ST-010 stay Done per Senthil; this row is the join they were missing.</t>
        </is>
      </c>
      <c r="E111" s="29" t="n">
        <v>21</v>
      </c>
      <c r="F111" s="29" t="inlineStr">
        <is>
          <t>P0</t>
        </is>
      </c>
      <c r="G111" s="29" t="inlineStr">
        <is>
          <t>E6</t>
        </is>
      </c>
      <c r="H111" s="29" t="inlineStr">
        <is>
          <t>Done-in-code</t>
        </is>
      </c>
      <c r="I111" s="29" t="inlineStr">
        <is>
          <t>v036</t>
        </is>
      </c>
      <c r="J111" s="29" t="inlineStr">
        <is>
          <t>src/forecastAssembly.ts; src/server.ts (handleForecast, defaultSessionResolver, parseScenario); src/scheduler.ts (runForecastCycle); src/httpServer.ts (buildAccountingClient, buildScheduler)</t>
        </is>
      </c>
      <c r="K111" s="29" t="inlineStr">
        <is>
          <t>tests/forecastDataPath.test.ts (35); tests/dataPathGate.test.ts (15)</t>
        </is>
      </c>
      <c r="L111" s="29" t="inlineStr">
        <is>
          <t>100%</t>
        </is>
      </c>
      <c r="M111" s="29" t="inlineStr">
        <is>
          <t>dataPathGate proved by cutting the assembler (first proof BROKEN, rule strengthened, re-proved). E6-F1: boot never started the scheduler or built the API client — fixed here. Session = operator token + tenant header (THREAT_MODEL addendum), not a user login.</t>
        </is>
      </c>
    </row>
    <row r="112">
      <c r="A112" s="29" t="inlineStr">
        <is>
          <t>P1-3</t>
        </is>
      </c>
      <c r="B112" s="29" t="inlineStr">
        <is>
          <t>EQ+</t>
        </is>
      </c>
      <c r="C112" s="29" t="inlineStr">
        <is>
          <t>Method-level reachability gate (post-baseline, E6)</t>
        </is>
      </c>
      <c r="D112" s="29" t="inlineStr">
        <is>
          <t>REASON (PPX-01 HOLE-4, PPX-09): a method on an exported class was invisible to the export-level gate; file-level exemptions pardoned the engine's only caller; KNOWN_GAPS entry stale four releases.</t>
        </is>
      </c>
      <c r="E112" s="29" t="n">
        <v>13</v>
      </c>
      <c r="F112" s="29" t="inlineStr">
        <is>
          <t>P0</t>
        </is>
      </c>
      <c r="G112" s="29" t="inlineStr">
        <is>
          <t>E6</t>
        </is>
      </c>
      <c r="H112" s="29" t="inlineStr">
        <is>
          <t>Done</t>
        </is>
      </c>
      <c r="I112" s="29" t="inlineStr">
        <is>
          <t>v036</t>
        </is>
      </c>
      <c r="J112" s="29" t="inlineStr">
        <is>
          <t>tests/reachabilityGate.test.ts (exportedMethods, METHOD_SURFACES, KnownGap.expires)</t>
        </is>
      </c>
      <c r="K112" s="29" t="inlineStr">
        <is>
          <t>tests/reachabilityGate.test.ts (11)</t>
        </is>
      </c>
      <c r="L112" s="29" t="inlineStr">
        <is>
          <t>n/a (gate)</t>
        </is>
      </c>
      <c r="M112" s="29" t="inlineStr">
        <is>
          <t>First run: 56 uncalled methods → 30 inspection surfaces named one by one; E6-F3..F6 real (R-F14..R-F17, expiring 2026-10-31). ui/* per-export gaps under R-F12 expiring 2026-12-31. Proved by leaving openInvoices uncalled.</t>
        </is>
      </c>
    </row>
    <row r="113">
      <c r="A113" s="29" t="inlineStr">
        <is>
          <t>P1-4</t>
        </is>
      </c>
      <c r="B113" s="29" t="inlineStr">
        <is>
          <t>EQ+</t>
        </is>
      </c>
      <c r="C113" s="29" t="inlineStr">
        <is>
          <t>Multi-currency correctness (post-baseline, E6)</t>
        </is>
      </c>
      <c r="D113" s="29" t="inlineStr">
        <is>
          <t>REASON (PPX-06 HIGH): AmountDue summed across currencies into one scalar. ST-002 stays Done per Senthil; this row makes its arithmetic base-currency-only.</t>
        </is>
      </c>
      <c r="E113" s="29" t="n">
        <v>13</v>
      </c>
      <c r="F113" s="29" t="inlineStr">
        <is>
          <t>P0</t>
        </is>
      </c>
      <c r="G113" s="29" t="inlineStr">
        <is>
          <t>E6</t>
        </is>
      </c>
      <c r="H113" s="29" t="inlineStr">
        <is>
          <t>Done-in-code</t>
        </is>
      </c>
      <c r="I113" s="29" t="inlineStr">
        <is>
          <t>v036</t>
        </is>
      </c>
      <c r="J113" s="29" t="inlineStr">
        <is>
          <t>src/xeroApi.ts (toBaseCurrency, Receivable.currency/originalCurrency, organisation); src/forecastAssembly.ts (expandRepeating refuses foreign templates)</t>
        </is>
      </c>
      <c r="K113" s="29" t="inlineStr">
        <is>
          <t>tests/forecastDataPath.test.ts; tests/currencyGate.test.ts</t>
        </is>
      </c>
      <c r="L113" s="29" t="inlineStr">
        <is>
          <t>100%</t>
        </is>
      </c>
      <c r="M113" s="29" t="inlineStr">
        <is>
          <t>currencyGate proved by summing AmountDue directly. Base = foreign / CurrencyRate (Xero convention); unconvertible rows reported as currency-unconvertible, never dropped.</t>
        </is>
      </c>
    </row>
    <row r="114">
      <c r="A114" s="29" t="inlineStr">
        <is>
          <t>P1-5</t>
        </is>
      </c>
      <c r="B114" s="29" t="inlineStr">
        <is>
          <t>EQ+</t>
        </is>
      </c>
      <c r="C114" s="29" t="inlineStr">
        <is>
          <t>Platform-limit truth (post-baseline, E6)</t>
        </is>
      </c>
      <c r="D114" s="29" t="inlineStr">
        <is>
          <t>REASON (PPX-04/05 HIGH): daily budget 5× the Starter allowance; Retry-After ignored; 5-concurrent unenforced; app-wide ceiling unmodelled. WBH-002 / VER-002 stay Done per Senthil; VER-002 correction appended in its doc.</t>
        </is>
      </c>
      <c r="E114" s="29" t="n">
        <v>13</v>
      </c>
      <c r="F114" s="29" t="inlineStr">
        <is>
          <t>P0</t>
        </is>
      </c>
      <c r="G114" s="29" t="inlineStr">
        <is>
          <t>E6</t>
        </is>
      </c>
      <c r="H114" s="29" t="inlineStr">
        <is>
          <t>Done-in-code</t>
        </is>
      </c>
      <c r="I114" s="29" t="inlineStr">
        <is>
          <t>v036</t>
        </is>
      </c>
      <c r="J114" s="29" t="inlineStr">
        <is>
          <t>src/rateLimiter.ts (XERO_DAILY_LIMIT_STARTER, dailyLimitForTier, parseRemainingHeaders, reconcile, TenantConcurrencyGate, APP_WIDE_KEY); src/xeroApi.ts (fetchHonouringLimits); src/config.ts (xeroApiTier); .env.example</t>
        </is>
      </c>
      <c r="K114" s="29" t="inlineStr">
        <is>
          <t>tests/platformLimits.test.ts (15); tests/platformLimitsGate.test.ts; tests/externalVerification.test.ts (updated)</t>
        </is>
      </c>
      <c r="L114" s="29" t="inlineStr">
        <is>
          <t>100%</t>
        </is>
      </c>
      <c r="M114" s="29" t="inlineStr">
        <is>
          <t>platformLimitsGate proved by restoring 5000. Live verification of the actual tier still needs the dev org (Wave P5).</t>
        </is>
      </c>
    </row>
    <row r="115">
      <c r="A115" s="29" t="inlineStr">
        <is>
          <t>P1-6</t>
        </is>
      </c>
      <c r="B115" s="29" t="inlineStr">
        <is>
          <t>EQ+</t>
        </is>
      </c>
      <c r="C115" s="29" t="inlineStr">
        <is>
          <t>Platform-drift gate + assumptions register (post-baseline, E6)</t>
        </is>
      </c>
      <c r="D115" s="29" t="inlineStr">
        <is>
          <t>REASON (PPX-03 commercial BLOCKER): nothing checked any document against the platform; XASS billing deprecated March 2026. Billing code NOT changed (Senthil PPX-D4).</t>
        </is>
      </c>
      <c r="E115" s="29" t="n">
        <v>13</v>
      </c>
      <c r="F115" s="29" t="inlineStr">
        <is>
          <t>P0</t>
        </is>
      </c>
      <c r="G115" s="29" t="inlineStr">
        <is>
          <t>E6</t>
        </is>
      </c>
      <c r="H115" s="29" t="inlineStr">
        <is>
          <t>Done-in-code (gate); billing migration NOT done</t>
        </is>
      </c>
      <c r="I115" s="29" t="inlineStr">
        <is>
          <t>v036</t>
        </is>
      </c>
      <c r="J115" s="29" t="inlineStr">
        <is>
          <t>docs/platform-assumptions.json (PA-01..PA-11); tests/platformDriftGate.test.ts</t>
        </is>
      </c>
      <c r="K115" s="29" t="inlineStr">
        <is>
          <t>tests/platformDriftGate.test.ts</t>
        </is>
      </c>
      <c r="L115" s="29" t="inlineStr">
        <is>
          <t>n/a (gate)</t>
        </is>
      </c>
      <c r="M115" s="29" t="inlineStr">
        <is>
          <t>Proved by back-dating PA-11. PA-11 status=contradicted, trackedBy PPX-D4. Stripe-only migration logged as P4-1 in the workbook Enhancement_Backlog.</t>
        </is>
      </c>
    </row>
    <row r="116">
      <c r="A116" s="29" t="inlineStr">
        <is>
          <t>P1-7</t>
        </is>
      </c>
      <c r="B116" s="29" t="inlineStr">
        <is>
          <t>EQ+</t>
        </is>
      </c>
      <c r="C116" s="29" t="inlineStr">
        <is>
          <t>Forecast realism + ledger (post-baseline, E6)</t>
        </is>
      </c>
      <c r="D116" s="29" t="inlineStr">
        <is>
          <t>REASON (PPX-08 MEDIUM): live payProbability hardcoded 1; expected value applied in the due week; aged debt clamped to week 1 at face value. ST-003/004 stay Done per Senthil.</t>
        </is>
      </c>
      <c r="E116" s="29" t="n">
        <v>15</v>
      </c>
      <c r="F116" s="29" t="inlineStr">
        <is>
          <t>P1</t>
        </is>
      </c>
      <c r="G116" s="29" t="inlineStr">
        <is>
          <t>E6</t>
        </is>
      </c>
      <c r="H116" s="29" t="inlineStr">
        <is>
          <t>Done-in-code</t>
        </is>
      </c>
      <c r="I116" s="29" t="inlineStr">
        <is>
          <t>v036</t>
        </is>
      </c>
      <c r="J116" s="29" t="inlineStr">
        <is>
          <t>src/forecastRealism.ts; src/db.ts (forecast_snapshots, migration 010, save/listForecastSnapshots); src/server.ts (/api/forecast/history)</t>
        </is>
      </c>
      <c r="K116" s="29" t="inlineStr">
        <is>
          <t>tests/forecastRealism.test.ts (13); tests/forecastRealismGate.test.ts; tests/forecastDataPath.test.ts</t>
        </is>
      </c>
      <c r="L116" s="29" t="inlineStr">
        <is>
          <t>100%</t>
        </is>
      </c>
      <c r="M116" s="29" t="inlineStr">
        <is>
          <t>forecastRealismGate proved by restoring payProbability: 1 on the live path. Priors are stated priors (labelled on every snapshot); accuracyReport scores forecast-vs-actual once the horizon elapses.</t>
        </is>
      </c>
    </row>
    <row r="117">
      <c r="A117" s="29" t="inlineStr">
        <is>
          <t>P1-8</t>
        </is>
      </c>
      <c r="B117" s="29" t="inlineStr">
        <is>
          <t>EQ+</t>
        </is>
      </c>
      <c r="C117" s="29" t="inlineStr">
        <is>
          <t>Boot composition completeness (post-baseline, E6 — NOT STARTED)</t>
        </is>
      </c>
      <c r="D117" s="29" t="inlineStr">
        <is>
          <t>REASON (E6-F3..F6, found by the new method-level gate): durable store never driven for installs; webhook worker never started and drained rows never deleted; uninstall webhook never routed; canRequest dead. GAP-F3/F3-02/ST-052 stay Done per Senthil.</t>
        </is>
      </c>
      <c r="E117" s="29" t="n">
        <v>21</v>
      </c>
      <c r="F117" s="29" t="inlineStr">
        <is>
          <t>P0</t>
        </is>
      </c>
      <c r="G117" s="29" t="inlineStr">
        <is>
          <t>P1-8</t>
        </is>
      </c>
      <c r="H117" s="29" t="inlineStr">
        <is>
          <t>Not started</t>
        </is>
      </c>
      <c r="I117" s="29" t="inlineStr">
        <is>
          <t>—</t>
        </is>
      </c>
      <c r="J117" s="29" t="inlineStr">
        <is>
          <t>src/httpServer.ts (bootFromEnv), src/oauth.ts (callback → repo.saveTenant/saveTokens), src/worker.ts (drain loop), src/webhooks.ts (SUBSCRIPTION → handleUninstallWebhook)</t>
        </is>
      </c>
      <c r="K117" s="29" t="inlineStr">
        <is>
          <t>— (KNOWN_GAPS R-F14..R-F17 expire 2026-10-31 and will fail the build)</t>
        </is>
      </c>
      <c r="L117" s="29" t="inlineStr">
        <is>
          <t>—</t>
        </is>
      </c>
      <c r="M117" s="29" t="inlineStr">
        <is>
          <t>Nothing deleted per Senthil. The gate expiry is the forcing function: after 31 Oct 2026 the suite is red until this row is done.</t>
        </is>
      </c>
    </row>
    <row r="118"/>
    <row r="119">
      <c r="A119" s="31" t="inlineStr">
        <is>
          <t>Summary: 77 Done · 10 Code-complete — pending live · 7 Drafted · 2 In progress · 4 Not started · 6 post-baseline items (v011–v013) — UNCHANGED at v024 by Senthil instruction (PPX-D1). Plus 8 post-baseline E6 rows: P1-1..P1-7 Done-in-code (96 pts, enhancement pool), P1-8 Not started (21 pts). Every E6 row states its REASON in the Story column.</t>
        </is>
      </c>
    </row>
  </sheetData>
  <mergeCells count="1">
    <mergeCell ref="A111:M1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9" min="1" max="1"/>
    <col width="40" customWidth="1" style="19" min="2" max="2"/>
    <col width="9" customWidth="1" style="19" min="3" max="3"/>
    <col width="8" customWidth="1" style="19" min="4" max="4"/>
    <col width="7" customWidth="1" style="19" min="5" max="5"/>
    <col width="11" customWidth="1" style="19" min="6" max="6"/>
    <col width="13" customWidth="1" style="19" min="7" max="7"/>
    <col width="52" customWidth="1" style="19" min="8" max="8"/>
  </cols>
  <sheetData>
    <row r="1" ht="15.75" customHeight="1" s="20">
      <c r="A1" s="21" t="inlineStr">
        <is>
          <t>SPRINT STATUS ROLLUP — live formulas over Traceability_Matrix</t>
        </is>
      </c>
    </row>
    <row r="2" ht="15" customHeight="1" s="20">
      <c r="A2" s="22" t="inlineStr">
        <is>
          <t>Do not edit computed cells. 'Done' counts exact status Done only; pending-live/drafted are excluded on purpose (honest-status rule D-F2).</t>
        </is>
      </c>
    </row>
    <row r="3" ht="15" customHeight="1" s="20">
      <c r="A3" s="23" t="inlineStr">
        <is>
          <t>Sprint</t>
        </is>
      </c>
      <c r="B3" s="23" t="inlineStr">
        <is>
          <t>Focus</t>
        </is>
      </c>
      <c r="C3" s="23" t="inlineStr">
        <is>
          <t>Stories</t>
        </is>
      </c>
      <c r="D3" s="23" t="inlineStr">
        <is>
          <t>Points</t>
        </is>
      </c>
      <c r="E3" s="23" t="inlineStr">
        <is>
          <t>Done</t>
        </is>
      </c>
      <c r="F3" s="23" t="inlineStr">
        <is>
          <t>Done points</t>
        </is>
      </c>
      <c r="G3" s="23" t="inlineStr">
        <is>
          <t>% points done</t>
        </is>
      </c>
      <c r="H3" s="23" t="inlineStr">
        <is>
          <t>RAG (manual)</t>
        </is>
      </c>
    </row>
    <row r="4" ht="15" customHeight="1" s="20">
      <c r="A4" s="22" t="inlineStr">
        <is>
          <t>S0</t>
        </is>
      </c>
      <c r="B4" s="22" t="inlineStr">
        <is>
          <t>Discovery &amp; design (parked per D13)</t>
        </is>
      </c>
      <c r="C4" s="22">
        <f>COUNTIF(Traceability_Matrix!$G$4:$G$117,"S0")</f>
        <v/>
      </c>
      <c r="D4" s="22">
        <f>SUMIF(Traceability_Matrix!$G$4:$G$117,"S0",Traceability_Matrix!$E$4:$E$117)</f>
        <v/>
      </c>
      <c r="E4" s="22">
        <f>COUNTIFS(Traceability_Matrix!$G$4:$G$117,"S0",Traceability_Matrix!$H$4:$H$117,"Done")</f>
        <v/>
      </c>
      <c r="F4" s="22">
        <f>SUMIFS(Traceability_Matrix!$E$4:$E$117,Traceability_Matrix!$G$4:$G$117,"S0",Traceability_Matrix!$H$4:$H$117,"Done")</f>
        <v/>
      </c>
      <c r="G4" s="22">
        <f>IFERROR(ROUND(SUMIFS(Traceability_Matrix!$E$4:$E$117,Traceability_Matrix!$G$4:$G$117,"S0",Traceability_Matrix!$H$4:$H$117,"Done")/SUMIF(Traceability_Matrix!$G$4:$G$117,"S0",Traceability_Matrix!$E$4:$E$117)*100,1),0)</f>
        <v/>
      </c>
      <c r="H4" s="24" t="inlineStr">
        <is>
          <t>Parked (D13)</t>
        </is>
      </c>
    </row>
    <row r="5" ht="15" customHeight="1" s="20">
      <c r="A5" s="22" t="inlineStr">
        <is>
          <t>S1</t>
        </is>
      </c>
      <c r="B5" s="22" t="inlineStr">
        <is>
          <t>Foundation</t>
        </is>
      </c>
      <c r="C5" s="22">
        <f>COUNTIF(Traceability_Matrix!$G$4:$G$117,"S1")</f>
        <v/>
      </c>
      <c r="D5" s="22">
        <f>SUMIF(Traceability_Matrix!$G$4:$G$117,"S1",Traceability_Matrix!$E$4:$E$117)</f>
        <v/>
      </c>
      <c r="E5" s="22">
        <f>COUNTIFS(Traceability_Matrix!$G$4:$G$117,"S1",Traceability_Matrix!$H$4:$H$117,"Done")</f>
        <v/>
      </c>
      <c r="F5" s="22">
        <f>SUMIFS(Traceability_Matrix!$E$4:$E$117,Traceability_Matrix!$G$4:$G$117,"S1",Traceability_Matrix!$H$4:$H$117,"Done")</f>
        <v/>
      </c>
      <c r="G5" s="22">
        <f>IFERROR(ROUND(SUMIFS(Traceability_Matrix!$E$4:$E$117,Traceability_Matrix!$G$4:$G$117,"S1",Traceability_Matrix!$H$4:$H$117,"Done")/SUMIF(Traceability_Matrix!$G$4:$G$117,"S1",Traceability_Matrix!$E$4:$E$117)*100,1),0)</f>
        <v/>
      </c>
      <c r="H5" s="24" t="inlineStr">
        <is>
          <t>GREEN — done-in-code; live install pending dev org</t>
        </is>
      </c>
    </row>
    <row r="6" ht="15" customHeight="1" s="20">
      <c r="A6" s="22" t="inlineStr">
        <is>
          <t>S2</t>
        </is>
      </c>
      <c r="B6" s="22" t="inlineStr">
        <is>
          <t>Forecast engine pt 1</t>
        </is>
      </c>
      <c r="C6" s="22">
        <f>COUNTIF(Traceability_Matrix!$G$4:$G$117,"S2")</f>
        <v/>
      </c>
      <c r="D6" s="22">
        <f>SUMIF(Traceability_Matrix!$G$4:$G$117,"S2",Traceability_Matrix!$E$4:$E$117)</f>
        <v/>
      </c>
      <c r="E6" s="22">
        <f>COUNTIFS(Traceability_Matrix!$G$4:$G$117,"S2",Traceability_Matrix!$H$4:$H$117,"Done")</f>
        <v/>
      </c>
      <c r="F6" s="22">
        <f>SUMIFS(Traceability_Matrix!$E$4:$E$117,Traceability_Matrix!$G$4:$G$117,"S2",Traceability_Matrix!$H$4:$H$117,"Done")</f>
        <v/>
      </c>
      <c r="G6" s="22">
        <f>IFERROR(ROUND(SUMIFS(Traceability_Matrix!$E$4:$E$117,Traceability_Matrix!$G$4:$G$117,"S2",Traceability_Matrix!$H$4:$H$117,"Done")/SUMIF(Traceability_Matrix!$G$4:$G$117,"S2",Traceability_Matrix!$E$4:$E$117)*100,1),0)</f>
        <v/>
      </c>
      <c r="H6" s="24" t="inlineStr">
        <is>
          <t>GREEN</t>
        </is>
      </c>
    </row>
    <row r="7" ht="15" customHeight="1" s="20">
      <c r="A7" s="22" t="inlineStr">
        <is>
          <t>S3</t>
        </is>
      </c>
      <c r="B7" s="22" t="inlineStr">
        <is>
          <t>Forecast pt 2 + UI start</t>
        </is>
      </c>
      <c r="C7" s="22">
        <f>COUNTIF(Traceability_Matrix!$G$4:$G$117,"S3")</f>
        <v/>
      </c>
      <c r="D7" s="22">
        <f>SUMIF(Traceability_Matrix!$G$4:$G$117,"S3",Traceability_Matrix!$E$4:$E$117)</f>
        <v/>
      </c>
      <c r="E7" s="22">
        <f>COUNTIFS(Traceability_Matrix!$G$4:$G$117,"S3",Traceability_Matrix!$H$4:$H$117,"Done")</f>
        <v/>
      </c>
      <c r="F7" s="22">
        <f>SUMIFS(Traceability_Matrix!$E$4:$E$117,Traceability_Matrix!$G$4:$G$117,"S3",Traceability_Matrix!$H$4:$H$117,"Done")</f>
        <v/>
      </c>
      <c r="G7" s="22">
        <f>IFERROR(ROUND(SUMIFS(Traceability_Matrix!$E$4:$E$117,Traceability_Matrix!$G$4:$G$117,"S3",Traceability_Matrix!$H$4:$H$117,"Done")/SUMIF(Traceability_Matrix!$G$4:$G$117,"S3",Traceability_Matrix!$E$4:$E$117)*100,1),0)</f>
        <v/>
      </c>
      <c r="H7" s="24" t="inlineStr">
        <is>
          <t>GREEN</t>
        </is>
      </c>
    </row>
    <row r="8" ht="15" customHeight="1" s="20">
      <c r="A8" s="22" t="inlineStr">
        <is>
          <t>S4</t>
        </is>
      </c>
      <c r="B8" s="22" t="inlineStr">
        <is>
          <t>Scenario sliders</t>
        </is>
      </c>
      <c r="C8" s="22">
        <f>COUNTIF(Traceability_Matrix!$G$4:$G$117,"S4")</f>
        <v/>
      </c>
      <c r="D8" s="22">
        <f>SUMIF(Traceability_Matrix!$G$4:$G$117,"S4",Traceability_Matrix!$E$4:$E$117)</f>
        <v/>
      </c>
      <c r="E8" s="22">
        <f>COUNTIFS(Traceability_Matrix!$G$4:$G$117,"S4",Traceability_Matrix!$H$4:$H$117,"Done")</f>
        <v/>
      </c>
      <c r="F8" s="22">
        <f>SUMIFS(Traceability_Matrix!$E$4:$E$117,Traceability_Matrix!$G$4:$G$117,"S4",Traceability_Matrix!$H$4:$H$117,"Done")</f>
        <v/>
      </c>
      <c r="G8" s="22">
        <f>IFERROR(ROUND(SUMIFS(Traceability_Matrix!$E$4:$E$117,Traceability_Matrix!$G$4:$G$117,"S4",Traceability_Matrix!$H$4:$H$117,"Done")/SUMIF(Traceability_Matrix!$G$4:$G$117,"S4",Traceability_Matrix!$E$4:$E$117)*100,1),0)</f>
        <v/>
      </c>
      <c r="H8" s="24" t="inlineStr">
        <is>
          <t>GREEN</t>
        </is>
      </c>
    </row>
    <row r="9" ht="15" customHeight="1" s="20">
      <c r="A9" s="22" t="inlineStr">
        <is>
          <t>S5</t>
        </is>
      </c>
      <c r="B9" s="22" t="inlineStr">
        <is>
          <t>Invoice nudges + alpha hardening</t>
        </is>
      </c>
      <c r="C9" s="22">
        <f>COUNTIF(Traceability_Matrix!$G$4:$G$117,"S5")</f>
        <v/>
      </c>
      <c r="D9" s="22">
        <f>SUMIF(Traceability_Matrix!$G$4:$G$117,"S5",Traceability_Matrix!$E$4:$E$117)</f>
        <v/>
      </c>
      <c r="E9" s="22">
        <f>COUNTIFS(Traceability_Matrix!$G$4:$G$117,"S5",Traceability_Matrix!$H$4:$H$117,"Done")</f>
        <v/>
      </c>
      <c r="F9" s="22">
        <f>SUMIFS(Traceability_Matrix!$E$4:$E$117,Traceability_Matrix!$G$4:$G$117,"S5",Traceability_Matrix!$H$4:$H$117,"Done")</f>
        <v/>
      </c>
      <c r="G9" s="22">
        <f>IFERROR(ROUND(SUMIFS(Traceability_Matrix!$E$4:$E$117,Traceability_Matrix!$G$4:$G$117,"S5",Traceability_Matrix!$H$4:$H$117,"Done")/SUMIF(Traceability_Matrix!$G$4:$G$117,"S5",Traceability_Matrix!$E$4:$E$117)*100,1),0)</f>
        <v/>
      </c>
      <c r="H9" s="24" t="inlineStr">
        <is>
          <t>GREEN</t>
        </is>
      </c>
    </row>
    <row r="10" ht="15" customHeight="1" s="20">
      <c r="A10" s="22" t="inlineStr">
        <is>
          <t>S6</t>
        </is>
      </c>
      <c r="B10" s="22" t="inlineStr">
        <is>
          <t>Billing + accountant portal</t>
        </is>
      </c>
      <c r="C10" s="22">
        <f>COUNTIF(Traceability_Matrix!$G$4:$G$117,"S6")</f>
        <v/>
      </c>
      <c r="D10" s="22">
        <f>SUMIF(Traceability_Matrix!$G$4:$G$117,"S6",Traceability_Matrix!$E$4:$E$117)</f>
        <v/>
      </c>
      <c r="E10" s="22">
        <f>COUNTIFS(Traceability_Matrix!$G$4:$G$117,"S6",Traceability_Matrix!$H$4:$H$117,"Done")</f>
        <v/>
      </c>
      <c r="F10" s="22">
        <f>SUMIFS(Traceability_Matrix!$E$4:$E$117,Traceability_Matrix!$G$4:$G$117,"S6",Traceability_Matrix!$H$4:$H$117,"Done")</f>
        <v/>
      </c>
      <c r="G10" s="22">
        <f>IFERROR(ROUND(SUMIFS(Traceability_Matrix!$E$4:$E$117,Traceability_Matrix!$G$4:$G$117,"S6",Traceability_Matrix!$H$4:$H$117,"Done")/SUMIF(Traceability_Matrix!$G$4:$G$117,"S6",Traceability_Matrix!$E$4:$E$117)*100,1),0)</f>
        <v/>
      </c>
      <c r="H10" s="24" t="inlineStr">
        <is>
          <t>GREEN</t>
        </is>
      </c>
    </row>
    <row r="11" ht="15" customHeight="1" s="20">
      <c r="A11" s="22" t="inlineStr">
        <is>
          <t>S7</t>
        </is>
      </c>
      <c r="B11" s="22" t="inlineStr">
        <is>
          <t>Private beta (design partners)</t>
        </is>
      </c>
      <c r="C11" s="22">
        <f>COUNTIF(Traceability_Matrix!$G$4:$G$117,"S7")</f>
        <v/>
      </c>
      <c r="D11" s="22">
        <f>SUMIF(Traceability_Matrix!$G$4:$G$117,"S7",Traceability_Matrix!$E$4:$E$117)</f>
        <v/>
      </c>
      <c r="E11" s="22">
        <f>COUNTIFS(Traceability_Matrix!$G$4:$G$117,"S7",Traceability_Matrix!$H$4:$H$117,"Done")</f>
        <v/>
      </c>
      <c r="F11" s="22">
        <f>SUMIFS(Traceability_Matrix!$E$4:$E$117,Traceability_Matrix!$G$4:$G$117,"S7",Traceability_Matrix!$H$4:$H$117,"Done")</f>
        <v/>
      </c>
      <c r="G11" s="22">
        <f>IFERROR(ROUND(SUMIFS(Traceability_Matrix!$E$4:$E$117,Traceability_Matrix!$G$4:$G$117,"S7",Traceability_Matrix!$H$4:$H$117,"Done")/SUMIF(Traceability_Matrix!$G$4:$G$117,"S7",Traceability_Matrix!$E$4:$E$117)*100,1),0)</f>
        <v/>
      </c>
      <c r="H11" s="24" t="inlineStr">
        <is>
          <t>AMBER — beta needs live product + partners</t>
        </is>
      </c>
    </row>
    <row r="12" ht="15" customHeight="1" s="20">
      <c r="A12" s="22" t="inlineStr">
        <is>
          <t>S8</t>
        </is>
      </c>
      <c r="B12" s="22" t="inlineStr">
        <is>
          <t>Beta iteration + anomalies + reliability</t>
        </is>
      </c>
      <c r="C12" s="22">
        <f>COUNTIF(Traceability_Matrix!$G$4:$G$117,"S8")</f>
        <v/>
      </c>
      <c r="D12" s="22">
        <f>SUMIF(Traceability_Matrix!$G$4:$G$117,"S8",Traceability_Matrix!$E$4:$E$117)</f>
        <v/>
      </c>
      <c r="E12" s="22">
        <f>COUNTIFS(Traceability_Matrix!$G$4:$G$117,"S8",Traceability_Matrix!$H$4:$H$117,"Done")</f>
        <v/>
      </c>
      <c r="F12" s="22">
        <f>SUMIFS(Traceability_Matrix!$E$4:$E$117,Traceability_Matrix!$G$4:$G$117,"S8",Traceability_Matrix!$H$4:$H$117,"Done")</f>
        <v/>
      </c>
      <c r="G12" s="22">
        <f>IFERROR(ROUND(SUMIFS(Traceability_Matrix!$E$4:$E$117,Traceability_Matrix!$G$4:$G$117,"S8",Traceability_Matrix!$H$4:$H$117,"Done")/SUMIF(Traceability_Matrix!$G$4:$G$117,"S8",Traceability_Matrix!$E$4:$E$117)*100,1),0)</f>
        <v/>
      </c>
      <c r="H12" s="24" t="inlineStr">
        <is>
          <t>GREEN — drills passed, defect fixed</t>
        </is>
      </c>
    </row>
    <row r="13" ht="23.25" customHeight="1" s="20">
      <c r="A13" s="22" t="inlineStr">
        <is>
          <t>S9</t>
        </is>
      </c>
      <c r="B13" s="22" t="inlineStr">
        <is>
          <t>Marketplace review prep</t>
        </is>
      </c>
      <c r="C13" s="22">
        <f>COUNTIF(Traceability_Matrix!$G$4:$G$117,"S9")</f>
        <v/>
      </c>
      <c r="D13" s="22">
        <f>SUMIF(Traceability_Matrix!$G$4:$G$117,"S9",Traceability_Matrix!$E$4:$E$117)</f>
        <v/>
      </c>
      <c r="E13" s="22">
        <f>COUNTIFS(Traceability_Matrix!$G$4:$G$117,"S9",Traceability_Matrix!$H$4:$H$117,"Done")</f>
        <v/>
      </c>
      <c r="F13" s="22">
        <f>SUMIFS(Traceability_Matrix!$E$4:$E$117,Traceability_Matrix!$G$4:$G$117,"S9",Traceability_Matrix!$H$4:$H$117,"Done")</f>
        <v/>
      </c>
      <c r="G13" s="22">
        <f>IFERROR(ROUND(SUMIFS(Traceability_Matrix!$E$4:$E$117,Traceability_Matrix!$G$4:$G$117,"S9",Traceability_Matrix!$H$4:$H$117,"Done")/SUMIF(Traceability_Matrix!$G$4:$G$117,"S9",Traceability_Matrix!$E$4:$E$117)*100,1),0)</f>
        <v/>
      </c>
      <c r="H13" s="24" t="inlineStr">
        <is>
          <t>AMBER — copy drafted; dry-run second pass + dev org pending</t>
        </is>
      </c>
    </row>
    <row r="14" ht="15" customHeight="1" s="20">
      <c r="A14" s="22" t="inlineStr">
        <is>
          <t>S10</t>
        </is>
      </c>
      <c r="B14" s="22" t="inlineStr">
        <is>
          <t>Review remediation + docs</t>
        </is>
      </c>
      <c r="C14" s="22">
        <f>COUNTIF(Traceability_Matrix!$G$4:$G$117,"S10")</f>
        <v/>
      </c>
      <c r="D14" s="22">
        <f>SUMIF(Traceability_Matrix!$G$4:$G$117,"S10",Traceability_Matrix!$E$4:$E$117)</f>
        <v/>
      </c>
      <c r="E14" s="22">
        <f>COUNTIFS(Traceability_Matrix!$G$4:$G$117,"S10",Traceability_Matrix!$H$4:$H$117,"Done")</f>
        <v/>
      </c>
      <c r="F14" s="22">
        <f>SUMIFS(Traceability_Matrix!$E$4:$E$117,Traceability_Matrix!$G$4:$G$117,"S10",Traceability_Matrix!$H$4:$H$117,"Done")</f>
        <v/>
      </c>
      <c r="G14" s="22">
        <f>IFERROR(ROUND(SUMIFS(Traceability_Matrix!$E$4:$E$117,Traceability_Matrix!$G$4:$G$117,"S10",Traceability_Matrix!$H$4:$H$117,"Done")/SUMIF(Traceability_Matrix!$G$4:$G$117,"S10",Traceability_Matrix!$E$4:$E$117)*100,1),0)</f>
        <v/>
      </c>
      <c r="H14" s="24" t="inlineStr">
        <is>
          <t>AMBER — content drafted, publish pending</t>
        </is>
      </c>
    </row>
    <row r="15" ht="15" customHeight="1" s="20">
      <c r="A15" s="22" t="inlineStr">
        <is>
          <t>S11</t>
        </is>
      </c>
      <c r="B15" s="22" t="inlineStr">
        <is>
          <t>Launch</t>
        </is>
      </c>
      <c r="C15" s="22">
        <f>COUNTIF(Traceability_Matrix!$G$4:$G$117,"S11")</f>
        <v/>
      </c>
      <c r="D15" s="22">
        <f>SUMIF(Traceability_Matrix!$G$4:$G$117,"S11",Traceability_Matrix!$E$4:$E$117)</f>
        <v/>
      </c>
      <c r="E15" s="22">
        <f>COUNTIFS(Traceability_Matrix!$G$4:$G$117,"S11",Traceability_Matrix!$H$4:$H$117,"Done")</f>
        <v/>
      </c>
      <c r="F15" s="22">
        <f>SUMIFS(Traceability_Matrix!$E$4:$E$117,Traceability_Matrix!$G$4:$G$117,"S11",Traceability_Matrix!$H$4:$H$117,"Done")</f>
        <v/>
      </c>
      <c r="G15" s="22">
        <f>IFERROR(ROUND(SUMIFS(Traceability_Matrix!$E$4:$E$117,Traceability_Matrix!$G$4:$G$117,"S11",Traceability_Matrix!$H$4:$H$117,"Done")/SUMIF(Traceability_Matrix!$G$4:$G$117,"S11",Traceability_Matrix!$E$4:$E$117)*100,1),0)</f>
        <v/>
      </c>
      <c r="H15" s="24" t="inlineStr">
        <is>
          <t>RED until listed</t>
        </is>
      </c>
    </row>
    <row r="16" ht="15" customHeight="1" s="20">
      <c r="A16" s="22" t="inlineStr">
        <is>
          <t>S12</t>
        </is>
      </c>
      <c r="B16" s="22" t="inlineStr">
        <is>
          <t>Iterate &amp; scale decision</t>
        </is>
      </c>
      <c r="C16" s="22">
        <f>COUNTIF(Traceability_Matrix!$G$4:$G$117,"S12")</f>
        <v/>
      </c>
      <c r="D16" s="22">
        <f>SUMIF(Traceability_Matrix!$G$4:$G$117,"S12",Traceability_Matrix!$E$4:$E$117)</f>
        <v/>
      </c>
      <c r="E16" s="22">
        <f>COUNTIFS(Traceability_Matrix!$G$4:$G$117,"S12",Traceability_Matrix!$H$4:$H$117,"Done")</f>
        <v/>
      </c>
      <c r="F16" s="22">
        <f>SUMIFS(Traceability_Matrix!$E$4:$E$117,Traceability_Matrix!$G$4:$G$117,"S12",Traceability_Matrix!$H$4:$H$117,"Done")</f>
        <v/>
      </c>
      <c r="G16" s="22">
        <f>IFERROR(ROUND(SUMIFS(Traceability_Matrix!$E$4:$E$117,Traceability_Matrix!$G$4:$G$117,"S12",Traceability_Matrix!$H$4:$H$117,"Done")/SUMIF(Traceability_Matrix!$G$4:$G$117,"S12",Traceability_Matrix!$E$4:$E$117)*100,1),0)</f>
        <v/>
      </c>
      <c r="H16" s="24" t="inlineStr">
        <is>
          <t>Not started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F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9" min="1" max="1"/>
    <col width="12" customWidth="1" style="19" min="2" max="2"/>
    <col width="8" customWidth="1" style="19" min="3" max="3"/>
    <col width="66" customWidth="1" style="19" min="4" max="4"/>
    <col width="10" customWidth="1" style="19" min="5" max="5"/>
    <col width="60" customWidth="1" style="19" min="6" max="6"/>
  </cols>
  <sheetData>
    <row r="1" ht="15.75" customHeight="1" s="20">
      <c r="A1" s="21" t="inlineStr">
        <is>
          <t>RAID — seeded from v007 Risk_Register + build findings</t>
        </is>
      </c>
    </row>
    <row r="2" ht="15" customHeight="1" s="20">
      <c r="A2" s="23" t="inlineStr">
        <is>
          <t>ID</t>
        </is>
      </c>
      <c r="B2" s="23" t="inlineStr">
        <is>
          <t>Type</t>
        </is>
      </c>
      <c r="C2" s="23" t="inlineStr">
        <is>
          <t>Raised</t>
        </is>
      </c>
      <c r="D2" s="23" t="inlineStr">
        <is>
          <t>Item</t>
        </is>
      </c>
      <c r="E2" s="23" t="inlineStr">
        <is>
          <t>Status</t>
        </is>
      </c>
      <c r="F2" s="23" t="inlineStr">
        <is>
          <t>Notes / Mitigation</t>
        </is>
      </c>
    </row>
    <row r="3" ht="15" customHeight="1" s="20">
      <c r="A3" s="24" t="inlineStr">
        <is>
          <t>R-F1</t>
        </is>
      </c>
      <c r="B3" s="24" t="inlineStr">
        <is>
          <t>Risk</t>
        </is>
      </c>
      <c r="C3" s="24" t="inlineStr">
        <is>
          <t>v007</t>
        </is>
      </c>
      <c r="D3" s="24" t="inlineStr">
        <is>
          <t>Xero native short-term cash flow improves (High/Medium)</t>
        </is>
      </c>
      <c r="E3" s="24" t="inlineStr">
        <is>
          <t>Open</t>
        </is>
      </c>
      <c r="F3" s="24" t="inlineStr">
        <is>
          <t>Scenario depth + accountant multi-client portal moat</t>
        </is>
      </c>
    </row>
    <row r="4" ht="23.25" customHeight="1" s="20">
      <c r="A4" s="24" t="inlineStr">
        <is>
          <t>R-F2</t>
        </is>
      </c>
      <c r="B4" s="24" t="inlineStr">
        <is>
          <t>Risk</t>
        </is>
      </c>
      <c r="C4" s="24" t="inlineStr">
        <is>
          <t>v007</t>
        </is>
      </c>
      <c r="D4" s="24" t="inlineStr">
        <is>
          <t>Accountant channel slow to activate (Medium/High)</t>
        </is>
      </c>
      <c r="E4" s="24" t="inlineStr">
        <is>
          <t>Open</t>
        </is>
      </c>
      <c r="F4" s="24" t="inlineStr">
        <is>
          <t>Partner program with rev share; 10 pilot firms by S8; copy variant B targets this channel</t>
        </is>
      </c>
    </row>
    <row r="5" ht="15" customHeight="1" s="20">
      <c r="A5" s="24" t="inlineStr">
        <is>
          <t>R-F3</t>
        </is>
      </c>
      <c r="B5" s="24" t="inlineStr">
        <is>
          <t>Risk</t>
        </is>
      </c>
      <c r="C5" s="24" t="inlineStr">
        <is>
          <t>v007</t>
        </is>
      </c>
      <c r="D5" s="24" t="inlineStr">
        <is>
          <t>Float/Fathom price moves (Medium/Medium)</t>
        </is>
      </c>
      <c r="E5" s="24" t="inlineStr">
        <is>
          <t>Open</t>
        </is>
      </c>
      <c r="F5" s="24" t="inlineStr">
        <is>
          <t>Owner-facing simplicity positioning; annual bundles</t>
        </is>
      </c>
    </row>
    <row r="6" ht="23.25" customHeight="1" s="20">
      <c r="A6" s="24" t="inlineStr">
        <is>
          <t>R-F4</t>
        </is>
      </c>
      <c r="B6" s="24" t="inlineStr">
        <is>
          <t>Constraint</t>
        </is>
      </c>
      <c r="C6" s="24" t="inlineStr">
        <is>
          <t>v008</t>
        </is>
      </c>
      <c r="D6" s="24" t="inlineStr">
        <is>
          <t>Sandbox has no live Xero — all platform calls mocked; persistence in-memory behind typed interfaces</t>
        </is>
      </c>
      <c r="E6" s="24" t="inlineStr">
        <is>
          <t>Open</t>
        </is>
      </c>
      <c r="F6" s="24" t="inlineStr">
        <is>
          <t>12-step scripted live sweep ready; adapters swap at deploy without touching domain code</t>
        </is>
      </c>
    </row>
    <row r="7" ht="23.25" customHeight="1" s="20">
      <c r="A7" s="24" t="inlineStr">
        <is>
          <t>R-F5</t>
        </is>
      </c>
      <c r="B7" s="24" t="inlineStr">
        <is>
          <t>Constraint</t>
        </is>
      </c>
      <c r="C7" s="24" t="inlineStr">
        <is>
          <t>v011</t>
        </is>
      </c>
      <c r="D7" s="24" t="inlineStr">
        <is>
          <t>Xero exposes NO bank-transaction webhook</t>
        </is>
      </c>
      <c r="E7" s="24" t="inlineStr">
        <is>
          <t>Accepted</t>
        </is>
      </c>
      <c r="F7" s="24" t="inlineStr">
        <is>
          <t>15-min polling behind shared breaker (D-F4); documented on Launch_Checklist #4</t>
        </is>
      </c>
    </row>
    <row r="8" ht="23.25" customHeight="1" s="20">
      <c r="A8" s="24" t="inlineStr">
        <is>
          <t>R-F6</t>
        </is>
      </c>
      <c r="B8" s="24" t="inlineStr">
        <is>
          <t>Finding</t>
        </is>
      </c>
      <c r="C8" s="24" t="inlineStr">
        <is>
          <t>v012</t>
        </is>
      </c>
      <c r="D8" s="24" t="inlineStr">
        <is>
          <t>Isolated small-batch anomaly scans hide lone outliers (sigma self-inflation) — REAL defect caught by 12-month QA drill</t>
        </is>
      </c>
      <c r="E8" s="24" t="inlineStr">
        <is>
          <t>Fixed</t>
        </is>
      </c>
      <c r="F8" s="24" t="inlineStr">
        <is>
          <t>detectWithHistory: batches scanned against trailing history (D-F3); regression test in suite</t>
        </is>
      </c>
    </row>
    <row r="9" ht="23.25" customHeight="1" s="20">
      <c r="A9" s="24" t="inlineStr">
        <is>
          <t>R-F7</t>
        </is>
      </c>
      <c r="B9" s="24" t="inlineStr">
        <is>
          <t>Risk</t>
        </is>
      </c>
      <c r="C9" s="24" t="inlineStr">
        <is>
          <t>23:03</t>
        </is>
      </c>
      <c r="D9" s="24" t="inlineStr">
        <is>
          <t>Eight products built concurrently vs locked serial WIN order; Senthil live-ops bandwidth is the shared bottleneck</t>
        </is>
      </c>
      <c r="E9" s="24" t="inlineStr">
        <is>
          <t>Open</t>
        </is>
      </c>
      <c r="F9" s="24" t="inlineStr">
        <is>
          <t>D15 on Action Board: hold-serial vs formal-parallel with WIP cap — one-line decision</t>
        </is>
      </c>
    </row>
    <row r="10" ht="23.25" customHeight="1" s="20">
      <c r="A10" s="24" t="inlineStr">
        <is>
          <t>A-F1</t>
        </is>
      </c>
      <c r="B10" s="24" t="inlineStr">
        <is>
          <t>Assumption</t>
        </is>
      </c>
      <c r="C10" s="24" t="inlineStr">
        <is>
          <t>v008</t>
        </is>
      </c>
      <c r="D10" s="24" t="inlineStr">
        <is>
          <t>D13 (interviews parked, 100% coverage) applies to FlowCast</t>
        </is>
      </c>
      <c r="E10" s="24" t="inlineStr">
        <is>
          <t>Open</t>
        </is>
      </c>
      <c r="F10" s="24" t="inlineStr">
        <is>
          <t>Per portfolio-wide directive; S0 discovery re-baseline possible if parking lifted</t>
        </is>
      </c>
    </row>
    <row r="11" ht="23.25" customHeight="1" s="20">
      <c r="A11" s="24" t="inlineStr">
        <is>
          <t>A-F2</t>
        </is>
      </c>
      <c r="B11" s="24" t="inlineStr">
        <is>
          <t>Assumption</t>
        </is>
      </c>
      <c r="C11" s="24" t="inlineStr">
        <is>
          <t>v010</t>
        </is>
      </c>
      <c r="D11" s="24" t="inlineStr">
        <is>
          <t>Xero App Store asset specs (logo 400x400, screenshots 1280x800, video &lt;=2 min) assumed from partner docs</t>
        </is>
      </c>
      <c r="E11" s="24" t="inlineStr">
        <is>
          <t>Open</t>
        </is>
      </c>
      <c r="F11" s="24" t="inlineStr">
        <is>
          <t>Verify against current partner docs at submission (noted in asset-specs doc)</t>
        </is>
      </c>
    </row>
    <row r="12" ht="15" customHeight="1" s="20">
      <c r="A12" s="24" t="inlineStr">
        <is>
          <t>A-F3</t>
        </is>
      </c>
      <c r="B12" s="24" t="inlineStr">
        <is>
          <t>Assumption</t>
        </is>
      </c>
      <c r="C12" s="24" t="inlineStr">
        <is>
          <t>v008</t>
        </is>
      </c>
      <c r="D12" s="24" t="inlineStr">
        <is>
          <t>Pricing $15/$25/$49 per billing.ts carried into pricing page</t>
        </is>
      </c>
      <c r="E12" s="24" t="inlineStr">
        <is>
          <t>Open</t>
        </is>
      </c>
      <c r="F12" s="24" t="inlineStr">
        <is>
          <t>Senthil to confirm currency/points before publish</t>
        </is>
      </c>
    </row>
    <row r="13" ht="34.5" customHeight="1" s="20">
      <c r="A13" s="24" t="inlineStr">
        <is>
          <t>F-V14</t>
        </is>
      </c>
      <c r="B13" s="24" t="inlineStr">
        <is>
          <t>Finding</t>
        </is>
      </c>
      <c r="C13" s="24" t="inlineStr">
        <is>
          <t>v014</t>
        </is>
      </c>
      <c r="D13" s="24" t="inlineStr">
        <is>
          <t>Cold-review passes 1+2 found 9 real defects in shipped-as-100%-covered code across 27 modules (5 Major class: ledger growth, fast-ack crash, plan-limit unenforceable, nudge spam, data-retention breach, silent forecast drop, scenario bias) — coverage proves execution, not correctness</t>
        </is>
      </c>
      <c r="E13" s="24" t="inlineStr">
        <is>
          <t>Fixed</t>
        </is>
      </c>
      <c r="F13" s="24" t="inlineStr">
        <is>
          <t>All 9 fixed with regression tests (v014/v015); Review_Findings holds dispositions incl. OBS-001/002; external second review (REVIEW_PACK.md) remains the independence control</t>
        </is>
      </c>
    </row>
    <row r="14" ht="45.75" customHeight="1" s="20">
      <c r="A14" s="24" t="inlineStr">
        <is>
          <t>L-F1</t>
        </is>
      </c>
      <c r="B14" s="24" t="inlineStr">
        <is>
          <t>Lesson</t>
        </is>
      </c>
      <c r="C14" s="24" t="inlineStr">
        <is>
          <t>v018</t>
        </is>
      </c>
      <c r="D14" s="24" t="inlineStr">
        <is>
          <t>Unit coverage proves a module executes — it cannot prove the product exists or that anything calls it. Five fully-covered modules (incl. two of our own earlier fixes) were wired to nothing, and no runnable app existed, after 9 cold-review defects and 3 verification findings</t>
        </is>
      </c>
      <c r="E14" s="24" t="inlineStr">
        <is>
          <t>Logged</t>
        </is>
      </c>
      <c r="F14" s="24" t="inlineStr">
        <is>
          <t>Cheap mechanical check adopted: grep every exported guard for a caller outside its own tests, and actually run what the docs tell the operator to run</t>
        </is>
      </c>
    </row>
    <row r="15" ht="34.5" customHeight="1" s="20">
      <c r="A15" s="24" t="inlineStr">
        <is>
          <t>R-F9</t>
        </is>
      </c>
      <c r="B15" s="24" t="inlineStr">
        <is>
          <t>Risk</t>
        </is>
      </c>
      <c r="C15" s="24" t="inlineStr">
        <is>
          <t>v019</t>
        </is>
      </c>
      <c r="D15" s="24" t="inlineStr">
        <is>
          <t>No real XeroOAuthClient exists — /auth/start 503s in the built binary, so live-sweep step 2 cannot complete end to end even though the routes now exist (R-F4 platform-mocked design)</t>
        </is>
      </c>
      <c r="E15" s="24" t="inlineStr">
        <is>
          <t>Open</t>
        </is>
      </c>
      <c r="F15" s="24" t="inlineStr">
        <is>
          <t>Largest codeable work left; scheduled for v020 rather than half-built now</t>
        </is>
      </c>
    </row>
    <row r="16" ht="34.5" customHeight="1" s="20">
      <c r="A16" s="24" t="inlineStr">
        <is>
          <t>L-F2</t>
        </is>
      </c>
      <c r="B16" s="24" t="inlineStr">
        <is>
          <t>Lesson</t>
        </is>
      </c>
      <c r="C16" s="24" t="inlineStr">
        <is>
          <t>v019</t>
        </is>
      </c>
      <c r="D16" s="24" t="inlineStr">
        <is>
          <t>Second consecutive sitting where the previous sitting own new code held a critical defect (v018 built the app, v019 found no install routes and no queue drain)</t>
        </is>
      </c>
      <c r="E16" s="24" t="inlineStr">
        <is>
          <t>Logged</t>
        </is>
      </c>
      <c r="F16" s="24" t="inlineStr">
        <is>
          <t>Standing rule: anything built in a session is reviewed in the next one by the same checklist used on inherited code</t>
        </is>
      </c>
    </row>
    <row r="17" ht="34.5" customHeight="1" s="20">
      <c r="A17" s="24" t="inlineStr">
        <is>
          <t>R-F10</t>
        </is>
      </c>
      <c r="B17" s="24" t="inlineStr">
        <is>
          <t>Risk</t>
        </is>
      </c>
      <c r="C17" s="24" t="inlineStr">
        <is>
          <t>v020</t>
        </is>
      </c>
      <c r="D17" s="24" t="inlineStr">
        <is>
          <t>No Xero ACCOUNTING-API client exists (only the OAuth client), so executeWithRateLimit still has no caller — pacing has nothing to pace until it is built</t>
        </is>
      </c>
      <c r="E17" s="24" t="inlineStr">
        <is>
          <t>Open</t>
        </is>
      </c>
      <c r="F17" s="24" t="inlineStr">
        <is>
          <t>Recorded in the reachability gate KNOWN_GAPS citing this id, so it stays visible every build; scheduled for v021</t>
        </is>
      </c>
    </row>
    <row r="18" ht="23.25" customHeight="1" s="20">
      <c r="A18" s="24" t="inlineStr">
        <is>
          <t>L-F3</t>
        </is>
      </c>
      <c r="B18" s="24" t="inlineStr">
        <is>
          <t>Lesson</t>
        </is>
      </c>
      <c r="C18" s="24" t="inlineStr">
        <is>
          <t>v020</t>
        </is>
      </c>
      <c r="D18" s="24" t="inlineStr">
        <is>
          <t>Two sittings running, the highest-value finding came from a mechanical check rather than closer reading</t>
        </is>
      </c>
      <c r="E18" s="24" t="inlineStr">
        <is>
          <t>Logged</t>
        </is>
      </c>
      <c r="F18" s="24" t="inlineStr">
        <is>
          <t>Gate is portable — copy the file, empty the three exemption lists, expect 15-40 first-run hits; worth porting to the remaining products</t>
        </is>
      </c>
    </row>
    <row r="19" ht="23.25" customHeight="1" s="20">
      <c r="A19" s="24" t="inlineStr">
        <is>
          <t>R-F10</t>
        </is>
      </c>
      <c r="B19" s="24" t="inlineStr">
        <is>
          <t>Risk</t>
        </is>
      </c>
      <c r="C19" s="24" t="inlineStr">
        <is>
          <t>v021</t>
        </is>
      </c>
      <c r="D19" s="24" t="inlineStr">
        <is>
          <t>CLOSED — Xero accounting-API client built; executeWithRateLimit now has a real caller and the KNOWN_GAPS entry is retired</t>
        </is>
      </c>
      <c r="E19" s="24" t="inlineStr">
        <is>
          <t>Closed</t>
        </is>
      </c>
      <c r="F19" s="24" t="inlineStr">
        <is>
          <t>Live verification still requires the dev org</t>
        </is>
      </c>
    </row>
    <row r="20" ht="34.5" customHeight="1" s="20">
      <c r="A20" s="24" t="inlineStr">
        <is>
          <t>L-F4</t>
        </is>
      </c>
      <c r="B20" s="24" t="inlineStr">
        <is>
          <t>Lesson</t>
        </is>
      </c>
      <c r="C20" s="24" t="inlineStr">
        <is>
          <t>v021</t>
        </is>
      </c>
      <c r="D20" s="24" t="inlineStr">
        <is>
          <t>A gate you have never seen fail is not a gate — the published-claims gate passed on first write while doing nothing, because comments satisfied its match</t>
        </is>
      </c>
      <c r="E20" s="24" t="inlineStr">
        <is>
          <t>Logged</t>
        </is>
      </c>
      <c r="F20" s="24" t="inlineStr">
        <is>
          <t>Deliberately break what a gate protects and confirm the failure message names the customer impact; applies to the gates already ported to other products</t>
        </is>
      </c>
    </row>
    <row r="21" ht="34.5" customHeight="1" s="20">
      <c r="A21" s="24" t="inlineStr">
        <is>
          <t>L-F5</t>
        </is>
      </c>
      <c r="B21" s="24" t="inlineStr">
        <is>
          <t>Lesson</t>
        </is>
      </c>
      <c r="C21" s="24" t="inlineStr">
        <is>
          <t>v022</t>
        </is>
      </c>
      <c r="D21" s="24" t="inlineStr">
        <is>
          <t>Knowing a defect class does not prevent writing it: the multi-tenancy class was fixed in app.ts two sittings earlier and reproduced in new scheduler code the next day</t>
        </is>
      </c>
      <c r="E21" s="24" t="inlineStr">
        <is>
          <t>Logged</t>
        </is>
      </c>
      <c r="F21" s="24" t="inlineStr">
        <is>
          <t>Only a check that runs against new code prevents recurrence — tenant-isolation gate planned for v023; the two existing gates already automate reachability and published claims</t>
        </is>
      </c>
    </row>
    <row r="22" ht="34.5" customHeight="1" s="20">
      <c r="A22" s="24" t="inlineStr">
        <is>
          <t>L-F6</t>
        </is>
      </c>
      <c r="B22" s="24" t="inlineStr">
        <is>
          <t>Lesson</t>
        </is>
      </c>
      <c r="C22" s="24" t="inlineStr">
        <is>
          <t>v023</t>
        </is>
      </c>
      <c r="D22" s="24" t="inlineStr">
        <is>
          <t>A broken static gate does not complain, it approves — the tenant gate passed twice against the real reintroduced defect due to two of its own bugs, while its fixture test was green from the first run</t>
        </is>
      </c>
      <c r="E22" s="24" t="inlineStr">
        <is>
          <t>Logged</t>
        </is>
      </c>
      <c r="F22" s="24" t="inlineStr">
        <is>
          <t>Prove every gate against a reintroduced defect IN THE REAL FILE, not a fixture; re-check the reachability and published-claims gates ported elsewhere for the same silently-permissive failure mode</t>
        </is>
      </c>
    </row>
    <row r="23" ht="34.5" customHeight="1" s="20">
      <c r="A23" s="24" t="inlineStr">
        <is>
          <t>L-F7</t>
        </is>
      </c>
      <c r="B23" s="24" t="inlineStr">
        <is>
          <t>Lesson</t>
        </is>
      </c>
      <c r="C23" s="24" t="inlineStr">
        <is>
          <t>v024</t>
        </is>
      </c>
      <c r="D23" s="24" t="inlineStr">
        <is>
          <t>Three gates, four silently-permissive bugs, and every one passed its own fixture test from the first run — the fixture tests what the author imagined, the reintroduced defect tests what actually broke</t>
        </is>
      </c>
      <c r="E23" s="24" t="inlineStr">
        <is>
          <t>Logged</t>
        </is>
      </c>
      <c r="F23" s="24" t="inlineStr">
        <is>
          <t>A gate is finished when it has been seen to fail for the right reason in the real file; the gates ported to other products were shipped green and have never been proved</t>
        </is>
      </c>
    </row>
    <row r="24" ht="34.5" customHeight="1" s="20">
      <c r="A24" s="24" t="inlineStr">
        <is>
          <t>L-F8</t>
        </is>
      </c>
      <c r="B24" s="24" t="inlineStr">
        <is>
          <t>Lesson</t>
        </is>
      </c>
      <c r="C24" s="24" t="inlineStr">
        <is>
          <t>v025</t>
        </is>
      </c>
      <c r="D24" s="24" t="inlineStr">
        <is>
          <t>What generalises from the gate work is not the three rules but the proof harness — the gates had to be checked by judgement before they could automate it, and the checking held the value</t>
        </is>
      </c>
      <c r="E24" s="24" t="inlineStr">
        <is>
          <t>Logged</t>
        </is>
      </c>
      <c r="F24" s="24" t="inlineStr">
        <is>
          <t>Any future automated check arrives with the mutation that proves it, in the same commit; harness is portable via gates/README.md</t>
        </is>
      </c>
    </row>
    <row r="25" ht="34.5" customHeight="1" s="20">
      <c r="A25" s="24" t="inlineStr">
        <is>
          <t>L-F9</t>
        </is>
      </c>
      <c r="B25" s="24" t="inlineStr">
        <is>
          <t>Lesson</t>
        </is>
      </c>
      <c r="C25" s="24" t="inlineStr">
        <is>
          <t>v026</t>
        </is>
      </c>
      <c r="D25" s="24" t="inlineStr">
        <is>
          <t>Done has meant "code written", not "feature runs end to end" — 7 stories sat at Done while their behaviour had no driver, and every one was caught by a later review rather than by the status field</t>
        </is>
      </c>
      <c r="E25" s="24" t="inlineStr">
        <is>
          <t>Logged</t>
        </is>
      </c>
      <c r="F25" s="24" t="inlineStr">
        <is>
          <t>As-built notes added naming the release that made each true; the gates now close this gap mechanically for the reachability and published-claims classes</t>
        </is>
      </c>
    </row>
    <row r="26" ht="23.25" customHeight="1" s="20">
      <c r="A26" s="24" t="inlineStr">
        <is>
          <t>R-F4</t>
        </is>
      </c>
      <c r="B26" s="24" t="inlineStr">
        <is>
          <t>Risk</t>
        </is>
      </c>
      <c r="C26" s="24" t="inlineStr">
        <is>
          <t>v027</t>
        </is>
      </c>
      <c r="D26" s="24" t="inlineStr">
        <is>
          <t>CLOSED — in-memory-only persistence replaced by a real store behind a tested seam; DATABASE_URL is now a live prerequisite</t>
        </is>
      </c>
      <c r="E26" s="24" t="inlineStr">
        <is>
          <t>Closed</t>
        </is>
      </c>
      <c r="F26" s="24" t="inlineStr">
        <is>
          <t>Live verification still requires the database alongside the dev org</t>
        </is>
      </c>
    </row>
    <row r="27" ht="34.5" customHeight="1" s="20">
      <c r="A27" s="24" t="inlineStr">
        <is>
          <t>L-F10</t>
        </is>
      </c>
      <c r="B27" s="24" t="inlineStr">
        <is>
          <t>Lesson</t>
        </is>
      </c>
      <c r="C27" s="24" t="inlineStr">
        <is>
          <t>v027</t>
        </is>
      </c>
      <c r="D27" s="24" t="inlineStr">
        <is>
          <t>The gates check code against itself and cannot see a constraint the code never states — "this process lives forever" was nowhere in the source, so nothing flagged that six fixes were reverted on every deploy</t>
        </is>
      </c>
      <c r="E27" s="24" t="inlineStr">
        <is>
          <t>Logged</t>
        </is>
      </c>
      <c r="F27" s="24" t="inlineStr">
        <is>
          <t>Environment assumptions need their own review pass: what does this code believe about the world that no test asserts?</t>
        </is>
      </c>
    </row>
    <row r="28" ht="34.5" customHeight="1" s="20">
      <c r="A28" s="24" t="inlineStr">
        <is>
          <t>L-F11</t>
        </is>
      </c>
      <c r="B28" s="24" t="inlineStr">
        <is>
          <t>Lesson</t>
        </is>
      </c>
      <c r="C28" s="24" t="inlineStr">
        <is>
          <t>v028</t>
        </is>
      </c>
      <c r="D28" s="24" t="inlineStr">
        <is>
          <t>All three environment findings came from reading the deploy pipeline against the application code — two artifacts each correct in isolation; ENV-1 existed from the moment blue/green shipped in v017</t>
        </is>
      </c>
      <c r="E28" s="24" t="inlineStr">
        <is>
          <t>Logged</t>
        </is>
      </c>
      <c r="F28" s="24" t="inlineStr">
        <is>
          <t>Ask not "is this code correct?" but "what has to be true for this code to be correct, and who guarantees it?" — applies to every product with a deploy model the code does not know about</t>
        </is>
      </c>
    </row>
    <row r="29" ht="34.5" customHeight="1" s="20">
      <c r="A29" s="24" t="inlineStr">
        <is>
          <t>L-F12</t>
        </is>
      </c>
      <c r="B29" s="24" t="inlineStr">
        <is>
          <t>Lesson</t>
        </is>
      </c>
      <c r="C29" s="24" t="inlineStr">
        <is>
          <t>v029</t>
        </is>
      </c>
      <c r="D29" s="24" t="inlineStr">
        <is>
          <t>OPS-1 and OPS-3 were survivable alone and fatal together — one breaks the slot, the other certifies it healthy and switches traffic onto it; both were individually defensible and the interaction was the defect</t>
        </is>
      </c>
      <c r="E29" s="24" t="inlineStr">
        <is>
          <t>Logged</t>
        </is>
      </c>
      <c r="F29" s="24" t="inlineStr">
        <is>
          <t>Review artifacts in PAIRS, not as a list; re-run the ops-artifacts x newest-subsystem pairing whenever a subsystem is added, since every artifact written before it encodes a world without it</t>
        </is>
      </c>
    </row>
    <row r="30" ht="34.5" customHeight="1" s="20">
      <c r="A30" s="24" t="inlineStr">
        <is>
          <t>L-F13</t>
        </is>
      </c>
      <c r="B30" s="24" t="inlineStr">
        <is>
          <t>Lesson</t>
        </is>
      </c>
      <c r="C30" s="24" t="inlineStr">
        <is>
          <t>v030</t>
        </is>
      </c>
      <c r="D30" s="24" t="inlineStr">
        <is>
          <t>"void promise" is the quietest way to write a crash — it reads as fire-and-forget and on modern Node means fire-and-exit; both instances were deliberate attempts to keep a durable write off the latency path</t>
        </is>
      </c>
      <c r="E30" s="24" t="inlineStr">
        <is>
          <t>Logged</t>
        </is>
      </c>
      <c r="F30" s="24" t="inlineStr">
        <is>
          <t>Asynchronous work needs an owner that catches, counts and reports; worth grepping the other products for the same two characters</t>
        </is>
      </c>
    </row>
    <row r="31" ht="34.5" customHeight="1" s="20">
      <c r="A31" s="24" t="inlineStr">
        <is>
          <t>L-F14</t>
        </is>
      </c>
      <c r="B31" s="24" t="inlineStr">
        <is>
          <t>Lesson</t>
        </is>
      </c>
      <c r="C31" s="24" t="inlineStr">
        <is>
          <t>v031</t>
        </is>
      </c>
      <c r="D31" s="24" t="inlineStr">
        <is>
          <t>Documents aimed at outsiders decay silently because nobody inside reads them — the two furthest from daily use were the most out of date, and both sit on the critical path to launch</t>
        </is>
      </c>
      <c r="E31" s="24" t="inlineStr">
        <is>
          <t>Logged</t>
        </is>
      </c>
      <c r="F31" s="24" t="inlineStr">
        <is>
          <t>Externally-aimed documents need a review trigger tied to the system, not to someone remembering; three security claims are now gate-enforced, the rest still rely on someone looking</t>
        </is>
      </c>
    </row>
    <row r="32" ht="23.25" customHeight="1" s="20">
      <c r="A32" s="24" t="inlineStr">
        <is>
          <t>L-F15</t>
        </is>
      </c>
      <c r="B32" s="24" t="inlineStr">
        <is>
          <t>Lesson</t>
        </is>
      </c>
      <c r="C32" s="24" t="inlineStr">
        <is>
          <t>v032</t>
        </is>
      </c>
      <c r="D32" s="24" t="inlineStr">
        <is>
          <t>All five gates were born from defects that had already shipped, not from imagined risks — the second question produced checks that each caught something real</t>
        </is>
      </c>
      <c r="E32" s="24" t="inlineStr">
        <is>
          <t>Logged</t>
        </is>
      </c>
      <c r="F32" s="24" t="inlineStr">
        <is>
          <t>Trigger automation from "what did go wrong, and would we notice a second time?" rather than "what could go wrong"</t>
        </is>
      </c>
    </row>
    <row r="33" ht="15" customHeight="1" s="20">
      <c r="A33" s="26" t="inlineStr">
        <is>
          <t>R-F11</t>
        </is>
      </c>
      <c r="B33" s="26" t="inlineStr">
        <is>
          <t>Risk</t>
        </is>
      </c>
      <c r="C33" s="26" t="inlineStr">
        <is>
          <t>v034</t>
        </is>
      </c>
      <c r="D33" s="26" t="inlineStr">
        <is>
          <t>Positioning: the external review judges generic Xero cash-flow forecasting to be a crowded category with the platform itself shipping 30/90/180-day horizons. Building further depth before DEC-F16 risks investing in the wrong wedge.</t>
        </is>
      </c>
      <c r="E33" s="26" t="inlineStr">
        <is>
          <t>Open</t>
        </is>
      </c>
      <c r="F33" s="26" t="inlineStr">
        <is>
          <t>Wave 2 deliberately held. DEC-F16 is the first thing on Senthil's queue.</t>
        </is>
      </c>
    </row>
    <row r="34" ht="15" customHeight="1" s="20">
      <c r="A34" s="26" t="inlineStr">
        <is>
          <t>R-F12</t>
        </is>
      </c>
      <c r="B34" s="26" t="inlineStr">
        <is>
          <t>Risk</t>
        </is>
      </c>
      <c r="C34" s="26" t="inlineStr">
        <is>
          <t>v034</t>
        </is>
      </c>
      <c r="D34" s="26" t="inlineStr">
        <is>
          <t>Our own reviews missed three defect classes that an outside reader found in one pass, and one of them (FC-R002) was a document we had all read. Internal review has a ceiling.</t>
        </is>
      </c>
      <c r="E34" s="26" t="inlineStr">
        <is>
          <t>Open</t>
        </is>
      </c>
      <c r="F34" s="26" t="inlineStr">
        <is>
          <t>Sixth gate closes the specific decay mode mechanically. DEC-F17 decides whether a non-author AI review is sufficient going forward.</t>
        </is>
      </c>
    </row>
    <row r="35" ht="15" customHeight="1" s="20">
      <c r="A35" s="26" t="inlineStr">
        <is>
          <t>A-F3</t>
        </is>
      </c>
      <c r="B35" s="26" t="inlineStr">
        <is>
          <t>Assumption</t>
        </is>
      </c>
      <c r="C35" s="26" t="inlineStr">
        <is>
          <t>v034</t>
        </is>
      </c>
      <c r="D35" s="26" t="inlineStr">
        <is>
          <t>The 20/100/500-client drill measures in-process compute only. If anyone quotes it as production performance evidence it will be wrong by the cost of a database round trip per client.</t>
        </is>
      </c>
      <c r="E35" s="26" t="inlineStr">
        <is>
          <t>Open</t>
        </is>
      </c>
      <c r="F35" s="26" t="inlineStr">
        <is>
          <t>Stated in the module header, the dry-run doc and this tracker. PERF-1 re-baselined latency budgets for the same reason once already.</t>
        </is>
      </c>
    </row>
    <row r="36" ht="15" customHeight="1" s="20">
      <c r="A36" s="26" t="inlineStr">
        <is>
          <t>I-F2</t>
        </is>
      </c>
      <c r="B36" s="26" t="inlineStr">
        <is>
          <t>Issue</t>
        </is>
      </c>
      <c r="C36" s="26" t="inlineStr">
        <is>
          <t>v034</t>
        </is>
      </c>
      <c r="D36" s="26" t="inlineStr">
        <is>
          <t>No signing key is held, so release provenance cannot be claimed and FC-R015 stays half open regardless of further build work.</t>
        </is>
      </c>
      <c r="E36" s="26" t="inlineStr">
        <is>
          <t>Open</t>
        </is>
      </c>
      <c r="F36" s="26" t="inlineStr">
        <is>
          <t>Needs a key and a custody decision from Senthil.</t>
        </is>
      </c>
    </row>
    <row r="37" ht="15" customHeight="1" s="20">
      <c r="A37" s="26" t="inlineStr">
        <is>
          <t>R-F13</t>
        </is>
      </c>
      <c r="B37" s="26" t="inlineStr">
        <is>
          <t>Risk</t>
        </is>
      </c>
      <c r="C37" s="26" t="inlineStr">
        <is>
          <t>v035</t>
        </is>
      </c>
      <c r="D37" s="26" t="inlineStr">
        <is>
          <t>The two critical findings this sprint were both deploy-configuration, not logic, and both were invisible to a suite at 100% coverage and to eight prior review passes. The remaining nine products in the portfolio share the author and the patterns.</t>
        </is>
      </c>
      <c r="E37" s="26" t="inlineStr">
        <is>
          <t>Open</t>
        </is>
      </c>
      <c r="F37" s="26" t="inlineStr">
        <is>
          <t>PORT-04 should now run the other way: the fail-closed boot check and the shutdown deadline are the two most portable fixes here. Which products, and when, is Senthil's call.</t>
        </is>
      </c>
    </row>
    <row r="38" ht="15" customHeight="1" s="20">
      <c r="A38" s="26" t="inlineStr">
        <is>
          <t>I-F3</t>
        </is>
      </c>
      <c r="B38" s="26" t="inlineStr">
        <is>
          <t>Issue</t>
        </is>
      </c>
      <c r="C38" s="26" t="inlineStr">
        <is>
          <t>v035</t>
        </is>
      </c>
      <c r="D38" s="26" t="inlineStr">
        <is>
          <t>Sandbox-codeable work arising from BOTH reviews is exhausted. Everything remaining needs a decision (DEC-F16, DEC-F17) or a live environment (dev org, partner app, pen-test vendor, signing key).</t>
        </is>
      </c>
      <c r="E38" s="26" t="inlineStr">
        <is>
          <t>Open</t>
        </is>
      </c>
      <c r="F38" s="26" t="inlineStr">
        <is>
          <t>Further sitting time on FlowCast has declining marginal value until one of those moves.</t>
        </is>
      </c>
    </row>
    <row r="39">
      <c r="A39" s="27" t="inlineStr">
        <is>
          <t>R-F14</t>
        </is>
      </c>
      <c r="B39" s="27" t="inlineStr">
        <is>
          <t>Risk</t>
        </is>
      </c>
      <c r="C39" s="27" t="inlineStr">
        <is>
          <t>v036</t>
        </is>
      </c>
      <c r="D39" s="27" t="inlineStr">
        <is>
          <t>E6-F3 — durable store (GAP-F3) never driven for installs: saveTenant/saveTokens/getTokens/dueForDeletion/savePollState/getPollState and FlowCastApp.hydrate have no caller. A restart still loses every tenant; E5b-01 fail-closed boot protects a store nothing writes to.</t>
        </is>
      </c>
      <c r="E39" s="27" t="inlineStr">
        <is>
          <t>Open</t>
        </is>
      </c>
      <c r="F39" s="27" t="inlineStr">
        <is>
          <t>P1-8. KNOWN_GAPS expire 2026-10-31 → build fails until wired. Found by the method-level reachability check on its first run.</t>
        </is>
      </c>
    </row>
    <row r="40">
      <c r="A40" s="27" t="inlineStr">
        <is>
          <t>R-F15</t>
        </is>
      </c>
      <c r="B40" s="27" t="inlineStr">
        <is>
          <t>Risk</t>
        </is>
      </c>
      <c r="C40" s="27" t="inlineStr">
        <is>
          <t>v036</t>
        </is>
      </c>
      <c r="D40" s="27" t="inlineStr">
        <is>
          <t>E6-F4 — webhook worker (recoverQueue/drainOnce) never started at boot; deleteQueuedEvents never called, so persisted rows would be re-ingested on every restart once recovery IS wired.</t>
        </is>
      </c>
      <c r="E40" s="27" t="inlineStr">
        <is>
          <t>Open</t>
        </is>
      </c>
      <c r="F40" s="27" t="inlineStr">
        <is>
          <t>P1-8. worker.ts entry-point exemption ("queue drain loop started at boot") is false today — same class as E6-F1.</t>
        </is>
      </c>
    </row>
    <row r="41">
      <c r="A41" s="27" t="inlineStr">
        <is>
          <t>R-F16</t>
        </is>
      </c>
      <c r="B41" s="27" t="inlineStr">
        <is>
          <t>Risk</t>
        </is>
      </c>
      <c r="C41" s="27" t="inlineStr">
        <is>
          <t>v036</t>
        </is>
      </c>
      <c r="D41" s="27" t="inlineStr">
        <is>
          <t>E6-F5 — SUBSCRIPTION/uninstall webhook categorised but never routed to InstallService.handleUninstallWebhook: tokens outlive an uninstall, contradicting the published 30-day deletion policy (OnCall L-OC1 class).</t>
        </is>
      </c>
      <c r="E41" s="27" t="inlineStr">
        <is>
          <t>Open</t>
        </is>
      </c>
      <c r="F41" s="27" t="inlineStr">
        <is>
          <t>P1-8. publishedClaimsGate checks the purge function + its driver but not the uninstall trigger — gate gap to close with it.</t>
        </is>
      </c>
    </row>
    <row r="42">
      <c r="A42" s="27" t="inlineStr">
        <is>
          <t>R-F17</t>
        </is>
      </c>
      <c r="B42" s="27" t="inlineStr">
        <is>
          <t>Risk</t>
        </is>
      </c>
      <c r="C42" s="27" t="inlineStr">
        <is>
          <t>v036</t>
        </is>
      </c>
      <c r="D42" s="27" t="inlineStr">
        <is>
          <t>E6-F6 — CircuitBreaker.canRequest superseded by acquireProbe (E5-05) and dead since v034.</t>
        </is>
      </c>
      <c r="E42" s="27" t="inlineStr">
        <is>
          <t>Open</t>
        </is>
      </c>
      <c r="F42" s="27" t="inlineStr">
        <is>
          <t>Left in place (Senthil: delete nothing). Remove in a contract release with a CONTRACT_APPROVED entry.</t>
        </is>
      </c>
    </row>
    <row r="43">
      <c r="A43" s="27" t="inlineStr">
        <is>
          <t>R-F18</t>
        </is>
      </c>
      <c r="B43" s="27" t="inlineStr">
        <is>
          <t>Risk</t>
        </is>
      </c>
      <c r="C43" s="27" t="inlineStr">
        <is>
          <t>v036</t>
        </is>
      </c>
      <c r="D43" s="27" t="inlineStr">
        <is>
          <t>Fluidly precedent (PPX §4): a well-funded Xero cash-flow forecasting app with the same ICP was acquired by OakNorth in 2021 and shut to accountants — a write-off. Closest available comparable to FlowCast's plan.</t>
        </is>
      </c>
      <c r="E43" s="27" t="inlineStr">
        <is>
          <t>Open</t>
        </is>
      </c>
      <c r="F43" s="27" t="inlineStr">
        <is>
          <t>Reviewer: belongs at the top of the register. Mitigation is positioning (DEC-F16 / PPX-D2 / P4-2), not code.</t>
        </is>
      </c>
    </row>
    <row r="44">
      <c r="A44" s="27" t="inlineStr">
        <is>
          <t>R-F19</t>
        </is>
      </c>
      <c r="B44" s="27" t="inlineStr">
        <is>
          <t>Risk</t>
        </is>
      </c>
      <c r="C44" s="27" t="inlineStr">
        <is>
          <t>v036</t>
        </is>
      </c>
      <c r="D44" s="27" t="inlineStr">
        <is>
          <t>Platform absorption (PPX §4): Xero acquired Syft Analytics (~$70m) and ships native 7–180-day projections; the middle of the forecasting category is a platform-absorption zone.</t>
        </is>
      </c>
      <c r="E44" s="27" t="inlineStr">
        <is>
          <t>Open</t>
        </is>
      </c>
      <c r="F44" s="27" t="inlineStr">
        <is>
          <t>Same mitigation as R-F18; strengthens R-F1 (native cash flow improves) from Medium to High likelihood.</t>
        </is>
      </c>
    </row>
    <row r="45">
      <c r="A45" s="27" t="inlineStr">
        <is>
          <t>R-F20</t>
        </is>
      </c>
      <c r="B45" s="27" t="inlineStr">
        <is>
          <t>Risk</t>
        </is>
      </c>
      <c r="C45" s="27" t="inlineStr">
        <is>
          <t>v036</t>
        </is>
      </c>
      <c r="D45" s="27" t="inlineStr">
        <is>
          <t>Unit economics do not close at $25 ARPU (PPX-10): ~659 accounts to cover M1 cost, 315 reached by M18, −$281k cumulative burn, ~23+ months to breakeven, ~$86 ARPU needed.</t>
        </is>
      </c>
      <c r="E45" s="27" t="inlineStr">
        <is>
          <t>Open</t>
        </is>
      </c>
      <c r="F45" s="27" t="inlineStr">
        <is>
          <t>PPX-D3 / P4-1. Financial_Model left untouched this sprint by instruction; reviewer's recomputation recorded in External_Review_PPX.</t>
        </is>
      </c>
    </row>
    <row r="46">
      <c r="A46" s="27" t="inlineStr">
        <is>
          <t>R-F21</t>
        </is>
      </c>
      <c r="B46" s="27" t="inlineStr">
        <is>
          <t>Risk</t>
        </is>
      </c>
      <c r="C46" s="27" t="inlineStr">
        <is>
          <t>v036</t>
        </is>
      </c>
      <c r="D46" s="27" t="inlineStr">
        <is>
          <t>E6-F2 — no email or notification transport exists anywhere in src; nudges, dunning emails, trial-expiry and anomaly alerts have logic but no delivery. Boot reports them to stderr rather than faking a sender.</t>
        </is>
      </c>
      <c r="E46" s="27" t="inlineStr">
        <is>
          <t>Open</t>
        </is>
      </c>
      <c r="F46" s="27" t="inlineStr">
        <is>
          <t>Not in any wave yet. Needs a vendor decision (D-F6 class) — Senthil.</t>
        </is>
      </c>
    </row>
    <row r="47">
      <c r="A47" s="27" t="inlineStr">
        <is>
          <t>I-F4</t>
        </is>
      </c>
      <c r="B47" s="27" t="inlineStr">
        <is>
          <t>Issue</t>
        </is>
      </c>
      <c r="C47" s="27" t="inlineStr">
        <is>
          <t>v036</t>
        </is>
      </c>
      <c r="D47" s="27" t="inlineStr">
        <is>
          <t>The forecast routes use the operator token + tenant header as the session (defaultSessionResolver). There is no user login and no app shell (PPX-07).</t>
        </is>
      </c>
      <c r="E47" s="27" t="inlineStr">
        <is>
          <t>Open</t>
        </is>
      </c>
      <c r="F47" s="27" t="inlineStr">
        <is>
          <t>Stated in THREAT_MODEL.md E6 addendum. Real sessions arrive with P3-1/P3-3.</t>
        </is>
      </c>
    </row>
    <row r="48">
      <c r="A48" s="27" t="inlineStr">
        <is>
          <t>I-F5</t>
        </is>
      </c>
      <c r="B48" s="27" t="inlineStr">
        <is>
          <t>Issue</t>
        </is>
      </c>
      <c r="C48" s="27" t="inlineStr">
        <is>
          <t>v036</t>
        </is>
      </c>
      <c r="D48" s="27" t="inlineStr">
        <is>
          <t>package-lock.json root version still reads 0.27.0 (stale since v031); package.json is 0.30.0. SBOM regenerated from the lockfile passes the drift gate because it reads package.json for the root component.</t>
        </is>
      </c>
      <c r="E48" s="27" t="inlineStr">
        <is>
          <t>Open</t>
        </is>
      </c>
      <c r="F48" s="27" t="inlineStr">
        <is>
          <t>Left as-is (delete/change nothing beyond scope); `npm install --package-lock-only` at the next contract release.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9" min="1" max="1"/>
    <col width="70" customWidth="1" style="19" min="2" max="2"/>
    <col width="24" customWidth="1" style="19" min="3" max="3"/>
    <col width="80" customWidth="1" style="19" min="4" max="4"/>
  </cols>
  <sheetData>
    <row r="1" ht="15.75" customHeight="1" s="20">
      <c r="A1" s="21" t="inlineStr">
        <is>
          <t>COMPLETION GATE (D7) — FlowCast is DONE only when every row passes</t>
        </is>
      </c>
    </row>
    <row r="2" ht="15" customHeight="1" s="20">
      <c r="A2" s="22" t="inlineStr">
        <is>
          <t>Code complete counts for nothing at this gate. Gate decision = Senthil, on evidence Claude prepares.</t>
        </is>
      </c>
    </row>
    <row r="3" ht="15" customHeight="1" s="20">
      <c r="A3" s="23" t="inlineStr">
        <is>
          <t>ID</t>
        </is>
      </c>
      <c r="B3" s="23" t="inlineStr">
        <is>
          <t>Gate item</t>
        </is>
      </c>
      <c r="C3" s="23" t="inlineStr">
        <is>
          <t>Source</t>
        </is>
      </c>
      <c r="D3" s="23" t="inlineStr">
        <is>
          <t>Status</t>
        </is>
      </c>
    </row>
    <row r="4" ht="15" customHeight="1" s="20">
      <c r="A4" s="24" t="inlineStr">
        <is>
          <t>G-01</t>
        </is>
      </c>
      <c r="B4" s="24" t="inlineStr">
        <is>
          <t>App LISTED on Xero App Store (approved + published)</t>
        </is>
      </c>
      <c r="C4" s="24" t="inlineStr">
        <is>
          <t>D7</t>
        </is>
      </c>
      <c r="D4" s="24" t="inlineStr">
        <is>
          <t>Open</t>
        </is>
      </c>
    </row>
    <row r="5" ht="15" customHeight="1" s="20">
      <c r="A5" s="24" t="inlineStr">
        <is>
          <t>G-02</t>
        </is>
      </c>
      <c r="B5" s="24" t="inlineStr">
        <is>
          <t>10 PAYING installs from strangers</t>
        </is>
      </c>
      <c r="C5" s="24" t="inlineStr">
        <is>
          <t>D7</t>
        </is>
      </c>
      <c r="D5" s="24" t="inlineStr">
        <is>
          <t>Open</t>
        </is>
      </c>
    </row>
    <row r="6" ht="15" customHeight="1" s="20">
      <c r="A6" s="24" t="inlineStr">
        <is>
          <t>G-03</t>
        </is>
      </c>
      <c r="B6" s="24" t="inlineStr">
        <is>
          <t>S12 kill criteria evaluated with evidence pack</t>
        </is>
      </c>
      <c r="C6" s="24" t="inlineStr">
        <is>
          <t>D7</t>
        </is>
      </c>
      <c r="D6" s="24" t="inlineStr">
        <is>
          <t>Open</t>
        </is>
      </c>
    </row>
    <row r="7" ht="15" customHeight="1" s="20">
      <c r="A7" s="24" t="inlineStr">
        <is>
          <t>G-04</t>
        </is>
      </c>
      <c r="B7" s="24" t="inlineStr">
        <is>
          <t>Kill/continue decision recorded by Senthil</t>
        </is>
      </c>
      <c r="C7" s="24" t="inlineStr">
        <is>
          <t>D7</t>
        </is>
      </c>
      <c r="D7" s="24" t="inlineStr">
        <is>
          <t>Open</t>
        </is>
      </c>
    </row>
    <row r="8" ht="15" customHeight="1" s="20">
      <c r="A8" s="24" t="inlineStr">
        <is>
          <t>G-05</t>
        </is>
      </c>
      <c r="B8" s="24" t="inlineStr">
        <is>
          <t>On CONTINUE: next-rank build authorised per WIN order</t>
        </is>
      </c>
      <c r="C8" s="24" t="inlineStr">
        <is>
          <t>D7 / D15</t>
        </is>
      </c>
      <c r="D8" s="24" t="inlineStr">
        <is>
          <t>Open</t>
        </is>
      </c>
    </row>
    <row r="9" ht="23.25" customHeight="1" s="20">
      <c r="A9" s="24" t="inlineStr">
        <is>
          <t>LC-1</t>
        </is>
      </c>
      <c r="B9" s="24" t="inlineStr">
        <is>
          <t>Xero developer account + app partner program application</t>
        </is>
      </c>
      <c r="C9" s="24" t="inlineStr">
        <is>
          <t>v007 LC / v011-v012 updates</t>
        </is>
      </c>
      <c r="D9" s="24" t="inlineStr">
        <is>
          <t>BLOCKED — needs Senthil: dev account + partner application</t>
        </is>
      </c>
    </row>
    <row r="10" ht="23.25" customHeight="1" s="20">
      <c r="A10" s="24" t="inlineStr">
        <is>
          <t>LC-2</t>
        </is>
      </c>
      <c r="B10" s="24" t="inlineStr">
        <is>
          <t>OAuth2 + tenant handling for multi-org accountants tested</t>
        </is>
      </c>
      <c r="C10" s="24" t="inlineStr">
        <is>
          <t>v007 LC / v011-v012 updates</t>
        </is>
      </c>
      <c r="D10" s="24" t="inlineStr">
        <is>
          <t>Code-complete — pending live dev-org test</t>
        </is>
      </c>
    </row>
    <row r="11" ht="23.25" customHeight="1" s="20">
      <c r="A11" s="24" t="inlineStr">
        <is>
          <t>LC-3</t>
        </is>
      </c>
      <c r="B11" s="24" t="inlineStr">
        <is>
          <t>API rate limits (60/min per tenant) queue + backoff verified</t>
        </is>
      </c>
      <c r="C11" s="24" t="inlineStr">
        <is>
          <t>v007 LC / v011-v012 updates</t>
        </is>
      </c>
      <c r="D11" s="24" t="inlineStr">
        <is>
          <t>Code-complete: proactive 60/min per-tenant limiter (v012) + reactive backoff/breaker — pending live verification</t>
        </is>
      </c>
    </row>
    <row r="12" ht="34.5" customHeight="1" s="20">
      <c r="A12" s="24" t="inlineStr">
        <is>
          <t>LC-4</t>
        </is>
      </c>
      <c r="B12" s="24" t="inlineStr">
        <is>
          <t>Webhooks (invoices, payments, bank transactions) resilience tested</t>
        </is>
      </c>
      <c r="C12" s="24" t="inlineStr">
        <is>
          <t>v007 LC / v011-v012 updates</t>
        </is>
      </c>
      <c r="D12" s="24" t="inlineStr">
        <is>
          <t>Code-complete — webhooks (INVOICE/CONTACT/SUBSCRIPTION) + bank-txn polling built v011; pending live wiring. NOTE: platform has no bank-txn webhook — polling every 15 min is the documented substitute</t>
        </is>
      </c>
    </row>
    <row r="13" ht="23.25" customHeight="1" s="20">
      <c r="A13" s="24" t="inlineStr">
        <is>
          <t>LC-5</t>
        </is>
      </c>
      <c r="B13" s="24" t="inlineStr">
        <is>
          <t>App partner certification: API best practice + security questionnaire + brand review</t>
        </is>
      </c>
      <c r="C13" s="24" t="inlineStr">
        <is>
          <t>v007 LC / v011-v012 updates</t>
        </is>
      </c>
      <c r="D13" s="24" t="inlineStr">
        <is>
          <t>Trust page drafted + SECURITY_EVIDENCE.md pack compiled v014 (per-control citations); questionnaire answerable from pack; brand review pending live artefacts</t>
        </is>
      </c>
    </row>
    <row r="14" ht="23.25" customHeight="1" s="20">
      <c r="A14" s="24" t="inlineStr">
        <is>
          <t>LC-6</t>
        </is>
      </c>
      <c r="B14" s="24" t="inlineStr">
        <is>
          <t>In-store subscription configuration + test purchase</t>
        </is>
      </c>
      <c r="C14" s="24" t="inlineStr">
        <is>
          <t>v007 LC / v011-v012 updates</t>
        </is>
      </c>
      <c r="D14" s="24" t="inlineStr">
        <is>
          <t>Rail logic coded; store config + test purchase pending dev org</t>
        </is>
      </c>
    </row>
    <row r="15" ht="23.25" customHeight="1" s="20">
      <c r="A15" s="24" t="inlineStr">
        <is>
          <t>LC-7</t>
        </is>
      </c>
      <c r="B15" s="24" t="inlineStr">
        <is>
          <t>Accountant multi-client portal tested with 20-client dataset</t>
        </is>
      </c>
      <c r="C15" s="24" t="inlineStr">
        <is>
          <t>v007 LC / v011-v012 updates</t>
        </is>
      </c>
      <c r="D15" s="24" t="inlineStr">
        <is>
          <t>DONE at logic level: 20-client dataset drill passed (risk-first sort + rules at scale); live UI pass pending</t>
        </is>
      </c>
    </row>
    <row r="16" ht="23.25" customHeight="1" s="20">
      <c r="A16" s="24" t="inlineStr">
        <is>
          <t>LC-8</t>
        </is>
      </c>
      <c r="B16" s="24" t="inlineStr">
        <is>
          <t>Bank-feed anomaly logic QA on 12 months of demo data</t>
        </is>
      </c>
      <c r="C16" s="24" t="inlineStr">
        <is>
          <t>v007 LC / v011-v012 updates</t>
        </is>
      </c>
      <c r="D16" s="24" t="inlineStr">
        <is>
          <t>DONE at logic level: 12-month dataset QA passed — found + fixed batch-isolation blind spot (detectWithHistory); live-feed QA pending</t>
        </is>
      </c>
    </row>
    <row r="17" ht="23.25" customHeight="1" s="20">
      <c r="A17" s="24" t="inlineStr">
        <is>
          <t>LC-9</t>
        </is>
      </c>
      <c r="B17" s="24" t="inlineStr">
        <is>
          <t>Listing: accountant-channel messaging + partner directory entry</t>
        </is>
      </c>
      <c r="C17" s="24" t="inlineStr">
        <is>
          <t>v007 LC / v011-v012 updates</t>
        </is>
      </c>
      <c r="D17" s="24" t="inlineStr">
        <is>
          <t>Listing copy A/B drafted (B = accountant channel) — Senthil review pending</t>
        </is>
      </c>
    </row>
    <row r="18" ht="23.25" customHeight="1" s="20">
      <c r="A18" s="24" t="inlineStr">
        <is>
          <t>LC-10</t>
        </is>
      </c>
      <c r="B18" s="24" t="inlineStr">
        <is>
          <t>UK/AU/NZ tax-locale display verified (GST/VAT labels)</t>
        </is>
      </c>
      <c r="C18" s="24" t="inlineStr">
        <is>
          <t>v007 LC / v011-v012 updates</t>
        </is>
      </c>
      <c r="D18" s="24" t="inlineStr">
        <is>
          <t>GST/VAT fields coded + tested; UI locale pass pending deployed UI</t>
        </is>
      </c>
    </row>
    <row r="20" ht="15" customHeight="1" s="20">
      <c r="A20" s="32" t="inlineStr">
        <is>
          <t>EXTERNAL GA GATES (ChatGPT V001, G01-G16). Status as assessed after sprint E5 — the reviewer's own status is in their workbook; where we disagree it is stated.</t>
        </is>
      </c>
    </row>
    <row r="22" ht="15" customHeight="1" s="20">
      <c r="A22" s="33" t="inlineStr">
        <is>
          <t>ID</t>
        </is>
      </c>
      <c r="B22" s="33" t="inlineStr">
        <is>
          <t>Gate item</t>
        </is>
      </c>
      <c r="C22" s="33" t="inlineStr">
        <is>
          <t>Source</t>
        </is>
      </c>
      <c r="D22" s="33" t="inlineStr">
        <is>
          <t>Status after E5 (v034)</t>
        </is>
      </c>
    </row>
    <row r="23" ht="15" customHeight="1" s="20">
      <c r="A23" s="26" t="inlineStr">
        <is>
          <t>G01</t>
        </is>
      </c>
      <c r="B23" s="26" t="inlineStr">
        <is>
          <t>Clean reproducible build + signed evidence</t>
        </is>
      </c>
      <c r="C23" s="26" t="inlineStr">
        <is>
          <t>ChatGPT V001</t>
        </is>
      </c>
      <c r="D23" s="26" t="inlineStr">
        <is>
          <t>PART — suite reproduced (40/595 at 100%), SBOM + SHA-256 manifest ship and verify. NOT signed: no key held.</t>
        </is>
      </c>
    </row>
    <row r="24" ht="15" customHeight="1" s="20">
      <c r="A24" s="26" t="inlineStr">
        <is>
          <t>G02x</t>
        </is>
      </c>
      <c r="B24" s="26" t="inlineStr">
        <is>
          <t>Live Xero OAuth/API/multi-org/refresh E2E</t>
        </is>
      </c>
      <c r="C24" s="26" t="inlineStr">
        <is>
          <t>ChatGPT V001</t>
        </is>
      </c>
      <c r="D24" s="26" t="inlineStr">
        <is>
          <t>FAIL — blocked on the dev org. Not simulated.</t>
        </is>
      </c>
    </row>
    <row r="25" ht="15" customHeight="1" s="20">
      <c r="A25" s="26" t="inlineStr">
        <is>
          <t>G03</t>
        </is>
      </c>
      <c r="B25" s="26" t="inlineStr">
        <is>
          <t>Durable event ingestion + reconciliation</t>
        </is>
      </c>
      <c r="C25" s="26" t="inlineStr">
        <is>
          <t>ChatGPT V001</t>
        </is>
      </c>
      <c r="D25" s="26" t="inlineStr">
        <is>
          <t>PASS in code — persist-before-ACK, boot recovery, SKIP LOCKED drain, dead-letter (ENV-2, F3-02). Live replay unproven.</t>
        </is>
      </c>
    </row>
    <row r="26" ht="15" customHeight="1" s="20">
      <c r="A26" s="26" t="inlineStr">
        <is>
          <t>G04</t>
        </is>
      </c>
      <c r="B26" s="26" t="inlineStr">
        <is>
          <t>Distributed HA / multi-instance correctness</t>
        </is>
      </c>
      <c r="C26" s="26" t="inlineStr">
        <is>
          <t>ChatGPT V001</t>
        </is>
      </c>
      <c r="D26" s="26" t="inlineStr">
        <is>
          <t>PART — shared rate budget, leader fencing, bounded probes, jitter all shipped and regression-pinned. Chaos against a real 2-node cluster needs an environment.</t>
        </is>
      </c>
    </row>
    <row r="27" ht="15" customHeight="1" s="20">
      <c r="A27" s="26" t="inlineStr">
        <is>
          <t>G05</t>
        </is>
      </c>
      <c r="B27" s="26" t="inlineStr">
        <is>
          <t>Independent security review / pen test</t>
        </is>
      </c>
      <c r="C27" s="26" t="inlineStr">
        <is>
          <t>ChatGPT V001</t>
        </is>
      </c>
      <c r="D27" s="26" t="inlineStr">
        <is>
          <t>FAIL — threat model is the author's. Vendor engagement is Senthil's.</t>
        </is>
      </c>
    </row>
    <row r="28" ht="15" customHeight="1" s="20">
      <c r="A28" s="26" t="inlineStr">
        <is>
          <t>G06</t>
        </is>
      </c>
      <c r="B28" s="26" t="inlineStr">
        <is>
          <t>Live billing/entitlement E2E</t>
        </is>
      </c>
      <c r="C28" s="26" t="inlineStr">
        <is>
          <t>ChatGPT V001</t>
        </is>
      </c>
      <c r="D28" s="26" t="inlineStr">
        <is>
          <t>FAIL — blocked on the partner app.</t>
        </is>
      </c>
    </row>
    <row r="29" ht="15" customHeight="1" s="20">
      <c r="A29" s="26" t="inlineStr">
        <is>
          <t>G07</t>
        </is>
      </c>
      <c r="B29" s="26" t="inlineStr">
        <is>
          <t>Forecast accuracy benchmark</t>
        </is>
      </c>
      <c r="C29" s="26" t="inlineStr">
        <is>
          <t>ChatGPT V001</t>
        </is>
      </c>
      <c r="D29" s="26" t="inlineStr">
        <is>
          <t>FAIL — gated on DEC-F16.</t>
        </is>
      </c>
    </row>
    <row r="30" ht="15" customHeight="1" s="20">
      <c r="A30" s="26" t="inlineStr">
        <is>
          <t>G08</t>
        </is>
      </c>
      <c r="B30" s="26" t="inlineStr">
        <is>
          <t>Collections closed-loop outcome workflow</t>
        </is>
      </c>
      <c r="C30" s="26" t="inlineStr">
        <is>
          <t>ChatGPT V001</t>
        </is>
      </c>
      <c r="D30" s="26" t="inlineStr">
        <is>
          <t>FAIL — gated on DEC-F16.</t>
        </is>
      </c>
    </row>
    <row r="31" ht="15" customHeight="1" s="20">
      <c r="A31" s="26" t="inlineStr">
        <is>
          <t>G09</t>
        </is>
      </c>
      <c r="B31" s="26" t="inlineStr">
        <is>
          <t>500-client accountant portfolio scale</t>
        </is>
      </c>
      <c r="C31" s="26" t="inlineStr">
        <is>
          <t>ChatGPT V001</t>
        </is>
      </c>
      <c r="D31" s="26" t="inlineStr">
        <is>
          <t>PART — 500-client compute drill passes with p95 budgets. No database or platform leg.</t>
        </is>
      </c>
    </row>
    <row r="32" ht="15" customHeight="1" s="20">
      <c r="A32" s="26" t="inlineStr">
        <is>
          <t>G10</t>
        </is>
      </c>
      <c r="B32" s="26" t="inlineStr">
        <is>
          <t>Enterprise admin/tenant/audit controls</t>
        </is>
      </c>
      <c r="C32" s="26" t="inlineStr">
        <is>
          <t>ChatGPT V001</t>
        </is>
      </c>
      <c r="D32" s="26" t="inlineStr">
        <is>
          <t>PART — tenant isolation gated in CI; three roles only, no delegation or impersonation, audit log not tamper-evident (named in THREAT_MODEL.md).</t>
        </is>
      </c>
    </row>
    <row r="33" ht="15" customHeight="1" s="20">
      <c r="A33" s="26" t="inlineStr">
        <is>
          <t>G11</t>
        </is>
      </c>
      <c r="B33" s="26" t="inlineStr">
        <is>
          <t>SLO/observability/incident response</t>
        </is>
      </c>
      <c r="C33" s="26" t="inlineStr">
        <is>
          <t>ChatGPT V001</t>
        </is>
      </c>
      <c r="D33" s="26" t="inlineStr">
        <is>
          <t>PART — health/ready, degradation counters, latency budgets, runbooks. No OpenTelemetry, no on-call rota.</t>
        </is>
      </c>
    </row>
    <row r="34" ht="15" customHeight="1" s="20">
      <c r="A34" s="26" t="inlineStr">
        <is>
          <t>G12</t>
        </is>
      </c>
      <c r="B34" s="26" t="inlineStr">
        <is>
          <t>GDPR + backup/restore/RPO/RTO drill</t>
        </is>
      </c>
      <c r="C34" s="26" t="inlineStr">
        <is>
          <t>ChatGPT V001</t>
        </is>
      </c>
      <c r="D34" s="26" t="inlineStr">
        <is>
          <t>PART — DSAR E2E and retention coherence pinned; restore drill scripted. RPO/RTO need a deployed database.</t>
        </is>
      </c>
    </row>
    <row r="35" ht="15" customHeight="1" s="20">
      <c r="A35" s="26" t="inlineStr">
        <is>
          <t>G13</t>
        </is>
      </c>
      <c r="B35" s="26" t="inlineStr">
        <is>
          <t>WCAG/locale/DST real UI validation</t>
        </is>
      </c>
      <c r="C35" s="26" t="inlineStr">
        <is>
          <t>ChatGPT V001</t>
        </is>
      </c>
      <c r="D35" s="26" t="inlineStr">
        <is>
          <t>PART — DST/locale logic closed (E5-04). Real-UI accessibility needs a deployed UI.</t>
        </is>
      </c>
    </row>
    <row r="36" ht="15" customHeight="1" s="20">
      <c r="A36" s="26" t="inlineStr">
        <is>
          <t>G14</t>
        </is>
      </c>
      <c r="B36" s="26" t="inlineStr">
        <is>
          <t>3 paid pilots + ICP evidence</t>
        </is>
      </c>
      <c r="C36" s="26" t="inlineStr">
        <is>
          <t>ChatGPT V001</t>
        </is>
      </c>
      <c r="D36" s="26" t="inlineStr">
        <is>
          <t>FAIL — blocked on Senthil; conflicts with D13.</t>
        </is>
      </c>
    </row>
    <row r="37" ht="15" customHeight="1" s="20">
      <c r="A37" s="26" t="inlineStr">
        <is>
          <t>G15</t>
        </is>
      </c>
      <c r="B37" s="26" t="inlineStr">
        <is>
          <t>Xero submission/certification pack</t>
        </is>
      </c>
      <c r="C37" s="26" t="inlineStr">
        <is>
          <t>ChatGPT V001</t>
        </is>
      </c>
      <c r="D37" s="26" t="inlineStr">
        <is>
          <t>FAIL — blocked on the dev org. Dry-run now honest (E5-08).</t>
        </is>
      </c>
    </row>
    <row r="38" ht="15" customHeight="1" s="20">
      <c r="A38" s="26" t="inlineStr">
        <is>
          <t>G16</t>
        </is>
      </c>
      <c r="B38" s="26" t="inlineStr">
        <is>
          <t>All BLOCKER/HIGH findings closed</t>
        </is>
      </c>
      <c r="C38" s="26" t="inlineStr">
        <is>
          <t>ChatGPT V001</t>
        </is>
      </c>
      <c r="D38" s="26" t="inlineStr">
        <is>
          <t>FAIL — 3 of 3 BLOCKERs open or reclassified (FC-R002 closed as a doc defect); 4 of 7 HIGHs closed or half closed.</t>
        </is>
      </c>
    </row>
    <row r="39">
      <c r="A39" s="27" t="inlineStr">
        <is>
          <t>G17</t>
        </is>
      </c>
      <c r="B39" s="27" t="inlineStr">
        <is>
          <t>dataPathGate — every headline feature driven from a route/tick with no fixture on the chain; engine caller itself live-fed</t>
        </is>
      </c>
      <c r="C39" s="27" t="inlineStr">
        <is>
          <t>Perplexity V001 (P1-2)</t>
        </is>
      </c>
      <c r="D39" s="27" t="inlineStr">
        <is>
          <t>PASS in sandbox — proved by cutting the assembler (first proof BROKEN, strengthened)</t>
        </is>
      </c>
    </row>
    <row r="40">
      <c r="A40" s="27" t="inlineStr">
        <is>
          <t>G18</t>
        </is>
      </c>
      <c r="B40" s="27" t="inlineStr">
        <is>
          <t>invoiceTypeGate — every /Invoices query typed; mapper asserts per row</t>
        </is>
      </c>
      <c r="C40" s="27" t="inlineStr">
        <is>
          <t>Perplexity V001 (P1-1)</t>
        </is>
      </c>
      <c r="D40" s="27" t="inlineStr">
        <is>
          <t>PASS — proved by removing the Type predicate</t>
        </is>
      </c>
    </row>
    <row r="41">
      <c r="A41" s="27" t="inlineStr">
        <is>
          <t>G19</t>
        </is>
      </c>
      <c r="B41" s="27" t="inlineStr">
        <is>
          <t>currencyGate — no Xero amount reaches the engine except via toBaseCurrency; provenance on every record</t>
        </is>
      </c>
      <c r="C41" s="27" t="inlineStr">
        <is>
          <t>Perplexity V001 (P1-4)</t>
        </is>
      </c>
      <c r="D41" s="27" t="inlineStr">
        <is>
          <t>PASS — proved by summing AmountDue directly</t>
        </is>
      </c>
    </row>
    <row r="42">
      <c r="A42" s="27" t="inlineStr">
        <is>
          <t>G20</t>
        </is>
      </c>
      <c r="B42" s="27" t="inlineStr">
        <is>
          <t>platformLimitsGate — each documented Xero limit enforced on the live call; daily default = Starter tier</t>
        </is>
      </c>
      <c r="C42" s="27" t="inlineStr">
        <is>
          <t>Perplexity V001 (P1-5)</t>
        </is>
      </c>
      <c r="D42" s="27" t="inlineStr">
        <is>
          <t>PASS — proved by restoring 5000</t>
        </is>
      </c>
    </row>
    <row r="43">
      <c r="A43" s="27" t="inlineStr">
        <is>
          <t>G21</t>
        </is>
      </c>
      <c r="B43" s="27" t="inlineStr">
        <is>
          <t>platformDriftGate — platform-assumptions.json sourced, dated, within budget; contradicted entries owned</t>
        </is>
      </c>
      <c r="C43" s="27" t="inlineStr">
        <is>
          <t>Perplexity V001 (P1-6)</t>
        </is>
      </c>
      <c r="D43" s="27" t="inlineStr">
        <is>
          <t>PASS — proved by back-dating PA-11. Will go RED by design ~19 Dec 2026 unless re-verified</t>
        </is>
      </c>
    </row>
    <row r="44">
      <c r="A44" s="27" t="inlineStr">
        <is>
          <t>G22</t>
        </is>
      </c>
      <c r="B44" s="27" t="inlineStr">
        <is>
          <t>forecastRealismGate — no live-path payProbability literal; receivables through the calibrator</t>
        </is>
      </c>
      <c r="C44" s="27" t="inlineStr">
        <is>
          <t>Perplexity V001 (P1-7)</t>
        </is>
      </c>
      <c r="D44" s="27" t="inlineStr">
        <is>
          <t>PASS — proved by restoring payProbability: 1</t>
        </is>
      </c>
    </row>
    <row r="45">
      <c r="A45" s="27" t="inlineStr">
        <is>
          <t>G23</t>
        </is>
      </c>
      <c r="B45" s="27" t="inlineStr">
        <is>
          <t>Method-level reachability + expiring KNOWN_GAPS (reachabilityGate extension)</t>
        </is>
      </c>
      <c r="C45" s="27" t="inlineStr">
        <is>
          <t>Perplexity V001 (P1-3)</t>
        </is>
      </c>
      <c r="D45" s="27" t="inlineStr">
        <is>
          <t>PASS — proved by leaving openInvoices uncalled. R-F14..R-F17 gaps expire 2026-10-31; R-F12 (ui/*) 2026-12-31</t>
        </is>
      </c>
    </row>
    <row r="46">
      <c r="A46" s="27" t="inlineStr">
        <is>
          <t>G24</t>
        </is>
      </c>
      <c r="B46" s="27" t="inlineStr">
        <is>
          <t>Boot composition complete: store driven, worker started, uninstall routed (P1-8)</t>
        </is>
      </c>
      <c r="C46" s="27" t="inlineStr">
        <is>
          <t>E6-F3..F6</t>
        </is>
      </c>
      <c r="D46" s="27" t="inlineStr">
        <is>
          <t>FAIL — not started; the gate expiries above are the forcing function</t>
        </is>
      </c>
    </row>
    <row r="47">
      <c r="A47" s="27" t="inlineStr">
        <is>
          <t>G16 (update)</t>
        </is>
      </c>
      <c r="B47" s="27" t="inlineStr">
        <is>
          <t>All BLOCKER/HIGH findings closed — restated after Perplexity V001</t>
        </is>
      </c>
      <c r="C47" s="27" t="inlineStr">
        <is>
          <t>ChatGPT V001 + Perplexity V001</t>
        </is>
      </c>
      <c r="D47" s="27" t="inlineStr">
        <is>
          <t>FAIL — PPX-01/02 closed in code (sandbox); PPX-03 open (PPX-D4 decided: no deletion this sprint); PPX-04/05/06 closed in code; PPX-07 open (P3-1/P3-2)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cols>
    <col width="9" customWidth="1" style="19" min="1" max="2"/>
    <col width="26" customWidth="1" style="19" min="3" max="3"/>
    <col width="58" customWidth="1" style="19" min="4" max="4"/>
    <col width="64" customWidth="1" style="19" min="5" max="5"/>
    <col width="7" customWidth="1" style="19" min="6" max="6"/>
    <col width="64" customWidth="1" style="19" min="7" max="7"/>
    <col width="42" customWidth="1" style="19" min="8" max="8"/>
    <col width="22" customWidth="1" style="19" min="9" max="9"/>
  </cols>
  <sheetData>
    <row r="1" ht="15" customHeight="1" s="20">
      <c r="A1" s="32" t="inlineStr">
        <is>
          <t>EXTERNAL REVIEW — ChatGPT V001, 13 Sep 2026 20:53. FlowCast's first review by a model that did not build it.</t>
        </is>
      </c>
    </row>
    <row r="2" ht="15" customHeight="1" s="20">
      <c r="A2" s="34" t="inlineStr">
        <is>
          <t>Verdict: market demand YES/conditional · enterprise-grade NO (5.7/10) · NOT market-ready for paid production · HOLD launch. Wave column: 1 = closed or advanced in sprint E5 (v034); 2 = decision-gated on DEC-F16; 3 = blocked on Senthil, cannot be closed in a sandbox and is NOT claimed.</t>
        </is>
      </c>
    </row>
    <row r="4" ht="15" customHeight="1" s="20">
      <c r="A4" s="31" t="inlineStr">
        <is>
          <t>ID</t>
        </is>
      </c>
      <c r="B4" s="31" t="inlineStr">
        <is>
          <t>Sev</t>
        </is>
      </c>
      <c r="C4" s="31" t="inlineStr">
        <is>
          <t>Area</t>
        </is>
      </c>
      <c r="D4" s="31" t="inlineStr">
        <is>
          <t>What the reviewer found</t>
        </is>
      </c>
      <c r="E4" s="31" t="inlineStr">
        <is>
          <t>Our assessment</t>
        </is>
      </c>
      <c r="F4" s="31" t="inlineStr">
        <is>
          <t>Wave</t>
        </is>
      </c>
      <c r="G4" s="31" t="inlineStr">
        <is>
          <t>Action taken in v034</t>
        </is>
      </c>
      <c r="H4" s="31" t="inlineStr">
        <is>
          <t>Status after E5</t>
        </is>
      </c>
      <c r="I4" s="31" t="inlineStr">
        <is>
          <t>Owner</t>
        </is>
      </c>
    </row>
    <row r="5" ht="26.25" customHeight="1" s="20">
      <c r="A5" s="25" t="inlineStr">
        <is>
          <t>FC-R001</t>
        </is>
      </c>
      <c r="B5" s="25" t="inlineStr">
        <is>
          <t>BLOCKER</t>
        </is>
      </c>
      <c r="C5" s="25" t="inlineStr">
        <is>
          <t>Live Xero integration</t>
        </is>
      </c>
      <c r="D5" s="25" t="inlineStr">
        <is>
          <t>Live dev-org install, token exchange, org selection, API calls and refresh/rotation are not proven.</t>
        </is>
      </c>
      <c r="E5" s="25" t="inlineStr">
        <is>
          <t>Accurate and unarguable. Nothing in this package was produced against a real Xero organisation.</t>
        </is>
      </c>
      <c r="F5" s="25" t="inlineStr">
        <is>
          <t>3</t>
        </is>
      </c>
      <c r="G5" s="25" t="inlineStr">
        <is>
          <t>None. Deliberately not simulated — a scripted E2E against a fake would be evidence of nothing.</t>
        </is>
      </c>
      <c r="H5" s="25" t="inlineStr">
        <is>
          <t>OPEN — BLOCKED-PENDING-HUMAN</t>
        </is>
      </c>
      <c r="I5" s="25" t="inlineStr">
        <is>
          <t>Senthil (dev org)</t>
        </is>
      </c>
    </row>
    <row r="6" ht="77.25" customHeight="1" s="20">
      <c r="A6" s="25" t="inlineStr">
        <is>
          <t>FC-R002</t>
        </is>
      </c>
      <c r="B6" s="25" t="inlineStr">
        <is>
          <t>BLOCKER</t>
        </is>
      </c>
      <c r="C6" s="25" t="inlineStr">
        <is>
          <t>Webhook completeness</t>
        </is>
      </c>
      <c r="D6" s="25" t="inlineStr">
        <is>
          <t>Submission dry-run states invoice/payment/bank content webhooks were not coded.</t>
        </is>
      </c>
      <c r="E6" s="25" t="inlineStr">
        <is>
          <t>NOT a code gap. INVOICE, CONTACT and SUBSCRIPTION webhooks shipped in v011 with signature verification, empty-body 200 (VER-001), idempotency and persist-before-ACK (ENV-2). Xero publishes NO bank-transaction webhook — polling is the documented substitute (D-F4). The DOCUMENT was twenty-three releases stale and the reviewer read it correctly.</t>
        </is>
      </c>
      <c r="F6" s="25" t="inlineStr">
        <is>
          <t>1</t>
        </is>
      </c>
      <c r="G6" s="25" t="inlineStr">
        <is>
          <t>Dry-run doc rewritten with the history stated. Sixth gate added so a filled gap cannot keep being published; proved by restoring the original sentence.</t>
        </is>
      </c>
      <c r="H6" s="25" t="inlineStr">
        <is>
          <t>CLOSED as a documentation defect (E5-08a)</t>
        </is>
      </c>
      <c r="I6" s="25" t="inlineStr">
        <is>
          <t>—</t>
        </is>
      </c>
    </row>
    <row r="7" ht="26.25" customHeight="1" s="20">
      <c r="A7" s="25" t="inlineStr">
        <is>
          <t>FC-R003</t>
        </is>
      </c>
      <c r="B7" s="25" t="inlineStr">
        <is>
          <t>BLOCKER</t>
        </is>
      </c>
      <c r="C7" s="25" t="inlineStr">
        <is>
          <t>Commercial validation</t>
        </is>
      </c>
      <c r="D7" s="25" t="inlineStr">
        <is>
          <t>No interviews, design partners or paid pilots; discovery parked.</t>
        </is>
      </c>
      <c r="E7" s="25" t="inlineStr">
        <is>
          <t>Accurate. D13 parked discovery portfolio-wide on 10 Sep and nothing has changed that.</t>
        </is>
      </c>
      <c r="F7" s="25" t="inlineStr">
        <is>
          <t>3</t>
        </is>
      </c>
      <c r="G7" s="25" t="inlineStr">
        <is>
          <t>None buildable. Conflict between D13 and this finding raised as part of DEC-F16.</t>
        </is>
      </c>
      <c r="H7" s="25" t="inlineStr">
        <is>
          <t>OPEN — BLOCKED-PENDING-HUMAN</t>
        </is>
      </c>
      <c r="I7" s="25" t="inlineStr">
        <is>
          <t>Senthil (D13 / DEC-F16)</t>
        </is>
      </c>
    </row>
    <row r="8" ht="39" customHeight="1" s="20">
      <c r="A8" s="25" t="inlineStr">
        <is>
          <t>FC-R004</t>
        </is>
      </c>
      <c r="B8" s="25" t="inlineStr">
        <is>
          <t>HIGH</t>
        </is>
      </c>
      <c r="C8" s="25" t="inlineStr">
        <is>
          <t>Differentiation</t>
        </is>
      </c>
      <c r="D8" s="25" t="inlineStr">
        <is>
          <t>Core forecasting competes with native Xero (30/90/180-day by plan) and mature apps. Reframe around a cash-action workflow.</t>
        </is>
      </c>
      <c r="E8" s="25" t="inlineStr">
        <is>
          <t>Agreed and the most consequential finding in the set. Not a defect — a product decision that only Senthil can take.</t>
        </is>
      </c>
      <c r="F8" s="25" t="inlineStr">
        <is>
          <t>2</t>
        </is>
      </c>
      <c r="G8" s="25" t="inlineStr">
        <is>
          <t>Raised as DEC-F16 with the reviewer's recommended wedge stated verbatim. No code written against it.</t>
        </is>
      </c>
      <c r="H8" s="25" t="inlineStr">
        <is>
          <t>OPEN — DECISION</t>
        </is>
      </c>
      <c r="I8" s="25" t="inlineStr">
        <is>
          <t>Senthil (DEC-F16)</t>
        </is>
      </c>
    </row>
    <row r="9" ht="51.75" customHeight="1" s="20">
      <c r="A9" s="25" t="inlineStr">
        <is>
          <t>FC-R005</t>
        </is>
      </c>
      <c r="B9" s="25" t="inlineStr">
        <is>
          <t>HIGH</t>
        </is>
      </c>
      <c r="C9" s="25" t="inlineStr">
        <is>
          <t>Independent verification</t>
        </is>
      </c>
      <c r="D9" s="25" t="inlineStr">
        <is>
          <t>Same-AI build/review risk; the suite could not be rerun in the review environment (jest absent).</t>
        </is>
      </c>
      <c r="E9" s="25" t="inlineStr">
        <is>
          <t>Both halves accurate. Reproducibility was answerable; independence is not answerable by us.</t>
        </is>
      </c>
      <c r="F9" s="25" t="inlineStr">
        <is>
          <t>1</t>
        </is>
      </c>
      <c r="G9" s="25" t="inlineStr">
        <is>
          <t>Suite independently reproduced from the supplied zip (36/500 at 100%, matching the evidence file). EVIDENCE_MANIFEST.json with per-file SHA-256 and a rollup so coverage evidence can be tied to source. Manifest states plainly it proves integrity, not provenance.</t>
        </is>
      </c>
      <c r="H9" s="25" t="inlineStr">
        <is>
          <t>HALF CLOSED — reproducibility yes, independence no (see DEC-F17)</t>
        </is>
      </c>
      <c r="I9" s="25" t="inlineStr">
        <is>
          <t>Senthil (DEC-F17)</t>
        </is>
      </c>
    </row>
    <row r="10" ht="51.75" customHeight="1" s="20">
      <c r="A10" s="25" t="inlineStr">
        <is>
          <t>FC-R006</t>
        </is>
      </c>
      <c r="B10" s="25" t="inlineStr">
        <is>
          <t>HIGH</t>
        </is>
      </c>
      <c r="C10" s="25" t="inlineStr">
        <is>
          <t>Security assurance</t>
        </is>
      </c>
      <c r="D10" s="25" t="inlineStr">
        <is>
          <t>Good primitives, no threat model or independent pen-test closure.</t>
        </is>
      </c>
      <c r="E10" s="25" t="inlineStr">
        <is>
          <t>Accurate. Primitives existed with nothing saying what they defended against, so a vendor could not scope an engagement.</t>
        </is>
      </c>
      <c r="F10" s="25" t="inlineStr">
        <is>
          <t>1</t>
        </is>
      </c>
      <c r="G10" s="25" t="inlineStr">
        <is>
          <t>THREAT_MODEL.md (STRIDE, 5 trust boundaries, module scope table, and an explicit "Not defended, deliberately" list of six gaps) + SECURITY_POLICY.md. Security headers on every response. Secret-shape scanner in CI. SBOM + npm audit gate.</t>
        </is>
      </c>
      <c r="H10" s="25" t="inlineStr">
        <is>
          <t>ADVANCED — author threat model and gates shipped; external pen test and KMS custody still open</t>
        </is>
      </c>
      <c r="I10" s="25" t="inlineStr">
        <is>
          <t>Senthil (vendor)</t>
        </is>
      </c>
    </row>
    <row r="11" ht="39" customHeight="1" s="20">
      <c r="A11" s="25" t="inlineStr">
        <is>
          <t>FC-R007</t>
        </is>
      </c>
      <c r="B11" s="25" t="inlineStr">
        <is>
          <t>HIGH</t>
        </is>
      </c>
      <c r="C11" s="25" t="inlineStr">
        <is>
          <t>HA / distributed correctness</t>
        </is>
      </c>
      <c r="D11" s="25" t="inlineStr">
        <is>
          <t>Per-process rate limiting and breaker limitations; leader lock and scheduler need multi-instance proof.</t>
        </is>
      </c>
      <c r="E11" s="25" t="inlineStr">
        <is>
          <t>Accurate, and worse than logged. OBS-004 was recorded as a known trade-off; on inspection it meant a blue/green release could drive one org to 60N/min.</t>
        </is>
      </c>
      <c r="F11" s="25" t="inlineStr">
        <is>
          <t>1</t>
        </is>
      </c>
      <c r="G11" s="25" t="inlineStr">
        <is>
          <t>Shared cross-instance org budget in Postgres; full-jitter backoff; bounded half-open probes; monotonic leader fencing token read per tick. 30 regressions, all shaped around TWO instances.</t>
        </is>
      </c>
      <c r="H11" s="25" t="inlineStr">
        <is>
          <t>CLOSED in code — multi-node chaos against a real cluster still needs an environment</t>
        </is>
      </c>
      <c r="I11" s="25" t="inlineStr">
        <is>
          <t>Deployed env</t>
        </is>
      </c>
    </row>
    <row r="12" ht="39" customHeight="1" s="20">
      <c r="A12" s="25" t="inlineStr">
        <is>
          <t>FC-R008</t>
        </is>
      </c>
      <c r="B12" s="25" t="inlineStr">
        <is>
          <t>HIGH</t>
        </is>
      </c>
      <c r="C12" s="25" t="inlineStr">
        <is>
          <t>Time-zone correctness</t>
        </is>
      </c>
      <c r="D12" s="25" t="inlineStr">
        <is>
          <t>Fixed UTC offset with no DST is not acceptable for UK/AU/NZ SLA logic.</t>
        </is>
      </c>
      <c r="E12" s="25" t="inlineStr">
        <is>
          <t>Accurate. Every UK deadline was an hour wrong for roughly half the year, in the direction that MISSES the published promise.</t>
        </is>
      </c>
      <c r="F12" s="25" t="inlineStr">
        <is>
          <t>1</t>
        </is>
      </c>
      <c r="G12" s="25" t="inlineStr">
        <is>
          <t>IANA zones resolved per instant via Node 22 ICU, no new dependency. DST matrices for Europe/London (both transitions), Australia/Sydney, Pacific/Auckland. Found E5-04a in the process.</t>
        </is>
      </c>
      <c r="H12" s="25" t="inlineStr">
        <is>
          <t>CLOSED (OBS-003 closed)</t>
        </is>
      </c>
      <c r="I12" s="25" t="inlineStr">
        <is>
          <t>—</t>
        </is>
      </c>
    </row>
    <row r="13" ht="51.75" customHeight="1" s="20">
      <c r="A13" s="25" t="inlineStr">
        <is>
          <t>FC-R009</t>
        </is>
      </c>
      <c r="B13" s="25" t="inlineStr">
        <is>
          <t>HIGH</t>
        </is>
      </c>
      <c r="C13" s="25" t="inlineStr">
        <is>
          <t>Data protection</t>
        </is>
      </c>
      <c r="D13" s="25" t="inlineStr">
        <is>
          <t>Privacy evidence incomplete for accounting data and tokens.</t>
        </is>
      </c>
      <c r="E13" s="25" t="inlineStr">
        <is>
          <t>Partly accurate. Export/delete and retention existed; the end-to-end proof and the schedule's internal coherence did not.</t>
        </is>
      </c>
      <c r="F13" s="25" t="inlineStr">
        <is>
          <t>1</t>
        </is>
      </c>
      <c r="G13" s="25" t="inlineStr">
        <is>
          <t>DSAR export/delete exercised end to end including the cross-tenant negative and idempotent re-deletion; retention schedule coherence pinned (backups outlive data, audit outlives both); help article and code now share one reader.</t>
        </is>
      </c>
      <c r="H13" s="25" t="inlineStr">
        <is>
          <t>ADVANCED — sandbox half evidenced; DPA/subprocessors and regional handling are business artefacts</t>
        </is>
      </c>
      <c r="I13" s="25" t="inlineStr">
        <is>
          <t>Senthil</t>
        </is>
      </c>
    </row>
    <row r="14" ht="51.75" customHeight="1" s="20">
      <c r="A14" s="25" t="inlineStr">
        <is>
          <t>FC-R010</t>
        </is>
      </c>
      <c r="B14" s="25" t="inlineStr">
        <is>
          <t>HIGH</t>
        </is>
      </c>
      <c r="C14" s="25" t="inlineStr">
        <is>
          <t>Scale evidence</t>
        </is>
      </c>
      <c r="D14" s="25" t="inlineStr">
        <is>
          <t>Unit coverage excellent, realistic portfolio drills pending.</t>
        </is>
      </c>
      <c r="E14" s="25" t="inlineStr">
        <is>
          <t>Accurate. LC-7 rested on a twenty-client drill.</t>
        </is>
      </c>
      <c r="F14" s="25" t="inlineStr">
        <is>
          <t>1</t>
        </is>
      </c>
      <c r="G14" s="25" t="inlineStr">
        <is>
          <t>Deterministic non-uniform practice generator; forecast and portal drilled at 20/100/500 clients over 24 months with p95 budgets and a per-row cost check. Stated in the code and the docs: in-process compute only.</t>
        </is>
      </c>
      <c r="H14" s="25" t="inlineStr">
        <is>
          <t>HALF CLOSED — compute evidenced, database and platform legs need a deployed environment</t>
        </is>
      </c>
      <c r="I14" s="25" t="inlineStr">
        <is>
          <t>Deployed env</t>
        </is>
      </c>
    </row>
    <row r="15" ht="26.25" customHeight="1" s="20">
      <c r="A15" s="25" t="inlineStr">
        <is>
          <t>FC-R011</t>
        </is>
      </c>
      <c r="B15" s="25" t="inlineStr">
        <is>
          <t>HIGH</t>
        </is>
      </c>
      <c r="C15" s="25" t="inlineStr">
        <is>
          <t>Billing truth</t>
        </is>
      </c>
      <c r="D15" s="25" t="inlineStr">
        <is>
          <t>Marketplace subscription config and test purchase remain live-dependent.</t>
        </is>
      </c>
      <c r="E15" s="25" t="inlineStr">
        <is>
          <t>Accurate.</t>
        </is>
      </c>
      <c r="F15" s="25" t="inlineStr">
        <is>
          <t>3</t>
        </is>
      </c>
      <c r="G15" s="25" t="inlineStr">
        <is>
          <t>None. Rail logic is coded and tested; a test purchase cannot be faked.</t>
        </is>
      </c>
      <c r="H15" s="25" t="inlineStr">
        <is>
          <t>OPEN — BLOCKED-PENDING-HUMAN</t>
        </is>
      </c>
      <c r="I15" s="25" t="inlineStr">
        <is>
          <t>Senthil (partner app)</t>
        </is>
      </c>
    </row>
    <row r="16" ht="26.25" customHeight="1" s="20">
      <c r="A16" s="25" t="inlineStr">
        <is>
          <t>FC-R012</t>
        </is>
      </c>
      <c r="B16" s="25" t="inlineStr">
        <is>
          <t>MED</t>
        </is>
      </c>
      <c r="C16" s="25" t="inlineStr">
        <is>
          <t>Forecast intelligence</t>
        </is>
      </c>
      <c r="D16" s="25" t="inlineStr">
        <is>
          <t>Rules/probability engine in a market advertising AI; add confidence, calibration, backtesting before calling it AI.</t>
        </is>
      </c>
      <c r="E16" s="25" t="inlineStr">
        <is>
          <t>Fair. Worth noting we have never called it AI, and should not start.</t>
        </is>
      </c>
      <c r="F16" s="25" t="inlineStr">
        <is>
          <t>2</t>
        </is>
      </c>
      <c r="G16" s="25" t="inlineStr">
        <is>
          <t>None. Gated on DEC-F16 — accuracy work only matters if forecasting stays the wedge.</t>
        </is>
      </c>
      <c r="H16" s="25" t="inlineStr">
        <is>
          <t>OPEN — DECISION</t>
        </is>
      </c>
      <c r="I16" s="25" t="inlineStr">
        <is>
          <t>Senthil (DEC-F16)</t>
        </is>
      </c>
    </row>
    <row r="17" ht="26.25" customHeight="1" s="20">
      <c r="A17" s="25" t="inlineStr">
        <is>
          <t>FC-R013</t>
        </is>
      </c>
      <c r="B17" s="25" t="inlineStr">
        <is>
          <t>MED</t>
        </is>
      </c>
      <c r="C17" s="25" t="inlineStr">
        <is>
          <t>Collections workflow</t>
        </is>
      </c>
      <c r="D17" s="25" t="inlineStr">
        <is>
          <t>Nudges need closed-loop ownership and outcome measurement to beat native Xero reminders.</t>
        </is>
      </c>
      <c r="E17" s="25" t="inlineStr">
        <is>
          <t>Fair, and the strongest candidate if DEC-F16 goes the reviewer's way.</t>
        </is>
      </c>
      <c r="F17" s="25" t="inlineStr">
        <is>
          <t>2</t>
        </is>
      </c>
      <c r="G17" s="25" t="inlineStr">
        <is>
          <t>None. Gated on DEC-F16.</t>
        </is>
      </c>
      <c r="H17" s="25" t="inlineStr">
        <is>
          <t>OPEN — DECISION</t>
        </is>
      </c>
      <c r="I17" s="25" t="inlineStr">
        <is>
          <t>Senthil (DEC-F16)</t>
        </is>
      </c>
    </row>
    <row r="18" ht="39" customHeight="1" s="20">
      <c r="A18" s="25" t="inlineStr">
        <is>
          <t>FC-R014</t>
        </is>
      </c>
      <c r="B18" s="25" t="inlineStr">
        <is>
          <t>MED</t>
        </is>
      </c>
      <c r="C18" s="25" t="inlineStr">
        <is>
          <t>Accountant practice workflow</t>
        </is>
      </c>
      <c r="D18" s="25" t="inlineStr">
        <is>
          <t>Portal is a strategic wedge but must handle portfolio triage at realistic scale.</t>
        </is>
      </c>
      <c r="E18" s="25" t="inlineStr">
        <is>
          <t>Fair. The scale half was answerable now; the workflow half is product depth.</t>
        </is>
      </c>
      <c r="F18" s="25" t="inlineStr">
        <is>
          <t>1 + 2</t>
        </is>
      </c>
      <c r="G18" s="25" t="inlineStr">
        <is>
          <t>Scale half done (500-client triage drill with a reds-first ordering assertion and a check that the book actually contains distress). Bulk actions, delegation, white-label reports gated on DEC-F16.</t>
        </is>
      </c>
      <c r="H18" s="25" t="inlineStr">
        <is>
          <t>PART CLOSED</t>
        </is>
      </c>
      <c r="I18" s="25" t="inlineStr">
        <is>
          <t>Senthil (DEC-F16)</t>
        </is>
      </c>
    </row>
    <row r="19" ht="39" customHeight="1" s="20">
      <c r="A19" s="25" t="inlineStr">
        <is>
          <t>FC-R015</t>
        </is>
      </c>
      <c r="B19" s="25" t="inlineStr">
        <is>
          <t>MED</t>
        </is>
      </c>
      <c r="C19" s="25" t="inlineStr">
        <is>
          <t>Release supply chain</t>
        </is>
      </c>
      <c r="D19" s="25" t="inlineStr">
        <is>
          <t>CI/deploy exist but no provenance or signing evidence.</t>
        </is>
      </c>
      <c r="E19" s="25" t="inlineStr">
        <is>
          <t>Accurate.</t>
        </is>
      </c>
      <c r="F19" s="25" t="inlineStr">
        <is>
          <t>1</t>
        </is>
      </c>
      <c r="G19" s="25" t="inlineStr">
        <is>
          <t>CycloneDX 1.5 SBOM (426 components) from the lockfile with a drift gate; npm audit on shipped dependencies; evidence manifest with SHA-256 rollup.</t>
        </is>
      </c>
      <c r="H19" s="25" t="inlineStr">
        <is>
          <t>HALF CLOSED — no signing key is held, so provenance is NOT claimed</t>
        </is>
      </c>
      <c r="I19" s="25" t="inlineStr">
        <is>
          <t>Senthil (signing key)</t>
        </is>
      </c>
    </row>
    <row r="20" ht="15" customHeight="1" s="20">
      <c r="A20" s="35" t="n"/>
      <c r="B20" s="35" t="n"/>
      <c r="C20" s="35" t="n"/>
      <c r="D20" s="35" t="n"/>
      <c r="E20" s="35" t="n"/>
      <c r="F20" s="35" t="n"/>
      <c r="G20" s="35" t="n"/>
      <c r="H20" s="35" t="n"/>
      <c r="I20" s="35" t="n"/>
    </row>
    <row r="21" ht="370.5" customHeight="1" s="20">
      <c r="A21" s="36" t="inlineStr">
        <is>
          <t>Reviewer sprint plan S34-S50: our Wave 1 covers S34, S37, S38, S44 (partial), S45 (partial), S46 (partial) and S47 (the DST half). S35, S36 (already coded), S39, S48, S49 and S50 are live- or human-blocked. S40, S41, S42 and S43 are the decision-gated block behind DEC-F16.</t>
        </is>
      </c>
      <c r="B21" s="35" t="n"/>
      <c r="C21" s="35" t="n"/>
      <c r="D21" s="35" t="n"/>
      <c r="E21" s="35" t="n"/>
      <c r="F21" s="35" t="n"/>
      <c r="G21" s="35" t="n"/>
      <c r="H21" s="35" t="n"/>
      <c r="I21" s="35" t="n"/>
    </row>
    <row r="22" ht="191.25" customHeight="1" s="20">
      <c r="A22" s="36" t="inlineStr">
        <is>
          <t>Not claimed anywhere in v034: enterprise-grade, production-ready, market-ready, live-tested, certified, or independently verified.</t>
        </is>
      </c>
      <c r="B22" s="35" t="n"/>
      <c r="C22" s="35" t="n"/>
      <c r="D22" s="35" t="n"/>
      <c r="E22" s="35" t="n"/>
      <c r="F22" s="35" t="n"/>
      <c r="G22" s="35" t="n"/>
      <c r="H22" s="35" t="n"/>
      <c r="I22" s="3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9" customWidth="1" style="20" min="1" max="1"/>
    <col width="26" customWidth="1" style="20" min="3" max="3"/>
    <col width="58" customWidth="1" style="20" min="4" max="4"/>
    <col width="64" customWidth="1" style="20" min="5" max="5"/>
    <col width="7" customWidth="1" style="20" min="6" max="6"/>
    <col width="64" customWidth="1" style="20" min="7" max="7"/>
    <col width="42" customWidth="1" style="20" min="8" max="8"/>
    <col width="22" customWidth="1" style="20" min="9" max="9"/>
  </cols>
  <sheetData>
    <row r="1">
      <c r="A1" s="37" t="inlineStr">
        <is>
          <t>EXTERNAL REVIEW — Perplexity V001 (perplexity_review_V001_MoPr03-flowcast_xero_20260916_1918), 16 Sep 2026 19:18. Second independent reviewer over the v035 package (code v0.29.0, workbook v035, tracker v023). Response executed in sprint E6, 20 Sep 2026 10:14.</t>
        </is>
      </c>
    </row>
    <row r="2">
      <c r="A2" s="38" t="inlineStr">
        <is>
          <t>Verdict: category demand YES / this product as positioned NO · enterprise-grade NO (4.9/10) · not launch-ready — three NEW BLOCKER-class code defects on the live path, none caught by the 100% suite, eight proved gates or the first review · documentation mostly trustworthy, one systemic bias (status at story granularity hides "the two halves were never joined").</t>
        </is>
      </c>
    </row>
    <row r="4">
      <c r="A4" s="39" t="inlineStr">
        <is>
          <t>ID</t>
        </is>
      </c>
      <c r="B4" s="39" t="inlineStr">
        <is>
          <t>Sev</t>
        </is>
      </c>
      <c r="C4" s="39" t="inlineStr">
        <is>
          <t>Area</t>
        </is>
      </c>
      <c r="D4" s="39" t="inlineStr">
        <is>
          <t>What the reviewer found</t>
        </is>
      </c>
      <c r="E4" s="39" t="inlineStr">
        <is>
          <t>Our assessment</t>
        </is>
      </c>
      <c r="F4" s="39" t="inlineStr">
        <is>
          <t>Wave</t>
        </is>
      </c>
      <c r="G4" s="39" t="inlineStr">
        <is>
          <t>Action taken in v036 (sprint E6)</t>
        </is>
      </c>
      <c r="H4" s="39" t="inlineStr">
        <is>
          <t>Status after E6</t>
        </is>
      </c>
      <c r="I4" s="39" t="inlineStr">
        <is>
          <t>Owner</t>
        </is>
      </c>
    </row>
    <row r="5">
      <c r="A5" s="40" t="inlineStr">
        <is>
          <t>PPX-01</t>
        </is>
      </c>
      <c r="B5" s="40" t="inlineStr">
        <is>
          <t>BLOCKER</t>
        </is>
      </c>
      <c r="C5" s="40" t="inlineStr">
        <is>
          <t>Forecast data path</t>
        </is>
      </c>
      <c r="D5" s="40" t="inlineStr">
        <is>
          <t>The 13-week forecast — 76 of 399 baseline points — had no production data path: computeForecast called only by previewScenario; openInvoices called nowhere; openingBalance only from demoData/practiceDataset; no /Accounts or bank-balance read; PlannedOutflow had no live source. An inflow list, not a forecast.</t>
        </is>
      </c>
      <c r="E5" s="40" t="inlineStr">
        <is>
          <t>Accurate and the most important finding of either review. Verified: rg openInvoices → one definition, zero callers. The reachability gate could not see a METHOD; scenarioSliders.ts had a file-level pardon. Our own D-F2 honest-status discipline still recorded ST-001..010 as Done because each half was real.</t>
        </is>
      </c>
      <c r="F5" s="40" t="inlineStr">
        <is>
          <t>P1</t>
        </is>
      </c>
      <c r="G5" s="40" t="inlineStr">
        <is>
          <t>P1-2: forecastAssembly.ts joins /Organisation, /Reports/BankSummary, ACCREC, ACCPAY, /RepeatingInvoices and PAID history into a real ForecastInput; wired to GET /api/forecast, POST /api/forecast/scenario, GET /api/forecast/history and a daily tick. dataPathGate. Plus E6-F1: boot never started the scheduler or built the client — fixed.</t>
        </is>
      </c>
      <c r="H5" s="40" t="inlineStr">
        <is>
          <t>CLOSED in code (sandbox). Live proof needs the dev org.</t>
        </is>
      </c>
      <c r="I5" s="40" t="inlineStr">
        <is>
          <t>Claude (done) / Senthil (dev org)</t>
        </is>
      </c>
    </row>
    <row r="6">
      <c r="A6" s="40" t="inlineStr">
        <is>
          <t>PPX-02</t>
        </is>
      </c>
      <c r="B6" s="40" t="inlineStr">
        <is>
          <t>BLOCKER</t>
        </is>
      </c>
      <c r="C6" s="40" t="inlineStr">
        <is>
          <t>Receivables vs bills</t>
        </is>
      </c>
      <c r="D6" s="40" t="inlineStr">
        <is>
          <t>No Type=="ACCREC" filter: supplier bills forecast as cash arriving (always overstates cash) and the nudge engine would email the customer's own suppliers demanding payment.</t>
        </is>
      </c>
      <c r="E6" s="40" t="inlineStr">
        <is>
          <t>Accurate. Verified at xeroApi.ts:163. Customer-facing on the first live install; reputational exposure.</t>
        </is>
      </c>
      <c r="F6" s="40" t="inlineStr">
        <is>
          <t>P1</t>
        </is>
      </c>
      <c r="G6" s="40" t="inlineStr">
        <is>
          <t>P1-1: Type predicate on every query, per-row assertion in mapInvoices, payableBills() as the ACCPAY source, overdueInvoices ACCREC-only. invoiceTypeGate.</t>
        </is>
      </c>
      <c r="H6" s="40" t="inlineStr">
        <is>
          <t>CLOSED in code</t>
        </is>
      </c>
      <c r="I6" s="40" t="inlineStr">
        <is>
          <t>Claude (done)</t>
        </is>
      </c>
    </row>
    <row r="7">
      <c r="A7" s="40" t="inlineStr">
        <is>
          <t>PPX-03</t>
        </is>
      </c>
      <c r="B7" s="40" t="inlineStr">
        <is>
          <t>BLOCKER (commercial)</t>
        </is>
      </c>
      <c r="C7" s="40" t="inlineStr">
        <is>
          <t>Billing rail</t>
        </is>
      </c>
      <c r="D7" s="40" t="inlineStr">
        <is>
          <t>Workbook, LC-6, ST-059 and billing.ts are built on Xero App Store Subscriptions; Xero deprecated XASS effective March 2026 — partners run their own billing, 15% referral fee per qualifying user (65-day rule), plus a connections/API-usage tier cost. Handover item 4 stale; the region-switched rail is dead logic; the financial model applies 15% to all MRR.</t>
        </is>
      </c>
      <c r="E7" s="40" t="inlineStr">
        <is>
          <t>Accurate — and a class we had no gate for: docs were checked against code, never against the platform.</t>
        </is>
      </c>
      <c r="F7" s="40" t="inlineStr">
        <is>
          <t>P1 (gate) / P4 (migration)</t>
        </is>
      </c>
      <c r="G7" s="40" t="inlineStr">
        <is>
          <t>P1-6: docs/platform-assumptions.json + platformDriftGate; PA-11 recorded CONTRADICTED and owned by PPX-D4. Billing code NOT changed (Senthil 10:17: delete nothing). Stripe-only migration logged as P4-1.</t>
        </is>
      </c>
      <c r="H7" s="40" t="inlineStr">
        <is>
          <t>OPEN — gate in place; rail unchanged by instruction</t>
        </is>
      </c>
      <c r="I7" s="40" t="inlineStr">
        <is>
          <t>Senthil (PPX-D4)</t>
        </is>
      </c>
    </row>
    <row r="8">
      <c r="A8" s="40" t="inlineStr">
        <is>
          <t>PPX-04</t>
        </is>
      </c>
      <c r="B8" s="40" t="inlineStr">
        <is>
          <t>HIGH</t>
        </is>
      </c>
      <c r="C8" s="40" t="inlineStr">
        <is>
          <t>Daily rate budget</t>
        </is>
      </c>
      <c r="D8" s="40" t="inlineStr">
        <is>
          <t>XERO_DAILY_LIMIT=5000 hardcoded; Xero's daily allowance is 1,000 for Starter-tier apps and 5,000 only from Core. A new app is Starter — the budget permits 5× the real allowance at the moment of first traction; MAX_PAGES alone can exhaust a day.</t>
        </is>
      </c>
      <c r="E8" s="40" t="inlineStr">
        <is>
          <t>Accurate. VER-002 (11 Sep) read the Core figure as universal.</t>
        </is>
      </c>
      <c r="F8" s="40" t="inlineStr">
        <is>
          <t>P1</t>
        </is>
      </c>
      <c r="G8" s="40" t="inlineStr">
        <is>
          <t>P1-5: default 1,000; XERO_API_TIER config validated at boot; boot builds the limiter from the tier. platformLimitsGate. VER-002 correction appended in its document (original kept).</t>
        </is>
      </c>
      <c r="H8" s="40" t="inlineStr">
        <is>
          <t>CLOSED in code</t>
        </is>
      </c>
      <c r="I8" s="40" t="inlineStr">
        <is>
          <t>Claude (done)</t>
        </is>
      </c>
    </row>
    <row r="9">
      <c r="A9" s="40" t="inlineStr">
        <is>
          <t>PPX-05</t>
        </is>
      </c>
      <c r="B9" s="40" t="inlineStr">
        <is>
          <t>HIGH</t>
        </is>
      </c>
      <c r="C9" s="40" t="inlineStr">
        <is>
          <t>Retry-After / concurrency</t>
        </is>
      </c>
      <c r="D9" s="40" t="inlineStr">
        <is>
          <t>Nothing reads Retry-After, X-Rate-Limit-Problem or the remaining-call headers; the 5-concurrent limit is acknowledged in a comment and enforced nowhere; the app-wide 10,000/min ceiling is unmodelled.</t>
        </is>
      </c>
      <c r="E9" s="40" t="inlineStr">
        <is>
          <t>Accurate. The E5-05 backoff was well built and self-referential.</t>
        </is>
      </c>
      <c r="F9" s="40" t="inlineStr">
        <is>
          <t>P1</t>
        </is>
      </c>
      <c r="G9" s="40" t="inlineStr">
        <is>
          <t>P1-5: fetchHonouringLimits waits on Retry-After (bounded) without tripping the breaker; headers reconcile the local budget (never lowered); TenantConcurrencyGate semaphore; app-wide limiter keyed __app__. FetchLike gains optional response headers.</t>
        </is>
      </c>
      <c r="H9" s="40" t="inlineStr">
        <is>
          <t>CLOSED in code</t>
        </is>
      </c>
      <c r="I9" s="40" t="inlineStr">
        <is>
          <t>Claude (done)</t>
        </is>
      </c>
    </row>
    <row r="10">
      <c r="A10" s="40" t="inlineStr">
        <is>
          <t>PPX-06</t>
        </is>
      </c>
      <c r="B10" s="40" t="inlineStr">
        <is>
          <t>HIGH</t>
        </is>
      </c>
      <c r="C10" s="40" t="inlineStr">
        <is>
          <t>Multi-currency</t>
        </is>
      </c>
      <c r="D10" s="40" t="inlineStr">
        <is>
          <t>Zero hits for CurrencyCode/CurrencyRate; AmountDue (invoice currency) summed into one scalar. Silent-drop class of F-008 in the currency dimension.</t>
        </is>
      </c>
      <c r="E10" s="40" t="inlineStr">
        <is>
          <t>Accurate. Routine for the UK/AU/NZ exporter ICP.</t>
        </is>
      </c>
      <c r="F10" s="40" t="inlineStr">
        <is>
          <t>P1</t>
        </is>
      </c>
      <c r="G10" s="40" t="inlineStr">
        <is>
          <t>P1-4: toBaseCurrency converts (base = foreign / CurrencyRate) or refuses with reason; provenance on every record; response labels its currency; foreign repeating templates refused. currencyGate; three-currency regression.</t>
        </is>
      </c>
      <c r="H10" s="40" t="inlineStr">
        <is>
          <t>CLOSED in code</t>
        </is>
      </c>
      <c r="I10" s="40" t="inlineStr">
        <is>
          <t>Claude (done)</t>
        </is>
      </c>
    </row>
    <row r="11">
      <c r="A11" s="40" t="inlineStr">
        <is>
          <t>PPX-07</t>
        </is>
      </c>
      <c r="B11" s="40" t="inlineStr">
        <is>
          <t>HIGH</t>
        </is>
      </c>
      <c r="C11" s="40" t="inlineStr">
        <is>
          <t>Front end</t>
        </is>
      </c>
      <c r="D11" s="40" t="inlineStr">
        <is>
          <t>256 lines of unstyled components; no bundler, router, state, data fetching, shell or index.html. The gate exempts ui/* as "rendered by the host shell" — the host shell does not exist, so the exemptions are invalid under the gate's own rule. Realistic remaining effort 6–10 sprints, not in the 399-point baseline; the 77/100 Done position is not a credible distance-to-launch measure.</t>
        </is>
      </c>
      <c r="E11" s="40" t="inlineStr">
        <is>
          <t>Accurate. We had said "not enterprise-grade" but not "no application".</t>
        </is>
      </c>
      <c r="F11" s="40" t="inlineStr">
        <is>
          <t>P3</t>
        </is>
      </c>
      <c r="G11" s="40" t="inlineStr">
        <is>
          <t>P1-3: the four ui/* file-level exemptions are gone; each component is a per-export KNOWN_GAP under R-F12 expiring 2026-12-31 — the build will fail on 1 Jan 2027 unless a shell exists. P3-1/P3-2 logged (42 pts).</t>
        </is>
      </c>
      <c r="H11" s="40" t="inlineStr">
        <is>
          <t>OPEN — tracked with an expiry</t>
        </is>
      </c>
      <c r="I11" s="40" t="inlineStr">
        <is>
          <t>Senthil (P3 sequencing)</t>
        </is>
      </c>
    </row>
    <row r="12">
      <c r="A12" s="40" t="inlineStr">
        <is>
          <t>PPX-08</t>
        </is>
      </c>
      <c r="B12" s="40" t="inlineStr">
        <is>
          <t>MEDIUM</t>
        </is>
      </c>
      <c r="C12" s="40" t="inlineStr">
        <is>
          <t>Expected-value modelling</t>
        </is>
      </c>
      <c r="D12" s="40" t="inlineStr">
        <is>
          <t>Live mapper hardcodes payProbability: 1; expected value lands in the due week; weekIndex clamps overdue items to week 1 at 100% face value — the most optimistic treatment of the least collectable money.</t>
        </is>
      </c>
      <c r="E12" s="40" t="inlineStr">
        <is>
          <t>Accurate. The differentiator existed only in fixtures.</t>
        </is>
      </c>
      <c r="F12" s="40" t="inlineStr">
        <is>
          <t>P1</t>
        </is>
      </c>
      <c r="G12" s="40" t="inlineStr">
        <is>
          <t>P1-7: forecastRealism.ts — per-contact lateness calibration from PAID history, tranche spreading, aged-debt decay, forecast_snapshots ledger + accuracyReport; priors labelled on every snapshot. forecastRealismGate.</t>
        </is>
      </c>
      <c r="H12" s="40" t="inlineStr">
        <is>
          <t>CLOSED in code (priors, until history accrues)</t>
        </is>
      </c>
      <c r="I12" s="40" t="inlineStr">
        <is>
          <t>Claude (done)</t>
        </is>
      </c>
    </row>
    <row r="13">
      <c r="A13" s="40" t="inlineStr">
        <is>
          <t>PPX-09</t>
        </is>
      </c>
      <c r="B13" s="40" t="inlineStr">
        <is>
          <t>MEDIUM</t>
        </is>
      </c>
      <c r="C13" s="40" t="inlineStr">
        <is>
          <t>Stale gate exemption</t>
        </is>
      </c>
      <c r="D13" s="40" t="inlineStr">
        <is>
          <t>KNOWN_GAPS still excused rateLimiter.ts:executeWithRateLimit as "no accounting client exists yet" — xeroApi.ts has called it since v020. Exemptions should expire.</t>
        </is>
      </c>
      <c r="E13" s="40" t="inlineStr">
        <is>
          <t>Accurate; the decay path we named, taken.</t>
        </is>
      </c>
      <c r="F13" s="40" t="inlineStr">
        <is>
          <t>P1</t>
        </is>
      </c>
      <c r="G13" s="40" t="inlineStr">
        <is>
          <t>P1-3: entry removed; every KNOWN_GAP now carries an expiry and the gate fails past it.</t>
        </is>
      </c>
      <c r="H13" s="40" t="inlineStr">
        <is>
          <t>CLOSED</t>
        </is>
      </c>
      <c r="I13" s="40" t="inlineStr">
        <is>
          <t>Claude (done)</t>
        </is>
      </c>
    </row>
    <row r="14">
      <c r="A14" s="40" t="inlineStr">
        <is>
          <t>PPX-10</t>
        </is>
      </c>
      <c r="B14" s="40" t="inlineStr">
        <is>
          <t>MEDIUM</t>
        </is>
      </c>
      <c r="C14" s="40" t="inlineStr">
        <is>
          <t>Unit economics</t>
        </is>
      </c>
      <c r="D14" s="40" t="inlineStr">
        <is>
          <t>At $25 ARPU the plan never breaks even in its horizon (659 accounts to cover M1 cost; 315 by M18; −$281k burn; ~$86 ARPU needed). Category prices 2–8× higher for narrower jobs (Satago £45–£80, Paidnice £49, Chaser £199, Float $50–£199).</t>
        </is>
      </c>
      <c r="E14" s="40" t="inlineStr">
        <is>
          <t>Not verified independently this sprint (Financial_Model untouched by instruction). Arithmetic is on the workbook's own assumptions and is recorded for the decision.</t>
        </is>
      </c>
      <c r="F14" s="40" t="inlineStr">
        <is>
          <t>P4</t>
        </is>
      </c>
      <c r="G14" s="40" t="inlineStr">
        <is>
          <t>None — PPX-D3 raised; P4-1 (model rebuild) logged; R-F20.</t>
        </is>
      </c>
      <c r="H14" s="40" t="inlineStr">
        <is>
          <t>OPEN — DECISION</t>
        </is>
      </c>
      <c r="I14" s="40" t="inlineStr">
        <is>
          <t>Senthil (PPX-D3)</t>
        </is>
      </c>
    </row>
    <row r="15">
      <c r="A15" s="40" t="n"/>
      <c r="B15" s="40" t="n"/>
      <c r="C15" s="40" t="n"/>
      <c r="D15" s="40" t="n"/>
      <c r="E15" s="40" t="n"/>
      <c r="F15" s="40" t="n"/>
      <c r="G15" s="40" t="n"/>
      <c r="H15" s="40" t="n"/>
      <c r="I15" s="40" t="n"/>
    </row>
    <row r="16">
      <c r="A16" s="40" t="inlineStr">
        <is>
          <t>Market (§4)</t>
        </is>
      </c>
      <c r="B16" s="40" t="inlineStr">
        <is>
          <t>—</t>
        </is>
      </c>
      <c r="C16" s="40" t="inlineStr">
        <is>
          <t>Demand</t>
        </is>
      </c>
      <c r="D16" s="40" t="inlineStr">
        <is>
          <t>Category demand real (2.65m Xero subscribers, +7% YoY; incumbents 4.68–4.98 with hundreds of reviews). Three strategy-changing facts: Xero closing the gap natively and via the Syft acquisition; Fluidly (same ICP) written off; collections adjacency is where money is charged. Defensible slice: the closed loop forecast shortfall → named debtors → chase → record → prove recovered cash. FlowCast has neither end working live — so wiring, not DEC-F16, is the top of the critical path.</t>
        </is>
      </c>
      <c r="E16" s="40" t="inlineStr">
        <is>
          <t>Accepted. The sequencing inversion is the operative point and is why P1 ran before any positioning work.</t>
        </is>
      </c>
      <c r="F16" s="40" t="inlineStr">
        <is>
          <t>P2/P4</t>
        </is>
      </c>
      <c r="G16" s="40" t="inlineStr">
        <is>
          <t>R-F18 (Fluidly), R-F19 (Syft/absorption) added; P2-1..P2-4 and P4-2 logged. DEC-F16 untouched.</t>
        </is>
      </c>
      <c r="H16" s="40" t="inlineStr">
        <is>
          <t>OPEN — PPX-D2</t>
        </is>
      </c>
      <c r="I16" s="40" t="inlineStr">
        <is>
          <t>Senthil</t>
        </is>
      </c>
    </row>
    <row r="17">
      <c r="A17" s="40" t="inlineStr">
        <is>
          <t>Scorecard (§5)</t>
        </is>
      </c>
      <c r="B17" s="40" t="inlineStr">
        <is>
          <t>—</t>
        </is>
      </c>
      <c r="C17" s="40" t="inlineStr">
        <is>
          <t>Enterprise-grade</t>
        </is>
      </c>
      <c r="D17" s="40" t="inlineStr">
        <is>
          <t>4.9/10 weighted: test discipline 9, verification validity 4, core feature completeness 2, platform integration 4, front end 1, security 6, reliability 6, privacy 6, tenancy/admin 3, observability 4, commercial 2, documentation 8.</t>
        </is>
      </c>
      <c r="E17" s="40" t="inlineStr">
        <is>
          <t>No dispute. Nothing in v035 or v036 claims enterprise-grade, production-ready or market-ready.</t>
        </is>
      </c>
      <c r="F17" s="40" t="inlineStr">
        <is>
          <t>—</t>
        </is>
      </c>
      <c r="G17" s="40" t="inlineStr">
        <is>
          <t>Core feature completeness and platform integration are the two rows P1 moves; front end and tenancy are P3; commercial is P4.</t>
        </is>
      </c>
      <c r="H17" s="40" t="inlineStr">
        <is>
          <t>Recorded</t>
        </is>
      </c>
      <c r="I17" s="40" t="inlineStr">
        <is>
          <t>—</t>
        </is>
      </c>
    </row>
    <row r="18">
      <c r="A18" s="40" t="inlineStr">
        <is>
          <t>Plan (§6)</t>
        </is>
      </c>
      <c r="B18" s="40" t="inlineStr">
        <is>
          <t>—</t>
        </is>
      </c>
      <c r="C18" s="40" t="inlineStr">
        <is>
          <t>Reviewer sprint plan</t>
        </is>
      </c>
      <c r="D18" s="40" t="inlineStr">
        <is>
          <t>Waves P1 (96 pts, unconditional) / P2 (84) / P3 (76) / P4 (24) / P5 (human-blocked). Honest remaining distance ≈ 425 points against the 399-point baseline at 77% Done.</t>
        </is>
      </c>
      <c r="E18" s="40" t="inlineStr">
        <is>
          <t>Adopted as the enhancement-pool structure (D-F8). P1 executed here.</t>
        </is>
      </c>
      <c r="F18" s="40" t="inlineStr">
        <is>
          <t>—</t>
        </is>
      </c>
      <c r="G18" s="40" t="inlineStr">
        <is>
          <t>Workbook v036 Enhancement_Backlog rows P1-1..P4-2 (+ P1-8 from E6-F3..F6).</t>
        </is>
      </c>
      <c r="H18" s="40" t="inlineStr">
        <is>
          <t>P1 delivered; P2/P3/P4 logged</t>
        </is>
      </c>
      <c r="I18" s="40" t="inlineStr">
        <is>
          <t>—</t>
        </is>
      </c>
    </row>
    <row r="19">
      <c r="A19" s="40" t="inlineStr">
        <is>
          <t>Decisions (§7)</t>
        </is>
      </c>
      <c r="B19" s="40" t="inlineStr">
        <is>
          <t>—</t>
        </is>
      </c>
      <c r="C19" s="40" t="inlineStr">
        <is>
          <t>PPX-D1..D6</t>
        </is>
      </c>
      <c r="D19" s="40" t="inlineStr">
        <is>
          <t>D1 re-status; D2 unblock P2; D3 reprice; D4 Stripe-only; D5 PORT-05 sibling audit; D6 DEC-F17 revisited.</t>
        </is>
      </c>
      <c r="E19" s="40" t="inlineStr">
        <is>
          <t>D1 and D4 answered by Senthil 20 Sep 10:17 (keep Done as Done; delete nothing). D2/D3/D5/D6 open.</t>
        </is>
      </c>
      <c r="F19" s="40" t="inlineStr">
        <is>
          <t>—</t>
        </is>
      </c>
      <c r="G19" s="40" t="inlineStr">
        <is>
          <t>Decisions sheet rows PPX-D1..D6.</t>
        </is>
      </c>
      <c r="H19" s="40" t="inlineStr">
        <is>
          <t>See Decisions</t>
        </is>
      </c>
      <c r="I19" s="40" t="inlineStr">
        <is>
          <t>Senthil</t>
        </is>
      </c>
    </row>
    <row r="20">
      <c r="A20" s="40" t="n"/>
      <c r="B20" s="40" t="n"/>
      <c r="C20" s="40" t="n"/>
      <c r="D20" s="40" t="n"/>
      <c r="E20" s="40" t="n"/>
      <c r="F20" s="40" t="n"/>
      <c r="G20" s="40" t="n"/>
      <c r="H20" s="40" t="n"/>
      <c r="I20" s="40" t="n"/>
    </row>
    <row r="21">
      <c r="A21" s="40" t="inlineStr">
        <is>
          <t>Not claimed anywhere in v036: enterprise-grade, production-ready, market-ready, or that PPX-01/02 are proven live. "CLOSED in code" means the sandbox suite and a proved gate; the live sweep (Wave P5) is still the only proof that counts for a listing.</t>
        </is>
      </c>
      <c r="B21" s="40" t="n"/>
      <c r="C21" s="40" t="n"/>
      <c r="D21" s="40" t="n"/>
      <c r="E21" s="40" t="n"/>
      <c r="F21" s="40" t="n"/>
      <c r="G21" s="40" t="n"/>
      <c r="H21" s="40" t="n"/>
      <c r="I21" s="40" t="n"/>
    </row>
  </sheetData>
  <pageMargins left="0.75" right="0.75" top="1" bottom="1" header="0.5" footer="0.5"/>
</worksheet>
</file>

<file path=xl/worksheets/sheet11.xml><?xml version="1.0" encoding="utf-8"?>
<worksheet xmlns="http://schemas.openxmlformats.org/spreadsheetml/2006/main">
  <sheetPr filterMode="0">
    <outlinePr summaryBelow="1" summaryRight="1"/>
    <pageSetUpPr fitToPage="0"/>
  </sheetPr>
  <dimension ref="A1:G8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19" min="1" max="1"/>
    <col width="10" customWidth="1" style="19" min="2" max="2"/>
    <col width="22" customWidth="1" style="19" min="3" max="3"/>
    <col width="60" customWidth="1" style="19" min="4" max="4"/>
    <col width="55" customWidth="1" style="19" min="5" max="5"/>
    <col width="45" customWidth="1" style="19" min="6" max="6"/>
    <col width="20" customWidth="1" style="19" min="7" max="7"/>
  </cols>
  <sheetData>
    <row r="1" ht="15" customHeight="1" s="20">
      <c r="A1" s="32" t="inlineStr">
        <is>
          <t>COLD-REVIEW FINDINGS — pass 1 (v014, 2026-09-11 11:09). Dispositions = Senthil.</t>
        </is>
      </c>
      <c r="B1" s="26" t="n"/>
      <c r="C1" s="26" t="n"/>
      <c r="D1" s="26" t="n"/>
      <c r="E1" s="26" t="n"/>
      <c r="F1" s="26" t="n"/>
      <c r="G1" s="26" t="n"/>
    </row>
    <row r="2" ht="15" customHeight="1" s="20">
      <c r="A2" s="26" t="n"/>
      <c r="B2" s="26" t="n"/>
      <c r="C2" s="26" t="n"/>
      <c r="D2" s="26" t="n"/>
      <c r="E2" s="26" t="n"/>
      <c r="F2" s="26" t="n"/>
      <c r="G2" s="26" t="n"/>
    </row>
    <row r="3" ht="15" customHeight="1" s="20">
      <c r="A3" s="33" t="inlineStr">
        <is>
          <t>ID</t>
        </is>
      </c>
      <c r="B3" s="33" t="inlineStr">
        <is>
          <t>Severity</t>
        </is>
      </c>
      <c r="C3" s="33" t="inlineStr">
        <is>
          <t>Module</t>
        </is>
      </c>
      <c r="D3" s="33" t="inlineStr">
        <is>
          <t>Finding</t>
        </is>
      </c>
      <c r="E3" s="33" t="inlineStr">
        <is>
          <t>Fix applied (v014)</t>
        </is>
      </c>
      <c r="F3" s="33" t="inlineStr">
        <is>
          <t>Regression test</t>
        </is>
      </c>
      <c r="G3" s="33" t="inlineStr">
        <is>
          <t>Disposition (Senthil)</t>
        </is>
      </c>
    </row>
    <row r="4" ht="15" customHeight="1" s="20">
      <c r="A4" s="26" t="inlineStr">
        <is>
          <t>F-001</t>
        </is>
      </c>
      <c r="B4" s="26" t="inlineStr">
        <is>
          <t>Major</t>
        </is>
      </c>
      <c r="C4" s="26" t="inlineStr">
        <is>
          <t>src/webhooks.ts</t>
        </is>
      </c>
      <c r="D4" s="26" t="inlineStr">
        <is>
          <t>Idempotency ledger (seen Set) grew unboundedly for the life of the process — memory leak under sustained webhook volume</t>
        </is>
      </c>
      <c r="E4" s="26" t="inlineStr">
        <is>
          <t>FIFO cap at 10,000 entries (SEEN_LEDGER_CAP) with oldest-first eviction; seenSize() exposed for monitoring</t>
        </is>
      </c>
      <c r="F4" s="26" t="inlineStr">
        <is>
          <t>tests/coldReviewSecurity.test.ts — cap, eviction, replay-after-eviction, newest-still-deduped</t>
        </is>
      </c>
      <c r="G4" s="26" t="inlineStr">
        <is>
          <t>Pending</t>
        </is>
      </c>
    </row>
    <row r="5" ht="15" customHeight="1" s="20">
      <c r="A5" s="26" t="inlineStr">
        <is>
          <t>F-002</t>
        </is>
      </c>
      <c r="B5" s="26" t="inlineStr">
        <is>
          <t>Major</t>
        </is>
      </c>
      <c r="C5" s="26" t="inlineStr">
        <is>
          <t>src/webhooks.ts</t>
        </is>
      </c>
      <c r="D5" s="26" t="inlineStr">
        <is>
          <t>A correctly signed but malformed or shape-invalid body crashed handleDelivery (unguarded JSON.parse + .events.length) — breaking the fast-ack contract on the webhook endpoint</t>
        </is>
      </c>
      <c r="E5" s="26" t="inlineStr">
        <is>
          <t>Guarded parse + shape validation; signed garbage acked 200 with accepted 0 and parseError flag for logging</t>
        </is>
      </c>
      <c r="F5" s="26" t="inlineStr">
        <is>
          <t>signed-garbage / wrong-shape / null-body / well-formed / bad-signature cases</t>
        </is>
      </c>
      <c r="G5" s="26" t="inlineStr">
        <is>
          <t>Pending</t>
        </is>
      </c>
    </row>
    <row r="6" ht="15" customHeight="1" s="20">
      <c r="A6" s="26" t="inlineStr">
        <is>
          <t>F-003</t>
        </is>
      </c>
      <c r="B6" s="26" t="inlineStr">
        <is>
          <t>Minor</t>
        </is>
      </c>
      <c r="C6" s="26" t="inlineStr">
        <is>
          <t>src/rateLimiter.ts</t>
        </is>
      </c>
      <c r="D6" s="26" t="inlineStr">
        <is>
          <t>Tenant entries never evicted once a tenant stopped calling — map grew with every tenant ever seen (stale stamps only pruned on that tenant's next call)</t>
        </is>
      </c>
      <c r="E6" s="26" t="inlineStr">
        <is>
          <t>prune(now) evicts all-stale tenants (scheduler tick); trackedTenants() exposed for capacity dashboards</t>
        </is>
      </c>
      <c r="F6" s="26" t="inlineStr">
        <is>
          <t>eviction of idle tenant while active tenant retained; no-op prune on live map</t>
        </is>
      </c>
      <c r="G6" s="26" t="inlineStr">
        <is>
          <t>Pending</t>
        </is>
      </c>
    </row>
    <row r="7" ht="15" customHeight="1" s="20">
      <c r="A7" s="26" t="inlineStr">
        <is>
          <t>F-004</t>
        </is>
      </c>
      <c r="B7" s="26" t="inlineStr">
        <is>
          <t>Minor</t>
        </is>
      </c>
      <c r="C7" s="26" t="inlineStr">
        <is>
          <t>src/anomalyAlerts.ts</t>
        </is>
      </c>
      <c r="D7" s="26" t="inlineStr">
        <is>
          <t>With 3+ matching txns the pairwise duplicate scan flagged the same txn once per earlier match — duplicate alert noise (3 matches -&gt; 3 alerts instead of 2)</t>
        </is>
      </c>
      <c r="E7" s="26" t="inlineStr">
        <is>
          <t>Each txn flagged at most once, against its first matching predecessor</t>
        </is>
      </c>
      <c r="F7" s="26" t="inlineStr">
        <is>
          <t>three-matching-txns yields exactly 2 anomalies; history+batch dedupe preserved</t>
        </is>
      </c>
      <c r="G7" s="26" t="inlineStr">
        <is>
          <t>Pending</t>
        </is>
      </c>
    </row>
    <row r="8" ht="15" customHeight="1" s="20">
      <c r="A8" s="26" t="inlineStr">
        <is>
          <t>F-005</t>
        </is>
      </c>
      <c r="B8" s="26" t="inlineStr">
        <is>
          <t>Major</t>
        </is>
      </c>
      <c r="C8" s="26" t="inlineStr">
        <is>
          <t>src/billing.ts</t>
        </is>
      </c>
      <c r="D8" s="26" t="inlineStr">
        <is>
          <t>nudgesPerMonth plan limit was unenforceable as shipped: checkLimit took `used` as a parameter but no cycle-scoped counter with per-cycle reset existed anywhere in the codebase (same class as OnCall F-006)</t>
        </is>
      </c>
      <c r="E8" s="26" t="inlineStr">
        <is>
          <t>UsageCycle: freshCycle/rolloverIfDue (boundary-anchored, drift-free)/recordNudge (refuse at cap, 80% upgrade prompt, refused sends not counted); CYCLE_MS=30d sandbox anchor — live rail supplies real cycle dates</t>
        </is>
      </c>
      <c r="F8" s="26" t="inlineStr">
        <is>
          <t>cap refusal, 80% prompt, boundary reset, multi-cycle anchor, refused-send-not-counted</t>
        </is>
      </c>
      <c r="G8" s="26" t="inlineStr">
        <is>
          <t>Pending</t>
        </is>
      </c>
    </row>
    <row r="9" ht="15" customHeight="1" s="20">
      <c r="A9" s="26" t="inlineStr">
        <is>
          <t>F-006</t>
        </is>
      </c>
      <c r="B9" s="26" t="inlineStr">
        <is>
          <t>Major</t>
        </is>
      </c>
      <c r="C9" s="26" t="inlineStr">
        <is>
          <t>src/invoiceNudges.ts</t>
        </is>
      </c>
      <c r="D9" s="26" t="inlineStr">
        <is>
          <t>No per-invoice sent-history: the daily planner re-nudged every overdue invoice at its current tier on every run — customers chased daily at the same tier until escalation</t>
        </is>
      </c>
      <c r="E9" s="26" t="inlineStr">
        <is>
          <t>SentHistory (invoiceId:type): tier fires once; test-mode not recorded; failed sends not recorded (retried); clearInvoice on payment; sendNudges records on success</t>
        </is>
      </c>
      <c r="F9" s="26" t="inlineStr">
        <is>
          <t>tests/coldReviewPass2.test.ts — once-only, escalation, test-mode, flaky-retry, failure-retry, clear-per-invoice</t>
        </is>
      </c>
      <c r="G9" s="26" t="inlineStr">
        <is>
          <t>Pending</t>
        </is>
      </c>
    </row>
    <row r="10" ht="15" customHeight="1" s="20">
      <c r="A10" s="26" t="inlineStr">
        <is>
          <t>F-007</t>
        </is>
      </c>
      <c r="B10" s="26" t="inlineStr">
        <is>
          <t>Major</t>
        </is>
      </c>
      <c r="C10" s="26" t="inlineStr">
        <is>
          <t>src/installFlow.ts</t>
        </is>
      </c>
      <c r="D10" s="26" t="inlineStr">
        <is>
          <t>purgeExpired marked accounts purged but never deleted the record — tenant data retained in memory indefinitely after the 30-day deletion deadline (contradicts ST-052 deletion policy); map grew unboundedly</t>
        </is>
      </c>
      <c r="E10" s="26" t="inlineStr">
        <is>
          <t>Purge deletes the record (idempotent); unproducible purged status removed from Account type; one pre-existing assertion updated accordingly</t>
        </is>
      </c>
      <c r="F10" s="26" t="inlineStr">
        <is>
          <t>record undefined after purge; idempotent second run; clean post-purge reinstall</t>
        </is>
      </c>
      <c r="G10" s="26" t="inlineStr">
        <is>
          <t>Pending</t>
        </is>
      </c>
    </row>
    <row r="11" ht="15" customHeight="1" s="20">
      <c r="A11" s="26" t="inlineStr">
        <is>
          <t>F-008</t>
        </is>
      </c>
      <c r="B11" s="26" t="inlineStr">
        <is>
          <t>Major</t>
        </is>
      </c>
      <c r="C11" s="26" t="inlineStr">
        <is>
          <t>src/forecastEngine.ts</t>
        </is>
      </c>
      <c r="D11" s="26" t="inlineStr">
        <is>
          <t>Non-finite dueDate -&gt; weekIndex NaN -&gt; inflows[NaN] += silently dropped the item from all 13 weeks with no error — forecast quietly wrong on bad platform data (opposite of ST-004 contract). Sub-finding F-008b (Minor): light computed on unrounded balance vs rounded displayed figure</t>
        </is>
      </c>
      <c r="E11" s="26" t="inlineStr">
        <is>
          <t>validate() checks weekStart + all dueDates finite with named FORECAST_INVALID errors; lightFor now takes the rounded (displayed) closing</t>
        </is>
      </c>
      <c r="F11" s="26" t="inlineStr">
        <is>
          <t>NaN/Infinity invoice, outflow, weekStart all throw; light-display consistency property</t>
        </is>
      </c>
      <c r="G11" s="26" t="inlineStr">
        <is>
          <t>Pending</t>
        </is>
      </c>
    </row>
    <row r="12" ht="15" customHeight="1" s="20">
      <c r="A12" s="26" t="inlineStr">
        <is>
          <t>F-009</t>
        </is>
      </c>
      <c r="B12" s="26" t="inlineStr">
        <is>
          <t>Major</t>
        </is>
      </c>
      <c r="C12" s="26" t="inlineStr">
        <is>
          <t>src/scenarioSliders.ts</t>
        </is>
      </c>
      <c r="D12" s="26" t="inlineStr">
        <is>
          <t>extraMonthlyCost emitted 3 monthly occurrences (days 0/28/56) but the 13-week horizon spans 91 days — the 4th (day 84, week 13) was omitted; recurring-hire scenarios optimistically overstated week-13 cash by one month of the cost</t>
        </is>
      </c>
      <c r="E12" s="26" t="inlineStr">
        <is>
          <t>4 occurrences (days 0/28/56/84); pre-existing 3-occurrence assertion updated (it encoded the defect)</t>
        </is>
      </c>
      <c r="F12" s="26" t="inlineStr">
        <is>
          <t>4 lines emitted; week-13 closing = -4x cost; week 12 unchanged</t>
        </is>
      </c>
      <c r="G12" s="26" t="inlineStr">
        <is>
          <t>Pending</t>
        </is>
      </c>
    </row>
    <row r="13" ht="15" customHeight="1" s="20">
      <c r="A13" s="26" t="inlineStr">
        <is>
          <t>OBS-001</t>
        </is>
      </c>
      <c r="B13" s="26" t="inlineStr">
        <is>
          <t>Observation</t>
        </is>
      </c>
      <c r="C13" s="26" t="inlineStr">
        <is>
          <t>src/compliance.ts</t>
        </is>
      </c>
      <c r="D13" s="26" t="inlineStr">
        <is>
          <t>backoffDelayMs has no jitter — synchronized retry herds possible when many tenants recover from a shared outage simultaneously</t>
        </is>
      </c>
      <c r="E13" s="26" t="inlineStr">
        <is>
          <t>No fix this pass: adding jitter changes timing-deterministic test contracts; live APM data should size it</t>
        </is>
      </c>
      <c r="F13" s="26" t="inlineStr">
        <is>
          <t>—</t>
        </is>
      </c>
      <c r="G13" s="26" t="inlineStr">
        <is>
          <t>Pending</t>
        </is>
      </c>
    </row>
    <row r="14" ht="15" customHeight="1" s="20">
      <c r="A14" s="26" t="inlineStr">
        <is>
          <t>OBS-002</t>
        </is>
      </c>
      <c r="B14" s="26" t="inlineStr">
        <is>
          <t>Observation</t>
        </is>
      </c>
      <c r="C14" s="26" t="inlineStr">
        <is>
          <t>src/compliance.ts</t>
        </is>
      </c>
      <c r="D14" s="26" t="inlineStr">
        <is>
          <t>CircuitBreaker half_open admits unlimited concurrent probe requests (single-probe half-open is the stricter pattern)</t>
        </is>
      </c>
      <c r="E14" s="26" t="inlineStr">
        <is>
          <t>No fix this pass: standard simple-breaker trade-off; acceptable at launch traffic</t>
        </is>
      </c>
      <c r="F14" s="26" t="inlineStr">
        <is>
          <t>—</t>
        </is>
      </c>
      <c r="G14" s="26" t="inlineStr">
        <is>
          <t>Pending</t>
        </is>
      </c>
    </row>
    <row r="15" ht="15" customHeight="1" s="20">
      <c r="A15" s="26" t="inlineStr">
        <is>
          <t>VER-001</t>
        </is>
      </c>
      <c r="B15" s="26" t="inlineStr">
        <is>
          <t>Critical (live)</t>
        </is>
      </c>
      <c r="C15" s="26" t="inlineStr">
        <is>
          <t>src/server.ts</t>
        </is>
      </c>
      <c r="D15" s="26" t="inlineStr">
        <is>
          <t>200 webhook response carried a JSON body — Xero rejects webhook responses containing a body; intent-to-receive would have failed on the live sweep</t>
        </is>
      </c>
      <c r="E15" s="26" t="inlineStr">
        <is>
          <t>Empty body on 200 and 401; accepted count moved to /health telemetry</t>
        </is>
      </c>
      <c r="F15" s="26" t="inlineStr">
        <is>
          <t>tests/externalVerification.test.ts — all four response paths empty-body</t>
        </is>
      </c>
      <c r="G15" s="26" t="inlineStr">
        <is>
          <t>Pending</t>
        </is>
      </c>
    </row>
    <row r="16" ht="15" customHeight="1" s="20">
      <c r="A16" s="26" t="inlineStr">
        <is>
          <t>VER-002</t>
        </is>
      </c>
      <c r="B16" s="26" t="inlineStr">
        <is>
          <t>Major</t>
        </is>
      </c>
      <c r="C16" s="26" t="inlineStr">
        <is>
          <t>src/rateLimiter.ts</t>
        </is>
      </c>
      <c r="D16" s="26" t="inlineStr">
        <is>
          <t>Daily 5,000 calls/org Xero limit untracked (only 60/min paced) — busy day hits the 429 wall blind</t>
        </is>
      </c>
      <c r="E16" s="26" t="inlineStr">
        <is>
          <t>UTC-day budget, day-boundary retry, dailyUsed telemetry, stale-bucket prune</t>
        </is>
      </c>
      <c r="F16" s="26" t="inlineStr">
        <is>
          <t>daily cap, reset, refusal-not-counted, prune</t>
        </is>
      </c>
      <c r="G16" s="26" t="inlineStr">
        <is>
          <t>Pending</t>
        </is>
      </c>
    </row>
    <row r="17" ht="15" customHeight="1" s="20">
      <c r="A17" s="26" t="inlineStr">
        <is>
          <t>VER-003</t>
        </is>
      </c>
      <c r="B17" s="26" t="inlineStr">
        <is>
          <t>Major</t>
        </is>
      </c>
      <c r="C17" s="26" t="inlineStr">
        <is>
          <t>src/compliance.ts</t>
        </is>
      </c>
      <c r="D17" s="26" t="inlineStr">
        <is>
          <t>Scope audit had no justification home for offline_access — flagged our own dev-org guide as unjustified</t>
        </is>
      </c>
      <c r="E17" s="26" t="inlineStr">
        <is>
          <t>PLATFORM_SCOPES always required in audit</t>
        </is>
      </c>
      <c r="F17" s="26" t="inlineStr">
        <is>
          <t>guide round-trip, missing detection, payroll still flagged</t>
        </is>
      </c>
      <c r="G17" s="26" t="inlineStr">
        <is>
          <t>Pending</t>
        </is>
      </c>
    </row>
    <row r="18" ht="15" customHeight="1" s="20">
      <c r="A18" s="26" t="inlineStr">
        <is>
          <t>GAP-1</t>
        </is>
      </c>
      <c r="B18" s="26" t="inlineStr">
        <is>
          <t>Major</t>
        </is>
      </c>
      <c r="C18" s="26" t="inlineStr">
        <is>
          <t>.github/workflows/ci.yml</t>
        </is>
      </c>
      <c r="D18" s="26" t="inlineStr">
        <is>
          <t>Sweep step 10 referenced a CI workflow that did not exist</t>
        </is>
      </c>
      <c r="E18" s="26" t="inlineStr">
        <is>
          <t>Workflow built: tsc + jest 100% gate + zero-pragma check, Node 22</t>
        </is>
      </c>
      <c r="F18" s="26" t="inlineStr">
        <is>
          <t>YAML parse + local gate equivalence</t>
        </is>
      </c>
      <c r="G18" s="26" t="inlineStr">
        <is>
          <t>Pending</t>
        </is>
      </c>
    </row>
    <row r="19" ht="15" customHeight="1" s="20">
      <c r="A19" s="26" t="inlineStr">
        <is>
          <t>GAP-2</t>
        </is>
      </c>
      <c r="B19" s="26" t="inlineStr">
        <is>
          <t>Major</t>
        </is>
      </c>
      <c r="C19" s="26" t="inlineStr">
        <is>
          <t>.github/workflows/deploy.yml + scripts/</t>
        </is>
      </c>
      <c r="D19" s="26" t="inlineStr">
        <is>
          <t>Sweep step 12 referenced blue/green swap + rollback with no source anywhere</t>
        </is>
      </c>
      <c r="E19" s="26" t="inlineStr">
        <is>
          <t>Approval-gated deploy workflow + 3 slot scripts; rollback = router re-point</t>
        </is>
      </c>
      <c r="F19" s="26" t="inlineStr">
        <is>
          <t>YAML + bash -n parse</t>
        </is>
      </c>
      <c r="G19" s="26" t="inlineStr">
        <is>
          <t>Pending</t>
        </is>
      </c>
    </row>
    <row r="20" ht="15" customHeight="1" s="20">
      <c r="A20" s="26" t="inlineStr">
        <is>
          <t>GAP-F1</t>
        </is>
      </c>
      <c r="B20" s="26" t="inlineStr">
        <is>
          <t>Critical</t>
        </is>
      </c>
      <c r="C20" s="26" t="inlineStr">
        <is>
          <t>src/httpServer.ts, src/main.ts, package.json</t>
        </is>
      </c>
      <c r="D20" s="26" t="inlineStr">
        <is>
          <t>No runnable application existed — pure handlers + a comment, no build, no start script, while deploy scripts/30-min guide/live-sweep step 1 all assumed a bootable app</t>
        </is>
      </c>
      <c r="E20" s="26" t="inlineStr">
        <is>
          <t>Real HTTP server with raw-body capture + size limit + no-hang error path; bootFromEnv; npm run build/start; verified by booting the artifact and curling /health</t>
        </is>
      </c>
      <c r="F20" s="26" t="inlineStr">
        <is>
          <t>tests/integrationAudit.test.ts — socket-level health, webhook, 401, 413, 404, boot</t>
        </is>
      </c>
      <c r="G20" s="26" t="inlineStr">
        <is>
          <t>Pending</t>
        </is>
      </c>
    </row>
    <row r="21" ht="15" customHeight="1" s="20">
      <c r="A21" s="26" t="inlineStr">
        <is>
          <t>INT-F1</t>
        </is>
      </c>
      <c r="B21" s="26" t="inlineStr">
        <is>
          <t>Critical</t>
        </is>
      </c>
      <c r="C21" s="26" t="inlineStr">
        <is>
          <t>src/app.ts (billing.ts fix from v014)</t>
        </is>
      </c>
      <c r="D21" s="26" t="inlineStr">
        <is>
          <t>The v014 F-005 plan-limit fix had NO callers — nudgesPerMonth still unenforceable in the running product</t>
        </is>
      </c>
      <c r="E21" s="26" t="inlineStr">
        <is>
          <t>sendNudgeBatch records usage, refuses at cap before sending, returns slot on failure</t>
        </is>
      </c>
      <c r="F21" s="26" t="inlineStr">
        <is>
          <t>cap/sender-not-called/slot-return/cycle-reset</t>
        </is>
      </c>
      <c r="G21" s="26" t="inlineStr">
        <is>
          <t>Pending</t>
        </is>
      </c>
    </row>
    <row r="22" ht="15" customHeight="1" s="20">
      <c r="A22" s="26" t="inlineStr">
        <is>
          <t>INT-F2</t>
        </is>
      </c>
      <c r="B22" s="26" t="inlineStr">
        <is>
          <t>Critical</t>
        </is>
      </c>
      <c r="C22" s="26" t="inlineStr">
        <is>
          <t>src/installFlow.ts (security.ts from v014)</t>
        </is>
      </c>
      <c r="D22" s="26" t="inlineStr">
        <is>
          <t>ST-066 sealing had no callers — refresh tokens plaintext while the security pack claimed sealing as certification evidence</t>
        </is>
      </c>
      <c r="E22" s="26" t="inlineStr">
        <is>
          <t>Vault-backed sealing at rest, open only for rotation, re-seal rotated; sealsAtRest() truthful; dated addendum in SECURITY_EVIDENCE.md</t>
        </is>
      </c>
      <c r="F22" s="26" t="inlineStr">
        <is>
          <t>no-plaintext bytes, rotation, reinstall, no-vault signal</t>
        </is>
      </c>
      <c r="G22" s="26" t="inlineStr">
        <is>
          <t>Pending</t>
        </is>
      </c>
    </row>
    <row r="23" ht="15" customHeight="1" s="20">
      <c r="A23" s="26" t="inlineStr">
        <is>
          <t>INT-F3</t>
        </is>
      </c>
      <c r="B23" s="26" t="inlineStr">
        <is>
          <t>Major</t>
        </is>
      </c>
      <c r="C23" s="26" t="inlineStr">
        <is>
          <t>src/app.ts (permissions.ts)</t>
        </is>
      </c>
      <c r="D23" s="26" t="inlineStr">
        <is>
          <t>Role matrix guarded no entry point — a member could mutate portal clients</t>
        </is>
      </c>
      <c r="E23" s="26" t="inlineStr">
        <is>
          <t>requirePermission on role-gated entry points; all attempts audited</t>
        </is>
      </c>
      <c r="F23" s="26" t="inlineStr">
        <is>
          <t>member denied, owner allowed, audit records both</t>
        </is>
      </c>
      <c r="G23" s="26" t="inlineStr">
        <is>
          <t>Pending</t>
        </is>
      </c>
    </row>
    <row r="24" ht="15" customHeight="1" s="20">
      <c r="A24" s="26" t="inlineStr">
        <is>
          <t>INT-F5</t>
        </is>
      </c>
      <c r="B24" s="26" t="inlineStr">
        <is>
          <t>Major</t>
        </is>
      </c>
      <c r="C24" s="26" t="inlineStr">
        <is>
          <t>src/app.ts (billing.ts)</t>
        </is>
      </c>
      <c r="D24" s="26" t="inlineStr">
        <is>
          <t>read_only after grace blocked nothing, though the pricing page promises read-only mode</t>
        </is>
      </c>
      <c r="E24" s="26" t="inlineStr">
        <is>
          <t>requireWrite on all mutations; reads stay open by design</t>
        </is>
      </c>
      <c r="F24" s="26" t="inlineStr">
        <is>
          <t>grace writes, read-only refusal, recovery restores</t>
        </is>
      </c>
      <c r="G24" s="26" t="inlineStr">
        <is>
          <t>Pending</t>
        </is>
      </c>
    </row>
    <row r="25" ht="15" customHeight="1" s="20">
      <c r="A25" s="26" t="inlineStr">
        <is>
          <t>F3-01</t>
        </is>
      </c>
      <c r="B25" s="26" t="inlineStr">
        <is>
          <t>Critical</t>
        </is>
      </c>
      <c r="C25" s="26" t="inlineStr">
        <is>
          <t>src/oauth.ts, src/server.ts</t>
        </is>
      </c>
      <c r="D25" s="26" t="inlineStr">
        <is>
          <t>No OAuth install routes existed though config, the dev-org guide and live-sweep step 2 all require them — install would 404</t>
        </is>
      </c>
      <c r="E25" s="26" t="inlineStr">
        <is>
          <t>/auth/start + /auth/callback via routeAsync, real 302 Location</t>
        </is>
      </c>
      <c r="F25" s="26" t="inlineStr">
        <is>
          <t>pass3 suite incl. full socket round trip</t>
        </is>
      </c>
      <c r="G25" s="26" t="inlineStr">
        <is>
          <t>Pending</t>
        </is>
      </c>
    </row>
    <row r="26" ht="15" customHeight="1" s="20">
      <c r="A26" s="26" t="inlineStr">
        <is>
          <t>F3-02</t>
        </is>
      </c>
      <c r="B26" s="26" t="inlineStr">
        <is>
          <t>Critical</t>
        </is>
      </c>
      <c r="C26" s="26" t="inlineStr">
        <is>
          <t>src/worker.ts</t>
        </is>
      </c>
      <c r="D26" s="26" t="inlineStr">
        <is>
          <t>processQueue had no caller — accepted webhooks ACKed 200 and evaporated; queue unbounded</t>
        </is>
      </c>
      <c r="E26" s="26" t="inlineStr">
        <is>
          <t>Bounded enqueue with shed counter, drainOnce, non-overlapping unref-ed worker loop</t>
        </is>
      </c>
      <c r="F26" s="26" t="inlineStr">
        <is>
          <t>drain/actions, paid-cancels-nudges, ceiling shed, batch bound, no overlap</t>
        </is>
      </c>
      <c r="G26" s="26" t="inlineStr">
        <is>
          <t>Pending</t>
        </is>
      </c>
    </row>
    <row r="27" ht="15" customHeight="1" s="20">
      <c r="A27" s="26" t="inlineStr">
        <is>
          <t>F3-03</t>
        </is>
      </c>
      <c r="B27" s="26" t="inlineStr">
        <is>
          <t>Major</t>
        </is>
      </c>
      <c r="C27" s="26" t="inlineStr">
        <is>
          <t>src/oauth.ts</t>
        </is>
      </c>
      <c r="D27" s="26" t="inlineStr">
        <is>
          <t>Callback without CSRF state allows install fixation</t>
        </is>
      </c>
      <c r="E27" s="26" t="inlineStr">
        <is>
          <t>Single-use 10-min FIFO-capped state store, constant-time compare, 403 on bad state</t>
        </is>
      </c>
      <c r="F27" s="26" t="inlineStr">
        <is>
          <t>replay, expiry, cap, prune, forged state</t>
        </is>
      </c>
      <c r="G27" s="26" t="inlineStr">
        <is>
          <t>Pending</t>
        </is>
      </c>
    </row>
    <row r="28" ht="15" customHeight="1" s="20">
      <c r="A28" s="26" t="inlineStr">
        <is>
          <t>F3-04</t>
        </is>
      </c>
      <c r="B28" s="26" t="inlineStr">
        <is>
          <t>Major</t>
        </is>
      </c>
      <c r="C28" s="26" t="inlineStr">
        <is>
          <t>src/server.ts</t>
        </is>
      </c>
      <c r="D28" s="26" t="inlineStr">
        <is>
          <t>Public /health returned exact release string and live queue depth — free reconnaissance</t>
        </is>
      </c>
      <c r="E28" s="26" t="inlineStr">
        <is>
          <t>Liveness public; detail behind x-flowcast-operator; verify-slot.sh updated</t>
        </is>
      </c>
      <c r="F28" s="26" t="inlineStr">
        <is>
          <t>public vs operator payloads over the wire</t>
        </is>
      </c>
      <c r="G28" s="26" t="inlineStr">
        <is>
          <t>Pending</t>
        </is>
      </c>
    </row>
    <row r="29" ht="15" customHeight="1" s="20">
      <c r="A29" s="26" t="inlineStr">
        <is>
          <t>GAP-F2</t>
        </is>
      </c>
      <c r="B29" s="26" t="inlineStr">
        <is>
          <t>Critical</t>
        </is>
      </c>
      <c r="C29" s="26" t="inlineStr">
        <is>
          <t>src/scheduler.ts</t>
        </is>
      </c>
      <c r="D29" s="26" t="inlineStr">
        <is>
          <t>No scheduler existed — daily nudge cycle, bank polling, dunning emails, trial expiry, 30-day purge and both eviction paths had no driver</t>
        </is>
      </c>
      <c r="E29" s="26" t="inlineStr">
        <is>
          <t>scheduler.ts with per-tenant error isolation; all jobs routed through the app gates</t>
        </is>
      </c>
      <c r="F29" s="26" t="inlineStr">
        <is>
          <t>tests/schedulerXeroClient.test.ts — 16 regressions</t>
        </is>
      </c>
      <c r="G29" s="26" t="inlineStr">
        <is>
          <t>Pending</t>
        </is>
      </c>
    </row>
    <row r="30" ht="15" customHeight="1" s="20">
      <c r="A30" s="26" t="inlineStr">
        <is>
          <t>R-F10a</t>
        </is>
      </c>
      <c r="B30" s="26" t="inlineStr">
        <is>
          <t>Major</t>
        </is>
      </c>
      <c r="C30" s="26" t="inlineStr">
        <is>
          <t>src/httpServer.ts</t>
        </is>
      </c>
      <c r="D30" s="26" t="inlineStr">
        <is>
          <t>requireTls existed since v014 with no caller — production could serve OAuth callbacks over plain http</t>
        </is>
      </c>
      <c r="E30" s="26" t="inlineStr">
        <is>
          <t>Enforced at boot in buildContextFromEnv</t>
        </is>
      </c>
      <c r="F30" s="26" t="inlineStr">
        <is>
          <t>production plain-http boot throws TLS_REQUIRED</t>
        </is>
      </c>
      <c r="G30" s="26" t="inlineStr">
        <is>
          <t>Pending</t>
        </is>
      </c>
    </row>
    <row r="31" ht="15" customHeight="1" s="20">
      <c r="A31" s="26" t="inlineStr">
        <is>
          <t>DEAD-1</t>
        </is>
      </c>
      <c r="B31" s="26" t="inlineStr">
        <is>
          <t>Minor</t>
        </is>
      </c>
      <c r="C31" s="26" t="inlineStr">
        <is>
          <t>src/oauth.ts, src/security.ts</t>
        </is>
      </c>
      <c r="D31" s="26" t="inlineStr">
        <is>
          <t>statesMatch, sealToken, openToken written in earlier sittings and never used</t>
        </is>
      </c>
      <c r="E31" s="26" t="inlineStr">
        <is>
          <t>Deleted with their tests rather than added to an exemption list</t>
        </is>
      </c>
      <c r="F31" s="26" t="inlineStr">
        <is>
          <t>n/a — removal verified by the gate</t>
        </is>
      </c>
      <c r="G31" s="26" t="inlineStr">
        <is>
          <t>Pending</t>
        </is>
      </c>
    </row>
    <row r="32" ht="15" customHeight="1" s="20">
      <c r="A32" s="26" t="inlineStr">
        <is>
          <t>F4-01</t>
        </is>
      </c>
      <c r="B32" s="26" t="inlineStr">
        <is>
          <t>Critical</t>
        </is>
      </c>
      <c r="C32" s="26" t="inlineStr">
        <is>
          <t>src/scheduler.ts</t>
        </is>
      </c>
      <c r="D32" s="26" t="inlineStr">
        <is>
          <t>One shared PollState across the tenant loop — only the first org was ever bank-polled; every other customer had no anomaly alerts</t>
        </is>
      </c>
      <c r="E32" s="26" t="inlineStr">
        <is>
          <t>Per-tenant PollStates map; unconfigured tenants skipped without abandoning others</t>
        </is>
      </c>
      <c r="F32" s="26" t="inlineStr">
        <is>
          <t>tests/coldReviewPass4.test.ts — proved against the reintroduced defect</t>
        </is>
      </c>
      <c r="G32" s="26" t="inlineStr">
        <is>
          <t>Pending</t>
        </is>
      </c>
    </row>
    <row r="33" ht="15" customHeight="1" s="20">
      <c r="A33" s="26" t="inlineStr">
        <is>
          <t>F4-02</t>
        </is>
      </c>
      <c r="B33" s="26" t="inlineStr">
        <is>
          <t>Major</t>
        </is>
      </c>
      <c r="C33" s="26" t="inlineStr">
        <is>
          <t>src/scheduler.ts</t>
        </is>
      </c>
      <c r="D33" s="26" t="inlineStr">
        <is>
          <t>Dunning counter advanced by mutating the object tenants() returned; a store-backed getter would lose it and resend hourly forever</t>
        </is>
      </c>
      <c r="E33" s="26" t="inlineStr">
        <is>
          <t>Explicit recordDunningEmailSent persistence callback</t>
        </is>
      </c>
      <c r="F33" s="26" t="inlineStr">
        <is>
          <t>store-backed-getter regression</t>
        </is>
      </c>
      <c r="G33" s="26" t="inlineStr">
        <is>
          <t>Pending</t>
        </is>
      </c>
    </row>
    <row r="34" ht="15" customHeight="1" s="20">
      <c r="A34" s="26" t="inlineStr">
        <is>
          <t>F4-03</t>
        </is>
      </c>
      <c r="B34" s="26" t="inlineStr">
        <is>
          <t>Major</t>
        </is>
      </c>
      <c r="C34" s="26" t="inlineStr">
        <is>
          <t>src/xeroApi.ts</t>
        </is>
      </c>
      <c r="D34" s="26" t="inlineStr">
        <is>
          <t>Every 15-min poll fetched all bank history and filtered client-side — up to ~4,800 calls/day/org against the 5,000 budget</t>
        </is>
      </c>
      <c r="E34" s="26" t="inlineStr">
        <is>
          <t>Server-side If-Modified-Since filter</t>
        </is>
      </c>
      <c r="F34" s="26" t="inlineStr">
        <is>
          <t>header-filter regression; invoices unaffected</t>
        </is>
      </c>
      <c r="G34" s="26" t="inlineStr">
        <is>
          <t>Pending</t>
        </is>
      </c>
    </row>
    <row r="35" ht="15" customHeight="1" s="20">
      <c r="A35" s="26" t="inlineStr">
        <is>
          <t>F4-04</t>
        </is>
      </c>
      <c r="B35" s="26" t="inlineStr">
        <is>
          <t>Major</t>
        </is>
      </c>
      <c r="C35" s="26" t="inlineStr">
        <is>
          <t>src/worker.ts</t>
        </is>
      </c>
      <c r="D35" s="26" t="inlineStr">
        <is>
          <t>Failed drain destroyed its batch — spliced before processing, already ACKed to Xero so redelivery could not heal</t>
        </is>
      </c>
      <c r="E35" s="26" t="inlineStr">
        <is>
          <t>Batch restored to the queue front on throw, order preserved</t>
        </is>
      </c>
      <c r="F35" s="26" t="inlineStr">
        <is>
          <t>throwing-processor regressions</t>
        </is>
      </c>
      <c r="G35" s="26" t="inlineStr">
        <is>
          <t>Pending</t>
        </is>
      </c>
    </row>
    <row r="36" ht="15" customHeight="1" s="20">
      <c r="A36" s="26" t="inlineStr">
        <is>
          <t>HOLE-1</t>
        </is>
      </c>
      <c r="B36" s="26" t="inlineStr">
        <is>
          <t>Major</t>
        </is>
      </c>
      <c r="C36" s="26" t="inlineStr">
        <is>
          <t>tests/reachabilityGate.test.ts</t>
        </is>
      </c>
      <c r="D36" s="26" t="inlineStr">
        <is>
          <t>An unused import counted as a caller — unwiring recordNudge (the INT-F1 defect) left the gate green</t>
        </is>
      </c>
      <c r="E36" s="26" t="inlineStr">
        <is>
          <t>Imports stripped before the caller search; two views per file</t>
        </is>
      </c>
      <c r="F36" s="26" t="inlineStr">
        <is>
          <t>re-proof against the real unwiring</t>
        </is>
      </c>
      <c r="G36" s="26" t="inlineStr">
        <is>
          <t>Pending</t>
        </is>
      </c>
    </row>
    <row r="37" ht="15" customHeight="1" s="20">
      <c r="A37" s="26" t="inlineStr">
        <is>
          <t>HOLE-2</t>
        </is>
      </c>
      <c r="B37" s="26" t="inlineStr">
        <is>
          <t>Major</t>
        </is>
      </c>
      <c r="C37" s="26" t="inlineStr">
        <is>
          <t>tests/publishedClaimsGate.test.ts</t>
        </is>
      </c>
      <c r="D37" s="26" t="inlineStr">
        <is>
          <t>An unused import satisfied a published claim — gutting encryption (the INT-F2 defect) left the claim "true"</t>
        </is>
      </c>
      <c r="E37" s="26" t="inlineStr">
        <is>
          <t>Imports stripped before claim matching</t>
        </is>
      </c>
      <c r="F37" s="26" t="inlineStr">
        <is>
          <t>import-only construction test + real-file re-proof</t>
        </is>
      </c>
      <c r="G37" s="26" t="inlineStr">
        <is>
          <t>Pending</t>
        </is>
      </c>
    </row>
    <row r="38" ht="15" customHeight="1" s="20">
      <c r="A38" s="26" t="inlineStr">
        <is>
          <t>GAP-F3</t>
        </is>
      </c>
      <c r="B38" s="26" t="inlineStr">
        <is>
          <t>Critical</t>
        </is>
      </c>
      <c r="C38" s="26" t="inlineStr">
        <is>
          <t>src/db.ts, src/pg.ts, src/app.ts</t>
        </is>
      </c>
      <c r="D38" s="26" t="inlineStr">
        <is>
          <t>All durable state in process memory while blue/green restarts by design — every deploy silently reverted six earlier correctness fixes</t>
        </is>
      </c>
      <c r="E38" s="26" t="inlineStr">
        <is>
          <t>Schema with cascading deletes, Repository seam (in-memory + Postgres), pg driver, hydration, graceful shutdown, durableStore on /health</t>
        </is>
      </c>
      <c r="F38" s="26" t="inlineStr">
        <is>
          <t>tests/persistence.test.ts — shared suite across both stores + two-process restart proof</t>
        </is>
      </c>
      <c r="G38" s="26" t="inlineStr">
        <is>
          <t>Pending</t>
        </is>
      </c>
    </row>
    <row r="39" ht="15" customHeight="1" s="20">
      <c r="A39" s="26" t="inlineStr">
        <is>
          <t>GAP-F4</t>
        </is>
      </c>
      <c r="B39" s="26" t="inlineStr">
        <is>
          <t>Major</t>
        </is>
      </c>
      <c r="C39" s="26" t="inlineStr">
        <is>
          <t>src/httpServer.ts</t>
        </is>
      </c>
      <c r="D39" s="26" t="inlineStr">
        <is>
          <t>Graceful shutdown did not exist — the deploy kills the old slot, cutting in-flight requests and dropping pooled connections (found by the reachability gate flagging closePool)</t>
        </is>
      </c>
      <c r="E39" s="26" t="inlineStr">
        <is>
          <t>SIGTERM/SIGINT handlers closing the server then draining the pool</t>
        </is>
      </c>
      <c r="F39" s="26" t="inlineStr">
        <is>
          <t>shutdown + signal-registration regressions</t>
        </is>
      </c>
      <c r="G39" s="26" t="inlineStr">
        <is>
          <t>Pending</t>
        </is>
      </c>
    </row>
    <row r="40" ht="15" customHeight="1" s="20">
      <c r="A40" s="26" t="inlineStr">
        <is>
          <t>ENV-1</t>
        </is>
      </c>
      <c r="B40" s="26" t="inlineStr">
        <is>
          <t>Critical</t>
        </is>
      </c>
      <c r="C40" s="26" t="inlineStr">
        <is>
          <t>src/leaderLock.ts, src/scheduler.ts</t>
        </is>
      </c>
      <c r="D40" s="26" t="inlineStr">
        <is>
          <t>Scheduler assumed one process; blue/green runs two, so every customer got N nudges per day plus N dunning emails, polls and purge runs</t>
        </is>
      </c>
      <c r="E40" s="26" t="inlineStr">
        <is>
          <t>Postgres advisory lock re-checked per tick; follower promotes itself on leader death</t>
        </is>
      </c>
      <c r="F40" s="26" t="inlineStr">
        <is>
          <t>tests/environmentReview.test.ts — 7 regressions</t>
        </is>
      </c>
      <c r="G40" s="26" t="inlineStr">
        <is>
          <t>Pending</t>
        </is>
      </c>
    </row>
    <row r="41" ht="15" customHeight="1" s="20">
      <c r="A41" s="26" t="inlineStr">
        <is>
          <t>ENV-2</t>
        </is>
      </c>
      <c r="B41" s="26" t="inlineStr">
        <is>
          <t>Critical</t>
        </is>
      </c>
      <c r="C41" s="26" t="inlineStr">
        <is>
          <t>src/worker.ts, src/db.ts, src/server.ts</t>
        </is>
      </c>
      <c r="D41" s="26" t="inlineStr">
        <is>
          <t>Accepted events lived only in memory after a 200 Xero never repeats — a restart destroyed them silently</t>
        </is>
      </c>
      <c r="E41" s="26" t="inlineStr">
        <is>
          <t>Persist before ACK, boot recovery, SKIP LOCKED draining, explicit ingest-buffer deletion</t>
        </is>
      </c>
      <c r="F41" s="26" t="inlineStr">
        <is>
          <t>persist/recover/drain/concurrency regressions</t>
        </is>
      </c>
      <c r="G41" s="26" t="inlineStr">
        <is>
          <t>Pending</t>
        </is>
      </c>
    </row>
    <row r="42" ht="15" customHeight="1" s="20">
      <c r="A42" s="26" t="inlineStr">
        <is>
          <t>ENV-3</t>
        </is>
      </c>
      <c r="B42" s="26" t="inlineStr">
        <is>
          <t>Major</t>
        </is>
      </c>
      <c r="C42" s="26" t="inlineStr">
        <is>
          <t>src/chatSla.ts</t>
        </is>
      </c>
      <c r="D42" s="26" t="inlineStr">
        <is>
          <t>Business hours published as local but computed in UTC — the 4-business-hour SLA was wrong for every non-UTC desk</t>
        </is>
      </c>
      <c r="E42" s="26" t="inlineStr">
        <is>
          <t>Explicit utcOffsetMinutes applied to day/hour/midnight, validated</t>
        </is>
      </c>
      <c r="F42" s="26" t="inlineStr">
        <is>
          <t>IST, UTC no-regression, Auckland weekend, validation</t>
        </is>
      </c>
      <c r="G42" s="26" t="inlineStr">
        <is>
          <t>Pending</t>
        </is>
      </c>
    </row>
    <row r="43" ht="15" customHeight="1" s="20">
      <c r="A43" s="26" t="inlineStr">
        <is>
          <t>OBS-003</t>
        </is>
      </c>
      <c r="B43" s="26" t="inlineStr">
        <is>
          <t>Observation</t>
        </is>
      </c>
      <c r="C43" s="26" t="inlineStr">
        <is>
          <t>src/chatSla.ts</t>
        </is>
      </c>
      <c r="D43" s="26" t="inlineStr">
        <is>
          <t>Fixed UTC offset only — DST transitions shift the working day by an hour twice a year</t>
        </is>
      </c>
      <c r="E43" s="26" t="inlineStr">
        <is>
          <t>No fix: needs a tz database and a decision on dependency weight</t>
        </is>
      </c>
      <c r="F43" s="26" t="inlineStr">
        <is>
          <t>—</t>
        </is>
      </c>
      <c r="G43" s="26" t="inlineStr">
        <is>
          <t>Pending</t>
        </is>
      </c>
    </row>
    <row r="44" ht="15" customHeight="1" s="20">
      <c r="A44" s="26" t="inlineStr">
        <is>
          <t>OBS-004</t>
        </is>
      </c>
      <c r="B44" s="26" t="inlineStr">
        <is>
          <t>Observation</t>
        </is>
      </c>
      <c r="C44" s="26" t="inlineStr">
        <is>
          <t>src/rateLimiter.ts</t>
        </is>
      </c>
      <c r="D44" s="26" t="inlineStr">
        <is>
          <t>Webhook-driven rate limiting remains per-process; N instances could exceed 60/min or 5,000/day under sustained load (scheduled traffic is single-writer via ENV-1)</t>
        </is>
      </c>
      <c r="E44" s="26" t="inlineStr">
        <is>
          <t>No fix: a shared counter costs a round trip per call — your call</t>
        </is>
      </c>
      <c r="F44" s="26" t="inlineStr">
        <is>
          <t>—</t>
        </is>
      </c>
      <c r="G44" s="26" t="inlineStr">
        <is>
          <t>Pending</t>
        </is>
      </c>
    </row>
    <row r="45" ht="15" customHeight="1" s="20">
      <c r="A45" s="26" t="inlineStr">
        <is>
          <t>OPS-1</t>
        </is>
      </c>
      <c r="B45" s="26" t="inlineStr">
        <is>
          <t>Critical</t>
        </is>
      </c>
      <c r="C45" s="26" t="inlineStr">
        <is>
          <t>.github/workflows/deploy.yml</t>
        </is>
      </c>
      <c r="D45" s="26" t="inlineStr">
        <is>
          <t>The deploy pipeline never ran migrations — a release adding one deploys code querying tables that do not exist</t>
        </is>
      </c>
      <c r="E45" s="26" t="inlineStr">
        <is>
          <t>npm run migrate before the slot starts (safe for the old colour: additive-only)</t>
        </is>
      </c>
      <c r="F45" s="26" t="inlineStr">
        <is>
          <t>workflow-order regression</t>
        </is>
      </c>
      <c r="G45" s="26" t="inlineStr">
        <is>
          <t>Pending</t>
        </is>
      </c>
    </row>
    <row r="46" ht="15" customHeight="1" s="20">
      <c r="A46" s="26" t="inlineStr">
        <is>
          <t>OPS-3</t>
        </is>
      </c>
      <c r="B46" s="26" t="inlineStr">
        <is>
          <t>Critical</t>
        </is>
      </c>
      <c r="C46" s="26" t="inlineStr">
        <is>
          <t>src/server.ts, scripts/verify-slot.sh</t>
        </is>
      </c>
      <c r="D46" s="26" t="inlineStr">
        <is>
          <t>/health answers from memory yet gated the traffic switch — a slot that cannot reach its schema was certified healthy and would take traffic</t>
        </is>
      </c>
      <c r="E46" s="26" t="inlineStr">
        <is>
          <t>New /ready probes the store; verify-slot.sh requires it</t>
        </is>
      </c>
      <c r="F46" s="26" t="inlineStr">
        <is>
          <t>ready/unreachable/absent + health-still-200</t>
        </is>
      </c>
      <c r="G46" s="26" t="inlineStr">
        <is>
          <t>Pending</t>
        </is>
      </c>
    </row>
    <row r="47" ht="15" customHeight="1" s="20">
      <c r="A47" s="26" t="inlineStr">
        <is>
          <t>OPS-2</t>
        </is>
      </c>
      <c r="B47" s="26" t="inlineStr">
        <is>
          <t>Major</t>
        </is>
      </c>
      <c r="C47" s="26" t="inlineStr">
        <is>
          <t>tests/migrationSafetyGate.test.ts, docs/runbooks/launch-day.md</t>
        </is>
      </c>
      <c r="D47" s="26" t="inlineStr">
        <is>
          <t>Blue/green runs two releases on one database and rollback re-points after the new schema is applied; nothing enforced additive-only schema changes</t>
        </is>
      </c>
      <c r="E47" s="26" t="inlineStr">
        <is>
          <t>Fourth gate enforcing expand/contract + rollback contract documented</t>
        </is>
      </c>
      <c r="F47" s="26" t="inlineStr">
        <is>
          <t>7 destructive-shape proofs</t>
        </is>
      </c>
      <c r="G47" s="26" t="inlineStr">
        <is>
          <t>Pending</t>
        </is>
      </c>
    </row>
    <row r="48" ht="15" customHeight="1" s="20">
      <c r="A48" s="26" t="inlineStr">
        <is>
          <t>CHAOS-1</t>
        </is>
      </c>
      <c r="B48" s="26" t="inlineStr">
        <is>
          <t>Critical</t>
        </is>
      </c>
      <c r="C48" s="26" t="inlineStr">
        <is>
          <t>src/resilience.ts, src/server.ts, src/app.ts</t>
        </is>
      </c>
      <c r="D48" s="26" t="inlineStr">
        <is>
          <t>Two void-promise calls on the database path (one on the webhook fast-ack route) — an unhandled rejection terminates the process on Node 15+, so a Postgres blip would kill every instance at once</t>
        </is>
      </c>
      <c r="E48" s="26" t="inlineStr">
        <is>
          <t>safely() wrapper counting and reporting; process guards; degraded state on /ready</t>
        </is>
      </c>
      <c r="F48" s="26" t="inlineStr">
        <is>
          <t>tests/chaosReview.test.ts — 12 regressions incl. all-failing store still ACKing 200</t>
        </is>
      </c>
      <c r="G48" s="26" t="inlineStr">
        <is>
          <t>Pending</t>
        </is>
      </c>
    </row>
    <row r="49" ht="15" customHeight="1" s="20">
      <c r="A49" s="26" t="inlineStr">
        <is>
          <t>CHAOS-2</t>
        </is>
      </c>
      <c r="B49" s="26" t="inlineStr">
        <is>
          <t>Major</t>
        </is>
      </c>
      <c r="C49" s="26" t="inlineStr">
        <is>
          <t>docs/runbooks/chaos-platform-outage.md</t>
        </is>
      </c>
      <c r="D49" s="26" t="inlineStr">
        <is>
          <t>The chaos runbook covered only Xero though Postgres is in every request path and both slots share it</t>
        </is>
      </c>
      <c r="E49" s="26" t="inlineStr">
        <is>
          <t>Database-outage drill with expected behaviour per path, each row test-backed</t>
        </is>
      </c>
      <c r="F49" s="26" t="inlineStr">
        <is>
          <t>behaviour table pinned by tests</t>
        </is>
      </c>
      <c r="G49" s="26" t="inlineStr">
        <is>
          <t>Pending</t>
        </is>
      </c>
    </row>
    <row r="50" ht="15" customHeight="1" s="20">
      <c r="A50" s="26" t="inlineStr">
        <is>
          <t>SEC-1</t>
        </is>
      </c>
      <c r="B50" s="26" t="inlineStr">
        <is>
          <t>Major</t>
        </is>
      </c>
      <c r="C50" s="26" t="inlineStr">
        <is>
          <t>docs/security/SECURITY_EVIDENCE.md</t>
        </is>
      </c>
      <c r="D50" s="26" t="inlineStr">
        <is>
          <t>The security pack mentioned the database zero times — a pen-test scoped from it would exclude the component holding the tokens</t>
        </is>
      </c>
      <c r="E50" s="26" t="inlineStr">
        <is>
          <t>Data-store section separating code-verifiable controls from operator responsibilities; vendor scope note</t>
        </is>
      </c>
      <c r="F50" s="26" t="inlineStr">
        <is>
          <t>claims gate entries for TLS, redaction, sealed tokens</t>
        </is>
      </c>
      <c r="G50" s="26" t="inlineStr">
        <is>
          <t>Pending</t>
        </is>
      </c>
    </row>
    <row r="51" ht="15" customHeight="1" s="20">
      <c r="A51" s="26" t="inlineStr">
        <is>
          <t>SEC-2</t>
        </is>
      </c>
      <c r="B51" s="26" t="inlineStr">
        <is>
          <t>Major</t>
        </is>
      </c>
      <c r="C51" s="26" t="inlineStr">
        <is>
          <t>src/resilience.ts</t>
        </is>
      </c>
      <c r="D51" s="26" t="inlineStr">
        <is>
          <t>Failure text written to stderr and held in state could carry the connection string password from driver errors</t>
        </is>
      </c>
      <c r="E51" s="26" t="inlineStr">
        <is>
          <t>redactSecrets applied at recordFailure; gate claim requires it to be CALLED</t>
        </is>
      </c>
      <c r="F51" s="26" t="inlineStr">
        <is>
          <t>4 redaction regressions; claim proved by removing the call</t>
        </is>
      </c>
      <c r="G51" s="26" t="inlineStr">
        <is>
          <t>Pending</t>
        </is>
      </c>
    </row>
    <row r="52" ht="15" customHeight="1" s="20">
      <c r="A52" s="26" t="inlineStr">
        <is>
          <t>REV-1</t>
        </is>
      </c>
      <c r="B52" s="26" t="inlineStr">
        <is>
          <t>Major</t>
        </is>
      </c>
      <c r="C52" s="26" t="inlineStr">
        <is>
          <t>docs/security/REVIEW_PACK.md</t>
        </is>
      </c>
      <c r="D52" s="26" t="inlineStr">
        <is>
          <t>The external reviewer pack described a product that no longer exists — one of eight new modules mentioned</t>
        </is>
      </c>
      <c r="E52" s="26" t="inlineStr">
        <is>
          <t>Rewritten: entry points, per-module challenges, consequence-ordered review, distrust-the-gates note</t>
        </is>
      </c>
      <c r="F52" s="26" t="inlineStr">
        <is>
          <t>—</t>
        </is>
      </c>
      <c r="G52" s="26" t="inlineStr">
        <is>
          <t>Pending</t>
        </is>
      </c>
    </row>
    <row r="53" ht="15" customHeight="1" s="20">
      <c r="A53" s="26" t="inlineStr">
        <is>
          <t>PERF-1</t>
        </is>
      </c>
      <c r="B53" s="26" t="inlineStr">
        <is>
          <t>Minor</t>
        </is>
      </c>
      <c r="C53" s="26" t="inlineStr">
        <is>
          <t>docs/reliability/latency-budgets.md</t>
        </is>
      </c>
      <c r="D53" s="26" t="inlineStr">
        <is>
          <t>Budgets measured in-process before any database round trip existed</t>
        </is>
      </c>
      <c r="E53" s="26" t="inlineStr">
        <is>
          <t>Round-trip table + re-baseline instruction recording deltas</t>
        </is>
      </c>
      <c r="F53" s="26" t="inlineStr">
        <is>
          <t>—</t>
        </is>
      </c>
      <c r="G53" s="26" t="inlineStr">
        <is>
          <t>Pending</t>
        </is>
      </c>
    </row>
    <row r="55" ht="15" customHeight="1" s="20">
      <c r="A55" s="32" t="inlineStr">
        <is>
          <t>SPRINT E5 — fixes for the external review (v034, 2026-09-13 21:56 / 22:47)</t>
        </is>
      </c>
    </row>
    <row r="57" ht="15" customHeight="1" s="20">
      <c r="A57" s="33" t="inlineStr">
        <is>
          <t>ID</t>
        </is>
      </c>
      <c r="B57" s="33" t="inlineStr">
        <is>
          <t>Severity</t>
        </is>
      </c>
      <c r="C57" s="33" t="inlineStr">
        <is>
          <t>Module</t>
        </is>
      </c>
      <c r="D57" s="33" t="inlineStr">
        <is>
          <t>Finding</t>
        </is>
      </c>
      <c r="E57" s="33" t="inlineStr">
        <is>
          <t>Fix applied (v034)</t>
        </is>
      </c>
      <c r="F57" s="33" t="inlineStr">
        <is>
          <t>Regression test</t>
        </is>
      </c>
      <c r="G57" s="33" t="inlineStr">
        <is>
          <t>Disposition (Senthil)</t>
        </is>
      </c>
    </row>
    <row r="58" ht="15" customHeight="1" s="20">
      <c r="A58" s="26" t="inlineStr">
        <is>
          <t>E5-04a</t>
        </is>
      </c>
      <c r="B58" s="26" t="inlineStr">
        <is>
          <t>Major</t>
        </is>
      </c>
      <c r="C58" s="26" t="inlineStr">
        <is>
          <t>src/timezone.ts</t>
        </is>
      </c>
      <c r="D58" s="26" t="inlineStr">
        <is>
          <t>Zone validation accepted any string ICU resolves. ICU also resolves legacy aliases: "BST" is UTC+6 (Bangladesh), not British Summer Time; "EST" is a fixed -5 that never observes DST. A UK desk typing BST would have had every SLA deadline computed six hours east, silently. Found by this module's own first test run, in code written the same hour.</t>
        </is>
      </c>
      <c r="E58" s="26" t="inlineStr">
        <is>
          <t>Area/Location form required in addition to ICU resolution; bare "UTC" is the one exception. Three-part zones (America/Argentina/Buenos_Aires) still accepted.</t>
        </is>
      </c>
      <c r="F58" s="26" t="inlineStr">
        <is>
          <t>tests/timezoneDst.test.ts — each alias rejected, plus the proof that BST really resolves to +360</t>
        </is>
      </c>
      <c r="G58" s="26" t="inlineStr">
        <is>
          <t>Pending</t>
        </is>
      </c>
    </row>
    <row r="59" ht="15" customHeight="1" s="20">
      <c r="A59" s="26" t="inlineStr">
        <is>
          <t>E5-05a</t>
        </is>
      </c>
      <c r="B59" s="26" t="inlineStr">
        <is>
          <t>Major</t>
        </is>
      </c>
      <c r="C59" s="26" t="inlineStr">
        <is>
          <t>src/rateLimiter.ts, src/distributedRateLimit.ts</t>
        </is>
      </c>
      <c r="D59" s="26" t="inlineStr">
        <is>
          <t>OBS-004 escalated on inspection: Xero enforces 60/min and 5,000/day PER ORG, we counted per process. Blue/green runs two slots by design, so a release could drive one org to 120/min — a self-inflicted 429 storm at the worst possible moment for reading on-call signals. ENV-1 fixed this class for the scheduler and missed it here.</t>
        </is>
      </c>
      <c r="E59" s="26" t="inlineStr">
        <is>
          <t>Shared counter in Postgres (migration 008) behind a conditional upsert that is serialised on the primary key; day claim released when the minute claim is refused; window rows pruned. Wired into every xeroApi accounting call with bounded waits; reported on /health as sharedRateBudget.</t>
        </is>
      </c>
      <c r="F59" s="26" t="inlineStr">
        <is>
          <t>tests/distributedReliability.test.ts — two instances sharing one org budget; tests/xeroApi.test.ts — claim, wait-and-retry, bounded give-up</t>
        </is>
      </c>
      <c r="G59" s="26" t="inlineStr">
        <is>
          <t>Pending</t>
        </is>
      </c>
    </row>
    <row r="60" ht="15" customHeight="1" s="20">
      <c r="A60" s="26" t="inlineStr">
        <is>
          <t>E5-05b</t>
        </is>
      </c>
      <c r="B60" s="26" t="inlineStr">
        <is>
          <t>Major</t>
        </is>
      </c>
      <c r="C60" s="26" t="inlineStr">
        <is>
          <t>src/leaderLock.ts, src/scheduler.ts</t>
        </is>
      </c>
      <c r="D60" s="26" t="inlineStr">
        <is>
          <t>An advisory lock alone leaves a gap: a leader that stalls (long GC pause, partition) drops its session, a follower legitimately takes over, then the old leader wakes still believing isLeader() and writes. Both were leader in sequence and the second write is the stale one.</t>
        </is>
      </c>
      <c r="E60" s="26" t="inlineStr">
        <is>
          <t>Monotonic fencing token bumped on acquisition (migration 009) and re-read per tick through a new leaderReady() guard; a stale leader stands down instead of asserting leadership.</t>
        </is>
      </c>
      <c r="F60" s="26" t="inlineStr">
        <is>
          <t>tests/distributedReliability.test.ts — models the real session drop, not a convenient fake</t>
        </is>
      </c>
      <c r="G60" s="26" t="inlineStr">
        <is>
          <t>Pending</t>
        </is>
      </c>
    </row>
    <row r="61" ht="15" customHeight="1" s="20">
      <c r="A61" s="26" t="inlineStr">
        <is>
          <t>E5-02a</t>
        </is>
      </c>
      <c r="B61" s="26" t="inlineStr">
        <is>
          <t>Major</t>
        </is>
      </c>
      <c r="C61" s="26" t="inlineStr">
        <is>
          <t>src/httpServer.ts</t>
        </is>
      </c>
      <c r="D61" s="26" t="inlineStr">
        <is>
          <t>No security headers on any response. The error paths are the ones that get forgotten and also the ones that echo unexpected state back to a caller.</t>
        </is>
      </c>
      <c r="E61" s="26" t="inlineStr">
        <is>
          <t>SECURITY_HEADERS declared once and applied to every response including 404 and 500; HSTS asserted only because requireTls already refuses to boot in production over plain HTTP, so the header cannot promise more than the server does.</t>
        </is>
      </c>
      <c r="F61" s="26" t="inlineStr">
        <is>
          <t>tests/supplyChainGate.test.ts; proved in prove-gates by mutating ONLY the error path</t>
        </is>
      </c>
      <c r="G61" s="26" t="inlineStr">
        <is>
          <t>Pending</t>
        </is>
      </c>
    </row>
    <row r="62" ht="15" customHeight="1" s="20">
      <c r="A62" s="26" t="inlineStr">
        <is>
          <t>E5-08a</t>
        </is>
      </c>
      <c r="B62" s="26" t="inlineStr">
        <is>
          <t>Major</t>
        </is>
      </c>
      <c r="C62" s="26" t="inlineStr">
        <is>
          <t>docs/listing/submission-dry-run.md</t>
        </is>
      </c>
      <c r="D62" s="26" t="inlineStr">
        <is>
          <t>The document told an external reviewer that invoice/payment/bank webhooks were "not yet coded — GAP". They had been coded in v011, twenty-three releases earlier, and Xero publishes no bank-transaction webhook at all (D-F4). The reviewer read it correctly and raised FC-R002 as a BLOCKER against working code. The cheap version of this mistake costs a reviewer an afternoon; the expensive version tells Xero certification something untrue.</t>
        </is>
      </c>
      <c r="E62" s="26" t="inlineStr">
        <is>
          <t>Document rewritten with the history stated rather than quietly corrected. Sixth gate added: any published document claiming a gap about a module that exists in src/ fails the build.</t>
        </is>
      </c>
      <c r="F62" s="26" t="inlineStr">
        <is>
          <t>tests/supplyChainGate.test.ts; proved by restoring the exact original sentence</t>
        </is>
      </c>
      <c r="G62" s="26" t="inlineStr">
        <is>
          <t>Pending</t>
        </is>
      </c>
    </row>
    <row r="63" ht="15" customHeight="1" s="20">
      <c r="A63" s="26" t="inlineStr">
        <is>
          <t>OBS-005</t>
        </is>
      </c>
      <c r="B63" s="26" t="inlineStr">
        <is>
          <t>Observation</t>
        </is>
      </c>
      <c r="C63" s="26" t="inlineStr">
        <is>
          <t>src/compliance.ts</t>
        </is>
      </c>
      <c r="D63" s="26" t="inlineStr">
        <is>
          <t>callWithProtection sleeps after the FINAL attempt, delaying the thrown error by up to the last backoff for no benefit. Pre-existing, surfaced while adding jitter.</t>
        </is>
      </c>
      <c r="E63" s="26" t="inlineStr">
        <is>
          <t>No fix: left unchanged so the change is your decision rather than a side effect of an unrelated sprint. Cost is up to ~1s of added latency on a fully failed call.</t>
        </is>
      </c>
      <c r="F63" s="26" t="inlineStr">
        <is>
          <t>—</t>
        </is>
      </c>
      <c r="G63" s="26" t="inlineStr">
        <is>
          <t>Pending</t>
        </is>
      </c>
    </row>
    <row r="64" ht="15" customHeight="1" s="20">
      <c r="A64" s="26" t="inlineStr">
        <is>
          <t>DEAD-2</t>
        </is>
      </c>
      <c r="B64" s="26" t="inlineStr">
        <is>
          <t>Minor</t>
        </is>
      </c>
      <c r="C64" s="26" t="inlineStr">
        <is>
          <t>src/timezone.ts</t>
        </is>
      </c>
      <c r="D64" s="26" t="inlineStr">
        <is>
          <t>hasTransition was written as an operator diagnostic and had no caller — the same class as DEAD-1 and as INT-F1/INT-F2 before it.</t>
        </is>
      </c>
      <c r="E64" s="26" t="inlineStr">
        <is>
          <t>Deleted with its export rather than added to an exemption list; the equivalent check is done directly in the test.</t>
        </is>
      </c>
      <c r="F64" s="26" t="inlineStr">
        <is>
          <t>n/a — removal verified by the reachability gate</t>
        </is>
      </c>
      <c r="G64" s="26" t="inlineStr">
        <is>
          <t>Pending</t>
        </is>
      </c>
    </row>
    <row r="65" ht="15" customHeight="1" s="20">
      <c r="A65" s="26" t="inlineStr">
        <is>
          <t>R-K9/7</t>
        </is>
      </c>
      <c r="B65" s="26" t="inlineStr">
        <is>
          <t>Process</t>
        </is>
      </c>
      <c r="C65" s="26" t="inlineStr">
        <is>
          <t>tests/</t>
        </is>
      </c>
      <c r="D65" s="26" t="inlineStr">
        <is>
          <t>Five existing tests asserted behaviour this sprint superseded: exact un-jittered backoff, two /health payloads, the migration cascade rule (which correctly caught the new rate_budget table), and a doc-freshness module list. Seventh occurrence of this class on this codebase.</t>
        </is>
      </c>
      <c r="E65" s="26" t="inlineStr">
        <is>
          <t>Each changed with the reason recorded inline at the assertion, never silently. The migration gate finding was a genuine catch and the table now cascades from tenants.</t>
        </is>
      </c>
      <c r="F65" s="26" t="inlineStr">
        <is>
          <t>—</t>
        </is>
      </c>
      <c r="G65" s="26" t="inlineStr">
        <is>
          <t>Pending</t>
        </is>
      </c>
    </row>
    <row r="67" ht="15" customHeight="1" s="20">
      <c r="A67" s="32" t="inlineStr">
        <is>
          <t>SPRINT E5b — cross-product defect-class sweep (v035, 2026-09-13 23:03). Source: RetainKit's independent external review, PORT-04.</t>
        </is>
      </c>
    </row>
    <row r="69" ht="15" customHeight="1" s="20">
      <c r="A69" s="33" t="inlineStr">
        <is>
          <t>ID</t>
        </is>
      </c>
      <c r="B69" s="33" t="inlineStr">
        <is>
          <t>Severity</t>
        </is>
      </c>
      <c r="C69" s="33" t="inlineStr">
        <is>
          <t>Module</t>
        </is>
      </c>
      <c r="D69" s="33" t="inlineStr">
        <is>
          <t>Finding</t>
        </is>
      </c>
      <c r="E69" s="33" t="inlineStr">
        <is>
          <t>Fix applied (v035)</t>
        </is>
      </c>
      <c r="F69" s="33" t="inlineStr">
        <is>
          <t>Regression test</t>
        </is>
      </c>
      <c r="G69" s="33" t="inlineStr">
        <is>
          <t>Disposition (Senthil)</t>
        </is>
      </c>
    </row>
    <row r="70" ht="15" customHeight="1" s="20">
      <c r="A70" s="26" t="inlineStr">
        <is>
          <t>E5b-01</t>
        </is>
      </c>
      <c r="B70" s="26" t="inlineStr">
        <is>
          <t>Critical</t>
        </is>
      </c>
      <c r="C70" s="26" t="inlineStr">
        <is>
          <t>src/security.ts, src/httpServer.ts</t>
        </is>
      </c>
      <c r="D70" s="26" t="inlineStr">
        <is>
          <t>Production booted with DATABASE_URL unset — in-memory store, single-process lock and per-process rate budget, all reporting green. One missing variable silently reinstated GAP-F3, ENV-1 and E5-05 together, each of which had been found and fixed as a separate defect. /health reported it honestly but nothing reads /health before the first deploy.</t>
        </is>
      </c>
      <c r="E70" s="26" t="inlineStr">
        <is>
          <t>requireProductionReadiness() called at boot; production refuses to start, with a message naming all three consequences. Development and test untouched — the fallbacks are correct there.</t>
        </is>
      </c>
      <c r="F70" s="26" t="inlineStr">
        <is>
          <t>tests/environmentReview.test.ts — 8 regressions; proved in prove-gates by restoring the permissive branch</t>
        </is>
      </c>
      <c r="G70" s="26" t="inlineStr">
        <is>
          <t>Pending</t>
        </is>
      </c>
    </row>
    <row r="71" ht="15" customHeight="1" s="20">
      <c r="A71" s="26" t="inlineStr">
        <is>
          <t>E5b-02</t>
        </is>
      </c>
      <c r="B71" s="26" t="inlineStr">
        <is>
          <t>Critical</t>
        </is>
      </c>
      <c r="C71" s="26" t="inlineStr">
        <is>
          <t>src/security.ts, .env.example</t>
        </is>
      </c>
      <c r="D71" s="26" t="inlineStr">
        <is>
          <t>Production booted with FLOWCAST_DATA_KEY unset. The key was read at seal time, so the service passed its probes and took traffic before failing for the first merchant to connect Xero. The key was absent from .env.example entirely, so the documented deploy path produced exactly this state.</t>
        </is>
      </c>
      <c r="E71" s="26" t="inlineStr">
        <is>
          <t>Boot refuses a missing, wrong-length, or client-secret-equal key. Reuse is reported before shape. .env.example rewritten with every production requirement and a key-generation command; a test asserts the example provisions what production demands.</t>
        </is>
      </c>
      <c r="F71" s="26" t="inlineStr">
        <is>
          <t>tests/environmentReview.test.ts</t>
        </is>
      </c>
      <c r="G71" s="26" t="inlineStr">
        <is>
          <t>Pending</t>
        </is>
      </c>
    </row>
    <row r="72" ht="15" customHeight="1" s="20">
      <c r="A72" s="26" t="inlineStr">
        <is>
          <t>E5b-03</t>
        </is>
      </c>
      <c r="B72" s="26" t="inlineStr">
        <is>
          <t>Major</t>
        </is>
      </c>
      <c r="C72" s="26" t="inlineStr">
        <is>
          <t>src/httpServer.ts</t>
        </is>
      </c>
      <c r="D72" s="26" t="inlineStr">
        <is>
          <t>Graceful shutdown had no deadline. server.close() does not resolve until every in-flight response ends, so one hung request meant the handler never returned, closePool() never ran, and the orchestrator SIGKILLed at the end of its own grace period — strictly worse than having no shutdown path.</t>
        </is>
      </c>
      <c r="E72" s="26" t="inlineStr">
        <is>
          <t>closeIdleConnections immediately; drain raced against a 10s deadline (shorter than a typical orchestrator grace period, or it never fires); closeAllConnections on expiry; pool drained on every route; returns whether it drained or was forced.</t>
        </is>
      </c>
      <c r="F72" s="26" t="inlineStr">
        <is>
          <t>tests/environmentReview.test.ts — incl. a server whose close callback never fires</t>
        </is>
      </c>
      <c r="G72" s="26" t="inlineStr">
        <is>
          <t>Pending</t>
        </is>
      </c>
    </row>
    <row r="73" ht="15" customHeight="1" s="20">
      <c r="A73" s="26" t="inlineStr">
        <is>
          <t>E5b-04</t>
        </is>
      </c>
      <c r="B73" s="26" t="inlineStr">
        <is>
          <t>Major</t>
        </is>
      </c>
      <c r="C73" s="26" t="inlineStr">
        <is>
          <t>src/httpServer.ts</t>
        </is>
      </c>
      <c r="D73" s="26" t="inlineStr">
        <is>
          <t>The body cap bounded how much a caller could send, never how slowly. A socket trickling headers was held indefinitely and the cap never fired because the body never arrived.</t>
        </is>
      </c>
      <c r="E73" s="26" t="inlineStr">
        <is>
          <t>Explicit requestTimeout (30s) and headersTimeout (10s) rather than Node defaults, with the header limit necessarily the shorter of the two.</t>
        </is>
      </c>
      <c r="F73" s="26" t="inlineStr">
        <is>
          <t>tests/environmentReview.test.ts</t>
        </is>
      </c>
      <c r="G73" s="26" t="inlineStr">
        <is>
          <t>Pending</t>
        </is>
      </c>
    </row>
    <row r="74" ht="15" customHeight="1" s="20">
      <c r="A74" s="26" t="inlineStr">
        <is>
          <t>CLEARED-1</t>
        </is>
      </c>
      <c r="B74" s="26" t="inlineStr">
        <is>
          <t>Verified</t>
        </is>
      </c>
      <c r="C74" s="26" t="inlineStr">
        <is>
          <t>src/ (all)</t>
        </is>
      </c>
      <c r="D74" s="26" t="inlineStr">
        <is>
          <t>P17 — a default port whose only implementation throws. RetainKit's three external BLOCKERS all had this shape (OAuth token exchange, DSAR delivery, the Postgres client), each passing every test because every test injected a fake.</t>
        </is>
      </c>
      <c r="E74" s="26" t="inlineStr">
        <is>
          <t>No fix needed: checked and genuinely absent here. Recorded rather than left silent, so a reviewer can tell a checked class from an unexamined one.</t>
        </is>
      </c>
      <c r="F74" s="26" t="inlineStr">
        <is>
          <t>n/a</t>
        </is>
      </c>
      <c r="G74" s="26" t="inlineStr">
        <is>
          <t>Pending</t>
        </is>
      </c>
    </row>
    <row r="75" ht="15" customHeight="1" s="20">
      <c r="A75" s="26" t="inlineStr">
        <is>
          <t>CLEARED-2</t>
        </is>
      </c>
      <c r="B75" s="26" t="inlineStr">
        <is>
          <t>Verified</t>
        </is>
      </c>
      <c r="C75" s="26" t="inlineStr">
        <is>
          <t>src/oauth.ts</t>
        </is>
      </c>
      <c r="D75" s="26" t="inlineStr">
        <is>
          <t>Non-CSPRNG OAuth state — RetainKit needed a CSPRNG fix plus a grep gate.</t>
        </is>
      </c>
      <c r="E75" s="26" t="inlineStr">
        <is>
          <t>No fix needed: crypto.randomBytes(32) since F3-03.</t>
        </is>
      </c>
      <c r="F75" s="26" t="inlineStr">
        <is>
          <t>tests/coldReviewPass3.test.ts</t>
        </is>
      </c>
      <c r="G75" s="26" t="inlineStr">
        <is>
          <t>Pending</t>
        </is>
      </c>
    </row>
    <row r="76">
      <c r="A76" s="27" t="inlineStr">
        <is>
          <t>E6-F1</t>
        </is>
      </c>
      <c r="B76" s="27" t="inlineStr">
        <is>
          <t>Critical</t>
        </is>
      </c>
      <c r="C76" s="27" t="inlineStr">
        <is>
          <t>src/httpServer.ts</t>
        </is>
      </c>
      <c r="D76" s="27" t="inlineStr">
        <is>
          <t>bootFromEnv never constructed XeroApiClient nor called startScheduler; the scheduler.ts entry-point exemption said "started at boot" and it was not. No scheduled behaviour has ever had a production driver.</t>
        </is>
      </c>
      <c r="E76" s="27" t="inlineStr">
        <is>
          <t>buildAccountingClient + buildScheduler composed in bootFromEnv; scheduler handle stopped on SIGTERM; exemption reason rewritten to what is true.</t>
        </is>
      </c>
      <c r="F76" s="27" t="inlineStr">
        <is>
          <t>tests/forecastDataPath.test.ts — bootFromEnv registers the forecast tick; buildScheduler drives runForecastCycle through a fake Xero</t>
        </is>
      </c>
      <c r="G76" s="27" t="inlineStr">
        <is>
          <t>Pending</t>
        </is>
      </c>
    </row>
    <row r="77">
      <c r="A77" s="27" t="inlineStr">
        <is>
          <t>E6-F2</t>
        </is>
      </c>
      <c r="B77" s="27" t="inlineStr">
        <is>
          <t>Major</t>
        </is>
      </c>
      <c r="C77" s="27" t="inlineStr">
        <is>
          <t>src/ (all)</t>
        </is>
      </c>
      <c r="D77" s="27" t="inlineStr">
        <is>
          <t>No email or notification transport exists in src. The scheduler composition reports missing transports to stderr and the nudge cycle records NUDGE_TRANSPORT_UNCONFIGURED rather than faking a sender.</t>
        </is>
      </c>
      <c r="E77" s="27" t="inlineStr">
        <is>
          <t>None (vendor decision). Visible, not silent.</t>
        </is>
      </c>
      <c r="F77" s="27" t="inlineStr">
        <is>
          <t>tests/forecastDataPath.test.ts — sender rejects with the named error</t>
        </is>
      </c>
      <c r="G77" s="27" t="inlineStr">
        <is>
          <t>Pending</t>
        </is>
      </c>
    </row>
    <row r="78">
      <c r="A78" s="27" t="inlineStr">
        <is>
          <t>E6-F3</t>
        </is>
      </c>
      <c r="B78" s="27" t="inlineStr">
        <is>
          <t>Critical</t>
        </is>
      </c>
      <c r="C78" s="27" t="inlineStr">
        <is>
          <t>src/db.ts, src/app.ts, src/oauth.ts</t>
        </is>
      </c>
      <c r="D78" s="27" t="inlineStr">
        <is>
          <t>Durable store never driven for installs (saveTenant/saveTokens/getTokens/dueForDeletion/poll state/hydrate have no caller). Restart still loses every tenant.</t>
        </is>
      </c>
      <c r="E78" s="27" t="inlineStr">
        <is>
          <t>None this sprint — KNOWN_GAPS R-F14 expiring 2026-10-31; P1-8.</t>
        </is>
      </c>
      <c r="F78" s="27" t="inlineStr">
        <is>
          <t>tests/reachabilityGate.test.ts — expiry test goes red on 1 Nov 2026</t>
        </is>
      </c>
      <c r="G78" s="27" t="inlineStr">
        <is>
          <t>Pending</t>
        </is>
      </c>
    </row>
    <row r="79">
      <c r="A79" s="27" t="inlineStr">
        <is>
          <t>E6-F4</t>
        </is>
      </c>
      <c r="B79" s="27" t="inlineStr">
        <is>
          <t>Critical</t>
        </is>
      </c>
      <c r="C79" s="27" t="inlineStr">
        <is>
          <t>src/worker.ts, src/db.ts</t>
        </is>
      </c>
      <c r="D79" s="27" t="inlineStr">
        <is>
          <t>Webhook worker never started at boot; deleteQueuedEvents never called.</t>
        </is>
      </c>
      <c r="E79" s="27" t="inlineStr">
        <is>
          <t>None this sprint — R-F15; P1-8.</t>
        </is>
      </c>
      <c r="F79" s="27" t="inlineStr">
        <is>
          <t>as above</t>
        </is>
      </c>
      <c r="G79" s="27" t="inlineStr">
        <is>
          <t>Pending</t>
        </is>
      </c>
    </row>
    <row r="80">
      <c r="A80" s="27" t="inlineStr">
        <is>
          <t>E6-F5</t>
        </is>
      </c>
      <c r="B80" s="27" t="inlineStr">
        <is>
          <t>Major</t>
        </is>
      </c>
      <c r="C80" s="27" t="inlineStr">
        <is>
          <t>src/webhooks.ts, src/installFlow.ts</t>
        </is>
      </c>
      <c r="D80" s="27" t="inlineStr">
        <is>
          <t>SUBSCRIPTION/uninstall webhook never routed to handleUninstallWebhook; tokens outlive an uninstall.</t>
        </is>
      </c>
      <c r="E80" s="27" t="inlineStr">
        <is>
          <t>None this sprint — R-F16; P1-8.</t>
        </is>
      </c>
      <c r="F80" s="27" t="inlineStr">
        <is>
          <t>as above</t>
        </is>
      </c>
      <c r="G80" s="27" t="inlineStr">
        <is>
          <t>Pending</t>
        </is>
      </c>
    </row>
    <row r="81">
      <c r="A81" s="27" t="inlineStr">
        <is>
          <t>E6-F6</t>
        </is>
      </c>
      <c r="B81" s="27" t="inlineStr">
        <is>
          <t>Minor</t>
        </is>
      </c>
      <c r="C81" s="27" t="inlineStr">
        <is>
          <t>src/compliance.ts</t>
        </is>
      </c>
      <c r="D81" s="27" t="inlineStr">
        <is>
          <t>CircuitBreaker.canRequest dead since E5-05.</t>
        </is>
      </c>
      <c r="E81" s="27" t="inlineStr">
        <is>
          <t>None (delete nothing) — R-F17; contract release.</t>
        </is>
      </c>
      <c r="F81" s="27" t="inlineStr">
        <is>
          <t>as above</t>
        </is>
      </c>
      <c r="G81" s="27" t="inlineStr">
        <is>
          <t>Pending</t>
        </is>
      </c>
    </row>
    <row r="82">
      <c r="A82" s="27" t="inlineStr">
        <is>
          <t>E6-G1</t>
        </is>
      </c>
      <c r="B82" s="27" t="inlineStr">
        <is>
          <t>Gate</t>
        </is>
      </c>
      <c r="C82" s="27" t="inlineStr">
        <is>
          <t>tests/dataPathGate.test.ts</t>
        </is>
      </c>
      <c r="D82" s="27" t="inlineStr">
        <is>
          <t>The new dataPathGate stayed GREEN under its own mutation on first proof: a chain via scenarioSliders.previewScenario still reached computeForecast — the PPX-01 shape reproduced by the gate meant to catch it.</t>
        </is>
      </c>
      <c r="E82" s="27" t="inlineStr">
        <is>
          <t>Rule strengthened: the module that calls the engine must itself call a live source. Re-proved.</t>
        </is>
      </c>
      <c r="F82" s="27" t="inlineStr">
        <is>
          <t>gates/prove-gates.js — data-path / PPX-01 PROVED</t>
        </is>
      </c>
      <c r="G82" s="27" t="inlineStr">
        <is>
          <t>Pending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2026-09-10T22:16:21Z</dcterms:created>
  <dcterms:modified xmlns:dcterms="http://purl.org/dc/terms/" xmlns:xsi="http://www.w3.org/2001/XMLSchema-instance" xsi:type="dcterms:W3CDTF">2026-09-20T09:54:38Z</dcterms:modified>
  <cp:revision>0</cp:revision>
</cp:coreProperties>
</file>