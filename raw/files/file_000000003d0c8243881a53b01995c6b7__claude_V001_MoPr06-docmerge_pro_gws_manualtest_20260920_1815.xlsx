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Document_Control" sheetId="2" state="visible" r:id="rId2"/>
    <sheet xmlns:r="http://schemas.openxmlformats.org/officeDocument/2006/relationships" name="02_Context" sheetId="3" state="visible" r:id="rId3"/>
    <sheet xmlns:r="http://schemas.openxmlformats.org/officeDocument/2006/relationships" name="03_How_To_Use" sheetId="4" state="visible" r:id="rId4"/>
    <sheet xmlns:r="http://schemas.openxmlformats.org/officeDocument/2006/relationships" name="10_Version_Register" sheetId="5" state="visible" r:id="rId5"/>
    <sheet xmlns:r="http://schemas.openxmlformats.org/officeDocument/2006/relationships" name="11_Pending_Versions" sheetId="6" state="visible" r:id="rId6"/>
    <sheet xmlns:r="http://schemas.openxmlformats.org/officeDocument/2006/relationships" name="20_Test_Cases_Positive" sheetId="7" state="visible" r:id="rId7"/>
    <sheet xmlns:r="http://schemas.openxmlformats.org/officeDocument/2006/relationships" name="21_Test_Cases_Negative" sheetId="8" state="visible" r:id="rId8"/>
    <sheet xmlns:r="http://schemas.openxmlformats.org/officeDocument/2006/relationships" name="22_Test_Cases_Blocked" sheetId="9" state="visible" r:id="rId9"/>
    <sheet xmlns:r="http://schemas.openxmlformats.org/officeDocument/2006/relationships" name="30_Traceability" sheetId="10" state="visible" r:id="rId10"/>
    <sheet xmlns:r="http://schemas.openxmlformats.org/officeDocument/2006/relationships" name="31_Execution_Summary" sheetId="11" state="visible" r:id="rId11"/>
    <sheet xmlns:r="http://schemas.openxmlformats.org/officeDocument/2006/relationships" name="32_Defect_Log" sheetId="12" state="visible" r:id="rId12"/>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b val="1"/>
      <color rgb="FF5A6472"/>
      <sz val="10"/>
    </font>
    <font>
      <b val="1"/>
      <color rgb="FF1F3864"/>
      <sz val="24"/>
    </font>
    <font>
      <color rgb="FF3A424E"/>
      <sz val="11"/>
    </font>
    <font>
      <b val="1"/>
      <sz val="10"/>
    </font>
    <font>
      <sz val="10"/>
    </font>
    <font>
      <b val="1"/>
      <color rgb="FF1F3864"/>
      <sz val="11"/>
    </font>
    <font>
      <b val="1"/>
      <color rgb="FF1F3864"/>
      <sz val="16"/>
    </font>
    <font>
      <i val="1"/>
      <sz val="10"/>
    </font>
    <font>
      <b val="1"/>
      <color rgb="FFFFFFFF"/>
      <sz val="10"/>
    </font>
    <font>
      <b val="1"/>
      <color rgb="FF7A4E09"/>
      <sz val="10"/>
    </font>
    <font>
      <name val="Consolas"/>
      <sz val="9.5"/>
    </font>
  </fonts>
  <fills count="8">
    <fill>
      <patternFill/>
    </fill>
    <fill>
      <patternFill patternType="gray125"/>
    </fill>
    <fill>
      <patternFill patternType="solid">
        <fgColor rgb="FFF2F4F7"/>
      </patternFill>
    </fill>
    <fill>
      <patternFill patternType="solid">
        <fgColor rgb="FF1F3864"/>
      </patternFill>
    </fill>
    <fill>
      <patternFill patternType="solid">
        <fgColor rgb="FFFFEB9C"/>
      </patternFill>
    </fill>
    <fill>
      <patternFill patternType="solid">
        <fgColor rgb="FFC6EFCE"/>
      </patternFill>
    </fill>
    <fill>
      <patternFill patternType="solid">
        <fgColor rgb="FFFFC7CE"/>
      </patternFill>
    </fill>
    <fill>
      <patternFill patternType="solid">
        <fgColor rgb="FFFFFDE7"/>
      </patternFill>
    </fill>
  </fills>
  <borders count="6">
    <border>
      <left/>
      <right/>
      <top/>
      <bottom/>
      <diagonal/>
    </border>
    <border>
      <left style="thin">
        <color rgb="FFC8CFD8"/>
      </left>
      <right style="thin">
        <color rgb="FFC8CFD8"/>
      </right>
      <top style="thin">
        <color rgb="FFC8CFD8"/>
      </top>
      <bottom style="thin">
        <color rgb="FFC8CFD8"/>
      </bottom>
    </border>
    <border>
      <left/>
      <right/>
      <top style="thin">
        <color rgb="FFC8CFD8"/>
      </top>
      <bottom/>
      <diagonal/>
    </border>
    <border>
      <left/>
      <right style="thin">
        <color rgb="FFC8CFD8"/>
      </right>
      <top style="thin">
        <color rgb="FFC8CFD8"/>
      </top>
      <bottom/>
      <diagonal/>
    </border>
    <border>
      <left/>
      <right style="thin">
        <color rgb="FFC8CFD8"/>
      </right>
      <top style="thin">
        <color rgb="FFC8CFD8"/>
      </top>
      <bottom style="thin">
        <color rgb="FFC8CFD8"/>
      </bottom>
      <diagonal/>
    </border>
    <border>
      <left/>
      <right/>
      <top style="thin">
        <color rgb="FFC8CFD8"/>
      </top>
      <bottom style="thin">
        <color rgb="FFC8CFD8"/>
      </bottom>
      <diagonal/>
    </border>
  </borders>
  <cellStyleXfs count="1">
    <xf numFmtId="0" fontId="0" fillId="0" borderId="0"/>
  </cellStyleXfs>
  <cellXfs count="25">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vertical="top" wrapText="1"/>
    </xf>
    <xf numFmtId="0" fontId="4" fillId="2" borderId="1" applyAlignment="1" pivotButton="0" quotePrefix="0" xfId="0">
      <alignment vertical="top" wrapText="1"/>
    </xf>
    <xf numFmtId="0" fontId="5" fillId="0" borderId="1" applyAlignment="1" pivotButton="0" quotePrefix="0" xfId="0">
      <alignment vertical="top" wrapText="1"/>
    </xf>
    <xf numFmtId="0" fontId="6" fillId="0" borderId="0" pivotButton="0" quotePrefix="0" xfId="0"/>
    <xf numFmtId="0" fontId="5" fillId="0"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3" borderId="1" applyAlignment="1" pivotButton="0" quotePrefix="0" xfId="0">
      <alignment vertical="top" wrapText="1"/>
    </xf>
    <xf numFmtId="0" fontId="4" fillId="0" borderId="1" applyAlignment="1" pivotButton="0" quotePrefix="0" xfId="0">
      <alignment vertical="top" wrapText="1"/>
    </xf>
    <xf numFmtId="0" fontId="0" fillId="0" borderId="4" pivotButton="0" quotePrefix="0" xfId="0"/>
    <xf numFmtId="0" fontId="0" fillId="0" borderId="5" pivotButton="0" quotePrefix="0" xfId="0"/>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6" borderId="1" applyAlignment="1" pivotButton="0" quotePrefix="0" xfId="0">
      <alignment horizontal="center" vertical="top" wrapText="1"/>
    </xf>
    <xf numFmtId="0" fontId="10" fillId="0" borderId="0" applyAlignment="1" pivotButton="0" quotePrefix="0" xfId="0">
      <alignment vertical="top" wrapText="1"/>
    </xf>
    <xf numFmtId="0" fontId="11" fillId="0" borderId="1" applyAlignment="1" pivotButton="0" quotePrefix="0" xfId="0">
      <alignment vertical="top" wrapText="1"/>
    </xf>
    <xf numFmtId="0" fontId="5" fillId="7" borderId="1" applyAlignment="1" pivotButton="0" quotePrefix="0" xfId="0">
      <alignment vertical="top" wrapText="1"/>
    </xf>
    <xf numFmtId="0" fontId="4" fillId="4" borderId="1" applyAlignment="1" pivotButton="0" quotePrefix="0" xfId="0">
      <alignment horizontal="center" vertical="top"/>
    </xf>
    <xf numFmtId="0" fontId="5" fillId="0" borderId="1" applyAlignment="1" pivotButton="0" quotePrefix="0" xfId="0">
      <alignment horizontal="center" vertical="top" wrapText="1"/>
    </xf>
    <xf numFmtId="9" fontId="5" fillId="0" borderId="1" applyAlignment="1" pivotButton="0" quotePrefix="0" xfId="0">
      <alignment horizontal="center" vertical="top" wrapText="1"/>
    </xf>
    <xf numFmtId="0" fontId="0" fillId="7" borderId="1" applyAlignment="1" pivotButton="0" quotePrefix="0" xfId="0">
      <alignment vertical="top" wrapText="1"/>
    </xf>
    <xf numFmtId="0" fontId="8"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1F3864"/>
    <outlinePr summaryBelow="1" summaryRight="1"/>
    <pageSetUpPr/>
  </sheetPr>
  <dimension ref="A1:B24"/>
  <sheetViews>
    <sheetView workbookViewId="0">
      <selection activeCell="A1" sqref="A1"/>
    </sheetView>
  </sheetViews>
  <sheetFormatPr baseColWidth="8" defaultRowHeight="15"/>
  <cols>
    <col width="26" customWidth="1" min="1" max="1"/>
    <col width="96" customWidth="1" min="2" max="2"/>
  </cols>
  <sheetData>
    <row r="1"/>
    <row r="2">
      <c r="A2" s="1" t="inlineStr">
        <is>
          <t>003-MoPr06 · DocMerge Pro · Google Workspace Marketplace</t>
        </is>
      </c>
    </row>
    <row r="3">
      <c r="A3" s="2" t="inlineStr">
        <is>
          <t>MANUAL TEST PACK</t>
        </is>
      </c>
    </row>
    <row r="4"/>
    <row r="5" ht="46" customHeight="1">
      <c r="A5" s="3" t="inlineStr">
        <is>
          <t>What a human can test by hand, version by version: what each version delivered and why, which versions are still pending and what is holding each one, and a step-by-step test case for every behaviour — positive and negative — with the exact expected result.</t>
        </is>
      </c>
    </row>
    <row r="6"/>
    <row r="7"/>
    <row r="8">
      <c r="A8" s="4" t="inlineStr">
        <is>
          <t>Document</t>
        </is>
      </c>
      <c r="B8" s="5" t="inlineStr">
        <is>
          <t>claude_V001_MoPr06-docmerge_pro_gws_manualtest_20260920_1815.xlsx</t>
        </is>
      </c>
    </row>
    <row r="9">
      <c r="A9" s="4" t="inlineStr">
        <is>
          <t>Version</t>
        </is>
      </c>
      <c r="B9" s="5" t="inlineStr">
        <is>
          <t>V001 — first issue</t>
        </is>
      </c>
    </row>
    <row r="10">
      <c r="A10" s="4" t="inlineStr">
        <is>
          <t>Date / time</t>
        </is>
      </c>
      <c r="B10" s="5" t="inlineStr">
        <is>
          <t>20 September 2026, 18:15 BST</t>
        </is>
      </c>
    </row>
    <row r="11">
      <c r="A11" s="4" t="inlineStr">
        <is>
          <t>Author</t>
        </is>
      </c>
      <c r="B11" s="5" t="inlineStr">
        <is>
          <t>Claude for Senthil / KP</t>
        </is>
      </c>
    </row>
    <row r="12">
      <c r="A12" s="4" t="inlineStr">
        <is>
          <t>Status</t>
        </is>
      </c>
      <c r="B12" s="5" t="inlineStr">
        <is>
          <t>Released</t>
        </is>
      </c>
    </row>
    <row r="13">
      <c r="A13" s="4" t="inlineStr">
        <is>
          <t>Product under test</t>
        </is>
      </c>
      <c r="B13" s="5" t="inlineStr">
        <is>
          <t>DocMerge Pro (003-MoPr06) — document generation for Google Workspace</t>
        </is>
      </c>
    </row>
    <row r="14">
      <c r="A14" s="4" t="inlineStr">
        <is>
          <t>Build under test</t>
        </is>
      </c>
      <c r="B14" s="5" t="inlineStr">
        <is>
          <t>docmerge-pro-s1 v036 · commit at 20 Sep 2026 · 1,513 tests / 81 suites / 100% coverage</t>
        </is>
      </c>
    </row>
    <row r="15">
      <c r="A15" s="4" t="inlineStr">
        <is>
          <t>Test levels covered</t>
        </is>
      </c>
      <c r="B15" s="5" t="inlineStr">
        <is>
          <t>Manual functional, negative/abuse, configuration, durability (restart), and operability. Automated unit, contract and boot tests are NOT repeated here — they run in CI.</t>
        </is>
      </c>
    </row>
    <row r="16">
      <c r="A16" s="4" t="inlineStr">
        <is>
          <t>Environment required</t>
        </is>
      </c>
      <c r="B16" s="5" t="inlineStr">
        <is>
          <t>Node 22, PostgreSQL 16, a shell. Test cases marked BLOCKED additionally need a GCP project (LC-1) and are explicitly not runnable today.</t>
        </is>
      </c>
    </row>
    <row r="17">
      <c r="A17" s="4" t="inlineStr">
        <is>
          <t>Companion document</t>
        </is>
      </c>
      <c r="B17" s="5" t="inlineStr">
        <is>
          <t>claude_V001_MoPr06-docmerge_pro_gws_architecture_status_20260920_1815.pdf — the pictorial architecture and completion pack. Read that first if you want the picture before the detail.</t>
        </is>
      </c>
    </row>
    <row r="18">
      <c r="A18" s="4" t="inlineStr">
        <is>
          <t>Classification</t>
        </is>
      </c>
      <c r="B18" s="5" t="inlineStr">
        <is>
          <t>Internal. Contains no credentials, no customer data and no live endpoints.</t>
        </is>
      </c>
    </row>
    <row r="19">
      <c r="A19" s="4" t="inlineStr">
        <is>
          <t>Total test cases</t>
        </is>
      </c>
      <c r="B19" s="5" t="inlineStr">
        <is>
          <t>125 in total: 77 positive and 24 negative that are runnable today, plus 24 specified and blocked (mostly on LC-1). Sheet 31 keeps the live count.</t>
        </is>
      </c>
    </row>
    <row r="20"/>
    <row r="21">
      <c r="A21" s="6" t="inlineStr">
        <is>
          <t>READ THIS FIRST</t>
        </is>
      </c>
    </row>
    <row r="22" ht="46" customHeight="1">
      <c r="A22" s="7" t="inlineStr">
        <is>
          <t>This pack separates two things that are easy to confuse: whether a behaviour was BUILT, and whether anyone has ever WATCHED IT WORK. Every test case below is marked as testable now or blocked, and a blocked case names what blocks it. A case marked BLOCKED has never been executed by anyone — it is written and waiting, not passed.</t>
        </is>
      </c>
    </row>
    <row r="23" ht="46" customHeight="1">
      <c r="A23" s="7" t="inlineStr">
        <is>
          <t>That distinction is the whole reason this pack exists. An external review in September found that this product had 100% automated test coverage while an entire layer of it did not exist. Automated tests answer 'does the code I wrote behave as I specified'. They cannot answer 'does the thing I am talking to actually exist and behave that way'. Manual testing against real systems is what answers the second question, and for six of this product's seven external adapters that question is still open.</t>
        </is>
      </c>
    </row>
    <row r="24" ht="46" customHeight="1">
      <c r="A24" s="7" t="inlineStr">
        <is>
          <t>Sheets are numbered in the order you should read them. 00-03 are orientation, 10-11 are the version record, 20-22 are the test cases themselves, 30-31 are the traceability and summary a reviewer will ask for.</t>
        </is>
      </c>
    </row>
  </sheetData>
  <mergeCells count="4">
    <mergeCell ref="A24:B24"/>
    <mergeCell ref="A22:B22"/>
    <mergeCell ref="A23:B23"/>
    <mergeCell ref="A5:B5"/>
  </mergeCells>
  <pageMargins left="0.75" right="0.75" top="1" bottom="1" header="0.5" footer="0.5"/>
</worksheet>
</file>

<file path=xl/worksheets/sheet2.xml><?xml version="1.0" encoding="utf-8"?>
<worksheet xmlns="http://schemas.openxmlformats.org/spreadsheetml/2006/main">
  <sheetPr>
    <tabColor rgb="FF1F3864"/>
    <outlinePr summaryBelow="1" summaryRight="1"/>
    <pageSetUpPr/>
  </sheetPr>
  <dimension ref="A1:F14"/>
  <sheetViews>
    <sheetView workbookViewId="0">
      <pane ySplit="4" topLeftCell="A5" activePane="bottomLeft" state="frozen"/>
      <selection pane="bottomLeft" activeCell="A1" sqref="A1"/>
    </sheetView>
  </sheetViews>
  <sheetFormatPr baseColWidth="8" defaultRowHeight="15"/>
  <cols>
    <col width="10" customWidth="1" min="1" max="1"/>
    <col width="16" customWidth="1" min="2" max="2"/>
    <col width="20" customWidth="1" min="3" max="3"/>
    <col width="74" customWidth="1" min="4" max="4"/>
    <col width="18" customWidth="1" min="5" max="5"/>
    <col width="12" customWidth="1" min="6" max="6"/>
  </cols>
  <sheetData>
    <row r="1" ht="22" customHeight="1">
      <c r="A1" s="8" t="inlineStr">
        <is>
          <t>DOCUMENT CONTROL</t>
        </is>
      </c>
    </row>
    <row r="2">
      <c r="A2" s="9" t="inlineStr">
        <is>
          <t>Version history of THIS document, its review record, and the rules that keep it trustworthy. The product's own version history is on sheet 10_Version_Register.</t>
        </is>
      </c>
    </row>
    <row r="4">
      <c r="A4" s="10" t="inlineStr">
        <is>
          <t>Version</t>
        </is>
      </c>
      <c r="B4" s="10" t="inlineStr">
        <is>
          <t>Date / time</t>
        </is>
      </c>
      <c r="C4" s="10" t="inlineStr">
        <is>
          <t>Author</t>
        </is>
      </c>
      <c r="D4" s="10" t="inlineStr">
        <is>
          <t>Change</t>
        </is>
      </c>
      <c r="E4" s="10" t="inlineStr">
        <is>
          <t>Reviewed by</t>
        </is>
      </c>
      <c r="F4" s="10" t="inlineStr">
        <is>
          <t>Status</t>
        </is>
      </c>
    </row>
    <row r="5">
      <c r="A5" s="5" t="inlineStr">
        <is>
          <t>V001</t>
        </is>
      </c>
      <c r="B5" s="5" t="inlineStr">
        <is>
          <t>2026-09-20 18:15</t>
        </is>
      </c>
      <c r="C5" s="5" t="inlineStr">
        <is>
          <t>Claude for Senthil/KP</t>
        </is>
      </c>
      <c r="D5" s="5" t="inlineStr">
        <is>
          <t>First issue. Created on request alongside the pictorial architecture pack. Covers versions S1–S19 of the product plus the pending live-verification versions. 68 executable test cases and 24 specified-but-blocked cases.</t>
        </is>
      </c>
      <c r="E5" s="5" t="inlineStr">
        <is>
          <t>Not yet reviewed</t>
        </is>
      </c>
      <c r="F5" s="5" t="inlineStr">
        <is>
          <t>Released</t>
        </is>
      </c>
    </row>
    <row r="6">
      <c r="A6" s="5" t="inlineStr">
        <is>
          <t>V002</t>
        </is>
      </c>
      <c r="B6" s="5" t="inlineStr">
        <is>
          <t>—</t>
        </is>
      </c>
      <c r="C6" s="5" t="inlineStr">
        <is>
          <t>—</t>
        </is>
      </c>
      <c r="D6" s="5" t="inlineStr">
        <is>
          <t>PLANNED: after LC-1 (the GCP project). This is the version where the 24 blocked cases become executable. Expect some of them to FAIL on first contact — the Docs table-row index arithmetic and section deletion across paragraph boundaries are the two most likely, and that is the point of running them.</t>
        </is>
      </c>
      <c r="E6" s="5" t="inlineStr">
        <is>
          <t>—</t>
        </is>
      </c>
      <c r="F6" s="5" t="inlineStr">
        <is>
          <t>Planned</t>
        </is>
      </c>
    </row>
    <row r="7">
      <c r="A7" s="5" t="inlineStr">
        <is>
          <t>V003</t>
        </is>
      </c>
      <c r="B7" s="5" t="inlineStr">
        <is>
          <t>—</t>
        </is>
      </c>
      <c r="C7" s="5" t="inlineStr">
        <is>
          <t>—</t>
        </is>
      </c>
      <c r="D7" s="5" t="inlineStr">
        <is>
          <t>PLANNED: after the pricing decision (D-DM5), which changes the listing copy, the plan names and the entitlement test data. Test cases MT-BIL-* and MT-GOV-* will need their expected values re-baselined.</t>
        </is>
      </c>
      <c r="E7" s="5" t="inlineStr">
        <is>
          <t>—</t>
        </is>
      </c>
      <c r="F7" s="5" t="inlineStr">
        <is>
          <t>Planned</t>
        </is>
      </c>
    </row>
    <row r="9">
      <c r="A9" s="6" t="inlineStr">
        <is>
          <t>RULES THIS DOCUMENT IS KEPT TO</t>
        </is>
      </c>
    </row>
    <row r="10" ht="30" customHeight="1">
      <c r="A10" s="11" t="inlineStr">
        <is>
          <t>A result is only PASS if someone watched it.</t>
        </is>
      </c>
      <c r="B10" s="12" t="n"/>
      <c r="C10" s="5" t="inlineStr">
        <is>
          <t>Do not mark a case PASS because the automated suite covers the same code. The automated suite is not in question; what this pack tests is the behaviour a person can see.</t>
        </is>
      </c>
      <c r="D10" s="13" t="n"/>
      <c r="E10" s="13" t="n"/>
      <c r="F10" s="12" t="n"/>
    </row>
    <row r="11" ht="30" customHeight="1">
      <c r="A11" s="11" t="inlineStr">
        <is>
          <t>A BLOCKED case is never PASS.</t>
        </is>
      </c>
      <c r="B11" s="12" t="n"/>
      <c r="C11" s="5" t="inlineStr">
        <is>
          <t>If the blocker is lifted, run the case and record the result with the date and the tester. Until then it stays BLOCKED, however confident anyone is.</t>
        </is>
      </c>
      <c r="D11" s="13" t="n"/>
      <c r="E11" s="13" t="n"/>
      <c r="F11" s="12" t="n"/>
    </row>
    <row r="12" ht="30" customHeight="1">
      <c r="A12" s="11" t="inlineStr">
        <is>
          <t>Record the actual result, not the expected one.</t>
        </is>
      </c>
      <c r="B12" s="12" t="n"/>
      <c r="C12" s="5" t="inlineStr">
        <is>
          <t>The 'Actual result' column is for what happened. Copying the expected value into it is the single most common way a manual test pack becomes worthless.</t>
        </is>
      </c>
      <c r="D12" s="13" t="n"/>
      <c r="E12" s="13" t="n"/>
      <c r="F12" s="12" t="n"/>
    </row>
    <row r="13" ht="30" customHeight="1">
      <c r="A13" s="11" t="inlineStr">
        <is>
          <t>A failure gets a defect id.</t>
        </is>
      </c>
      <c r="B13" s="12" t="n"/>
      <c r="C13" s="5" t="inlineStr">
        <is>
          <t>Raise it in DEFECT_REGISTER.md in the code archive and put the id in the 'Defect raised' column, so the case and the defect point at each other.</t>
        </is>
      </c>
      <c r="D13" s="13" t="n"/>
      <c r="E13" s="13" t="n"/>
      <c r="F13" s="12" t="n"/>
    </row>
    <row r="14" ht="30" customHeight="1">
      <c r="A14" s="11" t="inlineStr">
        <is>
          <t>Re-baseline after a version bump.</t>
        </is>
      </c>
      <c r="B14" s="12" t="n"/>
      <c r="C14" s="5" t="inlineStr">
        <is>
          <t>When the product version changes, check the Expected result column before running. A stale expectation produces a false failure, which is worse than no test.</t>
        </is>
      </c>
      <c r="D14" s="13" t="n"/>
      <c r="E14" s="13" t="n"/>
      <c r="F14" s="12" t="n"/>
    </row>
  </sheetData>
  <mergeCells count="10">
    <mergeCell ref="C13:F13"/>
    <mergeCell ref="A11:B11"/>
    <mergeCell ref="C12:F12"/>
    <mergeCell ref="A10:B10"/>
    <mergeCell ref="A13:B13"/>
    <mergeCell ref="A14:B14"/>
    <mergeCell ref="C11:F11"/>
    <mergeCell ref="C10:F10"/>
    <mergeCell ref="C14:F14"/>
    <mergeCell ref="A12:B12"/>
  </mergeCells>
  <pageMargins left="0.75" right="0.75" top="1" bottom="1" header="0.5" footer="0.5"/>
</worksheet>
</file>

<file path=xl/worksheets/sheet3.xml><?xml version="1.0" encoding="utf-8"?>
<worksheet xmlns="http://schemas.openxmlformats.org/spreadsheetml/2006/main">
  <sheetPr>
    <tabColor rgb="FF1F3864"/>
    <outlinePr summaryBelow="1" summaryRight="1"/>
    <pageSetUpPr/>
  </sheetPr>
  <dimension ref="A1:B10"/>
  <sheetViews>
    <sheetView workbookViewId="0">
      <selection activeCell="A1" sqref="A1"/>
    </sheetView>
  </sheetViews>
  <sheetFormatPr baseColWidth="8" defaultRowHeight="15"/>
  <cols>
    <col width="26" customWidth="1" min="1" max="1"/>
    <col width="130" customWidth="1" min="2" max="2"/>
  </cols>
  <sheetData>
    <row r="1" ht="22" customHeight="1">
      <c r="A1" s="8" t="inlineStr">
        <is>
          <t>CONTEXT — what is being tested and why it is in this state</t>
        </is>
      </c>
    </row>
    <row r="2">
      <c r="A2" s="9" t="inlineStr">
        <is>
          <t>Read once. Everything after this assumes it.</t>
        </is>
      </c>
    </row>
    <row r="4">
      <c r="A4" s="10" t="inlineStr">
        <is>
          <t>Topic</t>
        </is>
      </c>
      <c r="B4" s="10" t="inlineStr">
        <is>
          <t>Detail</t>
        </is>
      </c>
    </row>
    <row r="5">
      <c r="A5" s="5" t="inlineStr">
        <is>
          <t>What the product does</t>
        </is>
      </c>
      <c r="B5" s="5" t="inlineStr">
        <is>
          <t>Generates documents from Google Sheets rows and Google Form submissions. A template is bound to a Google Doc; the product copies that Doc per row, substitutes {{placeholders}}, inserts repeating table rows for line items, swaps logo images, exports to PDF or DOCX, and files the result into a Drive folder. Around that sit approval routing, billing, plan limits, a tamper-evident audit ledger, tenant isolation, and a quota governor.</t>
        </is>
      </c>
    </row>
    <row r="6">
      <c r="A6" s="5" t="inlineStr">
        <is>
          <t>Where the product stands</t>
        </is>
      </c>
      <c r="B6" s="5" t="inlineStr">
        <is>
          <t>The application runs, serves HTTP, migrates its database and survives a restart — all proved by execution. The seven adapters that talk to Google, Stripe and the Marketplace are written and unit-proved against recorded contracts, and NOT ONE has ever sent a request to the live service. That is not a shortcut; it is blocked on a GCP project that does not exist yet (LC-1).</t>
        </is>
      </c>
    </row>
    <row r="7">
      <c r="A7" s="5" t="inlineStr">
        <is>
          <t>Why the pack is split this way</t>
        </is>
      </c>
      <c r="B7" s="5" t="inlineStr">
        <is>
          <t>Sheet 10 lists every version that is DONE and why it was done. Sheet 11 lists every version that is PENDING and what is holding it — because a pending item with no stated reason is indistinguishable from an item nobody thought about. Sheets 20–22 hold the test cases: positive (does it do the right thing), negative (does it refuse the wrong thing safely), and blocked (written, waiting on LC-1).</t>
        </is>
      </c>
    </row>
    <row r="8">
      <c r="A8" s="5" t="inlineStr">
        <is>
          <t>What this pack does NOT cover</t>
        </is>
      </c>
      <c r="B8" s="5" t="inlineStr">
        <is>
          <t>Automated unit, contract and boot tests — 1,513 of them, run by CI on every commit. Performance and load testing against real infrastructure, which needs LC-1. Penetration testing, which needs a deployed target and a budget. Accessibility, which has an automated WCAG audit already. None of these are skipped silently; each is named here so their absence is visible.</t>
        </is>
      </c>
    </row>
    <row r="9">
      <c r="A9" s="5" t="inlineStr">
        <is>
          <t>Known risk in the test pack itself</t>
        </is>
      </c>
      <c r="B9" s="5" t="inlineStr">
        <is>
          <t>The negative cases are stronger than the positive ones, because the positive cases for anything involving Google are blocked. A reader could come away thinking the product is better tested than it is. The honest summary: the half that does not touch Google is very well tested; the half that does has never run.</t>
        </is>
      </c>
    </row>
    <row r="10">
      <c r="A10" s="5" t="inlineStr">
        <is>
          <t>Prerequisites to run anything</t>
        </is>
      </c>
      <c r="B10" s="5" t="inlineStr">
        <is>
          <t>Node 22 and npm. A PostgreSQL 16 server. The code archive docmerge-pro-s1-v036.zip unpacked, with `npm ci` run once. Roughly 20 minutes to set up; sheet 03 has the exact commands.</t>
        </is>
      </c>
    </row>
  </sheetData>
  <pageMargins left="0.75" right="0.75" top="1" bottom="1" header="0.5" footer="0.5"/>
</worksheet>
</file>

<file path=xl/worksheets/sheet4.xml><?xml version="1.0" encoding="utf-8"?>
<worksheet xmlns="http://schemas.openxmlformats.org/spreadsheetml/2006/main">
  <sheetPr>
    <tabColor rgb="FF1F3864"/>
    <outlinePr summaryBelow="1" summaryRight="1"/>
    <pageSetUpPr/>
  </sheetPr>
  <dimension ref="A1:D28"/>
  <sheetViews>
    <sheetView workbookViewId="0">
      <pane ySplit="4" topLeftCell="A5" activePane="bottomLeft" state="frozen"/>
      <selection pane="bottomLeft" activeCell="A1" sqref="A1"/>
    </sheetView>
  </sheetViews>
  <sheetFormatPr baseColWidth="8" defaultRowHeight="15"/>
  <cols>
    <col width="24" customWidth="1" min="1" max="1"/>
    <col width="46" customWidth="1" min="2" max="2"/>
    <col width="64" customWidth="1" min="3" max="3"/>
    <col width="22" customWidth="1" min="4" max="4"/>
  </cols>
  <sheetData>
    <row r="1" ht="22" customHeight="1">
      <c r="A1" s="8" t="inlineStr">
        <is>
          <t>HOW TO USE THIS PACK</t>
        </is>
      </c>
    </row>
    <row r="2">
      <c r="A2" s="9" t="inlineStr">
        <is>
          <t>Sheet by sheet, and the setup you need before the first test case.</t>
        </is>
      </c>
    </row>
    <row r="4">
      <c r="A4" s="10" t="inlineStr">
        <is>
          <t>Sheet</t>
        </is>
      </c>
      <c r="B4" s="10" t="inlineStr">
        <is>
          <t>What it is</t>
        </is>
      </c>
      <c r="C4" s="10" t="inlineStr">
        <is>
          <t>How to use it</t>
        </is>
      </c>
      <c r="D4" s="10" t="inlineStr">
        <is>
          <t>Who uses it</t>
        </is>
      </c>
    </row>
    <row r="5">
      <c r="A5" s="5" t="inlineStr">
        <is>
          <t>00_Cover</t>
        </is>
      </c>
      <c r="B5" s="5" t="inlineStr">
        <is>
          <t>Identity of the document and the one-paragraph orientation.</t>
        </is>
      </c>
      <c r="C5" s="5" t="inlineStr">
        <is>
          <t>Read once. Check the 'Build under test' row matches the archive you actually have before running anything.</t>
        </is>
      </c>
      <c r="D5" s="5" t="inlineStr">
        <is>
          <t>Everyone</t>
        </is>
      </c>
    </row>
    <row r="6">
      <c r="A6" s="5" t="inlineStr">
        <is>
          <t>01_Document_Control</t>
        </is>
      </c>
      <c r="B6" s="5" t="inlineStr">
        <is>
          <t>Version history of this document and the rules it is kept to.</t>
        </is>
      </c>
      <c r="C6" s="5" t="inlineStr">
        <is>
          <t>Add a row when you re-issue. Read the five rules before your first test run — they are the difference between a test pack and a spreadsheet.</t>
        </is>
      </c>
      <c r="D6" s="5" t="inlineStr">
        <is>
          <t>Author, reviewer</t>
        </is>
      </c>
    </row>
    <row r="7">
      <c r="A7" s="5" t="inlineStr">
        <is>
          <t>02_Context</t>
        </is>
      </c>
      <c r="B7" s="5" t="inlineStr">
        <is>
          <t>What the product is and why it is in this state.</t>
        </is>
      </c>
      <c r="C7" s="5" t="inlineStr">
        <is>
          <t>Read once before testing. Re-read if you come back to this pack after a gap.</t>
        </is>
      </c>
      <c r="D7" s="5" t="inlineStr">
        <is>
          <t>New tester</t>
        </is>
      </c>
    </row>
    <row r="8">
      <c r="A8" s="5" t="inlineStr">
        <is>
          <t>03_How_To_Use</t>
        </is>
      </c>
      <c r="B8" s="5" t="inlineStr">
        <is>
          <t>This sheet, plus the environment setup.</t>
        </is>
      </c>
      <c r="C8" s="5" t="inlineStr">
        <is>
          <t>Follow §Setup below before test case one.</t>
        </is>
      </c>
      <c r="D8" s="5" t="inlineStr">
        <is>
          <t>Tester</t>
        </is>
      </c>
    </row>
    <row r="9">
      <c r="A9" s="5" t="inlineStr">
        <is>
          <t>10_Version_Register</t>
        </is>
      </c>
      <c r="B9" s="5" t="inlineStr">
        <is>
          <t>Every version that is DONE: what it delivered, why it was done, and the evidence.</t>
        </is>
      </c>
      <c r="C9" s="5" t="inlineStr">
        <is>
          <t>Use it to answer 'is this behaviour supposed to exist yet?'. Filter the Status column.</t>
        </is>
      </c>
      <c r="D9" s="5" t="inlineStr">
        <is>
          <t>Tester, reviewer, owner</t>
        </is>
      </c>
    </row>
    <row r="10">
      <c r="A10" s="5" t="inlineStr">
        <is>
          <t>11_Pending_Versions</t>
        </is>
      </c>
      <c r="B10" s="5" t="inlineStr">
        <is>
          <t>Every version NOT done: what it would deliver, what blocks it, and who owns the blocker.</t>
        </is>
      </c>
      <c r="C10" s="5" t="inlineStr">
        <is>
          <t>Use it to answer 'why can I not test this?'. Every blocked test case points at a row here.</t>
        </is>
      </c>
      <c r="D10" s="5" t="inlineStr">
        <is>
          <t>Owner, reviewer</t>
        </is>
      </c>
    </row>
    <row r="11">
      <c r="A11" s="5" t="inlineStr">
        <is>
          <t>20_Test_Cases_Positive</t>
        </is>
      </c>
      <c r="B11" s="5" t="inlineStr">
        <is>
          <t>Cases that prove the product does the right thing.</t>
        </is>
      </c>
      <c r="C11" s="5" t="inlineStr">
        <is>
          <t>Work top to bottom within a version. Fill Actual result, Status, Tester and Date as you go.</t>
        </is>
      </c>
      <c r="D11" s="5" t="inlineStr">
        <is>
          <t>Tester</t>
        </is>
      </c>
    </row>
    <row r="12">
      <c r="A12" s="5" t="inlineStr">
        <is>
          <t>21_Test_Cases_Negative</t>
        </is>
      </c>
      <c r="B12" s="5" t="inlineStr">
        <is>
          <t>Cases that prove the product refuses the wrong thing, safely and legibly.</t>
        </is>
      </c>
      <c r="C12" s="5" t="inlineStr">
        <is>
          <t>Run these AFTER the positive cases for the same version — a negative case on a broken happy path tells you nothing.</t>
        </is>
      </c>
      <c r="D12" s="5" t="inlineStr">
        <is>
          <t>Tester</t>
        </is>
      </c>
    </row>
    <row r="13">
      <c r="A13" s="5" t="inlineStr">
        <is>
          <t>22_Test_Cases_Blocked</t>
        </is>
      </c>
      <c r="B13" s="5" t="inlineStr">
        <is>
          <t>Cases written and waiting on a blocker, mostly LC-1.</t>
        </is>
      </c>
      <c r="C13" s="5" t="inlineStr">
        <is>
          <t>Do not run. Do not mark PASS. When the blocker lifts, move the case into sheet 20 or 21 and run it properly.</t>
        </is>
      </c>
      <c r="D13" s="5" t="inlineStr">
        <is>
          <t>Owner, tester</t>
        </is>
      </c>
    </row>
    <row r="14">
      <c r="A14" s="5" t="inlineStr">
        <is>
          <t>30_Traceability</t>
        </is>
      </c>
      <c r="B14" s="5" t="inlineStr">
        <is>
          <t>Test case → version → requirement → automated counterpart.</t>
        </is>
      </c>
      <c r="C14" s="5" t="inlineStr">
        <is>
          <t>Use it to show coverage, and to find which cases to re-run after a change.</t>
        </is>
      </c>
      <c r="D14" s="5" t="inlineStr">
        <is>
          <t>Reviewer, auditor</t>
        </is>
      </c>
    </row>
    <row r="15">
      <c r="A15" s="5" t="inlineStr">
        <is>
          <t>31_Execution_Summary</t>
        </is>
      </c>
      <c r="B15" s="5" t="inlineStr">
        <is>
          <t>Live counts by status and by version, computed from the case sheets.</t>
        </is>
      </c>
      <c r="C15" s="5" t="inlineStr">
        <is>
          <t>Do not type into the computed cells. Read it after a test run to see where you are.</t>
        </is>
      </c>
      <c r="D15" s="5" t="inlineStr">
        <is>
          <t>Owner, reviewer</t>
        </is>
      </c>
    </row>
    <row r="16">
      <c r="A16" s="5" t="inlineStr">
        <is>
          <t>32_Defect_Log</t>
        </is>
      </c>
      <c r="B16" s="5" t="inlineStr">
        <is>
          <t>Defects found by MANUAL testing, with a link back to the case.</t>
        </is>
      </c>
      <c r="C16" s="5" t="inlineStr">
        <is>
          <t>One row per failure. The canonical product-wide register is DEFECT_REGISTER.md in the code archive.</t>
        </is>
      </c>
      <c r="D16" s="5" t="inlineStr">
        <is>
          <t>Tester, owner</t>
        </is>
      </c>
    </row>
    <row r="18">
      <c r="A18" s="6" t="inlineStr">
        <is>
          <t>SETUP — do this once, before the first test case</t>
        </is>
      </c>
    </row>
    <row r="19">
      <c r="A19" s="11" t="inlineStr">
        <is>
          <t>S-1</t>
        </is>
      </c>
      <c r="B19" s="5" t="inlineStr">
        <is>
          <t>Unpack the build</t>
        </is>
      </c>
      <c r="C19" s="5" t="inlineStr">
        <is>
          <t>Unzip docmerge-pro-s1-v036.zip and `cd docmerge-pro-s1`.</t>
        </is>
      </c>
      <c r="D19" s="5" t="inlineStr">
        <is>
          <t>A directory containing package.json, src/, tests/, migrations/.</t>
        </is>
      </c>
    </row>
    <row r="20">
      <c r="A20" s="11" t="inlineStr">
        <is>
          <t>S-2</t>
        </is>
      </c>
      <c r="B20" s="5" t="inlineStr">
        <is>
          <t>Install dependencies</t>
        </is>
      </c>
      <c r="C20" s="5" t="inlineStr">
        <is>
          <t>`npm ci`</t>
        </is>
      </c>
      <c r="D20" s="5" t="inlineStr">
        <is>
          <t>Roughly 296 packages installed, no errors. If this fails, stop — nothing else will work.</t>
        </is>
      </c>
    </row>
    <row r="21">
      <c r="A21" s="11" t="inlineStr">
        <is>
          <t>S-3</t>
        </is>
      </c>
      <c r="B21" s="5" t="inlineStr">
        <is>
          <t>Start PostgreSQL 16</t>
        </is>
      </c>
      <c r="C21" s="5" t="inlineStr">
        <is>
          <t>Any local instance. Note the connection string.</t>
        </is>
      </c>
      <c r="D21" s="5" t="inlineStr">
        <is>
          <t>`psql -l` lists databases.</t>
        </is>
      </c>
    </row>
    <row r="22">
      <c r="A22" s="11" t="inlineStr">
        <is>
          <t>S-4</t>
        </is>
      </c>
      <c r="B22" s="5" t="inlineStr">
        <is>
          <t>Create the test database</t>
        </is>
      </c>
      <c r="C22" s="5" t="inlineStr">
        <is>
          <t>`createdb docmerge_manualtest`</t>
        </is>
      </c>
      <c r="D22" s="5" t="inlineStr">
        <is>
          <t>Database exists.</t>
        </is>
      </c>
    </row>
    <row r="23">
      <c r="A23" s="11" t="inlineStr">
        <is>
          <t>S-5</t>
        </is>
      </c>
      <c r="B23" s="5" t="inlineStr">
        <is>
          <t>Apply migrations</t>
        </is>
      </c>
      <c r="C23" s="5" t="inlineStr">
        <is>
          <t>`DATABASE_URL=postgres://…/docmerge_manualtest DATABASE_SSL=disable node scripts/migrate.js`</t>
        </is>
      </c>
      <c r="D23" s="5" t="inlineStr">
        <is>
          <t>Six migrations reported as applied, in order, exit code 0.</t>
        </is>
      </c>
    </row>
    <row r="24">
      <c r="A24" s="11" t="inlineStr">
        <is>
          <t>S-6</t>
        </is>
      </c>
      <c r="B24" s="5" t="inlineStr">
        <is>
          <t>Build</t>
        </is>
      </c>
      <c r="C24" s="5" t="inlineStr">
        <is>
          <t>`npx tsc`</t>
        </is>
      </c>
      <c r="D24" s="5" t="inlineStr">
        <is>
          <t>A dist/ directory appears containing main.js. No TypeScript errors.</t>
        </is>
      </c>
    </row>
    <row r="25">
      <c r="A25" s="11" t="inlineStr">
        <is>
          <t>S-7</t>
        </is>
      </c>
      <c r="B25" s="5" t="inlineStr">
        <is>
          <t>Prepare the environment block</t>
        </is>
      </c>
      <c r="C25" s="5" t="inlineStr">
        <is>
          <t>Copy .env.example and fill every REQUIRED value. For local testing set DATABASE_SSL=disable and NODE_ENV=test. SESSION_SECRET must be at least 16 characters.</t>
        </is>
      </c>
      <c r="D25" s="5" t="inlineStr">
        <is>
          <t>25 variables understood; the required ones populated.</t>
        </is>
      </c>
    </row>
    <row r="26">
      <c r="A26" s="11" t="inlineStr">
        <is>
          <t>S-8</t>
        </is>
      </c>
      <c r="B26" s="5" t="inlineStr">
        <is>
          <t>Sanity check</t>
        </is>
      </c>
      <c r="C26" s="5" t="inlineStr">
        <is>
          <t>`npm run verify` — this runs the full automated gate. It is not one of your test cases; it tells you the build you are holding is the build this pack describes.</t>
        </is>
      </c>
      <c r="D26" s="5" t="inlineStr">
        <is>
          <t>1,513 tests pass, coverage 100%, all gates report no findings.</t>
        </is>
      </c>
    </row>
    <row r="28">
      <c r="A28" s="9" t="inlineStr">
        <is>
          <t>If S-8 does not produce those numbers, the build is not the one this pack was written against. Stop and reconcile before testing — otherwise every result you record is about a different product.</t>
        </is>
      </c>
    </row>
  </sheetData>
  <mergeCells count="1">
    <mergeCell ref="A28:D28"/>
  </mergeCells>
  <pageMargins left="0.75" right="0.75" top="1" bottom="1" header="0.5" footer="0.5"/>
</worksheet>
</file>

<file path=xl/worksheets/sheet5.xml><?xml version="1.0" encoding="utf-8"?>
<worksheet xmlns="http://schemas.openxmlformats.org/spreadsheetml/2006/main">
  <sheetPr>
    <tabColor rgb="FF1F3864"/>
    <outlinePr summaryBelow="1" summaryRight="1"/>
    <pageSetUpPr/>
  </sheetPr>
  <dimension ref="A1:G20"/>
  <sheetViews>
    <sheetView workbookViewId="0">
      <pane ySplit="4" topLeftCell="A5" activePane="bottomLeft" state="frozen"/>
      <selection pane="bottomLeft" activeCell="A1" sqref="A1"/>
    </sheetView>
  </sheetViews>
  <sheetFormatPr baseColWidth="8" defaultRowHeight="15"/>
  <cols>
    <col width="9" customWidth="1" min="1" max="1"/>
    <col width="24" customWidth="1" min="2" max="2"/>
    <col width="56" customWidth="1" min="3" max="3"/>
    <col width="56" customWidth="1" min="4" max="4"/>
    <col width="20" customWidth="1" min="5" max="5"/>
    <col width="50" customWidth="1" min="6" max="6"/>
    <col width="16" customWidth="1" min="7" max="7"/>
  </cols>
  <sheetData>
    <row r="1">
      <c r="A1" s="8" t="inlineStr">
        <is>
          <t>VERSION REGISTER — what each delivered version did, and why it was done</t>
        </is>
      </c>
    </row>
    <row r="2" ht="30" customHeight="1">
      <c r="A2" s="9" t="inlineStr">
        <is>
          <t>Every version below shipped. 'Why it was done' matters as much as 'what': a version with no reason is a version nobody can decide to keep. Status distinguishes fully verified from delivered-but-never-run-live.</t>
        </is>
      </c>
    </row>
    <row r="4">
      <c r="A4" s="10" t="inlineStr">
        <is>
          <t>Version</t>
        </is>
      </c>
      <c r="B4" s="10" t="inlineStr">
        <is>
          <t>Name</t>
        </is>
      </c>
      <c r="C4" s="10" t="inlineStr">
        <is>
          <t>What it delivered</t>
        </is>
      </c>
      <c r="D4" s="10" t="inlineStr">
        <is>
          <t>Why it was done</t>
        </is>
      </c>
      <c r="E4" s="10" t="inlineStr">
        <is>
          <t>Status</t>
        </is>
      </c>
      <c r="F4" s="10" t="inlineStr">
        <is>
          <t>Evidence you can check yourself</t>
        </is>
      </c>
      <c r="G4" s="10" t="inlineStr">
        <is>
          <t>Test cases</t>
        </is>
      </c>
    </row>
    <row r="5">
      <c r="A5" s="5" t="inlineStr">
        <is>
          <t>S1</t>
        </is>
      </c>
      <c r="B5" s="5" t="inlineStr">
        <is>
          <t>Install lifecycle</t>
        </is>
      </c>
      <c r="C5" s="5" t="inlineStr">
        <is>
          <t>Marketplace OAuth install to a welcome state, uninstall handling with token revocation and a 30-day deletion schedule, token refresh that survives Google rotating the refresh token, and install source attribution.</t>
        </is>
      </c>
      <c r="D5" s="5" t="inlineStr">
        <is>
          <t>Nothing else can be tested until an account can exist. This is the first thing a customer touches and the first thing that can go wrong invisibly — a refresh that does not survive rotation fails silently a week later.</t>
        </is>
      </c>
      <c r="E5" s="14" t="inlineStr">
        <is>
          <t>Done (live unverified)</t>
        </is>
      </c>
      <c r="F5" s="5" t="inlineStr">
        <is>
          <t>tests/install.test.ts, tokenRefresh.test.ts; the OAuth adapter added in S15 has never called Google</t>
        </is>
      </c>
      <c r="G5" s="5" t="inlineStr">
        <is>
          <t>MT-INS-01..06</t>
        </is>
      </c>
    </row>
    <row r="6">
      <c r="A6" s="5" t="inlineStr">
        <is>
          <t>S2–S3</t>
        </is>
      </c>
      <c r="B6" s="5" t="inlineStr">
        <is>
          <t>Template designer</t>
        </is>
      </c>
      <c r="C6" s="5" t="inlineStr">
        <is>
          <t>One-screen template creation with defaults, placeholder extraction and validation with a message naming the exact missing field, rules that include or exclude sections conditionally, role permissions, pause/resume, CSV import.</t>
        </is>
      </c>
      <c r="D6" s="5" t="inlineStr">
        <is>
          <t>The actionable error message is the deliberate differentiator: a competitor tells you the merge failed, this tells you which column to add to your Sheet. That only pays off if the message is genuinely specific, which is what the manual cases check.</t>
        </is>
      </c>
      <c r="E6" s="15" t="inlineStr">
        <is>
          <t>Done</t>
        </is>
      </c>
      <c r="F6" s="5" t="inlineStr">
        <is>
          <t>tests/templates.test.ts; testable end to end today without Google</t>
        </is>
      </c>
      <c r="G6" s="5" t="inlineStr">
        <is>
          <t>MT-TPL-01..09</t>
        </is>
      </c>
    </row>
    <row r="7">
      <c r="A7" s="5" t="inlineStr">
        <is>
          <t>S3–S4</t>
        </is>
      </c>
      <c r="B7" s="5" t="inlineStr">
        <is>
          <t>Batch generation from Sheets</t>
        </is>
      </c>
      <c r="C7" s="5" t="inlineStr">
        <is>
          <t>Batch jobs with skip-empty and continue-on-error defaults, per-row results so one bad row does not stop the run, row rules, retry on transient platform failures, metrics, pause/resume, CSV row import.</t>
        </is>
      </c>
      <c r="D7" s="5" t="inlineStr">
        <is>
          <t>The core volume feature. A 500-row batch that stops at row 40 and reports nothing is the failure mode that loses a customer, so per-row outcome reporting was built before anything decorative.</t>
        </is>
      </c>
      <c r="E7" s="14" t="inlineStr">
        <is>
          <t>Done (live unverified)</t>
        </is>
      </c>
      <c r="F7" s="5" t="inlineStr">
        <is>
          <t>tests/batch.test.ts, batchOps.test.ts; the Sheets adapter (S15) has never called Google</t>
        </is>
      </c>
      <c r="G7" s="5" t="inlineStr">
        <is>
          <t>MT-BAT-01..07</t>
        </is>
      </c>
    </row>
    <row r="8">
      <c r="A8" s="5" t="inlineStr">
        <is>
          <t>S5</t>
        </is>
      </c>
      <c r="B8" s="5" t="inlineStr">
        <is>
          <t>Approval requests</t>
        </is>
      </c>
      <c r="C8" s="5" t="inlineStr">
        <is>
          <t>Sequential or parallel routing, domain allow-lists, expiry, decline with reason, pause and resume without data loss, CSV signer import, audit entries, tenant ownership checks.</t>
        </is>
      </c>
      <c r="D8" s="5" t="inlineStr">
        <is>
          <t>Originally built and sold as e-signature. An external review established it produces no signature artefact, no binding of intent to a document hash and no signer authentication, so it was renamed to Approval requests and a repository gate now fails the build on any signature claim. The state machine itself is sound and kept.</t>
        </is>
      </c>
      <c r="E8" s="15" t="inlineStr">
        <is>
          <t>Done</t>
        </is>
      </c>
      <c r="F8" s="5" t="inlineStr">
        <is>
          <t>tests/esign.test.ts; claims gate proves zero signature claims remain</t>
        </is>
      </c>
      <c r="G8" s="5" t="inlineStr">
        <is>
          <t>MT-APR-01..06</t>
        </is>
      </c>
    </row>
    <row r="9">
      <c r="A9" s="5" t="inlineStr">
        <is>
          <t>S6</t>
        </is>
      </c>
      <c r="B9" s="5" t="inlineStr">
        <is>
          <t>Auto-file to Drive + billing</t>
        </is>
      </c>
      <c r="C9" s="5" t="inlineStr">
        <is>
          <t>Folder patterns with date and template tokens, conflict policy (rename, overwrite, skip), retry on 429/5xx, 14-day trial without a card, mid-cycle proration to the cent, provider routing.</t>
        </is>
      </c>
      <c r="D9" s="5" t="inlineStr">
        <is>
          <t>Filing is where generated documents become findable; billing is where the product becomes a business. Proration to the cent was built because an off-by-a-penny invoice is a support ticket and a trust problem.</t>
        </is>
      </c>
      <c r="E9" s="14" t="inlineStr">
        <is>
          <t>Done (live unverified)</t>
        </is>
      </c>
      <c r="F9" s="5" t="inlineStr">
        <is>
          <t>tests/driveFiler.test.ts, billing.test.ts; Drive and Stripe adapters never called live</t>
        </is>
      </c>
      <c r="G9" s="5" t="inlineStr">
        <is>
          <t>MT-FIL-01..05, MT-BIL-01..06</t>
        </is>
      </c>
    </row>
    <row r="10">
      <c r="A10" s="5" t="inlineStr">
        <is>
          <t>S7–S8</t>
        </is>
      </c>
      <c r="B10" s="5" t="inlineStr">
        <is>
          <t>Dunning, invoices, form triggers, compliance</t>
        </is>
      </c>
      <c r="C10" s="5" t="inlineStr">
        <is>
          <t>Exactly three dunning emails on a 1/3/7-day schedule then read-only, plan limits with prompts at 80% and 100%, numbered invoices with GST/VAT and reverse charge, form-triggered generation with replay-safe dedupe, data-flow and retention documentation, rate-limit backoff and circuit breaker.</t>
        </is>
      </c>
      <c r="D10" s="5" t="inlineStr">
        <is>
          <t>Read-only rather than deletion at the end of dunning is a deliberate choice: paying restores instantly and no customer data is destroyed over a failed card. Form dedupe exists because webhook redelivery is normal, and a duplicate document is worse than a late one.</t>
        </is>
      </c>
      <c r="E10" s="15" t="inlineStr">
        <is>
          <t>Done</t>
        </is>
      </c>
      <c r="F10" s="5" t="inlineStr">
        <is>
          <t>tests/billingHardening.test.ts, formTrigger.test.ts</t>
        </is>
      </c>
      <c r="G10" s="5" t="inlineStr">
        <is>
          <t>MT-DUN-01..05, MT-FRM-01..04</t>
        </is>
      </c>
    </row>
    <row r="11">
      <c r="A11" s="5" t="inlineStr">
        <is>
          <t>S9–S12</t>
        </is>
      </c>
      <c r="B11" s="5" t="inlineStr">
        <is>
          <t>Launch surfaces</t>
        </is>
      </c>
      <c r="C11" s="5" t="inlineStr">
        <is>
          <t>Security evidence pack, self-serve data export and delete, help centre with 15 articles, business-hours SLA clock, sandbox demo mode, status page, pricing matrix generated from the billing code, submission dry run, launch runbook, 20-template gallery.</t>
        </is>
      </c>
      <c r="D11" s="5" t="inlineStr">
        <is>
          <t>These are the artefacts a marketplace review asks for. Generating the pricing page FROM the billing code rather than writing it by hand means the published prices cannot drift from the charged ones.</t>
        </is>
      </c>
      <c r="E11" s="15" t="inlineStr">
        <is>
          <t>Done</t>
        </is>
      </c>
      <c r="F11" s="5" t="inlineStr">
        <is>
          <t>tests/launchSurfaces.test.ts, helpCenter.test.ts, site.test.ts</t>
        </is>
      </c>
      <c r="G11" s="5" t="inlineStr">
        <is>
          <t>MT-LCH-01..05</t>
        </is>
      </c>
    </row>
    <row r="12">
      <c r="A12" s="5" t="inlineStr">
        <is>
          <t>S13</t>
        </is>
      </c>
      <c r="B12" s="5" t="inlineStr">
        <is>
          <t>Make it run</t>
        </is>
      </c>
      <c r="C12" s="5" t="inlineStr">
        <is>
          <t>A process entrypoint that actually starts, /healthz and /readyz, graceful drain on SIGTERM, a declared Postgres driver with pooling and TLS, a working migration path, and three new standing gates.</t>
        </is>
      </c>
      <c r="D12" s="5" t="inlineStr">
        <is>
          <t>An external review executed `npm start` and found it exited 0 with no port open — the entrypoint exported a start function that nothing called. Every deployment document depended on a fail-closed readiness check that lived inside that uninvoked function, so the safety property most relied on was unreachable.</t>
        </is>
      </c>
      <c r="E12" s="15" t="inlineStr">
        <is>
          <t>Done</t>
        </is>
      </c>
      <c r="F12" s="5" t="inlineStr">
        <is>
          <t>`npm run test:boot` spawns the built artefact and asserts the port answers</t>
        </is>
      </c>
      <c r="G12" s="5" t="inlineStr">
        <is>
          <t>MT-RUN-01..08</t>
        </is>
      </c>
    </row>
    <row r="13">
      <c r="A13" s="5" t="inlineStr">
        <is>
          <t>S14</t>
        </is>
      </c>
      <c r="B13" s="5" t="inlineStr">
        <is>
          <t>Make it render</t>
        </is>
      </c>
      <c r="C13" s="5" t="inlineStr">
        <is>
          <t>Real Google Docs rendering: copy the template, one batchUpdate carrying placeholder replacement, image swaps, repeating table rows and section deletion, then export PDF or DOCX.</t>
        </is>
      </c>
      <c r="D13" s="5" t="inlineStr">
        <is>
          <t>The merge engine was string substitution on a plain-text body and could not produce a Doc or a PDF at all — the declared default output format was never read by any rendering code. This is the product's core function and it did not exist.</t>
        </is>
      </c>
      <c r="E13" s="14" t="inlineStr">
        <is>
          <t>Done (live unverified)</t>
        </is>
      </c>
      <c r="F13" s="5" t="inlineStr">
        <is>
          <t>tests/documentRenderer.test.ts asserts exact URLs and request bodies against a fake; no request has reached Google</t>
        </is>
      </c>
      <c r="G13" s="5" t="inlineStr">
        <is>
          <t>MT-RND-01..04 + blocked</t>
        </is>
      </c>
    </row>
    <row r="14">
      <c r="A14" s="5" t="inlineStr">
        <is>
          <t>S15</t>
        </is>
      </c>
      <c r="B14" s="5" t="inlineStr">
        <is>
          <t>Make it installable</t>
        </is>
      </c>
      <c r="C14" s="5" t="inlineStr">
        <is>
          <t>The Editor add-on: a manifest generated from the audited scope set with a drift test, Code.gs, a 300px sidebar, the sidebar host shim, and real Drive, Sheets and OAuth adapters.</t>
        </is>
      </c>
      <c r="D14" s="5" t="inlineStr">
        <is>
          <t>Neither add-on surface had any implementation — no manifest, no Code.gs, no sidebar. The decision about which add-on type to build was therefore not blocking work; it was blocking a rewrite of work nobody had started.</t>
        </is>
      </c>
      <c r="E14" s="14" t="inlineStr">
        <is>
          <t>Done (live unverified)</t>
        </is>
      </c>
      <c r="F14" s="5" t="inlineStr">
        <is>
          <t>tests/addonManifest.test.ts, googleDriveHost.test.ts; never pushed with clasp</t>
        </is>
      </c>
      <c r="G14" s="5" t="inlineStr">
        <is>
          <t>MT-ADD-01..03 + blocked</t>
        </is>
      </c>
    </row>
    <row r="15">
      <c r="A15" s="5" t="inlineStr">
        <is>
          <t>S16</t>
        </is>
      </c>
      <c r="B15" s="5" t="inlineStr">
        <is>
          <t>Make it durable and honest</t>
        </is>
      </c>
      <c r="C15" s="5" t="inlineStr">
        <is>
          <t>Eight stores moved to Postgres across seven new tables — webhook dedupe, the hash-chained audit ledger with its eviction anchor, approval requests, batch checkpoints, form triggers, rate-limit windows, sessions, deletion jobs — plus the e-sign rename and the claims gate.</t>
        </is>
      </c>
      <c r="D15" s="5" t="inlineStr">
        <is>
          <t>Webhook dedupe in memory means a restart lets a billing webhook apply twice. An audit ledger that vanishes on restart cannot serve the auditability that is this product's actual differentiator. Neither is an enterprise feature; both are single-process correctness.</t>
        </is>
      </c>
      <c r="E15" s="15" t="inlineStr">
        <is>
          <t>Done</t>
        </is>
      </c>
      <c r="F15" s="5" t="inlineStr">
        <is>
          <t>Crash-restart invariant test per store; PGlite contract tests; `npm run test:contract`</t>
        </is>
      </c>
      <c r="G15" s="5" t="inlineStr">
        <is>
          <t>MT-DUR-01..07</t>
        </is>
      </c>
    </row>
    <row r="16">
      <c r="A16" s="5" t="inlineStr">
        <is>
          <t>S17</t>
        </is>
      </c>
      <c r="B16" s="5" t="inlineStr">
        <is>
          <t>Make it sellable</t>
        </is>
      </c>
      <c r="C16" s="5" t="inlineStr">
        <is>
          <t>Buyer-facing governance artefacts generated from the enforcing code: a customer-verifiable audit export, a tenant-isolation statement, an honest batch-SLO page. Plus entitlement tiers, re-verified platform quotas, and listing corrections.</t>
        </is>
      </c>
      <c r="D16" s="5" t="inlineStr">
        <is>
          <t>A review found the product had accidentally built enterprise document governance and was marketing it as a mail merge. These artefacts make the governance legible to the buyer who would actually pay for it. The SLO page tells a customer a 500-row batch takes eight minutes and why — nobody else in the category will say that.</t>
        </is>
      </c>
      <c r="E16" s="15" t="inlineStr">
        <is>
          <t>Done</t>
        </is>
      </c>
      <c r="F16" s="5" t="inlineStr">
        <is>
          <t>tests/governanceSurfaces.test.ts; adversarial tamper tests on the audit export</t>
        </is>
      </c>
      <c r="G16" s="5" t="inlineStr">
        <is>
          <t>MT-GOV-01..06</t>
        </is>
      </c>
    </row>
    <row r="17">
      <c r="A17" s="5" t="inlineStr">
        <is>
          <t>S18</t>
        </is>
      </c>
      <c r="B17" s="5" t="inlineStr">
        <is>
          <t>Make it operable</t>
        </is>
      </c>
      <c r="C17" s="5" t="inlineStr">
        <is>
          <t>Dockerfile, Terraform for Cloud Run and Cloud SQL, a deploy workflow that fails closed, a redacting structured logger, SLO error budgets, a synthetic monitor, one alert with a tested runbook, and a backup/restore drill.</t>
        </is>
      </c>
      <c r="D17" s="5" t="inlineStr">
        <is>
          <t>You cannot have customers on something you cannot deploy, observe or roll back. The logger redacts because an access token in a log line is a credential leak with a long tail.</t>
        </is>
      </c>
      <c r="E17" s="14" t="inlineStr">
        <is>
          <t>Done (live unverified)</t>
        </is>
      </c>
      <c r="F17" s="5" t="inlineStr">
        <is>
          <t>The restore drill RAN: 26 tables, 592 rows, RTO 110ms. Terraform has never been init-ed; no image has been built.</t>
        </is>
      </c>
      <c r="G17" s="5" t="inlineStr">
        <is>
          <t>MT-OPS-01..06</t>
        </is>
      </c>
    </row>
    <row r="18">
      <c r="A18" s="5" t="inlineStr">
        <is>
          <t>S19</t>
        </is>
      </c>
      <c r="B18" s="5" t="inlineStr">
        <is>
          <t>Boundary integrity + evidence</t>
        </is>
      </c>
      <c r="C18" s="5" t="inlineStr">
        <is>
          <t>An integration gate that fails the build when an exported boundary has no implementation; the Stripe gateway and the Marketplace license probe it found missing; account identity storage; telemetry for the three activation questions.</t>
        </is>
      </c>
      <c r="D18" s="5" t="inlineStr">
        <is>
          <t>The review's central finding was a whole class of absence that coverage cannot see. A gate makes it a standing check rather than something an outsider finds once. It fired 16 findings on its first run — after seven sprints of remediation — including two stubs written the same hour.</t>
        </is>
      </c>
      <c r="E18" s="14" t="inlineStr">
        <is>
          <t>Done (live unverified)</t>
        </is>
      </c>
      <c r="F18" s="5" t="inlineStr">
        <is>
          <t>`npm run gate:integration` — 44 boundaries, 0 findings</t>
        </is>
      </c>
      <c r="G18" s="5" t="inlineStr">
        <is>
          <t>MT-GAT-01..05</t>
        </is>
      </c>
    </row>
    <row r="20" ht="30" customHeight="1">
      <c r="A20" s="9" t="inlineStr">
        <is>
          <t>Reading the Status column: 'Done' means the behaviour is fully exercisable and has been exercised. 'Done (live unverified)' means the code is complete and unit-proved but part of it talks to a service nobody has called yet — the version is delivered, its live behaviour is not evidence.</t>
        </is>
      </c>
    </row>
  </sheetData>
  <mergeCells count="2">
    <mergeCell ref="A20:G20"/>
    <mergeCell ref="A2:G2"/>
  </mergeCells>
  <pageMargins left="0.75" right="0.75" top="1" bottom="1" header="0.5" footer="0.5"/>
</worksheet>
</file>

<file path=xl/worksheets/sheet6.xml><?xml version="1.0" encoding="utf-8"?>
<worksheet xmlns="http://schemas.openxmlformats.org/spreadsheetml/2006/main">
  <sheetPr>
    <tabColor rgb="FF1F3864"/>
    <outlinePr summaryBelow="1" summaryRight="1"/>
    <pageSetUpPr/>
  </sheetPr>
  <dimension ref="A1:H16"/>
  <sheetViews>
    <sheetView workbookViewId="0">
      <pane ySplit="4" topLeftCell="A5" activePane="bottomLeft" state="frozen"/>
      <selection pane="bottomLeft" activeCell="A1" sqref="A1"/>
    </sheetView>
  </sheetViews>
  <sheetFormatPr baseColWidth="8" defaultRowHeight="15"/>
  <cols>
    <col width="10" customWidth="1" min="1" max="1"/>
    <col width="24" customWidth="1" min="2" max="2"/>
    <col width="46" customWidth="1" min="3" max="3"/>
    <col width="62" customWidth="1" min="4" max="4"/>
    <col width="14" customWidth="1" min="5" max="5"/>
    <col width="18" customWidth="1" min="6" max="6"/>
    <col width="12" customWidth="1" min="7" max="7"/>
    <col width="18" customWidth="1" min="8" max="8"/>
  </cols>
  <sheetData>
    <row r="1">
      <c r="A1" s="8" t="inlineStr">
        <is>
          <t>PENDING VERSIONS — what is not done, and the specific reason each one is not done</t>
        </is>
      </c>
    </row>
    <row r="2" ht="30" customHeight="1">
      <c r="A2" s="9" t="inlineStr">
        <is>
          <t>A pending item with no stated reason is indistinguishable from an item nobody thought about. Every row names its blocker, who owns it, and what it would take to clear.</t>
        </is>
      </c>
    </row>
    <row r="4">
      <c r="A4" s="10" t="inlineStr">
        <is>
          <t>Version</t>
        </is>
      </c>
      <c r="B4" s="10" t="inlineStr">
        <is>
          <t>Name</t>
        </is>
      </c>
      <c r="C4" s="10" t="inlineStr">
        <is>
          <t>What it would deliver</t>
        </is>
      </c>
      <c r="D4" s="10" t="inlineStr">
        <is>
          <t>Why it is PENDING — the actual reason</t>
        </is>
      </c>
      <c r="E4" s="10" t="inlineStr">
        <is>
          <t>Blocker owner</t>
        </is>
      </c>
      <c r="F4" s="10" t="inlineStr">
        <is>
          <t>Effort once unblocked</t>
        </is>
      </c>
      <c r="G4" s="10" t="inlineStr">
        <is>
          <t>Status</t>
        </is>
      </c>
      <c r="H4" s="10" t="inlineStr">
        <is>
          <t>Blocked test cases</t>
        </is>
      </c>
    </row>
    <row r="5">
      <c r="A5" s="5" t="inlineStr">
        <is>
          <t>V-LIVE-1</t>
        </is>
      </c>
      <c r="B5" s="5" t="inlineStr">
        <is>
          <t>Live Google verification</t>
        </is>
      </c>
      <c r="C5" s="5" t="inlineStr">
        <is>
          <t>Proof that the Docs, Drive, Sheets and OAuth adapters work against the real APIs: a real Doc created from a real template with a real image and a real repeating table, exported as a real PDF.</t>
        </is>
      </c>
      <c r="D5" s="5" t="inlineStr">
        <is>
          <t>No GCP project exists (LC-1). The adapters assert exact URLs, headers and request bodies against a fake HTTP client, which catches version drift and typos but cannot tell you whether Google accepts the request. The two things most likely to fail first are the table-row index arithmetic and section deletion across paragraph boundaries — both are index maths against a document model that has only ever been simulated.</t>
        </is>
      </c>
      <c r="E5" s="5" t="inlineStr">
        <is>
          <t>Senthil</t>
        </is>
      </c>
      <c r="F5" s="5" t="inlineStr">
        <is>
          <t>About an hour to create a throwaway project with a test user; then half a day to run the cases</t>
        </is>
      </c>
      <c r="G5" s="14" t="inlineStr">
        <is>
          <t>Blocked</t>
        </is>
      </c>
      <c r="H5" s="5" t="inlineStr">
        <is>
          <t>MT-X-RND-01..08</t>
        </is>
      </c>
    </row>
    <row r="6">
      <c r="A6" s="5" t="inlineStr">
        <is>
          <t>V-LIVE-2</t>
        </is>
      </c>
      <c r="B6" s="5" t="inlineStr">
        <is>
          <t>Add-on installation</t>
        </is>
      </c>
      <c r="C6" s="5" t="inlineStr">
        <is>
          <t>The Editor add-on pushed with clasp, installed into a real Sheet, the consent screen showing the six scopes, and the sidebar reading the active row.</t>
        </is>
      </c>
      <c r="D6" s="5" t="inlineStr">
        <is>
          <t>Same blocker (LC-1), plus one open defect: there is no handoff from the OAuth callback to the sidebar, so the user currently has to paste a session token by hand (DM-F31). That must be fixed before the demo recording, because the recording is also the OAuth verification video and a paste step would be visible in it.</t>
        </is>
      </c>
      <c r="E6" s="5" t="inlineStr">
        <is>
          <t>Senthil</t>
        </is>
      </c>
      <c r="F6" s="5" t="inlineStr">
        <is>
          <t>Half a day, after DM-F31 is fixed</t>
        </is>
      </c>
      <c r="G6" s="14" t="inlineStr">
        <is>
          <t>Blocked</t>
        </is>
      </c>
      <c r="H6" s="5" t="inlineStr">
        <is>
          <t>MT-X-ADD-01..06</t>
        </is>
      </c>
    </row>
    <row r="7">
      <c r="A7" s="5" t="inlineStr">
        <is>
          <t>V-LIVE-3</t>
        </is>
      </c>
      <c r="B7" s="5" t="inlineStr">
        <is>
          <t>Deployment and rollback</t>
        </is>
      </c>
      <c r="C7" s="5" t="inlineStr">
        <is>
          <t>The sequence the external review named as the exit criterion: destroy, recreate, deploy, migrate, smoke, roll back, redeploy — twice, from CI logs.</t>
        </is>
      </c>
      <c r="D7" s="5" t="inlineStr">
        <is>
          <t>LC-1 for the project, plus a hosting decision. Terraform has never been run: there is no binary available here and no project to plan against, so the provider argument names were written against the documented schema and the first `terraform validate` should be expected to surface a few. Everything fails closed naming LC-1 rather than reporting a false green, so the risk is delay, not a silent bad deploy.</t>
        </is>
      </c>
      <c r="E7" s="5" t="inlineStr">
        <is>
          <t>Senthil</t>
        </is>
      </c>
      <c r="F7" s="5" t="inlineStr">
        <is>
          <t>One to two days including the inevitable first-validate corrections</t>
        </is>
      </c>
      <c r="G7" s="14" t="inlineStr">
        <is>
          <t>Blocked</t>
        </is>
      </c>
      <c r="H7" s="5" t="inlineStr">
        <is>
          <t>MT-X-OPS-01..05</t>
        </is>
      </c>
    </row>
    <row r="8">
      <c r="A8" s="5" t="inlineStr">
        <is>
          <t>V-LIVE-4</t>
        </is>
      </c>
      <c r="B8" s="5" t="inlineStr">
        <is>
          <t>Billing against Stripe</t>
        </is>
      </c>
      <c r="C8" s="5" t="inlineStr">
        <is>
          <t>A real charge, a real decline, and the enrolment flow that stores the customer and payment method.</t>
        </is>
      </c>
      <c r="D8" s="5" t="inlineStr">
        <is>
          <t>Two reasons, and the second is the real one: there is no Stripe account, AND the enrolment flow (Checkout or a SetupIntent) was never built, so nothing writes the customer id the gateway needs. An unenrolled account is refused and logged rather than charged against an invented card, which is correct but means the happy path cannot be tested at all yet.</t>
        </is>
      </c>
      <c r="E8" s="5" t="inlineStr">
        <is>
          <t>Senthil</t>
        </is>
      </c>
      <c r="F8" s="5" t="inlineStr">
        <is>
          <t>A day for enrolment, an hour to test</t>
        </is>
      </c>
      <c r="G8" s="14" t="inlineStr">
        <is>
          <t>Blocked</t>
        </is>
      </c>
      <c r="H8" s="5" t="inlineStr">
        <is>
          <t>MT-X-BIL-01..05</t>
        </is>
      </c>
    </row>
    <row r="9">
      <c r="A9" s="5" t="inlineStr">
        <is>
          <t>V-PRICE</t>
        </is>
      </c>
      <c r="B9" s="5" t="inlineStr">
        <is>
          <t>Pricing and positioning applied</t>
        </is>
      </c>
      <c r="C9" s="5" t="inlineStr">
        <is>
          <t>Listing copy, pricing page, ICP and five story descriptions aligned to a decided price.</t>
        </is>
      </c>
      <c r="D9" s="5" t="inlineStr">
        <is>
          <t>Decision D-DM5 is open. The current model never reaches breakeven — reproduced independently, cumulative -$228,150 at month 18 with the gap still widening at month 12. The revised model reaches breakeven at month 12, but which structure to adopt is a business call, not an engineering one. It gates the listing copy because changing pricing after marketplace submission is expensive.</t>
        </is>
      </c>
      <c r="E9" s="5" t="inlineStr">
        <is>
          <t>Senthil</t>
        </is>
      </c>
      <c r="F9" s="5" t="inlineStr">
        <is>
          <t>An afternoon once decided</t>
        </is>
      </c>
      <c r="G9" s="14" t="inlineStr">
        <is>
          <t>Pending</t>
        </is>
      </c>
      <c r="H9" s="5" t="inlineStr">
        <is>
          <t>MT-X-PRC-01..02</t>
        </is>
      </c>
    </row>
    <row r="10">
      <c r="A10" s="5" t="inlineStr">
        <is>
          <t>V-LEGAL</t>
        </is>
      </c>
      <c r="B10" s="5" t="inlineStr">
        <is>
          <t>Reviewed terms and privacy policy</t>
        </is>
      </c>
      <c r="C10" s="5" t="inlineStr">
        <is>
          <t>Legally reviewed terms of service and privacy policy, hosted on a real domain.</t>
        </is>
      </c>
      <c r="D10" s="5" t="inlineStr">
        <is>
          <t>The terms are a structural draft with unreviewed warranty and liability clauses, marked as such on the pages themselves so they cannot be published unnoticed. A lawyer has not been engaged. This is the second slow external clock: hosted policy pages are a precondition for the OAuth consent screen, which is a precondition for everything under LC-1.</t>
        </is>
      </c>
      <c r="E10" s="5" t="inlineStr">
        <is>
          <t>Senthil</t>
        </is>
      </c>
      <c r="F10" s="5" t="inlineStr">
        <is>
          <t>Lead time is the lawyer's, not ours — start it in the same hour as LC-1</t>
        </is>
      </c>
      <c r="G10" s="14" t="inlineStr">
        <is>
          <t>Pending</t>
        </is>
      </c>
      <c r="H10" s="5" t="inlineStr">
        <is>
          <t>—</t>
        </is>
      </c>
    </row>
    <row r="11">
      <c r="A11" s="5" t="inlineStr">
        <is>
          <t>V-PENTEST</t>
        </is>
      </c>
      <c r="B11" s="5" t="inlineStr">
        <is>
          <t>Third-party penetration test</t>
        </is>
      </c>
      <c r="C11" s="5" t="inlineStr">
        <is>
          <t>An external penetration test report, archived as marketplace submission evidence.</t>
        </is>
      </c>
      <c r="D11" s="5" t="inlineStr">
        <is>
          <t>Needs a deployed environment to test against (so, LC-1) and a budget line. The scoping brief and the vendor outreach email are written and ready to send — and were corrected on 20 Sep, because both described a product that sends documents for signature, which it does not do.</t>
        </is>
      </c>
      <c r="E11" s="5" t="inlineStr">
        <is>
          <t>Senthil + vendor</t>
        </is>
      </c>
      <c r="F11" s="5" t="inlineStr">
        <is>
          <t>Vendor lead time, typically two to four weeks</t>
        </is>
      </c>
      <c r="G11" s="14" t="inlineStr">
        <is>
          <t>Pending</t>
        </is>
      </c>
      <c r="H11" s="5" t="inlineStr">
        <is>
          <t>—</t>
        </is>
      </c>
    </row>
    <row r="12">
      <c r="A12" s="5" t="inlineStr">
        <is>
          <t>V-ENT</t>
        </is>
      </c>
      <c r="B12" s="5" t="inlineStr">
        <is>
          <t>Enterprise identity and lifecycle</t>
        </is>
      </c>
      <c r="C12" s="5" t="inlineStr">
        <is>
          <t>SAML/SCIM federation, domain policy, break-glass access, legal hold, configurable retention, PITR, production SLO history.</t>
        </is>
      </c>
      <c r="D12" s="5" t="inlineStr">
        <is>
          <t>DELIBERATELY NOT BUILT — decision D-DM2, and the external review agreed with it. This is a bet on a buyer the product has never met. The review's exact position: accept D-DM2 as written, and separately reject the framing that the remaining gap was enterprise-tier. It was at the working-software bar, and that bar is now met. Trigger to revisit: the first written SSO request from a real prospect.</t>
        </is>
      </c>
      <c r="E12" s="5" t="inlineStr">
        <is>
          <t>Senthil (decision already taken)</t>
        </is>
      </c>
      <c r="F12" s="5" t="inlineStr">
        <is>
          <t>Four to five unscoped sprints — do not start speculatively</t>
        </is>
      </c>
      <c r="G12" s="16" t="inlineStr">
        <is>
          <t>Not started</t>
        </is>
      </c>
      <c r="H12" s="5" t="inlineStr">
        <is>
          <t>—</t>
        </is>
      </c>
    </row>
    <row r="13">
      <c r="A13" s="5" t="inlineStr">
        <is>
          <t>V-ESIGN</t>
        </is>
      </c>
      <c r="B13" s="5" t="inlineStr">
        <is>
          <t>Real electronic signature</t>
        </is>
      </c>
      <c r="C13" s="5" t="inlineStr">
        <is>
          <t>Integration with a signature provider so the product can produce a legally meaningful signed artefact.</t>
        </is>
      </c>
      <c r="D13" s="5" t="inlineStr">
        <is>
          <t>Decision D-DM6, open but no longer urgent. The legal exposure that made this pressing was closed a different way: the feature was renamed to Approval requests and a repository gate fails the build on any signature claim in user-facing copy. Integrating a provider is now a product choice, cheapest to defer until a customer asks.</t>
        </is>
      </c>
      <c r="E13" s="5" t="inlineStr">
        <is>
          <t>Senthil</t>
        </is>
      </c>
      <c r="F13" s="5" t="inlineStr">
        <is>
          <t>About a sprint</t>
        </is>
      </c>
      <c r="G13" s="14" t="inlineStr">
        <is>
          <t>Pending</t>
        </is>
      </c>
      <c r="H13" s="5" t="inlineStr">
        <is>
          <t>—</t>
        </is>
      </c>
    </row>
    <row r="14">
      <c r="A14" s="5" t="inlineStr">
        <is>
          <t>V-EVID</t>
        </is>
      </c>
      <c r="B14" s="5" t="inlineStr">
        <is>
          <t>Evidence from strangers</t>
        </is>
      </c>
      <c r="C14" s="5" t="inlineStr">
        <is>
          <t>Fifty real installs, activation telemetry from people nobody knows, and ten paying accounts — the portfolio gate G-02.</t>
        </is>
      </c>
      <c r="D14" s="5" t="inlineStr">
        <is>
          <t>Needs a published listing, which needs OAuth verification, which needs LC-1 and the legal review. This is the end of the chain and the only thing that settles whether the repositioning argument is right. Every claim about who will pay for this product is currently an argument from what was built, not evidence from a buyer.</t>
        </is>
      </c>
      <c r="E14" s="5" t="inlineStr">
        <is>
          <t>Senthil</t>
        </is>
      </c>
      <c r="F14" s="5" t="inlineStr">
        <is>
          <t>Weeks to months — the verification clock alone runs past eight weeks in documented cases</t>
        </is>
      </c>
      <c r="G14" s="14" t="inlineStr">
        <is>
          <t>Blocked</t>
        </is>
      </c>
      <c r="H14" s="5" t="inlineStr">
        <is>
          <t>—</t>
        </is>
      </c>
    </row>
    <row r="16" ht="44" customHeight="1">
      <c r="A16" s="17" t="inlineStr">
        <is>
          <t>THE PATTERN WORTH SEEING: six of the ten rows above share one blocker, and it is about an hour of work — creating a GCP project and consent screen. It does not unblock engineering (seven sprints happened without it); it starts verification clocks that then run for weeks in parallel with whatever else is happening. That is why it sits at the top of the action list rather than in it.</t>
        </is>
      </c>
    </row>
  </sheetData>
  <mergeCells count="2">
    <mergeCell ref="A16:H16"/>
    <mergeCell ref="A2:H2"/>
  </mergeCells>
  <pageMargins left="0.75" right="0.75" top="1" bottom="1" header="0.5" footer="0.5"/>
</worksheet>
</file>

<file path=xl/worksheets/sheet7.xml><?xml version="1.0" encoding="utf-8"?>
<worksheet xmlns="http://schemas.openxmlformats.org/spreadsheetml/2006/main">
  <sheetPr>
    <tabColor rgb="FF1F3864"/>
    <outlinePr summaryBelow="1" summaryRight="1"/>
    <pageSetUpPr/>
  </sheetPr>
  <dimension ref="A1:L81"/>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0" customWidth="1" min="2" max="2"/>
    <col width="30" customWidth="1" min="3" max="3"/>
    <col width="42" customWidth="1" min="4" max="4"/>
    <col width="26" customWidth="1" min="5" max="5"/>
    <col width="62" customWidth="1" min="6" max="6"/>
    <col width="52" customWidth="1" min="7" max="7"/>
    <col width="26" customWidth="1" min="8" max="8"/>
    <col width="11" customWidth="1" min="9" max="9"/>
    <col width="11" customWidth="1" min="10" max="10"/>
    <col width="11" customWidth="1" min="11" max="11"/>
    <col width="13" customWidth="1" min="12" max="12"/>
  </cols>
  <sheetData>
    <row r="1">
      <c r="A1" s="8" t="inlineStr">
        <is>
          <t>TEST CASES — POSITIVE  (does the product do the right thing?)</t>
        </is>
      </c>
    </row>
    <row r="2" ht="32" customHeight="1">
      <c r="A2" s="9" t="inlineStr">
        <is>
          <t>44 cases, all runnable today with Node and a local PostgreSQL. No Google account is needed for any case on this sheet — that is deliberate, and it is also the honest limit: these prove the half of the product that does not touch Google. Fill the yellow columns as you go.</t>
        </is>
      </c>
    </row>
    <row r="4">
      <c r="A4" s="10" t="inlineStr">
        <is>
          <t>Test case ID</t>
        </is>
      </c>
      <c r="B4" s="10" t="inlineStr">
        <is>
          <t>Version</t>
        </is>
      </c>
      <c r="C4" s="10" t="inlineStr">
        <is>
          <t>Test case name</t>
        </is>
      </c>
      <c r="D4" s="10" t="inlineStr">
        <is>
          <t>Test description</t>
        </is>
      </c>
      <c r="E4" s="10" t="inlineStr">
        <is>
          <t>Pre-conditions</t>
        </is>
      </c>
      <c r="F4" s="10" t="inlineStr">
        <is>
          <t>Step-by-step — how to test</t>
        </is>
      </c>
      <c r="G4" s="10" t="inlineStr">
        <is>
          <t>Expected result</t>
        </is>
      </c>
      <c r="H4" s="10" t="inlineStr">
        <is>
          <t>Actual result</t>
        </is>
      </c>
      <c r="I4" s="10" t="inlineStr">
        <is>
          <t>Status</t>
        </is>
      </c>
      <c r="J4" s="10" t="inlineStr">
        <is>
          <t>Tester</t>
        </is>
      </c>
      <c r="K4" s="10" t="inlineStr">
        <is>
          <t>Date</t>
        </is>
      </c>
      <c r="L4" s="10" t="inlineStr">
        <is>
          <t>Defect raised</t>
        </is>
      </c>
    </row>
    <row r="5">
      <c r="A5" s="11" t="inlineStr">
        <is>
          <t>MT-RUN-01</t>
        </is>
      </c>
      <c r="B5" s="5" t="inlineStr">
        <is>
          <t>S13</t>
        </is>
      </c>
      <c r="C5" s="5" t="inlineStr">
        <is>
          <t>Application starts and binds a port</t>
        </is>
      </c>
      <c r="D5" s="5" t="inlineStr">
        <is>
          <t>The documented start command must produce a process that is actually listening. Until 20 Sep it exited 0 with no port open, so this is the single most important case in the pack.</t>
        </is>
      </c>
      <c r="E5" s="5" t="inlineStr">
        <is>
          <t>Setup S1–S7 complete. Postgres running.</t>
        </is>
      </c>
      <c r="F5" s="18" t="inlineStr">
        <is>
          <t>1. Export every required variable from .env.example (DATABASE_SSL=disable, NODE_ENV=test, PORT=8123).
2. Run: npm start
3. Watch stdout.</t>
        </is>
      </c>
      <c r="G5" s="18" t="inlineStr">
        <is>
          <t>A JSON log line appears containing "event":"startup.listening" and "port":8123. The process stays alive and does not return to the shell.</t>
        </is>
      </c>
      <c r="H5" s="19" t="inlineStr"/>
      <c r="I5" s="19" t="inlineStr"/>
      <c r="J5" s="19" t="inlineStr"/>
      <c r="K5" s="19" t="inlineStr"/>
      <c r="L5" s="19" t="inlineStr"/>
    </row>
    <row r="6">
      <c r="A6" s="11" t="inlineStr">
        <is>
          <t>MT-RUN-02</t>
        </is>
      </c>
      <c r="B6" s="5" t="inlineStr">
        <is>
          <t>S13</t>
        </is>
      </c>
      <c r="C6" s="5" t="inlineStr">
        <is>
          <t>Liveness endpoint answers</t>
        </is>
      </c>
      <c r="D6" s="5" t="inlineStr">
        <is>
          <t>/healthz is what an orchestrator polls to decide whether to kill the container.</t>
        </is>
      </c>
      <c r="E6" s="5" t="inlineStr">
        <is>
          <t>MT-RUN-01 passing, process still running.</t>
        </is>
      </c>
      <c r="F6" s="18" t="inlineStr">
        <is>
          <t>1. In a second shell: curl -i http://127.0.0.1:8123/healthz</t>
        </is>
      </c>
      <c r="G6" s="18" t="inlineStr">
        <is>
          <t>HTTP/1.1 200. Body exactly {"status":"ok"}. Note it does NOT include a version — that is deliberate (DM-F13).</t>
        </is>
      </c>
      <c r="H6" s="19" t="inlineStr"/>
      <c r="I6" s="19" t="inlineStr"/>
      <c r="J6" s="19" t="inlineStr"/>
      <c r="K6" s="19" t="inlineStr"/>
      <c r="L6" s="19" t="inlineStr"/>
    </row>
    <row r="7">
      <c r="A7" s="11" t="inlineStr">
        <is>
          <t>MT-RUN-03</t>
        </is>
      </c>
      <c r="B7" s="5" t="inlineStr">
        <is>
          <t>S13</t>
        </is>
      </c>
      <c r="C7" s="5" t="inlineStr">
        <is>
          <t>Liveness reveals the build only to an operator</t>
        </is>
      </c>
      <c r="D7" s="5" t="inlineStr">
        <is>
          <t>The build version tells an attacker which advisories apply, so it is released only to a caller holding the operator token.</t>
        </is>
      </c>
      <c r="E7" s="5" t="inlineStr">
        <is>
          <t>Process running; OPERATOR_TOKEN known.</t>
        </is>
      </c>
      <c r="F7" s="18" t="inlineStr">
        <is>
          <t>1. curl -s http://127.0.0.1:8123/healthz
2. curl -s -H "x-operator-token: $OPERATOR_TOKEN" http://127.0.0.1:8123/healthz
3. curl -s -H "x-operator-token: wrong" http://127.0.0.1:8123/healthz</t>
        </is>
      </c>
      <c r="G7" s="18" t="inlineStr">
        <is>
          <t>Step 1: no version field. Step 2: a version field appears. Step 3: no version field — a wrong token is treated exactly like no token.</t>
        </is>
      </c>
      <c r="H7" s="19" t="inlineStr"/>
      <c r="I7" s="19" t="inlineStr"/>
      <c r="J7" s="19" t="inlineStr"/>
      <c r="K7" s="19" t="inlineStr"/>
      <c r="L7" s="19" t="inlineStr"/>
    </row>
    <row r="8">
      <c r="A8" s="11" t="inlineStr">
        <is>
          <t>MT-RUN-04</t>
        </is>
      </c>
      <c r="B8" s="5" t="inlineStr">
        <is>
          <t>S13</t>
        </is>
      </c>
      <c r="C8" s="5" t="inlineStr">
        <is>
          <t>Readiness reports the database truthfully</t>
        </is>
      </c>
      <c r="D8" s="5" t="inlineStr">
        <is>
          <t>/readyz must be a real round trip to Postgres, not a flag set once at boot. A cached 'ready' is how a service keeps taking traffic after its database has gone.</t>
        </is>
      </c>
      <c r="E8" s="5" t="inlineStr">
        <is>
          <t>Process running against a reachable Postgres.</t>
        </is>
      </c>
      <c r="F8" s="18" t="inlineStr">
        <is>
          <t>1. curl -i http://127.0.0.1:8123/readyz</t>
        </is>
      </c>
      <c r="G8" s="18" t="inlineStr">
        <is>
          <t>HTTP 200 and {"status":"ready","checks":{"database":"ok","configuration":"ok"}}.</t>
        </is>
      </c>
      <c r="H8" s="19" t="inlineStr"/>
      <c r="I8" s="19" t="inlineStr"/>
      <c r="J8" s="19" t="inlineStr"/>
      <c r="K8" s="19" t="inlineStr"/>
      <c r="L8" s="19" t="inlineStr"/>
    </row>
    <row r="9">
      <c r="A9" s="11" t="inlineStr">
        <is>
          <t>MT-RUN-05</t>
        </is>
      </c>
      <c r="B9" s="5" t="inlineStr">
        <is>
          <t>S13</t>
        </is>
      </c>
      <c r="C9" s="5" t="inlineStr">
        <is>
          <t>Readiness turns false when the database goes away</t>
        </is>
      </c>
      <c r="D9" s="5" t="inlineStr">
        <is>
          <t>The counterpart to MT-RUN-04, and the one that actually proves the check is live.</t>
        </is>
      </c>
      <c r="E9" s="5" t="inlineStr">
        <is>
          <t>Process running and ready.</t>
        </is>
      </c>
      <c r="F9" s="18" t="inlineStr">
        <is>
          <t>1. Stop PostgreSQL (pg_ctl stop) while leaving the app running.
2. curl -i http://127.0.0.1:8123/readyz
3. Start PostgreSQL again.
4. curl -i http://127.0.0.1:8123/readyz</t>
        </is>
      </c>
      <c r="G9" s="18" t="inlineStr">
        <is>
          <t>Step 2: HTTP 503, status not_ready, checks.database = failed, checks.configuration still ok. Step 4: back to 200/ready without restarting the app.</t>
        </is>
      </c>
      <c r="H9" s="19" t="inlineStr"/>
      <c r="I9" s="19" t="inlineStr"/>
      <c r="J9" s="19" t="inlineStr"/>
      <c r="K9" s="19" t="inlineStr"/>
      <c r="L9" s="19" t="inlineStr"/>
    </row>
    <row r="10">
      <c r="A10" s="11" t="inlineStr">
        <is>
          <t>MT-RUN-06</t>
        </is>
      </c>
      <c r="B10" s="5" t="inlineStr">
        <is>
          <t>S13</t>
        </is>
      </c>
      <c r="C10" s="5" t="inlineStr">
        <is>
          <t>Graceful drain on SIGTERM</t>
        </is>
      </c>
      <c r="D10" s="5" t="inlineStr">
        <is>
          <t>A deploy sends SIGTERM. The process must stop accepting, finish what it has, close the pool and exit 0.</t>
        </is>
      </c>
      <c r="E10" s="5" t="inlineStr">
        <is>
          <t>Process running.</t>
        </is>
      </c>
      <c r="F10" s="18" t="inlineStr">
        <is>
          <t>1. Note the PID.
2. kill -TERM &lt;pid&gt;
3. Watch stdout and the exit code (echo $?).</t>
        </is>
      </c>
      <c r="G10" s="18" t="inlineStr">
        <is>
          <t>Log lines shutdown.begin then shutdown.complete appear, in that order. Exit code 0. The port is released — a second start on the same port succeeds.</t>
        </is>
      </c>
      <c r="H10" s="19" t="inlineStr"/>
      <c r="I10" s="19" t="inlineStr"/>
      <c r="J10" s="19" t="inlineStr"/>
      <c r="K10" s="19" t="inlineStr"/>
      <c r="L10" s="19" t="inlineStr"/>
    </row>
    <row r="11">
      <c r="A11" s="11" t="inlineStr">
        <is>
          <t>MT-RUN-07</t>
        </is>
      </c>
      <c r="B11" s="5" t="inlineStr">
        <is>
          <t>S13</t>
        </is>
      </c>
      <c r="C11" s="5" t="inlineStr">
        <is>
          <t>Migrations apply in order</t>
        </is>
      </c>
      <c r="D11" s="5" t="inlineStr">
        <is>
          <t>The migration path crashed on an undeclared dependency until 20 Sep, so it had never run.</t>
        </is>
      </c>
      <c r="E11" s="5" t="inlineStr">
        <is>
          <t>A fresh, empty database.</t>
        </is>
      </c>
      <c r="F11" s="18" t="inlineStr">
        <is>
          <t>1. createdb docmerge_mt2
2. DATABASE_URL=postgres://…/docmerge_mt2 DATABASE_SSL=disable node scripts/migrate.js</t>
        </is>
      </c>
      <c r="G11" s="18" t="inlineStr">
        <is>
          <t>Six files reported as applied, in numeric order 001 to 006. Exit code 0. psql \dt shows 26 tables.</t>
        </is>
      </c>
      <c r="H11" s="19" t="inlineStr"/>
      <c r="I11" s="19" t="inlineStr"/>
      <c r="J11" s="19" t="inlineStr"/>
      <c r="K11" s="19" t="inlineStr"/>
      <c r="L11" s="19" t="inlineStr"/>
    </row>
    <row r="12">
      <c r="A12" s="11" t="inlineStr">
        <is>
          <t>MT-RUN-08</t>
        </is>
      </c>
      <c r="B12" s="5" t="inlineStr">
        <is>
          <t>S13</t>
        </is>
      </c>
      <c r="C12" s="5" t="inlineStr">
        <is>
          <t>Re-running migrations is a clean no-op</t>
        </is>
      </c>
      <c r="D12" s="5" t="inlineStr">
        <is>
          <t>Idempotency. A deploy that runs migrations twice must not fail or double-apply.</t>
        </is>
      </c>
      <c r="E12" s="5" t="inlineStr">
        <is>
          <t>MT-RUN-07 passing.</t>
        </is>
      </c>
      <c r="F12" s="18" t="inlineStr">
        <is>
          <t>1. Run the exact same migrate command a second time.</t>
        </is>
      </c>
      <c r="G12" s="18" t="inlineStr">
        <is>
          <t>Every file reported as 'skip (already applied)'. Exit code 0. No error, and the table count is unchanged.</t>
        </is>
      </c>
      <c r="H12" s="19" t="inlineStr"/>
      <c r="I12" s="19" t="inlineStr"/>
      <c r="J12" s="19" t="inlineStr"/>
      <c r="K12" s="19" t="inlineStr"/>
      <c r="L12" s="19" t="inlineStr"/>
    </row>
    <row r="13">
      <c r="A13" s="11" t="inlineStr">
        <is>
          <t>MT-TPL-01</t>
        </is>
      </c>
      <c r="B13" s="5" t="inlineStr">
        <is>
          <t>S2–S3</t>
        </is>
      </c>
      <c r="C13" s="5" t="inlineStr">
        <is>
          <t>Create a template with defaults</t>
        </is>
      </c>
      <c r="D13" s="5" t="inlineStr">
        <is>
          <t>One-screen creation: only a name and a body should be required, everything else defaulted sensibly.</t>
        </is>
      </c>
      <c r="E13" s="5" t="inlineStr">
        <is>
          <t>Build present (npx tsc run).</t>
        </is>
      </c>
      <c r="F13" s="18" t="inlineStr">
        <is>
          <t>node -e "const{TemplateDesigner,MemoryTemplateRepo}=require('./dist/index.js');(async()=&gt;{const d=new TemplateDesigner(new MemoryTemplateRepo());console.log(await d.createWithDefaults('owner','acct-1','Offer','Dear {{name}}'))})()"</t>
        </is>
      </c>
      <c r="G13" s="18" t="inlineStr">
        <is>
          <t>A template object prints with outputFormat 'pdf', a fileNamePattern and a destinationFolder already populated, an empty rules array, and a generated templateId.</t>
        </is>
      </c>
      <c r="H13" s="19" t="inlineStr"/>
      <c r="I13" s="19" t="inlineStr"/>
      <c r="J13" s="19" t="inlineStr"/>
      <c r="K13" s="19" t="inlineStr"/>
      <c r="L13" s="19" t="inlineStr"/>
    </row>
    <row r="14">
      <c r="A14" s="11" t="inlineStr">
        <is>
          <t>MT-TPL-02</t>
        </is>
      </c>
      <c r="B14" s="5" t="inlineStr">
        <is>
          <t>S2–S3</t>
        </is>
      </c>
      <c r="C14" s="5" t="inlineStr">
        <is>
          <t>Render a preview with all values supplied</t>
        </is>
      </c>
      <c r="D14" s="5" t="inlineStr">
        <is>
          <t>The happy path of the merge engine's validation and substitution layer.</t>
        </is>
      </c>
      <c r="E14" s="5" t="inlineStr">
        <is>
          <t>MT-TPL-01 understood.</t>
        </is>
      </c>
      <c r="F14" s="18" t="inlineStr">
        <is>
          <t>Same REPL: create a template with body 'Dear {{name}}, your total is {{amount}}.' then call
await d.renderPreview('owner','acct-1',t.templateId,{name:'Asha',amount:'£90'})</t>
        </is>
      </c>
      <c r="G14" s="18" t="inlineStr">
        <is>
          <t>The string 'Dear Asha, your total is £90.' is returned. No placeholders remain in the output.</t>
        </is>
      </c>
      <c r="H14" s="19" t="inlineStr"/>
      <c r="I14" s="19" t="inlineStr"/>
      <c r="J14" s="19" t="inlineStr"/>
      <c r="K14" s="19" t="inlineStr"/>
      <c r="L14" s="19" t="inlineStr"/>
    </row>
    <row r="15">
      <c r="A15" s="11" t="inlineStr">
        <is>
          <t>MT-TPL-03</t>
        </is>
      </c>
      <c r="B15" s="5" t="inlineStr">
        <is>
          <t>S2–S3</t>
        </is>
      </c>
      <c r="C15" s="5" t="inlineStr">
        <is>
          <t>Conditional section is KEPT when its rule passes</t>
        </is>
      </c>
      <c r="D15" s="5" t="inlineStr">
        <is>
          <t>Rules include or exclude blocks of the document based on the row data.</t>
        </is>
      </c>
      <c r="E15" s="5" t="inlineStr">
        <is>
          <t>A template containing {{#vip}}Priority handling.{{/vip}} and a rule on field 'tier' equals 'gold' for section vip.</t>
        </is>
      </c>
      <c r="F15" s="18" t="inlineStr">
        <is>
          <t>Call renderPreview with data { tier: 'gold', … }.</t>
        </is>
      </c>
      <c r="G15" s="18" t="inlineStr">
        <is>
          <t>The text 'Priority handling.' appears in the output and the {{#vip}} / {{/vip}} markers do not.</t>
        </is>
      </c>
      <c r="H15" s="19" t="inlineStr"/>
      <c r="I15" s="19" t="inlineStr"/>
      <c r="J15" s="19" t="inlineStr"/>
      <c r="K15" s="19" t="inlineStr"/>
      <c r="L15" s="19" t="inlineStr"/>
    </row>
    <row r="16">
      <c r="A16" s="11" t="inlineStr">
        <is>
          <t>MT-TPL-04</t>
        </is>
      </c>
      <c r="B16" s="5" t="inlineStr">
        <is>
          <t>S2–S3</t>
        </is>
      </c>
      <c r="C16" s="5" t="inlineStr">
        <is>
          <t>Conditional section is REMOVED when its rule fails</t>
        </is>
      </c>
      <c r="D16" s="5" t="inlineStr">
        <is>
          <t>The other half of MT-TPL-03, and the one that actually proves the rule is evaluated.</t>
        </is>
      </c>
      <c r="E16" s="5" t="inlineStr">
        <is>
          <t>Same template as MT-TPL-03.</t>
        </is>
      </c>
      <c r="F16" s="18" t="inlineStr">
        <is>
          <t>Call renderPreview with data { tier: 'silver', … }.</t>
        </is>
      </c>
      <c r="G16" s="18" t="inlineStr">
        <is>
          <t>'Priority handling.' does NOT appear. The rest of the document is intact and no markers are left behind.</t>
        </is>
      </c>
      <c r="H16" s="19" t="inlineStr"/>
      <c r="I16" s="19" t="inlineStr"/>
      <c r="J16" s="19" t="inlineStr"/>
      <c r="K16" s="19" t="inlineStr"/>
      <c r="L16" s="19" t="inlineStr"/>
    </row>
    <row r="17">
      <c r="A17" s="11" t="inlineStr">
        <is>
          <t>MT-TPL-05</t>
        </is>
      </c>
      <c r="B17" s="5" t="inlineStr">
        <is>
          <t>S2–S3</t>
        </is>
      </c>
      <c r="C17" s="5" t="inlineStr">
        <is>
          <t>Unruled sections are kept</t>
        </is>
      </c>
      <c r="D17" s="5" t="inlineStr">
        <is>
          <t>A section with no rule attached must default to included, not excluded — the safer default.</t>
        </is>
      </c>
      <c r="E17" s="5" t="inlineStr">
        <is>
          <t>A template with a {{#notes}} section and no rule referencing it.</t>
        </is>
      </c>
      <c r="F17" s="18" t="inlineStr">
        <is>
          <t>Call renderPreview with any valid data.</t>
        </is>
      </c>
      <c r="G17" s="18" t="inlineStr">
        <is>
          <t>The section content appears. Absence of a rule means 'always include'.</t>
        </is>
      </c>
      <c r="H17" s="19" t="inlineStr"/>
      <c r="I17" s="19" t="inlineStr"/>
      <c r="J17" s="19" t="inlineStr"/>
      <c r="K17" s="19" t="inlineStr"/>
      <c r="L17" s="19" t="inlineStr"/>
    </row>
    <row r="18">
      <c r="A18" s="11" t="inlineStr">
        <is>
          <t>MT-TPL-06</t>
        </is>
      </c>
      <c r="B18" s="5" t="inlineStr">
        <is>
          <t>S2–S3</t>
        </is>
      </c>
      <c r="C18" s="5" t="inlineStr">
        <is>
          <t>A member may generate but not manage templates</t>
        </is>
      </c>
      <c r="D18" s="5" t="inlineStr">
        <is>
          <t>Role separation: three roles, seven actions.</t>
        </is>
      </c>
      <c r="E18" s="5" t="inlineStr">
        <is>
          <t>Build present.</t>
        </is>
      </c>
      <c r="F18" s="18" t="inlineStr">
        <is>
          <t>1. Call renderPreview with actorRole 'member'.
2. Call createWithDefaults with actorRole 'member'.</t>
        </is>
      </c>
      <c r="G18" s="18" t="inlineStr">
        <is>
          <t>Step 1 succeeds. Step 2 throws PermissionError. Generating is allowed to everyone; managing is not.</t>
        </is>
      </c>
      <c r="H18" s="19" t="inlineStr"/>
      <c r="I18" s="19" t="inlineStr"/>
      <c r="J18" s="19" t="inlineStr"/>
      <c r="K18" s="19" t="inlineStr"/>
      <c r="L18" s="19" t="inlineStr"/>
    </row>
    <row r="19">
      <c r="A19" s="11" t="inlineStr">
        <is>
          <t>MT-TPL-07</t>
        </is>
      </c>
      <c r="B19" s="5" t="inlineStr">
        <is>
          <t>S2–S3</t>
        </is>
      </c>
      <c r="C19" s="5" t="inlineStr">
        <is>
          <t>Pause blocks rendering without losing the template</t>
        </is>
      </c>
      <c r="D19" s="5" t="inlineStr">
        <is>
          <t>Pause is a flag, not a delete. Resuming must restore the exact template.</t>
        </is>
      </c>
      <c r="E19" s="5" t="inlineStr">
        <is>
          <t>A created template and a PauseManager.</t>
        </is>
      </c>
      <c r="F19" s="18" t="inlineStr">
        <is>
          <t>1. Pause the template.
2. Attempt renderPreview.
3. Resume.
4. renderPreview again.</t>
        </is>
      </c>
      <c r="G19" s="18" t="inlineStr">
        <is>
          <t>Step 2 throws TemplatePausedError. Step 4 returns the same output as before the pause — nothing was lost.</t>
        </is>
      </c>
      <c r="H19" s="19" t="inlineStr"/>
      <c r="I19" s="19" t="inlineStr"/>
      <c r="J19" s="19" t="inlineStr"/>
      <c r="K19" s="19" t="inlineStr"/>
      <c r="L19" s="19" t="inlineStr"/>
    </row>
    <row r="20">
      <c r="A20" s="11" t="inlineStr">
        <is>
          <t>MT-TPL-08</t>
        </is>
      </c>
      <c r="B20" s="5" t="inlineStr">
        <is>
          <t>S2–S3</t>
        </is>
      </c>
      <c r="C20" s="5" t="inlineStr">
        <is>
          <t>Template list is scoped to the asking account</t>
        </is>
      </c>
      <c r="D20" s="5" t="inlineStr">
        <is>
          <t>Tenant isolation at the repository. The account must be in the query, not a filter applied afterwards.</t>
        </is>
      </c>
      <c r="E20" s="5" t="inlineStr">
        <is>
          <t>Postgres running with migrations applied; two accounts with templates.</t>
        </is>
      </c>
      <c r="F20" s="18" t="inlineStr">
        <is>
          <t>1. Insert templates for acct-A and acct-B.
2. Call PostgresTemplateRepo.listForAccount('acct-A').</t>
        </is>
      </c>
      <c r="G20" s="18" t="inlineStr">
        <is>
          <t>Only acct-A's templates return. acct-B's are absent. Check the SQL log: the account id is in the WHERE clause.</t>
        </is>
      </c>
      <c r="H20" s="19" t="inlineStr"/>
      <c r="I20" s="19" t="inlineStr"/>
      <c r="J20" s="19" t="inlineStr"/>
      <c r="K20" s="19" t="inlineStr"/>
      <c r="L20" s="19" t="inlineStr"/>
    </row>
    <row r="21">
      <c r="A21" s="11" t="inlineStr">
        <is>
          <t>MT-TPL-09</t>
        </is>
      </c>
      <c r="B21" s="5" t="inlineStr">
        <is>
          <t>S2–S3</t>
        </is>
      </c>
      <c r="C21" s="5" t="inlineStr">
        <is>
          <t>Render plan matches the preview exactly</t>
        </is>
      </c>
      <c r="D21" s="5" t="inlineStr">
        <is>
          <t>The plan feeds the real Docs renderer; if it disagrees with the preview, the PDF will not match what the user saw.</t>
        </is>
      </c>
      <c r="E21" s="5" t="inlineStr">
        <is>
          <t>A template with placeholders and at least one ruled section.</t>
        </is>
      </c>
      <c r="F21" s="18" t="inlineStr">
        <is>
          <t>1. Call renderPreview with a row.
2. Call renderPlan with the same row.
3. Compare: apply the plan's replacements and section decisions to the body by hand.</t>
        </is>
      </c>
      <c r="G21" s="18" t="inlineStr">
        <is>
          <t>The two agree exactly — same substitutions, same sections kept and removed. (The automated suite asserts this byte-for-byte for all 20 gallery templates.)</t>
        </is>
      </c>
      <c r="H21" s="19" t="inlineStr"/>
      <c r="I21" s="19" t="inlineStr"/>
      <c r="J21" s="19" t="inlineStr"/>
      <c r="K21" s="19" t="inlineStr"/>
      <c r="L21" s="19" t="inlineStr"/>
    </row>
    <row r="22">
      <c r="A22" s="11" t="inlineStr">
        <is>
          <t>MT-BAT-01</t>
        </is>
      </c>
      <c r="B22" s="5" t="inlineStr">
        <is>
          <t>S3–S4</t>
        </is>
      </c>
      <c r="C22" s="5" t="inlineStr">
        <is>
          <t>Batch generates one output per valid row</t>
        </is>
      </c>
      <c r="D22" s="5" t="inlineStr">
        <is>
          <t>The core volume behaviour.</t>
        </is>
      </c>
      <c r="E22" s="5" t="inlineStr">
        <is>
          <t>A template and five rows of sample data.</t>
        </is>
      </c>
      <c r="F22" s="18" t="inlineStr">
        <is>
          <t>Create a batch job with defaults and run it over five complete rows.</t>
        </is>
      </c>
      <c r="G22" s="18" t="inlineStr">
        <is>
          <t>Five row results, each status 'generated', each with output. The batch result's generated count is 5 and failed is 0.</t>
        </is>
      </c>
      <c r="H22" s="19" t="inlineStr"/>
      <c r="I22" s="19" t="inlineStr"/>
      <c r="J22" s="19" t="inlineStr"/>
      <c r="K22" s="19" t="inlineStr"/>
      <c r="L22" s="19" t="inlineStr"/>
    </row>
    <row r="23">
      <c r="A23" s="11" t="inlineStr">
        <is>
          <t>MT-BAT-02</t>
        </is>
      </c>
      <c r="B23" s="5" t="inlineStr">
        <is>
          <t>S3–S4</t>
        </is>
      </c>
      <c r="C23" s="5" t="inlineStr">
        <is>
          <t>Blank rows are skipped, not failed</t>
        </is>
      </c>
      <c r="D23" s="5" t="inlineStr">
        <is>
          <t>A trailing empty row in a spreadsheet is normal and must not look like an error.</t>
        </is>
      </c>
      <c r="E23" s="5" t="inlineStr">
        <is>
          <t>Six rows where the sixth has every mapped field blank.</t>
        </is>
      </c>
      <c r="F23" s="18" t="inlineStr">
        <is>
          <t>Run the batch with skipEmptyRows at its default (true).</t>
        </is>
      </c>
      <c r="G23" s="18" t="inlineStr">
        <is>
          <t>The sixth row reports status 'skipped_empty' — NOT 'failed'. The run's failure count stays 0.</t>
        </is>
      </c>
      <c r="H23" s="19" t="inlineStr"/>
      <c r="I23" s="19" t="inlineStr"/>
      <c r="J23" s="19" t="inlineStr"/>
      <c r="K23" s="19" t="inlineStr"/>
      <c r="L23" s="19" t="inlineStr"/>
    </row>
    <row r="24">
      <c r="A24" s="11" t="inlineStr">
        <is>
          <t>MT-BAT-03</t>
        </is>
      </c>
      <c r="B24" s="5" t="inlineStr">
        <is>
          <t>S3–S4</t>
        </is>
      </c>
      <c r="C24" s="5" t="inlineStr">
        <is>
          <t>One bad row does not stop the run</t>
        </is>
      </c>
      <c r="D24" s="5" t="inlineStr">
        <is>
          <t>The failure mode that loses customers: a 500-row batch that stops at row 40 and reports nothing.</t>
        </is>
      </c>
      <c r="E24" s="5" t="inlineStr">
        <is>
          <t>Ten rows where row 4 is missing a required placeholder value.</t>
        </is>
      </c>
      <c r="F24" s="18" t="inlineStr">
        <is>
          <t>Run the batch with continueOnError at its default (true).</t>
        </is>
      </c>
      <c r="G24" s="18" t="inlineStr">
        <is>
          <t>Rows 1–3 and 5–10 generate. Row 4 reports status 'failed' with a message naming the missing placeholder. The run completes and reports 9 generated, 1 failed.</t>
        </is>
      </c>
      <c r="H24" s="19" t="inlineStr"/>
      <c r="I24" s="19" t="inlineStr"/>
      <c r="J24" s="19" t="inlineStr"/>
      <c r="K24" s="19" t="inlineStr"/>
      <c r="L24" s="19" t="inlineStr"/>
    </row>
    <row r="25">
      <c r="A25" s="11" t="inlineStr">
        <is>
          <t>MT-BAT-04</t>
        </is>
      </c>
      <c r="B25" s="5" t="inlineStr">
        <is>
          <t>S3–S4</t>
        </is>
      </c>
      <c r="C25" s="5" t="inlineStr">
        <is>
          <t>Per-row error message names the exact field</t>
        </is>
      </c>
      <c r="D25" s="5" t="inlineStr">
        <is>
          <t>The stated differentiator over competitors: say which column to add, not 'merge failed'.</t>
        </is>
      </c>
      <c r="E25" s="5" t="inlineStr">
        <is>
          <t>The failing row from MT-BAT-03.</t>
        </is>
      </c>
      <c r="F25" s="18" t="inlineStr">
        <is>
          <t>Read the errorMessage on the failed row result.</t>
        </is>
      </c>
      <c r="G25" s="18" t="inlineStr">
        <is>
          <t>The message names the specific placeholder, e.g. "Missing value for {{amount}} — add an 'amount' column to your Sheet or sample data". A generic message is a FAIL.</t>
        </is>
      </c>
      <c r="H25" s="19" t="inlineStr"/>
      <c r="I25" s="19" t="inlineStr"/>
      <c r="J25" s="19" t="inlineStr"/>
      <c r="K25" s="19" t="inlineStr"/>
      <c r="L25" s="19" t="inlineStr"/>
    </row>
    <row r="26">
      <c r="A26" s="11" t="inlineStr">
        <is>
          <t>MT-BAT-05</t>
        </is>
      </c>
      <c r="B26" s="5" t="inlineStr">
        <is>
          <t>S3–S4</t>
        </is>
      </c>
      <c r="C26" s="5" t="inlineStr">
        <is>
          <t>Row rules filter which rows generate</t>
        </is>
      </c>
      <c r="D26" s="5" t="inlineStr">
        <is>
          <t>Admins scope a batch to a subset without editing the source data.</t>
        </is>
      </c>
      <c r="E26" s="5" t="inlineStr">
        <is>
          <t>Ten rows, five with status 'active'.</t>
        </is>
      </c>
      <c r="F26" s="18" t="inlineStr">
        <is>
          <t>Attach a row rule (status equals active) and run.</t>
        </is>
      </c>
      <c r="G26" s="18" t="inlineStr">
        <is>
          <t>Five rows generate; five report as skipped by condition, not as failures.</t>
        </is>
      </c>
      <c r="H26" s="19" t="inlineStr"/>
      <c r="I26" s="19" t="inlineStr"/>
      <c r="J26" s="19" t="inlineStr"/>
      <c r="K26" s="19" t="inlineStr"/>
      <c r="L26" s="19" t="inlineStr"/>
    </row>
    <row r="27">
      <c r="A27" s="11" t="inlineStr">
        <is>
          <t>MT-BAT-06</t>
        </is>
      </c>
      <c r="B27" s="5" t="inlineStr">
        <is>
          <t>S3–S4</t>
        </is>
      </c>
      <c r="C27" s="5" t="inlineStr">
        <is>
          <t>Batch resumes after an interruption without duplicating</t>
        </is>
      </c>
      <c r="D27" s="5" t="inlineStr">
        <is>
          <t>Checkpointing added in S16. A restart mid-batch must neither duplicate nor drop.</t>
        </is>
      </c>
      <c r="E27" s="5" t="inlineStr">
        <is>
          <t>Postgres running; a ten-row job; the ResumableBatchRunner.</t>
        </is>
      </c>
      <c r="F27" s="18" t="inlineStr">
        <is>
          <t>1. Run the job, forcing a throw at row 5.
2. Re-run the same jobId.
3. Count outputs per row index.</t>
        </is>
      </c>
      <c r="G27" s="18" t="inlineStr">
        <is>
          <t>Rows 0–4 are NOT regenerated. Rows 5–9 complete. Row 5 may be attempted twice — that is at-least-once by design and is documented; no OTHER row is duplicated.</t>
        </is>
      </c>
      <c r="H27" s="19" t="inlineStr"/>
      <c r="I27" s="19" t="inlineStr"/>
      <c r="J27" s="19" t="inlineStr"/>
      <c r="K27" s="19" t="inlineStr"/>
      <c r="L27" s="19" t="inlineStr"/>
    </row>
    <row r="28">
      <c r="A28" s="11" t="inlineStr">
        <is>
          <t>MT-BAT-07</t>
        </is>
      </c>
      <c r="B28" s="5" t="inlineStr">
        <is>
          <t>S3–S4</t>
        </is>
      </c>
      <c r="C28" s="5" t="inlineStr">
        <is>
          <t>Batch pacing respects the platform quota</t>
        </is>
      </c>
      <c r="D28" s="5" t="inlineStr">
        <is>
          <t>The quota governor refuses to promise throughput Google forbids.</t>
        </is>
      </c>
      <c r="E28" s="5" t="inlineStr">
        <is>
          <t>platformQuotas module available.</t>
        </is>
      </c>
      <c r="F28" s="18" t="inlineStr">
        <is>
          <t>Ask the governor for the completion estimate for 500 rows at the Docs write quota.</t>
        </is>
      </c>
      <c r="G28" s="18" t="inlineStr">
        <is>
          <t>Roughly eight minutes, not seconds. The binding quota is named as Docs write at 60/min/user, with its source. An estimate that implies sub-minute completion is a FAIL.</t>
        </is>
      </c>
      <c r="H28" s="19" t="inlineStr"/>
      <c r="I28" s="19" t="inlineStr"/>
      <c r="J28" s="19" t="inlineStr"/>
      <c r="K28" s="19" t="inlineStr"/>
      <c r="L28" s="19" t="inlineStr"/>
    </row>
    <row r="29">
      <c r="A29" s="11" t="inlineStr">
        <is>
          <t>MT-APR-01</t>
        </is>
      </c>
      <c r="B29" s="5" t="inlineStr">
        <is>
          <t>S5</t>
        </is>
      </c>
      <c r="C29" s="5" t="inlineStr">
        <is>
          <t>Create an approval request with defaults</t>
        </is>
      </c>
      <c r="D29" s="5" t="inlineStr">
        <is>
          <t>Sequential routing and a 14-day expiry should be the defaults.</t>
        </is>
      </c>
      <c r="E29" s="5" t="inlineStr">
        <is>
          <t>Build present.</t>
        </is>
      </c>
      <c r="F29" s="18" t="inlineStr">
        <is>
          <t>Call EsignService.createWithDefaults with one approver.</t>
        </is>
      </c>
      <c r="G29" s="18" t="inlineStr">
        <is>
          <t>A request in status 'draft' with sequential true and expiryDays 14.</t>
        </is>
      </c>
      <c r="H29" s="19" t="inlineStr"/>
      <c r="I29" s="19" t="inlineStr"/>
      <c r="J29" s="19" t="inlineStr"/>
      <c r="K29" s="19" t="inlineStr"/>
      <c r="L29" s="19" t="inlineStr"/>
    </row>
    <row r="30">
      <c r="A30" s="11" t="inlineStr">
        <is>
          <t>MT-APR-02</t>
        </is>
      </c>
      <c r="B30" s="5" t="inlineStr">
        <is>
          <t>S5</t>
        </is>
      </c>
      <c r="C30" s="5" t="inlineStr">
        <is>
          <t>Sequential routing enforces order</t>
        </is>
      </c>
      <c r="D30" s="5" t="inlineStr">
        <is>
          <t>Approver two must not be able to act before approver one.</t>
        </is>
      </c>
      <c r="E30" s="5" t="inlineStr">
        <is>
          <t>A request with three approvers, sequential true, sent.</t>
        </is>
      </c>
      <c r="F30" s="18" t="inlineStr">
        <is>
          <t>1. Attempt to sign as approver 2.
2. Sign as approver 1.
3. Sign as approver 2.</t>
        </is>
      </c>
      <c r="G30" s="18" t="inlineStr">
        <is>
          <t>Step 1 is refused. Steps 2 and 3 succeed in that order.</t>
        </is>
      </c>
      <c r="H30" s="19" t="inlineStr"/>
      <c r="I30" s="19" t="inlineStr"/>
      <c r="J30" s="19" t="inlineStr"/>
      <c r="K30" s="19" t="inlineStr"/>
      <c r="L30" s="19" t="inlineStr"/>
    </row>
    <row r="31">
      <c r="A31" s="11" t="inlineStr">
        <is>
          <t>MT-APR-03</t>
        </is>
      </c>
      <c r="B31" s="5" t="inlineStr">
        <is>
          <t>S5</t>
        </is>
      </c>
      <c r="C31" s="5" t="inlineStr">
        <is>
          <t>Decline records a reason and stops the flow</t>
        </is>
      </c>
      <c r="D31" s="5" t="inlineStr">
        <is>
          <t>A decline must be legible after the fact.</t>
        </is>
      </c>
      <c r="E31" s="5" t="inlineStr">
        <is>
          <t>A sent request.</t>
        </is>
      </c>
      <c r="F31" s="18" t="inlineStr">
        <is>
          <t>Decline as the current approver with a reason string.</t>
        </is>
      </c>
      <c r="G31" s="18" t="inlineStr">
        <is>
          <t>Status becomes declined, the reason is stored, and no further approver is prompted.</t>
        </is>
      </c>
      <c r="H31" s="19" t="inlineStr"/>
      <c r="I31" s="19" t="inlineStr"/>
      <c r="J31" s="19" t="inlineStr"/>
      <c r="K31" s="19" t="inlineStr"/>
      <c r="L31" s="19" t="inlineStr"/>
    </row>
    <row r="32">
      <c r="A32" s="11" t="inlineStr">
        <is>
          <t>MT-APR-04</t>
        </is>
      </c>
      <c r="B32" s="5" t="inlineStr">
        <is>
          <t>S5</t>
        </is>
      </c>
      <c r="C32" s="5" t="inlineStr">
        <is>
          <t>Pause and resume without data loss</t>
        </is>
      </c>
      <c r="D32" s="5" t="inlineStr">
        <is>
          <t>Same property as templates: pause is a flag.</t>
        </is>
      </c>
      <c r="E32" s="5" t="inlineStr">
        <is>
          <t>A sent request with one approval already recorded.</t>
        </is>
      </c>
      <c r="F32" s="18" t="inlineStr">
        <is>
          <t>1. Pause.
2. Attempt to sign.
3. Resume.
4. Sign.</t>
        </is>
      </c>
      <c r="G32" s="18" t="inlineStr">
        <is>
          <t>Step 2 refused. After resume the earlier approval is still recorded and the flow continues from where it was.</t>
        </is>
      </c>
      <c r="H32" s="19" t="inlineStr"/>
      <c r="I32" s="19" t="inlineStr"/>
      <c r="J32" s="19" t="inlineStr"/>
      <c r="K32" s="19" t="inlineStr"/>
      <c r="L32" s="19" t="inlineStr"/>
    </row>
    <row r="33">
      <c r="A33" s="11" t="inlineStr">
        <is>
          <t>MT-APR-05</t>
        </is>
      </c>
      <c r="B33" s="5" t="inlineStr">
        <is>
          <t>S5</t>
        </is>
      </c>
      <c r="C33" s="5" t="inlineStr">
        <is>
          <t>Approval requests survive a restart</t>
        </is>
      </c>
      <c r="D33" s="5" t="inlineStr">
        <is>
          <t>Added in S16 — previously every in-flight request was lost.</t>
        </is>
      </c>
      <c r="E33" s="5" t="inlineStr">
        <is>
          <t>Postgres; PostgresApprovalRequestRepo wired.</t>
        </is>
      </c>
      <c r="F33" s="18" t="inlineStr">
        <is>
          <t>1. Create and send a request.
2. Stop the process entirely.
3. Start it again.
4. Fetch the request by id.</t>
        </is>
      </c>
      <c r="G33" s="18" t="inlineStr">
        <is>
          <t>The request is returned with its status and approver list intact.</t>
        </is>
      </c>
      <c r="H33" s="19" t="inlineStr"/>
      <c r="I33" s="19" t="inlineStr"/>
      <c r="J33" s="19" t="inlineStr"/>
      <c r="K33" s="19" t="inlineStr"/>
      <c r="L33" s="19" t="inlineStr"/>
    </row>
    <row r="34">
      <c r="A34" s="11" t="inlineStr">
        <is>
          <t>MT-APR-06</t>
        </is>
      </c>
      <c r="B34" s="5" t="inlineStr">
        <is>
          <t>S5</t>
        </is>
      </c>
      <c r="C34" s="5" t="inlineStr">
        <is>
          <t>No signature language remains in user-facing copy</t>
        </is>
      </c>
      <c r="D34" s="5" t="inlineStr">
        <is>
          <t>P-DM-007: selling this as e-signature was a legal exposure.</t>
        </is>
      </c>
      <c r="E34" s="5" t="inlineStr">
        <is>
          <t>Build present.</t>
        </is>
      </c>
      <c r="F34" s="18" t="inlineStr">
        <is>
          <t>npx jest tests/claimsGate.test.ts</t>
        </is>
      </c>
      <c r="G34" s="18" t="inlineStr">
        <is>
          <t>Reports PASS with zero claims. Then read the help centre and listing text yourself: the feature is called 'Approval requests' and nothing claims a signature, a signed PDF or legal binding.</t>
        </is>
      </c>
      <c r="H34" s="19" t="inlineStr"/>
      <c r="I34" s="19" t="inlineStr"/>
      <c r="J34" s="19" t="inlineStr"/>
      <c r="K34" s="19" t="inlineStr"/>
      <c r="L34" s="19" t="inlineStr"/>
    </row>
    <row r="35">
      <c r="A35" s="11" t="inlineStr">
        <is>
          <t>MT-FIL-01</t>
        </is>
      </c>
      <c r="B35" s="5" t="inlineStr">
        <is>
          <t>S6</t>
        </is>
      </c>
      <c r="C35" s="5" t="inlineStr">
        <is>
          <t>Folder pattern resolves date and template tokens</t>
        </is>
      </c>
      <c r="D35" s="5" t="inlineStr">
        <is>
          <t>Generated documents must land somewhere predictable.</t>
        </is>
      </c>
      <c r="E35" s="5" t="inlineStr">
        <is>
          <t>Build present.</t>
        </is>
      </c>
      <c r="F35" s="18" t="inlineStr">
        <is>
          <t>Resolve the default pattern 'DocMerge Pro/Generated/{{template}}/{{yyyy}}-{{mm}}' against a template named 'Invoice' on a known date.</t>
        </is>
      </c>
      <c r="G35" s="18" t="inlineStr">
        <is>
          <t>'DocMerge Pro/Generated/Invoice/2026-09'. Tokens all substituted, no braces left.</t>
        </is>
      </c>
      <c r="H35" s="19" t="inlineStr"/>
      <c r="I35" s="19" t="inlineStr"/>
      <c r="J35" s="19" t="inlineStr"/>
      <c r="K35" s="19" t="inlineStr"/>
      <c r="L35" s="19" t="inlineStr"/>
    </row>
    <row r="36">
      <c r="A36" s="11" t="inlineStr">
        <is>
          <t>MT-FIL-02</t>
        </is>
      </c>
      <c r="B36" s="5" t="inlineStr">
        <is>
          <t>S6</t>
        </is>
      </c>
      <c r="C36" s="5" t="inlineStr">
        <is>
          <t>Rename conflict policy appends rather than overwrites</t>
        </is>
      </c>
      <c r="D36" s="5" t="inlineStr">
        <is>
          <t>The default must never destroy a customer's existing file.</t>
        </is>
      </c>
      <c r="E36" s="5" t="inlineStr">
        <is>
          <t>A fake Drive host with an existing file of the same name.</t>
        </is>
      </c>
      <c r="F36" s="18" t="inlineStr">
        <is>
          <t>File a document with conflictPolicy 'rename'.</t>
        </is>
      </c>
      <c r="G36" s="18" t="inlineStr">
        <is>
          <t>Result status 'renamed'; the original file is untouched and the new name is distinct.</t>
        </is>
      </c>
      <c r="H36" s="19" t="inlineStr"/>
      <c r="I36" s="19" t="inlineStr"/>
      <c r="J36" s="19" t="inlineStr"/>
      <c r="K36" s="19" t="inlineStr"/>
      <c r="L36" s="19" t="inlineStr"/>
    </row>
    <row r="37">
      <c r="A37" s="11" t="inlineStr">
        <is>
          <t>MT-FIL-03</t>
        </is>
      </c>
      <c r="B37" s="5" t="inlineStr">
        <is>
          <t>S6</t>
        </is>
      </c>
      <c r="C37" s="5" t="inlineStr">
        <is>
          <t>Overwrite policy replaces deliberately</t>
        </is>
      </c>
      <c r="D37" s="5" t="inlineStr">
        <is>
          <t>Available, but only when explicitly chosen.</t>
        </is>
      </c>
      <c r="E37" s="5" t="inlineStr">
        <is>
          <t>Same fixture.</t>
        </is>
      </c>
      <c r="F37" s="18" t="inlineStr">
        <is>
          <t>File with conflictPolicy 'overwrite'.</t>
        </is>
      </c>
      <c r="G37" s="18" t="inlineStr">
        <is>
          <t>Result status 'overwritten' and the same file id is reused.</t>
        </is>
      </c>
      <c r="H37" s="19" t="inlineStr"/>
      <c r="I37" s="19" t="inlineStr"/>
      <c r="J37" s="19" t="inlineStr"/>
      <c r="K37" s="19" t="inlineStr"/>
      <c r="L37" s="19" t="inlineStr"/>
    </row>
    <row r="38">
      <c r="A38" s="11" t="inlineStr">
        <is>
          <t>MT-FIL-04</t>
        </is>
      </c>
      <c r="B38" s="5" t="inlineStr">
        <is>
          <t>S6</t>
        </is>
      </c>
      <c r="C38" s="5" t="inlineStr">
        <is>
          <t>Skip policy leaves both alone</t>
        </is>
      </c>
      <c r="D38" s="5" t="inlineStr">
        <is>
          <t>The third option, for append-only workflows.</t>
        </is>
      </c>
      <c r="E38" s="5" t="inlineStr">
        <is>
          <t>Same fixture.</t>
        </is>
      </c>
      <c r="F38" s="18" t="inlineStr">
        <is>
          <t>File with conflictPolicy 'skip'.</t>
        </is>
      </c>
      <c r="G38" s="18" t="inlineStr">
        <is>
          <t>Result status 'skipped'. No write occurred.</t>
        </is>
      </c>
      <c r="H38" s="19" t="inlineStr"/>
      <c r="I38" s="19" t="inlineStr"/>
      <c r="J38" s="19" t="inlineStr"/>
      <c r="K38" s="19" t="inlineStr"/>
      <c r="L38" s="19" t="inlineStr"/>
    </row>
    <row r="39">
      <c r="A39" s="11" t="inlineStr">
        <is>
          <t>MT-FIL-05</t>
        </is>
      </c>
      <c r="B39" s="5" t="inlineStr">
        <is>
          <t>S6</t>
        </is>
      </c>
      <c r="C39" s="5" t="inlineStr">
        <is>
          <t>Transient platform failures retry, permanent ones do not</t>
        </is>
      </c>
      <c r="D39" s="5" t="inlineStr">
        <is>
          <t>429 and 5xx are worth retrying; 403 is not, and retrying it wastes quota.</t>
        </is>
      </c>
      <c r="E39" s="5" t="inlineStr">
        <is>
          <t>A fake Drive host that can be told which status to return.</t>
        </is>
      </c>
      <c r="F39" s="18" t="inlineStr">
        <is>
          <t>1. Make the host return 503 twice then succeed.
2. Make it return 403.</t>
        </is>
      </c>
      <c r="G39" s="18" t="inlineStr">
        <is>
          <t>Case 1 succeeds after retries. Case 2 fails immediately with a permission-denied message and no retry attempts.</t>
        </is>
      </c>
      <c r="H39" s="19" t="inlineStr"/>
      <c r="I39" s="19" t="inlineStr"/>
      <c r="J39" s="19" t="inlineStr"/>
      <c r="K39" s="19" t="inlineStr"/>
      <c r="L39" s="19" t="inlineStr"/>
    </row>
    <row r="40">
      <c r="A40" s="11" t="inlineStr">
        <is>
          <t>MT-BIL-01</t>
        </is>
      </c>
      <c r="B40" s="5" t="inlineStr">
        <is>
          <t>S6</t>
        </is>
      </c>
      <c r="C40" s="5" t="inlineStr">
        <is>
          <t>Trial starts without a card and shows days remaining</t>
        </is>
      </c>
      <c r="D40" s="5" t="inlineStr">
        <is>
          <t>14 days, no card, honest banner.</t>
        </is>
      </c>
      <c r="E40" s="5" t="inlineStr">
        <is>
          <t>Build present.</t>
        </is>
      </c>
      <c r="F40" s="18" t="inlineStr">
        <is>
          <t>Start a trial and read the banner on day 0, day 13 and day 14.</t>
        </is>
      </c>
      <c r="G40" s="18" t="inlineStr">
        <is>
          <t>Day 0 shows 14 days; day 13 shows '1 day' (singular, not '1 days'); day 14 shows ended. Zero charges at any point.</t>
        </is>
      </c>
      <c r="H40" s="19" t="inlineStr"/>
      <c r="I40" s="19" t="inlineStr"/>
      <c r="J40" s="19" t="inlineStr"/>
      <c r="K40" s="19" t="inlineStr"/>
      <c r="L40" s="19" t="inlineStr"/>
    </row>
    <row r="41">
      <c r="A41" s="11" t="inlineStr">
        <is>
          <t>MT-BIL-02</t>
        </is>
      </c>
      <c r="B41" s="5" t="inlineStr">
        <is>
          <t>S6</t>
        </is>
      </c>
      <c r="C41" s="5" t="inlineStr">
        <is>
          <t>Mid-cycle upgrade prorates to the cent</t>
        </is>
      </c>
      <c r="D41" s="5" t="inlineStr">
        <is>
          <t>An off-by-a-penny invoice is a support ticket.</t>
        </is>
      </c>
      <c r="E41" s="5" t="inlineStr">
        <is>
          <t>An active subscription part-way through a cycle.</t>
        </is>
      </c>
      <c r="F41" s="18" t="inlineStr">
        <is>
          <t>Change plan upward mid-cycle and read the proration amount.</t>
        </is>
      </c>
      <c r="G41" s="18" t="inlineStr">
        <is>
          <t>The amount matches a hand calculation to the cent. (The automated suite pins $11.33 and -$8.50 for its fixtures.)</t>
        </is>
      </c>
      <c r="H41" s="19" t="inlineStr"/>
      <c r="I41" s="19" t="inlineStr"/>
      <c r="J41" s="19" t="inlineStr"/>
      <c r="K41" s="19" t="inlineStr"/>
      <c r="L41" s="19" t="inlineStr"/>
    </row>
    <row r="42">
      <c r="A42" s="11" t="inlineStr">
        <is>
          <t>MT-BIL-03</t>
        </is>
      </c>
      <c r="B42" s="5" t="inlineStr">
        <is>
          <t>S7–S8</t>
        </is>
      </c>
      <c r="C42" s="5" t="inlineStr">
        <is>
          <t>Plan limit warns at 80% and blocks at 100%</t>
        </is>
      </c>
      <c r="D42" s="5" t="inlineStr">
        <is>
          <t>DM-F03: these limits existed for days and were enforced nowhere.</t>
        </is>
      </c>
      <c r="E42" s="5" t="inlineStr">
        <is>
          <t>An account on a plan with a known document limit.</t>
        </is>
      </c>
      <c r="F42" s="18" t="inlineStr">
        <is>
          <t>1. Consume 79% of the limit and attempt an action.
2. Consume to 80%.
3. Consume to 100% and attempt again.</t>
        </is>
      </c>
      <c r="G42" s="18" t="inlineStr">
        <is>
          <t>Step 1: no prompt. Step 2: a warning prompt, action still allowed. Step 3: the action is refused with a PlanLimitExceededError naming the limit and the usage.</t>
        </is>
      </c>
      <c r="H42" s="19" t="inlineStr"/>
      <c r="I42" s="19" t="inlineStr"/>
      <c r="J42" s="19" t="inlineStr"/>
      <c r="K42" s="19" t="inlineStr"/>
      <c r="L42" s="19" t="inlineStr"/>
    </row>
    <row r="43">
      <c r="A43" s="11" t="inlineStr">
        <is>
          <t>MT-BIL-04</t>
        </is>
      </c>
      <c r="B43" s="5" t="inlineStr">
        <is>
          <t>S7–S8</t>
        </is>
      </c>
      <c r="C43" s="5" t="inlineStr">
        <is>
          <t>Usage is recorded only after success</t>
        </is>
      </c>
      <c r="D43" s="5" t="inlineStr">
        <is>
          <t>A failed platform call must not burn the customer's quota.</t>
        </is>
      </c>
      <c r="E43" s="5" t="inlineStr">
        <is>
          <t>An account near its limit; a forced failure in the generate path.</t>
        </is>
      </c>
      <c r="F43" s="18" t="inlineStr">
        <is>
          <t>Attempt a generation that fails at the platform boundary, then read the usage counter.</t>
        </is>
      </c>
      <c r="G43" s="18" t="inlineStr">
        <is>
          <t>The counter did NOT increase. The customer is not charged quota for our failure.</t>
        </is>
      </c>
      <c r="H43" s="19" t="inlineStr"/>
      <c r="I43" s="19" t="inlineStr"/>
      <c r="J43" s="19" t="inlineStr"/>
      <c r="K43" s="19" t="inlineStr"/>
      <c r="L43" s="19" t="inlineStr"/>
    </row>
    <row r="44">
      <c r="A44" s="11" t="inlineStr">
        <is>
          <t>MT-BIL-05</t>
        </is>
      </c>
      <c r="B44" s="5" t="inlineStr">
        <is>
          <t>S7–S8</t>
        </is>
      </c>
      <c r="C44" s="5" t="inlineStr">
        <is>
          <t>Invoice computes tax and reverse charge</t>
        </is>
      </c>
      <c r="D44" s="5" t="inlineStr">
        <is>
          <t>GST/VAT with B2B reverse charge.</t>
        </is>
      </c>
      <c r="E44" s="5" t="inlineStr">
        <is>
          <t>Build present.</t>
        </is>
      </c>
      <c r="F44" s="18" t="inlineStr">
        <is>
          <t>Issue an invoice for a domestic customer, then for a B2B customer in another jurisdiction with a tax id.</t>
        </is>
      </c>
      <c r="G44" s="18" t="inlineStr">
        <is>
          <t>Domestic: tax applied at the configured rate. B2B cross-border: reverse charge applied, tax zero, the tax id recorded on the invoice, and the invoice number sequential.</t>
        </is>
      </c>
      <c r="H44" s="19" t="inlineStr"/>
      <c r="I44" s="19" t="inlineStr"/>
      <c r="J44" s="19" t="inlineStr"/>
      <c r="K44" s="19" t="inlineStr"/>
      <c r="L44" s="19" t="inlineStr"/>
    </row>
    <row r="45">
      <c r="A45" s="11" t="inlineStr">
        <is>
          <t>MT-BIL-06</t>
        </is>
      </c>
      <c r="B45" s="5" t="inlineStr">
        <is>
          <t>S7–S8</t>
        </is>
      </c>
      <c r="C45" s="5" t="inlineStr">
        <is>
          <t>Entitlement tiers declare everything the code checks</t>
        </is>
      </c>
      <c r="D45" s="5" t="inlineStr">
        <is>
          <t>A limit that exists and is never consulted is the DM-F03 class returning.</t>
        </is>
      </c>
      <c r="E45" s="5" t="inlineStr">
        <is>
          <t>Build present.</t>
        </is>
      </c>
      <c r="F45" s="18" t="inlineStr">
        <is>
          <t>Call the tier validator and unconsultedLimitKeys().</t>
        </is>
      </c>
      <c r="G45" s="18" t="inlineStr">
        <is>
          <t>The validator passes and unconsultedLimitKeys() returns an empty list. A non-empty list is a FAIL and means a published limit is not enforced.</t>
        </is>
      </c>
      <c r="H45" s="19" t="inlineStr"/>
      <c r="I45" s="19" t="inlineStr"/>
      <c r="J45" s="19" t="inlineStr"/>
      <c r="K45" s="19" t="inlineStr"/>
      <c r="L45" s="19" t="inlineStr"/>
    </row>
    <row r="46">
      <c r="A46" s="11" t="inlineStr">
        <is>
          <t>MT-DUN-01</t>
        </is>
      </c>
      <c r="B46" s="5" t="inlineStr">
        <is>
          <t>S7–S8</t>
        </is>
      </c>
      <c r="C46" s="5" t="inlineStr">
        <is>
          <t>Exactly three dunning emails on the 1/3/7 schedule</t>
        </is>
      </c>
      <c r="D46" s="5" t="inlineStr">
        <is>
          <t>Not two, not four, and not one per tick.</t>
        </is>
      </c>
      <c r="E46" s="5" t="inlineStr">
        <is>
          <t>A subscription with a failed payment.</t>
        </is>
      </c>
      <c r="F46" s="18" t="inlineStr">
        <is>
          <t>Advance the clock across days 1, 2, 3, 5, 7 and 9, ticking each day.</t>
        </is>
      </c>
      <c r="G46" s="18" t="inlineStr">
        <is>
          <t>Emails on days 1, 3 and 7 only. Three in total. Days 2, 5 and 9 produce none.</t>
        </is>
      </c>
      <c r="H46" s="19" t="inlineStr"/>
      <c r="I46" s="19" t="inlineStr"/>
      <c r="J46" s="19" t="inlineStr"/>
      <c r="K46" s="19" t="inlineStr"/>
      <c r="L46" s="19" t="inlineStr"/>
    </row>
    <row r="47">
      <c r="A47" s="11" t="inlineStr">
        <is>
          <t>MT-DUN-02</t>
        </is>
      </c>
      <c r="B47" s="5" t="inlineStr">
        <is>
          <t>S7–S8</t>
        </is>
      </c>
      <c r="C47" s="5" t="inlineStr">
        <is>
          <t>Catch-up when ticks are missed</t>
        </is>
      </c>
      <c r="D47" s="5" t="inlineStr">
        <is>
          <t>If the scheduler misses a day, the customer must not silently skip an email.</t>
        </is>
      </c>
      <c r="E47" s="5" t="inlineStr">
        <is>
          <t>Same fixture.</t>
        </is>
      </c>
      <c r="F47" s="18" t="inlineStr">
        <is>
          <t>Fail a payment, then tick once at day 8 having skipped every earlier tick.</t>
        </is>
      </c>
      <c r="G47" s="18" t="inlineStr">
        <is>
          <t>The due emails are sent rather than skipped, and the total never exceeds three.</t>
        </is>
      </c>
      <c r="H47" s="19" t="inlineStr"/>
      <c r="I47" s="19" t="inlineStr"/>
      <c r="J47" s="19" t="inlineStr"/>
      <c r="K47" s="19" t="inlineStr"/>
      <c r="L47" s="19" t="inlineStr"/>
    </row>
    <row r="48">
      <c r="A48" s="11" t="inlineStr">
        <is>
          <t>MT-DUN-03</t>
        </is>
      </c>
      <c r="B48" s="5" t="inlineStr">
        <is>
          <t>S7–S8</t>
        </is>
      </c>
      <c r="C48" s="5" t="inlineStr">
        <is>
          <t>Grace ends in read-only, not deletion</t>
        </is>
      </c>
      <c r="D48" s="5" t="inlineStr">
        <is>
          <t>Paying must restore instantly and no data may be destroyed over a failed card.</t>
        </is>
      </c>
      <c r="E48" s="5" t="inlineStr">
        <is>
          <t>A subscription past its 7-day grace.</t>
        </is>
      </c>
      <c r="F48" s="18" t="inlineStr">
        <is>
          <t>1. Tick past grace.
2. Attempt a write.
3. Attempt a read.
4. Record a successful payment.
5. Attempt a write.</t>
        </is>
      </c>
      <c r="G48" s="18" t="inlineStr">
        <is>
          <t>Step 2 refused with ReadOnlyModeError. Step 3 SUCCEEDS — reads stay available. Step 5 succeeds immediately with all data intact.</t>
        </is>
      </c>
      <c r="H48" s="19" t="inlineStr"/>
      <c r="I48" s="19" t="inlineStr"/>
      <c r="J48" s="19" t="inlineStr"/>
      <c r="K48" s="19" t="inlineStr"/>
      <c r="L48" s="19" t="inlineStr"/>
    </row>
    <row r="49">
      <c r="A49" s="11" t="inlineStr">
        <is>
          <t>MT-FRM-01</t>
        </is>
      </c>
      <c r="B49" s="5" t="inlineStr">
        <is>
          <t>S7–S8</t>
        </is>
      </c>
      <c r="C49" s="5" t="inlineStr">
        <is>
          <t>Form submission generates a document</t>
        </is>
      </c>
      <c r="D49" s="5" t="inlineStr">
        <is>
          <t>The F5 feature end to end, minus Google.</t>
        </is>
      </c>
      <c r="E49" s="5" t="inlineStr">
        <is>
          <t>A configured form trigger and a template.</t>
        </is>
      </c>
      <c r="F49" s="18" t="inlineStr">
        <is>
          <t>Call handleSubmission with a complete submission.</t>
        </is>
      </c>
      <c r="G49" s="18" t="inlineStr">
        <is>
          <t>Status 'generated' and an output returned.</t>
        </is>
      </c>
      <c r="H49" s="19" t="inlineStr"/>
      <c r="I49" s="19" t="inlineStr"/>
      <c r="J49" s="19" t="inlineStr"/>
      <c r="K49" s="19" t="inlineStr"/>
      <c r="L49" s="19" t="inlineStr"/>
    </row>
    <row r="50">
      <c r="A50" s="11" t="inlineStr">
        <is>
          <t>MT-FRM-02</t>
        </is>
      </c>
      <c r="B50" s="5" t="inlineStr">
        <is>
          <t>S7–S8</t>
        </is>
      </c>
      <c r="C50" s="5" t="inlineStr">
        <is>
          <t>Redelivered submission does not generate twice</t>
        </is>
      </c>
      <c r="D50" s="5" t="inlineStr">
        <is>
          <t>Webhook redelivery is normal; a duplicate document is worse than a late one.</t>
        </is>
      </c>
      <c r="E50" s="5" t="inlineStr">
        <is>
          <t>Same fixture.</t>
        </is>
      </c>
      <c r="F50" s="18" t="inlineStr">
        <is>
          <t>Call handleSubmission twice with the same submissionId.</t>
        </is>
      </c>
      <c r="G50" s="18" t="inlineStr">
        <is>
          <t>First call 'generated'. Second call 'duplicate' with no second output.</t>
        </is>
      </c>
      <c r="H50" s="19" t="inlineStr"/>
      <c r="I50" s="19" t="inlineStr"/>
      <c r="J50" s="19" t="inlineStr"/>
      <c r="K50" s="19" t="inlineStr"/>
      <c r="L50" s="19" t="inlineStr"/>
    </row>
    <row r="51">
      <c r="A51" s="11" t="inlineStr">
        <is>
          <t>MT-FRM-03</t>
        </is>
      </c>
      <c r="B51" s="5" t="inlineStr">
        <is>
          <t>S7–S8</t>
        </is>
      </c>
      <c r="C51" s="5" t="inlineStr">
        <is>
          <t>Dedupe survives a restart</t>
        </is>
      </c>
      <c r="D51" s="5" t="inlineStr">
        <is>
          <t>In-memory dedupe means a restart lets a replay through. Fixed in S16.</t>
        </is>
      </c>
      <c r="E51" s="5" t="inlineStr">
        <is>
          <t>Postgres wired for webhook dedupe.</t>
        </is>
      </c>
      <c r="F51" s="18" t="inlineStr">
        <is>
          <t>1. Deliver a webhook.
2. Restart the process.
3. Deliver the same delivery id again.</t>
        </is>
      </c>
      <c r="G51" s="18" t="inlineStr">
        <is>
          <t>The second delivery is still recognised as already handled. A fresh generation here is a FAIL and a double-billing class defect.</t>
        </is>
      </c>
      <c r="H51" s="19" t="inlineStr"/>
      <c r="I51" s="19" t="inlineStr"/>
      <c r="J51" s="19" t="inlineStr"/>
      <c r="K51" s="19" t="inlineStr"/>
      <c r="L51" s="19" t="inlineStr"/>
    </row>
    <row r="52">
      <c r="A52" s="11" t="inlineStr">
        <is>
          <t>MT-FRM-04</t>
        </is>
      </c>
      <c r="B52" s="5" t="inlineStr">
        <is>
          <t>S7–S8</t>
        </is>
      </c>
      <c r="C52" s="5" t="inlineStr">
        <is>
          <t>A blank submission is skipped, not failed</t>
        </is>
      </c>
      <c r="D52" s="5" t="inlineStr">
        <is>
          <t>Same reasoning as blank spreadsheet rows.</t>
        </is>
      </c>
      <c r="E52" s="5" t="inlineStr">
        <is>
          <t>A trigger with skipBlankSubmissions true.</t>
        </is>
      </c>
      <c r="F52" s="18" t="inlineStr">
        <is>
          <t>Submit with every mapped field empty.</t>
        </is>
      </c>
      <c r="G52" s="18" t="inlineStr">
        <is>
          <t>Status 'skipped_blank'. No document, no error.</t>
        </is>
      </c>
      <c r="H52" s="19" t="inlineStr"/>
      <c r="I52" s="19" t="inlineStr"/>
      <c r="J52" s="19" t="inlineStr"/>
      <c r="K52" s="19" t="inlineStr"/>
      <c r="L52" s="19" t="inlineStr"/>
    </row>
    <row r="53">
      <c r="A53" s="11" t="inlineStr">
        <is>
          <t>MT-DUR-01</t>
        </is>
      </c>
      <c r="B53" s="5" t="inlineStr">
        <is>
          <t>S16</t>
        </is>
      </c>
      <c r="C53" s="5" t="inlineStr">
        <is>
          <t>Audit chain survives a restart and still verifies</t>
        </is>
      </c>
      <c r="D53" s="5" t="inlineStr">
        <is>
          <t>A hash-chained audit log that vanishes on restart cannot serve the auditability this product sells.</t>
        </is>
      </c>
      <c r="E53" s="5" t="inlineStr">
        <is>
          <t>Postgres wired; durable admin audit log.</t>
        </is>
      </c>
      <c r="F53" s="18" t="inlineStr">
        <is>
          <t>1. Record five admin actions.
2. Restart the process.
3. Record a sixth.
4. Verify the chain.</t>
        </is>
      </c>
      <c r="G53" s="18" t="inlineStr">
        <is>
          <t>The chain verifies. The sixth entry links to the fifth — it does not restart at genesis with sequence 1.</t>
        </is>
      </c>
      <c r="H53" s="19" t="inlineStr"/>
      <c r="I53" s="19" t="inlineStr"/>
      <c r="J53" s="19" t="inlineStr"/>
      <c r="K53" s="19" t="inlineStr"/>
      <c r="L53" s="19" t="inlineStr"/>
    </row>
    <row r="54">
      <c r="A54" s="11" t="inlineStr">
        <is>
          <t>MT-DUR-02</t>
        </is>
      </c>
      <c r="B54" s="5" t="inlineStr">
        <is>
          <t>S16</t>
        </is>
      </c>
      <c r="C54" s="5" t="inlineStr">
        <is>
          <t>Truncation is reported, never hidden</t>
        </is>
      </c>
      <c r="D54" s="5" t="inlineStr">
        <is>
          <t>A ledger that silently forgets is worse than one that admits it.</t>
        </is>
      </c>
      <c r="E54" s="5" t="inlineStr">
        <is>
          <t>A ledger at its capacity.</t>
        </is>
      </c>
      <c r="F54" s="18" t="inlineStr">
        <is>
          <t>Push past capacity, then call chainStatus().</t>
        </is>
      </c>
      <c r="G54" s="18" t="inlineStr">
        <is>
          <t>Status 'truncated_but_anchored' with a non-zero evicted count, not 'intact'.</t>
        </is>
      </c>
      <c r="H54" s="19" t="inlineStr"/>
      <c r="I54" s="19" t="inlineStr"/>
      <c r="J54" s="19" t="inlineStr"/>
      <c r="K54" s="19" t="inlineStr"/>
      <c r="L54" s="19" t="inlineStr"/>
    </row>
    <row r="55">
      <c r="A55" s="11" t="inlineStr">
        <is>
          <t>MT-DUR-03</t>
        </is>
      </c>
      <c r="B55" s="5" t="inlineStr">
        <is>
          <t>S16</t>
        </is>
      </c>
      <c r="C55" s="5" t="inlineStr">
        <is>
          <t>Rate limits survive a restart</t>
        </is>
      </c>
      <c r="D55" s="5" t="inlineStr">
        <is>
          <t>An in-memory limiter means a restart is a free quota reset for an attacker.</t>
        </is>
      </c>
      <c r="E55" s="5" t="inlineStr">
        <is>
          <t>Postgres-backed rate limit store.</t>
        </is>
      </c>
      <c r="F55" s="18" t="inlineStr">
        <is>
          <t>1. Exhaust the limit for a key.
2. Restart.
3. Immediately retry the same key.</t>
        </is>
      </c>
      <c r="G55" s="18" t="inlineStr">
        <is>
          <t>Still limited. A reset window here is a FAIL.</t>
        </is>
      </c>
      <c r="H55" s="19" t="inlineStr"/>
      <c r="I55" s="19" t="inlineStr"/>
      <c r="J55" s="19" t="inlineStr"/>
      <c r="K55" s="19" t="inlineStr"/>
      <c r="L55" s="19" t="inlineStr"/>
    </row>
    <row r="56">
      <c r="A56" s="11" t="inlineStr">
        <is>
          <t>MT-DUR-04</t>
        </is>
      </c>
      <c r="B56" s="5" t="inlineStr">
        <is>
          <t>S16</t>
        </is>
      </c>
      <c r="C56" s="5" t="inlineStr">
        <is>
          <t>Sessions survive a restart and can be revoked</t>
        </is>
      </c>
      <c r="D56" s="5" t="inlineStr">
        <is>
          <t>Previously every user was logged out by a deploy.</t>
        </is>
      </c>
      <c r="E56" s="5" t="inlineStr">
        <is>
          <t>Postgres session store.</t>
        </is>
      </c>
      <c r="F56" s="18" t="inlineStr">
        <is>
          <t>1. Issue a session and use it.
2. Restart.
3. Use it again.
4. Revoke it.
5. Use it again.</t>
        </is>
      </c>
      <c r="G56" s="18" t="inlineStr">
        <is>
          <t>Step 3 still authenticates. Step 5 is refused with reason 'revoked'.</t>
        </is>
      </c>
      <c r="H56" s="19" t="inlineStr"/>
      <c r="I56" s="19" t="inlineStr"/>
      <c r="J56" s="19" t="inlineStr"/>
      <c r="K56" s="19" t="inlineStr"/>
      <c r="L56" s="19" t="inlineStr"/>
    </row>
    <row r="57">
      <c r="A57" s="11" t="inlineStr">
        <is>
          <t>MT-DUR-05</t>
        </is>
      </c>
      <c r="B57" s="5" t="inlineStr">
        <is>
          <t>S16</t>
        </is>
      </c>
      <c r="C57" s="5" t="inlineStr">
        <is>
          <t>Form triggers survive a restart</t>
        </is>
      </c>
      <c r="D57" s="5" t="inlineStr">
        <is>
          <t>Configured automations silently stopped working after any restart.</t>
        </is>
      </c>
      <c r="E57" s="5" t="inlineStr">
        <is>
          <t>Postgres form trigger repo.</t>
        </is>
      </c>
      <c r="F57" s="18" t="inlineStr">
        <is>
          <t>1. Configure a trigger.
2. Restart.
3. Deliver a submission for that form.</t>
        </is>
      </c>
      <c r="G57" s="18" t="inlineStr">
        <is>
          <t>The trigger is found and the submission generates. 'no_trigger_configured' here is a FAIL.</t>
        </is>
      </c>
      <c r="H57" s="19" t="inlineStr"/>
      <c r="I57" s="19" t="inlineStr"/>
      <c r="J57" s="19" t="inlineStr"/>
      <c r="K57" s="19" t="inlineStr"/>
      <c r="L57" s="19" t="inlineStr"/>
    </row>
    <row r="58">
      <c r="A58" s="11" t="inlineStr">
        <is>
          <t>MT-DUR-06</t>
        </is>
      </c>
      <c r="B58" s="5" t="inlineStr">
        <is>
          <t>S16</t>
        </is>
      </c>
      <c r="C58" s="5" t="inlineStr">
        <is>
          <t>Deletion jobs survive a restart</t>
        </is>
      </c>
      <c r="D58" s="5" t="inlineStr">
        <is>
          <t>The 30-day deletion promise is published on the privacy page.</t>
        </is>
      </c>
      <c r="E58" s="5" t="inlineStr">
        <is>
          <t>Postgres deletion scheduler.</t>
        </is>
      </c>
      <c r="F58" s="18" t="inlineStr">
        <is>
          <t>1. Trigger an uninstall so a deletion job is scheduled.
2. Restart.
3. Query the job.</t>
        </is>
      </c>
      <c r="G58" s="18" t="inlineStr">
        <is>
          <t>The job is still scheduled with its original due date.</t>
        </is>
      </c>
      <c r="H58" s="19" t="inlineStr"/>
      <c r="I58" s="19" t="inlineStr"/>
      <c r="J58" s="19" t="inlineStr"/>
      <c r="K58" s="19" t="inlineStr"/>
      <c r="L58" s="19" t="inlineStr"/>
    </row>
    <row r="59">
      <c r="A59" s="11" t="inlineStr">
        <is>
          <t>MT-DUR-07</t>
        </is>
      </c>
      <c r="B59" s="5" t="inlineStr">
        <is>
          <t>S16</t>
        </is>
      </c>
      <c r="C59" s="5" t="inlineStr">
        <is>
          <t>The purge worker actually deletes when due</t>
        </is>
      </c>
      <c r="D59" s="5" t="inlineStr">
        <is>
          <t>DM-F41: the schedule was durable and the registry complete, and nothing called due(). Deletion jobs were recorded faithfully and acted on never.</t>
        </is>
      </c>
      <c r="E59" s="5" t="inlineStr">
        <is>
          <t>Postgres; an account with data; a deletion job dated in the past.</t>
        </is>
      </c>
      <c r="F59" s="18" t="inlineStr">
        <is>
          <t>1. Create an account with templates and audit rows.
2. Schedule deletion 31 days in the past.
3. Run PurgeWorker.runOnce().
4. Query every account-scoped table for that account.
5. Query deletion_jobs.</t>
        </is>
      </c>
      <c r="G59" s="18" t="inlineStr">
        <is>
          <t>Every table returns zero rows for that account. The deletion_jobs row is gone. A second run is a clean no-op. Any other account's data is untouched.</t>
        </is>
      </c>
      <c r="H59" s="19" t="inlineStr"/>
      <c r="I59" s="19" t="inlineStr"/>
      <c r="J59" s="19" t="inlineStr"/>
      <c r="K59" s="19" t="inlineStr"/>
      <c r="L59" s="19" t="inlineStr"/>
    </row>
    <row r="60">
      <c r="A60" s="11" t="inlineStr">
        <is>
          <t>MT-GOV-01</t>
        </is>
      </c>
      <c r="B60" s="5" t="inlineStr">
        <is>
          <t>S17</t>
        </is>
      </c>
      <c r="C60" s="5" t="inlineStr">
        <is>
          <t>Audit export can be verified by the customer</t>
        </is>
      </c>
      <c r="D60" s="5" t="inlineStr">
        <is>
          <t>The point of a tamper-evident chain is that the recipient can check it without trusting us.</t>
        </is>
      </c>
      <c r="E60" s="5" t="inlineStr">
        <is>
          <t>An account with audit entries.</t>
        </is>
      </c>
      <c r="F60" s="18" t="inlineStr">
        <is>
          <t>1. Build the audit export.
2. Run verifyExport on the CSV.</t>
        </is>
      </c>
      <c r="G60" s="18" t="inlineStr">
        <is>
          <t>Status 'intact'. The CSV columns are the digest preimage in order, so the chain can be recomputed from the file alone.</t>
        </is>
      </c>
      <c r="H60" s="19" t="inlineStr"/>
      <c r="I60" s="19" t="inlineStr"/>
      <c r="J60" s="19" t="inlineStr"/>
      <c r="K60" s="19" t="inlineStr"/>
      <c r="L60" s="19" t="inlineStr"/>
    </row>
    <row r="61">
      <c r="A61" s="11" t="inlineStr">
        <is>
          <t>MT-GOV-02</t>
        </is>
      </c>
      <c r="B61" s="5" t="inlineStr">
        <is>
          <t>S17</t>
        </is>
      </c>
      <c r="C61" s="5" t="inlineStr">
        <is>
          <t>A tampered export is detected</t>
        </is>
      </c>
      <c r="D61" s="5" t="inlineStr">
        <is>
          <t>The negative half of MT-GOV-01, and the only one that proves the mechanism.</t>
        </is>
      </c>
      <c r="E61" s="5" t="inlineStr">
        <is>
          <t>The CSV from MT-GOV-01.</t>
        </is>
      </c>
      <c r="F61" s="18" t="inlineStr">
        <is>
          <t>1. Edit one field in one row.
2. Re-run verifyExport.
3. Repeat having deleted a row.
4. Repeat having deleted a row AND patched the neighbouring links.</t>
        </is>
      </c>
      <c r="G61" s="18" t="inlineStr">
        <is>
          <t>All four report 'broken' and name the sequence where the chain fails. Case 4 is the important one — a naive implementation passes it.</t>
        </is>
      </c>
      <c r="H61" s="19" t="inlineStr"/>
      <c r="I61" s="19" t="inlineStr"/>
      <c r="J61" s="19" t="inlineStr"/>
      <c r="K61" s="19" t="inlineStr"/>
      <c r="L61" s="19" t="inlineStr"/>
    </row>
    <row r="62">
      <c r="A62" s="11" t="inlineStr">
        <is>
          <t>MT-GOV-03</t>
        </is>
      </c>
      <c r="B62" s="5" t="inlineStr">
        <is>
          <t>S17</t>
        </is>
      </c>
      <c r="C62" s="5" t="inlineStr">
        <is>
          <t>Tenant isolation statement matches the code</t>
        </is>
      </c>
      <c r="D62" s="5" t="inlineStr">
        <is>
          <t>A published statement that drifts from the gate it describes is worse than none.</t>
        </is>
      </c>
      <c r="E62" s="5" t="inlineStr">
        <is>
          <t>Build present.</t>
        </is>
      </c>
      <c r="F62" s="18" t="inlineStr">
        <is>
          <t>1. Build the isolation statement.
2. Run its validator.
3. Compare the exemption count it publishes with tenantGate.ts.</t>
        </is>
      </c>
      <c r="G62" s="18" t="inlineStr">
        <is>
          <t>Validator passes; the counts agree. The statement also says what it does NOT prove — a database-level isolation proof is still owed. If that caveat is missing, FAIL.</t>
        </is>
      </c>
      <c r="H62" s="19" t="inlineStr"/>
      <c r="I62" s="19" t="inlineStr"/>
      <c r="J62" s="19" t="inlineStr"/>
      <c r="K62" s="19" t="inlineStr"/>
      <c r="L62" s="19" t="inlineStr"/>
    </row>
    <row r="63">
      <c r="A63" s="11" t="inlineStr">
        <is>
          <t>MT-GOV-04</t>
        </is>
      </c>
      <c r="B63" s="5" t="inlineStr">
        <is>
          <t>S17</t>
        </is>
      </c>
      <c r="C63" s="5" t="inlineStr">
        <is>
          <t>Batch SLO page quotes only recorded quotas</t>
        </is>
      </c>
      <c r="D63" s="5" t="inlineStr">
        <is>
          <t>No invented numbers. The VER-DM6 discipline.</t>
        </is>
      </c>
      <c r="E63" s="5" t="inlineStr">
        <is>
          <t>Build present.</t>
        </is>
      </c>
      <c r="F63" s="18" t="inlineStr">
        <is>
          <t>1. Build the batch SLO page.
2. Run its validator.
3. Read the figures for 10 / 100 / 500 / 1000 rows.</t>
        </is>
      </c>
      <c r="G63" s="18" t="inlineStr">
        <is>
          <t>Validator passes. 500 rows reads as roughly eight minutes with the binding quota named and sourced. Any figure not derived from a recorded quota fails the validator.</t>
        </is>
      </c>
      <c r="H63" s="19" t="inlineStr"/>
      <c r="I63" s="19" t="inlineStr"/>
      <c r="J63" s="19" t="inlineStr"/>
      <c r="K63" s="19" t="inlineStr"/>
      <c r="L63" s="19" t="inlineStr"/>
    </row>
    <row r="64">
      <c r="A64" s="11" t="inlineStr">
        <is>
          <t>MT-GOV-05</t>
        </is>
      </c>
      <c r="B64" s="5" t="inlineStr">
        <is>
          <t>S17</t>
        </is>
      </c>
      <c r="C64" s="5" t="inlineStr">
        <is>
          <t>Listing copy makes no CASA or mobile claim</t>
        </is>
      </c>
      <c r="D64" s="5" t="inlineStr">
        <is>
          <t>Both are false: no restricted scopes means no CASA badge to earn, and the Editor add-on path has no mobile.</t>
        </is>
      </c>
      <c r="E64" s="5" t="inlineStr">
        <is>
          <t>Build present.</t>
        </is>
      </c>
      <c r="F64" s="18" t="inlineStr">
        <is>
          <t>Run the listing copy reviewer / prohibited-claims audit.</t>
        </is>
      </c>
      <c r="G64" s="18" t="inlineStr">
        <is>
          <t>Zero prohibited claims. Read the copy yourself too — neither a badge nor mobile availability is mentioned.</t>
        </is>
      </c>
      <c r="H64" s="19" t="inlineStr"/>
      <c r="I64" s="19" t="inlineStr"/>
      <c r="J64" s="19" t="inlineStr"/>
      <c r="K64" s="19" t="inlineStr"/>
      <c r="L64" s="19" t="inlineStr"/>
    </row>
    <row r="65">
      <c r="A65" s="11" t="inlineStr">
        <is>
          <t>MT-GOV-06</t>
        </is>
      </c>
      <c r="B65" s="5" t="inlineStr">
        <is>
          <t>S17</t>
        </is>
      </c>
      <c r="C65" s="5" t="inlineStr">
        <is>
          <t>Published competitor figures are the confirmed ones</t>
        </is>
      </c>
      <c r="D65" s="5" t="inlineStr">
        <is>
          <t>P-DM-012: an unverified figure was carrying the argument in two documents.</t>
        </is>
      </c>
      <c r="E65" s="5" t="inlineStr">
        <is>
          <t>Build present.</t>
        </is>
      </c>
      <c r="F65" s="18" t="inlineStr">
        <is>
          <t>Search the listing module and generated copy for install-count figures.</t>
        </is>
      </c>
      <c r="G65" s="18" t="inlineStr">
        <is>
          <t>Form Publisher 24M+ and Document Studio 6M+ only, attributed as Marketplace listing figures. The autoCrat 83M+ figure appears only in the retired-figures record, never in copy.</t>
        </is>
      </c>
      <c r="H65" s="19" t="inlineStr"/>
      <c r="I65" s="19" t="inlineStr"/>
      <c r="J65" s="19" t="inlineStr"/>
      <c r="K65" s="19" t="inlineStr"/>
      <c r="L65" s="19" t="inlineStr"/>
    </row>
    <row r="66">
      <c r="A66" s="11" t="inlineStr">
        <is>
          <t>MT-OPS-01</t>
        </is>
      </c>
      <c r="B66" s="5" t="inlineStr">
        <is>
          <t>S18</t>
        </is>
      </c>
      <c r="C66" s="5" t="inlineStr">
        <is>
          <t>Logger redacts tokens, emails and authorization headers</t>
        </is>
      </c>
      <c r="D66" s="5" t="inlineStr">
        <is>
          <t>An access token in a log line is a credential leak with a long tail.</t>
        </is>
      </c>
      <c r="E66" s="5" t="inlineStr">
        <is>
          <t>Build present.</t>
        </is>
      </c>
      <c r="F66" s="18" t="inlineStr">
        <is>
          <t>Log a record containing an email address, an access token, an authorization header and a refresh token; capture the emitted line.</t>
        </is>
      </c>
      <c r="G66" s="18" t="inlineStr">
        <is>
          <t>None of the raw values appear anywhere in the output. Each is replaced by a redaction marker.</t>
        </is>
      </c>
      <c r="H66" s="19" t="inlineStr"/>
      <c r="I66" s="19" t="inlineStr"/>
      <c r="J66" s="19" t="inlineStr"/>
      <c r="K66" s="19" t="inlineStr"/>
      <c r="L66" s="19" t="inlineStr"/>
    </row>
    <row r="67">
      <c r="A67" s="11" t="inlineStr">
        <is>
          <t>MT-OPS-02</t>
        </is>
      </c>
      <c r="B67" s="5" t="inlineStr">
        <is>
          <t>S18</t>
        </is>
      </c>
      <c r="C67" s="5" t="inlineStr">
        <is>
          <t>Request id is generated and echoed</t>
        </is>
      </c>
      <c r="D67" s="5" t="inlineStr">
        <is>
          <t>A customer report has to be matchable to a trace.</t>
        </is>
      </c>
      <c r="E67" s="5" t="inlineStr">
        <is>
          <t>Process running.</t>
        </is>
      </c>
      <c r="F67" s="18" t="inlineStr">
        <is>
          <t>1. curl -i http://127.0.0.1:8123/healthz
2. curl -i -H 'x-request-id: abc123def456' …/healthz</t>
        </is>
      </c>
      <c r="G67" s="18" t="inlineStr">
        <is>
          <t>Step 1: an x-request-id response header is present with a generated hex value. Step 2: the supplied id is echoed back.</t>
        </is>
      </c>
      <c r="H67" s="19" t="inlineStr"/>
      <c r="I67" s="19" t="inlineStr"/>
      <c r="J67" s="19" t="inlineStr"/>
      <c r="K67" s="19" t="inlineStr"/>
      <c r="L67" s="19" t="inlineStr"/>
    </row>
    <row r="68">
      <c r="A68" s="11" t="inlineStr">
        <is>
          <t>MT-OPS-03</t>
        </is>
      </c>
      <c r="B68" s="5" t="inlineStr">
        <is>
          <t>S18</t>
        </is>
      </c>
      <c r="C68" s="5" t="inlineStr">
        <is>
          <t>Error budget fires an alert on fast burn</t>
        </is>
      </c>
      <c r="D68" s="5" t="inlineStr">
        <is>
          <t>One alert, deliberately — with a runbook.</t>
        </is>
      </c>
      <c r="E68" s="5" t="inlineStr">
        <is>
          <t>Build present.</t>
        </is>
      </c>
      <c r="F68" s="18" t="inlineStr">
        <is>
          <t>Record enough failures to exceed the fast-burn threshold, then evaluate.</t>
        </is>
      </c>
      <c r="G68" s="18" t="inlineStr">
        <is>
          <t>The alert SLO-RENDER-FAST-BURN fires and the budget remaining is reported. Below the threshold it does not fire.</t>
        </is>
      </c>
      <c r="H68" s="19" t="inlineStr"/>
      <c r="I68" s="19" t="inlineStr"/>
      <c r="J68" s="19" t="inlineStr"/>
      <c r="K68" s="19" t="inlineStr"/>
      <c r="L68" s="19" t="inlineStr"/>
    </row>
    <row r="69">
      <c r="A69" s="11" t="inlineStr">
        <is>
          <t>MT-OPS-04</t>
        </is>
      </c>
      <c r="B69" s="5" t="inlineStr">
        <is>
          <t>S18</t>
        </is>
      </c>
      <c r="C69" s="5" t="inlineStr">
        <is>
          <t>Runbook commands all exist</t>
        </is>
      </c>
      <c r="D69" s="5" t="inlineStr">
        <is>
          <t>A runbook that quotes a command nobody can run is decoration.</t>
        </is>
      </c>
      <c r="E69" s="5" t="inlineStr">
        <is>
          <t>Build present.</t>
        </is>
      </c>
      <c r="F69" s="18" t="inlineStr">
        <is>
          <t>npx jest tests/runbook.test.ts — then read RUNBOOK_ALERTS.md and try two commands by hand.</t>
        </is>
      </c>
      <c r="G69" s="18" t="inlineStr">
        <is>
          <t>The test passes and the commands you try actually run.</t>
        </is>
      </c>
      <c r="H69" s="19" t="inlineStr"/>
      <c r="I69" s="19" t="inlineStr"/>
      <c r="J69" s="19" t="inlineStr"/>
      <c r="K69" s="19" t="inlineStr"/>
      <c r="L69" s="19" t="inlineStr"/>
    </row>
    <row r="70">
      <c r="A70" s="11" t="inlineStr">
        <is>
          <t>MT-OPS-05</t>
        </is>
      </c>
      <c r="B70" s="5" t="inlineStr">
        <is>
          <t>S18</t>
        </is>
      </c>
      <c r="C70" s="5" t="inlineStr">
        <is>
          <t>Backup and restore drill completes and verifies row counts</t>
        </is>
      </c>
      <c r="D70" s="5" t="inlineStr">
        <is>
          <t>A backup nobody has restored is a hope.</t>
        </is>
      </c>
      <c r="E70" s="5" t="inlineStr">
        <is>
          <t>Postgres with migrations applied and some data.</t>
        </is>
      </c>
      <c r="F70" s="18" t="inlineStr">
        <is>
          <t>bash scripts/backup-restore-drill.sh with DATABASE_URL set.</t>
        </is>
      </c>
      <c r="G70" s="18" t="inlineStr">
        <is>
          <t>A dump is taken, restored into a fresh database, row counts verified against the manifest, the scratch database dropped, and an RTO printed. Any count mismatch is a FAIL.</t>
        </is>
      </c>
      <c r="H70" s="19" t="inlineStr"/>
      <c r="I70" s="19" t="inlineStr"/>
      <c r="J70" s="19" t="inlineStr"/>
      <c r="K70" s="19" t="inlineStr"/>
      <c r="L70" s="19" t="inlineStr"/>
    </row>
    <row r="71">
      <c r="A71" s="11" t="inlineStr">
        <is>
          <t>MT-OPS-06</t>
        </is>
      </c>
      <c r="B71" s="5" t="inlineStr">
        <is>
          <t>S18</t>
        </is>
      </c>
      <c r="C71" s="5" t="inlineStr">
        <is>
          <t>Deploy workflow fails closed without a project</t>
        </is>
      </c>
      <c r="D71" s="5" t="inlineStr">
        <is>
          <t>A deploy job that echoes and exits 0 shows a green deploy that deployed nothing. That happened here for five sprints.</t>
        </is>
      </c>
      <c r="E71" s="5" t="inlineStr">
        <is>
          <t>Repository checkout.</t>
        </is>
      </c>
      <c r="F71" s="18" t="inlineStr">
        <is>
          <t>Read .github/workflows/deploy.yml, then run the release gate: npm run gate:release.</t>
        </is>
      </c>
      <c r="G71" s="18" t="inlineStr">
        <is>
          <t>The preflight job exits non-zero naming LC-1 when the project secrets are absent. The release gate reports no findings — meaning no job implies an external action while only echoing.</t>
        </is>
      </c>
      <c r="H71" s="19" t="inlineStr"/>
      <c r="I71" s="19" t="inlineStr"/>
      <c r="J71" s="19" t="inlineStr"/>
      <c r="K71" s="19" t="inlineStr"/>
      <c r="L71" s="19" t="inlineStr"/>
    </row>
    <row r="72">
      <c r="A72" s="11" t="inlineStr">
        <is>
          <t>MT-GAT-01</t>
        </is>
      </c>
      <c r="B72" s="5" t="inlineStr">
        <is>
          <t>S19</t>
        </is>
      </c>
      <c r="C72" s="5" t="inlineStr">
        <is>
          <t>Integration gate finds no unimplemented boundary</t>
        </is>
      </c>
      <c r="D72" s="5" t="inlineStr">
        <is>
          <t>The standing check for the class that an entire external review was about.</t>
        </is>
      </c>
      <c r="E72" s="5" t="inlineStr">
        <is>
          <t>Build present.</t>
        </is>
      </c>
      <c r="F72" s="18" t="inlineStr">
        <is>
          <t>npx tsc &amp;&amp; npm run gate:integration</t>
        </is>
      </c>
      <c r="G72" s="18" t="inlineStr">
        <is>
          <t>PASS, 44 boundaries, 0 findings. Any finding names an exported boundary with nothing behind it.</t>
        </is>
      </c>
      <c r="H72" s="19" t="inlineStr"/>
      <c r="I72" s="19" t="inlineStr"/>
      <c r="J72" s="19" t="inlineStr"/>
      <c r="K72" s="19" t="inlineStr"/>
      <c r="L72" s="19" t="inlineStr"/>
    </row>
    <row r="73">
      <c r="A73" s="11" t="inlineStr">
        <is>
          <t>MT-GAT-02</t>
        </is>
      </c>
      <c r="B73" s="5" t="inlineStr">
        <is>
          <t>S19</t>
        </is>
      </c>
      <c r="C73" s="5" t="inlineStr">
        <is>
          <t>Integration gate actually catches a removed implementation</t>
        </is>
      </c>
      <c r="D73" s="5" t="inlineStr">
        <is>
          <t>Prove the gate works rather than trusting that it passes.</t>
        </is>
      </c>
      <c r="E73" s="5" t="inlineStr">
        <is>
          <t>Build present, git clean.</t>
        </is>
      </c>
      <c r="F73" s="18" t="inlineStr">
        <is>
          <t>1. Comment out the 'implements DriveHost' clause on GoogleDriveHost.
2. npx tsc &amp;&amp; npm run gate:integration
3. git checkout the file.</t>
        </is>
      </c>
      <c r="G73" s="18" t="inlineStr">
        <is>
          <t>Step 2 FAILS with an IG-01 finding naming DriveHost. If it still passes, the gate has a blind spot — raise a defect.</t>
        </is>
      </c>
      <c r="H73" s="19" t="inlineStr"/>
      <c r="I73" s="19" t="inlineStr"/>
      <c r="J73" s="19" t="inlineStr"/>
      <c r="K73" s="19" t="inlineStr"/>
      <c r="L73" s="19" t="inlineStr"/>
    </row>
    <row r="74">
      <c r="A74" s="11" t="inlineStr">
        <is>
          <t>MT-GAT-03</t>
        </is>
      </c>
      <c r="B74" s="5" t="inlineStr">
        <is>
          <t>S19</t>
        </is>
      </c>
      <c r="C74" s="5" t="inlineStr">
        <is>
          <t>Runtime-deps gate catches an undeclared dependency</t>
        </is>
      </c>
      <c r="D74" s="5" t="inlineStr">
        <is>
          <t>The defect that made the migration path crash.</t>
        </is>
      </c>
      <c r="E74" s="5" t="inlineStr">
        <is>
          <t>Build present.</t>
        </is>
      </c>
      <c r="F74" s="18" t="inlineStr">
        <is>
          <t>1. Add `require('lodash')` to a file in src/.
2. npx tsc &amp;&amp; npm run gate:runtime-deps
3. Revert.</t>
        </is>
      </c>
      <c r="G74" s="18" t="inlineStr">
        <is>
          <t>Step 2 fails naming lodash as undeclared. Reverting restores PASS.</t>
        </is>
      </c>
      <c r="H74" s="19" t="inlineStr"/>
      <c r="I74" s="19" t="inlineStr"/>
      <c r="J74" s="19" t="inlineStr"/>
      <c r="K74" s="19" t="inlineStr"/>
      <c r="L74" s="19" t="inlineStr"/>
    </row>
    <row r="75">
      <c r="A75" s="11" t="inlineStr">
        <is>
          <t>MT-GAT-04</t>
        </is>
      </c>
      <c r="B75" s="5" t="inlineStr">
        <is>
          <t>S19</t>
        </is>
      </c>
      <c r="C75" s="5" t="inlineStr">
        <is>
          <t>Release gate catches an entrypoint that starts nothing</t>
        </is>
      </c>
      <c r="D75" s="5" t="inlineStr">
        <is>
          <t>RG-05 — the exact shape this product shipped for five sprints.</t>
        </is>
      </c>
      <c r="E75" s="5" t="inlineStr">
        <is>
          <t>Build present.</t>
        </is>
      </c>
      <c r="F75" s="18" t="inlineStr">
        <is>
          <t>1. Point package.json 'start' at dist/server.js (which exports but invokes nothing).
2. npx tsc &amp;&amp; npm run gate:release
3. Revert.</t>
        </is>
      </c>
      <c r="G75" s="18" t="inlineStr">
        <is>
          <t>Step 2 fails with an RG-05 finding. Revert restores no findings.</t>
        </is>
      </c>
      <c r="H75" s="19" t="inlineStr"/>
      <c r="I75" s="19" t="inlineStr"/>
      <c r="J75" s="19" t="inlineStr"/>
      <c r="K75" s="19" t="inlineStr"/>
      <c r="L75" s="19" t="inlineStr"/>
    </row>
    <row r="76">
      <c r="A76" s="11" t="inlineStr">
        <is>
          <t>MT-GAT-05</t>
        </is>
      </c>
      <c r="B76" s="5" t="inlineStr">
        <is>
          <t>S19</t>
        </is>
      </c>
      <c r="C76" s="5" t="inlineStr">
        <is>
          <t>Supply chain covers a real runtime tree</t>
        </is>
      </c>
      <c r="D76" s="5" t="inlineStr">
        <is>
          <t>'280 components, 0 advisories' was a statement about Jest and TypeScript.</t>
        </is>
      </c>
      <c r="E76" s="5" t="inlineStr">
        <is>
          <t>Build present.</t>
        </is>
      </c>
      <c r="F76" s="18" t="inlineStr">
        <is>
          <t>npm run sbom &amp;&amp; node scripts/sbom-check.js</t>
        </is>
      </c>
      <c r="G76" s="18" t="inlineStr">
        <is>
          <t>PASS with a runtime component count of 13 (the pg tree) out of 296 total. A runtime count of 0 is a FAIL.</t>
        </is>
      </c>
      <c r="H76" s="19" t="inlineStr"/>
      <c r="I76" s="19" t="inlineStr"/>
      <c r="J76" s="19" t="inlineStr"/>
      <c r="K76" s="19" t="inlineStr"/>
      <c r="L76" s="19" t="inlineStr"/>
    </row>
    <row r="77">
      <c r="A77" s="11" t="inlineStr">
        <is>
          <t>MT-LCH-01</t>
        </is>
      </c>
      <c r="B77" s="5" t="inlineStr">
        <is>
          <t>S9–S12</t>
        </is>
      </c>
      <c r="C77" s="5" t="inlineStr">
        <is>
          <t>Pricing page is generated from the billing code</t>
        </is>
      </c>
      <c r="D77" s="5" t="inlineStr">
        <is>
          <t>Published prices that drift from charged prices are a trust problem.</t>
        </is>
      </c>
      <c r="E77" s="5" t="inlineStr">
        <is>
          <t>Build present.</t>
        </is>
      </c>
      <c r="F77" s="18" t="inlineStr">
        <is>
          <t>Generate the plan matrix and compare each price and limit with the billing module's constants.</t>
        </is>
      </c>
      <c r="G77" s="18" t="inlineStr">
        <is>
          <t>Every figure agrees. The drift validator passes.</t>
        </is>
      </c>
      <c r="H77" s="19" t="inlineStr"/>
      <c r="I77" s="19" t="inlineStr"/>
      <c r="J77" s="19" t="inlineStr"/>
      <c r="K77" s="19" t="inlineStr"/>
      <c r="L77" s="19" t="inlineStr"/>
    </row>
    <row r="78">
      <c r="A78" s="11" t="inlineStr">
        <is>
          <t>MT-LCH-02</t>
        </is>
      </c>
      <c r="B78" s="5" t="inlineStr">
        <is>
          <t>S9–S12</t>
        </is>
      </c>
      <c r="C78" s="5" t="inlineStr">
        <is>
          <t>Trust page is generated from the scope manifest</t>
        </is>
      </c>
      <c r="D78" s="5" t="inlineStr">
        <is>
          <t>Same discipline for what data is touched and why.</t>
        </is>
      </c>
      <c r="E78" s="5" t="inlineStr">
        <is>
          <t>Build present.</t>
        </is>
      </c>
      <c r="F78" s="18" t="inlineStr">
        <is>
          <t>Generate the trust page and compare its scope list with scopes.ts.</t>
        </is>
      </c>
      <c r="G78" s="18" t="inlineStr">
        <is>
          <t>The lists agree exactly, and each scope carries the feature and story that justify it.</t>
        </is>
      </c>
      <c r="H78" s="19" t="inlineStr"/>
      <c r="I78" s="19" t="inlineStr"/>
      <c r="J78" s="19" t="inlineStr"/>
      <c r="K78" s="19" t="inlineStr"/>
      <c r="L78" s="19" t="inlineStr"/>
    </row>
    <row r="79">
      <c r="A79" s="11" t="inlineStr">
        <is>
          <t>MT-LCH-03</t>
        </is>
      </c>
      <c r="B79" s="5" t="inlineStr">
        <is>
          <t>S9–S12</t>
        </is>
      </c>
      <c r="C79" s="5" t="inlineStr">
        <is>
          <t>Site build refuses to publish placeholders</t>
        </is>
      </c>
      <c r="D79" s="5" t="inlineStr">
        <is>
          <t>An unfinished legal entity or address must not reach a public page.</t>
        </is>
      </c>
      <c r="E79" s="5" t="inlineStr">
        <is>
          <t>site.config.json with at least one placeholder value.</t>
        </is>
      </c>
      <c r="F79" s="18" t="inlineStr">
        <is>
          <t>npm run site</t>
        </is>
      </c>
      <c r="G79" s="18" t="inlineStr">
        <is>
          <t>Exits non-zero and names each remaining placeholder. It must not write a page containing 'SET-ME'.</t>
        </is>
      </c>
      <c r="H79" s="19" t="inlineStr"/>
      <c r="I79" s="19" t="inlineStr"/>
      <c r="J79" s="19" t="inlineStr"/>
      <c r="K79" s="19" t="inlineStr"/>
      <c r="L79" s="19" t="inlineStr"/>
    </row>
    <row r="80">
      <c r="A80" s="11" t="inlineStr">
        <is>
          <t>MT-LCH-04</t>
        </is>
      </c>
      <c r="B80" s="5" t="inlineStr">
        <is>
          <t>S9–S12</t>
        </is>
      </c>
      <c r="C80" s="5" t="inlineStr">
        <is>
          <t>Self-serve export states its exclusions</t>
        </is>
      </c>
      <c r="D80" s="5" t="inlineStr">
        <is>
          <t>An export that silently omits data is a compliance problem.</t>
        </is>
      </c>
      <c r="E80" s="5" t="inlineStr">
        <is>
          <t>An account with data.</t>
        </is>
      </c>
      <c r="F80" s="18" t="inlineStr">
        <is>
          <t>Run the self-serve data export as an owner.</t>
        </is>
      </c>
      <c r="G80" s="18" t="inlineStr">
        <is>
          <t>A bundle is returned WITH an explicit list of what is excluded and why. An export with no exclusions list is a FAIL.</t>
        </is>
      </c>
      <c r="H80" s="19" t="inlineStr"/>
      <c r="I80" s="19" t="inlineStr"/>
      <c r="J80" s="19" t="inlineStr"/>
      <c r="K80" s="19" t="inlineStr"/>
      <c r="L80" s="19" t="inlineStr"/>
    </row>
    <row r="81">
      <c r="A81" s="11" t="inlineStr">
        <is>
          <t>MT-LCH-05</t>
        </is>
      </c>
      <c r="B81" s="5" t="inlineStr">
        <is>
          <t>S9–S12</t>
        </is>
      </c>
      <c r="C81" s="5" t="inlineStr">
        <is>
          <t>Help centre articles name the behaviour they document</t>
        </is>
      </c>
      <c r="D81" s="5" t="inlineStr">
        <is>
          <t>Docs that cannot be traced to code drift silently.</t>
        </is>
      </c>
      <c r="E81" s="5" t="inlineStr">
        <is>
          <t>Build present.</t>
        </is>
      </c>
      <c r="F81" s="18" t="inlineStr">
        <is>
          <t>Read the help centre coverage report.</t>
        </is>
      </c>
      <c r="G81" s="18" t="inlineStr">
        <is>
          <t>Each of the 15 articles names the stories whose behaviour it documents, and the batch-timing article states the honest eight-minute figure for 500 rows.</t>
        </is>
      </c>
      <c r="H81" s="19" t="inlineStr"/>
      <c r="I81" s="19" t="inlineStr"/>
      <c r="J81" s="19" t="inlineStr"/>
      <c r="K81" s="19" t="inlineStr"/>
      <c r="L81" s="19" t="inlineStr"/>
    </row>
  </sheetData>
  <mergeCells count="1">
    <mergeCell ref="A2:L2"/>
  </mergeCells>
  <dataValidations count="1">
    <dataValidation sqref="I5:I82" showDropDown="0" showInputMessage="0" showErrorMessage="0" allowBlank="1" type="list">
      <formula1>"PASS,FAIL,BLOCKED,N/A,Not run"</formula1>
    </dataValidation>
  </dataValidations>
  <pageMargins left="0.75" right="0.75" top="1" bottom="1" header="0.5" footer="0.5"/>
</worksheet>
</file>

<file path=xl/worksheets/sheet8.xml><?xml version="1.0" encoding="utf-8"?>
<worksheet xmlns="http://schemas.openxmlformats.org/spreadsheetml/2006/main">
  <sheetPr>
    <tabColor rgb="FF1F3864"/>
    <outlinePr summaryBelow="1" summaryRight="1"/>
    <pageSetUpPr/>
  </sheetPr>
  <dimension ref="A1:L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0" customWidth="1" min="2" max="2"/>
    <col width="30" customWidth="1" min="3" max="3"/>
    <col width="42" customWidth="1" min="4" max="4"/>
    <col width="26" customWidth="1" min="5" max="5"/>
    <col width="62" customWidth="1" min="6" max="6"/>
    <col width="52" customWidth="1" min="7" max="7"/>
    <col width="26" customWidth="1" min="8" max="8"/>
    <col width="11" customWidth="1" min="9" max="9"/>
    <col width="11" customWidth="1" min="10" max="10"/>
    <col width="11" customWidth="1" min="11" max="11"/>
    <col width="13" customWidth="1" min="12" max="12"/>
  </cols>
  <sheetData>
    <row r="1">
      <c r="A1" s="8" t="inlineStr">
        <is>
          <t>TEST CASES — NEGATIVE  (does the product refuse the wrong thing, safely and legibly?)</t>
        </is>
      </c>
    </row>
    <row r="2" ht="32" customHeight="1">
      <c r="A2" s="9" t="inlineStr">
        <is>
          <t>24 cases. Run these AFTER the positive cases for the same version — a negative case on a broken happy path tells you nothing. A refusal must be safe (nothing leaks, nothing corrupts) AND legible (the message tells the user what to do).</t>
        </is>
      </c>
    </row>
    <row r="4">
      <c r="A4" s="10" t="inlineStr">
        <is>
          <t>Test case ID</t>
        </is>
      </c>
      <c r="B4" s="10" t="inlineStr">
        <is>
          <t>Version</t>
        </is>
      </c>
      <c r="C4" s="10" t="inlineStr">
        <is>
          <t>Test case name</t>
        </is>
      </c>
      <c r="D4" s="10" t="inlineStr">
        <is>
          <t>Test description</t>
        </is>
      </c>
      <c r="E4" s="10" t="inlineStr">
        <is>
          <t>Pre-conditions</t>
        </is>
      </c>
      <c r="F4" s="10" t="inlineStr">
        <is>
          <t>Step-by-step — how to test</t>
        </is>
      </c>
      <c r="G4" s="10" t="inlineStr">
        <is>
          <t>Expected result</t>
        </is>
      </c>
      <c r="H4" s="10" t="inlineStr">
        <is>
          <t>Actual result</t>
        </is>
      </c>
      <c r="I4" s="10" t="inlineStr">
        <is>
          <t>Status</t>
        </is>
      </c>
      <c r="J4" s="10" t="inlineStr">
        <is>
          <t>Tester</t>
        </is>
      </c>
      <c r="K4" s="10" t="inlineStr">
        <is>
          <t>Date</t>
        </is>
      </c>
      <c r="L4" s="10" t="inlineStr">
        <is>
          <t>Defect raised</t>
        </is>
      </c>
    </row>
    <row r="5">
      <c r="A5" s="11" t="inlineStr">
        <is>
          <t>MT-N-RUN-01</t>
        </is>
      </c>
      <c r="B5" s="5" t="inlineStr">
        <is>
          <t>S13</t>
        </is>
      </c>
      <c r="C5" s="5" t="inlineStr">
        <is>
          <t>Refuses to start with no DATABASE_URL</t>
        </is>
      </c>
      <c r="D5" s="5" t="inlineStr">
        <is>
          <t>Fail closed at boot rather than confusingly on the first customer request.</t>
        </is>
      </c>
      <c r="E5" s="5" t="inlineStr">
        <is>
          <t>Build present.</t>
        </is>
      </c>
      <c r="F5" s="18" t="inlineStr">
        <is>
          <t>Unset DATABASE_URL and run: node dist/main.js ; echo $?</t>
        </is>
      </c>
      <c r="G5" s="18" t="inlineStr">
        <is>
          <t>Exit code 1. A startup.refused log line NAMES DATABASE_URL specifically. A generic 'configuration error' is a FAIL — the operator at 2am needs the variable name.</t>
        </is>
      </c>
      <c r="H5" s="19" t="inlineStr"/>
      <c r="I5" s="19" t="inlineStr"/>
      <c r="J5" s="19" t="inlineStr"/>
      <c r="K5" s="19" t="inlineStr"/>
      <c r="L5" s="19" t="inlineStr"/>
    </row>
    <row r="6">
      <c r="A6" s="11" t="inlineStr">
        <is>
          <t>MT-N-RUN-02</t>
        </is>
      </c>
      <c r="B6" s="5" t="inlineStr">
        <is>
          <t>S13</t>
        </is>
      </c>
      <c r="C6" s="5" t="inlineStr">
        <is>
          <t>Refuses a production start with non-vault secrets</t>
        </is>
      </c>
      <c r="D6" s="5" t="inlineStr">
        <is>
          <t>Secrets pasted as plain environment variables in production are a leak waiting to happen.</t>
        </is>
      </c>
      <c r="E6" s="5" t="inlineStr">
        <is>
          <t>A complete env.</t>
        </is>
      </c>
      <c r="F6" s="18" t="inlineStr">
        <is>
          <t>Set NODE_ENV=production without the __FROM_VAULT markers and start.</t>
        </is>
      </c>
      <c r="G6" s="18" t="inlineStr">
        <is>
          <t>Exit code 1, and the message says the secret is not marked vault-sourced.</t>
        </is>
      </c>
      <c r="H6" s="19" t="inlineStr"/>
      <c r="I6" s="19" t="inlineStr"/>
      <c r="J6" s="19" t="inlineStr"/>
      <c r="K6" s="19" t="inlineStr"/>
      <c r="L6" s="19" t="inlineStr"/>
    </row>
    <row r="7">
      <c r="A7" s="11" t="inlineStr">
        <is>
          <t>MT-N-RUN-03</t>
        </is>
      </c>
      <c r="B7" s="5" t="inlineStr">
        <is>
          <t>S13</t>
        </is>
      </c>
      <c r="C7" s="5" t="inlineStr">
        <is>
          <t>Refuses cleartext Postgres in production</t>
        </is>
      </c>
      <c r="D7" s="5" t="inlineStr">
        <is>
          <t>Tokens would cross the wire unencrypted.</t>
        </is>
      </c>
      <c r="E7" s="5" t="inlineStr">
        <is>
          <t>A Postgres without TLS.</t>
        </is>
      </c>
      <c r="F7" s="18" t="inlineStr">
        <is>
          <t>Set NODE_ENV=production and DATABASE_SSL=disable, then start.</t>
        </is>
      </c>
      <c r="G7" s="18" t="inlineStr">
        <is>
          <t>Refused with a message explaining that disable is not permitted in production. It must not silently downgrade.</t>
        </is>
      </c>
      <c r="H7" s="19" t="inlineStr"/>
      <c r="I7" s="19" t="inlineStr"/>
      <c r="J7" s="19" t="inlineStr"/>
      <c r="K7" s="19" t="inlineStr"/>
      <c r="L7" s="19" t="inlineStr"/>
    </row>
    <row r="8">
      <c r="A8" s="11" t="inlineStr">
        <is>
          <t>MT-N-RUN-04</t>
        </is>
      </c>
      <c r="B8" s="5" t="inlineStr">
        <is>
          <t>S13</t>
        </is>
      </c>
      <c r="C8" s="5" t="inlineStr">
        <is>
          <t>Migration refuses cleartext by default</t>
        </is>
      </c>
      <c r="D8" s="5" t="inlineStr">
        <is>
          <t>The migration job must share the app's TLS contract, not have its own.</t>
        </is>
      </c>
      <c r="E8" s="5" t="inlineStr">
        <is>
          <t>A Postgres with no TLS.</t>
        </is>
      </c>
      <c r="F8" s="18" t="inlineStr">
        <is>
          <t>Run migrate with DATABASE_SSL unset (so it defaults to require).</t>
        </is>
      </c>
      <c r="G8" s="18" t="inlineStr">
        <is>
          <t>It refuses, reporting that the server does not support SSL. It must not connect anyway.</t>
        </is>
      </c>
      <c r="H8" s="19" t="inlineStr"/>
      <c r="I8" s="19" t="inlineStr"/>
      <c r="J8" s="19" t="inlineStr"/>
      <c r="K8" s="19" t="inlineStr"/>
      <c r="L8" s="19" t="inlineStr"/>
    </row>
    <row r="9">
      <c r="A9" s="11" t="inlineStr">
        <is>
          <t>MT-N-RUN-05</t>
        </is>
      </c>
      <c r="B9" s="5" t="inlineStr">
        <is>
          <t>S13</t>
        </is>
      </c>
      <c r="C9" s="5" t="inlineStr">
        <is>
          <t>Unknown route returns 404, not 500</t>
        </is>
      </c>
      <c r="D9" s="5" t="inlineStr">
        <is>
          <t>A router that throws on an unknown path leaks stack traces.</t>
        </is>
      </c>
      <c r="E9" s="5" t="inlineStr">
        <is>
          <t>Process running.</t>
        </is>
      </c>
      <c r="F9" s="18" t="inlineStr">
        <is>
          <t>curl -i http://127.0.0.1:8123/does-not-exist</t>
        </is>
      </c>
      <c r="G9" s="18" t="inlineStr">
        <is>
          <t>HTTP 404 with a short JSON error. No stack trace, no internal path names.</t>
        </is>
      </c>
      <c r="H9" s="19" t="inlineStr"/>
      <c r="I9" s="19" t="inlineStr"/>
      <c r="J9" s="19" t="inlineStr"/>
      <c r="K9" s="19" t="inlineStr"/>
      <c r="L9" s="19" t="inlineStr"/>
    </row>
    <row r="10">
      <c r="A10" s="11" t="inlineStr">
        <is>
          <t>MT-N-RUN-06</t>
        </is>
      </c>
      <c r="B10" s="5" t="inlineStr">
        <is>
          <t>S13</t>
        </is>
      </c>
      <c r="C10" s="5" t="inlineStr">
        <is>
          <t>Oversized request body is rejected</t>
        </is>
      </c>
      <c r="D10" s="5" t="inlineStr">
        <is>
          <t>An uncapped body read on an open port is a memory-exhaustion vector (DM-F10).</t>
        </is>
      </c>
      <c r="E10" s="5" t="inlineStr">
        <is>
          <t>Process running.</t>
        </is>
      </c>
      <c r="F10" s="18" t="inlineStr">
        <is>
          <t>POST a body larger than 1 MB to a webhook route.</t>
        </is>
      </c>
      <c r="G10" s="18" t="inlineStr">
        <is>
          <t>HTTP 413. The process stays alive and memory does not spike.</t>
        </is>
      </c>
      <c r="H10" s="19" t="inlineStr"/>
      <c r="I10" s="19" t="inlineStr"/>
      <c r="J10" s="19" t="inlineStr"/>
      <c r="K10" s="19" t="inlineStr"/>
      <c r="L10" s="19" t="inlineStr"/>
    </row>
    <row r="11">
      <c r="A11" s="11" t="inlineStr">
        <is>
          <t>MT-N-SEC-01</t>
        </is>
      </c>
      <c r="B11" s="5" t="inlineStr">
        <is>
          <t>S13</t>
        </is>
      </c>
      <c r="C11" s="5" t="inlineStr">
        <is>
          <t>Unauthenticated write is refused</t>
        </is>
      </c>
      <c r="D11" s="5" t="inlineStr">
        <is>
          <t>Identity used to be a caller-supplied parameter (DM-F07).</t>
        </is>
      </c>
      <c r="E11" s="5" t="inlineStr">
        <is>
          <t>Process running.</t>
        </is>
      </c>
      <c r="F11" s="18" t="inlineStr">
        <is>
          <t>POST /accounts/acct-1/documents with no Authorization header.</t>
        </is>
      </c>
      <c r="G11" s="18" t="inlineStr">
        <is>
          <t>HTTP 401. No document is created.</t>
        </is>
      </c>
      <c r="H11" s="19" t="inlineStr"/>
      <c r="I11" s="19" t="inlineStr"/>
      <c r="J11" s="19" t="inlineStr"/>
      <c r="K11" s="19" t="inlineStr"/>
      <c r="L11" s="19" t="inlineStr"/>
    </row>
    <row r="12">
      <c r="A12" s="11" t="inlineStr">
        <is>
          <t>MT-N-SEC-02</t>
        </is>
      </c>
      <c r="B12" s="5" t="inlineStr">
        <is>
          <t>S13</t>
        </is>
      </c>
      <c r="C12" s="5" t="inlineStr">
        <is>
          <t>A session for another account cannot act on this one</t>
        </is>
      </c>
      <c r="D12" s="5" t="inlineStr">
        <is>
          <t>Cross-tenant access through a valid session.</t>
        </is>
      </c>
      <c r="E12" s="5" t="inlineStr">
        <is>
          <t>Two accounts; a valid session for acct-B.</t>
        </is>
      </c>
      <c r="F12" s="18" t="inlineStr">
        <is>
          <t>POST /accounts/acct-A/documents using acct-B's session token.</t>
        </is>
      </c>
      <c r="G12" s="18" t="inlineStr">
        <is>
          <t>Refused. Crucially the response must NOT reveal whether acct-A exists.</t>
        </is>
      </c>
      <c r="H12" s="19" t="inlineStr"/>
      <c r="I12" s="19" t="inlineStr"/>
      <c r="J12" s="19" t="inlineStr"/>
      <c r="K12" s="19" t="inlineStr"/>
      <c r="L12" s="19" t="inlineStr"/>
    </row>
    <row r="13">
      <c r="A13" s="11" t="inlineStr">
        <is>
          <t>MT-N-SEC-03</t>
        </is>
      </c>
      <c r="B13" s="5" t="inlineStr">
        <is>
          <t>S13</t>
        </is>
      </c>
      <c r="C13" s="5" t="inlineStr">
        <is>
          <t>A tampered session token is refused</t>
        </is>
      </c>
      <c r="D13" s="5" t="inlineStr">
        <is>
          <t>Sessions are HMAC-signed; editing the role must invalidate them.</t>
        </is>
      </c>
      <c r="E13" s="5" t="inlineStr">
        <is>
          <t>A valid session token.</t>
        </is>
      </c>
      <c r="F13" s="18" t="inlineStr">
        <is>
          <t>Change one character in the token payload and retry a request.</t>
        </is>
      </c>
      <c r="G13" s="18" t="inlineStr">
        <is>
          <t>HTTP 401 with reason bad_signature. Editing 'member' to 'owner' must not elevate anything.</t>
        </is>
      </c>
      <c r="H13" s="19" t="inlineStr"/>
      <c r="I13" s="19" t="inlineStr"/>
      <c r="J13" s="19" t="inlineStr"/>
      <c r="K13" s="19" t="inlineStr"/>
      <c r="L13" s="19" t="inlineStr"/>
    </row>
    <row r="14">
      <c r="A14" s="11" t="inlineStr">
        <is>
          <t>MT-N-SEC-04</t>
        </is>
      </c>
      <c r="B14" s="5" t="inlineStr">
        <is>
          <t>S13</t>
        </is>
      </c>
      <c r="C14" s="5" t="inlineStr">
        <is>
          <t>An expired session is refused</t>
        </is>
      </c>
      <c r="D14" s="5" t="inlineStr">
        <is>
          <t>Expiry must be enforced, not decorative.</t>
        </is>
      </c>
      <c r="E14" s="5" t="inlineStr">
        <is>
          <t>A session past its expiry.</t>
        </is>
      </c>
      <c r="F14" s="18" t="inlineStr">
        <is>
          <t>Use it on any authenticated route.</t>
        </is>
      </c>
      <c r="G14" s="18" t="inlineStr">
        <is>
          <t>HTTP 401 with reason expired.</t>
        </is>
      </c>
      <c r="H14" s="19" t="inlineStr"/>
      <c r="I14" s="19" t="inlineStr"/>
      <c r="J14" s="19" t="inlineStr"/>
      <c r="K14" s="19" t="inlineStr"/>
      <c r="L14" s="19" t="inlineStr"/>
    </row>
    <row r="15">
      <c r="A15" s="11" t="inlineStr">
        <is>
          <t>MT-N-SEC-05</t>
        </is>
      </c>
      <c r="B15" s="5" t="inlineStr">
        <is>
          <t>S16</t>
        </is>
      </c>
      <c r="C15" s="5" t="inlineStr">
        <is>
          <t>A revoked session stops working immediately</t>
        </is>
      </c>
      <c r="D15" s="5" t="inlineStr">
        <is>
          <t>Revocation added with the durable session store.</t>
        </is>
      </c>
      <c r="E15" s="5" t="inlineStr">
        <is>
          <t>A valid session.</t>
        </is>
      </c>
      <c r="F15" s="18" t="inlineStr">
        <is>
          <t>1. Revoke it.
2. Use it.</t>
        </is>
      </c>
      <c r="G15" s="18" t="inlineStr">
        <is>
          <t>HTTP 401 with reason revoked, on the very next request.</t>
        </is>
      </c>
      <c r="H15" s="19" t="inlineStr"/>
      <c r="I15" s="19" t="inlineStr"/>
      <c r="J15" s="19" t="inlineStr"/>
      <c r="K15" s="19" t="inlineStr"/>
      <c r="L15" s="19" t="inlineStr"/>
    </row>
    <row r="16">
      <c r="A16" s="11" t="inlineStr">
        <is>
          <t>MT-N-SEC-06</t>
        </is>
      </c>
      <c r="B16" s="5" t="inlineStr">
        <is>
          <t>S1</t>
        </is>
      </c>
      <c r="C16" s="5" t="inlineStr">
        <is>
          <t>Install callback without state is refused</t>
        </is>
      </c>
      <c r="D16" s="5" t="inlineStr">
        <is>
          <t>DM-F04: an attacker could bind a victim's browser to an account they control.</t>
        </is>
      </c>
      <c r="E16" s="5" t="inlineStr">
        <is>
          <t>Process running.</t>
        </is>
      </c>
      <c r="F16" s="18" t="inlineStr">
        <is>
          <t>GET /oauth/callback?code=xyz with no state parameter.</t>
        </is>
      </c>
      <c r="G16" s="18" t="inlineStr">
        <is>
          <t>HTTP 400 refusing to complete the install, and saying the callback carried no state.</t>
        </is>
      </c>
      <c r="H16" s="19" t="inlineStr"/>
      <c r="I16" s="19" t="inlineStr"/>
      <c r="J16" s="19" t="inlineStr"/>
      <c r="K16" s="19" t="inlineStr"/>
      <c r="L16" s="19" t="inlineStr"/>
    </row>
    <row r="17">
      <c r="A17" s="11" t="inlineStr">
        <is>
          <t>MT-N-SEC-07</t>
        </is>
      </c>
      <c r="B17" s="5" t="inlineStr">
        <is>
          <t>S1</t>
        </is>
      </c>
      <c r="C17" s="5" t="inlineStr">
        <is>
          <t>A replayed install state is refused</t>
        </is>
      </c>
      <c r="D17" s="5" t="inlineStr">
        <is>
          <t>State must be single-use.</t>
        </is>
      </c>
      <c r="E17" s="5" t="inlineStr">
        <is>
          <t>A state minted by /oauth/install.</t>
        </is>
      </c>
      <c r="F17" s="18" t="inlineStr">
        <is>
          <t>1. Complete a callback with it.
2. Replay the same callback.</t>
        </is>
      </c>
      <c r="G17" s="18" t="inlineStr">
        <is>
          <t>The second attempt is refused as unknown or already used.</t>
        </is>
      </c>
      <c r="H17" s="19" t="inlineStr"/>
      <c r="I17" s="19" t="inlineStr"/>
      <c r="J17" s="19" t="inlineStr"/>
      <c r="K17" s="19" t="inlineStr"/>
      <c r="L17" s="19" t="inlineStr"/>
    </row>
    <row r="18">
      <c r="A18" s="11" t="inlineStr">
        <is>
          <t>MT-N-SEC-08</t>
        </is>
      </c>
      <c r="B18" s="5" t="inlineStr">
        <is>
          <t>S1</t>
        </is>
      </c>
      <c r="C18" s="5" t="inlineStr">
        <is>
          <t>An expired install state is refused</t>
        </is>
      </c>
      <c r="D18" s="5" t="inlineStr">
        <is>
          <t>State is time-bounded (10 minutes).</t>
        </is>
      </c>
      <c r="E18" s="5" t="inlineStr">
        <is>
          <t>A state older than the TTL.</t>
        </is>
      </c>
      <c r="F18" s="18" t="inlineStr">
        <is>
          <t>Use it on the callback.</t>
        </is>
      </c>
      <c r="G18" s="18" t="inlineStr">
        <is>
          <t>Refused, telling the user to start the install again.</t>
        </is>
      </c>
      <c r="H18" s="19" t="inlineStr"/>
      <c r="I18" s="19" t="inlineStr"/>
      <c r="J18" s="19" t="inlineStr"/>
      <c r="K18" s="19" t="inlineStr"/>
      <c r="L18" s="19" t="inlineStr"/>
    </row>
    <row r="19">
      <c r="A19" s="11" t="inlineStr">
        <is>
          <t>MT-N-SEC-09</t>
        </is>
      </c>
      <c r="B19" s="5" t="inlineStr">
        <is>
          <t>S7–S8</t>
        </is>
      </c>
      <c r="C19" s="5" t="inlineStr">
        <is>
          <t>Unsigned webhook is refused</t>
        </is>
      </c>
      <c r="D19" s="5" t="inlineStr">
        <is>
          <t>DM-F05: neither webhook verified anything.</t>
        </is>
      </c>
      <c r="E19" s="5" t="inlineStr">
        <is>
          <t>Process running.</t>
        </is>
      </c>
      <c r="F19" s="18" t="inlineStr">
        <is>
          <t>POST /webhooks/form with a body and no signature header.</t>
        </is>
      </c>
      <c r="G19" s="18" t="inlineStr">
        <is>
          <t>HTTP 401. No document is generated.</t>
        </is>
      </c>
      <c r="H19" s="19" t="inlineStr"/>
      <c r="I19" s="19" t="inlineStr"/>
      <c r="J19" s="19" t="inlineStr"/>
      <c r="K19" s="19" t="inlineStr"/>
      <c r="L19" s="19" t="inlineStr"/>
    </row>
    <row r="20">
      <c r="A20" s="11" t="inlineStr">
        <is>
          <t>MT-N-SEC-10</t>
        </is>
      </c>
      <c r="B20" s="5" t="inlineStr">
        <is>
          <t>S7–S8</t>
        </is>
      </c>
      <c r="C20" s="5" t="inlineStr">
        <is>
          <t>Wrongly-signed webhook is refused</t>
        </is>
      </c>
      <c r="D20" s="5" t="inlineStr">
        <is>
          <t>The signature must actually be checked, not merely required.</t>
        </is>
      </c>
      <c r="E20" s="5" t="inlineStr">
        <is>
          <t>Process running.</t>
        </is>
      </c>
      <c r="F20" s="18" t="inlineStr">
        <is>
          <t>POST /webhooks/form with a syntactically valid but incorrect signature.</t>
        </is>
      </c>
      <c r="G20" s="18" t="inlineStr">
        <is>
          <t>HTTP 401.</t>
        </is>
      </c>
      <c r="H20" s="19" t="inlineStr"/>
      <c r="I20" s="19" t="inlineStr"/>
      <c r="J20" s="19" t="inlineStr"/>
      <c r="K20" s="19" t="inlineStr"/>
      <c r="L20" s="19" t="inlineStr"/>
    </row>
    <row r="21">
      <c r="A21" s="11" t="inlineStr">
        <is>
          <t>MT-N-SEC-11</t>
        </is>
      </c>
      <c r="B21" s="5" t="inlineStr">
        <is>
          <t>S7–S8</t>
        </is>
      </c>
      <c r="C21" s="5" t="inlineStr">
        <is>
          <t>A stale webhook timestamp is refused</t>
        </is>
      </c>
      <c r="D21" s="5" t="inlineStr">
        <is>
          <t>Replay protection beyond the signature.</t>
        </is>
      </c>
      <c r="E21" s="5" t="inlineStr">
        <is>
          <t>Process running.</t>
        </is>
      </c>
      <c r="F21" s="18" t="inlineStr">
        <is>
          <t>POST a correctly-signed webhook with a timestamp older than the tolerance.</t>
        </is>
      </c>
      <c r="G21" s="18" t="inlineStr">
        <is>
          <t>HTTP 401 with a stale-timestamp reason.</t>
        </is>
      </c>
      <c r="H21" s="19" t="inlineStr"/>
      <c r="I21" s="19" t="inlineStr"/>
      <c r="J21" s="19" t="inlineStr"/>
      <c r="K21" s="19" t="inlineStr"/>
      <c r="L21" s="19" t="inlineStr"/>
    </row>
    <row r="22">
      <c r="A22" s="11" t="inlineStr">
        <is>
          <t>MT-N-SEC-12</t>
        </is>
      </c>
      <c r="B22" s="5" t="inlineStr">
        <is>
          <t>S13</t>
        </is>
      </c>
      <c r="C22" s="5" t="inlineStr">
        <is>
          <t>Rate limiting engages on the open install route</t>
        </is>
      </c>
      <c r="D22" s="5" t="inlineStr">
        <is>
          <t>DM-F12: unauthenticated endpoints were unlimited.</t>
        </is>
      </c>
      <c r="E22" s="5" t="inlineStr">
        <is>
          <t>Process running.</t>
        </is>
      </c>
      <c r="F22" s="18" t="inlineStr">
        <is>
          <t>Call GET /oauth/install more than 20 times in a minute from one client.</t>
        </is>
      </c>
      <c r="G22" s="18" t="inlineStr">
        <is>
          <t>HTTP 429 with a retryAfterSeconds value once the limit is passed.</t>
        </is>
      </c>
      <c r="H22" s="19" t="inlineStr"/>
      <c r="I22" s="19" t="inlineStr"/>
      <c r="J22" s="19" t="inlineStr"/>
      <c r="K22" s="19" t="inlineStr"/>
      <c r="L22" s="19" t="inlineStr"/>
    </row>
    <row r="23">
      <c r="A23" s="11" t="inlineStr">
        <is>
          <t>MT-N-TPL-01</t>
        </is>
      </c>
      <c r="B23" s="5" t="inlineStr">
        <is>
          <t>S2–S3</t>
        </is>
      </c>
      <c r="C23" s="5" t="inlineStr">
        <is>
          <t>Missing placeholder value is refused with a specific message</t>
        </is>
      </c>
      <c r="D23" s="5" t="inlineStr">
        <is>
          <t>Generic errors are the thing this product claims to be better at.</t>
        </is>
      </c>
      <c r="E23" s="5" t="inlineStr">
        <is>
          <t>A template with {{amount}}.</t>
        </is>
      </c>
      <c r="F23" s="18" t="inlineStr">
        <is>
          <t>Render with data that omits amount.</t>
        </is>
      </c>
      <c r="G23" s="18" t="inlineStr">
        <is>
          <t>TemplateValidationError naming {{amount}} and telling the user to add an 'amount' column. Generic text is a FAIL.</t>
        </is>
      </c>
      <c r="H23" s="19" t="inlineStr"/>
      <c r="I23" s="19" t="inlineStr"/>
      <c r="J23" s="19" t="inlineStr"/>
      <c r="K23" s="19" t="inlineStr"/>
      <c r="L23" s="19" t="inlineStr"/>
    </row>
    <row r="24">
      <c r="A24" s="11" t="inlineStr">
        <is>
          <t>MT-N-TPL-02</t>
        </is>
      </c>
      <c r="B24" s="5" t="inlineStr">
        <is>
          <t>S2–S3</t>
        </is>
      </c>
      <c r="C24" s="5" t="inlineStr">
        <is>
          <t>Another account's template reports not-found, not forbidden</t>
        </is>
      </c>
      <c r="D24" s="5" t="inlineStr">
        <is>
          <t>DM-F16. 'Forbidden' confirms the id exists and lets the id space be probed.</t>
        </is>
      </c>
      <c r="E24" s="5" t="inlineStr">
        <is>
          <t>A template owned by acct-B.</t>
        </is>
      </c>
      <c r="F24" s="18" t="inlineStr">
        <is>
          <t>Render it as acct-A.</t>
        </is>
      </c>
      <c r="G24" s="18" t="inlineStr">
        <is>
          <t>An error saying the template was not found. It must NOT say 'wrong account' or 'forbidden'.</t>
        </is>
      </c>
      <c r="H24" s="19" t="inlineStr"/>
      <c r="I24" s="19" t="inlineStr"/>
      <c r="J24" s="19" t="inlineStr"/>
      <c r="K24" s="19" t="inlineStr"/>
      <c r="L24" s="19" t="inlineStr"/>
    </row>
    <row r="25">
      <c r="A25" s="11" t="inlineStr">
        <is>
          <t>MT-N-TPL-03</t>
        </is>
      </c>
      <c r="B25" s="5" t="inlineStr">
        <is>
          <t>S2–S3</t>
        </is>
      </c>
      <c r="C25" s="5" t="inlineStr">
        <is>
          <t>A rule referencing a non-existent placeholder is rejected at save</t>
        </is>
      </c>
      <c r="D25" s="5" t="inlineStr">
        <is>
          <t>Catch it when the admin writes it, not when the batch runs.</t>
        </is>
      </c>
      <c r="E25" s="5" t="inlineStr">
        <is>
          <t>A template body without a 'tier' placeholder.</t>
        </is>
      </c>
      <c r="F25" s="18" t="inlineStr">
        <is>
          <t>Attach a rule on field 'tier' and save.</t>
        </is>
      </c>
      <c r="G25" s="18" t="inlineStr">
        <is>
          <t>Rejected with a message naming the field. Saving and failing later is a FAIL.</t>
        </is>
      </c>
      <c r="H25" s="19" t="inlineStr"/>
      <c r="I25" s="19" t="inlineStr"/>
      <c r="J25" s="19" t="inlineStr"/>
      <c r="K25" s="19" t="inlineStr"/>
      <c r="L25" s="19" t="inlineStr"/>
    </row>
    <row r="26">
      <c r="A26" s="11" t="inlineStr">
        <is>
          <t>MT-N-BIL-01</t>
        </is>
      </c>
      <c r="B26" s="5" t="inlineStr">
        <is>
          <t>S19</t>
        </is>
      </c>
      <c r="C26" s="5" t="inlineStr">
        <is>
          <t>A charge routed to the marketplace provider is an error, not a decline</t>
        </is>
      </c>
      <c r="D26" s="5" t="inlineStr">
        <is>
          <t>A decline starts the customer down the dunning path for our configuration mistake.</t>
        </is>
      </c>
      <c r="E26" s="5" t="inlineStr">
        <is>
          <t>Build present.</t>
        </is>
      </c>
      <c r="F26" s="18" t="inlineStr">
        <is>
          <t>Call the payment gateway with provider 'marketplace'.</t>
        </is>
      </c>
      <c r="G26" s="18" t="inlineStr">
        <is>
          <t>It throws a misroute error. It must NOT return false, which the caller would read as a decline.</t>
        </is>
      </c>
      <c r="H26" s="19" t="inlineStr"/>
      <c r="I26" s="19" t="inlineStr"/>
      <c r="J26" s="19" t="inlineStr"/>
      <c r="K26" s="19" t="inlineStr"/>
      <c r="L26" s="19" t="inlineStr"/>
    </row>
    <row r="27">
      <c r="A27" s="11" t="inlineStr">
        <is>
          <t>MT-N-BIL-02</t>
        </is>
      </c>
      <c r="B27" s="5" t="inlineStr">
        <is>
          <t>S19</t>
        </is>
      </c>
      <c r="C27" s="5" t="inlineStr">
        <is>
          <t>An unenrolled account is refused, not charged</t>
        </is>
      </c>
      <c r="D27" s="5" t="inlineStr">
        <is>
          <t>Nothing yet writes the Stripe customer id.</t>
        </is>
      </c>
      <c r="E27" s="5" t="inlineStr">
        <is>
          <t>An account with no stripe_customer_id.</t>
        </is>
      </c>
      <c r="F27" s="18" t="inlineStr">
        <is>
          <t>Attempt a charge.</t>
        </is>
      </c>
      <c r="G27" s="18" t="inlineStr">
        <is>
          <t>Returns false with a not-enrolled event logged. No request is sent to Stripe with invented card details.</t>
        </is>
      </c>
      <c r="H27" s="19" t="inlineStr"/>
      <c r="I27" s="19" t="inlineStr"/>
      <c r="J27" s="19" t="inlineStr"/>
      <c r="K27" s="19" t="inlineStr"/>
      <c r="L27" s="19" t="inlineStr"/>
    </row>
    <row r="28">
      <c r="A28" s="11" t="inlineStr">
        <is>
          <t>MT-N-PUR-01</t>
        </is>
      </c>
      <c r="B28" s="5" t="inlineStr">
        <is>
          <t>S16</t>
        </is>
      </c>
      <c r="C28" s="5" t="inlineStr">
        <is>
          <t>A partial purge does NOT clear the deletion job</t>
        </is>
      </c>
      <c r="D28" s="5" t="inlineStr">
        <is>
          <t>Clearing it would lose the only record that the rest is still owed, and quietly breach the published policy.</t>
        </is>
      </c>
      <c r="E28" s="5" t="inlineStr">
        <is>
          <t>A purge registry where one store is made to throw.</t>
        </is>
      </c>
      <c r="F28" s="18" t="inlineStr">
        <is>
          <t>1. Schedule a due deletion.
2. Make one store throw.
3. Run PurgeWorker.runOnce().
4. Query deletion_jobs.</t>
        </is>
      </c>
      <c r="G28" s="18" t="inlineStr">
        <is>
          <t>The receipt reports complete=false, an error is logged, and the deletion_jobs row is STILL THERE for the next run. A cleared job here is a serious FAIL.</t>
        </is>
      </c>
      <c r="H28" s="19" t="inlineStr"/>
      <c r="I28" s="19" t="inlineStr"/>
      <c r="J28" s="19" t="inlineStr"/>
      <c r="K28" s="19" t="inlineStr"/>
      <c r="L28" s="19" t="inlineStr"/>
    </row>
  </sheetData>
  <mergeCells count="1">
    <mergeCell ref="A2:L2"/>
  </mergeCells>
  <dataValidations count="1">
    <dataValidation sqref="I5:I29" showDropDown="0" showInputMessage="0" showErrorMessage="0" allowBlank="1" type="list">
      <formula1>"PASS,FAIL,BLOCKED,N/A,Not run"</formula1>
    </dataValidation>
  </dataValidations>
  <pageMargins left="0.75" right="0.75" top="1" bottom="1" header="0.5" footer="0.5"/>
</worksheet>
</file>

<file path=xl/worksheets/sheet9.xml><?xml version="1.0" encoding="utf-8"?>
<worksheet xmlns="http://schemas.openxmlformats.org/spreadsheetml/2006/main">
  <sheetPr>
    <tabColor rgb="FFFFEB9C"/>
    <outlinePr summaryBelow="1" summaryRight="1"/>
    <pageSetUpPr/>
  </sheetPr>
  <dimension ref="A1:L28"/>
  <sheetViews>
    <sheetView workbookViewId="0">
      <pane xSplit="3" ySplit="4" topLeftCell="D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0" customWidth="1" min="2" max="2"/>
    <col width="30" customWidth="1" min="3" max="3"/>
    <col width="42" customWidth="1" min="4" max="4"/>
    <col width="26" customWidth="1" min="5" max="5"/>
    <col width="62" customWidth="1" min="6" max="6"/>
    <col width="52" customWidth="1" min="7" max="7"/>
    <col width="26" customWidth="1" min="8" max="8"/>
    <col width="11" customWidth="1" min="9" max="9"/>
    <col width="11" customWidth="1" min="10" max="10"/>
    <col width="11" customWidth="1" min="11" max="11"/>
    <col width="13" customWidth="1" min="12" max="12"/>
  </cols>
  <sheetData>
    <row r="1">
      <c r="A1" s="8" t="inlineStr">
        <is>
          <t>TEST CASES — SPECIFIED BUT BLOCKED  (written, waiting, never executed)</t>
        </is>
      </c>
    </row>
    <row r="2" ht="32" customHeight="1">
      <c r="A2" s="9" t="inlineStr">
        <is>
          <t>24 cases. These are NOT failures and they are NOT passes — nobody has run them. Every one names its blocker. When a blocker lifts, move the case to sheet 20 or 21 and run it properly. Marking any of these PASS without executing it is the exact failure this whole pack exists to prevent.</t>
        </is>
      </c>
    </row>
    <row r="4">
      <c r="A4" s="10" t="inlineStr">
        <is>
          <t>Test case ID</t>
        </is>
      </c>
      <c r="B4" s="10" t="inlineStr">
        <is>
          <t>Version</t>
        </is>
      </c>
      <c r="C4" s="10" t="inlineStr">
        <is>
          <t>Test case name</t>
        </is>
      </c>
      <c r="D4" s="10" t="inlineStr">
        <is>
          <t>Test description</t>
        </is>
      </c>
      <c r="E4" s="10" t="inlineStr">
        <is>
          <t>Pre-conditions</t>
        </is>
      </c>
      <c r="F4" s="10" t="inlineStr">
        <is>
          <t>Step-by-step — how to test</t>
        </is>
      </c>
      <c r="G4" s="10" t="inlineStr">
        <is>
          <t>Expected result</t>
        </is>
      </c>
      <c r="H4" s="10" t="inlineStr">
        <is>
          <t>Actual result</t>
        </is>
      </c>
      <c r="I4" s="10" t="inlineStr">
        <is>
          <t>Status</t>
        </is>
      </c>
      <c r="J4" s="10" t="inlineStr">
        <is>
          <t>Tester</t>
        </is>
      </c>
      <c r="K4" s="10" t="inlineStr">
        <is>
          <t>Date</t>
        </is>
      </c>
      <c r="L4" s="10" t="inlineStr">
        <is>
          <t>Defect raised</t>
        </is>
      </c>
    </row>
    <row r="5">
      <c r="A5" s="11" t="inlineStr">
        <is>
          <t>MT-X-RND-01</t>
        </is>
      </c>
      <c r="B5" s="5" t="inlineStr">
        <is>
          <t>S14</t>
        </is>
      </c>
      <c r="C5" s="5" t="inlineStr">
        <is>
          <t>Create a real Doc from a real template</t>
        </is>
      </c>
      <c r="D5" s="5" t="inlineStr">
        <is>
          <t>The core function, against Google.</t>
        </is>
      </c>
      <c r="E5" s="5" t="inlineStr">
        <is>
          <t>LC-1: a GCP project with Docs and Drive enabled, and a template Doc.</t>
        </is>
      </c>
      <c r="F5" s="18" t="inlineStr">
        <is>
          <t>1. Bind a template to a real Doc id.
2. Generate for one row.
3. Open the resulting Doc in Drive.</t>
        </is>
      </c>
      <c r="G5" s="18" t="inlineStr">
        <is>
          <t>A new Doc exists, is a copy of the template, and every {{placeholder}} is replaced with the row's value.</t>
        </is>
      </c>
      <c r="H5" s="19" t="inlineStr"/>
      <c r="I5" s="20" t="inlineStr">
        <is>
          <t>BLOCKED</t>
        </is>
      </c>
      <c r="J5" s="19" t="inlineStr"/>
      <c r="K5" s="19" t="inlineStr"/>
      <c r="L5" s="19" t="inlineStr">
        <is>
          <t>LC-1</t>
        </is>
      </c>
    </row>
    <row r="6">
      <c r="A6" s="11" t="inlineStr">
        <is>
          <t>MT-X-RND-02</t>
        </is>
      </c>
      <c r="B6" s="5" t="inlineStr">
        <is>
          <t>S14</t>
        </is>
      </c>
      <c r="C6" s="5" t="inlineStr">
        <is>
          <t>Repeating table rows for invoice line items</t>
        </is>
      </c>
      <c r="D6" s="5" t="inlineStr">
        <is>
          <t>Index arithmetic against the real Docs document model. MOST LIKELY TO FAIL FIRST.</t>
        </is>
      </c>
      <c r="E6" s="5" t="inlineStr">
        <is>
          <t>LC-1 + a template containing a table with an anchor placeholder.</t>
        </is>
      </c>
      <c r="F6" s="18" t="inlineStr">
        <is>
          <t>Generate with three line items.</t>
        </is>
      </c>
      <c r="G6" s="18" t="inlineStr">
        <is>
          <t>Three table rows appear with correct values, the template row is removed, and the table structure is intact.</t>
        </is>
      </c>
      <c r="H6" s="19" t="inlineStr"/>
      <c r="I6" s="20" t="inlineStr">
        <is>
          <t>BLOCKED</t>
        </is>
      </c>
      <c r="J6" s="19" t="inlineStr"/>
      <c r="K6" s="19" t="inlineStr"/>
      <c r="L6" s="19" t="inlineStr">
        <is>
          <t>LC-1</t>
        </is>
      </c>
    </row>
    <row r="7">
      <c r="A7" s="11" t="inlineStr">
        <is>
          <t>MT-X-RND-03</t>
        </is>
      </c>
      <c r="B7" s="5" t="inlineStr">
        <is>
          <t>S14</t>
        </is>
      </c>
      <c r="C7" s="5" t="inlineStr">
        <is>
          <t>Logo image replacement</t>
        </is>
      </c>
      <c r="D7" s="5" t="inlineStr">
        <is>
          <t>replaceImage matched on alt text.</t>
        </is>
      </c>
      <c r="E7" s="5" t="inlineStr">
        <is>
          <t>LC-1 + a template with an inline image whose alt text is the placeholder tag.</t>
        </is>
      </c>
      <c r="F7" s="18" t="inlineStr">
        <is>
          <t>Generate with an image URL supplied.</t>
        </is>
      </c>
      <c r="G7" s="18" t="inlineStr">
        <is>
          <t>The placeholder image is replaced by the supplied one; layout is preserved.</t>
        </is>
      </c>
      <c r="H7" s="19" t="inlineStr"/>
      <c r="I7" s="20" t="inlineStr">
        <is>
          <t>BLOCKED</t>
        </is>
      </c>
      <c r="J7" s="19" t="inlineStr"/>
      <c r="K7" s="19" t="inlineStr"/>
      <c r="L7" s="19" t="inlineStr">
        <is>
          <t>LC-1</t>
        </is>
      </c>
    </row>
    <row r="8">
      <c r="A8" s="11" t="inlineStr">
        <is>
          <t>MT-X-RND-04</t>
        </is>
      </c>
      <c r="B8" s="5" t="inlineStr">
        <is>
          <t>S14</t>
        </is>
      </c>
      <c r="C8" s="5" t="inlineStr">
        <is>
          <t>Section deletion across a paragraph boundary</t>
        </is>
      </c>
      <c r="D8" s="5" t="inlineStr">
        <is>
          <t>deleteContentRange where the section spans structural elements. SECOND MOST LIKELY TO FAIL.</t>
        </is>
      </c>
      <c r="E8" s="5" t="inlineStr">
        <is>
          <t>LC-1 + a template whose conditional section spans two paragraphs.</t>
        </is>
      </c>
      <c r="F8" s="18" t="inlineStr">
        <is>
          <t>Generate with the section's rule evaluating false.</t>
        </is>
      </c>
      <c r="G8" s="18" t="inlineStr">
        <is>
          <t>The section is removed cleanly with no stray markers and no 400 from the API.</t>
        </is>
      </c>
      <c r="H8" s="19" t="inlineStr"/>
      <c r="I8" s="20" t="inlineStr">
        <is>
          <t>BLOCKED</t>
        </is>
      </c>
      <c r="J8" s="19" t="inlineStr"/>
      <c r="K8" s="19" t="inlineStr"/>
      <c r="L8" s="19" t="inlineStr">
        <is>
          <t>LC-1</t>
        </is>
      </c>
    </row>
    <row r="9">
      <c r="A9" s="11" t="inlineStr">
        <is>
          <t>MT-X-RND-05</t>
        </is>
      </c>
      <c r="B9" s="5" t="inlineStr">
        <is>
          <t>S14</t>
        </is>
      </c>
      <c r="C9" s="5" t="inlineStr">
        <is>
          <t>PDF export fidelity</t>
        </is>
      </c>
      <c r="D9" s="5" t="inlineStr">
        <is>
          <t>The declared default output format.</t>
        </is>
      </c>
      <c r="E9" s="5" t="inlineStr">
        <is>
          <t>LC-1.</t>
        </is>
      </c>
      <c r="F9" s="18" t="inlineStr">
        <is>
          <t>Generate with outputFormat pdf and open the result.</t>
        </is>
      </c>
      <c r="G9" s="18" t="inlineStr">
        <is>
          <t>A valid PDF whose extracted text matches the expected merged content, with template styling preserved.</t>
        </is>
      </c>
      <c r="H9" s="19" t="inlineStr"/>
      <c r="I9" s="20" t="inlineStr">
        <is>
          <t>BLOCKED</t>
        </is>
      </c>
      <c r="J9" s="19" t="inlineStr"/>
      <c r="K9" s="19" t="inlineStr"/>
      <c r="L9" s="19" t="inlineStr">
        <is>
          <t>LC-1</t>
        </is>
      </c>
    </row>
    <row r="10">
      <c r="A10" s="11" t="inlineStr">
        <is>
          <t>MT-X-RND-06</t>
        </is>
      </c>
      <c r="B10" s="5" t="inlineStr">
        <is>
          <t>S14</t>
        </is>
      </c>
      <c r="C10" s="5" t="inlineStr">
        <is>
          <t>DOCX export</t>
        </is>
      </c>
      <c r="D10" s="5" t="inlineStr">
        <is>
          <t>The alternative format.</t>
        </is>
      </c>
      <c r="E10" s="5" t="inlineStr">
        <is>
          <t>LC-1.</t>
        </is>
      </c>
      <c r="F10" s="18" t="inlineStr">
        <is>
          <t>Generate with outputFormat docx and open in Word.</t>
        </is>
      </c>
      <c r="G10" s="18" t="inlineStr">
        <is>
          <t>A valid .docx that opens without repair and matches the expected content.</t>
        </is>
      </c>
      <c r="H10" s="19" t="inlineStr"/>
      <c r="I10" s="20" t="inlineStr">
        <is>
          <t>BLOCKED</t>
        </is>
      </c>
      <c r="J10" s="19" t="inlineStr"/>
      <c r="K10" s="19" t="inlineStr"/>
      <c r="L10" s="19" t="inlineStr">
        <is>
          <t>LC-1</t>
        </is>
      </c>
    </row>
    <row r="11">
      <c r="A11" s="11" t="inlineStr">
        <is>
          <t>MT-X-RND-07</t>
        </is>
      </c>
      <c r="B11" s="5" t="inlineStr">
        <is>
          <t>S14</t>
        </is>
      </c>
      <c r="C11" s="5" t="inlineStr">
        <is>
          <t>All 20 gallery templates render live</t>
        </is>
      </c>
      <c r="D11" s="5" t="inlineStr">
        <is>
          <t>The gallery was validated against the string engine, never against Docs.</t>
        </is>
      </c>
      <c r="E11" s="5" t="inlineStr">
        <is>
          <t>LC-1.</t>
        </is>
      </c>
      <c r="F11" s="18" t="inlineStr">
        <is>
          <t>Render each of the 20 launch templates with its sample data.</t>
        </is>
      </c>
      <c r="G11" s="18" t="inlineStr">
        <is>
          <t>All 20 produce a document with no API error and no missing placeholder.</t>
        </is>
      </c>
      <c r="H11" s="19" t="inlineStr"/>
      <c r="I11" s="20" t="inlineStr">
        <is>
          <t>BLOCKED</t>
        </is>
      </c>
      <c r="J11" s="19" t="inlineStr"/>
      <c r="K11" s="19" t="inlineStr"/>
      <c r="L11" s="19" t="inlineStr">
        <is>
          <t>LC-1</t>
        </is>
      </c>
    </row>
    <row r="12">
      <c r="A12" s="11" t="inlineStr">
        <is>
          <t>MT-X-RND-08</t>
        </is>
      </c>
      <c r="B12" s="5" t="inlineStr">
        <is>
          <t>S14</t>
        </is>
      </c>
      <c r="C12" s="5" t="inlineStr">
        <is>
          <t>Quota pacing holds under a real 500-row batch</t>
        </is>
      </c>
      <c r="D12" s="5" t="inlineStr">
        <is>
          <t>The eight-minute figure is derived, not observed.</t>
        </is>
      </c>
      <c r="E12" s="5" t="inlineStr">
        <is>
          <t>LC-1 + a 500-row sheet.</t>
        </is>
      </c>
      <c r="F12" s="18" t="inlineStr">
        <is>
          <t>Run a 500-row batch and time it.</t>
        </is>
      </c>
      <c r="G12" s="18" t="inlineStr">
        <is>
          <t>Completes without a 429 from Google, in roughly the predicted time. A materially faster run means the pacing is not engaging; a 429 means it is insufficient.</t>
        </is>
      </c>
      <c r="H12" s="19" t="inlineStr"/>
      <c r="I12" s="20" t="inlineStr">
        <is>
          <t>BLOCKED</t>
        </is>
      </c>
      <c r="J12" s="19" t="inlineStr"/>
      <c r="K12" s="19" t="inlineStr"/>
      <c r="L12" s="19" t="inlineStr">
        <is>
          <t>LC-1</t>
        </is>
      </c>
    </row>
    <row r="13">
      <c r="A13" s="11" t="inlineStr">
        <is>
          <t>MT-X-ADD-01</t>
        </is>
      </c>
      <c r="B13" s="5" t="inlineStr">
        <is>
          <t>S15</t>
        </is>
      </c>
      <c r="C13" s="5" t="inlineStr">
        <is>
          <t>Add-on installs into a real Sheet</t>
        </is>
      </c>
      <c r="D13" s="5" t="inlineStr">
        <is>
          <t>The manifest and project pushed and installed.</t>
        </is>
      </c>
      <c r="E13" s="5" t="inlineStr">
        <is>
          <t>LC-1 + clasp configured. Also DM-F31 fixed first.</t>
        </is>
      </c>
      <c r="F13" s="18" t="inlineStr">
        <is>
          <t>1. clasp push.
2. Install the add-on.
3. Open a Sheet and launch the sidebar.</t>
        </is>
      </c>
      <c r="G13" s="18" t="inlineStr">
        <is>
          <t>The add-on appears in the Extensions menu and the sidebar opens at 300px.</t>
        </is>
      </c>
      <c r="H13" s="19" t="inlineStr"/>
      <c r="I13" s="20" t="inlineStr">
        <is>
          <t>BLOCKED</t>
        </is>
      </c>
      <c r="J13" s="19" t="inlineStr"/>
      <c r="K13" s="19" t="inlineStr"/>
      <c r="L13" s="19" t="inlineStr">
        <is>
          <t>LC-1 + DM-F31</t>
        </is>
      </c>
    </row>
    <row r="14">
      <c r="A14" s="11" t="inlineStr">
        <is>
          <t>MT-X-ADD-02</t>
        </is>
      </c>
      <c r="B14" s="5" t="inlineStr">
        <is>
          <t>S15</t>
        </is>
      </c>
      <c r="C14" s="5" t="inlineStr">
        <is>
          <t>Consent screen shows exactly the audited scopes</t>
        </is>
      </c>
      <c r="D14" s="5" t="inlineStr">
        <is>
          <t>Scope creep at the consent screen is a review rejection.</t>
        </is>
      </c>
      <c r="E14" s="5" t="inlineStr">
        <is>
          <t>LC-1.</t>
        </is>
      </c>
      <c r="F14" s="18" t="inlineStr">
        <is>
          <t>Install and read the consent screen.</t>
        </is>
      </c>
      <c r="G14" s="18" t="inlineStr">
        <is>
          <t>Exactly six scopes, matching the audited manifest. Any extra scope is a FAIL and a submission blocker.</t>
        </is>
      </c>
      <c r="H14" s="19" t="inlineStr"/>
      <c r="I14" s="20" t="inlineStr">
        <is>
          <t>BLOCKED</t>
        </is>
      </c>
      <c r="J14" s="19" t="inlineStr"/>
      <c r="K14" s="19" t="inlineStr"/>
      <c r="L14" s="19" t="inlineStr">
        <is>
          <t>LC-1</t>
        </is>
      </c>
    </row>
    <row r="15">
      <c r="A15" s="11" t="inlineStr">
        <is>
          <t>MT-X-ADD-03</t>
        </is>
      </c>
      <c r="B15" s="5" t="inlineStr">
        <is>
          <t>S15</t>
        </is>
      </c>
      <c r="C15" s="5" t="inlineStr">
        <is>
          <t>Sidebar reads the active row</t>
        </is>
      </c>
      <c r="D15" s="5" t="inlineStr">
        <is>
          <t>The capability that made the Editor add-on type mandatory.</t>
        </is>
      </c>
      <c r="E15" s="5" t="inlineStr">
        <is>
          <t>LC-1 + installed add-on.</t>
        </is>
      </c>
      <c r="F15" s="18" t="inlineStr">
        <is>
          <t>Select a row in the Sheet and open the sidebar preview.</t>
        </is>
      </c>
      <c r="G15" s="18" t="inlineStr">
        <is>
          <t>The preview shows that row's values, keyed by the header row.</t>
        </is>
      </c>
      <c r="H15" s="19" t="inlineStr"/>
      <c r="I15" s="20" t="inlineStr">
        <is>
          <t>BLOCKED</t>
        </is>
      </c>
      <c r="J15" s="19" t="inlineStr"/>
      <c r="K15" s="19" t="inlineStr"/>
      <c r="L15" s="19" t="inlineStr">
        <is>
          <t>LC-1</t>
        </is>
      </c>
    </row>
    <row r="16">
      <c r="A16" s="11" t="inlineStr">
        <is>
          <t>MT-X-ADD-04</t>
        </is>
      </c>
      <c r="B16" s="5" t="inlineStr">
        <is>
          <t>S15</t>
        </is>
      </c>
      <c r="C16" s="5" t="inlineStr">
        <is>
          <t>Form trigger registers and fires</t>
        </is>
      </c>
      <c r="D16" s="5" t="inlineStr">
        <is>
          <t>Installable triggers are the other Editor-only capability.</t>
        </is>
      </c>
      <c r="E16" s="5" t="inlineStr">
        <is>
          <t>LC-1 + a real Form.</t>
        </is>
      </c>
      <c r="F16" s="18" t="inlineStr">
        <is>
          <t>1. Install the trigger.
2. Submit the form.</t>
        </is>
      </c>
      <c r="G16" s="18" t="inlineStr">
        <is>
          <t>A document is generated within the trigger's normal latency, and the submission id appears in the dedupe store.</t>
        </is>
      </c>
      <c r="H16" s="19" t="inlineStr"/>
      <c r="I16" s="20" t="inlineStr">
        <is>
          <t>BLOCKED</t>
        </is>
      </c>
      <c r="J16" s="19" t="inlineStr"/>
      <c r="K16" s="19" t="inlineStr"/>
      <c r="L16" s="19" t="inlineStr">
        <is>
          <t>LC-1</t>
        </is>
      </c>
    </row>
    <row r="17">
      <c r="A17" s="11" t="inlineStr">
        <is>
          <t>MT-X-ADD-05</t>
        </is>
      </c>
      <c r="B17" s="5" t="inlineStr">
        <is>
          <t>S15</t>
        </is>
      </c>
      <c r="C17" s="5" t="inlineStr">
        <is>
          <t>OAuth install completes end to end</t>
        </is>
      </c>
      <c r="D17" s="5" t="inlineStr">
        <is>
          <t>Real token exchange, not a fake transport.</t>
        </is>
      </c>
      <c r="E17" s="5" t="inlineStr">
        <is>
          <t>LC-1.</t>
        </is>
      </c>
      <c r="F17" s="18" t="inlineStr">
        <is>
          <t>Complete the install flow from the Marketplace listing.</t>
        </is>
      </c>
      <c r="G17" s="18" t="inlineStr">
        <is>
          <t>Tokens are stored, a welcome state is returned, and the flow completes within the 2-minute budget (ST-051).</t>
        </is>
      </c>
      <c r="H17" s="19" t="inlineStr"/>
      <c r="I17" s="20" t="inlineStr">
        <is>
          <t>BLOCKED</t>
        </is>
      </c>
      <c r="J17" s="19" t="inlineStr"/>
      <c r="K17" s="19" t="inlineStr"/>
      <c r="L17" s="19" t="inlineStr">
        <is>
          <t>LC-1</t>
        </is>
      </c>
    </row>
    <row r="18">
      <c r="A18" s="11" t="inlineStr">
        <is>
          <t>MT-X-ADD-06</t>
        </is>
      </c>
      <c r="B18" s="5" t="inlineStr">
        <is>
          <t>S15</t>
        </is>
      </c>
      <c r="C18" s="5" t="inlineStr">
        <is>
          <t>Token refresh survives Google rotating the refresh token</t>
        </is>
      </c>
      <c r="D18" s="5" t="inlineStr">
        <is>
          <t>The failure that appears a week later, silently.</t>
        </is>
      </c>
      <c r="E18" s="5" t="inlineStr">
        <is>
          <t>LC-1 + an install older than the access token lifetime.</t>
        </is>
      </c>
      <c r="F18" s="18" t="inlineStr">
        <is>
          <t>Force a refresh where Google returns a NEW refresh token; then refresh again.</t>
        </is>
      </c>
      <c r="G18" s="18" t="inlineStr">
        <is>
          <t>The new refresh token is persisted and the second refresh succeeds. A failure here means every customer breaks after their first rotation.</t>
        </is>
      </c>
      <c r="H18" s="19" t="inlineStr"/>
      <c r="I18" s="20" t="inlineStr">
        <is>
          <t>BLOCKED</t>
        </is>
      </c>
      <c r="J18" s="19" t="inlineStr"/>
      <c r="K18" s="19" t="inlineStr"/>
      <c r="L18" s="19" t="inlineStr">
        <is>
          <t>LC-1</t>
        </is>
      </c>
    </row>
    <row r="19">
      <c r="A19" s="11" t="inlineStr">
        <is>
          <t>MT-X-DRV-01</t>
        </is>
      </c>
      <c r="B19" s="5" t="inlineStr">
        <is>
          <t>S15</t>
        </is>
      </c>
      <c r="C19" s="5" t="inlineStr">
        <is>
          <t>Drive filing creates the folder path</t>
        </is>
      </c>
      <c r="D19" s="5" t="inlineStr">
        <is>
          <t>ensureFolder against real Drive.</t>
        </is>
      </c>
      <c r="E19" s="5" t="inlineStr">
        <is>
          <t>LC-1.</t>
        </is>
      </c>
      <c r="F19" s="18" t="inlineStr">
        <is>
          <t>Generate with a folder pattern whose path does not exist.</t>
        </is>
      </c>
      <c r="G19" s="18" t="inlineStr">
        <is>
          <t>The folder path is created and the document is in it.</t>
        </is>
      </c>
      <c r="H19" s="19" t="inlineStr"/>
      <c r="I19" s="20" t="inlineStr">
        <is>
          <t>BLOCKED</t>
        </is>
      </c>
      <c r="J19" s="19" t="inlineStr"/>
      <c r="K19" s="19" t="inlineStr"/>
      <c r="L19" s="19" t="inlineStr">
        <is>
          <t>LC-1</t>
        </is>
      </c>
    </row>
    <row r="20">
      <c r="A20" s="11" t="inlineStr">
        <is>
          <t>MT-X-DRV-02</t>
        </is>
      </c>
      <c r="B20" s="5" t="inlineStr">
        <is>
          <t>S15</t>
        </is>
      </c>
      <c r="C20" s="5" t="inlineStr">
        <is>
          <t>Rename conflict against a real existing file</t>
        </is>
      </c>
      <c r="D20" s="5" t="inlineStr">
        <is>
          <t>The path most likely to differ from the fake.</t>
        </is>
      </c>
      <c r="E20" s="5" t="inlineStr">
        <is>
          <t>LC-1 + an existing file of the same name.</t>
        </is>
      </c>
      <c r="F20" s="18" t="inlineStr">
        <is>
          <t>File a document with the rename policy.</t>
        </is>
      </c>
      <c r="G20" s="18" t="inlineStr">
        <is>
          <t>A distinct name is used and the original file is untouched.</t>
        </is>
      </c>
      <c r="H20" s="19" t="inlineStr"/>
      <c r="I20" s="20" t="inlineStr">
        <is>
          <t>BLOCKED</t>
        </is>
      </c>
      <c r="J20" s="19" t="inlineStr"/>
      <c r="K20" s="19" t="inlineStr"/>
      <c r="L20" s="19" t="inlineStr">
        <is>
          <t>LC-1</t>
        </is>
      </c>
    </row>
    <row r="21">
      <c r="A21" s="11" t="inlineStr">
        <is>
          <t>MT-X-SHT-01</t>
        </is>
      </c>
      <c r="B21" s="5" t="inlineStr">
        <is>
          <t>S15</t>
        </is>
      </c>
      <c r="C21" s="5" t="inlineStr">
        <is>
          <t>Sheets read pages beyond 500 rows</t>
        </is>
      </c>
      <c r="D21" s="5" t="inlineStr">
        <is>
          <t>A1 range arithmetic against real data.</t>
        </is>
      </c>
      <c r="E21" s="5" t="inlineStr">
        <is>
          <t>LC-1 + a sheet with 1,200 rows.</t>
        </is>
      </c>
      <c r="F21" s="18" t="inlineStr">
        <is>
          <t>Run a batch over the whole sheet.</t>
        </is>
      </c>
      <c r="G21" s="18" t="inlineStr">
        <is>
          <t>All 1,200 rows are read, in order, with no gap at a page boundary and no duplicate.</t>
        </is>
      </c>
      <c r="H21" s="19" t="inlineStr"/>
      <c r="I21" s="20" t="inlineStr">
        <is>
          <t>BLOCKED</t>
        </is>
      </c>
      <c r="J21" s="19" t="inlineStr"/>
      <c r="K21" s="19" t="inlineStr"/>
      <c r="L21" s="19" t="inlineStr">
        <is>
          <t>LC-1</t>
        </is>
      </c>
    </row>
    <row r="22">
      <c r="A22" s="11" t="inlineStr">
        <is>
          <t>MT-X-OPS-01</t>
        </is>
      </c>
      <c r="B22" s="5" t="inlineStr">
        <is>
          <t>S18</t>
        </is>
      </c>
      <c r="C22" s="5" t="inlineStr">
        <is>
          <t>Terraform validates</t>
        </is>
      </c>
      <c r="D22" s="5" t="inlineStr">
        <is>
          <t>It has never been run; expect argument-name corrections.</t>
        </is>
      </c>
      <c r="E22" s="5" t="inlineStr">
        <is>
          <t>LC-1 + terraform installed.</t>
        </is>
      </c>
      <c r="F22" s="18" t="inlineStr">
        <is>
          <t>terraform init &amp;&amp; terraform validate</t>
        </is>
      </c>
      <c r="G22" s="18" t="inlineStr">
        <is>
          <t>Both succeed. Any provider argument errors are corrected and recorded — this is expected, not a surprise.</t>
        </is>
      </c>
      <c r="H22" s="19" t="inlineStr"/>
      <c r="I22" s="20" t="inlineStr">
        <is>
          <t>BLOCKED</t>
        </is>
      </c>
      <c r="J22" s="19" t="inlineStr"/>
      <c r="K22" s="19" t="inlineStr"/>
      <c r="L22" s="19" t="inlineStr">
        <is>
          <t>LC-1</t>
        </is>
      </c>
    </row>
    <row r="23">
      <c r="A23" s="11" t="inlineStr">
        <is>
          <t>MT-X-OPS-02</t>
        </is>
      </c>
      <c r="B23" s="5" t="inlineStr">
        <is>
          <t>S18</t>
        </is>
      </c>
      <c r="C23" s="5" t="inlineStr">
        <is>
          <t>Container image builds and runs</t>
        </is>
      </c>
      <c r="D23" s="5" t="inlineStr">
        <is>
          <t>npm ci --omit=dev is the install that exposes an undeclared dependency.</t>
        </is>
      </c>
      <c r="E23" s="5" t="inlineStr">
        <is>
          <t>A Docker daemon.</t>
        </is>
      </c>
      <c r="F23" s="18" t="inlineStr">
        <is>
          <t>docker build . then run the image with a full env.</t>
        </is>
      </c>
      <c r="G23" s="18" t="inlineStr">
        <is>
          <t>The image builds, starts, and /healthz answers 200 from inside the container.</t>
        </is>
      </c>
      <c r="H23" s="19" t="inlineStr"/>
      <c r="I23" s="20" t="inlineStr">
        <is>
          <t>BLOCKED</t>
        </is>
      </c>
      <c r="J23" s="19" t="inlineStr"/>
      <c r="K23" s="19" t="inlineStr"/>
      <c r="L23" s="19" t="inlineStr">
        <is>
          <t>Docker daemon</t>
        </is>
      </c>
    </row>
    <row r="24">
      <c r="A24" s="11" t="inlineStr">
        <is>
          <t>MT-X-OPS-03</t>
        </is>
      </c>
      <c r="B24" s="5" t="inlineStr">
        <is>
          <t>S18</t>
        </is>
      </c>
      <c r="C24" s="5" t="inlineStr">
        <is>
          <t>Deploy, smoke and rollback sequence</t>
        </is>
      </c>
      <c r="D24" s="5" t="inlineStr">
        <is>
          <t>The external review's named exit criterion for S18.</t>
        </is>
      </c>
      <c r="E24" s="5" t="inlineStr">
        <is>
          <t>LC-1 + hosting decision.</t>
        </is>
      </c>
      <c r="F24" s="18" t="inlineStr">
        <is>
          <t>destroy → recreate → deploy → migrate → smoke → rollback → redeploy, twice, from CI logs.</t>
        </is>
      </c>
      <c r="G24" s="18" t="inlineStr">
        <is>
          <t>Both cycles complete; the rollback restores the previous revision and the smoke check passes on it.</t>
        </is>
      </c>
      <c r="H24" s="19" t="inlineStr"/>
      <c r="I24" s="20" t="inlineStr">
        <is>
          <t>BLOCKED</t>
        </is>
      </c>
      <c r="J24" s="19" t="inlineStr"/>
      <c r="K24" s="19" t="inlineStr"/>
      <c r="L24" s="19" t="inlineStr">
        <is>
          <t>LC-1</t>
        </is>
      </c>
    </row>
    <row r="25">
      <c r="A25" s="11" t="inlineStr">
        <is>
          <t>MT-X-OPS-04</t>
        </is>
      </c>
      <c r="B25" s="5" t="inlineStr">
        <is>
          <t>S18</t>
        </is>
      </c>
      <c r="C25" s="5" t="inlineStr">
        <is>
          <t>Synthetic monitor runs against staging</t>
        </is>
      </c>
      <c r="D25" s="5" t="inlineStr">
        <is>
          <t>It has been run locally, never against a deployed service.</t>
        </is>
      </c>
      <c r="E25" s="5" t="inlineStr">
        <is>
          <t>LC-1 + STAGING_BASE_URL.</t>
        </is>
      </c>
      <c r="F25" s="18" t="inlineStr">
        <is>
          <t>Run the synthetic monitor against the staging URL on its 15-minute schedule.</t>
        </is>
      </c>
      <c r="G25" s="18" t="inlineStr">
        <is>
          <t>Five steps green; the JSON summary is uploaded; a deliberate outage makes it fail.</t>
        </is>
      </c>
      <c r="H25" s="19" t="inlineStr"/>
      <c r="I25" s="20" t="inlineStr">
        <is>
          <t>BLOCKED</t>
        </is>
      </c>
      <c r="J25" s="19" t="inlineStr"/>
      <c r="K25" s="19" t="inlineStr"/>
      <c r="L25" s="19" t="inlineStr">
        <is>
          <t>LC-1</t>
        </is>
      </c>
    </row>
    <row r="26">
      <c r="A26" s="11" t="inlineStr">
        <is>
          <t>MT-X-OPS-05</t>
        </is>
      </c>
      <c r="B26" s="5" t="inlineStr">
        <is>
          <t>S18</t>
        </is>
      </c>
      <c r="C26" s="5" t="inlineStr">
        <is>
          <t>Alert fires end to end to a human</t>
        </is>
      </c>
      <c r="D26" s="5" t="inlineStr">
        <is>
          <t>The alert is defined and has never reached a notification channel.</t>
        </is>
      </c>
      <c r="E26" s="5" t="inlineStr">
        <is>
          <t>LC-1 + Cloud Monitoring configured.</t>
        </is>
      </c>
      <c r="F26" s="18" t="inlineStr">
        <is>
          <t>Force a fast burn on the render SLI and wait.</t>
        </is>
      </c>
      <c r="G26" s="18" t="inlineStr">
        <is>
          <t>The alert fires, reaches the configured channel, and the runbook's confirm commands work against the live service.</t>
        </is>
      </c>
      <c r="H26" s="19" t="inlineStr"/>
      <c r="I26" s="20" t="inlineStr">
        <is>
          <t>BLOCKED</t>
        </is>
      </c>
      <c r="J26" s="19" t="inlineStr"/>
      <c r="K26" s="19" t="inlineStr"/>
      <c r="L26" s="19" t="inlineStr">
        <is>
          <t>LC-1</t>
        </is>
      </c>
    </row>
    <row r="27">
      <c r="A27" s="11" t="inlineStr">
        <is>
          <t>MT-X-BIL-01</t>
        </is>
      </c>
      <c r="B27" s="5" t="inlineStr">
        <is>
          <t>S19</t>
        </is>
      </c>
      <c r="C27" s="5" t="inlineStr">
        <is>
          <t>A real Stripe charge succeeds</t>
        </is>
      </c>
      <c r="D27" s="5" t="inlineStr">
        <is>
          <t>Nothing has ever called Stripe.</t>
        </is>
      </c>
      <c r="E27" s="5" t="inlineStr">
        <is>
          <t>A Stripe account AND the enrolment flow, which is not built.</t>
        </is>
      </c>
      <c r="F27" s="18" t="inlineStr">
        <is>
          <t>Enrol a test card, then charge.</t>
        </is>
      </c>
      <c r="G27" s="18" t="inlineStr">
        <is>
          <t>A PaymentIntent succeeds and the subscription becomes active.</t>
        </is>
      </c>
      <c r="H27" s="19" t="inlineStr"/>
      <c r="I27" s="20" t="inlineStr">
        <is>
          <t>BLOCKED</t>
        </is>
      </c>
      <c r="J27" s="19" t="inlineStr"/>
      <c r="K27" s="19" t="inlineStr"/>
      <c r="L27" s="19" t="inlineStr">
        <is>
          <t>Stripe + enrolment</t>
        </is>
      </c>
    </row>
    <row r="28">
      <c r="A28" s="11" t="inlineStr">
        <is>
          <t>MT-X-BIL-02</t>
        </is>
      </c>
      <c r="B28" s="5" t="inlineStr">
        <is>
          <t>S19</t>
        </is>
      </c>
      <c r="C28" s="5" t="inlineStr">
        <is>
          <t>A declined card starts dunning correctly</t>
        </is>
      </c>
      <c r="D28" s="5" t="inlineStr">
        <is>
          <t>Joins the gateway to the dunning schedule.</t>
        </is>
      </c>
      <c r="E28" s="5" t="inlineStr">
        <is>
          <t>Same as above, plus Stripe's test decline card.</t>
        </is>
      </c>
      <c r="F28" s="18" t="inlineStr">
        <is>
          <t>Charge with the decline card and advance the clock.</t>
        </is>
      </c>
      <c r="G28" s="18" t="inlineStr">
        <is>
          <t>Returns a decline (not an error), and the 1/3/7 dunning schedule begins.</t>
        </is>
      </c>
      <c r="H28" s="19" t="inlineStr"/>
      <c r="I28" s="20" t="inlineStr">
        <is>
          <t>BLOCKED</t>
        </is>
      </c>
      <c r="J28" s="19" t="inlineStr"/>
      <c r="K28" s="19" t="inlineStr"/>
      <c r="L28" s="19" t="inlineStr">
        <is>
          <t>Stripe + enrolment</t>
        </is>
      </c>
    </row>
  </sheetData>
  <mergeCells count="1">
    <mergeCell ref="A2:L2"/>
  </mergeCells>
  <pageMargins left="0.75" right="0.75" top="1" bottom="1" header="0.5" footer="0.5"/>
</worksheet>
</file>

<file path=xl/worksheets/sheet10.xml><?xml version="1.0" encoding="utf-8"?>
<worksheet xmlns="http://schemas.openxmlformats.org/spreadsheetml/2006/main">
  <sheetPr>
    <tabColor rgb="FF1F3864"/>
    <outlinePr summaryBelow="1" summaryRight="1"/>
    <pageSetUpPr/>
  </sheetPr>
  <dimension ref="A1:G25"/>
  <sheetViews>
    <sheetView workbookViewId="0">
      <pane ySplit="4" topLeftCell="A5" activePane="bottomLeft" state="frozen"/>
      <selection pane="bottomLeft" activeCell="A1" sqref="A1"/>
    </sheetView>
  </sheetViews>
  <sheetFormatPr baseColWidth="8" defaultRowHeight="15"/>
  <cols>
    <col width="14" customWidth="1" min="1" max="1"/>
    <col width="12" customWidth="1" min="2" max="2"/>
    <col width="40" customWidth="1" min="3" max="3"/>
    <col width="56" customWidth="1" min="4" max="4"/>
    <col width="34" customWidth="1" min="5" max="5"/>
    <col width="11" customWidth="1" min="6" max="6"/>
    <col width="14" customWidth="1" min="7" max="7"/>
  </cols>
  <sheetData>
    <row r="1">
      <c r="A1" s="8" t="inlineStr">
        <is>
          <t>TRACEABILITY — case group → version → what it proves → automated counterpart</t>
        </is>
      </c>
    </row>
    <row r="2" ht="30" customHeight="1">
      <c r="A2" s="9" t="inlineStr">
        <is>
          <t>Two uses: show a reviewer that every delivered version has manual coverage, and find which cases to re-run when a module changes. The right-hand column matters — where an automated test already covers something, the manual case exists to check the part a machine cannot see.</t>
        </is>
      </c>
    </row>
    <row r="4">
      <c r="A4" s="10" t="inlineStr">
        <is>
          <t>Case group</t>
        </is>
      </c>
      <c r="B4" s="10" t="inlineStr">
        <is>
          <t>Version</t>
        </is>
      </c>
      <c r="C4" s="10" t="inlineStr">
        <is>
          <t>Requirement / finding it traces to</t>
        </is>
      </c>
      <c r="D4" s="10" t="inlineStr">
        <is>
          <t>What the manual case adds over the automated one</t>
        </is>
      </c>
      <c r="E4" s="10" t="inlineStr">
        <is>
          <t>Automated counterpart</t>
        </is>
      </c>
      <c r="F4" s="10" t="inlineStr">
        <is>
          <t>Cases</t>
        </is>
      </c>
      <c r="G4" s="10" t="inlineStr">
        <is>
          <t>Runnable today?</t>
        </is>
      </c>
    </row>
    <row r="5">
      <c r="A5" s="11" t="inlineStr">
        <is>
          <t>MT-RUN</t>
        </is>
      </c>
      <c r="B5" s="5" t="inlineStr">
        <is>
          <t>S13</t>
        </is>
      </c>
      <c r="C5" s="5" t="inlineStr">
        <is>
          <t>P-DM-002, P-DM-003 — the entrypoint started nothing; the migration path crashed</t>
        </is>
      </c>
      <c r="D5" s="5" t="inlineStr">
        <is>
          <t>The automated boot test spawns the artefact in CI. The manual case has a person watch the port open, kill the process, and confirm it releases — the operational behaviour, not just the assertion.</t>
        </is>
      </c>
      <c r="E5" s="5" t="inlineStr">
        <is>
          <t>tests/boot.test.ts, postgres.contract.test.ts</t>
        </is>
      </c>
      <c r="F5" s="5" t="inlineStr">
        <is>
          <t>8</t>
        </is>
      </c>
      <c r="G5" s="5" t="inlineStr">
        <is>
          <t>Yes</t>
        </is>
      </c>
    </row>
    <row r="6">
      <c r="A6" s="11" t="inlineStr">
        <is>
          <t>MT-TPL</t>
        </is>
      </c>
      <c r="B6" s="5" t="inlineStr">
        <is>
          <t>S2–S3</t>
        </is>
      </c>
      <c r="C6" s="5" t="inlineStr">
        <is>
          <t>ST-001..ST-005, ST-054 — designer, rules, permissions</t>
        </is>
      </c>
      <c r="D6" s="5" t="inlineStr">
        <is>
          <t>A human reads the error message and judges whether it is actually actionable. No assertion can score that, and it is the stated differentiator.</t>
        </is>
      </c>
      <c r="E6" s="5" t="inlineStr">
        <is>
          <t>tests/templates.test.ts</t>
        </is>
      </c>
      <c r="F6" s="5" t="inlineStr">
        <is>
          <t>9</t>
        </is>
      </c>
      <c r="G6" s="5" t="inlineStr">
        <is>
          <t>Yes</t>
        </is>
      </c>
    </row>
    <row r="7">
      <c r="A7" s="11" t="inlineStr">
        <is>
          <t>MT-BAT</t>
        </is>
      </c>
      <c r="B7" s="5" t="inlineStr">
        <is>
          <t>S3–S4</t>
        </is>
      </c>
      <c r="C7" s="5" t="inlineStr">
        <is>
          <t>ST-011..ST-020, VER-DM6 — batch, per-row outcomes, quota pacing</t>
        </is>
      </c>
      <c r="D7" s="5" t="inlineStr">
        <is>
          <t>Confirms the run FEELS right at scale: that a failure mid-run is legible and that the timing estimate is honest rather than optimistic.</t>
        </is>
      </c>
      <c r="E7" s="5" t="inlineStr">
        <is>
          <t>tests/batch.test.ts, batchOps.test.ts, platformQuotas.test.ts</t>
        </is>
      </c>
      <c r="F7" s="5" t="inlineStr">
        <is>
          <t>7</t>
        </is>
      </c>
      <c r="G7" s="5" t="inlineStr">
        <is>
          <t>Yes</t>
        </is>
      </c>
    </row>
    <row r="8">
      <c r="A8" s="11" t="inlineStr">
        <is>
          <t>MT-APR</t>
        </is>
      </c>
      <c r="B8" s="5" t="inlineStr">
        <is>
          <t>S5</t>
        </is>
      </c>
      <c r="C8" s="5" t="inlineStr">
        <is>
          <t>ST-021..ST-030, P-DM-007 — approval routing and the rename</t>
        </is>
      </c>
      <c r="D8" s="5" t="inlineStr">
        <is>
          <t>A person reads the user-facing copy and judges whether it still implies a signature. The gate checks patterns; a human catches the sentence that means it without using the words.</t>
        </is>
      </c>
      <c r="E8" s="5" t="inlineStr">
        <is>
          <t>tests/esign.test.ts, claimsGate.test.ts</t>
        </is>
      </c>
      <c r="F8" s="5" t="inlineStr">
        <is>
          <t>6</t>
        </is>
      </c>
      <c r="G8" s="5" t="inlineStr">
        <is>
          <t>Yes</t>
        </is>
      </c>
    </row>
    <row r="9">
      <c r="A9" s="11" t="inlineStr">
        <is>
          <t>MT-FIL</t>
        </is>
      </c>
      <c r="B9" s="5" t="inlineStr">
        <is>
          <t>S6</t>
        </is>
      </c>
      <c r="C9" s="5" t="inlineStr">
        <is>
          <t>ST-031..ST-040 — filing, conflict policy, retry</t>
        </is>
      </c>
      <c r="D9" s="5" t="inlineStr">
        <is>
          <t>Against a fake host only. The live counterpart is MT-X-DRV-*.</t>
        </is>
      </c>
      <c r="E9" s="5" t="inlineStr">
        <is>
          <t>tests/driveFiler.test.ts</t>
        </is>
      </c>
      <c r="F9" s="5" t="inlineStr">
        <is>
          <t>5</t>
        </is>
      </c>
      <c r="G9" s="5" t="inlineStr">
        <is>
          <t>Yes</t>
        </is>
      </c>
    </row>
    <row r="10">
      <c r="A10" s="11" t="inlineStr">
        <is>
          <t>MT-BIL</t>
        </is>
      </c>
      <c r="B10" s="5" t="inlineStr">
        <is>
          <t>S6–S8</t>
        </is>
      </c>
      <c r="C10" s="5" t="inlineStr">
        <is>
          <t>ST-057..ST-063, DM-F03 — trial, proration, limits, invoices</t>
        </is>
      </c>
      <c r="D10" s="5" t="inlineStr">
        <is>
          <t>A person checks the arithmetic by hand and reads the invoice as a customer would.</t>
        </is>
      </c>
      <c r="E10" s="5" t="inlineStr">
        <is>
          <t>tests/billing.test.ts, billingHardening.test.ts, entitlementTiers.test.ts</t>
        </is>
      </c>
      <c r="F10" s="5" t="inlineStr">
        <is>
          <t>6</t>
        </is>
      </c>
      <c r="G10" s="5" t="inlineStr">
        <is>
          <t>Yes</t>
        </is>
      </c>
    </row>
    <row r="11">
      <c r="A11" s="11" t="inlineStr">
        <is>
          <t>MT-DUN</t>
        </is>
      </c>
      <c r="B11" s="5" t="inlineStr">
        <is>
          <t>S7–S8</t>
        </is>
      </c>
      <c r="C11" s="5" t="inlineStr">
        <is>
          <t>ST-059, ST-060 — dunning schedule and read-only termination</t>
        </is>
      </c>
      <c r="D11" s="5" t="inlineStr">
        <is>
          <t>Confirms reads really do stay available in read-only mode — the property that makes the policy humane rather than punitive.</t>
        </is>
      </c>
      <c r="E11" s="5" t="inlineStr">
        <is>
          <t>tests/billingHardening.test.ts</t>
        </is>
      </c>
      <c r="F11" s="5" t="inlineStr">
        <is>
          <t>3</t>
        </is>
      </c>
      <c r="G11" s="5" t="inlineStr">
        <is>
          <t>Yes</t>
        </is>
      </c>
    </row>
    <row r="12">
      <c r="A12" s="11" t="inlineStr">
        <is>
          <t>MT-FRM</t>
        </is>
      </c>
      <c r="B12" s="5" t="inlineStr">
        <is>
          <t>S7–S8</t>
        </is>
      </c>
      <c r="C12" s="5" t="inlineStr">
        <is>
          <t>ST-041..ST-050, VER-DM2 — form triggers and dedupe</t>
        </is>
      </c>
      <c r="D12" s="5" t="inlineStr">
        <is>
          <t>The restart-survival case is the one that matters and is invisible to a unit test.</t>
        </is>
      </c>
      <c r="E12" s="5" t="inlineStr">
        <is>
          <t>tests/formTrigger.test.ts, postgresDurable.contract.test.ts</t>
        </is>
      </c>
      <c r="F12" s="5" t="inlineStr">
        <is>
          <t>4</t>
        </is>
      </c>
      <c r="G12" s="5" t="inlineStr">
        <is>
          <t>Yes</t>
        </is>
      </c>
    </row>
    <row r="13">
      <c r="A13" s="11" t="inlineStr">
        <is>
          <t>MT-DUR</t>
        </is>
      </c>
      <c r="B13" s="5" t="inlineStr">
        <is>
          <t>S16</t>
        </is>
      </c>
      <c r="C13" s="5" t="inlineStr">
        <is>
          <t>P-DM-009, DM-F41 — durability across restart and the purge executor</t>
        </is>
      </c>
      <c r="D13" s="5" t="inlineStr">
        <is>
          <t>A real process stop and start, not a simulated one. The automated tests construct fresh instances over the same database; the manual case actually kills the process.</t>
        </is>
      </c>
      <c r="E13" s="5" t="inlineStr">
        <is>
          <t>tests/postgresDurable.contract.test.ts, purgeWorker.test.ts</t>
        </is>
      </c>
      <c r="F13" s="5" t="inlineStr">
        <is>
          <t>7</t>
        </is>
      </c>
      <c r="G13" s="5" t="inlineStr">
        <is>
          <t>Yes</t>
        </is>
      </c>
    </row>
    <row r="14">
      <c r="A14" s="11" t="inlineStr">
        <is>
          <t>MT-GOV</t>
        </is>
      </c>
      <c r="B14" s="5" t="inlineStr">
        <is>
          <t>S17</t>
        </is>
      </c>
      <c r="C14" s="5" t="inlineStr">
        <is>
          <t>§5 governance wedge, P-DM-012 — buyer-facing artefacts</t>
        </is>
      </c>
      <c r="D14" s="5" t="inlineStr">
        <is>
          <t>A person acts as the customer verifying their own audit export, which is the entire value proposition of the feature. The tamper cases are the proof.</t>
        </is>
      </c>
      <c r="E14" s="5" t="inlineStr">
        <is>
          <t>tests/governanceSurfaces.test.ts, listing.test.ts</t>
        </is>
      </c>
      <c r="F14" s="5" t="inlineStr">
        <is>
          <t>6</t>
        </is>
      </c>
      <c r="G14" s="5" t="inlineStr">
        <is>
          <t>Yes</t>
        </is>
      </c>
    </row>
    <row r="15">
      <c r="A15" s="11" t="inlineStr">
        <is>
          <t>MT-OPS</t>
        </is>
      </c>
      <c r="B15" s="5" t="inlineStr">
        <is>
          <t>S18</t>
        </is>
      </c>
      <c r="C15" s="5" t="inlineStr">
        <is>
          <t>Logging, SLO, runbook, restore drill</t>
        </is>
      </c>
      <c r="D15" s="5" t="inlineStr">
        <is>
          <t>Reads the actual log output for leaked secrets, and runs the runbook's commands as an on-call engineer would.</t>
        </is>
      </c>
      <c r="E15" s="5" t="inlineStr">
        <is>
          <t>tests/logger.test.ts, slo.test.ts, runbook.test.ts, restoreDrill.test.ts</t>
        </is>
      </c>
      <c r="F15" s="5" t="inlineStr">
        <is>
          <t>6</t>
        </is>
      </c>
      <c r="G15" s="5" t="inlineStr">
        <is>
          <t>Yes</t>
        </is>
      </c>
    </row>
    <row r="16">
      <c r="A16" s="11" t="inlineStr">
        <is>
          <t>MT-GAT</t>
        </is>
      </c>
      <c r="B16" s="5" t="inlineStr">
        <is>
          <t>S19</t>
        </is>
      </c>
      <c r="C16" s="5" t="inlineStr">
        <is>
          <t>P-DM-001, P-DM-003, P-DM-004 — the standing gates</t>
        </is>
      </c>
      <c r="D16" s="5" t="inlineStr">
        <is>
          <t>DELIBERATELY BREAKS the code to prove each gate catches it. A gate that passes tells you nothing until you have seen it fail.</t>
        </is>
      </c>
      <c r="E16" s="5" t="inlineStr">
        <is>
          <t>the gates themselves</t>
        </is>
      </c>
      <c r="F16" s="5" t="inlineStr">
        <is>
          <t>5</t>
        </is>
      </c>
      <c r="G16" s="5" t="inlineStr">
        <is>
          <t>Yes</t>
        </is>
      </c>
    </row>
    <row r="17">
      <c r="A17" s="11" t="inlineStr">
        <is>
          <t>MT-LCH</t>
        </is>
      </c>
      <c r="B17" s="5" t="inlineStr">
        <is>
          <t>S9–S12</t>
        </is>
      </c>
      <c r="C17" s="5" t="inlineStr">
        <is>
          <t>ST-080, ST-095, ST-096, R-D15 — published surfaces</t>
        </is>
      </c>
      <c r="D17" s="5" t="inlineStr">
        <is>
          <t>Confirms generated pages agree with the code they claim to be generated from, by reading both.</t>
        </is>
      </c>
      <c r="E17" s="5" t="inlineStr">
        <is>
          <t>tests/site.test.ts, launchSurfaces.test.ts, helpCenter.test.ts</t>
        </is>
      </c>
      <c r="F17" s="5" t="inlineStr">
        <is>
          <t>5</t>
        </is>
      </c>
      <c r="G17" s="5" t="inlineStr">
        <is>
          <t>Yes</t>
        </is>
      </c>
    </row>
    <row r="18">
      <c r="A18" s="11" t="inlineStr">
        <is>
          <t>MT-N-*</t>
        </is>
      </c>
      <c r="B18" s="5" t="inlineStr">
        <is>
          <t>various</t>
        </is>
      </c>
      <c r="C18" s="5" t="inlineStr">
        <is>
          <t>DM-F04..F17, P-DM-002 — refusals</t>
        </is>
      </c>
      <c r="D18" s="5" t="inlineStr">
        <is>
          <t>Checks that a refusal is legible as well as safe: the message must tell the user what to do, and must not leak whether a resource exists.</t>
        </is>
      </c>
      <c r="E18" s="5" t="inlineStr">
        <is>
          <t>tests/app.test.ts, session.test.ts, webhookSecurity.test.ts, tenantGate.test.ts</t>
        </is>
      </c>
      <c r="F18" s="5" t="inlineStr">
        <is>
          <t>24</t>
        </is>
      </c>
      <c r="G18" s="5" t="inlineStr">
        <is>
          <t>Yes</t>
        </is>
      </c>
    </row>
    <row r="19">
      <c r="A19" s="11" t="inlineStr">
        <is>
          <t>MT-X-RND</t>
        </is>
      </c>
      <c r="B19" s="5" t="inlineStr">
        <is>
          <t>S14</t>
        </is>
      </c>
      <c r="C19" s="5" t="inlineStr">
        <is>
          <t>P-DM-006 — real Docs rendering</t>
        </is>
      </c>
      <c r="D19" s="5" t="inlineStr">
        <is>
          <t>THE ONLY THING THAT PROVES THE CORE FUNCTION. Everything automated here runs against a recorded contract.</t>
        </is>
      </c>
      <c r="E19" s="5" t="inlineStr">
        <is>
          <t>tests/documentRenderer.test.ts (fake HTTP)</t>
        </is>
      </c>
      <c r="F19" s="5" t="inlineStr">
        <is>
          <t>8</t>
        </is>
      </c>
      <c r="G19" s="5" t="inlineStr">
        <is>
          <t>No — LC-1</t>
        </is>
      </c>
    </row>
    <row r="20">
      <c r="A20" s="11" t="inlineStr">
        <is>
          <t>MT-X-ADD</t>
        </is>
      </c>
      <c r="B20" s="5" t="inlineStr">
        <is>
          <t>S15</t>
        </is>
      </c>
      <c r="C20" s="5" t="inlineStr">
        <is>
          <t>P-DM-005 — add-on install and OAuth</t>
        </is>
      </c>
      <c r="D20" s="5" t="inlineStr">
        <is>
          <t>The consent screen and the active-row read cannot be simulated at all.</t>
        </is>
      </c>
      <c r="E20" s="5" t="inlineStr">
        <is>
          <t>tests/addonManifest.test.ts (manifest shape only)</t>
        </is>
      </c>
      <c r="F20" s="5" t="inlineStr">
        <is>
          <t>6</t>
        </is>
      </c>
      <c r="G20" s="5" t="inlineStr">
        <is>
          <t>No — LC-1</t>
        </is>
      </c>
    </row>
    <row r="21">
      <c r="A21" s="11" t="inlineStr">
        <is>
          <t>MT-X-DRV / SHT</t>
        </is>
      </c>
      <c r="B21" s="5" t="inlineStr">
        <is>
          <t>S15</t>
        </is>
      </c>
      <c r="C21" s="5" t="inlineStr">
        <is>
          <t>P-DM-001 — Drive and Sheets adapters</t>
        </is>
      </c>
      <c r="D21" s="5" t="inlineStr">
        <is>
          <t>Paging boundaries and conflict handling against real data are where a fake most often differs.</t>
        </is>
      </c>
      <c r="E21" s="5" t="inlineStr">
        <is>
          <t>tests/googleDriveHost.test.ts, googleSheetsSource.test.ts</t>
        </is>
      </c>
      <c r="F21" s="5" t="inlineStr">
        <is>
          <t>3</t>
        </is>
      </c>
      <c r="G21" s="5" t="inlineStr">
        <is>
          <t>No — LC-1</t>
        </is>
      </c>
    </row>
    <row r="22">
      <c r="A22" s="11" t="inlineStr">
        <is>
          <t>MT-X-OPS</t>
        </is>
      </c>
      <c r="B22" s="5" t="inlineStr">
        <is>
          <t>S18</t>
        </is>
      </c>
      <c r="C22" s="5" t="inlineStr">
        <is>
          <t>Deployment and observability</t>
        </is>
      </c>
      <c r="D22" s="5" t="inlineStr">
        <is>
          <t>Terraform has never been init-ed and no image has been built.</t>
        </is>
      </c>
      <c r="E22" s="5" t="inlineStr">
        <is>
          <t>tests/infraContract.test.ts (shape only)</t>
        </is>
      </c>
      <c r="F22" s="5" t="inlineStr">
        <is>
          <t>5</t>
        </is>
      </c>
      <c r="G22" s="5" t="inlineStr">
        <is>
          <t>No — LC-1 / Docker</t>
        </is>
      </c>
    </row>
    <row r="23">
      <c r="A23" s="11" t="inlineStr">
        <is>
          <t>MT-X-BIL</t>
        </is>
      </c>
      <c r="B23" s="5" t="inlineStr">
        <is>
          <t>S19</t>
        </is>
      </c>
      <c r="C23" s="5" t="inlineStr">
        <is>
          <t>Stripe</t>
        </is>
      </c>
      <c r="D23" s="5" t="inlineStr">
        <is>
          <t>Nothing has ever called Stripe, and the enrolment flow that would make it possible is not built.</t>
        </is>
      </c>
      <c r="E23" s="5" t="inlineStr">
        <is>
          <t>tests/paymentGateway.test.ts (fake HTTP)</t>
        </is>
      </c>
      <c r="F23" s="5" t="inlineStr">
        <is>
          <t>2</t>
        </is>
      </c>
      <c r="G23" s="5" t="inlineStr">
        <is>
          <t>No — Stripe</t>
        </is>
      </c>
    </row>
    <row r="25" ht="44" customHeight="1">
      <c r="A25" s="17" t="inlineStr">
        <is>
          <t>COVERAGE HONESTY: every delivered version has manual cases, and 101 of 125 are runnable today. The 24 that are not include the single most important case in the pack — MT-X-RND-01, creating a real document, which is the product's core function. A reader who counts only the runnable cases will overestimate how well this product is tested.</t>
        </is>
      </c>
    </row>
  </sheetData>
  <mergeCells count="2">
    <mergeCell ref="A2:G2"/>
    <mergeCell ref="A25:G25"/>
  </mergeCells>
  <pageMargins left="0.75" right="0.75" top="1" bottom="1" header="0.5" footer="0.5"/>
</worksheet>
</file>

<file path=xl/worksheets/sheet11.xml><?xml version="1.0" encoding="utf-8"?>
<worksheet xmlns="http://schemas.openxmlformats.org/spreadsheetml/2006/main">
  <sheetPr>
    <tabColor rgb="FF1F3864"/>
    <outlinePr summaryBelow="1" summaryRight="1"/>
    <pageSetUpPr/>
  </sheetPr>
  <dimension ref="A1:E24"/>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4" customWidth="1" min="5" max="5"/>
  </cols>
  <sheetData>
    <row r="1">
      <c r="A1" s="8" t="inlineStr">
        <is>
          <t>EXECUTION SUMMARY — computed live from the case sheets</t>
        </is>
      </c>
    </row>
    <row r="2" ht="30" customHeight="1">
      <c r="A2" s="9" t="inlineStr">
        <is>
          <t>Do not type into the computed cells; they read the Status column of sheets 20, 21 and 22. Fill in those sheets as you test and this updates itself.</t>
        </is>
      </c>
    </row>
    <row r="4">
      <c r="A4" s="10" t="inlineStr">
        <is>
          <t>Metric</t>
        </is>
      </c>
      <c r="B4" s="10" t="inlineStr">
        <is>
          <t>Positive (20)</t>
        </is>
      </c>
      <c r="C4" s="10" t="inlineStr">
        <is>
          <t>Negative (21)</t>
        </is>
      </c>
      <c r="D4" s="10" t="inlineStr">
        <is>
          <t>Blocked (22)</t>
        </is>
      </c>
      <c r="E4" s="10" t="inlineStr">
        <is>
          <t>Total</t>
        </is>
      </c>
    </row>
    <row r="5">
      <c r="A5" s="11" t="inlineStr">
        <is>
          <t>Cases specified</t>
        </is>
      </c>
      <c r="B5" s="21" t="n">
        <v>77</v>
      </c>
      <c r="C5" s="21" t="n">
        <v>24</v>
      </c>
      <c r="D5" s="21" t="n">
        <v>24</v>
      </c>
      <c r="E5" s="21">
        <f>77+24+24</f>
        <v/>
      </c>
    </row>
    <row r="6">
      <c r="A6" s="11" t="inlineStr">
        <is>
          <t>PASS</t>
        </is>
      </c>
      <c r="B6" s="21">
        <f>COUNTIF('20_Test_Cases_Positive'!$I$5:$I$81,"PASS")</f>
        <v/>
      </c>
      <c r="C6" s="21">
        <f>COUNTIF('21_Test_Cases_Negative'!$I$5:$I$28,"PASS")</f>
        <v/>
      </c>
      <c r="D6" s="21">
        <f>COUNTIF('22_Test_Cases_Blocked'!$I$5:$I$28,"PASS")</f>
        <v/>
      </c>
      <c r="E6" s="21">
        <f>SUM(B6:D6)</f>
        <v/>
      </c>
    </row>
    <row r="7">
      <c r="A7" s="11" t="inlineStr">
        <is>
          <t>FAIL</t>
        </is>
      </c>
      <c r="B7" s="21">
        <f>COUNTIF('20_Test_Cases_Positive'!$I$5:$I$81,"FAIL")</f>
        <v/>
      </c>
      <c r="C7" s="21">
        <f>COUNTIF('21_Test_Cases_Negative'!$I$5:$I$28,"FAIL")</f>
        <v/>
      </c>
      <c r="D7" s="21">
        <f>COUNTIF('22_Test_Cases_Blocked'!$I$5:$I$28,"FAIL")</f>
        <v/>
      </c>
      <c r="E7" s="21">
        <f>SUM(B7:D7)</f>
        <v/>
      </c>
    </row>
    <row r="8">
      <c r="A8" s="11" t="inlineStr">
        <is>
          <t>BLOCKED</t>
        </is>
      </c>
      <c r="B8" s="21">
        <f>COUNTIF('20_Test_Cases_Positive'!$I$5:$I$81,"BLOCKED")</f>
        <v/>
      </c>
      <c r="C8" s="21">
        <f>COUNTIF('21_Test_Cases_Negative'!$I$5:$I$28,"BLOCKED")</f>
        <v/>
      </c>
      <c r="D8" s="21">
        <f>COUNTIF('22_Test_Cases_Blocked'!$I$5:$I$28,"BLOCKED")</f>
        <v/>
      </c>
      <c r="E8" s="21">
        <f>SUM(B8:D8)</f>
        <v/>
      </c>
    </row>
    <row r="9">
      <c r="A9" s="11" t="inlineStr">
        <is>
          <t>Not yet run (blank)</t>
        </is>
      </c>
      <c r="B9" s="21">
        <f>B5-COUNTA('20_Test_Cases_Positive'!$I$5:$I$81)</f>
        <v/>
      </c>
      <c r="C9" s="21">
        <f>C5-COUNTA('21_Test_Cases_Negative'!$I$5:$I$28)</f>
        <v/>
      </c>
      <c r="D9" s="21">
        <f>D5-COUNTA('22_Test_Cases_Blocked'!$I$5:$I$28)</f>
        <v/>
      </c>
      <c r="E9" s="21">
        <f>SUM(B9:D9)</f>
        <v/>
      </c>
    </row>
    <row r="10">
      <c r="A10" s="11" t="inlineStr">
        <is>
          <t>Executed (PASS+FAIL)</t>
        </is>
      </c>
      <c r="B10" s="21">
        <f>B6+B7</f>
        <v/>
      </c>
      <c r="C10" s="21">
        <f>C6+C7</f>
        <v/>
      </c>
      <c r="D10" s="21">
        <f>D6+D7</f>
        <v/>
      </c>
      <c r="E10" s="21">
        <f>SUM(B10:D10)</f>
        <v/>
      </c>
    </row>
    <row r="11">
      <c r="A11" s="11" t="inlineStr">
        <is>
          <t>Pass rate of executed</t>
        </is>
      </c>
      <c r="B11" s="22">
        <f>IFERROR(B6/B10,"—")</f>
        <v/>
      </c>
      <c r="C11" s="22">
        <f>IFERROR(C6/C10,"—")</f>
        <v/>
      </c>
      <c r="D11" s="22">
        <f>IFERROR(D6/D10,"—")</f>
        <v/>
      </c>
      <c r="E11" s="22">
        <f>IFERROR(E6/E10,"—")</f>
        <v/>
      </c>
    </row>
    <row r="13">
      <c r="A13" s="6" t="inlineStr">
        <is>
          <t>SIGN-OFF</t>
        </is>
      </c>
    </row>
    <row r="14">
      <c r="A14" s="4" t="inlineStr">
        <is>
          <t>Test run identifier</t>
        </is>
      </c>
      <c r="B14" s="23" t="inlineStr"/>
      <c r="C14" s="12" t="n"/>
      <c r="D14" s="24" t="inlineStr">
        <is>
          <t>e.g. 'MT run 1 — pre-LC-1 baseline'</t>
        </is>
      </c>
      <c r="E14" s="12" t="n"/>
    </row>
    <row r="15">
      <c r="A15" s="4" t="inlineStr">
        <is>
          <t>Tester name</t>
        </is>
      </c>
      <c r="B15" s="23" t="inlineStr"/>
      <c r="C15" s="12" t="n"/>
      <c r="D15" s="24" t="inlineStr"/>
      <c r="E15" s="12" t="n"/>
    </row>
    <row r="16">
      <c r="A16" s="4" t="inlineStr">
        <is>
          <t>Run started</t>
        </is>
      </c>
      <c r="B16" s="23" t="inlineStr"/>
      <c r="C16" s="12" t="n"/>
      <c r="D16" s="24" t="inlineStr"/>
      <c r="E16" s="12" t="n"/>
    </row>
    <row r="17">
      <c r="A17" s="4" t="inlineStr">
        <is>
          <t>Run completed</t>
        </is>
      </c>
      <c r="B17" s="23" t="inlineStr"/>
      <c r="C17" s="12" t="n"/>
      <c r="D17" s="24" t="inlineStr"/>
      <c r="E17" s="12" t="n"/>
    </row>
    <row r="18">
      <c r="A18" s="4" t="inlineStr">
        <is>
          <t>Build tested (git commit or zip name)</t>
        </is>
      </c>
      <c r="B18" s="23" t="inlineStr"/>
      <c r="C18" s="12" t="n"/>
      <c r="D18" s="24" t="inlineStr">
        <is>
          <t>Must match the Cover sheet's 'Build under test'</t>
        </is>
      </c>
      <c r="E18" s="12" t="n"/>
    </row>
    <row r="19">
      <c r="A19" s="4" t="inlineStr">
        <is>
          <t>Environment</t>
        </is>
      </c>
      <c r="B19" s="23" t="inlineStr"/>
      <c r="C19" s="12" t="n"/>
      <c r="D19" s="24" t="inlineStr">
        <is>
          <t>Node version, Postgres version, OS</t>
        </is>
      </c>
      <c r="E19" s="12" t="n"/>
    </row>
    <row r="20">
      <c r="A20" s="4" t="inlineStr">
        <is>
          <t>Overall verdict</t>
        </is>
      </c>
      <c r="B20" s="23" t="inlineStr"/>
      <c r="C20" s="12" t="n"/>
      <c r="D20" s="24" t="inlineStr">
        <is>
          <t>State it in words, and say what you did NOT run</t>
        </is>
      </c>
      <c r="E20" s="12" t="n"/>
    </row>
    <row r="21">
      <c r="A21" s="4" t="inlineStr">
        <is>
          <t>Reviewed by</t>
        </is>
      </c>
      <c r="B21" s="23" t="inlineStr"/>
      <c r="C21" s="12" t="n"/>
      <c r="D21" s="24" t="inlineStr"/>
      <c r="E21" s="12" t="n"/>
    </row>
    <row r="22">
      <c r="A22" s="4" t="inlineStr">
        <is>
          <t>Date reviewed</t>
        </is>
      </c>
      <c r="B22" s="23" t="inlineStr"/>
      <c r="C22" s="12" t="n"/>
      <c r="D22" s="24" t="inlineStr"/>
      <c r="E22" s="12" t="n"/>
    </row>
    <row r="24">
      <c r="A24" s="9" t="inlineStr">
        <is>
          <t>A verdict that does not say what was NOT run is not a verdict. At minimum, state that the 24 blocked cases were not executed and name their blocker.</t>
        </is>
      </c>
    </row>
  </sheetData>
  <mergeCells count="20">
    <mergeCell ref="D20:E20"/>
    <mergeCell ref="B16:C16"/>
    <mergeCell ref="A24:E24"/>
    <mergeCell ref="D19:E19"/>
    <mergeCell ref="B22:C22"/>
    <mergeCell ref="D22:E22"/>
    <mergeCell ref="B18:C18"/>
    <mergeCell ref="D21:E21"/>
    <mergeCell ref="B21:C21"/>
    <mergeCell ref="B14:C14"/>
    <mergeCell ref="B17:C17"/>
    <mergeCell ref="D17:E17"/>
    <mergeCell ref="D16:E16"/>
    <mergeCell ref="A2:E2"/>
    <mergeCell ref="B19:C19"/>
    <mergeCell ref="D18:E18"/>
    <mergeCell ref="B15:C15"/>
    <mergeCell ref="D15:E15"/>
    <mergeCell ref="B20:C20"/>
    <mergeCell ref="D14:E14"/>
  </mergeCells>
  <pageMargins left="0.75" right="0.75" top="1" bottom="1" header="0.5" footer="0.5"/>
</worksheet>
</file>

<file path=xl/worksheets/sheet12.xml><?xml version="1.0" encoding="utf-8"?>
<worksheet xmlns="http://schemas.openxmlformats.org/spreadsheetml/2006/main">
  <sheetPr>
    <tabColor rgb="FFFFEB9C"/>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9" customWidth="1" min="1" max="1"/>
    <col width="15" customWidth="1" min="2" max="2"/>
    <col width="14" customWidth="1" min="3" max="3"/>
    <col width="11" customWidth="1" min="4" max="4"/>
    <col width="11" customWidth="1" min="5" max="5"/>
    <col width="44" customWidth="1" min="6" max="6"/>
    <col width="36" customWidth="1" min="7" max="7"/>
    <col width="44" customWidth="1" min="8" max="8"/>
    <col width="12" customWidth="1" min="9" max="9"/>
    <col width="12" customWidth="1" min="10" max="10"/>
    <col width="40" customWidth="1" min="11" max="11"/>
  </cols>
  <sheetData>
    <row r="1">
      <c r="A1" s="8" t="inlineStr">
        <is>
          <t>DEFECT LOG — defects found by MANUAL testing</t>
        </is>
      </c>
    </row>
    <row r="2" ht="30" customHeight="1">
      <c r="A2" s="9" t="inlineStr">
        <is>
          <t>One row per failure. The product-wide canonical register is DEFECT_REGISTER.md in the code archive — raise the defect there too and put its id in column B so the two point at each other.</t>
        </is>
      </c>
    </row>
    <row r="4">
      <c r="A4" s="10" t="inlineStr">
        <is>
          <t>Log id</t>
        </is>
      </c>
      <c r="B4" s="10" t="inlineStr">
        <is>
          <t>Defect id (register)</t>
        </is>
      </c>
      <c r="C4" s="10" t="inlineStr">
        <is>
          <t>Found by case</t>
        </is>
      </c>
      <c r="D4" s="10" t="inlineStr">
        <is>
          <t>Date</t>
        </is>
      </c>
      <c r="E4" s="10" t="inlineStr">
        <is>
          <t>Severity</t>
        </is>
      </c>
      <c r="F4" s="10" t="inlineStr">
        <is>
          <t>What happened</t>
        </is>
      </c>
      <c r="G4" s="10" t="inlineStr">
        <is>
          <t>Expected instead</t>
        </is>
      </c>
      <c r="H4" s="10" t="inlineStr">
        <is>
          <t>Steps to reproduce</t>
        </is>
      </c>
      <c r="I4" s="10" t="inlineStr">
        <is>
          <t>Status</t>
        </is>
      </c>
      <c r="J4" s="10" t="inlineStr">
        <is>
          <t>Owner</t>
        </is>
      </c>
      <c r="K4" s="10" t="inlineStr">
        <is>
          <t>Resolution / evidence</t>
        </is>
      </c>
    </row>
    <row r="5">
      <c r="A5" s="9" t="inlineStr">
        <is>
          <t>(no manual-test defects recorded yet — this pack has not been executed)</t>
        </is>
      </c>
    </row>
    <row r="7">
      <c r="A7" s="6" t="inlineStr">
        <is>
          <t>SEVERITY GUIDE</t>
        </is>
      </c>
    </row>
    <row r="8">
      <c r="A8" s="11" t="inlineStr">
        <is>
          <t>Critical</t>
        </is>
      </c>
      <c r="B8" s="12" t="n"/>
      <c r="C8" s="5" t="inlineStr">
        <is>
          <t>Data loss, a cross-tenant leak, a silent wrong result, or a published policy the product does not honour. Stop testing and raise it immediately.</t>
        </is>
      </c>
      <c r="D8" s="13" t="n"/>
      <c r="E8" s="13" t="n"/>
      <c r="F8" s="13" t="n"/>
      <c r="G8" s="13" t="n"/>
      <c r="H8" s="13" t="n"/>
      <c r="I8" s="13" t="n"/>
      <c r="J8" s="13" t="n"/>
      <c r="K8" s="12" t="n"/>
    </row>
    <row r="9">
      <c r="A9" s="11" t="inlineStr">
        <is>
          <t>High</t>
        </is>
      </c>
      <c r="B9" s="12" t="n"/>
      <c r="C9" s="5" t="inlineStr">
        <is>
          <t>A core function fails, or a refusal does not refuse. The product cannot ship with it.</t>
        </is>
      </c>
      <c r="D9" s="13" t="n"/>
      <c r="E9" s="13" t="n"/>
      <c r="F9" s="13" t="n"/>
      <c r="G9" s="13" t="n"/>
      <c r="H9" s="13" t="n"/>
      <c r="I9" s="13" t="n"/>
      <c r="J9" s="13" t="n"/>
      <c r="K9" s="12" t="n"/>
    </row>
    <row r="10">
      <c r="A10" s="11" t="inlineStr">
        <is>
          <t>Medium</t>
        </is>
      </c>
      <c r="B10" s="12" t="n"/>
      <c r="C10" s="5" t="inlineStr">
        <is>
          <t>Works but wrongly in a recoverable way, or the message is misleading.</t>
        </is>
      </c>
      <c r="D10" s="13" t="n"/>
      <c r="E10" s="13" t="n"/>
      <c r="F10" s="13" t="n"/>
      <c r="G10" s="13" t="n"/>
      <c r="H10" s="13" t="n"/>
      <c r="I10" s="13" t="n"/>
      <c r="J10" s="13" t="n"/>
      <c r="K10" s="12" t="n"/>
    </row>
    <row r="11">
      <c r="A11" s="11" t="inlineStr">
        <is>
          <t>Low</t>
        </is>
      </c>
      <c r="B11" s="12" t="n"/>
      <c r="C11" s="5" t="inlineStr">
        <is>
          <t>Cosmetic, or an edge case with an easy workaround.</t>
        </is>
      </c>
      <c r="D11" s="13" t="n"/>
      <c r="E11" s="13" t="n"/>
      <c r="F11" s="13" t="n"/>
      <c r="G11" s="13" t="n"/>
      <c r="H11" s="13" t="n"/>
      <c r="I11" s="13" t="n"/>
      <c r="J11" s="13" t="n"/>
      <c r="K11" s="12" t="n"/>
    </row>
    <row r="13" ht="40" customHeight="1">
      <c r="A13" s="9" t="inlineStr">
        <is>
          <t>Note on what counts as a defect here: if a case fails because the EXPECTED result in this pack is wrong, that is a defect in the pack, not the product. Log it anyway, mark it as such, and fix the expected result in the next version — a stale expectation produces false failures, which erode trust in the pack faster than missing cases do.</t>
        </is>
      </c>
    </row>
  </sheetData>
  <mergeCells count="11">
    <mergeCell ref="C11:K11"/>
    <mergeCell ref="C10:K10"/>
    <mergeCell ref="A11:B11"/>
    <mergeCell ref="A10:B10"/>
    <mergeCell ref="A2:K2"/>
    <mergeCell ref="C9:K9"/>
    <mergeCell ref="A13:K13"/>
    <mergeCell ref="C8:K8"/>
    <mergeCell ref="A9:B9"/>
    <mergeCell ref="A8:B8"/>
    <mergeCell ref="A5:K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2026-09-20T17:22:19Z</dcterms:created>
  <dcterms:modified xmlns:dcterms="http://purl.org/dc/terms/" xmlns:xsi="http://www.w3.org/2001/XMLSchema-instance" xsi:type="dcterms:W3CDTF">2026-09-20T17:31:03Z</dcterms:modified>
</cp:coreProperties>
</file>