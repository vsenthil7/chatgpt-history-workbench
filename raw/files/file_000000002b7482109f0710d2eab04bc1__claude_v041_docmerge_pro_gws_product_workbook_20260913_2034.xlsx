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ReadMe_Scope" sheetId="2" state="visible" r:id="rId4"/>
    <sheet name="Product_Spec" sheetId="3" state="visible" r:id="rId5"/>
    <sheet name="Screens_Wireframes" sheetId="4" state="visible" r:id="rId6"/>
    <sheet name="Full_Backlog" sheetId="5" state="visible" r:id="rId7"/>
    <sheet name="Sprint_Board" sheetId="6" state="visible" r:id="rId8"/>
    <sheet name="Sprint_Tracker_Log" sheetId="7" state="visible" r:id="rId9"/>
    <sheet name="Traceability_Matrix" sheetId="8" state="visible" r:id="rId10"/>
    <sheet name="Financial_Model" sheetId="9" state="visible" r:id="rId11"/>
    <sheet name="GTM_Execution" sheetId="10" state="visible" r:id="rId12"/>
    <sheet name="Launch_Checklist" sheetId="11" state="visible" r:id="rId13"/>
    <sheet name="Metrics_Targets" sheetId="12" state="visible" r:id="rId14"/>
    <sheet name="Risk_Register" sheetId="13" state="visible" r:id="rId15"/>
    <sheet name="Review_Findings"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<sst xmlns="http://schemas.openxmlformats.org/spreadsheetml/2006/main" count="2518" uniqueCount="1253">
  <si>
    <t xml:space="preserve">VERSION CONTROL — DocMerge Pro</t>
  </si>
  <si>
    <t xml:space="preserve">Version</t>
  </si>
  <si>
    <t xml:space="preserve">Date</t>
  </si>
  <si>
    <t xml:space="preserve">Author</t>
  </si>
  <si>
    <t xml:space="preserve">Change</t>
  </si>
  <si>
    <t xml:space="preserve">Status</t>
  </si>
  <si>
    <t xml:space="preserve">v001-v004</t>
  </si>
  <si>
    <t xml:space="preserve">2026-09-05</t>
  </si>
  <si>
    <t xml:space="preserve">Claude for Senthil/KP</t>
  </si>
  <si>
    <t xml:space="preserve">Lineage: marketplace master (868 entries) -&gt; portfolio plan (12 products) -&gt; wave-1 (RetainKit/ShiftDesk/EngageOS, v005) -&gt; this product selected for wave-3</t>
  </si>
  <si>
    <t xml:space="preserve">Released</t>
  </si>
  <si>
    <t xml:space="preserve">v007</t>
  </si>
  <si>
    <t xml:space="preserve">2026-09-05 19:50</t>
  </si>
  <si>
    <t xml:space="preserve">Full product workbook for DocMerge Pro on Google Workspace Marketplace: spec, screen inventory, 100+ story backlog, live sprint board, 18-month financial model (editable assumptions), GTM execution tasks, platform launch checklist, metric targets, risk register</t>
  </si>
  <si>
    <t xml:space="preserve">v008</t>
  </si>
  <si>
    <t xml:space="preserve">2026-09-10 22:17</t>
  </si>
  <si>
    <t xml:space="preserve">Sprint_Tracker_Log + Traceability_Matrix sheets added. S1 Foundation executed under D13 (100% automation coverage gate; S0 discovery interviews parked): ST-051/052/055/056 built in TypeScript (docmerge-pro-s1), 37 automated tests, 100% stmt/branch/func/line coverage, tsc strict clean. Backlog statuses updated; Sprint_Board live counts reflect S1 Done=4.</t>
  </si>
  <si>
    <t xml:space="preserve">v009</t>
  </si>
  <si>
    <t xml:space="preserve">2026-09-10 22:23</t>
  </si>
  <si>
    <t xml:space="preserve">S2 executed under D13: ST-001/002/003/004 (Template designer part 1 — defaults, happy-path render, rules/conditions, platform-error mapping + retry/backoff) + ST-053 (re-install restore within retention window) + ST-054 (owner/admin/member permission matrix enforced). Suite now 9 test files / 101 tests, 100% stmt/branch/func/line, tsc strict clean. Sprint_Board S2 Done=6.</t>
  </si>
  <si>
    <t xml:space="preserve">v010</t>
  </si>
  <si>
    <t xml:space="preserve">2026-09-10 22:29</t>
  </si>
  <si>
    <t xml:space="preserve">S3 executed under D13: Template designer part 2 (ST-005 sidebar surface end-to-end, ST-006 metrics/trends, ST-007 audit logging incl. denied attempts, ST-008 pause without data loss, ST-009 CSV + competitor importer, ST-010 notifications with per-type mute) + Batch generate skeleton (ST-011..014: defaults, per-row happy path, row rules, error/retry paths) + ST-085 closed as superseded by D13 at 100%. Defect found by the gate and fixed: withRetry was masking validation errors behind a generic platform message. Suite 13 files / 150 tests, 100% all metrics.</t>
  </si>
  <si>
    <t xml:space="preserve">v011</t>
  </si>
  <si>
    <t xml:space="preserve">2026-09-10 22:52</t>
  </si>
  <si>
    <t xml:space="preserve">S4 executed under D13: Batch part 2 (ST-015 batch sidebar end-to-end, ST-016 batch metrics/trends, ST-017 governed runner with allow/deny audit, ST-018 job pause without data loss, ST-019 row-data CSV + competitor import, ST-020 batch notifications with mute) + ST-071 activation funnel dashboard (install-&gt;setup-&gt;aha-&gt;habit with conversions) + ST-072 error tracking with release tagging and spike alerts (re-armable) + ST-086 E2E smoke suite gating the deploy job in .github/workflows/ci.yml. Suite 16 files / 180 tests, 100% all metrics, tsc strict clean. Sprint_Board S4 Done=9.</t>
  </si>
  <si>
    <t xml:space="preserve">v012</t>
  </si>
  <si>
    <t xml:space="preserve">2026-09-10 23:03</t>
  </si>
  <si>
    <t xml:space="preserve">S5 executed under D13: E-sign requests full module (ST-021 defaults, ST-022 sequential/parallel lifecycle draft-&gt;sent-&gt;partially_signed-&gt;completed/declined/expired, ST-023 validated rules incl. domain allow-lists, ST-024 delivery retry with mapped errors and no half-sent state, ST-025 sidebar create-&gt;send-&gt;track, ST-026 metrics, ST-027 allow/deny audit, ST-028 pause preserving signatures, ST-029 signer CSV + competitor import, ST-030 mute-aware notifications) + ST-078 first-run checklist with &lt;1-day aha budget + ST-079 empty states for all 9 screens. Suite 18 files / 217 tests, 100% all metrics. Companion tracker file v001 opened (claude_v001_docmerge_pro_sprint_tracker_traceability_20260910_2303.xlsx).</t>
  </si>
  <si>
    <t xml:space="preserve">v013</t>
  </si>
  <si>
    <t xml:space="preserve">2026-09-11 08:20</t>
  </si>
  <si>
    <t xml:space="preserve">S6 executed under D13: Auto-file to Drive full module (ST-031 one-screen defaults, ST-032 pattern-driven filing with built-in {{template}}/{{row}}/{{yyyy}}/{{mm}} tokens and named missing-token errors, ST-033 first-match routing rules, ST-034 retry/backoff with mapped errors, ST-035 sidebar file-last-batch flow, ST-036 filing metrics, ST-037 allow/deny audit, ST-038 pause, ST-039 routing-rule CSV + competitor import, ST-040 filing notifications; conflict policies rename/overwrite/skip with first-free-number rename) + Billing (ST-057 no-card 14-day trial with honest banner, ST-058 mid-cycle proration charge/credit verified to the cent, ST-059 marketplace-vs-Stripe provider routing + 1/3/7-day dunning, grace, downgrade-with-data). Suite 21 files / 264 tests, 100% all metrics. Tracker rolled to v002.</t>
  </si>
  <si>
    <t xml:space="preserve">v014</t>
  </si>
  <si>
    <t xml:space="preserve">2026-09-13 09:55</t>
  </si>
  <si>
    <t xml:space="preserve">S7 executed under D13: ST-060 dunning UX (3 emails on 1/3/7-day schedule, 7-day grace, then READ-ONLY mode — corrects S6 ST-059 which ended in downgrade-to-free; read-only retains plan and data, strictly less destructive), ST-061 plan limits with 80%/100% upgrade prompts across documents/templates/seats, ST-062 invoices with GST/VAT incl. B2B reverse charge and downloadable CSV receipts (closes the tax gap flagged at S6), ST-063 cancellation with reason-matched save-offer (offered once) + exit survey + access to period end, ST-064 machine-audited scope-to-feature least-privilege mapping + generated SCOPE_NARRATIVE.md for the OAuth/CASA pack. Suite 23 files / 305 tests, 100% all metrics. Tracker v003.</t>
  </si>
  <si>
    <t xml:space="preserve">v015</t>
  </si>
  <si>
    <t xml:space="preserve">2026-09-13 10:22</t>
  </si>
  <si>
    <t xml:space="preserve">S8 executed under D13 — largest sprint, 22 stories / 87 pts: Form-triggered generation ST-041..050 (submission pipeline with built-in redelivery dedupe, conditions, failure-as-result so the webhook stays up, sidebar activity feed, metrics, audit, pause, field-map import, notifications); Compliance ST-065 validated data-flow + retention policy (DATA_FLOW_AND_RETENTION.md published), ST-066 deployment posture verifier (encryption at rest, TLS floor, vault-only secrets), ST-067 hash-chained admin audit log detecting edits and deletions, ST-070 circuit breaker with half-open recovery; Analytics ST-073..077 (heatmap with unused-feature list, weekly digest, explained health score, CSV/warehouse export, configurable alert thresholds); QE ST-087 p95 budgets per surface, ST-088 deterministic 5x load test in CI, ST-092 blue/green deploy with pre-cutover health gate and verified rollback. Suite 26 files / 385 tests, 100% all metrics. Tracker v004.</t>
  </si>
  <si>
    <t xml:space="preserve">v016</t>
  </si>
  <si>
    <t xml:space="preserve">2026-09-13 10:35</t>
  </si>
  <si>
    <t xml:space="preserve">S9 executed under D13: ST-069 self-serve export + owner-only deletion with cancellable 7-day grace, ST-089 WCAG AA audit (contrast maths, accessible names, keyboard, focus, target size) with the shipped palette passing, ST-090 restore-drill harness verifying contents as well as RTO/RPO, ST-091 chaos degradation proving every dependency outage leaves the product usable with an explaining message, ST-093 two listing variants on genuinely different angles + a copy reviewer that flags risky claims, ST-094 asset-spec validator + 5-screenshot plan. ST-068 is PARTIAL, not Done: the evidence pack is built and published (SECURITY_EVIDENCE_PACK.md, 6 of 9 controls verified in code) but a penetration test is a third-party activity — readyForSubmission stays false until the external report is attached. Suite 28 files / 432 tests, 100% all metrics. Tracker v005.</t>
  </si>
  <si>
    <t xml:space="preserve">v017</t>
  </si>
  <si>
    <t xml:space="preserve">2026-09-13 10:43</t>
  </si>
  <si>
    <t xml:space="preserve">S10 executed under D13: ST-080 help centre — 15 launch articles documenting SHIPPED behaviour with weighted search and a doc-coverage report; ST-081 in-app support with first-response SLA measured in BUSINESS hours (a Friday-evening message does not burn SLA over the weekend); ST-084 status page with worst-component-wins overall status and incident comms templates that chase overdue updates; ST-095 plan matrix + FAQ built from the billing code itself, with a validator that catches published prices drifting from enforced ones; ST-096 trust page built from the scope manifest and retention policy so it cannot drift; ST-097 submission dry-run published (SUBMISSION_DRY_RUN.md) — verdict 10 of 20 items satisfied, NOT READY. ST-083 PARTIAL: sandbox/demo-data mode complete, 2-minute video needs a running app. Suite 30 files / 484 tests, 100% all metrics. Tracker v006.</t>
  </si>
  <si>
    <t xml:space="preserve">v018</t>
  </si>
  <si>
    <t xml:space="preserve">2026-09-13 10:58</t>
  </si>
  <si>
    <t xml:space="preserve">S11 + S12 executed under D13 — CODE BACKLOG COMPLETE. ST-082 review-ask engine whose rules are all about NOT asking (not before aha, not within 3 days of a failure, not inside a 30-day cooldown, never after two dismissals); ST-098 launch runbook with a go/no-go gate, monitoring watchlist where every item carries an action, a 35-minute rollback plan with per-step verification, and a comms tree with owners and deadlines (LAUNCH_RUNBOOK.md — current verdict NO-GO, 8 blocking); ST-100 partner-review pipeline that REFUSES to invite an at-risk account and warns on stale invitations; ST-099 SEO iteration that ignores sub-100-impression noise and recommends exactly one change so the effect is attributable. Suite 31 files / 516 tests, 100% all metrics across 33 modules. All 100 stories now Done or In progress; the two In progress (ST-068 pen test, ST-083 demo video) need a third party and a running app respectively. Tracker v007.</t>
  </si>
  <si>
    <t xml:space="preserve">v019</t>
  </si>
  <si>
    <t xml:space="preserve">2026-09-13 11:05</t>
  </si>
  <si>
    <t xml:space="preserve">BLOCKER-PREPARATION PASS (no new backlog stories — the code backlog was completed at v018). Built everything that can be built ahead of the launch blockers so each becomes hours rather than days: src/deployment.ts — full environment-variable spec (16 values with sources), validator, and a checkDeploymentReadiness gate that REFUSES to serve traffic on a misconfigured instance rather than failing on a customer request; .env.example generated from the spec. Three documents: GCP_SETUP_GUIDE.md (ordered LC-1 procedure with prerequisites and what each step unblocks), PENTEST_SCOPING_BRIEF.md (scope/out-of-scope/design decisions to probe, written from the shipped code so a tester can quote without a discovery call), CASA_PREFILL.md (questionnaire answered from evidence, with three controls marked NOT YET rather than answered aspirationally). Suite 32 files / 531 tests, 100% all metrics. Tracker v008.</t>
  </si>
  <si>
    <t xml:space="preserve">v020</t>
  </si>
  <si>
    <t xml:space="preserve">2026-09-13 11:10</t>
  </si>
  <si>
    <t xml:space="preserve">LC-9 CLOSED (content, not a backlog story): the 20-template launch gallery is built and published as TEMPLATE_GALLERY.md — 20 templates across finance, HR, legal, education, operations, and client services, each using at least one conditional section, each shipping sample data, and EVERY ONE rendered through the real template engine in tests rather than merely written. Structural validator catches duplicate slugs, rules pointing at missing placeholders or sections, sections with no rule, and sample rows that cannot fill the body. 61 search terms targeted — the gallery is the listing's organic-search surface per the GTM plan. Two defects found during the build: I had written 22 templates rather than 20, and two rules tested control fields that never render, which the real engine rejects. Suite 33 files / 567 tests, 100% all metrics.</t>
  </si>
  <si>
    <t xml:space="preserve">v021</t>
  </si>
  <si>
    <t xml:space="preserve">2026-09-13 11:16</t>
  </si>
  <si>
    <t xml:space="preserve">S12 growth model FRAME built (ST-095-adjacent; the S12 exit criterion, marked In progress not Done because the exit asks for CAC/LTV ESTIMATES and estimates without a cohort are assumptions): src/growthModel.ts restates the 18-month model as unit economics — lifetime, LTV, fully-loaded CAC that charges free-tier support against each conversion (~17 installs served per paying customer at 6%), payback, and a verdict that distinguishes a healthy ratio with slow payback from a marginal one. Three scenarios, sensitivity ranking, and a measurement plan pointing each assumption at instrumentation that already exists. FINDING: churn outranks conversion as the lever to measure first — intuition usually reaches for conversion. Published as GROWTH_MODEL.md. Suite 34 files / 589 tests, 100% all metrics.</t>
  </si>
  <si>
    <t xml:space="preserve">v022</t>
  </si>
  <si>
    <t xml:space="preserve">PLANNED: live-evidence log only. No unblocked work remains.</t>
  </si>
  <si>
    <t xml:space="preserve">Planned</t>
  </si>
  <si>
    <t xml:space="preserve">2026-09-13 11:21</t>
  </si>
  <si>
    <t xml:space="preserve">ST-068 vendor outreach pack written (PENTEST_OUTREACH.md): a ready-to-send email that quotes from the written brief rather than requiring a discovery call, vendor shortlist criteria, and a quote-comparison rubric. External-facing copy is company-agnostic per standing instruction. FINDING carried into the pack: LEAD TIME, not price, is the binding constraint — it sits on the critical path beside CASA and the two waits can run in parallel, so both should be booked in the same week. No code change; suite unchanged at 589 tests / 100%.</t>
  </si>
  <si>
    <t xml:space="preserve">v023</t>
  </si>
  <si>
    <t xml:space="preserve">PLANNED: live-evidence log only. All preparable work is complete; every remaining item needs Senthil or a third party.</t>
  </si>
  <si>
    <t xml:space="preserve">2026-09-13 11:24</t>
  </si>
  <si>
    <t xml:space="preserve">COLD REVIEW PASS 1 — DocMerge first adversarial review, run because portfolio memory shows every sibling found real defects after declaring code-complete (TeleField L-T1). NINE findings in code already at 100% coverage, five CRITICAL. FIXED with regressions: DM-F02 read-only mode enforced nowhere (published behaviour absent from the product), DM-F03 plan limits enforced nowhere (published limits decorative), DM-F04 OAuth install had no CSRF state, DM-F05 webhooks entirely unauthenticated (a forged POST could revoke tokens and schedule deletion for any account), DM-F06 no production backoff existed at all. OPEN: DM-F01 CRITICAL no HTTP app exists behind any route, DM-F07 caller-declared identity, DM-F08 eleven unbounded ledgers, DM-F09 deletion has no implementation behind it. New Review_Findings sheet. 35 suites / 616 tests at 100%. The previous "code phase complete" claim was premature.</t>
  </si>
  <si>
    <t xml:space="preserve">v024</t>
  </si>
  <si>
    <t xml:space="preserve">PLANNED: cold-review pass 2 — build the HTTP app (DM-F01), close DM-F07/F08/F09, then re-sweep.</t>
  </si>
  <si>
    <t xml:space="preserve">2026-09-13 11:31</t>
  </si>
  <si>
    <t xml:space="preserve">DM-F01 and DM-F07 CLOSED — the two critical findings left open by cold-review pass 1. A real HTTP application now exists: framework-free router, 7 routes wired to the existing services, src/server.ts with npm start, and a readiness check that refuses to listen on a misconfigured environment. Identity is no longer caller-declared: HMAC-signed sessions carry account and role, so editing a role in a token fails verification and a session for one account is refused against another. Every mutating route is authenticated AND passes the entitlement gate, so read-only mode and plan limits are enforced on the wire rather than in principle; reads stay open in read-only mode. Server BOOTED FOR REAL and exercised over HTTP (healthz 200, unsigned webhook 401, unauthenticated route 401, unknown route 404) — the siblings taught that compiling is not running. 36 suites / 650 tests at 100%. Remaining from pass 1: DM-F08 unbounded ledgers, DM-F09 deletion has no implementation.</t>
  </si>
  <si>
    <t xml:space="preserve">v025</t>
  </si>
  <si>
    <t xml:space="preserve">PLANNED: close DM-F08 (bounded ledgers) and DM-F09 (purge registry + schema), then cold-review pass 2 over the new HTTP layer — siblings found new surfaces inherit old blind spots (L-OC4).</t>
  </si>
  <si>
    <t xml:space="preserve">2026-09-13 11:37</t>
  </si>
  <si>
    <t xml:space="preserve">PASS 1 CLOSED + PASS 2 COMPLETE. DM-F08 fixed: all 11 unbounded ledgers now FIFO-bounded with eviction counted rather than silent; the hash-chained admin audit needed a post-eviction chain anchor so verifyChain reports truncation instead of breaking. DM-F09 fixed: PurgeRegistry over 16 stores with a build-failing registration check, evidence receipts, incomplete-purge honesty — plus the database schema that never existed (3 migrations, ON DELETE CASCADE on every account-scoped table, npm run migrate). PASS 2 over the new HTTP layer found four more, all fixed: DM-F10 uncapped request body (memory exhaustion on an open port), DM-F11 abandoned OAuth states accumulating because sweep() was never called — the same built-but-never-wired class as F02/F03, DM-F12 no rate limiting anywhere, DM-F13 /healthz leaking the build version anonymously. Server booted and all four verified over real HTTP. 40 suites / 691 tests at 100%. All 13 cold-review findings now closed.</t>
  </si>
  <si>
    <t xml:space="preserve">v026</t>
  </si>
  <si>
    <t xml:space="preserve">PLANNED: live-evidence log. Cold review complete across both passes; remaining work is Senthil/third-party.</t>
  </si>
  <si>
    <t xml:space="preserve">2026-09-13 11:51</t>
  </si>
  <si>
    <t xml:space="preserve">EXTERNAL VERIFICATION SWEEP against live Google documentation — the step every sibling product ran after its cold review, and the step that found live-blocking defects in all of them. TWO LIVE-BLOCKING findings, both invisible to two clean internal passes because they are facts about the platform rather than the code. VER-DM1: the Workspace Marketplace does NOT push uninstall webhooks and the licenseNotification API is deprecated with no replacement — our uninstall endpoint was a handler for an event that never arrives, so token revocation, the retention clock, re-install restore and the purge chain would never have run. Fixed with a license reconciler that DETECTS uninstall (license state + revoked credential) and refuses to treat an API outage as one. VER-DM2: Google Forms cannot POST to an arbitrary URL — form submit needs an installable Apps Script trigger that calls UrlFetch itself, so the entire F5 feature (10 stories / 42 pts) rested on a capability that does not exist. Fixed by shipping the Apps Script forwarder that signs with the scheme our endpoint already verifies. 41 suites / 707 tests at 100%. CONSEQUENCE FOR SENTHIL: the form-trigger setup flow changes — ST-041 "one screen" and the help-centre article need rewording.</t>
  </si>
  <si>
    <t xml:space="preserve">v027</t>
  </si>
  <si>
    <t xml:space="preserve">PLANNED: verification sweep part 2 (add-on surface, scopes, asset spec, CASA requirements) — the sweep found two blockers in its first two checks, so the remaining assumptions deserve the same treatment.</t>
  </si>
  <si>
    <t xml:space="preserve">2026-09-13 11:56</t>
  </si>
  <si>
    <t xml:space="preserve">VERIFICATION SWEEP PART 2 — VER-DM3, the third live-blocking finding and the first that is a DECISION rather than a defect. Google has two add-on types with incompatible UI models and our features sit across both: the Workspace type is card-only (HTML forbidden), cannot read the open document, has no Apps Script triggers and is absent from Forms, but reaches mobile and every host app; the Editor type has HTML sidebars, document context and triggers, but is desktop-only and Editors-only. Twelve shipped stories cannot run on the Workspace surface as built, and the form feature cannot run there at all. Encoded as a test-pinned constraint matrix (src/addonSurface.ts) and presented as ADDON_SURFACE_DECISION.md; logged as D-DM1 for Senthil rather than decided unilaterally. 42 suites / 721 tests at 100%. Three live-blocking findings in four verification checks — the sweep is finding roughly one blocker per check, which says something about how far internal review can reach.</t>
  </si>
  <si>
    <t xml:space="preserve">v028</t>
  </si>
  <si>
    <t xml:space="preserve">PLANNED: sweep part 3 (listing asset spec — TestPulse found theirs wrong; scope behaviour; CASA requirements) once D-DM1 is decided, since the surface choice changes the scope narrative.</t>
  </si>
  <si>
    <t xml:space="preserve">2026-09-13 12:01</t>
  </si>
  <si>
    <t xml:space="preserve">VERIFICATION SWEEP PART 3 — VER-DM4: the listing asset and copy spec was invented and wrong in eight ways, including TWO REQUIRED ASSET FAMILIES that were absent entirely (application icons at 32/128 plus 48/96 because we now have a web app, and the 220x140 card banner), a forbidden-Google-name rule on the app name we had no check for, and the terms-of-service link missing from the submission checklist. Every copy limit was wrong in the strict direction, so the drafted variants were being held to tighter constraints than the platform applies. The promo video is an optional YouTube link, not the captioned upload we had specified. src/listing.ts rewritten against the live spec, LISTING_PACK.md regenerated, 13 tests pin the corrections. 42 suites / 729 tests at 100%. Four live findings in five verification checks.</t>
  </si>
  <si>
    <t xml:space="preserve">v029</t>
  </si>
  <si>
    <t xml:space="preserve">PLANNED: sweep part 4 (OAuth verification + CASA requirements, scope behaviour) — the last unchecked assumptions; then D-DM1 gates the rest.</t>
  </si>
  <si>
    <t xml:space="preserve">2026-09-13 12:06</t>
  </si>
  <si>
    <t xml:space="preserve">VERIFICATION SWEEP PART 4 — VER-DM5, the first finding that REMOVES work. Google routes app review by scope classification, and CASA is triggered only by RESTRICTED scopes. DocMerge requests none: drive.file is the recommended non-sensitive alternative to the restricted Drive scopes, userinfo.email is non-sensitive, and only spreadsheets.readonly and documents are sensitive — requiring Google app verification but not an assessment. CASA has been carried as a blocking multi-week paid item since S6 (R-D1, R-D10, LC-3) on an assumption nobody had checked. LC-3 downgraded to "likely not required, confirm in console" rather than deleted, because classification is per-project and Google may still ask. Found in the same pass: verification requires an unlisted YouTube DEMONSTRATION video (OAuth grant flow, consent screen showing the app name, detailed use of each sensitive scope) — a requirement we did not have, and separate from the optional marketing promo video. scopes.ts derives the review path from classifications with 7 pinning tests; SCOPE_NARRATIVE.md regenerated. 42 suites / 736 tests at 100%.</t>
  </si>
  <si>
    <t xml:space="preserve">v030</t>
  </si>
  <si>
    <t xml:space="preserve">PLANNED: verification sweep COMPLETE across the five checkable assumption areas. Next work is D-DM1 (Senthil) and then live execution.</t>
  </si>
  <si>
    <t xml:space="preserve">2026-09-13 16:25</t>
  </si>
  <si>
    <t xml:space="preserve">R-D4 CLOSED — Postgres adapter shipped. Every store had been an in-memory Map behind a typed interface, which was correct while no schema existed but left the interfaces never once implemented against a real database; the DM-F09 migrations were decorative until now. src/postgres.ts implements TokenStore, AccountRepo and TemplateRepo against the schema, plus purge targets for all 18 tables ordered children-before-parents so the row counts are real evidence rather than zero-because-already-cascaded. The SQL client is injected, so there is no pg dependency and the adapter is fully testable without a database. Details that would have bitten in production: BIGINT expiries are converted explicitly because the driver returns them as strings, template and rules write inside one transaction with rollback (a half-replaced rule set renders wrong output rather than failing), an absent rule value is stored as NULL not the string "undefined", and indirect tables are reached through their parent rather than a column they do not have. A test purges with a SQL-injection string and asserts it never reaches the statement text. 43 suites / 753 tests at 100%.</t>
  </si>
  <si>
    <t xml:space="preserve">v031</t>
  </si>
  <si>
    <t xml:space="preserve">PLANNED: remaining in-memory stores (subscriptions, invoices, audit, telemetry, support) onto the adapter pattern; D-DM1 still gates the surface work.</t>
  </si>
  <si>
    <t xml:space="preserve">2026-09-13 16:29</t>
  </si>
  <si>
    <t xml:space="preserve">DM-F14 — the remaining in-memory stores are a DURABILITY GAP, not merely unconverted. A restart resets every plan limit (each deploy silently grants every customer a fresh monthly allowance — a revenue leak invisible to tests, which start from zero anyway), resets billing state so paying customers look like trials, and evaporates the tamper-evident audit chain while restarting its numbering at genesis so the gap is not even visible. Usage counters fixed end to end: PlanLimitEnforcer now takes a UsageBackend; WriteThroughUsageBackend serves reads from a primed cache so the limit check stays synchronous, writes through with an atomic single-statement upsert (read-then-write loses increments exactly when a customer is near the limit), and counts write failures rather than failing the request. Subscription and admin-audit stores are built and tested — append-only with no update path, and lastSequence so the chain continues across restarts — but their services are NOT yet wired, which is stated rather than glossed because this codebase has already produced two built-but-never-called defects. 43 suites / 770 tests at 100%.</t>
  </si>
  <si>
    <t xml:space="preserve">v032</t>
  </si>
  <si>
    <t xml:space="preserve">PLANNED: wire BillingService and AdminAuditLog to their stores (closing DM-F14), then telemetry/support persistence. D-DM1 still open.</t>
  </si>
  <si>
    <t xml:space="preserve">2026-09-13 16:34</t>
  </si>
  <si>
    <t xml:space="preserve">DM-F14 CLOSED and DM-F15 found and fixed. BillingService now persists after every mutation through a SubscriptionBackend, and AdminAuditLog through an AdminAuditBackend with resume(), so a restart no longer resets a paying customer to trial or forks a second audit chain at genesis. Write-through Postgres backends keep reads synchronous and count write failures rather than failing the customer request. DM-F15 surfaced DURING that wiring: the admin audit log had no accountId at all — every customer shared one chain and one sequence counter, and exportCsv would have handed one customer every other customer admin history. The schema had keyed the table on (account_id, sequence) since DM-F09; the code never matched it, and nothing caught the mismatch because the table had no implementation behind it until today. Now scoped per account, with the accountId inside the digest so an entry cannot be replayed into another tenant chain. 43 suites / 781 tests at 100%.</t>
  </si>
  <si>
    <t xml:space="preserve">v033</t>
  </si>
  <si>
    <t xml:space="preserve">PLANNED: telemetry/support persistence, then a tenant-isolation sweep across the remaining services — DM-F15 suggests the audit log may not be the only thing lacking a tenant boundary.</t>
  </si>
  <si>
    <t xml:space="preserve">2026-09-13 16:39</t>
  </si>
  <si>
    <t xml:space="preserve">TENANT-ISOLATION SWEEP — run deliberately because DM-F15 was found by accident, and it found five more. DM-F16 (CRITICAL): template lookups took a templateId and nothing else, and POST /accounts/:id/documents takes that id from the request body — so an authenticated user of one account could read another account template and generate documents from it. The session check added for DM-F07 proved WHO was asking; nothing checked WHAT they asked for. DM-F17: the same shape on signature requests, exposing signer names and emails. DM-F18: the feature audit log had no accountId either, the same defect as DM-F15 in a second log. All three fixed with ownership enforced centrally, cross-tenant access reported as "not found" so the id space cannot be probed, and regression tests asserting the cross-tenant failure is indistinguishable from a missing record. DM-F19 and DM-F20 (metrics summaries and the support inbox aggregate across tenants) are logged OPEN rather than fixed blind, because whether they are defects depends on whether they are surfaced per-customer or internally — a decision, not a bug. 43 suites / 786 tests at 100%, smoke green.</t>
  </si>
  <si>
    <t xml:space="preserve">v034</t>
  </si>
  <si>
    <t xml:space="preserve">PLANNED: decide DM-F19/F20 surfacing, then telemetry/support persistence. D-DM1 still open.</t>
  </si>
  <si>
    <t xml:space="preserve">2026-09-13 17:23</t>
  </si>
  <si>
    <t xml:space="preserve">PORTABLE TENANT-ISOLATION GATE built and wired into CI, then it immediately found DM-F21. A sweep finds this class of defect once; the gate finds it every commit, and it is written to be copied into the sibling products — the tenant parameter names and entity-id suffixes are configuration, not hard-coded. It flagged 28 methods on first run. Triage: five clusters genuine (DM-F21) — pause and resume on signature requests, form triggers and batch jobs took only an entity id, so one tenant could pause another tenant work with nothing but a guessed id; renderCsv would render any account invoice with its billing contact and tax identifiers; openTemplate read another account template metadata. The manual sweep had checked READS and missed writes-that-are-not-reads. The other 23 are exempted with written reasons rather than silenced, and a test asserts every exemption carries one. 44 suites / 797 tests at 100%, smoke green.</t>
  </si>
  <si>
    <t xml:space="preserve">v035</t>
  </si>
  <si>
    <t xml:space="preserve">PLANNED: copy the gate to the sibling products (the pattern is identical); decide DM-F19/F20; D-DM1 still open.</t>
  </si>
  <si>
    <t xml:space="preserve">2026-09-13 18:48</t>
  </si>
  <si>
    <t xml:space="preserve">AUDITED THE 23 GATE EXEMPTIONS I wrote an hour ago, having flagged them as judgement calls. One was false. The PauseManager exemption claimed callers passed account-namespaced keys; e-sign passed a bare requestId and batch a bare templateId, so a shared PauseManager would put template ids, sign-request ids, job ids and trigger ids in one namespace — pausing a template called X would also report a sign request called X as paused. Demonstrated before fixing. Nothing broke only because each service happened to get its own instance, which nothing enforced. pauseKey(entity, accountId, entityId) is now the only way keys are formed anywhere. Crucially the exemptions are no longer prose: three tests VERIFY the claims — one fails the build if any PauseManager call omits pauseKey, one proves two entity types sharing an id cannot collide, one asserts only the designer and sidebar touch a template repository. 44 suites / 801 tests at 100%, smoke green.</t>
  </si>
  <si>
    <t xml:space="preserve">v036</t>
  </si>
  <si>
    <t xml:space="preserve">PLANNED: copy the gate to the sibling products; decide DM-F19/F20; D-DM1 still open.</t>
  </si>
  <si>
    <t xml:space="preserve">2026-09-13 18:53</t>
  </si>
  <si>
    <t xml:space="preserve">ALL 23 TENANT-GATE EXEMPTIONS now carry a test that verifies their claim, and a meta-gate makes that permanent: unverifiedExemptions() fails the build if an exemption is added without a test naming it, and a test proves the meta-gate catches such an addition. This closes the gap DM-F22 exposed — an exemption that was right about its outcome and wrong about its reason, which read as handled. The claims are now checked against behaviour or source: the sandbox holds no account, store or repository reference; signer actions reject a non-signer holding a valid request id while accepting a listed signer who has no account at all; a batch sidebar bound to one account cannot run another account template; both sidebar controllers stamp their own account onto what they create; and per-entity metrics and the support inbox are confirmed absent from every HTTP route, which is precisely what keeps DM-F19/F20 product decisions rather than live leaks. 44 suites / 812 tests at 100%.</t>
  </si>
  <si>
    <t xml:space="preserve">v037</t>
  </si>
  <si>
    <t xml:space="preserve">PLANNED: copy the gate and meta-gate to the sibling products; DM-F19/F20 and D-DM1 remain your decisions.</t>
  </si>
  <si>
    <t xml:space="preserve">2026-09-13 18:58</t>
  </si>
  <si>
    <t xml:space="preserve">VER-DM6 — the sixth verification finding, and the first that contradicts our own published targets. The Docs API allows 60 writes per minute per user; ST-087 promised a generated document every 1500ms and ST-088 drove 100 per minute and reported PASS. One user cannot exceed one document per second however fast our code runs, and a 500-row batch for one customer cannot finish in under EIGHT MINUTES — a fact absent from every estimate and SLO written so far. The load test never reached the ceiling because it drove an injected worker, so its PASS measured the harness. Now: verified quotas with sources and a refusal to guess unrecorded ones; a feasibility check that fails when an internal promise exceeds an external quota; a per-account governor that paces rather than earning 429s and gives an honest completion estimate; and a load test that refuses to pass a profile exceeding a declared ceiling. Also recorded: Apps Script UrlFetch caps at 20,000/day consumer and 100,000/day Workspace, the real per-customer limit on the form forwarder. 45 suites / 827 tests at 100%.</t>
  </si>
  <si>
    <t xml:space="preserve">v038</t>
  </si>
  <si>
    <t xml:space="preserve">PLANNED: pace the batch runner through QuotaGovernor and restate batch timing in the help centre; gate + meta-gate ready to copy to siblings.</t>
  </si>
  <si>
    <t xml:space="preserve">2026-09-13 19:33</t>
  </si>
  <si>
    <t xml:space="preserve">VER-DM6 CLOSED — both owed items done. The batch runner now paces through the QuotaGovernor, waiting BEFORE each write rather than after a rejection: waiting on our side costs only the wait, while being throttled costs a round trip, a backoff, and a slice of the customer's remaining quota for their other tools. BatchResult reports quotaWaitMs, so a long batch reads as "paced by Google's limit" rather than "the product is slow" — the difference between an understood wait and a support ticket. Metering is per account, proven by a test where one customer exhausting their allowance leaves another unaffected. The help-centre article now carries the real numbers (about 60 documents a minute, roughly eight minutes for 500, sixteen for 1,000) and is findable by searching "how long", "slow" or "quota". One test expectation of mine was wrong and the code was right: rows run in bursts because a wait clears the whole minute-window, so seven rows at a ceiling of three cost two waits, not four. 45 suites / 830 tests at 100%, smoke green.</t>
  </si>
  <si>
    <t xml:space="preserve">v039</t>
  </si>
  <si>
    <t xml:space="preserve">PLANNED: copy tenantGate + meta-gate + quota feasibility check to the sibling products. DM-F19/F20 and D-DM1 remain your decisions.</t>
  </si>
  <si>
    <t xml:space="preserve">2026-09-13 19:39</t>
  </si>
  <si>
    <t xml:space="preserve">PORTFOLIO GUARD KIT extracted for the sibling products — four modules with no imports at all, so nothing else travels with them: tenantGate (authorisation, plus the meta-gate requiring every exemption to carry a test), ledger (bounded append with counted evictions, including the hash-chain anchor subtlety), purge (registry that fails the build when a store has no deletion target, with per-store row counts as evidence), platformQuotas (verified numbers with sources, a refusal to guess an unrecorded one, and a feasibility check). platformQuotas was PARAMETERISED first — the mechanism ports but Google numbers do not belong in a Zoho or Xero product. A product-specific test file was extracted and then REPLACED: the original imported DocMerge modules throughout and would not have compiled anywhere else, so the kit ships a template with no product imports. README records what each gate caught here as evidence; TRIAGE.md gives the five questions to ask on a first run, since DocMerge flagged 28 methods and exempting without triage turns a gate into decoration. 45 suites / 832 tests at 100%.</t>
  </si>
  <si>
    <t xml:space="preserve">v040</t>
  </si>
  <si>
    <t xml:space="preserve">PLANNED: run the kit against a sibling codebase when one is available. DM-F19/F20 and D-DM1 remain your decisions.</t>
  </si>
  <si>
    <t xml:space="preserve">2026-09-13 20:27</t>
  </si>
  <si>
    <t xml:space="preserve">VER-DM7 — the quota module caught a gap in itself. It refuses to guess an unrecorded quota, and the filing path tripped that refusal: we write to Drive on every generated document and had recorded no Drive limit. The answer turned out to be awkward rather than clean — Google is mid-migration between a request-count model and a quota-unit model, legacy projects keep the old counts, and which applies depends on the age of a project we have not created yet. Recorded the conservative figure WITH the ambiguity attached and added a caveat field so an unreliable quota is visibly unreliable, rather than resolving it by picking whichever number suited us. The useful conclusion: on every published model Drive sits two orders of magnitude above the Docs ceiling of 60 writes per minute per user, so filing is not the binding constraint — document creation is, and the governor is already set to it. bindingConstraint() now computes which API throttles first, with tests proving Docs governs today and that a future change reversing it would surface rather than silently slowing every run. Guard kit refreshed. 45 suites / 836 tests at 100%.</t>
  </si>
  <si>
    <t xml:space="preserve">v041</t>
  </si>
  <si>
    <t xml:space="preserve">PLANNED: re-verify the Drive quota against the real project once it exists (LC-1). DM-F19/F20 and D-DM1 remain your decisions.</t>
  </si>
  <si>
    <t xml:space="preserve">2026-09-13 20:34</t>
  </si>
  <si>
    <t xml:space="preserve">STATE_OF_DOCMERGE.md — a single readable synthesis, written because the detail now spans 40 workbook versions and 62 log entries and none of that is usable when deciding what to do next. Covers: the three decisions owed (D-DM1 add-on type, open since 11:56 and blocking the scope narrative, listing copy and five story descriptions; DM-F19/F20 surfacing; support staffing), the eight external actions in their CORRECTED order (hosting BEFORE the consent screen, per R-D15), and the five lessons worth more than the individual fixes — coverage proves execution not correctness; authentication is not authorisation; internal review cannot see platform reality; a plausible reason survives review indefinitely; sweeps find a class once while gates find it every commit. Closes with the assessment I would want stated plainly: the product has been code-complete since roughly 11:00 and has not moved one step closer to a customer since, because every remaining step needs a domain, a project, a budget or a decision. 45 suites / 836 tests at 100%.</t>
  </si>
  <si>
    <t xml:space="preserve">v042</t>
  </si>
  <si>
    <t xml:space="preserve">PLANNED: nothing further on this codebase without a decision, a sibling codebase to check, or live infrastructure.</t>
  </si>
  <si>
    <t xml:space="preserve">DocMerge Pro — Template-based document generation from Sheets/Forms with e-sign and Drive filing</t>
  </si>
  <si>
    <t xml:space="preserve">PLATFORM: Google Workspace Marketplace | CATEGORY: Document Automation</t>
  </si>
  <si>
    <t xml:space="preserve">PROBLEM: Mail-merge add-ons are dated; SMBs want doc-gen + sign without Zapier chains</t>
  </si>
  <si>
    <t xml:space="preserve">DIFFERENTIATION: Native Sheets sidebar, per-doc pricing, DPA + CASA badge for admin trust</t>
  </si>
  <si>
    <t xml:space="preserve">ICP: SMBs, schools, agencies 5-200 staff generating contracts/certificates/invoices from Sheets data</t>
  </si>
  <si>
    <t xml:space="preserve">HOW TO USE: Full_Backlog is the single source of truth (edit Status column during execution). Sprint_Board recalculates points per sprint automatically. Financial_Model assumptions (yellow) are editable — the 18-month build recalculates. Launch_Checklist is the platform-specific gate before submission. All costs/timelines are market-standard estimates; verify platform terms (fees/review rules) during S0.</t>
  </si>
  <si>
    <t xml:space="preserve">STACK ASSUMPTION (market standard): TypeScript/Node or platform-mandated runtime, React frontends, Postgres, hosted on AWS/GCP/platform FaaS as required, GitHub Actions CI, PostHog + Sentry telemetry, Intercom-class support.</t>
  </si>
  <si>
    <t xml:space="preserve">PRODUCT SPEC</t>
  </si>
  <si>
    <t xml:space="preserve">Module (feature)</t>
  </si>
  <si>
    <t xml:space="preserve">Scope in MVP</t>
  </si>
  <si>
    <t xml:space="preserve">Out of scope (v1)</t>
  </si>
  <si>
    <t xml:space="preserve">Non-functional requirements</t>
  </si>
  <si>
    <t xml:space="preserve">Template designer</t>
  </si>
  <si>
    <t xml:space="preserve">Template designer: end-to-end happy path + edge cases + permissions</t>
  </si>
  <si>
    <t xml:space="preserve">Advanced automation, AI beyond listed, multi-language beyond launch set</t>
  </si>
  <si>
    <t xml:space="preserve">p95 &lt;500ms API / &lt;2s UI loads</t>
  </si>
  <si>
    <t xml:space="preserve">Batch generate from Sheets</t>
  </si>
  <si>
    <t xml:space="preserve">Batch generate from Sheets: end-to-end happy path + edge cases + permissions</t>
  </si>
  <si>
    <t xml:space="preserve">99.5% monthly uptime</t>
  </si>
  <si>
    <t xml:space="preserve">E-sign requests</t>
  </si>
  <si>
    <t xml:space="preserve">E-sign requests: end-to-end happy path + edge cases + permissions</t>
  </si>
  <si>
    <t xml:space="preserve">WCAG AA</t>
  </si>
  <si>
    <t xml:space="preserve">Auto-file to Drive</t>
  </si>
  <si>
    <t xml:space="preserve">Auto-file to Drive: end-to-end happy path + edge cases + permissions</t>
  </si>
  <si>
    <t xml:space="preserve">SOC2-track controls</t>
  </si>
  <si>
    <t xml:space="preserve">Form-triggered generation</t>
  </si>
  <si>
    <t xml:space="preserve">Form-triggered generation: end-to-end happy path + edge cases + permissions</t>
  </si>
  <si>
    <t xml:space="preserve">Rate-limit safe (backoff+queue)</t>
  </si>
  <si>
    <t xml:space="preserve">Persona</t>
  </si>
  <si>
    <t xml:space="preserve">Jobs-to-be-done</t>
  </si>
  <si>
    <t xml:space="preserve">Office manager</t>
  </si>
  <si>
    <t xml:space="preserve">Buys from marketplace search; needs zero-code setup</t>
  </si>
  <si>
    <t xml:space="preserve">Workspace admin</t>
  </si>
  <si>
    <t xml:space="preserve">Approves domain install; CASA tier + data policy decide</t>
  </si>
  <si>
    <t xml:space="preserve">Ops freelancer</t>
  </si>
  <si>
    <t xml:space="preserve">Recommends across clients</t>
  </si>
  <si>
    <t xml:space="preserve">SCREEN INVENTORY (attach Figma links in col E during S0)</t>
  </si>
  <si>
    <t xml:space="preserve">#</t>
  </si>
  <si>
    <t xml:space="preserve">Screen</t>
  </si>
  <si>
    <t xml:space="preserve">Purpose</t>
  </si>
  <si>
    <t xml:space="preserve">Key elements</t>
  </si>
  <si>
    <t xml:space="preserve">Wireframe link</t>
  </si>
  <si>
    <t xml:space="preserve">Onboarding / first-run</t>
  </si>
  <si>
    <t xml:space="preserve">Reach aha in &lt;1 day</t>
  </si>
  <si>
    <t xml:space="preserve">Checklist, sample data toggle, connect steps</t>
  </si>
  <si>
    <t xml:space="preserve">Home dashboard</t>
  </si>
  <si>
    <t xml:space="preserve">Daily habit surface</t>
  </si>
  <si>
    <t xml:space="preserve">KPI cards, activity feed, alerts</t>
  </si>
  <si>
    <t xml:space="preserve">Template designer workspace</t>
  </si>
  <si>
    <t xml:space="preserve">Core value surface</t>
  </si>
  <si>
    <t xml:space="preserve">List+detail, bulk actions, status chips</t>
  </si>
  <si>
    <t xml:space="preserve">Batch generate from Sheets builder</t>
  </si>
  <si>
    <t xml:space="preserve">Configure second pillar</t>
  </si>
  <si>
    <t xml:space="preserve">Rule builder, preview, test mode</t>
  </si>
  <si>
    <t xml:space="preserve">E-sign requests view</t>
  </si>
  <si>
    <t xml:space="preserve">Differentiator surface</t>
  </si>
  <si>
    <t xml:space="preserve">Timeline/visual, export</t>
  </si>
  <si>
    <t xml:space="preserve">Settings &amp; team</t>
  </si>
  <si>
    <t xml:space="preserve">Roles, notifications, data</t>
  </si>
  <si>
    <t xml:space="preserve">Role matrix, API keys, danger zone</t>
  </si>
  <si>
    <t xml:space="preserve">Billing</t>
  </si>
  <si>
    <t xml:space="preserve">Plan/trial/invoices</t>
  </si>
  <si>
    <t xml:space="preserve">Plan cards, usage meter, invoices</t>
  </si>
  <si>
    <t xml:space="preserve">Analytics</t>
  </si>
  <si>
    <t xml:space="preserve">Prove ROI</t>
  </si>
  <si>
    <t xml:space="preserve">Funnel, cohort, export</t>
  </si>
  <si>
    <t xml:space="preserve">Help &amp; support</t>
  </si>
  <si>
    <t xml:space="preserve">Deflect + assist</t>
  </si>
  <si>
    <t xml:space="preserve">Search, chat, status</t>
  </si>
  <si>
    <t xml:space="preserve">FULL BACKLOG</t>
  </si>
  <si>
    <t xml:space="preserve">ID</t>
  </si>
  <si>
    <t xml:space="preserve">Epic</t>
  </si>
  <si>
    <t xml:space="preserve">Story</t>
  </si>
  <si>
    <t xml:space="preserve">Points</t>
  </si>
  <si>
    <t xml:space="preserve">Priority</t>
  </si>
  <si>
    <t xml:space="preserve">Sprint</t>
  </si>
  <si>
    <t xml:space="preserve">ST-001</t>
  </si>
  <si>
    <t xml:space="preserve">F1</t>
  </si>
  <si>
    <t xml:space="preserve">As a Office manager, I can set up Template designer with sensible defaults in one screen</t>
  </si>
  <si>
    <t xml:space="preserve">P0</t>
  </si>
  <si>
    <t xml:space="preserve">S2</t>
  </si>
  <si>
    <t xml:space="preserve">Done</t>
  </si>
  <si>
    <t xml:space="preserve">ST-002</t>
  </si>
  <si>
    <t xml:space="preserve">As a Office manager, the Template designer happy path completes without documentation</t>
  </si>
  <si>
    <t xml:space="preserve">ST-003</t>
  </si>
  <si>
    <t xml:space="preserve">As a Workspace admin, I can customise Template designer rules/conditions for my workflow</t>
  </si>
  <si>
    <t xml:space="preserve">P1</t>
  </si>
  <si>
    <t xml:space="preserve">ST-004</t>
  </si>
  <si>
    <t xml:space="preserve">As a user, Template designer shows clear errors and retry paths on platform API failures</t>
  </si>
  <si>
    <t xml:space="preserve">ST-005</t>
  </si>
  <si>
    <t xml:space="preserve">As a Ops freelancer, Template designer works on the Workspace add-on sidebar in Sheets/Docs surface end-to-end</t>
  </si>
  <si>
    <t xml:space="preserve">S3</t>
  </si>
  <si>
    <t xml:space="preserve">ST-006</t>
  </si>
  <si>
    <t xml:space="preserve">As a Workspace admin, I can see Template designer performance metrics and trends</t>
  </si>
  <si>
    <t xml:space="preserve">ST-007</t>
  </si>
  <si>
    <t xml:space="preserve">As a user, Template designer respects role permissions and audit logging</t>
  </si>
  <si>
    <t xml:space="preserve">ST-008</t>
  </si>
  <si>
    <t xml:space="preserve">As a Office manager, I can pause/disable Template designer without data loss</t>
  </si>
  <si>
    <t xml:space="preserve">P2</t>
  </si>
  <si>
    <t xml:space="preserve">ST-009</t>
  </si>
  <si>
    <t xml:space="preserve">As a Workspace admin, I can import/migrate existing data into Template designer (CSV + competitor importer)</t>
  </si>
  <si>
    <t xml:space="preserve">ST-010</t>
  </si>
  <si>
    <t xml:space="preserve">As a user, I get notifications (in-app + email) for key Template designer events with per-type mute</t>
  </si>
  <si>
    <t xml:space="preserve">ST-011</t>
  </si>
  <si>
    <t xml:space="preserve">F2</t>
  </si>
  <si>
    <t xml:space="preserve">As a Office manager, I can set up Batch generate from Sheets with sensible defaults in one screen</t>
  </si>
  <si>
    <t xml:space="preserve">ST-012</t>
  </si>
  <si>
    <t xml:space="preserve">As a Office manager, the Batch generate from Sheets happy path completes without documentation</t>
  </si>
  <si>
    <t xml:space="preserve">ST-013</t>
  </si>
  <si>
    <t xml:space="preserve">As a Workspace admin, I can customise Batch generate from Sheets rules/conditions for my workflow</t>
  </si>
  <si>
    <t xml:space="preserve">ST-014</t>
  </si>
  <si>
    <t xml:space="preserve">As a user, Batch generate from Sheets shows clear errors and retry paths on platform API failures</t>
  </si>
  <si>
    <t xml:space="preserve">ST-015</t>
  </si>
  <si>
    <t xml:space="preserve">As a Ops freelancer, Batch generate from Sheets works on the Workspace add-on sidebar in Sheets/Docs surface end-to-end</t>
  </si>
  <si>
    <t xml:space="preserve">S4</t>
  </si>
  <si>
    <t xml:space="preserve">ST-016</t>
  </si>
  <si>
    <t xml:space="preserve">As a Workspace admin, I can see Batch generate from Sheets performance metrics and trends</t>
  </si>
  <si>
    <t xml:space="preserve">ST-017</t>
  </si>
  <si>
    <t xml:space="preserve">As a user, Batch generate from Sheets respects role permissions and audit logging</t>
  </si>
  <si>
    <t xml:space="preserve">ST-018</t>
  </si>
  <si>
    <t xml:space="preserve">As a Office manager, I can pause/disable Batch generate from Sheets without data loss</t>
  </si>
  <si>
    <t xml:space="preserve">ST-019</t>
  </si>
  <si>
    <t xml:space="preserve">As a Workspace admin, I can import/migrate existing data into Batch generate from Sheets (CSV + competitor importer)</t>
  </si>
  <si>
    <t xml:space="preserve">ST-020</t>
  </si>
  <si>
    <t xml:space="preserve">As a user, I get notifications (in-app + email) for key Batch generate from Sheets events with per-type mute</t>
  </si>
  <si>
    <t xml:space="preserve">ST-021</t>
  </si>
  <si>
    <t xml:space="preserve">F3</t>
  </si>
  <si>
    <t xml:space="preserve">As a Office manager, I can set up E-sign requests with sensible defaults in one screen</t>
  </si>
  <si>
    <t xml:space="preserve">S5</t>
  </si>
  <si>
    <t xml:space="preserve">ST-022</t>
  </si>
  <si>
    <t xml:space="preserve">As a Office manager, the E-sign requests happy path completes without documentation</t>
  </si>
  <si>
    <t xml:space="preserve">ST-023</t>
  </si>
  <si>
    <t xml:space="preserve">As a Workspace admin, I can customise E-sign requests rules/conditions for my workflow</t>
  </si>
  <si>
    <t xml:space="preserve">ST-024</t>
  </si>
  <si>
    <t xml:space="preserve">As a user, E-sign requests shows clear errors and retry paths on platform API failures</t>
  </si>
  <si>
    <t xml:space="preserve">ST-025</t>
  </si>
  <si>
    <t xml:space="preserve">As a Ops freelancer, E-sign requests works on the Workspace add-on sidebar in Sheets/Docs surface end-to-end</t>
  </si>
  <si>
    <t xml:space="preserve">ST-026</t>
  </si>
  <si>
    <t xml:space="preserve">As a Workspace admin, I can see E-sign requests performance metrics and trends</t>
  </si>
  <si>
    <t xml:space="preserve">ST-027</t>
  </si>
  <si>
    <t xml:space="preserve">As a user, E-sign requests respects role permissions and audit logging</t>
  </si>
  <si>
    <t xml:space="preserve">ST-028</t>
  </si>
  <si>
    <t xml:space="preserve">As a Office manager, I can pause/disable E-sign requests without data loss</t>
  </si>
  <si>
    <t xml:space="preserve">ST-029</t>
  </si>
  <si>
    <t xml:space="preserve">As a Workspace admin, I can import/migrate existing data into E-sign requests (CSV + competitor importer)</t>
  </si>
  <si>
    <t xml:space="preserve">ST-030</t>
  </si>
  <si>
    <t xml:space="preserve">As a user, I get notifications (in-app + email) for key E-sign requests events with per-type mute</t>
  </si>
  <si>
    <t xml:space="preserve">ST-031</t>
  </si>
  <si>
    <t xml:space="preserve">F4</t>
  </si>
  <si>
    <t xml:space="preserve">As a Office manager, I can set up Auto-file to Drive with sensible defaults in one screen</t>
  </si>
  <si>
    <t xml:space="preserve">S6</t>
  </si>
  <si>
    <t xml:space="preserve">ST-032</t>
  </si>
  <si>
    <t xml:space="preserve">As a Office manager, the Auto-file to Drive happy path completes without documentation</t>
  </si>
  <si>
    <t xml:space="preserve">ST-033</t>
  </si>
  <si>
    <t xml:space="preserve">As a Workspace admin, I can customise Auto-file to Drive rules/conditions for my workflow</t>
  </si>
  <si>
    <t xml:space="preserve">ST-034</t>
  </si>
  <si>
    <t xml:space="preserve">As a user, Auto-file to Drive shows clear errors and retry paths on platform API failures</t>
  </si>
  <si>
    <t xml:space="preserve">ST-035</t>
  </si>
  <si>
    <t xml:space="preserve">As a Ops freelancer, Auto-file to Drive works on the Workspace add-on sidebar in Sheets/Docs surface end-to-end</t>
  </si>
  <si>
    <t xml:space="preserve">ST-036</t>
  </si>
  <si>
    <t xml:space="preserve">As a Workspace admin, I can see Auto-file to Drive performance metrics and trends</t>
  </si>
  <si>
    <t xml:space="preserve">ST-037</t>
  </si>
  <si>
    <t xml:space="preserve">As a user, Auto-file to Drive respects role permissions and audit logging</t>
  </si>
  <si>
    <t xml:space="preserve">ST-038</t>
  </si>
  <si>
    <t xml:space="preserve">As a Office manager, I can pause/disable Auto-file to Drive without data loss</t>
  </si>
  <si>
    <t xml:space="preserve">ST-039</t>
  </si>
  <si>
    <t xml:space="preserve">As a Workspace admin, I can import/migrate existing data into Auto-file to Drive (CSV + competitor importer)</t>
  </si>
  <si>
    <t xml:space="preserve">ST-040</t>
  </si>
  <si>
    <t xml:space="preserve">As a user, I get notifications (in-app + email) for key Auto-file to Drive events with per-type mute</t>
  </si>
  <si>
    <t xml:space="preserve">ST-041</t>
  </si>
  <si>
    <t xml:space="preserve">F5</t>
  </si>
  <si>
    <t xml:space="preserve">As a Office manager, I can set up Form-triggered generation with sensible defaults in one screen</t>
  </si>
  <si>
    <t xml:space="preserve">S8</t>
  </si>
  <si>
    <t xml:space="preserve">ST-042</t>
  </si>
  <si>
    <t xml:space="preserve">As a Office manager, the Form-triggered generation happy path completes without documentation</t>
  </si>
  <si>
    <t xml:space="preserve">ST-043</t>
  </si>
  <si>
    <t xml:space="preserve">As a Workspace admin, I can customise Form-triggered generation rules/conditions for my workflow</t>
  </si>
  <si>
    <t xml:space="preserve">ST-044</t>
  </si>
  <si>
    <t xml:space="preserve">As a user, Form-triggered generation shows clear errors and retry paths on platform API failures</t>
  </si>
  <si>
    <t xml:space="preserve">ST-045</t>
  </si>
  <si>
    <t xml:space="preserve">As a Ops freelancer, Form-triggered generation works on the Workspace add-on sidebar in Sheets/Docs surface end-to-end</t>
  </si>
  <si>
    <t xml:space="preserve">ST-046</t>
  </si>
  <si>
    <t xml:space="preserve">As a Workspace admin, I can see Form-triggered generation performance metrics and trends</t>
  </si>
  <si>
    <t xml:space="preserve">ST-047</t>
  </si>
  <si>
    <t xml:space="preserve">As a user, Form-triggered generation respects role permissions and audit logging</t>
  </si>
  <si>
    <t xml:space="preserve">ST-048</t>
  </si>
  <si>
    <t xml:space="preserve">As a Office manager, I can pause/disable Form-triggered generation without data loss</t>
  </si>
  <si>
    <t xml:space="preserve">ST-049</t>
  </si>
  <si>
    <t xml:space="preserve">As a Workspace admin, I can import/migrate existing data into Form-triggered generation (CSV + competitor importer)</t>
  </si>
  <si>
    <t xml:space="preserve">ST-050</t>
  </si>
  <si>
    <t xml:space="preserve">As a user, I get notifications (in-app + email) for key Form-triggered generation events with per-type mute</t>
  </si>
  <si>
    <t xml:space="preserve">ST-051</t>
  </si>
  <si>
    <t xml:space="preserve">E1</t>
  </si>
  <si>
    <t xml:space="preserve">Marketplace OAuth install completes and lands on welcome state in &lt;2 min</t>
  </si>
  <si>
    <t xml:space="preserve">S1</t>
  </si>
  <si>
    <t xml:space="preserve">ST-052</t>
  </si>
  <si>
    <t xml:space="preserve">Uninstall webhook removes tokens, schedules data deletion per policy</t>
  </si>
  <si>
    <t xml:space="preserve">ST-053</t>
  </si>
  <si>
    <t xml:space="preserve">Re-install restores account within retention window</t>
  </si>
  <si>
    <t xml:space="preserve">ST-054</t>
  </si>
  <si>
    <t xml:space="preserve">Multi-user roles: owner/admin/member permission matrix enforced</t>
  </si>
  <si>
    <t xml:space="preserve">ST-055</t>
  </si>
  <si>
    <t xml:space="preserve">Session/token refresh survives platform token rotation</t>
  </si>
  <si>
    <t xml:space="preserve">ST-056</t>
  </si>
  <si>
    <t xml:space="preserve">Install telemetry: source attribution (listing/search/referral) captured</t>
  </si>
  <si>
    <t xml:space="preserve">ST-057</t>
  </si>
  <si>
    <t xml:space="preserve">E5</t>
  </si>
  <si>
    <t xml:space="preserve">14-day trial without card; banner shows days remaining</t>
  </si>
  <si>
    <t xml:space="preserve">ST-058</t>
  </si>
  <si>
    <t xml:space="preserve">Upgrade/downgrade mid-cycle prorates correctly</t>
  </si>
  <si>
    <t xml:space="preserve">ST-059</t>
  </si>
  <si>
    <t xml:space="preserve">Marketplace billing API used where mandated; external Stripe fallback elsewhere</t>
  </si>
  <si>
    <t xml:space="preserve">ST-060</t>
  </si>
  <si>
    <t xml:space="preserve">Failed payment: 7-day grace, 3 dunning emails, then read-only mode</t>
  </si>
  <si>
    <t xml:space="preserve">S7</t>
  </si>
  <si>
    <t xml:space="preserve">ST-061</t>
  </si>
  <si>
    <t xml:space="preserve">Plan limits enforced with upgrade prompts at 80%/100%</t>
  </si>
  <si>
    <t xml:space="preserve">ST-062</t>
  </si>
  <si>
    <t xml:space="preserve">Invoices/receipts downloadable; GST/VAT fields supported</t>
  </si>
  <si>
    <t xml:space="preserve">ST-063</t>
  </si>
  <si>
    <t xml:space="preserve">Cancellation flow with save-offer and exit survey</t>
  </si>
  <si>
    <t xml:space="preserve">ST-064</t>
  </si>
  <si>
    <t xml:space="preserve">E6</t>
  </si>
  <si>
    <t xml:space="preserve">Scopes requested map 1:1 to shipped features (least privilege doc)</t>
  </si>
  <si>
    <t xml:space="preserve">ST-065</t>
  </si>
  <si>
    <t xml:space="preserve">Data-flow diagram + retention policy published</t>
  </si>
  <si>
    <t xml:space="preserve">ST-066</t>
  </si>
  <si>
    <t xml:space="preserve">Encryption at rest + in transit verified; secrets in vault</t>
  </si>
  <si>
    <t xml:space="preserve">ST-067</t>
  </si>
  <si>
    <t xml:space="preserve">Audit log for admin-sensitive actions</t>
  </si>
  <si>
    <t xml:space="preserve">ST-068</t>
  </si>
  <si>
    <t xml:space="preserve">Pen-test (or platform-required evidence) completed and archived</t>
  </si>
  <si>
    <t xml:space="preserve">S9</t>
  </si>
  <si>
    <t xml:space="preserve">In progress</t>
  </si>
  <si>
    <t xml:space="preserve">ST-069</t>
  </si>
  <si>
    <t xml:space="preserve">Data export + delete-my-data self-serve</t>
  </si>
  <si>
    <t xml:space="preserve">ST-070</t>
  </si>
  <si>
    <t xml:space="preserve">Rate-limit backoff + circuit breaker on platform APIs</t>
  </si>
  <si>
    <t xml:space="preserve">ST-071</t>
  </si>
  <si>
    <t xml:space="preserve">E7</t>
  </si>
  <si>
    <t xml:space="preserve">Activation funnel events (install-&gt;setup-&gt;aha-&gt;habit) in one dashboard</t>
  </si>
  <si>
    <t xml:space="preserve">ST-072</t>
  </si>
  <si>
    <t xml:space="preserve">Error tracking with release tagging; alert on error-rate spike</t>
  </si>
  <si>
    <t xml:space="preserve">ST-073</t>
  </si>
  <si>
    <t xml:space="preserve">Feature-usage heatmap for roadmap decisions</t>
  </si>
  <si>
    <t xml:space="preserve">ST-074</t>
  </si>
  <si>
    <t xml:space="preserve">Weekly automated metrics email to team</t>
  </si>
  <si>
    <t xml:space="preserve">ST-075</t>
  </si>
  <si>
    <t xml:space="preserve">Health score computed per account (usage+billing+support)</t>
  </si>
  <si>
    <t xml:space="preserve">ST-076</t>
  </si>
  <si>
    <t xml:space="preserve">Metrics export to CSV/warehouse for founder analysis</t>
  </si>
  <si>
    <t xml:space="preserve">ST-077</t>
  </si>
  <si>
    <t xml:space="preserve">Alert thresholds configurable (activation drop, error spike, churn signal)</t>
  </si>
  <si>
    <t xml:space="preserve">ST-078</t>
  </si>
  <si>
    <t xml:space="preserve">E8</t>
  </si>
  <si>
    <t xml:space="preserve">First-run checklist reaches aha-moment in &lt;1 day</t>
  </si>
  <si>
    <t xml:space="preserve">ST-079</t>
  </si>
  <si>
    <t xml:space="preserve">Empty states teach next action on every screen</t>
  </si>
  <si>
    <t xml:space="preserve">ST-080</t>
  </si>
  <si>
    <t xml:space="preserve">Help center with 15 launch articles + search</t>
  </si>
  <si>
    <t xml:space="preserve">S10</t>
  </si>
  <si>
    <t xml:space="preserve">ST-081</t>
  </si>
  <si>
    <t xml:space="preserve">In-app chat with &lt;4 business-hr first response</t>
  </si>
  <si>
    <t xml:space="preserve">ST-082</t>
  </si>
  <si>
    <t xml:space="preserve">In-app review ask after aha-moment (marketplace rating engine)</t>
  </si>
  <si>
    <t xml:space="preserve">S11</t>
  </si>
  <si>
    <t xml:space="preserve">ST-083</t>
  </si>
  <si>
    <t xml:space="preserve">Demo video (2 min) + interactive sandbox/demo data mode</t>
  </si>
  <si>
    <t xml:space="preserve">ST-084</t>
  </si>
  <si>
    <t xml:space="preserve">Status page + incident comms template</t>
  </si>
  <si>
    <t xml:space="preserve">ST-085</t>
  </si>
  <si>
    <t xml:space="preserve">EQ</t>
  </si>
  <si>
    <t xml:space="preserve">Unit+integration test coverage gate ≥70% on core modules</t>
  </si>
  <si>
    <t xml:space="preserve">ST-086</t>
  </si>
  <si>
    <t xml:space="preserve">E2E smoke suite runs on every deploy</t>
  </si>
  <si>
    <t xml:space="preserve">ST-087</t>
  </si>
  <si>
    <t xml:space="preserve">p95 latency budgets defined and monitored per surface</t>
  </si>
  <si>
    <t xml:space="preserve">ST-088</t>
  </si>
  <si>
    <t xml:space="preserve">Load test at 5x expected launch traffic</t>
  </si>
  <si>
    <t xml:space="preserve">ST-089</t>
  </si>
  <si>
    <t xml:space="preserve">Accessibility WCAG AA pass on primary flows</t>
  </si>
  <si>
    <t xml:space="preserve">ST-090</t>
  </si>
  <si>
    <t xml:space="preserve">Backup + restore drill executed</t>
  </si>
  <si>
    <t xml:space="preserve">ST-091</t>
  </si>
  <si>
    <t xml:space="preserve">Chaos test: platform API outage degrades gracefully with user comms</t>
  </si>
  <si>
    <t xml:space="preserve">ST-092</t>
  </si>
  <si>
    <t xml:space="preserve">Zero-downtime deploy verified (blue/green or rolling)</t>
  </si>
  <si>
    <t xml:space="preserve">ST-093</t>
  </si>
  <si>
    <t xml:space="preserve">EL</t>
  </si>
  <si>
    <t xml:space="preserve">Marketplace listing copy A + B variants drafted and reviewed</t>
  </si>
  <si>
    <t xml:space="preserve">ST-094</t>
  </si>
  <si>
    <t xml:space="preserve">5 screenshots + 2-min demo video meet platform asset specs</t>
  </si>
  <si>
    <t xml:space="preserve">ST-095</t>
  </si>
  <si>
    <t xml:space="preserve">Pricing page/plan matrix published with FAQ</t>
  </si>
  <si>
    <t xml:space="preserve">ST-096</t>
  </si>
  <si>
    <t xml:space="preserve">Security/trust page (data handling, subprocessors) live</t>
  </si>
  <si>
    <t xml:space="preserve">ST-097</t>
  </si>
  <si>
    <t xml:space="preserve">Submission dry-run against platform checklist by second reviewer</t>
  </si>
  <si>
    <t xml:space="preserve">ST-098</t>
  </si>
  <si>
    <t xml:space="preserve">Launch-day runbook: monitoring, rollback, comms tree</t>
  </si>
  <si>
    <t xml:space="preserve">ST-099</t>
  </si>
  <si>
    <t xml:space="preserve">Post-launch listing SEO iteration 1 from search-term data</t>
  </si>
  <si>
    <t xml:space="preserve">S12</t>
  </si>
  <si>
    <t xml:space="preserve">ST-100</t>
  </si>
  <si>
    <t xml:space="preserve">First 10 design-partner reviews scheduled</t>
  </si>
  <si>
    <t xml:space="preserve">Total stories: 100. Epics: F1-F5 = product features; E1 install, E5 billing, E6 compliance, E7 telemetry, E8 onboarding/docs/support, EQ quality. Edit Status (Backlog/In progress/Done) during execution.</t>
  </si>
  <si>
    <t xml:space="preserve">SPRINT BOARD — live counts from Full_Backlog</t>
  </si>
  <si>
    <t xml:space="preserve">Focus</t>
  </si>
  <si>
    <t xml:space="preserve">Stories</t>
  </si>
  <si>
    <t xml:space="preserve">Exit criteria</t>
  </si>
  <si>
    <t xml:space="preserve">S0</t>
  </si>
  <si>
    <t xml:space="preserve">Discovery &amp; Design (2 wks)</t>
  </si>
  <si>
    <t xml:space="preserve">PRD signed off; prototype tested with 5 target users</t>
  </si>
  <si>
    <t xml:space="preserve">Foundation (2 wks)</t>
  </si>
  <si>
    <t xml:space="preserve">App installs cleanly in dev store/org; telemetry firing</t>
  </si>
  <si>
    <t xml:space="preserve">Core feature Template designer - part 1</t>
  </si>
  <si>
    <t xml:space="preserve">Template designer happy path demoable</t>
  </si>
  <si>
    <t xml:space="preserve">Core feature Template designer - part 2 + Batch generate from Sheets start</t>
  </si>
  <si>
    <t xml:space="preserve">Template designer complete with tests; Batch generate from Sheets skeleton</t>
  </si>
  <si>
    <t xml:space="preserve">Core feature Batch generate from Sheets</t>
  </si>
  <si>
    <t xml:space="preserve">MVP loop usable end-to-end internally</t>
  </si>
  <si>
    <t xml:space="preserve">Feature E-sign requests + alpha hardening</t>
  </si>
  <si>
    <t xml:space="preserve">Internal alpha: team dogfoods daily</t>
  </si>
  <si>
    <t xml:space="preserve">Billing + Auto-file to Drive</t>
  </si>
  <si>
    <t xml:space="preserve">Can charge a test customer; upgrade/downgrade paths work</t>
  </si>
  <si>
    <t xml:space="preserve">Private beta (design partners)</t>
  </si>
  <si>
    <t xml:space="preserve">3+ partners active weekly; NPS pulse &gt;30</t>
  </si>
  <si>
    <t xml:space="preserve">Beta iteration + Form-triggered generation</t>
  </si>
  <si>
    <t xml:space="preserve">Retention of beta cohort week-over-week &gt;60%</t>
  </si>
  <si>
    <t xml:space="preserve">Marketplace review prep</t>
  </si>
  <si>
    <t xml:space="preserve">Review submission accepted into queue</t>
  </si>
  <si>
    <t xml:space="preserve">Review remediation + docs</t>
  </si>
  <si>
    <t xml:space="preserve">Marketplace approval obtained (or final remediation cycle)</t>
  </si>
  <si>
    <t xml:space="preserve">Launch</t>
  </si>
  <si>
    <t xml:space="preserve">First 10 installs; first 3 reviews; activation &gt;40%</t>
  </si>
  <si>
    <t xml:space="preserve">Iterate &amp; scale decision</t>
  </si>
  <si>
    <t xml:space="preserve">Growth model doc with CAC/LTV first estimates</t>
  </si>
  <si>
    <t xml:space="preserve">TOTAL</t>
  </si>
  <si>
    <t xml:space="preserve">Velocity check: points/sprint S2-S8 should sit within 30-45 for a 4-6 person team; rebalance Sprint column in backlog if a sprint exceeds capacity.</t>
  </si>
  <si>
    <t xml:space="preserve">SPRINT TRACKER LOG — session-by-session execution record</t>
  </si>
  <si>
    <t xml:space="preserve">Entry</t>
  </si>
  <si>
    <t xml:space="preserve">Date/Time</t>
  </si>
  <si>
    <t xml:space="preserve">Action</t>
  </si>
  <si>
    <t xml:space="preserve">Outcome</t>
  </si>
  <si>
    <t xml:space="preserve">Decision/Ref</t>
  </si>
  <si>
    <t xml:space="preserve">L-001</t>
  </si>
  <si>
    <t xml:space="preserve">—</t>
  </si>
  <si>
    <t xml:space="preserve">v007 full product workbook released (spec, 100-story backlog, sprint board, financial model, GTM, launch checklist)</t>
  </si>
  <si>
    <t xml:space="preserve">Baseline established; all 100 stories Backlog</t>
  </si>
  <si>
    <t xml:space="preserve">v007 Version_Control</t>
  </si>
  <si>
    <t xml:space="preserve">L-002</t>
  </si>
  <si>
    <t xml:space="preserve">S0 discovery interviews parked; development proceeds directly</t>
  </si>
  <si>
    <t xml:space="preserve">S0 closed as parked (0 stories carried); PRD baseline = Product_Spec sheet</t>
  </si>
  <si>
    <t xml:space="preserve">D13 (portfolio decision, 10 Sep 2026)</t>
  </si>
  <si>
    <t xml:space="preserve">L-003</t>
  </si>
  <si>
    <t xml:space="preserve">ST-051, ST-052, ST-055, ST-056</t>
  </si>
  <si>
    <t xml:space="preserve">S1 Foundation opened and executed: docmerge-pro-s1 TypeScript package — OAuth install flow, uninstall webhook with token revocation + 30-day retention deletion scheduling, rotation-surviving token refresh, install telemetry with listing/search/referral attribution</t>
  </si>
  <si>
    <t xml:space="preserve">All 4 stories (13 pts) code-complete: 37 automated tests, 100% statements/branches/functions/lines, coverage gate pinned at 100% in CI config, tsc strict clean</t>
  </si>
  <si>
    <t xml:space="preserve">D13 100% coverage gate (supersedes ST-085 ≥70%)</t>
  </si>
  <si>
    <t xml:space="preserve">L-004</t>
  </si>
  <si>
    <t xml:space="preserve">S1 exit criteria review: "App installs cleanly in dev store/org; telemetry firing"</t>
  </si>
  <si>
    <t xml:space="preserve">Code-complete; LIVE dev-org install PENDING — requires GCP project + OAuth consent screen (Launch_Checklist #1), not yet created. Same gate pattern as RevRescue S1.</t>
  </si>
  <si>
    <t xml:space="preserve">Carry-over to v009</t>
  </si>
  <si>
    <t xml:space="preserve">L-005</t>
  </si>
  <si>
    <t xml:space="preserve">ST-001, ST-002, ST-003, ST-004</t>
  </si>
  <si>
    <t xml:space="preserve">S2 opened and executed (Template designer part 1): createWithDefaults one-screen setup; happy-path placeholder/section render with actionable missing-field messages; validated rules/conditions (not_empty/equals/greater_than section toggles); platform API failure mapping (429/5xx/403/404/unknown) with exponential-backoff retry paths</t>
  </si>
  <si>
    <t xml:space="preserve">4 stories code-complete at 100% coverage; PlatformApiError messages carry explicit user retry guidance</t>
  </si>
  <si>
    <t xml:space="preserve">D13 100% gate</t>
  </si>
  <si>
    <t xml:space="preserve">L-006</t>
  </si>
  <si>
    <t xml:space="preserve">ST-053, ST-054</t>
  </si>
  <si>
    <t xml:space="preserve">Re-install restore: pending_deletion accounts re-installing before the 30-day purge get deletion cancelled, data retained, tokens re-issued, app_reinstalled attributed. Permission matrix owner/admin/member pinned cell-by-cell and enforced at every privileged TemplateDesigner entry point</t>
  </si>
  <si>
    <t xml:space="preserve">S2 complete: 6/6 stories (29 pts). Suite 101 tests / 100% all metrics / tsc strict clean</t>
  </si>
  <si>
    <t xml:space="preserve">Matrix doc feeds ST-064 least-privilege narrative (S7)</t>
  </si>
  <si>
    <t xml:space="preserve">L-007</t>
  </si>
  <si>
    <t xml:space="preserve">ST-005, ST-006, ST-007, ST-008, ST-009, ST-010</t>
  </si>
  <si>
    <t xml:space="preserve">Template designer part 2: SidebarController (Sheets/Docs host injected — list-&gt;designer-&gt;preview-from-active-row end-to-end, Docs sample-data fallback); TemplateMetrics (p95, success rate, period trend); AuditLog + AuditedTemplateDesigner (allowed AND denied attempts recorded); PauseManager (flag-only, zero data loss); CSV importer with partial success + row-numbered errors and &lt;&lt;legacy&gt;&gt; competitor conversion; NotificationCenter (in-app+email fan-out, per-type per-account mute)</t>
  </si>
  <si>
    <t xml:space="preserve">6 stories code-complete at 100% coverage</t>
  </si>
  <si>
    <t xml:space="preserve">D13</t>
  </si>
  <si>
    <t xml:space="preserve">L-008</t>
  </si>
  <si>
    <t xml:space="preserve">ST-011, ST-012, ST-013, ST-014</t>
  </si>
  <si>
    <t xml:space="preserve">Batch generate skeleton: one-screen job defaults; per-row generation with named outputs; row rules reusing the designer rule evaluator (skip on fail); per-row platform error mapping with retry/backoff, retryableRows list, continueOnError stop, paused-template gate</t>
  </si>
  <si>
    <t xml:space="preserve">4 stories code-complete at 100% coverage</t>
  </si>
  <si>
    <t xml:space="preserve">L-009</t>
  </si>
  <si>
    <t xml:space="preserve">DEFECT (caught by the 100% branch gate + failing test before merge): withRetry mapped ALL errors to a generic "unknown Google" message, burying actionable validation messages (e.g. missing Sheet column). Fixed: non-platform errors now pass through unmapped, no retry. ST-085 (≥70% coverage gate) closed as SUPERSEDED — D13 pins the gate at 100%, enforced in package.json thresholds (build fails below 100).</t>
  </si>
  <si>
    <t xml:space="preserve">S3 complete: 11/11 stories (47 pts). Suite 150 tests / 100% all metrics / tsc strict clean</t>
  </si>
  <si>
    <t xml:space="preserve">D13 supersedes ST-085</t>
  </si>
  <si>
    <t xml:space="preserve">L-010</t>
  </si>
  <si>
    <t xml:space="preserve">ST-015, ST-016, ST-017, ST-018, ST-019, ST-020</t>
  </si>
  <si>
    <t xml:space="preserve">Batch part 2: BatchSidebarController (configure with defaults -&gt; rows from bound sheet -&gt; governed run -&gt; results, with guidance on unconfigured/empty-sheet paths); BatchMetrics (runs, row counts, failure rate, avg duration, trend); GovernedBatchRunner (permission asserted+audited up front incl. denials, job-level pause, run metrics, batch_completed/batch_failed notifications with retryable count, per-type mute honoured); row-data CSV importer with header validation, partial success, and &lt;&lt;legacy&gt;&gt; competitor conversion</t>
  </si>
  <si>
    <t xml:space="preserve">L-011</t>
  </si>
  <si>
    <t xml:space="preserve">ST-071, ST-072</t>
  </si>
  <si>
    <t xml:space="preserve">Observability: ActivationFunnel (install-&gt;setup-&gt;aha-&gt;habit, idempotent, earlier stages implied, one dashboard with counts + stage conversions); ErrorTracker (release-tagged capture, per-release counts, spike alert when current window &gt; factor x previous with a minimum floor, one alert per release until acknowledged)</t>
  </si>
  <si>
    <t xml:space="preserve">2 stories code-complete at 100% coverage</t>
  </si>
  <si>
    <t xml:space="preserve">L-012</t>
  </si>
  <si>
    <t xml:space="preserve">E2E smoke suite: one flow through the whole product loop — install (attributed) -&gt; token rotation survival -&gt; template + rules -&gt; sidebar preview from active row -&gt; CSV row import -&gt; governed batch (3 generated, blank row skipped, rules applied) -&gt; notifications/metrics/audit/funnel checks -&gt; pause -&gt; uninstall (revoke + schedule) -&gt; re-install restore (template survives). .github/workflows/ci.yml added: deploy job REQUIRES the smoke job, smoke requires the full 100%-gated suite. Fixture defect fixed during S4: an all-empty row object is skipped_empty (vacuous truth), not a validation failure.</t>
  </si>
  <si>
    <t xml:space="preserve">S4 complete: 9/9 stories (34 pts). Suite 180 tests / 100% all metrics / tsc strict clean / npm run test:smoke green standalone</t>
  </si>
  <si>
    <t xml:space="preserve">D13; ST-086 gate lives in ci.yml</t>
  </si>
  <si>
    <t xml:space="preserve">L-013</t>
  </si>
  <si>
    <t xml:space="preserve">ST-021..ST-024</t>
  </si>
  <si>
    <t xml:space="preserve">E-sign core: createWithDefaults (sequential + 14-day expiry, signer email validation with named problems); full lifecycle state machine draft-&gt;sent-&gt;partially_signed-&gt;completed/declined/expired with sequential-order enforcement naming whose turn it is; draft-only rule edits (expiry 1-90, domain allow-lists checked against actual signers); delivery through withRetry — transient failures retried, exhausted failures surface mapped user messages with NO half-sent state (status stays draft)</t>
  </si>
  <si>
    <t xml:space="preserve">L-014</t>
  </si>
  <si>
    <t xml:space="preserve">ST-025..ST-030</t>
  </si>
  <si>
    <t xml:space="preserve">E-sign ops: sidebar create-&gt;send-&gt;track with refresh detecting completion/decline/expiry transitions; EsignMetrics (sent/completed/declined, completion rate, avg turnaround, trend); allow AND deny audit on create/rules/send; pause preserves collected signatures; signer CSV import (partial success, row-numbered errors) + competitor variant; esign_sent/completed/declined notifications through the mute-aware center</t>
  </si>
  <si>
    <t xml:space="preserve">L-015</t>
  </si>
  <si>
    <t xml:space="preserve">ST-078, ST-079</t>
  </si>
  <si>
    <t xml:space="preserve">Alpha hardening: FirstRunChecklist (4 steps, aha = first generated document, honest &lt;1-day budget verdict incl. over-budget and idempotent-completion cases); EMPTY_STATES registry covering all 9 Screens_Wireframes screens, each with a message + next-action label, test-asserted complete. Companion tracker v001 created per Senthil 23:03 instruction (TeleField v001 pattern): full S1-S5 E-log, per-sprint build boards, 100-story traceability with Done-in-code statuses, formula rollup, RAID, gate checklist.</t>
  </si>
  <si>
    <t xml:space="preserve">S5 complete: 12/12 stories (50 pts). Suite 217 tests / 100% all metrics / tsc strict clean / smoke green</t>
  </si>
  <si>
    <t xml:space="preserve">D13; tracker v001</t>
  </si>
  <si>
    <t xml:space="preserve">L-016</t>
  </si>
  <si>
    <t xml:space="preserve">ST-031..ST-035</t>
  </si>
  <si>
    <t xml:space="preserve">Auto-file core: defaults (rename policy, DocMerge Pro/Generated/{{template}}/{{yyyy}}-{{mm}}); pattern resolution with NAMED missing-token errors (no silent blanks); first-match routing rules reusing the rule evaluator; conflict policies rename (first free number)/overwrite/skip; every Drive call under withRetry; sidebar configure-&gt;file-last-batch-&gt;results with guidance on unconfigured/empty paths</t>
  </si>
  <si>
    <t xml:space="preserve">5 stories code-complete at 100% coverage</t>
  </si>
  <si>
    <t xml:space="preserve">L-017</t>
  </si>
  <si>
    <t xml:space="preserve">ST-036..ST-040</t>
  </si>
  <si>
    <t xml:space="preserve">Filing ops: FilingMetrics (filed/renamed/skipped/failures, avg latency, trend); GovernedFilingRunner (permission + allow/deny audit on rules AND filing, account-scoped pause, per-document failure collection — one bad document never sinks the batch); routing-rule CSV import with operator validation + competitor &lt;&lt;x&gt;&gt; folder conversion; filing_completed/filing_failed notifications, mute-aware</t>
  </si>
  <si>
    <t xml:space="preserve">L-018</t>
  </si>
  <si>
    <t xml:space="preserve">ST-057, ST-058, ST-059</t>
  </si>
  <si>
    <t xml:space="preserve">Billing: no-card trial with honest day-count banner (14-&gt;1-&gt;ended, hides once subscribed); proration verified to the cent both directions ($11.33 upgrade charge, $8.50 downgrade credit cases) with declined-charge leaving plan unchanged; provider routing marketplace-where-mandated/Stripe-elsewhere; dunning walks the 1/3/7-day retry schedule with recovery-to-active on success, grace period, then downgrade to FREE with data intact (never deletion)</t>
  </si>
  <si>
    <t xml:space="preserve">S6 complete: 13/13 stories (60 pts). Suite 264 tests / 100% all metrics / smoke green. Total 55/100 stories (233/399 pts)</t>
  </si>
  <si>
    <t xml:space="preserve">D13; tracker v002</t>
  </si>
  <si>
    <t xml:space="preserve">L-019</t>
  </si>
  <si>
    <t xml:space="preserve">ST-060, ST-061</t>
  </si>
  <si>
    <t xml:space="preserve">Dunning UX + limits: DunningNotifier sends exactly 3 emails on the 1/3/7-day schedule (catch-up in a single tick if ticks are missed), 7-day grace, then read-only mode whose error message states the data is intact. CORRECTION TO S6: ST-059 ended dunning in downgrade-to-free; ST-060 specifies read-only, which retains plan and data — read-only is now the terminal state. PlanLimitEnforcer: per-plan documents/templates/seats limits, no prompt below 80%, warning nudge 80-99%, blocking prompt at 100% that reassures nothing made is affected; monthly counter resets without touching other counters.</t>
  </si>
  <si>
    <t xml:space="preserve">D13; corrects ST-059</t>
  </si>
  <si>
    <t xml:space="preserve">L-020</t>
  </si>
  <si>
    <t xml:space="preserve">ST-062, ST-063</t>
  </si>
  <si>
    <t xml:space="preserve">Invoices + cancellation: InvoiceBook issues numbered invoices with GST/VAT computed, customer tax IDs recorded, B2B reverse charge at zero tax with the required note, multi-line rounding to cents, and CSV receipt rendering — this CLOSES the GST/tax gap flagged at S6 (E016). CancellationFlow matches the save-offer to the stated reason (discount/pause/downgrade), offers once only, records an exit survey with reason aggregation, and keeps access to period end when the offer is declined.</t>
  </si>
  <si>
    <t xml:space="preserve">D13; closes S6 tax flag</t>
  </si>
  <si>
    <t xml:space="preserve">L-021</t>
  </si>
  <si>
    <t xml:space="preserve">Least-privilege: SCOPE_MANIFEST maps each requested scope 1:1 to a shipped feature and its implementing stories, with an explicit why-not-narrower rationale. auditScopes() fails on unjustified scopes, scopes whose stories have not shipped, duplicates, or broad scopes where a narrower alternative exists — run as a test, so over-requesting breaks the build. Product requests only drive.file, spreadsheets.readonly, documents, userinfo.email; SCOPE_NARRATIVE.md generated for the OAuth verification / CASA pack (LC-2/LC-3 evidence).</t>
  </si>
  <si>
    <t xml:space="preserve">S7 complete: 5/5 stories (15 pts). Suite 305 tests / 100% all metrics / smoke green. Total 60/100 (248/399 pts)</t>
  </si>
  <si>
    <t xml:space="preserve">D13; LC-2 evidence</t>
  </si>
  <si>
    <t xml:space="preserve">L-022</t>
  </si>
  <si>
    <t xml:space="preserve">ST-041..ST-050</t>
  </si>
  <si>
    <t xml:space="preserve">Form-triggered generation: a submission is an event, not a batch row — redelivery dedupe is in the core pipeline so a replayed webhook never generates a second document; failed submissions are deliberately NOT marked processed so redelivery retries them; failures return as results rather than throwing, keeping the webhook endpoint up. Plus field mapping, conditions with audit, sidebar activity feed capped at 20, metrics, pause, field-map CSV + competitor import, notifications.</t>
  </si>
  <si>
    <t xml:space="preserve">10 stories code-complete at 100% coverage</t>
  </si>
  <si>
    <t xml:space="preserve">L-023</t>
  </si>
  <si>
    <t xml:space="preserve">ST-065, ST-066, ST-067, ST-070</t>
  </si>
  <si>
    <t xml:space="preserve">Compliance/security: data-flow diagram + retention policy VALIDATED in code (unknown endpoints, unencrypted hops, orphan nodes, and unimplemented retention rules all fail the test) and published as DATA_FLOW_AND_RETENTION.md; posture verifier blocking on unencrypted storage/no TLS/hard-coded or env secrets in production; admin audit log hash-chained so an edited or deleted entry is detectable, with its own export audited; circuit breaker (closed/open/half-open) so an outage stops amplifying load — backoff handles a blip, the breaker handles an outage.</t>
  </si>
  <si>
    <t xml:space="preserve">4 stories code-complete at 100% coverage; second LC evidence artefact produced (LC-7)</t>
  </si>
  <si>
    <t xml:space="preserve">D13; LC-7</t>
  </si>
  <si>
    <t xml:space="preserve">L-024</t>
  </si>
  <si>
    <t xml:space="preserve">ST-073..ST-077, ST-087, ST-088, ST-092</t>
  </si>
  <si>
    <t xml:space="preserve">Analytics + QE: usage heatmap whose unused-feature list is the roadmap-relevant half; weekly digest with alert counts in the subject; health score that always explains its reasons (a score with no explanation cannot be acted on); CSV/warehouse export; configurable thresholds. p95 budgets defined per surface and monitored with headroom; 5x load test written deterministically so it runs on EVERY commit rather than once before launch; blue/green deploy that health-checks the idle colour BEFORE any traffic moves and verifies rollback — droppedRequests is measured, not claimed.</t>
  </si>
  <si>
    <t xml:space="preserve">S8 complete: 22/22 stories (87 pts). Suite 385 tests / 100% all metrics / smoke green. Total 82/100 (335/399 pts)</t>
  </si>
  <si>
    <t xml:space="preserve">D13; tracker v004</t>
  </si>
  <si>
    <t xml:space="preserve">L-025</t>
  </si>
  <si>
    <t xml:space="preserve">ST-068 (PARTIAL)</t>
  </si>
  <si>
    <t xml:space="preserve">Security evidence pack built and published as SECURITY_EVIDENCE_PACK.md: 9 controls, 6 verified in code (auth, authorisation, least privilege, data handling, auditability, resilience), 3 outstanding (SC-07 encryption posture needs a real deployment, SC-08 third-party pen test NOT STARTED, SC-09 backup/restore needs real backups). NOT MARKED DONE. A penetration test is performed by a third party against running infrastructure; this pack is what the tester and reviewer are handed, not a substitute for the test. readyForSubmission is false by construction until the external report is attached.</t>
  </si>
  <si>
    <t xml:space="preserve">ST-068; LC-3</t>
  </si>
  <si>
    <t xml:space="preserve">ST-068 In progress (NOT Done)</t>
  </si>
  <si>
    <t xml:space="preserve">Pen test must be booked and paid for — Senthil action; needs deployed infra (LC-1)</t>
  </si>
  <si>
    <t xml:space="preserve">L-026</t>
  </si>
  <si>
    <t xml:space="preserve">ST-069, ST-090, ST-091</t>
  </si>
  <si>
    <t xml:space="preserve">Data rights + resilience: self-serve export (owner/admin) that STATES its exclusions rather than silently omitting them, and owner-only deletion with a cancellable 7-day grace window after which it is irreversible; restore-drill harness that verifies restored row counts against the backup manifest as part of the pass condition (a restore that "succeeds" without checking contents evidences nothing) plus RTO/RPO targets; chaos simulation proving every dependency outage leaves the product usable and every lost capability carries a message saying what is safe — the guards are injectable so they can actually fire, since a check that can never fail is not a check.</t>
  </si>
  <si>
    <t xml:space="preserve">3 stories code-complete at 100% coverage</t>
  </si>
  <si>
    <t xml:space="preserve">L-027</t>
  </si>
  <si>
    <t xml:space="preserve">ST-089, ST-093, ST-094</t>
  </si>
  <si>
    <t xml:space="preserve">Listing + accessibility: WCAG AA audit with real contrast maths (shipped 6-pair palette passes; large-text threshold applied correctly), accessible-name/keyboard/focus failures and target-size warnings; two listing variants on genuinely different angles (problem-led vs outcome-led) with a reviewer that fails same-angle A/Bs and flags claims that invite rejection (implied Google endorsement, absolute security, guarantees, superlatives, "free forever"); asset validator for the 5x1280x800 screenshots and 30-120s captioned video, plus the screenshot plan. Published as LISTING_PACK.md.</t>
  </si>
  <si>
    <t xml:space="preserve">S9: 6/7 Done, 1 In progress. Suite 432 tests / 100% all metrics / smoke green. Total 88/100 (357/399 pts)</t>
  </si>
  <si>
    <t xml:space="preserve">D13; tracker v005</t>
  </si>
  <si>
    <t xml:space="preserve">L-028</t>
  </si>
  <si>
    <t xml:space="preserve">ST-080, ST-081</t>
  </si>
  <si>
    <t xml:space="preserve">Support surfaces: 15 launch articles, each documenting shipped behaviour and naming the stories it covers so docs cannot silently drift from code; weighted search (exact keyword &gt; partial &gt; title &gt; summary &gt; body) so "vat" returns invoicing rather than every article containing the word; documentation-coverage report over launch-critical journeys. In-app chat measures first response in BUSINESS hours — a Friday 17:00 message is 2 business hours from a Monday 09:00 reply, not 64 — with a tighter 1-hour SLA for urgent, a breach queue worst-first, and a waiting message that sets expectations instead of going silent.</t>
  </si>
  <si>
    <t xml:space="preserve">Support must actually be STAFFED during the stated hours before the SLA is published</t>
  </si>
  <si>
    <t xml:space="preserve">L-029</t>
  </si>
  <si>
    <t xml:space="preserve">ST-083 (PARTIAL), ST-084</t>
  </si>
  <si>
    <t xml:space="preserve">ST-083 sandbox/demo-data mode: a no-account, no-OAuth, platform-read-only session with realistic sample data that exercises real template features including a conditional section, 60-minute TTL, and conversion-to-signup carrying the template across. The 2-minute demo VIDEO half is NOT done — it is a recording of a running app. ST-084 status page: worst-component-wins overall (never rounds up to green), incident templates that state data is unaffected, and an overdue-update check that chases incidents gone quiet past the 30-minute cadence.</t>
  </si>
  <si>
    <t xml:space="preserve">ST-083, ST-084</t>
  </si>
  <si>
    <t xml:space="preserve">ST-084 Done; ST-083 In progress (sandbox done, video pending)</t>
  </si>
  <si>
    <t xml:space="preserve">Demo video needs a running app (LC-1)</t>
  </si>
  <si>
    <t xml:space="preserve">L-030</t>
  </si>
  <si>
    <t xml:space="preserve">ST-095, ST-096, ST-097</t>
  </si>
  <si>
    <t xml:space="preserve">Public pages built FROM the code rather than alongside it: the plan matrix reads prices from the billing module and limits from the enforcer, with a validator that fails if the published page drifts; the trust page is generated from the scope manifest, subprocessor list, and retention policy. ST-097 submission dry-run run for real and published as SUBMISSION_DRY_RUN.md — VERDICT: 10 of 20 items satisfied, 10 blocking (8 Senthil, 2 third-party), NOT READY TO SUBMIT. The dry-run deliberately counts unmet items rather than explaining them away, and records an owner for each so the output is a work list.</t>
  </si>
  <si>
    <t xml:space="preserve">S10: 6 Done + 1 In progress. Suite 484 tests / 100% all metrics / smoke green. Total 94/100 (376/399 pts)</t>
  </si>
  <si>
    <t xml:space="preserve">D13; tracker v006</t>
  </si>
  <si>
    <t xml:space="preserve">L-031</t>
  </si>
  <si>
    <t xml:space="preserve">ST-082, ST-100</t>
  </si>
  <si>
    <t xml:space="preserve">ST-082 review ask: every rule exists to prevent an ill-timed prompt — not before the aha-moment, not before 10 documents, not within 3 days of a failure, not inside a 30-day cooldown, and never again after two dismissals. A prompt at the wrong moment costs a rating rather than earning one. ST-100 partner-review pipeline REFUSES to invite an at-risk account (fix their experience first), refuses to reschedule a decline, excludes declines from the pipeline count, and warns on invitations unanswered for over a week.</t>
  </si>
  <si>
    <t xml:space="preserve">Real partners and a listed app needed to run it</t>
  </si>
  <si>
    <t xml:space="preserve">L-032</t>
  </si>
  <si>
    <t xml:space="preserve">Launch runbook built and RUN against the real current state: go/no-go over 13 checks returns NO-GO with 8 blocking failures (not listed, not deployed, rollback unverified against real infra, status/privacy pages unhosted, billing not live, support unstaffed, monitoring sinks unwired). Watchlist items each carry an action rather than just a threshold; the rollback plan budgets 35 minutes with a verification step for each of its 5 steps; the comms tree names an owner and a deadline per audience. Published as LAUNCH_RUNBOOK.md — written now so launch day is execution, not authoring.</t>
  </si>
  <si>
    <t xml:space="preserve">1 story code-complete; runbook verdict NO-GO</t>
  </si>
  <si>
    <t xml:space="preserve">All 8 blocking items are Senthil or third-party</t>
  </si>
  <si>
    <t xml:space="preserve">L-033</t>
  </si>
  <si>
    <t xml:space="preserve">ST-099 SEO iteration classifies search terms into untargeted, ranking-just-off-page, and high-impressions-low-CTR, ignores anything under 100 impressions rather than chasing noise, sorts by impressions so the biggest lever is first, and recommends EXACTLY ONE change per iteration so the effect is attributable. CODE BACKLOG COMPLETE: 98 of 100 stories Done, 2 In progress (ST-068 needs a third-party pen test, ST-083 needs a running app to record the demo video). Suite 31 files / 516 tests / 100% all metrics / 33 modules / smoke green. Three test-side errors fixed this sprint, none in source.</t>
  </si>
  <si>
    <t xml:space="preserve">ST-099; D13</t>
  </si>
  <si>
    <t xml:space="preserve">S11 3/3 and S12 1/1 code-complete. Total 98/100 Done, 2 In progress (391/399 pts)</t>
  </si>
  <si>
    <t xml:space="preserve">No further code sprints — remaining work is entirely live/third-party</t>
  </si>
  <si>
    <t xml:space="preserve">L-034</t>
  </si>
  <si>
    <t xml:space="preserve">Deployment preparation: src/deployment.ts specifies all 16 environment values with their source (vault / config / platform), validates them (required, https URLs, numeric/boolean kinds, the conditional Stripe key, unknown-variable warnings), and refuses vault-sourced secrets arriving as plain env in production. checkDeploymentReadiness combines that with the S8 posture verifier into one fail-closed gate: a misconfigured instance does not take traffic, which is better than discovering the problem on a customer request. .env.example is generated from the spec so it cannot drift.</t>
  </si>
  <si>
    <t xml:space="preserve">LC-1 prep; D13</t>
  </si>
  <si>
    <t xml:space="preserve">15 new tests; suite 531 at 100%</t>
  </si>
  <si>
    <t xml:space="preserve">L-035</t>
  </si>
  <si>
    <t xml:space="preserve">Three blocker documents written so each external task starts warm: GCP_SETUP_GUIDE.md sequences LC-1 (project, five APIs, consent screen, OAuth client, brand verification, Marketplace SDK) with the prerequisites that must exist first — notably that the privacy policy and status page must be HOSTED before the consent screen will accept the authorised domains, which reorders the work. PENTEST_SCOPING_BRIEF.md scopes the test from the shipped code, names what is out of scope, and lists four design decisions a tester should probe rather than accept. CASA_PREFILL.md answers the assessment from existing evidence and marks three controls NOT YET — encryption-at-rest verification, the restore drill against real backups, and the pen test — rather than answering aspirationally.</t>
  </si>
  <si>
    <t xml:space="preserve">LC-1, LC-3, ST-068 prep</t>
  </si>
  <si>
    <t xml:space="preserve">Three artefacts published; no story status changed</t>
  </si>
  <si>
    <t xml:space="preserve">All three still require Senthil/third-party action</t>
  </si>
  <si>
    <t xml:space="preserve">Live execution</t>
  </si>
  <si>
    <t xml:space="preserve">L-036</t>
  </si>
  <si>
    <t xml:space="preserve">LC-9 template gallery built: 20 templates across 6 categories (invoice, receipt, quote, payment reminder; offer letter, employment contract, performance review, reference; NDA, service agreement, consent form; certificate, report card, enrolment; purchase order, delivery note, work order; meeting summary, onboarding pack, event invitation). Each uses at least one conditional section — the feature the gallery is there to teach — carries required and optional columns so a user knows what they need before committing, and targets named search terms (61 total) because the gallery is the listing's organic-search surface in the GTM plan.</t>
  </si>
  <si>
    <t xml:space="preserve">LC-9; GTM</t>
  </si>
  <si>
    <t xml:space="preserve">LC-9 moves to Done</t>
  </si>
  <si>
    <t xml:space="preserve">L-037</t>
  </si>
  <si>
    <t xml:space="preserve">Gallery proved rather than asserted: a structural validator catches duplicate slugs, rules referencing placeholders or sections that do not exist, sections with no rule (which would always render), and sample rows that cannot fill their own body; then every template is rendered through the REAL TemplateDesigner with its sample row and asserted to leave no unresolved markers. TWO DEFECTS caught by doing this: (1) I had written 22 templates against a target of 20 — trimmed to exactly 20; (2) the purchase-order and event-invitation rules tested control fields that never appear in the body, which the real engine rejects — restructured so both conditions are driven by rendered fields. Neither would have been visible from reading the templates.</t>
  </si>
  <si>
    <t xml:space="preserve">LC-9; D13</t>
  </si>
  <si>
    <t xml:space="preserve">Suite 567 tests / 100% x4 / 35 modules / smoke green</t>
  </si>
  <si>
    <t xml:space="preserve">L-038</t>
  </si>
  <si>
    <t xml:space="preserve">Growth model frame: restates the workbook assumptions as unit economics rather than a cash projection. Fully-loaded CAC charges free-tier support against each conversion — at 6% conversion roughly 17 installs are served per paying customer, so a high-volume free tier is an acquisition cost even with zero marketing spend. The verdict logic separates four cases that a single LTV:CAC number blurs: workable, healthy-ratio-but-slow-payback (needs funding to bridge, not patience), marginal, and loss-making. Three scenarios rather than one forecast, because a plan that only works in the optimistic column is not a plan.</t>
  </si>
  <si>
    <t xml:space="preserve">S12 exit; Financial_Model</t>
  </si>
  <si>
    <t xml:space="preserve">S12 exit In progress (frame built, estimates unmeasured)</t>
  </si>
  <si>
    <t xml:space="preserve">No cohort exists — every input is an assumption</t>
  </si>
  <si>
    <t xml:space="preserve">L-039</t>
  </si>
  <si>
    <t xml:space="preserve">SENSITIVITY FINDING: ranking each input by how much it moves the fully-loaded ratio puts CHURN first, ahead of free-to-paid conversion. Intuition (and my own first test expectation, which the model corrected) reaches for conversion; but lifetime scales LTV directly while conversion mostly moves the free-support cost carried per customer. Halving churn beats doubling conversion. Measurement plan attaches each assumption to instrumentation that already exists (ActivationFunnel, subscription transitions, health scores, install source attribution) so first-cohort data lands without new analysis. One source defect found: display rounding to 2dp turned a 0.45% churn rate into 0, which reads as "no churn" — fixed to keep more places for small magnitudes.</t>
  </si>
  <si>
    <t xml:space="preserve">S12; D13</t>
  </si>
  <si>
    <t xml:space="preserve">Suite 589 tests / 100% x4 / 36 modules / smoke green</t>
  </si>
  <si>
    <t xml:space="preserve">Replace with measured figures after the first cohort</t>
  </si>
  <si>
    <t xml:space="preserve">L-040</t>
  </si>
  <si>
    <t xml:space="preserve">ST-068 vendor outreach pack: a send-ready email that lets a vendor quote from the attached scoping brief instead of a discovery call, plus shortlist filters (credentials on the testers not just the firm; reports previously accepted for marketplace/CASA submissions; fixed price from a written brief; retest included) and a quote-comparison rubric. External copy kept company-agnostic per standing instruction. Advice included that a clean first report on a multi-tenant app usually means a shallow test, not a perfect app.</t>
  </si>
  <si>
    <t xml:space="preserve">ST-068; R-D10</t>
  </si>
  <si>
    <t xml:space="preserve">Outreach ready to send; ST-068 still In progress</t>
  </si>
  <si>
    <t xml:space="preserve">Needs a staging target, or send now stating a target date purely to hold a diary slot</t>
  </si>
  <si>
    <t xml:space="preserve">L-041</t>
  </si>
  <si>
    <t xml:space="preserve">COLD REVIEW PASS 1. Portfolio memory shows every sibling product that declared code-complete then found real defects in code already at 100% coverage; TeleField logged it as L-T1 (review before declaring complete) and the portfolio lesson is F-V14 (coverage proves execution, not correctness). DocMerge had never been reviewed — so the "code phase complete" declaration two turns ago was premature, and this pass proves it. Nine findings, five CRITICAL. Five fixed with pinned regressions: read-only mode and plan limits were both fully built, fully tested, and CALLED FROM NOWHERE, so two behaviours the help centre promises customers were simply absent from the product; OAuth install accepted any code with no state (CSRF); webhooks verified nothing, so an unauthenticated POST could revoke a live account tokens and schedule its data for deletion; and no production backoff existed anywhere because every retry policy came from a test injecting its own no-op sleep. Four left open and logged rather than quietly fixed: DM-F01 (no HTTP app exists behind any route — the setup guide is unrunnable), DM-F07 (caller-declared identity), DM-F08 (eleven unbounded ledgers), DM-F09 (deletion has no implementation behind it, the class that breached published policy in five sibling products).</t>
  </si>
  <si>
    <t xml:space="preserve">L-T1; F-V14; DM-F01..F09</t>
  </si>
  <si>
    <t xml:space="preserve">35 suites / 616 tests at 100%; new Review_Findings sheet</t>
  </si>
  <si>
    <t xml:space="preserve">DM-F01 is the next real work; DM-F07 needs his decision</t>
  </si>
  <si>
    <t xml:space="preserve">Cold-review pass 2</t>
  </si>
  <si>
    <t xml:space="preserve">L-042</t>
  </si>
  <si>
    <t xml:space="preserve">DM-F01 + DM-F07 closed. The product now HAS an application: a framework-free router (literal and :param segments), 7 routes bound to the services that already existed, a server entrypoint with npm start, and a readiness check that refuses to listen on a misconfigured environment rather than failing on the first customer request. Identity comes from HMAC-signed sessions instead of a caller-supplied role parameter — a token whose role field is edited now fails signature verification, and a session issued for one account is refused against another. Every mutating route is authenticated and passes the entitlement gate, so the read-only mode and plan limits fixed earlier are enforced on the wire; reads deliberately stay open so an unpaid customer can still retrieve their work. Unexpected handler failures map to 500 without leaking internals, rather than hanging the request open (sibling M-F21 class). THEN BOOTED IT: healthz returned 200, the install URL carried its CSRF state, an unsigned webhook got 401, an unauthenticated route got 401, an unknown route got 404 — because the sibling lesson is that compiling is not running.</t>
  </si>
  <si>
    <t xml:space="preserve">DM-F01; DM-F07; L-OC4</t>
  </si>
  <si>
    <t xml:space="preserve">36 suites / 650 tests at 100%; server verified over real HTTP</t>
  </si>
  <si>
    <t xml:space="preserve">DM-F08 and DM-F09 still open from pass 1</t>
  </si>
  <si>
    <t xml:space="preserve">Close F08/F09, then pass 2 over the new HTTP layer</t>
  </si>
  <si>
    <t xml:space="preserve">L-043</t>
  </si>
  <si>
    <t xml:space="preserve">DM-F08 and DM-F09 closed, then cold-review PASS 2 over the HTTP layer built an hour earlier — because the sibling lesson (L-OC4) is that new surfaces inherit old blind spots, and OnCall found two criticals in its equivalent layer immediately after building it. F08: 11 ledgers bounded, with eviction COUNTED rather than silent; the hash-chained admin audit was the interesting one — bounding it breaks verification from genesis, so the last evicted digest becomes the chain anchor and verifyChain now reports truncation instead of failing, with sequence numbers still counting so gaps are visible rather than disguised. F09: a PurgeRegistry over 16 stores whose registration check FAILS THE BUILD when a store has no purge target, receipts carrying per-store row counts as evidence, and an incomplete purge reported as incomplete rather than claimed done — plus the database schema that never existed behind the backup drill or the policy, with ON DELETE CASCADE on every account-scoped table so completeness is a property of the schema rather than of code someone must remember to update. PASS 2 found four more, all fixed and all verified by booting the server: uncapped request body (413 on a 2MB POST), abandoned OAuth states accumulating because sweep() was never called — the SAME built-but-never-wired class as F02/F03, which is worth noting because I introduced it while fixing that class — no rate limiting anywhere (429 after 20 install calls, a different caller unaffected), and /healthz handing the build version to anyone.</t>
  </si>
  <si>
    <t xml:space="preserve">DM-F08..F13; L-OC4</t>
  </si>
  <si>
    <t xml:space="preserve">40 suites / 691 tests at 100%; all 13 findings closed; server verified live</t>
  </si>
  <si>
    <t xml:space="preserve">Cold review complete across both passes</t>
  </si>
  <si>
    <t xml:space="preserve">Live execution — Senthil</t>
  </si>
  <si>
    <t xml:space="preserve">L-044</t>
  </si>
  <si>
    <t xml:space="preserve">EXTERNAL VERIFICATION SWEEP vs live Google docs. Two checks, two LIVE-BLOCKING findings — which is the argument for the step: both were invisible to two clean cold-review passes at 100% coverage, because neither is a defect in our code. They are facts about the platform that our design assumed wrongly. VER-DM1: the Workspace Marketplace does not push uninstall webhooks to a developer server, and the licenseNotification API that once reported deletions is deprecated with no replacement — so /webhooks/uninstall was a handler for an event that never arrives, and ST-052 revocation, the 30-day clock, ST-053 restore and the F09 purge chain would all have sat waiting forever in production. Replaced with a reconciler that detects uninstall from license state plus revoked credentials, and that deliberately treats an API outage or unknown state as indeterminate — mistaking an outage for a departure would revoke a live customer and start deleting their data. VER-DM2: Google Forms cannot POST to an arbitrary URL; form submit requires an installable Apps Script trigger that calls UrlFetchApp itself, so the whole F5 feature (10 stories, 42 pts) assumed a capability that does not exist. Shipped apps-script/FormForwarder.gs signing with the scheme the endpoint already verifies, secret in Script Properties, stable response id for dedupe, 5xx-only rethrow so Apps Script retries server failures but not rejections.</t>
  </si>
  <si>
    <t xml:space="preserve">VER-DM1; VER-DM2</t>
  </si>
  <si>
    <t xml:space="preserve">41 suites / 707 tests at 100%</t>
  </si>
  <si>
    <t xml:space="preserve">Form setup flow changes — ST-041 wording and help article owed</t>
  </si>
  <si>
    <t xml:space="preserve">Verification sweep part 2</t>
  </si>
  <si>
    <t xml:space="preserve">L-045</t>
  </si>
  <si>
    <t xml:space="preserve">VER-DM3: the "Workspace add-on sidebar" the product was built against does not exist as described. Google has TWO add-on types with incompatible UI models. The Workspace type is card-based and explicitly forbids HTML/CSS, cannot read the open document, has no Apps Script triggers, and is not available in Google Forms — but reaches mobile and every host app. The Editor type has HTML sidebars, document context and triggers, but is desktop-only and confined to the Editors. Five shipped stories claim the feature "works on the Workspace add-on sidebar in Sheets/Docs end-to-end" while depending on reading the active row, which is document context and unavailable on exactly the surface named; and VER-DM2 form triggers only exist on the Editor type. Twelve stories cannot ship on the Workspace surface as built. I did NOT pick — this is a product decision with real trade-offs on both sides (mobile and cross-app reach vs keeping every shipped feature), so it is logged as D-DM1 with a test-pinned constraint matrix and a decision document rather than quietly resolved in code. Undisputed either way: a 30-second UI action cannot generate hundreds of documents, so batch stays server-side — which our architecture already assumes.</t>
  </si>
  <si>
    <t xml:space="preserve">VER-DM3; D-DM1</t>
  </si>
  <si>
    <t xml:space="preserve">42 suites / 721 tests at 100%</t>
  </si>
  <si>
    <t xml:space="preserve">D-DM1 blocks listing copy, scope narrative, and 5 story descriptions</t>
  </si>
  <si>
    <t xml:space="preserve">Sweep part 3 after D-DM1</t>
  </si>
  <si>
    <t xml:space="preserve">L-046</t>
  </si>
  <si>
    <t xml:space="preserve">VER-DM4: checked our listing spec against the live Marketplace page and every number in it was invented. Eight discrepancies. Two are REQUIRED assets we did not know existed — the application icons (32x32 and 128x128, plus 48x48 and 96x96 now that the project includes a web app) and the 220x140 card banner that appears on listings and in search results. One is a content rule with no check at all: the app name must not contain a Google product name. One is a missing required support link: terms of service, absent from our submission checklist. The rest were limits wrong in the strict direction — we demanded exactly 5 screenshots where 1 to 10 are accepted, rejected two screenshot sizes the platform allows, capped the name at 30 rather than 50, the short description at 120 rather than 200, and the detailed description at 4,000 rather than 16,000 — so the drafted copy was being held to constraints tighter than reality. And the promo video is an optional YouTube LINK, not the captioned 30-120 second upload we specified, which means the demo-video blocker on the board was partly self-inflicted. Rewritten against the verified spec with 13 pinning tests; LISTING_PACK.md regenerated. Sibling precedent: TestPulse found its asset spec wrong in exactly this way.</t>
  </si>
  <si>
    <t xml:space="preserve">VER-DM4; ST-093; ST-094</t>
  </si>
  <si>
    <t xml:space="preserve">42 suites / 729 tests at 100%</t>
  </si>
  <si>
    <t xml:space="preserve">Icons and card banner now needed for submission — new capture items</t>
  </si>
  <si>
    <t xml:space="preserve">Sweep part 4: OAuth verification + CASA</t>
  </si>
  <si>
    <t xml:space="preserve">L-047</t>
  </si>
  <si>
    <t xml:space="preserve">VER-DM5 — the first verification finding that takes work OFF the board. Google routes review by scope CLASSIFICATION, and a CASA security assessment is triggered by RESTRICTED scopes. DocMerge requests none: drive.file is specifically the recommended non-sensitive alternative to the restricted Drive scopes, userinfo.email is non-sensitive, and only spreadsheets.readonly and documents are sensitive — which require Google app verification but not an assessment. CASA has sat on this board as a blocking, multi-week, paid item since S6, driving R-D1 and R-D10 and appearing in the pen-test sequencing advice, all on an assumption nobody had checked. LC-3 is downgraded to "likely not required — confirm in the Cloud console under OAuth consent screen &gt; Data Access" rather than deleted, because classification is per-project and Google may still request an assessment at its discretion; deleting it would trade one unchecked assumption for another. Found in the same pass and NOT previously on the board: verification requires an unlisted YouTube DEMONSTRATION video showing the OAuth grant flow, the consent screen displaying the app name, and detailed in-app use of each sensitive scope — separate from the optional marketing promo video, and recordable only once the app runs. The review path is now derived in code from the classifications rather than assumed, with a test proving CASA appears only when a restricted scope is present.</t>
  </si>
  <si>
    <t xml:space="preserve">VER-DM5; LC-3; R-D1; R-D10</t>
  </si>
  <si>
    <t xml:space="preserve">42 suites / 736 tests at 100%</t>
  </si>
  <si>
    <t xml:space="preserve">LC-3 to be confirmed in console, not booked blind</t>
  </si>
  <si>
    <t xml:space="preserve">Sweep complete — D-DM1 next</t>
  </si>
  <si>
    <t xml:space="preserve">L-048</t>
  </si>
  <si>
    <t xml:space="preserve">R-D4 closed with a Postgres adapter — the risk that has stood since S1, when persistence went behind typed interfaces with in-memory Maps behind them. That was the right call with no schema, but it meant the interfaces had never once been implemented against a database, and the migrations written for DM-F09 were decorative. src/postgres.ts implements TokenStore, AccountRepo and TemplateRepo against the real schema and supplies purge targets for all 18 tables, ordered children-before-parents so the per-table counts are genuine evidence rather than zeroes from an earlier cascade. The SQL client is injected, so there is no pg dependency and the whole adapter is exercisable without a database. Four details that would have bitten in production and are now pinned by tests: BIGINT expiries come back from the driver as STRINGS and are converted explicitly rather than coerced; template and rules write inside one transaction with rollback, because a half-replaced rule set renders wrong output instead of failing; an absent rule value is stored as NULL rather than the string "undefined"; and the two child tables without an account_id column are reached through their parent instead. One test purges using a SQL-injection string and asserts it never appears in any statement text.</t>
  </si>
  <si>
    <t xml:space="preserve">R-D4; DM-D2; DM-F09</t>
  </si>
  <si>
    <t xml:space="preserve">43 suites / 753 tests at 100%</t>
  </si>
  <si>
    <t xml:space="preserve">Remaining stores still in-memory; DM-D2 ratification owed</t>
  </si>
  <si>
    <t xml:space="preserve">D-DM1 then live execution</t>
  </si>
  <si>
    <t xml:space="preserve">L-049</t>
  </si>
  <si>
    <t xml:space="preserve">Continuing the adapter work turned up DM-F14 rather than a routine increment. The remaining in-memory stores are a durability gap: a process restart resets every plan limit, so each deploy silently hands every customer a fresh monthly allowance — a revenue leak that no test would ever catch, because tests start from zero anyway; billing state resets so paying customers appear to be on trial; and the tamper-evident admin audit chain evaporates AND restarts its numbering at genesis, so the loss is not even visible afterwards. Usage counters are fixed end to end: PlanLimitEnforcer now takes a UsageBackend, and WriteThroughUsageBackend serves reads from a cache primed at startup (so the synchronous limit check stays synchronous and fast) while writing through to Postgres via a single atomic upsert — read-then-write would drop increments precisely when a customer is near their limit and two generations land together. Write failures increment a counter rather than failing the customer request, because a limit check must not become failable over a counter write, but a silent failure must still be visible. A test simulates a restart and proves the allowance is preserved. The subscription and admin-audit stores are built and tested — append-only with no update path, and lastSequence so the chain continues across restarts instead of forking a second one — but their services are NOT yet wired to them, and I am flagging that explicitly rather than letting it read as done, because this codebase has already produced two built-but-never-called defects (DM-F02/F03) and I introduced a third (DM-F11) while fixing them.</t>
  </si>
  <si>
    <t xml:space="preserve">DM-F14; R-D4</t>
  </si>
  <si>
    <t xml:space="preserve">43 suites / 770 tests at 100%</t>
  </si>
  <si>
    <t xml:space="preserve">BillingService and AdminAuditLog still unwired to their stores</t>
  </si>
  <si>
    <t xml:space="preserve">Wire them, then telemetry/support</t>
  </si>
  <si>
    <t xml:space="preserve">L-050</t>
  </si>
  <si>
    <t xml:space="preserve">DM-F14 closed: BillingService persists after every mutation — subscribe, plan change, payment failure, each dunning transition, cancel — and AdminAuditLog resumes a tenant chain from storage rather than restarting at genesis. Both use write-through backends that keep reads synchronous and count write failures instead of failing the customer request. DM-F15 FOUND DURING THE WIRING, not by looking for it: the admin audit log had no accountId at all. Every customer shared one chain and one sequence counter, and exportCsv returned the entire log — so a single customer security review would have handed them every other customer admin history: roles changed, members removed, data exports requested. The sequence numbering also leaked each tenant activity volume. The schema written for DM-F09 had keyed admin_audit_entries on (account_id, sequence) since this morning; the code never matched it, and nothing caught the mismatch because the table had no implementation behind it until today — which is the argument for building the adapter rather than leaving the schema decorative. Now scoped per account throughout, with the accountId inside the digest so an entry cannot be replayed into another tenant chain.</t>
  </si>
  <si>
    <t xml:space="preserve">DM-F14; DM-F15; DM-F09</t>
  </si>
  <si>
    <t xml:space="preserve">43 suites / 781 tests at 100%</t>
  </si>
  <si>
    <t xml:space="preserve">DM-F15 raises the question of tenant boundaries elsewhere</t>
  </si>
  <si>
    <t xml:space="preserve">Tenant-isolation sweep across remaining services</t>
  </si>
  <si>
    <t xml:space="preserve">L-051</t>
  </si>
  <si>
    <t xml:space="preserve">Tenant-isolation sweep, run deliberately because DM-F15 turned up by accident an hour earlier. Five more findings. DM-F16 is the serious one and it was exploitable through the HTTP layer I built this morning: template lookups took a templateId and nothing else, and POST /accounts/:accountId/documents reads the templateId from the request body — so an authenticated user of one account could pass another account template id and both read its body and generate documents from it. The session authentication added for DM-F07 established WHO was asking but nothing established WHAT they were entitled to ask for, which is a distinction worth keeping in mind on the other products. DM-F17 is the same shape on signature requests, exposing signer names, emails and document names. DM-F18 is DM-F15 again in the second audit log. All three now enforce ownership centrally rather than at call sites, and report cross-tenant access as "not found" rather than "wrong account" so the id space cannot be probed for what exists — with a test asserting the two failures are indistinguishable. DM-F19 (metrics summaries aggregate across all tenants) and DM-F20 (support inbox unscoped) are logged OPEN, not fixed: whether they are defects depends on whether those numbers are surfaced per-customer or only internally, and that is a decision rather than a bug.</t>
  </si>
  <si>
    <t xml:space="preserve">DM-F16..F20; DM-F15; DM-F07</t>
  </si>
  <si>
    <t xml:space="preserve">43 suites / 786 tests at 100%; smoke green</t>
  </si>
  <si>
    <t xml:space="preserve">DM-F19/F20 need a surfacing decision</t>
  </si>
  <si>
    <t xml:space="preserve">Telemetry/support persistence; D-DM1 still open</t>
  </si>
  <si>
    <t xml:space="preserve">L-052</t>
  </si>
  <si>
    <t xml:space="preserve">Built a portable tenant-isolation gate and wired it into CI as its own step, because DM-F15 was found by accident and DM-F16 by a sweep that followed it — a sweep catches this class once, a gate catches it every commit. It scans for methods that accept an entity id and act on it with no tenant parameter, with the parameter names and id suffixes as CONFIGURATION so the file copies straight into RevRescue, TeleField and FlowCast, where the pattern is identical. It flagged 28 methods on its first run against our own source. Triage produced DM-F21: five genuine clusters the manual sweep missed because the sweep checked READS and these are writes-that-are-not-reads — pause and resume on signature requests, form triggers and batch jobs took only an entity id, so one tenant could pause another tenant work with nothing but a guessed id, which is a denial of service against a competitor; InvoiceBook.renderCsv would render any account invoice including billing contact and tax identifiers; SidebarController.openTemplate read another account template metadata before the downstream ownership check. Fixed by namespacing pause state per account, verifying ownership on e-sign pause/resume, requiring the account on renderCsv, and reporting another account template as missing. The remaining 23 are exempted WITH WRITTEN REASONS rather than silenced — repository primitives whose ownership is enforced a level up, a generic keyed utility callers namespace, signer actions by external parties holding no account, controllers that already carry the account, and the metrics and support cases logged as DM-F19/F20 awaiting your decision. A test asserts every exemption carries a reason, so the list cannot quietly become a dumping ground.</t>
  </si>
  <si>
    <t xml:space="preserve">DM-F21; DM-F15; DM-F16</t>
  </si>
  <si>
    <t xml:space="preserve">44 suites / 797 tests at 100%; gate is its own CI step</t>
  </si>
  <si>
    <t xml:space="preserve">23 exemptions are judgement calls worth a second pair of eyes</t>
  </si>
  <si>
    <t xml:space="preserve">Copy the gate to the sibling products</t>
  </si>
  <si>
    <t xml:space="preserve">L-053</t>
  </si>
  <si>
    <t xml:space="preserve">Audited the 23 tenant-gate exemptions I had written an hour earlier and flagged as judgement calls. One was false, which is DM-F22. The PauseManager exemption claimed that callers passed account-namespaced keys; checking the source showed e-sign passing a bare requestId and batch a bare templateId. I demonstrated the consequence before fixing it: a single shared PauseManager holds template ids, sign-request ids, job ids and trigger ids in ONE namespace, so pausing a template called X also reports a sign request called X as paused. Nothing had broken only because each service happened to be given its own instance — and nothing enforced that. The uncomfortable part is that the exemption was right about the outcome (e-sign is protected, by an ownership check) and wrong about the reason, which is exactly the kind of note that passes a security review unchallenged. Fixed by making pauseKey(entity, accountId, entityId) the only way keys are formed across templates, sign requests, batch jobs, form triggers and filing. More importantly the exemptions are no longer prose: three tests now VERIFY their claims — one scans the source and fails the build if any PauseManager call omits pauseKey, one proves two entity types sharing an id cannot collide, one asserts that only the designer and the sidebar touch a template repository directly. An exemption without a test is a comment.</t>
  </si>
  <si>
    <t xml:space="preserve">DM-F22; DM-F21</t>
  </si>
  <si>
    <t xml:space="preserve">44 suites / 801 tests at 100%; smoke green</t>
  </si>
  <si>
    <t xml:space="preserve">22 exemptions remain reasoned but only 3 are test-verified</t>
  </si>
  <si>
    <t xml:space="preserve">Copy the gate to siblings; DM-F19/F20 decision</t>
  </si>
  <si>
    <t xml:space="preserve">L-054</t>
  </si>
  <si>
    <t xml:space="preserve">Converted the remaining 22 tenant-gate exemptions from prose into verified claims, closing the gap DM-F22 exposed an hour earlier. Each exemption asserts that a protection exists somewhere else; until now nothing checked whether it did, and one of them was wrong about its reason while right about its outcome — which is the version that survives review. The claims are now checked against behaviour or source: the sandbox holds no account, store or repository reference and its sessions are distinct under the real id generator; purgeAccount takes the account as its subject; the status page contains no tenant concept at all; signer actions reject a stranger holding a valid request id and accept a listed signer who has no account, which is what makes the exemption legitimate rather than convenient; a batch sidebar bound to one account cannot run another account template; both sidebar controllers stamp their own account onto what they create rather than trusting a caller-supplied one; and per-entity metrics and the support inbox are confirmed absent from every HTTP route, which is exactly what keeps DM-F19 and DM-F20 open product decisions rather than live data leaks. Added a meta-gate: unverifiedExemptions() fails the build when an exemption is added without a test naming it, with its own test proving the meta-gate catches such an addition. One fixture error found and fixed along the way — I had pinned the sandbox id generator to a constant, which made the distinctness assertion meaningless.</t>
  </si>
  <si>
    <t xml:space="preserve">DM-F23; DM-F22; DM-F19; DM-F20</t>
  </si>
  <si>
    <t xml:space="preserve">44 suites / 812 tests at 100%; smoke green</t>
  </si>
  <si>
    <t xml:space="preserve">Gate + meta-gate ready to copy to siblings</t>
  </si>
  <si>
    <t xml:space="preserve">DM-F19/F20 and D-DM1 are yours</t>
  </si>
  <si>
    <t xml:space="preserve">L-055</t>
  </si>
  <si>
    <t xml:space="preserve">VER-DM6: checked our capacity promises against the platform that has to honour them, and they contradict it. The Docs API allows 60 WRITE requests per minute per user per project. ST-087 set a 1500ms p95 budget per generated row, and ST-088 drove 100 requests a minute at 5x expected traffic and reported PASS. One user cannot exceed one document per second however fast our code is; past 60 in a minute they get 429s and our own backoff makes the p95 worse rather than better. The consequence nobody had written down: a 500-row batch for a single customer cannot complete in under EIGHT MINUTES, which is absent from every estimate, SLO and board entry we have produced. The load test had never touched the ceiling because it drove an injected worker — R-D9 said the numbers proved the harness rather than capacity, and this is that warning with the actual figure attached. Fixed by recording the verified quotas with their sources and refusing to guess an unrecorded one, adding a feasibility check that fails the build when an internal promise exceeds an external quota, a per-account governor that paces instead of earning 429s and reports an honest completion estimate, and making runLoadTest refuse to pass a profile that drives more than a declared platform ceiling. Also recorded while there: Apps Script UrlFetch is capped at 20,000 calls a day for consumer accounts and 100,000 for Workspace, which is the real per-customer ceiling on the form forwarder shipped for VER-DM2 and was likewise unexamined.</t>
  </si>
  <si>
    <t xml:space="preserve">VER-DM6; ST-087; ST-088; R-D9; VER-DM2</t>
  </si>
  <si>
    <t xml:space="preserve">45 suites / 827 tests at 100%; smoke green</t>
  </si>
  <si>
    <t xml:space="preserve">Batch runner not yet paced through the governor; help-centre timing wording owed</t>
  </si>
  <si>
    <t xml:space="preserve">Pace the runner; copy gates to siblings</t>
  </si>
  <si>
    <t xml:space="preserve">L-056</t>
  </si>
  <si>
    <t xml:space="preserve">Closed the two items I flagged as still owed on VER-DM6 rather than leaving them to read as done. The batch runner now paces THROUGH the QuotaGovernor, waiting before each write rather than after a rejection — waiting on our side costs only the wait, whereas being throttled costs a round trip, a backoff, and a slice of the customer's remaining Docs quota that their other tools also need. BatchResult reports quotaWaitMs separately from everything else, so a long batch reads as "paced by Google's limit" rather than "the product is slow", which is the difference between an understood wait and a support ticket. Metering is per account, proven by a test in which one customer exhausting their allowance leaves another entirely unaffected. The help-centre article now states the real figures — about 60 documents a minute, roughly eight minutes for 500 and sixteen for 1,000 — and I checked it is findable by the questions people will actually type: "how long", "slow" and "quota" all return it. One of my test expectations was wrong while the code was right: rows run in bursts because a single wait clears the whole minute-window, so seven rows at a ceiling of three cost two waits rather than four, and the test now says so with the reason.</t>
  </si>
  <si>
    <t xml:space="preserve">VER-DM6; ST-012; ST-080</t>
  </si>
  <si>
    <t xml:space="preserve">45 suites / 830 tests at 100%; smoke green</t>
  </si>
  <si>
    <t xml:space="preserve">Nothing owed on VER-DM6</t>
  </si>
  <si>
    <t xml:space="preserve">Copy the gates to siblings; DM-F19/F20 and D-DM1 are yours</t>
  </si>
  <si>
    <t xml:space="preserve">L-057</t>
  </si>
  <si>
    <t xml:space="preserve">Extracted the portfolio guard kit so the sibling products can act on today's findings without waiting for me to have their code. Four modules, verified to have ZERO imports of any kind, so dropping them in brings nothing else with it: tenantGate with its meta-gate, ledger, purge, platformQuotas. Two corrections made during extraction rather than after. First, platformQuotas was parameterised — the mechanism ports but Google's 60-writes-per-minute has no business in a Zoho or Xero product, and inheriting it silently would be exactly the unchecked assumption the module exists to prevent. Second, I copied DocMerge's tenantGate test into the kit and then removed it: it imports designerOps, esign, batchOps and half the product, so it would not have compiled anywhere else, and shipping it would have been a kit that looks complete and fails on first use. The kit now carries a template test with no product imports. README records what each gate caught HERE as evidence rather than describing the gates abstractly, and TRIAGE.md gives the five questions to ask on a first run — DocMerge flagged 28 methods and only five clusters were genuine, so a team that exempts without triaging converts the gate into decoration.</t>
  </si>
  <si>
    <t xml:space="preserve">Guard kit; DM-F16..F23; VER-DM6</t>
  </si>
  <si>
    <t xml:space="preserve">45 suites / 832 tests at 100%</t>
  </si>
  <si>
    <t xml:space="preserve">Kit is untested against a real sibling codebase</t>
  </si>
  <si>
    <t xml:space="preserve">Run it against a sibling when available</t>
  </si>
  <si>
    <t xml:space="preserve">L-058</t>
  </si>
  <si>
    <t xml:space="preserve">VER-DM7: the quota module built an hour ago caught a gap in itself. It refuses to guess an unrecorded quota, and the filing path tripped that refusal immediately — we write to Drive for every generated document and had recorded no Drive limit at all. Checking produced an awkward answer rather than a clean one: Google is mid-migration between a request-count model (12,000 queries per 60 seconds per user on one published page) and a quota-unit model (1,000,000 units per minute per project, 325,000 per user on another), with projects that used the API before May 2026 reportedly keeping legacy counts until the rollout completes. Which applies depends on the age of a project we have not created yet. I recorded the conservative figure WITH the ambiguity attached and added a caveat field so an unreliable quota is visibly unreliable, rather than resolving it by choosing whichever number suited the plan — that choice is precisely the unchecked assumption the module exists to prevent. The useful conclusion is reassuring: on every published model Drive sits two orders of magnitude above the Docs ceiling of 60 writes per minute per user, so filing is not the binding constraint on a batch and the governor is already configured to the one that is. Added bindingConstraint() to compute which API throttles first, with a test proving Docs governs today and another proving that a future quota change reversing it would surface rather than silently slowing every customer run. One test correctly failed during the change — it had asserted Drive was unrecorded, which was true until this finding closed it.</t>
  </si>
  <si>
    <t xml:space="preserve">VER-DM7; VER-DM6; ST-031</t>
  </si>
  <si>
    <t xml:space="preserve">45 suites / 836 tests at 100%; smoke green; guard kit refreshed</t>
  </si>
  <si>
    <t xml:space="preserve">Drive figure must be re-verified against the real project (LC-1)</t>
  </si>
  <si>
    <t xml:space="preserve">D-DM1, DM-F19/F20, LC-1 chain</t>
  </si>
  <si>
    <t xml:space="preserve">L-059</t>
  </si>
  <si>
    <t xml:space="preserve">Wrote STATE_OF_DOCMERGE.md rather than another module, because thirty findings and sixty-two log entries are not a thing anyone can act on. It states the position in one paragraph, lists the three decisions owed with what each costs if deferred, gives the eight external actions in their corrected order (hosting before the consent screen, since the screen requires verified authorised domains — a sequencing error I made earlier today and corrected as R-D15), and records the five lessons that outlast the individual fixes: coverage proves execution rather than correctness, since read-only mode and plan limits were fully built and tested and called from nowhere; authentication is not authorisation, and having signed sessions made the missing entitlement check look done; internal review cannot see platform reality, as two clean passes found nothing and a live-documentation sweep then found seven findings in seven checks; a plausible reason survives review indefinitely, which is why exemptions are now tests; and a sweep finds a class once while a gate finds it every commit. It closes with the assessment I would want on the record: the product has been code-complete since roughly 11:00 and has not moved one step closer to a customer since, because everything remaining needs a domain, a project, a budget or a decision — and the highest-value hour available is registering a domain and creating the GCP project, which unblocks seven of the eight remaining actions.</t>
  </si>
  <si>
    <t xml:space="preserve">All findings; D-DM1; R-D15; LC-1</t>
  </si>
  <si>
    <t xml:space="preserve">45 suites / 836 tests at 100%</t>
  </si>
  <si>
    <t xml:space="preserve">Nothing further without a decision, a sibling codebase, or live infrastructure</t>
  </si>
  <si>
    <t xml:space="preserve">Senthil</t>
  </si>
  <si>
    <t xml:space="preserve">Append one row per working session. Entry IDs L-NNN sequential. Decision refs point to portfolio decisions (D-series) or Version_Control rows.</t>
  </si>
  <si>
    <t xml:space="preserve">TRACEABILITY MATRIX — story → code → tests → coverage (D13: 100% gate on all shipped code)</t>
  </si>
  <si>
    <t xml:space="preserve">Story ID</t>
  </si>
  <si>
    <t xml:space="preserve">Requirement (from Full_Backlog)</t>
  </si>
  <si>
    <t xml:space="preserve">Source module(s)</t>
  </si>
  <si>
    <t xml:space="preserve">Test file(s) / evidence</t>
  </si>
  <si>
    <t xml:space="preserve">Coverage</t>
  </si>
  <si>
    <t xml:space="preserve">docmerge-pro-s1/src/oauth.ts (exchangeCode); src/install.ts (InstallService, INSTALL_BUDGET_MS, MemoryAccountRepo)</t>
  </si>
  <si>
    <t xml:space="preserve">tests/oauth.test.ts (exchange + missing-refresh-token error); tests/install.test.ts (welcome state, 2-min budget pass/fail, default source, repo behaviours)</t>
  </si>
  <si>
    <t xml:space="preserve">100% stmt/branch/func/line</t>
  </si>
  <si>
    <t xml:space="preserve">src/oauth.ts (revoke); src/uninstall.ts (UninstallService, RETENTION_WINDOW_MS 30d, MemoryDeletionScheduler)</t>
  </si>
  <si>
    <t xml:space="preserve">tests/uninstall.test.ts (revoke + delete + schedule at retention boundary, partial-install path, webhook-replay idempotency); tests/oauth.test.ts (revoke endpoint)</t>
  </si>
  <si>
    <t xml:space="preserve">src/oauth.ts (refresh, rotation adoption); src/tokenRefresh.ts (TokenRefreshManager, EXPIRY_SKEW_MS, invalid_grant → re-auth, single retry)</t>
  </si>
  <si>
    <t xml:space="preserve">tests/tokenRefresh.test.ts (fresh/skew, non-rotated + rotated refresh persisted, invalid_grant clears credential, transient retry succeed/fail); tests/oauth.test.ts (rotation)</t>
  </si>
  <si>
    <t xml:space="preserve">src/telemetry.ts (normaliseSource, Telemetry.trackInstall, sink-failure isolation)</t>
  </si>
  <si>
    <t xml:space="preserve">tests/telemetry.test.ts (all 3 valid sources, unknown/undefined fallback, event envelope, dropped-event counting); tests/install.test.ts (attribution through install flow)</t>
  </si>
  <si>
    <t xml:space="preserve">docmerge-pro-s1/src/templates.ts (TemplateDesigner.createWithDefaults — pdf output, filename pattern, destination folder defaulted; name+body only)</t>
  </si>
  <si>
    <t xml:space="preserve">tests/templates.test.ts (defaults object pinned; member denial; default id/clock)</t>
  </si>
  <si>
    <t xml:space="preserve">src/templates.ts (renderPreview: extractPlaceholders/extractSections, section rules applied, full substitution; TemplateValidationError with per-field Sheet-column hints)</t>
  </si>
  <si>
    <t xml:space="preserve">tests/templates.test.ts (end-to-end render, section include/exclude, all operators true+false, empty-value falsity, evaluateRule undefined guards, missing-field messages)</t>
  </si>
  <si>
    <t xml:space="preserve">src/templates.ts (setRules: validates rule fields against placeholders, sections against body, comparison values present; multi-problem aggregation)</t>
  </si>
  <si>
    <t xml:space="preserve">tests/templates.test.ts (valid persist, unknown field, unknown section, missing value, aggregated problems, missing template, member denial)</t>
  </si>
  <si>
    <t xml:space="preserve">src/platformErrors.ts (mapPlatformFailure 429/5xx/403/404/unknown -&gt; typed user messages with retry paths; withRetry exponential backoff, non-retryable passthrough)</t>
  </si>
  <si>
    <t xml:space="preserve">tests/platformErrors.test.ts (every failure kind, backoff delays 100/200, exhaustion, non-retry single call, pre-mapped passthrough)</t>
  </si>
  <si>
    <t xml:space="preserve">src/sidebar.ts (SidebarController: injected SidebarHost for Sheets/Docs; open/list, openTemplate, previewFromActiveRow)</t>
  </si>
  <si>
    <t xml:space="preserve">tests/sidebar.test.ts (full sheets flow end-to-end, docs fallback, missing template, no-template guard, state copy)</t>
  </si>
  <si>
    <t xml:space="preserve">src/designerOps.ts (TemplateMetrics: renders/failures/successRate/p95/trendDelta per period)</t>
  </si>
  <si>
    <t xml:space="preserve">tests/designerOps.test.ts (summary values, trend vs previous period, empty neutral summary, default clock)</t>
  </si>
  <si>
    <t xml:space="preserve">src/designerOps.ts (AuditLog; AuditedTemplateDesigner wrapping create/setRules/render — denied attempts recorded then re-thrown)</t>
  </si>
  <si>
    <t xml:space="preserve">tests/designerOps.test.ts (allowed ops logged, denied logged + rethrown, non-permission failures not logged, target filter)</t>
  </si>
  <si>
    <t xml:space="preserve">src/designerOps.ts (PauseManager: flag-only pause/resume; TemplatePausedError with no-data-loss message); render gate used by batch</t>
  </si>
  <si>
    <t xml:space="preserve">tests/designerOps.test.ts (pause/resume/isPaused, assertActive both paths); tests/batch.test.ts (paused-template refusal)</t>
  </si>
  <si>
    <t xml:space="preserve">src/importerNotifications.ts (parseCsv RFC4180-ish; TemplateImporter.importCsv partial success + row-numbered errors; importCompetitorCsv with &lt;&lt;x&gt;&gt; -&gt; {{x}} conversion)</t>
  </si>
  <si>
    <t xml:space="preserve">tests/importerNotifications.test.ts (quoted/escaped/CRLF/empty CSV, header validation, partial import, member denial, competitor conversion end-to-end)</t>
  </si>
  <si>
    <t xml:space="preserve">src/importerNotifications.ts (NotificationCenter: in_app+email fan-out, per-type per-account mute/unmute)</t>
  </si>
  <si>
    <t xml:space="preserve">tests/importerNotifications.test.ts (fan-out envelope, mute isolation by type+account, unmute restore, no-op unmute, mute accumulation)</t>
  </si>
  <si>
    <t xml:space="preserve">src/batch.ts (BatchGenerator.createJobWithDefaults: skipEmptyRows, continueOnError, output pattern defaulted)</t>
  </si>
  <si>
    <t xml:space="preserve">tests/batch.test.ts (defaults object pinned, default id maker)</t>
  </si>
  <si>
    <t xml:space="preserve">src/batch.ts (run: per-row render via designer, RowResult outputs, generated/skipped/failed summary)</t>
  </si>
  <si>
    <t xml:space="preserve">tests/batch.test.ts (multi-row happy path, empty-row skip on/off)</t>
  </si>
  <si>
    <t xml:space="preserve">src/batch.ts (withRules; row filters reuse templates.evaluateRule — all rules must pass)</t>
  </si>
  <si>
    <t xml:space="preserve">tests/batch.test.ts (mixed pass/fail rows across not_empty + equals rules)</t>
  </si>
  <si>
    <t xml:space="preserve">src/batch.ts (per-row withRetry; PlatformApiError userMessage + retryable surfaced; retryableRows; continueOnError break) + src/platformErrors.ts fix (non-platform errors pass through unmapped)</t>
  </si>
  <si>
    <t xml:space="preserve">tests/batch.test.ts (transient retry success, exhausted 429 retryable, 403 non-retryable, validation message surfaced, stop-on-error, pre-mapped passthrough); tests/platformErrors.test.ts (pass-through incl. null)</t>
  </si>
  <si>
    <t xml:space="preserve">src/batchOps.ts (BatchSidebarController: configure -&gt; runFromSheet -&gt; results; host + row source injected)</t>
  </si>
  <si>
    <t xml:space="preserve">tests/batchOps.test.ts (full flow end-to-end, unconfigured guard, no-rows guard for undefined+empty, state copy); e2e.smoke.test.ts step 6</t>
  </si>
  <si>
    <t xml:space="preserve">src/batchOps.ts (BatchMetrics: runs, rowsGenerated/Failed, failureRate, avgDurationMs, trendDelta per period)</t>
  </si>
  <si>
    <t xml:space="preserve">tests/batchOps.test.ts (aggregation, trend vs previous period, neutral empty, default clock)</t>
  </si>
  <si>
    <t xml:space="preserve">src/batchOps.ts (GovernedBatchRunner: assertPermission up front; audit allow AND deny; deny rethrown)</t>
  </si>
  <si>
    <t xml:space="preserve">tests/batchOps.test.ts (allow audited, spied denial audited + no run, non-permission rethrow unaudited); e2e.smoke.test.ts step 7</t>
  </si>
  <si>
    <t xml:space="preserve">src/batchOps.ts (job-level PauseManager reuse: pauseJob/resumeJob/isJobPaused; run gate, flag-only)</t>
  </si>
  <si>
    <t xml:space="preserve">tests/batchOps.test.ts (pause refuses with no-data-loss message, resume runs); e2e.smoke.test.ts step 8</t>
  </si>
  <si>
    <t xml:space="preserve">src/batchOps.ts (importRowsCsv: header validation, per-row cell-count check, partial success; importCompetitorRowsCsv converts &lt;&lt;x&gt;&gt; in values)</t>
  </si>
  <si>
    <t xml:space="preserve">tests/batchOps.test.ts (mapping, short-row report, empty CSV + empty header rejection, competitor conversion); e2e.smoke.test.ts step 5</t>
  </si>
  <si>
    <t xml:space="preserve">src/batchOps.ts (GovernedBatchRunner notify: batch_completed / batch_failed with failed + retryable counts via NotificationCenter mute rules)</t>
  </si>
  <si>
    <t xml:space="preserve">tests/batchOps.test.ts (completion fan-out, failure message content, per-type mute suppression)</t>
  </si>
  <si>
    <t xml:space="preserve">src/esign.ts (EsignService.createWithDefaults: sequential + 14-day expiry defaults; signer/email validation)</t>
  </si>
  <si>
    <t xml:space="preserve">tests/esign.test.ts (defaults pinned, empty/invalid signer problems, member denial audited)</t>
  </si>
  <si>
    <t xml:space="preserve">src/esign.ts (send/sign/decline/expireIfDue state machine; sequential order enforcement; completion detection; next-signer delivery)</t>
  </si>
  <si>
    <t xml:space="preserve">tests/esign.test.ts (sequential + parallel happy paths, turn enforcement message, double-send/sign guards, decline with reason, expiry)</t>
  </si>
  <si>
    <t xml:space="preserve">src/esign.ts (setRules: draft-only, expiry 1-90 validation, allowedDomains checked against signers, multi-problem aggregation)</t>
  </si>
  <si>
    <t xml:space="preserve">tests/esign.test.ts (valid update, bad expiry, out-of-domain problems x2, post-send refusal, missing request)</t>
  </si>
  <si>
    <t xml:space="preserve">src/esign.ts (delivery via withRetry; mapped PlatformApiError surfaced; draft state preserved on exhausted failure)</t>
  </si>
  <si>
    <t xml:space="preserve">tests/esign.test.ts (transient retry success, 429 exhaustion -&gt; rate_limited + status stays draft)</t>
  </si>
  <si>
    <t xml:space="preserve">src/esignOps.ts (EsignSidebarController: create -&gt; send -&gt; track/refresh with transition detection)</t>
  </si>
  <si>
    <t xml:space="preserve">tests/esignOps.test.ts (end-to-end to completion, decline once, expiry on refresh, guards, state copy)</t>
  </si>
  <si>
    <t xml:space="preserve">src/esign.ts (EsignMetrics: sent/completed/declined, completionRate, avgTurnaroundMs, trendDelta)</t>
  </si>
  <si>
    <t xml:space="preserve">tests/esign.test.ts (summary values, trend, neutral empty, default clock)</t>
  </si>
  <si>
    <t xml:space="preserve">src/esign.ts (audited/auditedAsync wrappers on create/setRules/send: allow + deny recorded, deny rethrown)</t>
  </si>
  <si>
    <t xml:space="preserve">tests/esign.test.ts (member denial audited, spied send denial audited + no delivery, bogus-role rethrow unaudited, allow entries)</t>
  </si>
  <si>
    <t xml:space="preserve">src/esign.ts (pause/resume via PauseManager on send/sign/decline; signatures collected so far untouched)</t>
  </si>
  <si>
    <t xml:space="preserve">tests/esign.test.ts (paused send/sign/decline refused with no-data-loss message, resume continues with signatures intact)</t>
  </si>
  <si>
    <t xml:space="preserve">src/esign.ts (importSignersCsv: name+email header validation, per-row email validation, partial success; competitor variant cleans &lt;&lt;legacy&gt;&gt; names)</t>
  </si>
  <si>
    <t xml:space="preserve">tests/esign.test.ts (valid+invalid rows by number, empty/missing-header rejection, competitor conversion)</t>
  </si>
  <si>
    <t xml:space="preserve">src/esignOps.ts (EsignNotifier: esign_sent/completed/declined with reason handling) + NotificationType extended</t>
  </si>
  <si>
    <t xml:space="preserve">tests/esignOps.test.ts (sent/completed/declined messages, no-reason variant, per-type mute, single-fire on transition)</t>
  </si>
  <si>
    <t xml:space="preserve">src/driveFiler.ts (createFilingConfigWithDefaults: folder/name patterns, rename policy, empty rules)</t>
  </si>
  <si>
    <t xml:space="preserve">tests/driveFiler.test.ts (defaults pinned)</t>
  </si>
  <si>
    <t xml:space="preserve">src/driveFiler.ts (FilingService.file: token merge, ensureFolder, create; resolvePattern with named missing-token errors)</t>
  </si>
  <si>
    <t xml:space="preserve">tests/driveFiler.test.ts (happy path with built-in tokens, content persisted, default clock)</t>
  </si>
  <si>
    <t xml:space="preserve">src/driveFiler.ts (pickFolderPattern: first matching routing rule wins, default fallback)</t>
  </si>
  <si>
    <t xml:space="preserve">tests/driveFiler.test.ts (match/second-rule/fallback, row-field folder patterns)</t>
  </si>
  <si>
    <t xml:space="preserve">src/driveFiler.ts (all Drive ops under withRetry; mapped 429/5xx/403 surfaced)</t>
  </si>
  <si>
    <t xml:space="preserve">tests/driveFiler.test.ts (transient retry, exhausted 429, 403 no-retry, validation naming)</t>
  </si>
  <si>
    <t xml:space="preserve">src/driveFilerOps.ts (FilingSidebarController: configure -&gt; fileLastBatch -&gt; results)</t>
  </si>
  <si>
    <t xml:space="preserve">tests/driveFilerOps.test.ts (end-to-end, unconfigured/no-batch/zero-generated guidance, state copy)</t>
  </si>
  <si>
    <t xml:space="preserve">src/driveFilerOps.ts (FilingMetrics: filed/renamed/skipped/failures, avgLatencyMs, trendDelta)</t>
  </si>
  <si>
    <t xml:space="preserve">tests/driveFilerOps.test.ts (aggregation + trend + neutral empty + default clock)</t>
  </si>
  <si>
    <t xml:space="preserve">src/driveFilerOps.ts (GovernedFilingRunner: assertPermission + allow/deny audit on setRoutingRules and fileBatch)</t>
  </si>
  <si>
    <t xml:space="preserve">tests/driveFilerOps.test.ts (allow, member deny audited, spied deny on filing, bogus-role rethrow)</t>
  </si>
  <si>
    <t xml:space="preserve">src/driveFilerOps.ts (account-scoped pause via PauseManager; flag-only)</t>
  </si>
  <si>
    <t xml:space="preserve">tests/driveFilerOps.test.ts (paused refusal, resume files)</t>
  </si>
  <si>
    <t xml:space="preserve">src/driveFilerOps.ts (importRoutingRulesCsv: header + operator validation, partial success; competitor folder-pattern conversion)</t>
  </si>
  <si>
    <t xml:space="preserve">tests/driveFilerOps.test.ts (valid/invalid rows, header rejection, value-less not_empty, competitor)</t>
  </si>
  <si>
    <t xml:space="preserve">src/driveFilerOps.ts (filing_completed/filing_failed with counts via NotificationCenter)</t>
  </si>
  <si>
    <t xml:space="preserve">tests/driveFilerOps.test.ts (both messages, per-type mute)</t>
  </si>
  <si>
    <t xml:space="preserve">src/formTrigger.ts (createTriggerWithDefaults, mapAnswers)</t>
  </si>
  <si>
    <t xml:space="preserve">tests/formTrigger.test.ts (defaults pinned, mapped + passthrough answers)</t>
  </si>
  <si>
    <t xml:space="preserve">src/formTrigger.ts (handleSubmission pipeline with processed-id dedupe)</t>
  </si>
  <si>
    <t xml:space="preserve">tests/formTrigger.test.ts (generate, redelivery duplicate, blank skip, wrong-form rejection, notify toggle)</t>
  </si>
  <si>
    <t xml:space="preserve">src/formTrigger.ts (setConditions with operator validation + audit; evaluateRule gate)</t>
  </si>
  <si>
    <t xml:space="preserve">tests/formTrigger.test.ts (condition skip/pass, missing-value rejection, member deny, bogus-role rethrow)</t>
  </si>
  <si>
    <t xml:space="preserve">src/formTrigger.ts (failure-as-result; withRetry; retryable flag; unprocessed on failure)</t>
  </si>
  <si>
    <t xml:space="preserve">tests/formTrigger.test.ts (validation failure result, redelivery retry succeeds, 429 mapped + retryable)</t>
  </si>
  <si>
    <t xml:space="preserve">src/formTrigger.ts (FormSidebarController connect -&gt; receive -&gt; activity feed)</t>
  </si>
  <si>
    <t xml:space="preserve">tests/formTrigger.test.ts (end-to-end, 20-item cap newest-first, unconnected guard, state copy, default id)</t>
  </si>
  <si>
    <t xml:space="preserve">src/formTrigger.ts (FormMetrics: received/generated/duplicates/skipped/failures, latency, trend)</t>
  </si>
  <si>
    <t xml:space="preserve">tests/formTrigger.test.ts (full aggregation, empty summary, default clock)</t>
  </si>
  <si>
    <t xml:space="preserve">src/formTrigger.ts (assertPermission + allow/deny audit on conditions and submissions)</t>
  </si>
  <si>
    <t xml:space="preserve">tests/formTrigger.test.ts (spied denial audited, bogus-role unaudited, allow entries)</t>
  </si>
  <si>
    <t xml:space="preserve">src/formTrigger.ts (pause/resume via PauseManager, flag-only)</t>
  </si>
  <si>
    <t xml:space="preserve">tests/formTrigger.test.ts (paused refusal, resume processes)</t>
  </si>
  <si>
    <t xml:space="preserve">src/formTrigger.ts (importFieldMapCsv + competitor variant, duplicate-question detection)</t>
  </si>
  <si>
    <t xml:space="preserve">tests/formTrigger.test.ts (valid/invalid/duplicate rows, header rejection, &lt;&lt;x&gt;&gt; conversion)</t>
  </si>
  <si>
    <t xml:space="preserve">src/formTrigger.ts (form_generated / form_failed via NotificationCenter, mute-aware)</t>
  </si>
  <si>
    <t xml:space="preserve">tests/formTrigger.test.ts (both events, notify toggle, retry wording)</t>
  </si>
  <si>
    <t xml:space="preserve">src/reinstall.ts (ReinstallService: pending_deletion + unexpired job -&gt; cancel deletion, reactivate, re-issue tokens, app_reinstalled; else fresh install; MemoryCancellableDeletionScheduler)</t>
  </si>
  <si>
    <t xml:space="preserve">tests/reinstall.test.ts (restore within window, window expired, no job, active account, brand-new, default attribution, default clock, scheduler ops)</t>
  </si>
  <si>
    <t xml:space="preserve">src/permissions.ts (PERMISSION_MATRIX owner/admin/member x 7 actions; assertPermission -&gt; PermissionError); enforced in templates.ts guard()</t>
  </si>
  <si>
    <t xml:space="preserve">tests/permissions.test.ts (all 21 matrix cells pinned, matrix/isAllowed parity, allow + typed deny); tests/templates.test.ts (denials at create/setRules)</t>
  </si>
  <si>
    <t xml:space="preserve">src/billing.ts (startTrial no-card; trialBanner honest day counts incl. singular/ended/hidden)</t>
  </si>
  <si>
    <t xml:space="preserve">tests/billing.test.ts (14-&gt;1-&gt;0 banner, no charges recorded, double-trial guard)</t>
  </si>
  <si>
    <t xml:space="preserve">src/billing.ts (prorate: (to-from)*daysRemaining/30 both directions; changePlan charges upgrades, credits downgrades, declined leaves plan unchanged)</t>
  </si>
  <si>
    <t xml:space="preserve">tests/billing.test.ts (11.33 upgrade / -8.50 credit to the cent, precondition guards)</t>
  </si>
  <si>
    <t xml:space="preserve">src/billing.ts (pickProvider marketplace-vs-stripe; dunning: idempotent past_due, 1/3/7 retries, recovery, grace, downgrade to free with data intact)</t>
  </si>
  <si>
    <t xml:space="preserve">tests/billing.test.ts (provider routing, full schedule walk day-by-day, recovery, no-op paths)</t>
  </si>
  <si>
    <t xml:space="preserve">src/billingHardening.ts (DunningNotifier: 1/3/7 emails with catch-up, 7-day grace, read-only terminal state, assertWritable gate, ReadOnlyModeError)</t>
  </si>
  <si>
    <t xml:space="preserve">tests/billingHardening.test.ts (schedule walk, catch-up tick, exactly-3-emails cap, read-only block + resolve, no-episode passthrough, begin-required guard)</t>
  </si>
  <si>
    <t xml:space="preserve">src/billingHardening.ts (PLAN_LIMITS per plan; PlanLimitEnforcer.check with none/warning/blocking prompts at 80%/100%; resetMonthly)</t>
  </si>
  <si>
    <t xml:space="preserve">tests/billingHardening.test.ts (below-80 silence, exact-80 warning, at/over-100 block, plan scaling, all three limit keys, monthly reset isolation)</t>
  </si>
  <si>
    <t xml:space="preserve">src/billingHardening.ts (InvoiceBook: numbered invoices, GST/VAT computation, tax-ID notes, B2B reverse charge, multi-line rounding, renderCsv receipts)</t>
  </si>
  <si>
    <t xml:space="preserve">tests/billingHardening.test.ts (VAT/GST totals, reverse charge with and without tax id, multi-line rounding, empty rejection, defensive copies, CSV content, unknown id)</t>
  </si>
  <si>
    <t xml:space="preserve">src/billingHardening.ts (CancellationFlow: reason-matched save-offers, once-per-account, exit survey + reasonCounts, access-to-period-end on cancel)</t>
  </si>
  <si>
    <t xml:space="preserve">tests/billingHardening.test.ts (all 5 reasons mapped, offer-once, saved path, declined path with accessUntil, exhausted-offer cancels, reason aggregation)</t>
  </si>
  <si>
    <t xml:space="preserve">src/scopes.ts (SCOPE_MANIFEST 1:1 scope-&gt;feature-&gt;stories with why-not-narrower; auditScopes; renderScopeNarrative) + generated SCOPE_NARRATIVE.md</t>
  </si>
  <si>
    <t xml:space="preserve">tests/scopes.test.ts (shipped manifest passes audit, no broad drive/sheets scopes, every failure mode: no stories, unshipped stories, missing justification, duplicates, narrower-exists; narrative table shape)</t>
  </si>
  <si>
    <t xml:space="preserve">src/security.ts (DATA_FLOW_NODES/EDGES, RETENTION_POLICY, validateDataFlow, renderRetentionPolicy) + DATA_FLOW_AND_RETENTION.md</t>
  </si>
  <si>
    <t xml:space="preserve">tests/security.test.ts (published diagram validates; unknown endpoints, unencrypted hop, orphan node, unimplemented rule all caught; markdown shape)</t>
  </si>
  <si>
    <t xml:space="preserve">src/security.ts (verifyPosture: encryption at rest, TLS floor, vault-only secrets, prod vs dev)</t>
  </si>
  <si>
    <t xml:space="preserve">tests/security.test.ts (clean posture, blockers, TLS 1.2 warning, literal/env secrets, default prod mode)</t>
  </si>
  <si>
    <t xml:space="preserve">src/security.ts (AdminAuditLog: hash chain, verifyChain, audited CSV export, digestOf)</t>
  </si>
  <si>
    <t xml:space="preserve">tests/security.test.ts (chain integrity, edited entry detected, removed entry detected, export self-audited, digest determinism)</t>
  </si>
  <si>
    <t xml:space="preserve">src/reviewPrep.ts (SECURITY_CONTROLS, buildEvidencePack, renderEvidencePack) + SECURITY_EVIDENCE_PACK.md</t>
  </si>
  <si>
    <t xml:space="preserve">tests/reviewPrep.test.ts (6/9 verified, readyForSubmission false while pen test outstanding, ready only when all evidenced, evidence-less control counted outstanding, markdown honesty)</t>
  </si>
  <si>
    <t xml:space="preserve">PARTIAL — pack only</t>
  </si>
  <si>
    <t xml:space="preserve">src/reviewPrep.ts (SelfServeDataRights: role-gated export with stated exclusions, JSON serialisation, owner-only deletion, grace window, cancel, executeDue)</t>
  </si>
  <si>
    <t xml:space="preserve">tests/reviewPrep.test.ts (owner/admin export, member refusal, exclusions, repeat request keeps window, cancel, not-before-window, execution with counts, defaults)</t>
  </si>
  <si>
    <t xml:space="preserve">src/security.ts (CircuitBreaker closed/open/half-open + CircuitOpenError with retry hint)</t>
  </si>
  <si>
    <t xml:space="preserve">tests/security.test.ts (threshold open, fast-fail without calling service, failure reset on success, half-open close, half-open re-trip)</t>
  </si>
  <si>
    <t xml:space="preserve">src/observability.ts (ActivationFunnel: reach with implied earlier stages, idempotent; dashboard counts + stage-to-stage conversions)</t>
  </si>
  <si>
    <t xml:space="preserve">tests/observability.test.ts (implication/idempotence, conversion rates, empty funnel zero rates, stage order); e2e.smoke.test.ts funnel checks</t>
  </si>
  <si>
    <t xml:space="preserve">src/observability.ts (ErrorTracker: release-tagged capture, countsByRelease, spike alert current &gt; factor x previous with min floor, one-shot until acknowledge)</t>
  </si>
  <si>
    <t xml:space="preserve">tests/observability.test.ts (counts, floor silence, spike alert once, within-factor silence, per-release independence, acknowledge re-arm, default clock)</t>
  </si>
  <si>
    <t xml:space="preserve">src/analytics.ts (FeatureUsage.heatmap: feature x day grid, unusedFeatures, busiestFeature)</t>
  </si>
  <si>
    <t xml:space="preserve">tests/analyticsPerformance.test.ts (grid + day bucketing, empty window, per-account counts)</t>
  </si>
  <si>
    <t xml:space="preserve">src/analytics.ts (composeWeeklyDigest: metrics, health bands, features, alert section)</t>
  </si>
  <si>
    <t xml:space="preserve">tests/analyticsPerformance.test.ts (all-clear, single alert, pluralised counts, all-features-used note)</t>
  </si>
  <si>
    <t xml:space="preserve">src/analytics.ts (computeHealthScore: usage + trend + billing + support + dormancy, always with reasons)</t>
  </si>
  <si>
    <t xml:space="preserve">tests/analyticsPerformance.test.ts (perfect account, silent account, low+drop, billing/support, no-prior-week, clamping)</t>
  </si>
  <si>
    <t xml:space="preserve">src/analytics.ts (exportMetricsCsv: per-account scores + snapshot metrics)</t>
  </si>
  <si>
    <t xml:space="preserve">tests/analyticsPerformance.test.ts (header, rows, escaped reasons, metric rows)</t>
  </si>
  <si>
    <t xml:space="preserve">src/analytics.ts (AlertThresholds + evaluateAlerts: activation, error spike, retention, at-risk)</t>
  </si>
  <si>
    <t xml:space="preserve">tests/analyticsPerformance.test.ts (silence inside thresholds, each alert independently, custom thresholds, all four at once)</t>
  </si>
  <si>
    <t xml:space="preserve">src/esignOps.ts (FirstRunChecklist: 4 ordered steps, aha = generate_first_document, &lt;1-day budget verdict, idempotent first-completion-wins)</t>
  </si>
  <si>
    <t xml:space="preserve">tests/esignOps.test.ts (step order + hints, aha within budget, over-budget honesty, idempotence, default clock)</t>
  </si>
  <si>
    <t xml:space="preserve">src/esignOps.ts (EMPTY_STATES registry: all 9 Screens_Wireframes screens with message + actionLabel; getEmptyState copy)</t>
  </si>
  <si>
    <t xml:space="preserve">tests/esignOps.test.ts (all 9 screens asserted non-trivial, defensive copy)</t>
  </si>
  <si>
    <t xml:space="preserve">src/helpCenter.ts (HELP_ARTICLES x15, weighted searchArticles, documentationCoverage)</t>
  </si>
  <si>
    <t xml:space="preserve">tests/helpCenter.test.ts (15 unique articles, quality floor, all 8 categories, keyword&gt;body ranking, natural phrasings, empty/no-match, deterministic ties, coverage over launch-critical journeys)</t>
  </si>
  <si>
    <t xml:space="preserve">src/helpCenter.ts (businessHoursBetween, SupportInbox with SLA status, urgent tier, breach queue)</t>
  </si>
  <si>
    <t xml:space="preserve">tests/helpCenter.test.ts (within/over SLA, weekend not burned, urgent 1h, first-response stickiness, breach ordering, duplicate/unknown guards, custom hours)</t>
  </si>
  <si>
    <t xml:space="preserve">src/launchOps.ts (shouldAskForReview + ReviewPrompter: aha gate, usage floor, failure quiet period, cooldown, dismissal cap)</t>
  </si>
  <si>
    <t xml:space="preserve">tests/launchOps.test.ts (asks at the right moment, every suppression rule, aha stickiness, usage accumulation, post-failure resume, dismissal/reviewed stops)</t>
  </si>
  <si>
    <t xml:space="preserve">src/launchSurfaces.ts (SandboxMode + DEMO_DATASET: no-account read-only session, TTL, convert-to-signup) — VIDEO HALF NOT DONE</t>
  </si>
  <si>
    <t xml:space="preserve">tests/launchSurfaces.test.ts (session start, demo data exercises conditional sections, per-row generation, TTL expiry, conversion, defensive copies)</t>
  </si>
  <si>
    <t xml:space="preserve">PARTIAL — sandbox only</t>
  </si>
  <si>
    <t xml:space="preserve">src/launchSurfaces.ts (StatusPage: components, worst-wins overall, incident stages with comms templates, overdueUpdates, history)</t>
  </si>
  <si>
    <t xml:space="preserve">tests/launchSurfaces.test.ts (all green, declare, worst-wins, full stage walk with restore, custom messages, overdue chasing, guards, history)</t>
  </si>
  <si>
    <t xml:space="preserve">SUPERSEDED by D13: coverage gate pinned at 100% (not ≥70%) in package.json jest coverageThreshold — build fails below 100</t>
  </si>
  <si>
    <t xml:space="preserve">Every suite runs under the gate; evidence: 150/150 tests, 100/100/100/100 all 15 modules</t>
  </si>
  <si>
    <t xml:space="preserve">tests/e2e.smoke.test.ts (10-step full product loop) + .github/workflows/ci.yml (deploy job needs smoke job; smoke runs npm run test:smoke; test job runs 100%-gated jest first) + package.json test:smoke script</t>
  </si>
  <si>
    <t xml:space="preserve">Smoke suite green standalone (npm run test:smoke) and inside the full 180-test run</t>
  </si>
  <si>
    <t xml:space="preserve">src/performance.ts (P95_BUDGETS_MS per surface; LatencyMonitor report/reportAll/breaches, percentile)</t>
  </si>
  <si>
    <t xml:space="preserve">tests/analyticsPerformance.test.ts (p50/p95 + headroom, breach detection, empty window, period exclusion)</t>
  </si>
  <si>
    <t xml:space="preserve">src/performance.ts (runLoadTest at multiplier x expected traffic; p95 + error-rate ceiling judgement)</t>
  </si>
  <si>
    <t xml:space="preserve">tests/analyticsPerformance.test.ts (5x pass, p95 fail, error-rate fail with both reasons, at-ceiling tolerance, zero-request profile)</t>
  </si>
  <si>
    <t xml:space="preserve">src/listing.ts (luminance/contrastRatio per WCAG 2.1, PALETTE_PAIRS, auditAccessibility across 1.4.3/4.1.2/2.1.1/2.4.7/2.5.8)</t>
  </si>
  <si>
    <t xml:space="preserve">tests/listing.test.ts (known ratios, shipped palette passes, large-text threshold, name/keyboard/focus failures, target-size warning)</t>
  </si>
  <si>
    <t xml:space="preserve">src/reviewPrep.ts (runRestoreDrill: contents verification against the backup manifest + RTO/RPO targets)</t>
  </si>
  <si>
    <t xml:space="preserve">tests/reviewPrep.test.ts (clean pass, count mismatch, omitted table, RTO breach, RPO breach, all reasons together)</t>
  </si>
  <si>
    <t xml:space="preserve">src/reviewPrep.ts (simulateOutage with injectable capability map and messages; degradedGracefully judgement)</t>
  </si>
  <si>
    <t xml:space="preserve">tests/reviewPrep.test.ts (drive/sheets/billing outages, all five dependencies leave something usable, missing-message guard fires, total-outage guard fires)</t>
  </si>
  <si>
    <t xml:space="preserve">src/performance.ts (BlueGreenDeployer: idle deploy, pre-cutover health gate, cutover, post-check, rollback, droppedRequests)</t>
  </si>
  <si>
    <t xml:space="preserve">tests/analyticsPerformance.test.ts (clean deploy step sequence, pre-cutover abort leaves live untouched, rollback both colour directions, alternation)</t>
  </si>
  <si>
    <t xml:space="preserve">src/listing.ts (LISTING_VARIANTS A/B, reviewListingCopy: length limits, risky-claim patterns, same-angle detection) + LISTING_PACK.md</t>
  </si>
  <si>
    <t xml:space="preserve">tests/listing.test.ts (both variants pass, distinct angles, same-angle flagged, four length cases, five risky-claim classes, custom limits, single variant)</t>
  </si>
  <si>
    <t xml:space="preserve">src/listing.ts (MARKETPLACE_ASSET_SPEC, validateAssets, REQUIRED_SCREENSHOT_PLAN)</t>
  </si>
  <si>
    <t xml:space="preserve">tests/listing.test.ts (compliant set, plan covers 5 distinct screens, wrong count/dimensions/format/size/alt, missing+long+short+uncaptioned video, custom spec)</t>
  </si>
  <si>
    <t xml:space="preserve">src/launchSurfaces.ts (buildPlanMatrix from PLANS + PLAN_LIMITS, PRICING_FAQ, validatePricingPage)</t>
  </si>
  <si>
    <t xml:space="preserve">tests/launchSurfaces.test.ts (matrix matches code, FAQ covers ticket-driving questions, price drift caught, limit/feature/plan-count/thin-answer cases)</t>
  </si>
  <si>
    <t xml:space="preserve">src/launchSurfaces.ts (buildTrustPage from SCOPE_MANIFEST + DATA_FLOW_NODES + RETENTION_POLICY, validateTrustPage)</t>
  </si>
  <si>
    <t xml:space="preserve">tests/launchSurfaces.test.ts (built from enforced sources, subprocessor data categories, scope/retention drift caught, empty/vague subprocessor cases)</t>
  </si>
  <si>
    <t xml:space="preserve">src/launchSurfaces.ts (runSubmissionDryRun with owner attribution) + SUBMISSION_DRY_RUN.md (10/20, NOT READY)</t>
  </si>
  <si>
    <t xml:space="preserve">tests/launchSurfaces.test.ts (blocker counting, owner summary, evidence-less "satisfied" treated as blocker, ready-only-when-all, defensive copies)</t>
  </si>
  <si>
    <t xml:space="preserve">src/launchOps.ts (evaluateGoNoGo, LAUNCH_WATCHLIST, ROLLBACK_PLAN, COMMS_TREE, buildRunbook) + LAUNCH_RUNBOOK.md</t>
  </si>
  <si>
    <t xml:space="preserve">tests/launchOps.test.ts (GO/GO-with-advisories/NO-GO verdicts, runbook assembly, 35-min rollback budget, every watch item has an action, every comms node an owner and deadline)</t>
  </si>
  <si>
    <t xml:space="preserve">src/launchOps.ts (findSeoOpportunities 3 classifications + impression floor; planSeoIteration one-change rule)</t>
  </si>
  <si>
    <t xml:space="preserve">tests/launchOps.test.ts (low-CTR, just-off-page, untargeted, noise ignored, impression ordering, single recommendation, nothing-to-do case)</t>
  </si>
  <si>
    <t xml:space="preserve">src/launchOps.ts (PartnerReviewPipeline: at-risk refusal, stage transitions, decline handling, target summary with warnings)</t>
  </si>
  <si>
    <t xml:space="preserve">tests/launchOps.test.ts (healthy/watch invite, at-risk refusal, duplicate guard, full stage walk, decline no-reschedule, honest summary, stale-invite warning, copies)</t>
  </si>
  <si>
    <t xml:space="preserve">FINAL CODE EVIDENCE — 10 Sep S1-S5 (37/101/150/180/217) · 11 Sep S6 (264) · 13 Sep S7 (305) · S8 (385) · S9 (432) · S10 (484) · 10:58 S11+S12: jest --coverage -&gt; Tests: 516 passed / 516 total; All files 100/100/100/100 across 33 source modules; thresholds pinned at 100 throughout. tsc strict clean. Smoke green. CODE BACKLOG COMPLETE: 98 Done, 2 In progress (ST-068 third-party pen test, ST-083 demo video). Launch runbook verdict: NO-GO (8 blocking). Submission dry-run: NOT READY (10/20). Tracker v007.</t>
  </si>
  <si>
    <t xml:space="preserve">18-MONTH FINANCIAL MODEL — Workspace: high-volume low-ARPU PLG (edit yellow assumptions)</t>
  </si>
  <si>
    <t xml:space="preserve">Assumption</t>
  </si>
  <si>
    <t xml:space="preserve">Value</t>
  </si>
  <si>
    <t xml:space="preserve">Installs/mo (month 1)</t>
  </si>
  <si>
    <t xml:space="preserve">Monthly growth of that</t>
  </si>
  <si>
    <t xml:space="preserve">Free-&gt;paid %</t>
  </si>
  <si>
    <t xml:space="preserve">ARPU $/mo</t>
  </si>
  <si>
    <t xml:space="preserve">Monthly churn</t>
  </si>
  <si>
    <t xml:space="preserve">Marketplace fee</t>
  </si>
  <si>
    <t xml:space="preserve">Team cost month 1 (India-lean $)</t>
  </si>
  <si>
    <t xml:space="preserve">Cost growth/mo</t>
  </si>
  <si>
    <t xml:space="preserve">Fee note: No marketplace fee; bill via Stripe</t>
  </si>
  <si>
    <t xml:space="preserve">Line</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</si>
  <si>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</si>
  <si>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</si>
  <si>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</si>
  <si>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</si>
  <si>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</si>
  <si>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</si>
  <si>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</si>
  <si>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</si>
  <si>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</si>
  <si>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</si>
  <si>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</si>
  <si>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</si>
  <si>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</si>
  <si>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</si>
  <si>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</si>
  <si>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</si>
  <si>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</si>
  <si>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</si>
  <si>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Leads/installs</t>
  </si>
  <si>
    <t xml:space="preserve">New paying</t>
  </si>
  <si>
    <t xml:space="preserve">Paying accounts</t>
  </si>
  <si>
    <t xml:space="preserve">MRR (net of fee)</t>
  </si>
  <si>
    <t xml:space="preserve">Team cost</t>
  </si>
  <si>
    <t xml:space="preserve">Net cash/mo</t>
  </si>
  <si>
    <t xml:space="preserve">Cumulative</t>
  </si>
  <si>
    <t xml:space="preserve">Reading: churn applies before adds; MRR nets the marketplace fee; costs use India-lean base from Team_Roles_Budget (v004). Breakeven = first month Net cash ≥ 0. This is a planning model, not a forecast — replace assumptions with S7-S8 beta actuals.</t>
  </si>
  <si>
    <t xml:space="preserve">GTM EXECUTION TASKS</t>
  </si>
  <si>
    <t xml:space="preserve">Phase</t>
  </si>
  <si>
    <t xml:space="preserve">Task</t>
  </si>
  <si>
    <t xml:space="preserve">Owner (role)</t>
  </si>
  <si>
    <t xml:space="preserve">Target sprint</t>
  </si>
  <si>
    <t xml:space="preserve">Pre-launch</t>
  </si>
  <si>
    <t xml:space="preserve">Positioning doc + message house (problem/promise/proof)</t>
  </si>
  <si>
    <t xml:space="preserve">Founder</t>
  </si>
  <si>
    <t xml:space="preserve">Listing SEO: keyword study in marketplace search + title/intro drafts</t>
  </si>
  <si>
    <t xml:space="preserve">Growth</t>
  </si>
  <si>
    <t xml:space="preserve">10 design-partner mini case snippets with metric proof</t>
  </si>
  <si>
    <t xml:space="preserve">5 comparison/alternative pages drafted</t>
  </si>
  <si>
    <t xml:space="preserve">Screenshots (5) + 2-min demo video produced</t>
  </si>
  <si>
    <t xml:space="preserve">Design</t>
  </si>
  <si>
    <t xml:space="preserve">Listing live + launch post + video published</t>
  </si>
  <si>
    <t xml:space="preserve">Founder outreach: 100 named ICP accounts, 3-touch sequence</t>
  </si>
  <si>
    <t xml:space="preserve">Community value-posts (3 relevant communities)</t>
  </si>
  <si>
    <t xml:space="preserve">Review-generation program on (in-app ask post-aha)</t>
  </si>
  <si>
    <t xml:space="preserve">Eng</t>
  </si>
  <si>
    <t xml:space="preserve">Post-launch</t>
  </si>
  <si>
    <t xml:space="preserve">Weekly SEO/how-to content cadence starts</t>
  </si>
  <si>
    <t xml:space="preserve">Marketplace paid placement pilot (where offered)</t>
  </si>
  <si>
    <t xml:space="preserve">2 integration co-marketing swaps</t>
  </si>
  <si>
    <t xml:space="preserve">S12+</t>
  </si>
  <si>
    <t xml:space="preserve">G2/Capterra profiles + first 10 reviews</t>
  </si>
  <si>
    <t xml:space="preserve">PLATFORM LAUNCH CHECKLIST — Google Workspace Marketplace</t>
  </si>
  <si>
    <t xml:space="preserve">Item</t>
  </si>
  <si>
    <t xml:space="preserve">GCP project + OAuth consent screen configured (brand verification)</t>
  </si>
  <si>
    <t xml:space="preserve">Open</t>
  </si>
  <si>
    <t xml:space="preserve">Restricted/sensitive scopes minimized; justification narrative drafted</t>
  </si>
  <si>
    <t xml:space="preserve">CASA Tier 2 assessment scheduled and passed (annual renewal calendared)</t>
  </si>
  <si>
    <t xml:space="preserve">Apps Script/alt-runtime quota headroom load-tested (batch generation)</t>
  </si>
  <si>
    <t xml:space="preserve">Domain-install admin flow + admin console notes tested</t>
  </si>
  <si>
    <t xml:space="preserve">Marketplace listing: name, graphics per asset specs, demo video</t>
  </si>
  <si>
    <t xml:space="preserve">Privacy policy + DPA + data-deletion endpoint live</t>
  </si>
  <si>
    <t xml:space="preserve">Drive/Sheets API exponential backoff verified under quota pressure</t>
  </si>
  <si>
    <t xml:space="preserve">Template gallery seeded with 20 launch templates</t>
  </si>
  <si>
    <t xml:space="preserve">In-app upgrade prompts + Stripe billing live</t>
  </si>
  <si>
    <t xml:space="preserve">METRIC TARGETS (first 12 months post-launch)</t>
  </si>
  <si>
    <t xml:space="preserve">Metric</t>
  </si>
  <si>
    <t xml:space="preserve">Notes</t>
  </si>
  <si>
    <t xml:space="preserve">Installs/signups cumulative</t>
  </si>
  <si>
    <t xml:space="preserve">varies</t>
  </si>
  <si>
    <t xml:space="preserve">3x M1</t>
  </si>
  <si>
    <t xml:space="preserve">8x M1</t>
  </si>
  <si>
    <t xml:space="preserve">20x M1</t>
  </si>
  <si>
    <t xml:space="preserve">Drive via listing SEO + outbound</t>
  </si>
  <si>
    <t xml:space="preserve">Activation % (24h)</t>
  </si>
  <si>
    <t xml:space="preserve">30%</t>
  </si>
  <si>
    <t xml:space="preserve">40%</t>
  </si>
  <si>
    <t xml:space="preserve">45%</t>
  </si>
  <si>
    <t xml:space="preserve">50%</t>
  </si>
  <si>
    <t xml:space="preserve">Onboarding iterations S12+</t>
  </si>
  <si>
    <t xml:space="preserve">Trial→paid %</t>
  </si>
  <si>
    <t xml:space="preserve">baseline</t>
  </si>
  <si>
    <t xml:space="preserve">+2pts</t>
  </si>
  <si>
    <t xml:space="preserve">+4pts</t>
  </si>
  <si>
    <t xml:space="preserve">+6pts</t>
  </si>
  <si>
    <t xml:space="preserve">Pricing test at S12</t>
  </si>
  <si>
    <t xml:space="preserve">Rating</t>
  </si>
  <si>
    <t xml:space="preserve">4.5+</t>
  </si>
  <si>
    <t xml:space="preserve">4.6+</t>
  </si>
  <si>
    <t xml:space="preserve">4.7+</t>
  </si>
  <si>
    <t xml:space="preserve">Review program + support speed</t>
  </si>
  <si>
    <t xml:space="preserve">MRR</t>
  </si>
  <si>
    <t xml:space="preserve">first $</t>
  </si>
  <si>
    <t xml:space="preserve">3x</t>
  </si>
  <si>
    <t xml:space="preserve">8x</t>
  </si>
  <si>
    <t xml:space="preserve">20x</t>
  </si>
  <si>
    <t xml:space="preserve">Model sheet has the math</t>
  </si>
  <si>
    <t xml:space="preserve">Logo churn/mo</t>
  </si>
  <si>
    <t xml:space="preserve">&lt;5%</t>
  </si>
  <si>
    <t xml:space="preserve">&lt;4%</t>
  </si>
  <si>
    <t xml:space="preserve">&lt;3%</t>
  </si>
  <si>
    <t xml:space="preserve">Health-score saves</t>
  </si>
  <si>
    <t xml:space="preserve">PRODUCT RISK REGISTER</t>
  </si>
  <si>
    <t xml:space="preserve">Risk</t>
  </si>
  <si>
    <t xml:space="preserve">Impact</t>
  </si>
  <si>
    <t xml:space="preserve">Likelihood</t>
  </si>
  <si>
    <t xml:space="preserve">Mitigation</t>
  </si>
  <si>
    <t xml:space="preserve">CASA assessment delays listing 4-8 weeks</t>
  </si>
  <si>
    <t xml:space="preserve">Medium</t>
  </si>
  <si>
    <t xml:space="preserve">High</t>
  </si>
  <si>
    <t xml:space="preserve">Schedule CASA at S6; scope austerity from S1</t>
  </si>
  <si>
    <t xml:space="preserve">Google ships native doc-gen improvements</t>
  </si>
  <si>
    <t xml:space="preserve">Depth on batch + e-sign + filing; template moat</t>
  </si>
  <si>
    <t xml:space="preserve">Low ARPU demands volume — listing SEO underperforms</t>
  </si>
  <si>
    <t xml:space="preserve">Template-gallery SEO + freelancer channel + comparison pages</t>
  </si>
  <si>
    <t xml:space="preserve">COLD REVIEW PASS 1 — DocMerge Pro (13 Sep 11:24). 9 findings in code already shipped at 100% coverage.</t>
  </si>
  <si>
    <t xml:space="preserve">Run after memory showed every sibling product found real defects post-"code complete" — TeleField logged the lesson as L-T1: review BEFORE declaring a code phase complete. DocMerge had never had one. Checklist taken from the sibling defect classes. Coverage proves execution, not correctness (portfolio lesson F-V14).</t>
  </si>
  <si>
    <t xml:space="preserve">Severity</t>
  </si>
  <si>
    <t xml:space="preserve">Finding</t>
  </si>
  <si>
    <t xml:space="preserve">What was actually wrong</t>
  </si>
  <si>
    <t xml:space="preserve">Fix / next step</t>
  </si>
  <si>
    <t xml:space="preserve">DM-F01</t>
  </si>
  <si>
    <t xml:space="preserve">CRITICAL</t>
  </si>
  <si>
    <t xml:space="preserve">FIXED</t>
  </si>
  <si>
    <t xml:space="preserve">No HTTP application exists</t>
  </si>
  <si>
    <t xml:space="preserve">36 modules at 100% coverage and nothing that can receive a request. There is no server, no routes, and no `npm start`. The OAuth redirect URI in the setup guide, the uninstall webhook, and the form-submission webhook all point at an application that was never built. The 30-minute GCP setup guide is unrunnable as written.</t>
  </si>
  <si>
    <t xml:space="preserve">Framework-free Router + buildApp with 7 routes (healthz, oauth install/callback, uninstall + form webhooks, document generation, template list) + src/server.ts entrypoint and npm start. Readiness check runs BEFORE listen(). Booted for real and exercised over HTTP: healthz 200, install URL carries state, unsigned webhook 401, unauthenticated route 401, unknown route 404. 28 regression tests.</t>
  </si>
  <si>
    <t xml:space="preserve">DM-F02</t>
  </si>
  <si>
    <t xml:space="preserve">Read-only mode enforced nowhere</t>
  </si>
  <si>
    <t xml:space="preserve">ST-060 built the dunning read-only state and assertWritable(), fully tested — and nothing ever called it. The help centre tells customers "the account becomes read-only"; the running product would have kept accepting writes forever after a failed payment.</t>
  </si>
  <si>
    <t xml:space="preserve">New src/entitlements.ts EntitlementGate consults it at every mutating entry point; reads deliberately stay open so an unpaid customer can still get their work out. 8 regression tests.</t>
  </si>
  <si>
    <t xml:space="preserve">DM-F03</t>
  </si>
  <si>
    <t xml:space="preserve">Plan limits enforced nowhere</t>
  </si>
  <si>
    <t xml:space="preserve">ST-061 built PlanLimitEnforcer with 80%/100% prompts and never called check() outside its own tests. Published limits (25 documents, 2 templates, 1 seat on free) were decorative — any account could generate without bound.</t>
  </si>
  <si>
    <t xml:space="preserve">Same gate. Usage is recorded only AFTER success, so a rate-limited Drive call cannot burn a customer document from their allowance. 7 regression tests.</t>
  </si>
  <si>
    <t xml:space="preserve">DM-F04</t>
  </si>
  <si>
    <t xml:space="preserve">OAuth install had no CSRF state</t>
  </si>
  <si>
    <t xml:space="preserve">exchangeCode accepted any code with no state parameter. An attacker could hand a victim a crafted install URL and bind their browser session to an attacker-controlled account. Sibling class F-015 / M-F15.</t>
  </si>
  <si>
    <t xml:space="preserve">OAuthStateStore: state minted before redirect, single-use, 10-minute TTL, sweepable. Rejects absent, unknown, replayed, and expired states. 6 regression tests.</t>
  </si>
  <si>
    <t xml:space="preserve">DM-F05</t>
  </si>
  <si>
    <t xml:space="preserve">Webhooks unauthenticated</t>
  </si>
  <si>
    <t xml:space="preserve">Neither the uninstall handler nor the form-submission handler verified anything. An unauthenticated POST could revoke a live account tokens and schedule its data for deletion, or generate documents against any template.</t>
  </si>
  <si>
    <t xml:space="preserve">New src/webhookSecurity.ts: HMAC-SHA256 signature with timing-safe compare, 5-minute timestamp window against replay, and a FIFO-bounded dedupe ledger. 9 regression tests.</t>
  </si>
  <si>
    <t xml:space="preserve">DM-F06</t>
  </si>
  <si>
    <t xml:space="preserve">HIGH</t>
  </si>
  <si>
    <t xml:space="preserve">No production backoff existed</t>
  </si>
  <si>
    <t xml:space="preserve">Every RetryOptions in the codebase came from a test injecting a no-op sleep, and DEFAULT_RETRY omitted sleep entirely. The retry logic was exercised 100% but had no real delay behind it anywhere — sibling F-V06 exactly.</t>
  </si>
  <si>
    <t xml:space="preserve">PRODUCTION_RETRY + realSleep exported as the policy production code uses.</t>
  </si>
  <si>
    <t xml:space="preserve">DM-F07</t>
  </si>
  <si>
    <t xml:space="preserve">Identity is caller-declared</t>
  </si>
  <si>
    <t xml:space="preserve">Role arrives as a parameter on 28 signatures and nothing authenticates it. Whoever calls the service declares their own privilege level. Sibling M-F11 (fixed with signed sessions) and VoiceBridge F-V21 (left open by direction).</t>
  </si>
  <si>
    <t xml:space="preserve">src/session.ts: HMAC-signed sessions carrying account, email, role and expiry. Editing the role in a token now fails signature verification, and a session for one account is refused against another. Every mutating route derives identity from the session instead of a caller-supplied parameter. 8 regression tests.</t>
  </si>
  <si>
    <t xml:space="preserve">DM-F08</t>
  </si>
  <si>
    <t xml:space="preserve">MEDIUM</t>
  </si>
  <si>
    <t xml:space="preserve">Eleven unbounded ledgers</t>
  </si>
  <si>
    <t xml:space="preserve">Audit entries, metric samples, error tracker, usage events, invoices, exit surveys and more only ever push. A long-running process grows until it dies. Sibling class fixed portfolio-wide as FIFO-capped ledgers.</t>
  </si>
  <si>
    <t xml:space="preserve">New src/ledger.ts: FIFO-bounded with EVICTION COUNTED, not silent — a metric that quietly started sampling only the recent past would misreport trends invisibly. Applied to all 11 ledgers. The hash-chained admin audit log needed care: once entries evict, the chain can no longer verify from genesis, so the last evicted digest becomes the anchor and verifyChain now reports truncation rather than failing. Sequence numbers keep counting so gaps are visible.</t>
  </si>
  <si>
    <t xml:space="preserve">DM-F09</t>
  </si>
  <si>
    <t xml:space="preserve">Deletion has no implementation behind it</t>
  </si>
  <si>
    <t xml:space="preserve">SelfServeDataRights.executeDue takes a deleter callback that no production code supplies. The published 30-day deletion policy has nothing that actually purges. Sibling class F-009 / M-F03 / F-TP01, where it breached the published policy in five products.</t>
  </si>
  <si>
    <t xml:space="preserve">New src/purge.ts PurgeRegistry over 16 known stores, with verifyRegistration failing the build when a store has no purge target — so adding a store without wiring deletion breaks CI rather than the published policy. Receipts carry per-store row counts as evidence; a failing store is recorded, the rest still purge, and the receipt is marked INCOMPLETE rather than claiming success. Plus the schema that never existed: 3 ordered migrations, every account-scoped table ON DELETE CASCADE, npm run migrate, and a test asserting cascade on every table.</t>
  </si>
  <si>
    <t xml:space="preserve">— COLD REVIEW PASS 2 (new HTTP layer, 13 Sep 11:37) — sibling lesson L-OC4: new surfaces inherit old blind spots —</t>
  </si>
  <si>
    <t xml:space="preserve">DM-F10</t>
  </si>
  <si>
    <t xml:space="preserve">Request body read without a cap</t>
  </si>
  <si>
    <t xml:space="preserve">readBody accumulated chunks with no limit on an open port — a single large POST is a memory-exhaustion vector, and no authentication is needed to send one.</t>
  </si>
  <si>
    <t xml:space="preserve">MAX_BODY_BYTES cap with BodyTooLargeError; server returns 413. Verified live: a 2MB POST returns 413.</t>
  </si>
  <si>
    <t xml:space="preserve">DM-F11</t>
  </si>
  <si>
    <t xml:space="preserve">Abandoned OAuth states accumulated forever</t>
  </si>
  <si>
    <t xml:space="preserve">Every started-and-abandoned install left a state entry behind. sweep() existed and — exactly like DM-F02/F03 — was never called by anything.</t>
  </si>
  <si>
    <t xml:space="preserve">The install route sweeps opportunistically before issuing. Regression test proves expired states are dropped.</t>
  </si>
  <si>
    <t xml:space="preserve">DM-F12</t>
  </si>
  <si>
    <t xml:space="preserve">No rate limiting on any route</t>
  </si>
  <si>
    <t xml:space="preserve">Unauthenticated endpoints were unlimited. An open loop against /oauth/install both grew memory and farmed valid CSRF states; webhook endpoints burned CPU on signature checks an attacker never needed to pass.</t>
  </si>
  <si>
    <t xml:space="preserve">New src/rateLimit.ts fixed-window limiter: 20/min install, 600/min webhooks, 300/min authenticated, keyed per caller, with bounded key eviction and Retry-After. Verified live: 429 after 20, a different caller unaffected.</t>
  </si>
  <si>
    <t xml:space="preserve">DM-F13</t>
  </si>
  <si>
    <t xml:space="preserve">LOW</t>
  </si>
  <si>
    <t xml:space="preserve">/healthz leaked the build version anonymously</t>
  </si>
  <si>
    <t xml:space="preserve">A deploy probe needs liveness, not a build identifier telling an attacker which advisories apply. Sibling OnCall flagged the same class (GAP/VER-OC4).</t>
  </si>
  <si>
    <t xml:space="preserve">Version returned only to a caller presenting the operator token. Verified live both ways.</t>
  </si>
  <si>
    <t xml:space="preserve">— EXTERNAL VERIFICATION SWEEP vs live Google docs (13 Sep 11:51) — sibling pattern: every product found live-blocking defects here —</t>
  </si>
  <si>
    <t xml:space="preserve">VER-DM1</t>
  </si>
  <si>
    <t xml:space="preserve">LIVE-BLOCKING</t>
  </si>
  <si>
    <t xml:space="preserve">No uninstall webhook exists on this platform</t>
  </si>
  <si>
    <t xml:space="preserve">Verified against live Google docs 13 Sep 2026: the Workspace Marketplace does not push an uninstall webhook to a developer server, and the licenseNotification resource that once reported provisions and deletions is DEPRECATED with no replacement in the Marketplace API. Our POST /webhooks/uninstall was a handler for an event that will never arrive — so ST-052 token revocation, the 30-day retention clock, ST-053 re-install restore and the whole purge chain would simply never have run in production. Two clean cold-review passes could not see this; it is a fact about the platform, not the code.</t>
  </si>
  <si>
    <t xml:space="preserve">New src/licenseReconciler.ts detects uninstall instead of receiving it: periodic license-state reconciliation (userLicense/customerLicense remain supported) plus immediate action on a revoked credential. An API outage or unknown state NEVER counts as an uninstall — that would revoke a live customer and start a deletion clock against them. Detection lag is reported rather than hidden. Idempotent, and re-arms on re-install. 10 regression tests.</t>
  </si>
  <si>
    <t xml:space="preserve">VER-DM2</t>
  </si>
  <si>
    <t xml:space="preserve">Google Forms cannot POST to an arbitrary URL</t>
  </si>
  <si>
    <t xml:space="preserve">Verified against live Apps Script docs: form submit is not a simple trigger — it requires an INSTALLABLE Apps Script trigger, and the script itself must call UrlFetchApp. Nothing in Google will ever call our /webhooks/form endpoint. The entire F5 feature (ST-041..050, 10 stories / 42 pts) rested on a platform capability that does not exist.</t>
  </si>
  <si>
    <t xml:space="preserve">apps-script/FormForwarder.gs ships the missing half: an idempotent installable trigger that signs each submission with the same HMAC scheme and headers the endpoint already verifies, keeps the secret in Script Properties rather than the script body, uses the stable response id so our dedupe works, and rethrows only on 5xx so Apps Script retries a server failure but not a rejection. Contract pinned by 6 tests against the .gs file. NOTE: this changes the customer setup flow — the help-centre article and ST-041 "one screen" claim need rewording.</t>
  </si>
  <si>
    <t xml:space="preserve">VER-DM3</t>
  </si>
  <si>
    <t xml:space="preserve">OPEN — DECISION (D-DM1)</t>
  </si>
  <si>
    <t xml:space="preserve">Two add-on types, and our features are split across both</t>
  </si>
  <si>
    <t xml:space="preserve">Verified against live Google docs: a Google Workspace add-on is card-based and MUST NOT use HTML/CSS, cannot read the open document (no SpreadsheetApp.getActiveSpreadsheet()), has no Apps Script triggers, and is not available in Google Forms — but reaches mobile and every host app. An Editor add-on has HTML sidebars, document context and Apps Script triggers, but is desktop-only and Editors-only. Five shipped stories say the feature "works on the Workspace add-on sidebar in Sheets/Docs end-to-end" while depending on reading the active row — document context, which that surface does not have. The form feature needs Apps Script triggers, which only the Editor type has. On the Workspace surface, 12 shipped stories cannot ship as built.</t>
  </si>
  <si>
    <t xml:space="preserve">src/addonSurface.ts encodes the verified constraint matrix and reports what each surface costs, with the assessment pinned by 14 tests; ADDON_SURFACE_DECISION.md presents it. NOT FIXED IN CODE ON PURPOSE — this is a product decision (D-DM1), not a defect: Editor add-on keeps every shipped feature but is desktop-only and Editors-only; Workspace add-on reaches mobile and all host apps but needs four features redesigned as cards and the form feature dropped or split. Undisputed either way: batch must stay server-side, since a 30-second UI action cannot generate hundreds of documents.</t>
  </si>
  <si>
    <t xml:space="preserve">VER-DM4</t>
  </si>
  <si>
    <t xml:space="preserve">The entire listing asset and copy spec was invented, and wrong in eight ways</t>
  </si>
  <si>
    <t xml:space="preserve">Verified against the live "Create a store listing" page: (1) we demanded exactly 5 screenshots — the platform accepts 1 to 10; (2) we rejected the 640x400 and 2560x1600 sizes it also accepts; (3) the app NAME limit is 50 characters, not 30, AND must not contain a Google product name — a rule we had no check for at all; (4) short description is 200 characters, not 120; (5) detailed description is under 16,000, not 4,000; (6) the promo video is an OPTIONAL YouTube LINK, not a required captioned 30-120s upload; (7) REQUIRED application icons (32x32 and 128x128, plus 48x48 and 96x96 because our project now includes a web app) were absent from our spec entirely; (8) the REQUIRED 220x140 card banner shown on listings and search results was absent too. Also missing from the submission checklist: the terms-of-service link, which the listing requires.</t>
  </si>
  <si>
    <t xml:space="preserve">src/listing.ts rewritten against the verified spec with icons, card banner, accepted-size list, optional YouTube video and required support links; validateAssets now takes the full asset set rather than screenshots-and-a-video. LISTING_PACK.md regenerated. 13 tests pin the corrected behaviour, including the two previously-missing required asset families and the forbidden-Google-name rule. Sibling precedent: TestPulse found its asset spec wrong the same way (Rule-of-3 vs its invented 5x1600x1000).</t>
  </si>
  <si>
    <t xml:space="preserve">VER-DM5</t>
  </si>
  <si>
    <t xml:space="preserve">HIGH (favourable)</t>
  </si>
  <si>
    <t xml:space="preserve">CASA is not triggered by our scope set — and a required video was missing</t>
  </si>
  <si>
    <t xml:space="preserve">Verified: Google routes review by scope CLASSIFICATION. Non-sensitive only = verification optional; any sensitive = Google app verification; any RESTRICTED = verification plus a CASA security assessment. DocMerge requests no restricted scopes — drive.file is specifically the recommended non-sensitive alternative to the restricted Drive scopes, and userinfo.email is non-sensitive. Only spreadsheets.readonly and documents are sensitive, which require verification but NOT an assessment. CASA has sat on the board as a blocking, multi-week, paid item since S6 (R-D1, R-D10, LC-3) on an assumption nobody checked. SEPARATELY: verification requires an UNLISTED YouTube demonstration video showing the OAuth grant flow, the consent screen displaying the app name, and detailed in-app use of each sensitive scope — a requirement we did not have, and distinct from the optional marketing promo video.</t>
  </si>
  <si>
    <t xml:space="preserve">src/scopes.ts now carries each scope classification and derives the review path from it (assessReviewPath), with 7 tests including one proving CASA appears only when a restricted scope is present. SCOPE_NARRATIVE.md regenerated with the path, the classification table, and the verification requirements. CAVEAT PRESERVED: classification is confirmed per project in the Cloud console under OAuth consent screen &gt; Data Access, and Google may request an assessment at its discretion — so LC-3 should be re-checked there rather than deleted.</t>
  </si>
  <si>
    <t xml:space="preserve">DM-F14</t>
  </si>
  <si>
    <t xml:space="preserve">State that must survive a restart does not</t>
  </si>
  <si>
    <t xml:space="preserve">Continuing the adapter work surfaced a finding rather than just an increment: three in-memory stores lose state whose loss is not cosmetic. USAGE COUNTERS — a restart resets every plan limit, so each deploy silently hands every customer a fresh monthly allowance; that is a direct revenue leak and it would never appear in a test, because tests start from zero anyway. SUBSCRIPTIONS — billing state resets, so paying customers appear to be back on trial. ADMIN AUDIT — a tamper-evident chain that evaporates on restart is not evidence, and worse, it would restart numbering at genesis so the gap would not even be visible.</t>
  </si>
  <si>
    <t xml:space="preserve">Usage counters FIXED end to end: PlanLimitEnforcer now takes a UsageBackend, and WriteThroughUsageBackend serves reads from a primed cache (keeping the limit check synchronous) while writing through to Postgres with an atomic single-statement upsert — read-then-write would lose increments exactly when a customer is near their limit. Write failures are counted rather than failing the customer request. A test proves a restarted backend primes from the store and still blocks at the limit. Subscription and admin-audit STORES are shipped and tested (append-only with no update path, lastSequence so the chain continues rather than restarting at genesis) but the services are NOT yet wired to them — deliberately left visible rather than claimed, given this codebase has already produced two built-but-never-called defects. — CLOSED 16:34: BillingService now takes a SubscriptionBackend and persists after EVERY mutation (subscribe, plan change, payment failure, each dunning transition, cancel), and AdminAuditLog takes an AdminAuditBackend with resume() so a restarted process continues a tenant chain instead of forking a second one at genesis. Write-through backends for both keep reads synchronous while writing to Postgres, counting failures rather than failing the customer request.</t>
  </si>
  <si>
    <t xml:space="preserve">DM-F15</t>
  </si>
  <si>
    <t xml:space="preserve">Admin audit log had no tenant scope</t>
  </si>
  <si>
    <t xml:space="preserve">Found while wiring DM-F14, not by looking for it: AdminAuditEntry had no accountId at all, so every customer shared ONE chain and ONE sequence counter. exportCsv returned the whole log, meaning one customer security review would have handed them every other customer admin history — roles changed, members removed, data exports requested. The sequence numbering also leaked each tenant activity volume to the others. The schema written for DM-F09 keys admin_audit_entries on (account_id, sequence); the code never matched it, and nothing caught the mismatch because the table had no implementation behind it until today.</t>
  </si>
  <si>
    <t xml:space="preserve">accountId added to the entry and to record(); chains, anchors and sequence counters are now per account; list(), verifyChain() and exportCsv() all take an accountId; the digest covers the accountId so an entry cannot be replayed into another tenant chain. Four regression tests, including one asserting an export contains the requesting account records and not another.</t>
  </si>
  <si>
    <t xml:space="preserve">— TENANT-ISOLATION SWEEP (13 Sep 16:39), run because DM-F15 was found by accident —</t>
  </si>
  <si>
    <t xml:space="preserve">DM-F16</t>
  </si>
  <si>
    <t xml:space="preserve">Cross-tenant template access, reachable through the live HTTP route</t>
  </si>
  <si>
    <t xml:space="preserve">The deliberate tenant sweep found this first: template lookups took a templateId and nothing else. POST /accounts/:accountId/documents takes the templateId from the REQUEST BODY, so an authenticated user of one account could pass another account template id and both read its body and generate documents from it. The session check I added for DM-F07 proved who was asking; nothing checked what they were asking for.</t>
  </si>
  <si>
    <t xml:space="preserve">Ownership enforced centrally in mustGet(templateId, accountId) so a new call site cannot forget it; setRules and renderPreview now take the accountId, threaded through batch, form triggers, the sidebar and the audited wrapper. A template belonging to another account reports "not found" rather than "wrong account", so the id space cannot be probed. Two regression tests, including one asserting the cross-tenant failure is indistinguishable from a genuinely missing template.</t>
  </si>
  <si>
    <t xml:space="preserve">DM-F17</t>
  </si>
  <si>
    <t xml:space="preserve">Cross-tenant signature-request access</t>
  </si>
  <si>
    <t xml:space="preserve">Same shape: sign-request lookups took only a requestId, so one account could read another tenant signature request, change its rules, or send it. Reading exposes signer names and emails and the document name.</t>
  </si>
  <si>
    <t xml:space="preserve">get(), setRules() and send() now require the owning accountId, checked centrally in mustGet with the same not-found response. Three regression tests.</t>
  </si>
  <si>
    <t xml:space="preserve">DM-F18</t>
  </si>
  <si>
    <t xml:space="preserve">Feature audit log had no tenant scope</t>
  </si>
  <si>
    <t xml:space="preserve">The same defect as DM-F15, in the second audit log: AuditEntry had no accountId, so forTarget() returned entries across accounts.</t>
  </si>
  <si>
    <t xml:space="preserve">accountId added to the entry and to record(); forTarget() takes an accountId and filters on it; every call site across batch, filing, form triggers, e-sign and the designer wrapper now supplies the owning account.</t>
  </si>
  <si>
    <t xml:space="preserve">DM-F19</t>
  </si>
  <si>
    <t xml:space="preserve">Metrics summaries aggregate across all tenants</t>
  </si>
  <si>
    <t xml:space="preserve">EsignMetrics.summary(period), FilingMetrics.summary(period) and FormMetrics.summary(period) take no account and aggregate globally. Wired to a per-account dashboard they would show every customer combined numbers; used for internal analytics they are correct as-is.</t>
  </si>
  <si>
    <t xml:space="preserve">Needs the same accountId treatment, or an explicit decision that these are internal-only. Not fixed blind because the answer depends on where they are surfaced.</t>
  </si>
  <si>
    <t xml:space="preserve">DM-F20</t>
  </si>
  <si>
    <t xml:space="preserve">Support inbox is not tenant-scoped</t>
  </si>
  <si>
    <t xml:space="preserve">SupportInbox.status(conversationId) has no account check and breaches() returns every account unanswered conversations. Acceptable for a single-operator internal queue, a leak if ever exposed per-customer.</t>
  </si>
  <si>
    <t xml:space="preserve">Same decision as DM-F19 — scope it or document it as operator-only.</t>
  </si>
  <si>
    <t xml:space="preserve">DM-F21</t>
  </si>
  <si>
    <t xml:space="preserve">Cross-tenant CONTROL operations, found by the new automated gate</t>
  </si>
  <si>
    <t xml:space="preserve">The manual sweep checked reads. It missed writes-that-are-not-reads: pause and resume took only an entity id, so one account could pause or resume another account signature request, form trigger or batch job — a denial of service against a competitor tenant needing nothing but a guessed id. InvoiceBook.renderCsv would render any account invoice, carrying their billing contact and tax identifiers. SidebarController.openTemplate read another account template metadata before the ownership check downstream. The gate flagged 28 methods; triage found these five clusters genuine and the rest legitimately scoped by construction.</t>
  </si>
  <si>
    <t xml:space="preserve">Pause state is now namespaced per account and e-sign pause/resume verify ownership; renderCsv requires the owning account; openTemplate reports another account template as missing. The remaining 23 flagged methods are EXEMPTED WITH WRITTEN REASONS in the gate config — repository primitives whose ownership is enforced one level up, a generic keyed utility that callers namespace, signer actions by external parties who have no account, controllers that hold the account and delegate, and the metrics/support cases already logged as DM-F19/F20 pending your decision.</t>
  </si>
  <si>
    <t xml:space="preserve">DM-F22</t>
  </si>
  <si>
    <t xml:space="preserve">An exemption reason was false — found by auditing my own exemptions</t>
  </si>
  <si>
    <t xml:space="preserve">The tenant gate exempted PauseManager because "callers pass account-namespaced keys". Auditing that claim showed it was untrue: e-sign passed a bare requestId and batch a bare templateId. Consequence, demonstrated before fixing: a single shared PauseManager puts template ids, sign-request ids, job ids and trigger ids in ONE namespace, so pausing a template called X also reports a sign request called X as paused. Different services happened to receive different instances, so nothing broke — and nothing enforced that either. The real protection for e-sign was an ownership check, not namespacing, so the exemption was right about the outcome and wrong about the reason, which is the kind of note that survives into a security review unchallenged.</t>
  </si>
  <si>
    <t xml:space="preserve">pauseKey(entity, accountId, entityId) is now the only way keys are formed, across templates, sign requests, batch jobs, form triggers and filing. Three tests verify the exemption CLAIMS rather than restating them: one scans the source and fails if any PauseManager call omits pauseKey, one proves a shared manager cannot confuse two entity types sharing an id, and one asserts only the designer and sidebar touch a template repository directly. The exemption reason was rewritten to say what is actually true.</t>
  </si>
  <si>
    <t xml:space="preserve">DM-F23</t>
  </si>
  <si>
    <t xml:space="preserve">PROCESS</t>
  </si>
  <si>
    <t xml:space="preserve">CLOSED</t>
  </si>
  <si>
    <t xml:space="preserve">All 23 gate exemptions converted from prose to verified claims</t>
  </si>
  <si>
    <t xml:space="preserve">DM-F22 showed an exemption can be right about its outcome and wrong about its reason, and still read as handled. That makes the other 22 a standing risk rather than a completed judgement: each asserts a protection exists somewhere else, and nothing checked whether it did.</t>
  </si>
  <si>
    <t xml:space="preserve">Every exemption now has a test that checks its claim against behaviour or source: the sandbox holds no account, store or repository reference and its two sessions are distinct; purgeAccount takes the account as its subject; the status page has no tenant concept anywhere; createJobWithDefaults takes the account first; signer actions reject a non-signer holding a valid request id, and accept a listed signer with no account; a batch sidebar bound to one account cannot run another account template; both sidebar controllers stamp their own account onto what they create; and per-entity metrics and the support inbox are confirmed absent from every HTTP route, which is what makes DM-F19/F20 decisions rather than live leaks. Plus a META-GATE: unverifiedExemptions() fails the build if an exemption is added without a test naming it, with a test proving the meta-gate itself catches one.</t>
  </si>
  <si>
    <t xml:space="preserve">VER-DM6</t>
  </si>
  <si>
    <t xml:space="preserve">Our SLO and load test promised throughput the platform forbids</t>
  </si>
  <si>
    <t xml:space="preserve">Verified against live Google docs: the Docs API allows 60 WRITE requests per minute per user per project (600 per project). ST-087 set a 1500ms p95 budget per generated row and ST-088 drove 100 requests per minute at 5x expected traffic and reported PASS. One user cannot exceed one document per second however fast our code runs; past 60 in a minute they receive 429s and our own backoff makes the p95 worse. A 500-row batch for one customer cannot complete in under EIGHT MINUTES — a fact absent from every estimate, board and SLO we have written. The load test never touched the ceiling because it drove an injected worker, so its PASS measured the harness, which is R-D9 restated with the actual number behind it. Also recorded: Apps Script UrlFetch is capped at 20,000/day consumer and 100,000/day Workspace, which is the real per-customer ceiling on the VER-DM2 form forwarder.</t>
  </si>
  <si>
    <t xml:space="preserve">src/platformQuotas.ts holds the verified numbers with their sources and refuses to guess an unrecorded quota; checkFeasibility() fails when an internal promise exceeds an external quota; QuotaGovernor paces per account and gives an honest completion estimate (500 rows = 8 minutes minimum). runLoadTest now REFUSES to pass a profile that drives more than a declared platform ceiling, reporting that it proves the harness rather than capacity. The p95 budgets carry a comment distinguishing per-row latency from batch completion, which are different promises. — COMPLETED 19:33: the batch runner now paces THROUGH the governor rather than beside it, waiting before each write instead of after a rejection, and BatchResult carries quotaWaitMs so a slow batch reads as "paced by Google's limit" rather than "the product is slow". Metering is per account, so one large batch cannot slow another customer. The help-centre article now states the real figures — about 60 documents a minute, roughly eight minutes for 500 — and is findable by searching "how long", "slow" or "quota".</t>
  </si>
  <si>
    <t xml:space="preserve">VER-DM7</t>
  </si>
  <si>
    <t xml:space="preserve">FIXED (with a caveat kept)</t>
  </si>
  <si>
    <t xml:space="preserve">Drive quota was unrecorded, and Google is mid-migration between two models</t>
  </si>
  <si>
    <t xml:space="preserve">VER-DM6 built a module that refuses to guess an unrecorded quota, and the filing path promptly tripped it: we write to Drive on every generated document and had recorded no Drive limit. Checking produced an awkward answer rather than a clean one. One published page gives 12,000 queries per 60 seconds per user; another describes a quota-unit model at 1,000,000 units per minute per project and 325,000 per user; and projects that used the API before May 2026 reportedly keep legacy request counts until the rollout finishes. Which applies depends on the age of the project we have not created yet.</t>
  </si>
  <si>
    <t xml:space="preserve">Recorded the conservative published figure WITH the ambiguity attached rather than resolving it by picking whichever number suited us, and added a caveat field so an unreliable quota is visibly unreliable. The useful conclusion is that on every one of these models Drive sits two orders of magnitude above the Docs ceiling of 60 writes per minute per user, so filing is NOT the binding constraint on a batch — document creation is, and the governor is already configured to it. bindingConstraint() computes which API throttles first, with a test proving Docs governs today and another proving a future quota change that reverses it would surface rather than silently slowing every run.</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</si>
</sst>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FFFFFF"/>
      <name val="Arial"/>
      <family val="0"/>
      <charset val="1"/>
    </font>
    <font>
      <sz val="10"/>
      <name val="Arial"/>
      <family val="0"/>
      <charset val="1"/>
    </font>
    <font>
      <sz val="10"/>
      <color rgb="FF008000"/>
      <name val="Arial"/>
      <family val="0"/>
      <charset val="1"/>
    </font>
    <font>
      <sz val="10"/>
      <color rgb="FFB36B00"/>
      <name val="Arial"/>
      <family val="0"/>
      <charset val="1"/>
    </font>
    <font>
      <b val="true"/>
      <sz val="10"/>
      <name val="Arial"/>
      <family val="0"/>
      <charset val="1"/>
    </font>
    <font>
      <i val="true"/>
      <sz val="9"/>
      <color rgb="FF555555"/>
      <name val="Arial"/>
      <family val="0"/>
      <charset val="1"/>
    </font>
    <font>
      <b val="true"/>
      <sz val="10"/>
      <color rgb="FFC00000"/>
      <name val="Arial"/>
      <family val="0"/>
      <charset val="1"/>
    </font>
    <font>
      <b val="true"/>
      <sz val="10"/>
      <color rgb="FF008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B36B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24"/>
    <col collapsed="false" customWidth="true" hidden="false" outlineLevel="0" max="4" min="4" style="1" width="80"/>
    <col collapsed="false" customWidth="true" hidden="false" outlineLevel="0" max="5" min="5" style="1" width="12"/>
  </cols>
  <sheetData>
    <row r="1" customFormat="false" ht="17.25" hidden="false" customHeight="true" outlineLevel="0" collapsed="false">
      <c r="A1" s="2" t="s">
        <v>0</v>
      </c>
    </row>
    <row r="3" customFormat="false" ht="15" hidden="false" customHeight="true" outlineLevel="0" collapsed="false">
      <c r="A3" s="3" t="s">
        <v>1</v>
      </c>
      <c r="B3" s="3" t="s">
        <v>2</v>
      </c>
      <c r="C3" s="3" t="s">
        <v>3</v>
      </c>
      <c r="D3" s="3" t="s">
        <v>4</v>
      </c>
      <c r="E3" s="3" t="s">
        <v>5</v>
      </c>
    </row>
    <row r="4" customFormat="false" ht="23.25" hidden="false" customHeight="true" outlineLevel="0" collapsed="false">
      <c r="A4" s="4" t="s">
        <v>6</v>
      </c>
      <c r="B4" s="4" t="s">
        <v>7</v>
      </c>
      <c r="C4" s="4" t="s">
        <v>8</v>
      </c>
      <c r="D4" s="4" t="s">
        <v>9</v>
      </c>
      <c r="E4" s="4" t="s">
        <v>10</v>
      </c>
    </row>
    <row r="5" customFormat="false" ht="34.5" hidden="false" customHeight="true" outlineLevel="0" collapsed="false">
      <c r="A5" s="4" t="s">
        <v>11</v>
      </c>
      <c r="B5" s="4" t="s">
        <v>12</v>
      </c>
      <c r="C5" s="4" t="s">
        <v>8</v>
      </c>
      <c r="D5" s="4" t="s">
        <v>13</v>
      </c>
      <c r="E5" s="4" t="s">
        <v>10</v>
      </c>
    </row>
    <row r="6" customFormat="false" ht="23.25" hidden="false" customHeight="true" outlineLevel="0" collapsed="false">
      <c r="A6" s="5" t="s">
        <v>14</v>
      </c>
      <c r="B6" s="5" t="s">
        <v>15</v>
      </c>
      <c r="C6" s="5" t="s">
        <v>8</v>
      </c>
      <c r="D6" s="5" t="s">
        <v>16</v>
      </c>
      <c r="E6" s="5" t="s">
        <v>10</v>
      </c>
    </row>
    <row r="7" customFormat="false" ht="34.5" hidden="false" customHeight="true" outlineLevel="0" collapsed="false">
      <c r="A7" s="6" t="s">
        <v>17</v>
      </c>
      <c r="B7" s="6" t="s">
        <v>18</v>
      </c>
      <c r="C7" s="6" t="s">
        <v>8</v>
      </c>
      <c r="D7" s="6" t="s">
        <v>19</v>
      </c>
      <c r="E7" s="6" t="s">
        <v>10</v>
      </c>
    </row>
    <row r="8" customFormat="false" ht="34.5" hidden="false" customHeight="true" outlineLevel="0" collapsed="false">
      <c r="A8" s="6" t="s">
        <v>20</v>
      </c>
      <c r="B8" s="6" t="s">
        <v>21</v>
      </c>
      <c r="C8" s="6" t="s">
        <v>8</v>
      </c>
      <c r="D8" s="6" t="s">
        <v>22</v>
      </c>
      <c r="E8" s="6" t="s">
        <v>10</v>
      </c>
    </row>
    <row r="9" customFormat="false" ht="23.25" hidden="false" customHeight="true" outlineLevel="0" collapsed="false">
      <c r="A9" s="6" t="s">
        <v>23</v>
      </c>
      <c r="B9" s="6" t="s">
        <v>24</v>
      </c>
      <c r="C9" s="6" t="s">
        <v>8</v>
      </c>
      <c r="D9" s="6" t="s">
        <v>25</v>
      </c>
      <c r="E9" s="6" t="s">
        <v>10</v>
      </c>
    </row>
    <row r="10" customFormat="false" ht="23.25" hidden="false" customHeight="true" outlineLevel="0" collapsed="false">
      <c r="A10" s="6" t="s">
        <v>26</v>
      </c>
      <c r="B10" s="6" t="s">
        <v>27</v>
      </c>
      <c r="C10" s="6" t="s">
        <v>8</v>
      </c>
      <c r="D10" s="6" t="s">
        <v>28</v>
      </c>
      <c r="E10" s="6" t="s">
        <v>10</v>
      </c>
    </row>
    <row r="11" customFormat="false" ht="23.25" hidden="false" customHeight="true" outlineLevel="0" collapsed="false">
      <c r="A11" s="6" t="s">
        <v>29</v>
      </c>
      <c r="B11" s="6" t="s">
        <v>30</v>
      </c>
      <c r="C11" s="6" t="s">
        <v>8</v>
      </c>
      <c r="D11" s="6" t="s">
        <v>31</v>
      </c>
      <c r="E11" s="6" t="s">
        <v>10</v>
      </c>
    </row>
    <row r="12" customFormat="false" ht="23.25" hidden="false" customHeight="true" outlineLevel="0" collapsed="false">
      <c r="A12" s="6" t="s">
        <v>32</v>
      </c>
      <c r="B12" s="6" t="s">
        <v>33</v>
      </c>
      <c r="C12" s="6" t="s">
        <v>8</v>
      </c>
      <c r="D12" s="6" t="s">
        <v>34</v>
      </c>
      <c r="E12" s="6" t="s">
        <v>10</v>
      </c>
    </row>
    <row r="13" customFormat="false" ht="23.25" hidden="false" customHeight="true" outlineLevel="0" collapsed="false">
      <c r="A13" s="6" t="s">
        <v>35</v>
      </c>
      <c r="B13" s="6" t="s">
        <v>36</v>
      </c>
      <c r="C13" s="6" t="s">
        <v>8</v>
      </c>
      <c r="D13" s="6" t="s">
        <v>37</v>
      </c>
      <c r="E13" s="6" t="s">
        <v>10</v>
      </c>
    </row>
    <row r="14" customFormat="false" ht="23.25" hidden="false" customHeight="true" outlineLevel="0" collapsed="false">
      <c r="A14" s="6" t="s">
        <v>38</v>
      </c>
      <c r="B14" s="6" t="s">
        <v>39</v>
      </c>
      <c r="C14" s="6" t="s">
        <v>8</v>
      </c>
      <c r="D14" s="6" t="s">
        <v>40</v>
      </c>
      <c r="E14" s="6" t="s">
        <v>10</v>
      </c>
    </row>
    <row r="15" customFormat="false" ht="23.25" hidden="false" customHeight="true" outlineLevel="0" collapsed="false">
      <c r="A15" s="6" t="s">
        <v>41</v>
      </c>
      <c r="B15" s="6" t="s">
        <v>42</v>
      </c>
      <c r="C15" s="6" t="s">
        <v>8</v>
      </c>
      <c r="D15" s="6" t="s">
        <v>43</v>
      </c>
      <c r="E15" s="6" t="s">
        <v>10</v>
      </c>
    </row>
    <row r="16" customFormat="false" ht="23.25" hidden="false" customHeight="true" outlineLevel="0" collapsed="false">
      <c r="A16" s="6" t="s">
        <v>44</v>
      </c>
      <c r="B16" s="6" t="s">
        <v>45</v>
      </c>
      <c r="C16" s="6" t="s">
        <v>8</v>
      </c>
      <c r="D16" s="6" t="s">
        <v>46</v>
      </c>
      <c r="E16" s="6" t="s">
        <v>10</v>
      </c>
    </row>
    <row r="17" customFormat="false" ht="34.5" hidden="false" customHeight="true" outlineLevel="0" collapsed="false">
      <c r="A17" s="6" t="s">
        <v>47</v>
      </c>
      <c r="B17" s="6" t="s">
        <v>48</v>
      </c>
      <c r="C17" s="6" t="s">
        <v>8</v>
      </c>
      <c r="D17" s="6" t="s">
        <v>49</v>
      </c>
      <c r="E17" s="6" t="s">
        <v>10</v>
      </c>
    </row>
    <row r="18" customFormat="false" ht="23.25" hidden="false" customHeight="true" outlineLevel="0" collapsed="false">
      <c r="A18" s="6" t="s">
        <v>50</v>
      </c>
      <c r="B18" s="6" t="s">
        <v>51</v>
      </c>
      <c r="C18" s="6" t="s">
        <v>8</v>
      </c>
      <c r="D18" s="6" t="s">
        <v>52</v>
      </c>
      <c r="E18" s="6" t="s">
        <v>10</v>
      </c>
    </row>
    <row r="19" customFormat="false" ht="15" hidden="false" customHeight="true" outlineLevel="0" collapsed="false">
      <c r="A19" s="6" t="s">
        <v>53</v>
      </c>
      <c r="B19" s="6" t="s">
        <v>54</v>
      </c>
      <c r="C19" s="6" t="s">
        <v>8</v>
      </c>
      <c r="D19" s="6" t="s">
        <v>55</v>
      </c>
      <c r="E19" s="6" t="s">
        <v>10</v>
      </c>
    </row>
    <row r="20" customFormat="false" ht="15" hidden="false" customHeight="true" outlineLevel="0" collapsed="false">
      <c r="A20" s="6" t="s">
        <v>56</v>
      </c>
      <c r="B20" s="6"/>
      <c r="C20" s="6"/>
      <c r="D20" s="6" t="s">
        <v>57</v>
      </c>
      <c r="E20" s="6" t="s">
        <v>58</v>
      </c>
    </row>
    <row r="21" customFormat="false" ht="68.25" hidden="false" customHeight="true" outlineLevel="0" collapsed="false">
      <c r="A21" s="7" t="s">
        <v>56</v>
      </c>
      <c r="B21" s="7" t="s">
        <v>59</v>
      </c>
      <c r="C21" s="7" t="s">
        <v>8</v>
      </c>
      <c r="D21" s="6" t="s">
        <v>60</v>
      </c>
      <c r="E21" s="7" t="s">
        <v>10</v>
      </c>
    </row>
    <row r="22" customFormat="false" ht="23.25" hidden="false" customHeight="true" outlineLevel="0" collapsed="false">
      <c r="A22" s="7" t="s">
        <v>61</v>
      </c>
      <c r="D22" s="6" t="s">
        <v>62</v>
      </c>
      <c r="E22" s="7" t="s">
        <v>58</v>
      </c>
    </row>
    <row r="23" customFormat="false" ht="113.25" hidden="false" customHeight="true" outlineLevel="0" collapsed="false">
      <c r="A23" s="7" t="s">
        <v>61</v>
      </c>
      <c r="B23" s="7" t="s">
        <v>63</v>
      </c>
      <c r="C23" s="7" t="s">
        <v>8</v>
      </c>
      <c r="D23" s="6" t="s">
        <v>64</v>
      </c>
      <c r="E23" s="7" t="s">
        <v>10</v>
      </c>
    </row>
    <row r="24" customFormat="false" ht="23.25" hidden="false" customHeight="true" outlineLevel="0" collapsed="false">
      <c r="A24" s="7" t="s">
        <v>65</v>
      </c>
      <c r="D24" s="6" t="s">
        <v>66</v>
      </c>
      <c r="E24" s="7" t="s">
        <v>58</v>
      </c>
    </row>
    <row r="25" customFormat="false" ht="124.5" hidden="false" customHeight="true" outlineLevel="0" collapsed="false">
      <c r="A25" s="7" t="s">
        <v>65</v>
      </c>
      <c r="B25" s="7" t="s">
        <v>67</v>
      </c>
      <c r="C25" s="7" t="s">
        <v>8</v>
      </c>
      <c r="D25" s="6" t="s">
        <v>68</v>
      </c>
      <c r="E25" s="7" t="s">
        <v>10</v>
      </c>
    </row>
    <row r="26" customFormat="false" ht="34.5" hidden="false" customHeight="true" outlineLevel="0" collapsed="false">
      <c r="A26" s="7" t="s">
        <v>69</v>
      </c>
      <c r="D26" s="6" t="s">
        <v>70</v>
      </c>
      <c r="E26" s="7" t="s">
        <v>58</v>
      </c>
    </row>
    <row r="27" customFormat="false" ht="124.5" hidden="false" customHeight="true" outlineLevel="0" collapsed="false">
      <c r="A27" s="7" t="s">
        <v>69</v>
      </c>
      <c r="B27" s="7" t="s">
        <v>71</v>
      </c>
      <c r="C27" s="7" t="s">
        <v>8</v>
      </c>
      <c r="D27" s="6" t="s">
        <v>72</v>
      </c>
      <c r="E27" s="7" t="s">
        <v>10</v>
      </c>
    </row>
    <row r="28" customFormat="false" ht="23.25" hidden="false" customHeight="true" outlineLevel="0" collapsed="false">
      <c r="A28" s="7" t="s">
        <v>73</v>
      </c>
      <c r="D28" s="6" t="s">
        <v>74</v>
      </c>
      <c r="E28" s="7" t="s">
        <v>58</v>
      </c>
    </row>
    <row r="29" customFormat="false" ht="157.5" hidden="false" customHeight="true" outlineLevel="0" collapsed="false">
      <c r="A29" s="7" t="s">
        <v>73</v>
      </c>
      <c r="B29" s="7" t="s">
        <v>75</v>
      </c>
      <c r="C29" s="7" t="s">
        <v>8</v>
      </c>
      <c r="D29" s="6" t="s">
        <v>76</v>
      </c>
      <c r="E29" s="7" t="s">
        <v>10</v>
      </c>
    </row>
    <row r="30" customFormat="false" ht="34.5" hidden="false" customHeight="true" outlineLevel="0" collapsed="false">
      <c r="A30" s="7" t="s">
        <v>77</v>
      </c>
      <c r="D30" s="6" t="s">
        <v>78</v>
      </c>
      <c r="E30" s="7" t="s">
        <v>58</v>
      </c>
    </row>
    <row r="31" customFormat="false" ht="124.5" hidden="false" customHeight="true" outlineLevel="0" collapsed="false">
      <c r="A31" s="7" t="s">
        <v>77</v>
      </c>
      <c r="B31" s="7" t="s">
        <v>79</v>
      </c>
      <c r="C31" s="7" t="s">
        <v>8</v>
      </c>
      <c r="D31" s="6" t="s">
        <v>80</v>
      </c>
      <c r="E31" s="7" t="s">
        <v>10</v>
      </c>
    </row>
    <row r="32" customFormat="false" ht="34.5" hidden="false" customHeight="true" outlineLevel="0" collapsed="false">
      <c r="A32" s="7" t="s">
        <v>81</v>
      </c>
      <c r="D32" s="6" t="s">
        <v>82</v>
      </c>
      <c r="E32" s="7" t="s">
        <v>58</v>
      </c>
    </row>
    <row r="33" customFormat="false" ht="102" hidden="false" customHeight="true" outlineLevel="0" collapsed="false">
      <c r="A33" s="7" t="s">
        <v>81</v>
      </c>
      <c r="B33" s="7" t="s">
        <v>83</v>
      </c>
      <c r="C33" s="7" t="s">
        <v>8</v>
      </c>
      <c r="D33" s="6" t="s">
        <v>84</v>
      </c>
      <c r="E33" s="7" t="s">
        <v>10</v>
      </c>
    </row>
    <row r="34" customFormat="false" ht="23.25" hidden="false" customHeight="true" outlineLevel="0" collapsed="false">
      <c r="A34" s="7" t="s">
        <v>85</v>
      </c>
      <c r="D34" s="6" t="s">
        <v>86</v>
      </c>
      <c r="E34" s="7" t="s">
        <v>58</v>
      </c>
    </row>
    <row r="35" customFormat="false" ht="135.75" hidden="false" customHeight="true" outlineLevel="0" collapsed="false">
      <c r="A35" s="7" t="s">
        <v>85</v>
      </c>
      <c r="B35" s="7" t="s">
        <v>87</v>
      </c>
      <c r="C35" s="7" t="s">
        <v>8</v>
      </c>
      <c r="D35" s="6" t="s">
        <v>88</v>
      </c>
      <c r="E35" s="7" t="s">
        <v>10</v>
      </c>
    </row>
    <row r="36" customFormat="false" ht="23.25" hidden="false" customHeight="true" outlineLevel="0" collapsed="false">
      <c r="A36" s="7" t="s">
        <v>89</v>
      </c>
      <c r="D36" s="6" t="s">
        <v>90</v>
      </c>
      <c r="E36" s="7" t="s">
        <v>58</v>
      </c>
    </row>
    <row r="37" customFormat="false" ht="147" hidden="false" customHeight="true" outlineLevel="0" collapsed="false">
      <c r="A37" s="7" t="s">
        <v>89</v>
      </c>
      <c r="B37" s="7" t="s">
        <v>91</v>
      </c>
      <c r="C37" s="7" t="s">
        <v>8</v>
      </c>
      <c r="D37" s="6" t="s">
        <v>92</v>
      </c>
      <c r="E37" s="7" t="s">
        <v>10</v>
      </c>
    </row>
    <row r="38" customFormat="false" ht="23.25" hidden="false" customHeight="true" outlineLevel="0" collapsed="false">
      <c r="A38" s="7" t="s">
        <v>93</v>
      </c>
      <c r="D38" s="6" t="s">
        <v>94</v>
      </c>
      <c r="E38" s="7" t="s">
        <v>58</v>
      </c>
    </row>
    <row r="39" customFormat="false" ht="135.75" hidden="false" customHeight="true" outlineLevel="0" collapsed="false">
      <c r="A39" s="7" t="s">
        <v>93</v>
      </c>
      <c r="B39" s="7" t="s">
        <v>95</v>
      </c>
      <c r="C39" s="7" t="s">
        <v>8</v>
      </c>
      <c r="D39" s="6" t="s">
        <v>96</v>
      </c>
      <c r="E39" s="7" t="s">
        <v>10</v>
      </c>
    </row>
    <row r="40" customFormat="false" ht="23.25" hidden="false" customHeight="true" outlineLevel="0" collapsed="false">
      <c r="A40" s="7" t="s">
        <v>97</v>
      </c>
      <c r="D40" s="6" t="s">
        <v>98</v>
      </c>
      <c r="E40" s="7" t="s">
        <v>58</v>
      </c>
    </row>
    <row r="41" customFormat="false" ht="124.5" hidden="false" customHeight="true" outlineLevel="0" collapsed="false">
      <c r="A41" s="7" t="s">
        <v>97</v>
      </c>
      <c r="B41" s="7" t="s">
        <v>99</v>
      </c>
      <c r="C41" s="7" t="s">
        <v>8</v>
      </c>
      <c r="D41" s="6" t="s">
        <v>100</v>
      </c>
      <c r="E41" s="7" t="s">
        <v>10</v>
      </c>
    </row>
    <row r="42" customFormat="false" ht="23.25" hidden="false" customHeight="true" outlineLevel="0" collapsed="false">
      <c r="A42" s="7" t="s">
        <v>101</v>
      </c>
      <c r="D42" s="6" t="s">
        <v>102</v>
      </c>
      <c r="E42" s="7" t="s">
        <v>58</v>
      </c>
    </row>
    <row r="43" customFormat="false" ht="147" hidden="false" customHeight="true" outlineLevel="0" collapsed="false">
      <c r="A43" s="7" t="s">
        <v>101</v>
      </c>
      <c r="B43" s="7" t="s">
        <v>103</v>
      </c>
      <c r="C43" s="7" t="s">
        <v>8</v>
      </c>
      <c r="D43" s="6" t="s">
        <v>104</v>
      </c>
      <c r="E43" s="7" t="s">
        <v>10</v>
      </c>
    </row>
    <row r="44" customFormat="false" ht="15" hidden="false" customHeight="true" outlineLevel="0" collapsed="false">
      <c r="A44" s="7" t="s">
        <v>105</v>
      </c>
      <c r="D44" s="6" t="s">
        <v>106</v>
      </c>
      <c r="E44" s="7" t="s">
        <v>58</v>
      </c>
    </row>
    <row r="45" customFormat="false" ht="113.25" hidden="false" customHeight="true" outlineLevel="0" collapsed="false">
      <c r="A45" s="7" t="s">
        <v>105</v>
      </c>
      <c r="B45" s="7" t="s">
        <v>107</v>
      </c>
      <c r="C45" s="7" t="s">
        <v>8</v>
      </c>
      <c r="D45" s="6" t="s">
        <v>108</v>
      </c>
      <c r="E45" s="7" t="s">
        <v>10</v>
      </c>
    </row>
    <row r="46" customFormat="false" ht="23.25" hidden="false" customHeight="true" outlineLevel="0" collapsed="false">
      <c r="A46" s="7" t="s">
        <v>109</v>
      </c>
      <c r="D46" s="6" t="s">
        <v>110</v>
      </c>
      <c r="E46" s="7" t="s">
        <v>58</v>
      </c>
    </row>
    <row r="47" customFormat="false" ht="124.5" hidden="false" customHeight="true" outlineLevel="0" collapsed="false">
      <c r="A47" s="7" t="s">
        <v>109</v>
      </c>
      <c r="B47" s="7" t="s">
        <v>111</v>
      </c>
      <c r="C47" s="7" t="s">
        <v>8</v>
      </c>
      <c r="D47" s="6" t="s">
        <v>112</v>
      </c>
      <c r="E47" s="7" t="s">
        <v>10</v>
      </c>
    </row>
    <row r="48" customFormat="false" ht="15" hidden="false" customHeight="true" outlineLevel="0" collapsed="false">
      <c r="A48" s="7" t="s">
        <v>113</v>
      </c>
      <c r="D48" s="6" t="s">
        <v>114</v>
      </c>
      <c r="E48" s="7" t="s">
        <v>58</v>
      </c>
    </row>
    <row r="49" customFormat="false" ht="124.5" hidden="false" customHeight="true" outlineLevel="0" collapsed="false">
      <c r="A49" s="7" t="s">
        <v>113</v>
      </c>
      <c r="B49" s="7" t="s">
        <v>115</v>
      </c>
      <c r="C49" s="7" t="s">
        <v>8</v>
      </c>
      <c r="D49" s="6" t="s">
        <v>116</v>
      </c>
      <c r="E49" s="7" t="s">
        <v>10</v>
      </c>
    </row>
    <row r="50" customFormat="false" ht="23.25" hidden="false" customHeight="true" outlineLevel="0" collapsed="false">
      <c r="A50" s="7" t="s">
        <v>117</v>
      </c>
      <c r="D50" s="6" t="s">
        <v>118</v>
      </c>
      <c r="E50" s="7" t="s">
        <v>58</v>
      </c>
    </row>
    <row r="51" customFormat="false" ht="135.75" hidden="false" customHeight="true" outlineLevel="0" collapsed="false">
      <c r="A51" s="7" t="s">
        <v>117</v>
      </c>
      <c r="B51" s="7" t="s">
        <v>119</v>
      </c>
      <c r="C51" s="7" t="s">
        <v>8</v>
      </c>
      <c r="D51" s="6" t="s">
        <v>120</v>
      </c>
      <c r="E51" s="7" t="s">
        <v>10</v>
      </c>
    </row>
    <row r="52" customFormat="false" ht="23.25" hidden="false" customHeight="true" outlineLevel="0" collapsed="false">
      <c r="A52" s="7" t="s">
        <v>121</v>
      </c>
      <c r="D52" s="6" t="s">
        <v>122</v>
      </c>
      <c r="E52" s="7" t="s">
        <v>58</v>
      </c>
    </row>
    <row r="53" customFormat="false" ht="124.5" hidden="false" customHeight="true" outlineLevel="0" collapsed="false">
      <c r="A53" s="7" t="s">
        <v>121</v>
      </c>
      <c r="B53" s="7" t="s">
        <v>123</v>
      </c>
      <c r="C53" s="7" t="s">
        <v>8</v>
      </c>
      <c r="D53" s="6" t="s">
        <v>124</v>
      </c>
      <c r="E53" s="7" t="s">
        <v>10</v>
      </c>
    </row>
    <row r="54" customFormat="false" ht="23.25" hidden="false" customHeight="true" outlineLevel="0" collapsed="false">
      <c r="A54" s="7" t="s">
        <v>125</v>
      </c>
      <c r="D54" s="6" t="s">
        <v>126</v>
      </c>
      <c r="E54" s="7" t="s">
        <v>58</v>
      </c>
    </row>
    <row r="55" customFormat="false" ht="135.75" hidden="false" customHeight="true" outlineLevel="0" collapsed="false">
      <c r="A55" s="7" t="s">
        <v>125</v>
      </c>
      <c r="B55" s="7" t="s">
        <v>127</v>
      </c>
      <c r="C55" s="7" t="s">
        <v>8</v>
      </c>
      <c r="D55" s="6" t="s">
        <v>128</v>
      </c>
      <c r="E55" s="7" t="s">
        <v>10</v>
      </c>
    </row>
    <row r="56" customFormat="false" ht="23.25" hidden="false" customHeight="true" outlineLevel="0" collapsed="false">
      <c r="A56" s="7" t="s">
        <v>129</v>
      </c>
      <c r="D56" s="6" t="s">
        <v>130</v>
      </c>
      <c r="E56" s="7" t="s">
        <v>58</v>
      </c>
    </row>
    <row r="57" customFormat="false" ht="135.75" hidden="false" customHeight="true" outlineLevel="0" collapsed="false">
      <c r="A57" s="7" t="s">
        <v>129</v>
      </c>
      <c r="B57" s="7" t="s">
        <v>131</v>
      </c>
      <c r="C57" s="7" t="s">
        <v>8</v>
      </c>
      <c r="D57" s="6" t="s">
        <v>132</v>
      </c>
      <c r="E57" s="7" t="s">
        <v>10</v>
      </c>
    </row>
    <row r="58" customFormat="false" ht="23.25" hidden="false" customHeight="true" outlineLevel="0" collapsed="false">
      <c r="A58" s="7" t="s">
        <v>133</v>
      </c>
      <c r="D58" s="6" t="s">
        <v>134</v>
      </c>
      <c r="E58" s="7" t="s">
        <v>58</v>
      </c>
    </row>
    <row r="59" customFormat="false" ht="135.8" hidden="false" customHeight="false" outlineLevel="0" collapsed="false">
      <c r="A59" s="8" t="s">
        <v>133</v>
      </c>
      <c r="B59" s="8" t="s">
        <v>135</v>
      </c>
      <c r="C59" s="8" t="s">
        <v>8</v>
      </c>
      <c r="D59" s="6" t="s">
        <v>136</v>
      </c>
      <c r="E59" s="8" t="s">
        <v>10</v>
      </c>
    </row>
    <row r="60" customFormat="false" ht="23.85" hidden="false" customHeight="false" outlineLevel="0" collapsed="false">
      <c r="A60" s="8" t="s">
        <v>137</v>
      </c>
      <c r="D60" s="6" t="s">
        <v>138</v>
      </c>
      <c r="E60" s="8"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7.25" hidden="false" customHeight="true" outlineLevel="0" collapsed="false">
      <c r="A1" s="2" t="s">
        <v>139</v>
      </c>
    </row>
    <row r="3" customFormat="false" ht="27.75" hidden="false" customHeight="true" outlineLevel="0" collapsed="false">
      <c r="A3" s="6" t="s">
        <v>140</v>
      </c>
    </row>
    <row r="4" customFormat="false" ht="27.75" hidden="false" customHeight="true" outlineLevel="0" collapsed="false">
      <c r="A4" s="6" t="s">
        <v>141</v>
      </c>
    </row>
    <row r="5" customFormat="false" ht="27.75" hidden="false" customHeight="true" outlineLevel="0" collapsed="false">
      <c r="A5" s="6" t="s">
        <v>142</v>
      </c>
    </row>
    <row r="6" customFormat="false" ht="27.75" hidden="false" customHeight="true" outlineLevel="0" collapsed="false">
      <c r="A6" s="6" t="s">
        <v>143</v>
      </c>
    </row>
    <row r="7" customFormat="false" ht="27.75" hidden="false" customHeight="true" outlineLevel="0" collapsed="false">
      <c r="A7" s="6"/>
    </row>
    <row r="8" customFormat="false" ht="55.5" hidden="false" customHeight="true" outlineLevel="0" collapsed="false">
      <c r="A8" s="6" t="s">
        <v>144</v>
      </c>
    </row>
    <row r="9" customFormat="false" ht="27.75" hidden="false" customHeight="true" outlineLevel="0" collapsed="false">
      <c r="A9" s="6"/>
    </row>
    <row r="10" customFormat="false" ht="27.75" hidden="false" customHeight="true" outlineLevel="0" collapsed="false">
      <c r="A10" s="6"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4"/>
    <col collapsed="false" customWidth="true" hidden="false" outlineLevel="0" max="3" min="3" style="1" width="34"/>
    <col collapsed="false" customWidth="true" hidden="false" outlineLevel="0" max="4" min="4" style="1" width="40"/>
  </cols>
  <sheetData>
    <row r="1" customFormat="false" ht="17.25" hidden="false" customHeight="true" outlineLevel="0" collapsed="false">
      <c r="A1" s="2" t="s">
        <v>146</v>
      </c>
    </row>
    <row r="3" customFormat="false" ht="15" hidden="false" customHeight="true" outlineLevel="0" collapsed="false">
      <c r="A3" s="3" t="s">
        <v>147</v>
      </c>
      <c r="B3" s="3" t="s">
        <v>148</v>
      </c>
      <c r="C3" s="3" t="s">
        <v>149</v>
      </c>
      <c r="D3" s="3" t="s">
        <v>150</v>
      </c>
    </row>
    <row r="4" customFormat="false" ht="30" hidden="false" customHeight="true" outlineLevel="0" collapsed="false">
      <c r="A4" s="4" t="s">
        <v>151</v>
      </c>
      <c r="B4" s="4" t="s">
        <v>152</v>
      </c>
      <c r="C4" s="4" t="s">
        <v>153</v>
      </c>
      <c r="D4" s="4" t="s">
        <v>154</v>
      </c>
    </row>
    <row r="5" customFormat="false" ht="30" hidden="false" customHeight="true" outlineLevel="0" collapsed="false">
      <c r="A5" s="4" t="s">
        <v>155</v>
      </c>
      <c r="B5" s="4" t="s">
        <v>156</v>
      </c>
      <c r="C5" s="4" t="s">
        <v>153</v>
      </c>
      <c r="D5" s="4" t="s">
        <v>157</v>
      </c>
    </row>
    <row r="6" customFormat="false" ht="30" hidden="false" customHeight="true" outlineLevel="0" collapsed="false">
      <c r="A6" s="4" t="s">
        <v>158</v>
      </c>
      <c r="B6" s="4" t="s">
        <v>159</v>
      </c>
      <c r="C6" s="4" t="s">
        <v>153</v>
      </c>
      <c r="D6" s="4" t="s">
        <v>160</v>
      </c>
    </row>
    <row r="7" customFormat="false" ht="30" hidden="false" customHeight="true" outlineLevel="0" collapsed="false">
      <c r="A7" s="4" t="s">
        <v>161</v>
      </c>
      <c r="B7" s="4" t="s">
        <v>162</v>
      </c>
      <c r="C7" s="4" t="s">
        <v>153</v>
      </c>
      <c r="D7" s="4" t="s">
        <v>163</v>
      </c>
    </row>
    <row r="8" customFormat="false" ht="30" hidden="false" customHeight="true" outlineLevel="0" collapsed="false">
      <c r="A8" s="4" t="s">
        <v>164</v>
      </c>
      <c r="B8" s="4" t="s">
        <v>165</v>
      </c>
      <c r="C8" s="4" t="s">
        <v>153</v>
      </c>
      <c r="D8" s="4" t="s">
        <v>166</v>
      </c>
    </row>
    <row r="10" customFormat="false" ht="15" hidden="false" customHeight="true" outlineLevel="0" collapsed="false">
      <c r="A10" s="3" t="s">
        <v>167</v>
      </c>
      <c r="B10" s="3" t="s">
        <v>168</v>
      </c>
      <c r="C10" s="3"/>
      <c r="D10" s="3"/>
    </row>
    <row r="11" customFormat="false" ht="25.5" hidden="false" customHeight="true" outlineLevel="0" collapsed="false">
      <c r="A11" s="4" t="s">
        <v>169</v>
      </c>
      <c r="B11" s="4" t="s">
        <v>170</v>
      </c>
      <c r="C11" s="4"/>
      <c r="D11" s="4"/>
    </row>
    <row r="12" customFormat="false" ht="25.5" hidden="false" customHeight="true" outlineLevel="0" collapsed="false">
      <c r="A12" s="4" t="s">
        <v>171</v>
      </c>
      <c r="B12" s="4" t="s">
        <v>172</v>
      </c>
      <c r="C12" s="4"/>
      <c r="D12" s="4"/>
    </row>
    <row r="13" customFormat="false" ht="25.5" hidden="false" customHeight="true" outlineLevel="0" collapsed="false">
      <c r="A13" s="4" t="s">
        <v>173</v>
      </c>
      <c r="B13" s="4" t="s">
        <v>174</v>
      </c>
      <c r="C13" s="4"/>
      <c r="D13" s="4"/>
    </row>
  </sheetData>
  <mergeCells count="3">
    <mergeCell ref="B11:D11"/>
    <mergeCell ref="B12:D12"/>
    <mergeCell ref="B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4" min="4" style="1" width="44"/>
    <col collapsed="false" customWidth="true" hidden="false" outlineLevel="0" max="5" min="5" style="1" width="24"/>
  </cols>
  <sheetData>
    <row r="1" customFormat="false" ht="17.25" hidden="false" customHeight="true" outlineLevel="0" collapsed="false">
      <c r="A1" s="2" t="s">
        <v>175</v>
      </c>
    </row>
    <row r="3" customFormat="false" ht="15" hidden="false" customHeight="true" outlineLevel="0" collapsed="false">
      <c r="A3" s="3" t="s">
        <v>176</v>
      </c>
      <c r="B3" s="3" t="s">
        <v>177</v>
      </c>
      <c r="C3" s="3" t="s">
        <v>178</v>
      </c>
      <c r="D3" s="3" t="s">
        <v>179</v>
      </c>
      <c r="E3" s="3" t="s">
        <v>180</v>
      </c>
    </row>
    <row r="4" customFormat="false" ht="25.5" hidden="false" customHeight="true" outlineLevel="0" collapsed="false">
      <c r="A4" s="4" t="n">
        <v>1</v>
      </c>
      <c r="B4" s="4" t="s">
        <v>181</v>
      </c>
      <c r="C4" s="4" t="s">
        <v>182</v>
      </c>
      <c r="D4" s="4" t="s">
        <v>183</v>
      </c>
      <c r="E4" s="5"/>
    </row>
    <row r="5" customFormat="false" ht="25.5" hidden="false" customHeight="true" outlineLevel="0" collapsed="false">
      <c r="A5" s="4" t="n">
        <v>2</v>
      </c>
      <c r="B5" s="4" t="s">
        <v>184</v>
      </c>
      <c r="C5" s="4" t="s">
        <v>185</v>
      </c>
      <c r="D5" s="4" t="s">
        <v>186</v>
      </c>
      <c r="E5" s="5"/>
    </row>
    <row r="6" customFormat="false" ht="25.5" hidden="false" customHeight="true" outlineLevel="0" collapsed="false">
      <c r="A6" s="4" t="n">
        <v>3</v>
      </c>
      <c r="B6" s="4" t="s">
        <v>187</v>
      </c>
      <c r="C6" s="4" t="s">
        <v>188</v>
      </c>
      <c r="D6" s="4" t="s">
        <v>189</v>
      </c>
      <c r="E6" s="5"/>
    </row>
    <row r="7" customFormat="false" ht="25.5" hidden="false" customHeight="true" outlineLevel="0" collapsed="false">
      <c r="A7" s="4" t="n">
        <v>4</v>
      </c>
      <c r="B7" s="4" t="s">
        <v>190</v>
      </c>
      <c r="C7" s="4" t="s">
        <v>191</v>
      </c>
      <c r="D7" s="4" t="s">
        <v>192</v>
      </c>
      <c r="E7" s="5"/>
    </row>
    <row r="8" customFormat="false" ht="25.5" hidden="false" customHeight="true" outlineLevel="0" collapsed="false">
      <c r="A8" s="4" t="n">
        <v>5</v>
      </c>
      <c r="B8" s="4" t="s">
        <v>193</v>
      </c>
      <c r="C8" s="4" t="s">
        <v>194</v>
      </c>
      <c r="D8" s="4" t="s">
        <v>195</v>
      </c>
      <c r="E8" s="5"/>
    </row>
    <row r="9" customFormat="false" ht="25.5" hidden="false" customHeight="true" outlineLevel="0" collapsed="false">
      <c r="A9" s="4" t="n">
        <v>6</v>
      </c>
      <c r="B9" s="4" t="s">
        <v>196</v>
      </c>
      <c r="C9" s="4" t="s">
        <v>197</v>
      </c>
      <c r="D9" s="4" t="s">
        <v>198</v>
      </c>
      <c r="E9" s="5"/>
    </row>
    <row r="10" customFormat="false" ht="25.5" hidden="false" customHeight="true" outlineLevel="0" collapsed="false">
      <c r="A10" s="4" t="n">
        <v>7</v>
      </c>
      <c r="B10" s="4" t="s">
        <v>199</v>
      </c>
      <c r="C10" s="4" t="s">
        <v>200</v>
      </c>
      <c r="D10" s="4" t="s">
        <v>201</v>
      </c>
      <c r="E10" s="5"/>
    </row>
    <row r="11" customFormat="false" ht="25.5" hidden="false" customHeight="true" outlineLevel="0" collapsed="false">
      <c r="A11" s="4" t="n">
        <v>8</v>
      </c>
      <c r="B11" s="4" t="s">
        <v>202</v>
      </c>
      <c r="C11" s="4" t="s">
        <v>203</v>
      </c>
      <c r="D11" s="4" t="s">
        <v>204</v>
      </c>
      <c r="E11" s="5"/>
    </row>
    <row r="12" customFormat="false" ht="25.5" hidden="false" customHeight="true" outlineLevel="0" collapsed="false">
      <c r="A12" s="4" t="n">
        <v>9</v>
      </c>
      <c r="B12" s="4" t="s">
        <v>205</v>
      </c>
      <c r="C12" s="4" t="s">
        <v>206</v>
      </c>
      <c r="D12" s="4" t="s">
        <v>207</v>
      </c>
      <c r="E12"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84"/>
    <col collapsed="false" customWidth="true" hidden="false" outlineLevel="0" max="4" min="4" style="1" width="8"/>
    <col collapsed="false" customWidth="true" hidden="false" outlineLevel="0" max="5" min="5" style="1" width="9"/>
    <col collapsed="false" customWidth="true" hidden="false" outlineLevel="0" max="6" min="6" style="1" width="8"/>
    <col collapsed="false" customWidth="true" hidden="false" outlineLevel="0" max="7" min="7" style="1" width="12"/>
  </cols>
  <sheetData>
    <row r="1" customFormat="false" ht="17.25" hidden="false" customHeight="true" outlineLevel="0" collapsed="false">
      <c r="A1" s="2" t="s">
        <v>208</v>
      </c>
    </row>
    <row r="3" customFormat="false" ht="15" hidden="false" customHeight="true" outlineLevel="0" collapsed="false">
      <c r="A3" s="3" t="s">
        <v>209</v>
      </c>
      <c r="B3" s="3" t="s">
        <v>210</v>
      </c>
      <c r="C3" s="3" t="s">
        <v>211</v>
      </c>
      <c r="D3" s="3" t="s">
        <v>212</v>
      </c>
      <c r="E3" s="3" t="s">
        <v>213</v>
      </c>
      <c r="F3" s="3" t="s">
        <v>214</v>
      </c>
      <c r="G3" s="3" t="s">
        <v>5</v>
      </c>
    </row>
    <row r="4" customFormat="false" ht="25.5" hidden="false" customHeight="true" outlineLevel="0" collapsed="false">
      <c r="A4" s="4" t="s">
        <v>215</v>
      </c>
      <c r="B4" s="4" t="s">
        <v>216</v>
      </c>
      <c r="C4" s="4" t="s">
        <v>217</v>
      </c>
      <c r="D4" s="4" t="n">
        <v>5</v>
      </c>
      <c r="E4" s="4" t="s">
        <v>218</v>
      </c>
      <c r="F4" s="4" t="s">
        <v>219</v>
      </c>
      <c r="G4" s="9" t="s">
        <v>220</v>
      </c>
    </row>
    <row r="5" customFormat="false" ht="25.5" hidden="false" customHeight="true" outlineLevel="0" collapsed="false">
      <c r="A5" s="4" t="s">
        <v>221</v>
      </c>
      <c r="B5" s="4" t="s">
        <v>216</v>
      </c>
      <c r="C5" s="4" t="s">
        <v>222</v>
      </c>
      <c r="D5" s="4" t="n">
        <v>8</v>
      </c>
      <c r="E5" s="4" t="s">
        <v>218</v>
      </c>
      <c r="F5" s="4" t="s">
        <v>219</v>
      </c>
      <c r="G5" s="9" t="s">
        <v>220</v>
      </c>
    </row>
    <row r="6" customFormat="false" ht="25.5" hidden="false" customHeight="true" outlineLevel="0" collapsed="false">
      <c r="A6" s="4" t="s">
        <v>223</v>
      </c>
      <c r="B6" s="4" t="s">
        <v>216</v>
      </c>
      <c r="C6" s="4" t="s">
        <v>224</v>
      </c>
      <c r="D6" s="4" t="n">
        <v>5</v>
      </c>
      <c r="E6" s="4" t="s">
        <v>225</v>
      </c>
      <c r="F6" s="4" t="s">
        <v>219</v>
      </c>
      <c r="G6" s="9" t="s">
        <v>220</v>
      </c>
    </row>
    <row r="7" customFormat="false" ht="25.5" hidden="false" customHeight="true" outlineLevel="0" collapsed="false">
      <c r="A7" s="4" t="s">
        <v>226</v>
      </c>
      <c r="B7" s="4" t="s">
        <v>216</v>
      </c>
      <c r="C7" s="4" t="s">
        <v>227</v>
      </c>
      <c r="D7" s="4" t="n">
        <v>3</v>
      </c>
      <c r="E7" s="4" t="s">
        <v>218</v>
      </c>
      <c r="F7" s="4" t="s">
        <v>219</v>
      </c>
      <c r="G7" s="9" t="s">
        <v>220</v>
      </c>
    </row>
    <row r="8" customFormat="false" ht="25.5" hidden="false" customHeight="true" outlineLevel="0" collapsed="false">
      <c r="A8" s="4" t="s">
        <v>228</v>
      </c>
      <c r="B8" s="4" t="s">
        <v>216</v>
      </c>
      <c r="C8" s="4" t="s">
        <v>229</v>
      </c>
      <c r="D8" s="4" t="n">
        <v>5</v>
      </c>
      <c r="E8" s="4" t="s">
        <v>218</v>
      </c>
      <c r="F8" s="4" t="s">
        <v>230</v>
      </c>
      <c r="G8" s="9" t="s">
        <v>220</v>
      </c>
    </row>
    <row r="9" customFormat="false" ht="25.5" hidden="false" customHeight="true" outlineLevel="0" collapsed="false">
      <c r="A9" s="4" t="s">
        <v>231</v>
      </c>
      <c r="B9" s="4" t="s">
        <v>216</v>
      </c>
      <c r="C9" s="4" t="s">
        <v>232</v>
      </c>
      <c r="D9" s="4" t="n">
        <v>3</v>
      </c>
      <c r="E9" s="4" t="s">
        <v>225</v>
      </c>
      <c r="F9" s="4" t="s">
        <v>230</v>
      </c>
      <c r="G9" s="9" t="s">
        <v>220</v>
      </c>
    </row>
    <row r="10" customFormat="false" ht="25.5" hidden="false" customHeight="true" outlineLevel="0" collapsed="false">
      <c r="A10" s="4" t="s">
        <v>233</v>
      </c>
      <c r="B10" s="4" t="s">
        <v>216</v>
      </c>
      <c r="C10" s="4" t="s">
        <v>234</v>
      </c>
      <c r="D10" s="4" t="n">
        <v>3</v>
      </c>
      <c r="E10" s="4" t="s">
        <v>225</v>
      </c>
      <c r="F10" s="4" t="s">
        <v>230</v>
      </c>
      <c r="G10" s="9" t="s">
        <v>220</v>
      </c>
    </row>
    <row r="11" customFormat="false" ht="25.5" hidden="false" customHeight="true" outlineLevel="0" collapsed="false">
      <c r="A11" s="4" t="s">
        <v>235</v>
      </c>
      <c r="B11" s="4" t="s">
        <v>216</v>
      </c>
      <c r="C11" s="4" t="s">
        <v>236</v>
      </c>
      <c r="D11" s="4" t="n">
        <v>2</v>
      </c>
      <c r="E11" s="4" t="s">
        <v>237</v>
      </c>
      <c r="F11" s="4" t="s">
        <v>230</v>
      </c>
      <c r="G11" s="9" t="s">
        <v>220</v>
      </c>
    </row>
    <row r="12" customFormat="false" ht="25.5" hidden="false" customHeight="true" outlineLevel="0" collapsed="false">
      <c r="A12" s="4" t="s">
        <v>238</v>
      </c>
      <c r="B12" s="4" t="s">
        <v>216</v>
      </c>
      <c r="C12" s="4" t="s">
        <v>239</v>
      </c>
      <c r="D12" s="4" t="n">
        <v>5</v>
      </c>
      <c r="E12" s="4" t="s">
        <v>225</v>
      </c>
      <c r="F12" s="4" t="s">
        <v>230</v>
      </c>
      <c r="G12" s="9" t="s">
        <v>220</v>
      </c>
    </row>
    <row r="13" customFormat="false" ht="25.5" hidden="false" customHeight="true" outlineLevel="0" collapsed="false">
      <c r="A13" s="4" t="s">
        <v>240</v>
      </c>
      <c r="B13" s="4" t="s">
        <v>216</v>
      </c>
      <c r="C13" s="4" t="s">
        <v>241</v>
      </c>
      <c r="D13" s="4" t="n">
        <v>3</v>
      </c>
      <c r="E13" s="4" t="s">
        <v>237</v>
      </c>
      <c r="F13" s="4" t="s">
        <v>230</v>
      </c>
      <c r="G13" s="9" t="s">
        <v>220</v>
      </c>
    </row>
    <row r="14" customFormat="false" ht="25.5" hidden="false" customHeight="true" outlineLevel="0" collapsed="false">
      <c r="A14" s="4" t="s">
        <v>242</v>
      </c>
      <c r="B14" s="4" t="s">
        <v>243</v>
      </c>
      <c r="C14" s="4" t="s">
        <v>244</v>
      </c>
      <c r="D14" s="4" t="n">
        <v>5</v>
      </c>
      <c r="E14" s="4" t="s">
        <v>218</v>
      </c>
      <c r="F14" s="4" t="s">
        <v>230</v>
      </c>
      <c r="G14" s="9" t="s">
        <v>220</v>
      </c>
    </row>
    <row r="15" customFormat="false" ht="25.5" hidden="false" customHeight="true" outlineLevel="0" collapsed="false">
      <c r="A15" s="4" t="s">
        <v>245</v>
      </c>
      <c r="B15" s="4" t="s">
        <v>243</v>
      </c>
      <c r="C15" s="4" t="s">
        <v>246</v>
      </c>
      <c r="D15" s="4" t="n">
        <v>8</v>
      </c>
      <c r="E15" s="4" t="s">
        <v>218</v>
      </c>
      <c r="F15" s="4" t="s">
        <v>230</v>
      </c>
      <c r="G15" s="9" t="s">
        <v>220</v>
      </c>
    </row>
    <row r="16" customFormat="false" ht="25.5" hidden="false" customHeight="true" outlineLevel="0" collapsed="false">
      <c r="A16" s="4" t="s">
        <v>247</v>
      </c>
      <c r="B16" s="4" t="s">
        <v>243</v>
      </c>
      <c r="C16" s="4" t="s">
        <v>248</v>
      </c>
      <c r="D16" s="4" t="n">
        <v>5</v>
      </c>
      <c r="E16" s="4" t="s">
        <v>225</v>
      </c>
      <c r="F16" s="4" t="s">
        <v>230</v>
      </c>
      <c r="G16" s="9" t="s">
        <v>220</v>
      </c>
    </row>
    <row r="17" customFormat="false" ht="25.5" hidden="false" customHeight="true" outlineLevel="0" collapsed="false">
      <c r="A17" s="4" t="s">
        <v>249</v>
      </c>
      <c r="B17" s="4" t="s">
        <v>243</v>
      </c>
      <c r="C17" s="4" t="s">
        <v>250</v>
      </c>
      <c r="D17" s="4" t="n">
        <v>3</v>
      </c>
      <c r="E17" s="4" t="s">
        <v>218</v>
      </c>
      <c r="F17" s="4" t="s">
        <v>230</v>
      </c>
      <c r="G17" s="9" t="s">
        <v>220</v>
      </c>
    </row>
    <row r="18" customFormat="false" ht="25.5" hidden="false" customHeight="true" outlineLevel="0" collapsed="false">
      <c r="A18" s="4" t="s">
        <v>251</v>
      </c>
      <c r="B18" s="4" t="s">
        <v>243</v>
      </c>
      <c r="C18" s="4" t="s">
        <v>252</v>
      </c>
      <c r="D18" s="4" t="n">
        <v>5</v>
      </c>
      <c r="E18" s="4" t="s">
        <v>218</v>
      </c>
      <c r="F18" s="4" t="s">
        <v>253</v>
      </c>
      <c r="G18" s="9" t="s">
        <v>220</v>
      </c>
    </row>
    <row r="19" customFormat="false" ht="25.5" hidden="false" customHeight="true" outlineLevel="0" collapsed="false">
      <c r="A19" s="4" t="s">
        <v>254</v>
      </c>
      <c r="B19" s="4" t="s">
        <v>243</v>
      </c>
      <c r="C19" s="4" t="s">
        <v>255</v>
      </c>
      <c r="D19" s="4" t="n">
        <v>3</v>
      </c>
      <c r="E19" s="4" t="s">
        <v>225</v>
      </c>
      <c r="F19" s="4" t="s">
        <v>253</v>
      </c>
      <c r="G19" s="9" t="s">
        <v>220</v>
      </c>
    </row>
    <row r="20" customFormat="false" ht="25.5" hidden="false" customHeight="true" outlineLevel="0" collapsed="false">
      <c r="A20" s="4" t="s">
        <v>256</v>
      </c>
      <c r="B20" s="4" t="s">
        <v>243</v>
      </c>
      <c r="C20" s="4" t="s">
        <v>257</v>
      </c>
      <c r="D20" s="4" t="n">
        <v>3</v>
      </c>
      <c r="E20" s="4" t="s">
        <v>225</v>
      </c>
      <c r="F20" s="4" t="s">
        <v>253</v>
      </c>
      <c r="G20" s="9" t="s">
        <v>220</v>
      </c>
    </row>
    <row r="21" customFormat="false" ht="25.5" hidden="false" customHeight="true" outlineLevel="0" collapsed="false">
      <c r="A21" s="4" t="s">
        <v>258</v>
      </c>
      <c r="B21" s="4" t="s">
        <v>243</v>
      </c>
      <c r="C21" s="4" t="s">
        <v>259</v>
      </c>
      <c r="D21" s="4" t="n">
        <v>2</v>
      </c>
      <c r="E21" s="4" t="s">
        <v>237</v>
      </c>
      <c r="F21" s="4" t="s">
        <v>253</v>
      </c>
      <c r="G21" s="9" t="s">
        <v>220</v>
      </c>
    </row>
    <row r="22" customFormat="false" ht="25.5" hidden="false" customHeight="true" outlineLevel="0" collapsed="false">
      <c r="A22" s="4" t="s">
        <v>260</v>
      </c>
      <c r="B22" s="4" t="s">
        <v>243</v>
      </c>
      <c r="C22" s="4" t="s">
        <v>261</v>
      </c>
      <c r="D22" s="4" t="n">
        <v>5</v>
      </c>
      <c r="E22" s="4" t="s">
        <v>225</v>
      </c>
      <c r="F22" s="4" t="s">
        <v>253</v>
      </c>
      <c r="G22" s="9" t="s">
        <v>220</v>
      </c>
    </row>
    <row r="23" customFormat="false" ht="25.5" hidden="false" customHeight="true" outlineLevel="0" collapsed="false">
      <c r="A23" s="4" t="s">
        <v>262</v>
      </c>
      <c r="B23" s="4" t="s">
        <v>243</v>
      </c>
      <c r="C23" s="4" t="s">
        <v>263</v>
      </c>
      <c r="D23" s="4" t="n">
        <v>3</v>
      </c>
      <c r="E23" s="4" t="s">
        <v>237</v>
      </c>
      <c r="F23" s="4" t="s">
        <v>253</v>
      </c>
      <c r="G23" s="9" t="s">
        <v>220</v>
      </c>
    </row>
    <row r="24" customFormat="false" ht="25.5" hidden="false" customHeight="true" outlineLevel="0" collapsed="false">
      <c r="A24" s="4" t="s">
        <v>264</v>
      </c>
      <c r="B24" s="4" t="s">
        <v>265</v>
      </c>
      <c r="C24" s="4" t="s">
        <v>266</v>
      </c>
      <c r="D24" s="4" t="n">
        <v>5</v>
      </c>
      <c r="E24" s="4" t="s">
        <v>218</v>
      </c>
      <c r="F24" s="4" t="s">
        <v>267</v>
      </c>
      <c r="G24" s="9" t="s">
        <v>220</v>
      </c>
    </row>
    <row r="25" customFormat="false" ht="25.5" hidden="false" customHeight="true" outlineLevel="0" collapsed="false">
      <c r="A25" s="4" t="s">
        <v>268</v>
      </c>
      <c r="B25" s="4" t="s">
        <v>265</v>
      </c>
      <c r="C25" s="4" t="s">
        <v>269</v>
      </c>
      <c r="D25" s="4" t="n">
        <v>8</v>
      </c>
      <c r="E25" s="4" t="s">
        <v>218</v>
      </c>
      <c r="F25" s="4" t="s">
        <v>267</v>
      </c>
      <c r="G25" s="9" t="s">
        <v>220</v>
      </c>
    </row>
    <row r="26" customFormat="false" ht="25.5" hidden="false" customHeight="true" outlineLevel="0" collapsed="false">
      <c r="A26" s="4" t="s">
        <v>270</v>
      </c>
      <c r="B26" s="4" t="s">
        <v>265</v>
      </c>
      <c r="C26" s="4" t="s">
        <v>271</v>
      </c>
      <c r="D26" s="4" t="n">
        <v>5</v>
      </c>
      <c r="E26" s="4" t="s">
        <v>225</v>
      </c>
      <c r="F26" s="4" t="s">
        <v>267</v>
      </c>
      <c r="G26" s="9" t="s">
        <v>220</v>
      </c>
    </row>
    <row r="27" customFormat="false" ht="25.5" hidden="false" customHeight="true" outlineLevel="0" collapsed="false">
      <c r="A27" s="4" t="s">
        <v>272</v>
      </c>
      <c r="B27" s="4" t="s">
        <v>265</v>
      </c>
      <c r="C27" s="4" t="s">
        <v>273</v>
      </c>
      <c r="D27" s="4" t="n">
        <v>3</v>
      </c>
      <c r="E27" s="4" t="s">
        <v>218</v>
      </c>
      <c r="F27" s="4" t="s">
        <v>267</v>
      </c>
      <c r="G27" s="9" t="s">
        <v>220</v>
      </c>
    </row>
    <row r="28" customFormat="false" ht="25.5" hidden="false" customHeight="true" outlineLevel="0" collapsed="false">
      <c r="A28" s="4" t="s">
        <v>274</v>
      </c>
      <c r="B28" s="4" t="s">
        <v>265</v>
      </c>
      <c r="C28" s="4" t="s">
        <v>275</v>
      </c>
      <c r="D28" s="4" t="n">
        <v>5</v>
      </c>
      <c r="E28" s="4" t="s">
        <v>218</v>
      </c>
      <c r="F28" s="4" t="s">
        <v>267</v>
      </c>
      <c r="G28" s="9" t="s">
        <v>220</v>
      </c>
    </row>
    <row r="29" customFormat="false" ht="25.5" hidden="false" customHeight="true" outlineLevel="0" collapsed="false">
      <c r="A29" s="4" t="s">
        <v>276</v>
      </c>
      <c r="B29" s="4" t="s">
        <v>265</v>
      </c>
      <c r="C29" s="4" t="s">
        <v>277</v>
      </c>
      <c r="D29" s="4" t="n">
        <v>3</v>
      </c>
      <c r="E29" s="4" t="s">
        <v>225</v>
      </c>
      <c r="F29" s="4" t="s">
        <v>267</v>
      </c>
      <c r="G29" s="9" t="s">
        <v>220</v>
      </c>
    </row>
    <row r="30" customFormat="false" ht="25.5" hidden="false" customHeight="true" outlineLevel="0" collapsed="false">
      <c r="A30" s="4" t="s">
        <v>278</v>
      </c>
      <c r="B30" s="4" t="s">
        <v>265</v>
      </c>
      <c r="C30" s="4" t="s">
        <v>279</v>
      </c>
      <c r="D30" s="4" t="n">
        <v>3</v>
      </c>
      <c r="E30" s="4" t="s">
        <v>225</v>
      </c>
      <c r="F30" s="4" t="s">
        <v>267</v>
      </c>
      <c r="G30" s="9" t="s">
        <v>220</v>
      </c>
    </row>
    <row r="31" customFormat="false" ht="25.5" hidden="false" customHeight="true" outlineLevel="0" collapsed="false">
      <c r="A31" s="4" t="s">
        <v>280</v>
      </c>
      <c r="B31" s="4" t="s">
        <v>265</v>
      </c>
      <c r="C31" s="4" t="s">
        <v>281</v>
      </c>
      <c r="D31" s="4" t="n">
        <v>2</v>
      </c>
      <c r="E31" s="4" t="s">
        <v>237</v>
      </c>
      <c r="F31" s="4" t="s">
        <v>267</v>
      </c>
      <c r="G31" s="9" t="s">
        <v>220</v>
      </c>
    </row>
    <row r="32" customFormat="false" ht="25.5" hidden="false" customHeight="true" outlineLevel="0" collapsed="false">
      <c r="A32" s="4" t="s">
        <v>282</v>
      </c>
      <c r="B32" s="4" t="s">
        <v>265</v>
      </c>
      <c r="C32" s="4" t="s">
        <v>283</v>
      </c>
      <c r="D32" s="4" t="n">
        <v>5</v>
      </c>
      <c r="E32" s="4" t="s">
        <v>225</v>
      </c>
      <c r="F32" s="4" t="s">
        <v>267</v>
      </c>
      <c r="G32" s="9" t="s">
        <v>220</v>
      </c>
    </row>
    <row r="33" customFormat="false" ht="25.5" hidden="false" customHeight="true" outlineLevel="0" collapsed="false">
      <c r="A33" s="4" t="s">
        <v>284</v>
      </c>
      <c r="B33" s="4" t="s">
        <v>265</v>
      </c>
      <c r="C33" s="4" t="s">
        <v>285</v>
      </c>
      <c r="D33" s="4" t="n">
        <v>3</v>
      </c>
      <c r="E33" s="4" t="s">
        <v>237</v>
      </c>
      <c r="F33" s="4" t="s">
        <v>267</v>
      </c>
      <c r="G33" s="9" t="s">
        <v>220</v>
      </c>
    </row>
    <row r="34" customFormat="false" ht="25.5" hidden="false" customHeight="true" outlineLevel="0" collapsed="false">
      <c r="A34" s="4" t="s">
        <v>286</v>
      </c>
      <c r="B34" s="4" t="s">
        <v>287</v>
      </c>
      <c r="C34" s="4" t="s">
        <v>288</v>
      </c>
      <c r="D34" s="4" t="n">
        <v>5</v>
      </c>
      <c r="E34" s="4" t="s">
        <v>218</v>
      </c>
      <c r="F34" s="4" t="s">
        <v>289</v>
      </c>
      <c r="G34" s="9" t="s">
        <v>220</v>
      </c>
    </row>
    <row r="35" customFormat="false" ht="25.5" hidden="false" customHeight="true" outlineLevel="0" collapsed="false">
      <c r="A35" s="4" t="s">
        <v>290</v>
      </c>
      <c r="B35" s="4" t="s">
        <v>287</v>
      </c>
      <c r="C35" s="4" t="s">
        <v>291</v>
      </c>
      <c r="D35" s="4" t="n">
        <v>8</v>
      </c>
      <c r="E35" s="4" t="s">
        <v>218</v>
      </c>
      <c r="F35" s="4" t="s">
        <v>289</v>
      </c>
      <c r="G35" s="9" t="s">
        <v>220</v>
      </c>
    </row>
    <row r="36" customFormat="false" ht="25.5" hidden="false" customHeight="true" outlineLevel="0" collapsed="false">
      <c r="A36" s="4" t="s">
        <v>292</v>
      </c>
      <c r="B36" s="4" t="s">
        <v>287</v>
      </c>
      <c r="C36" s="4" t="s">
        <v>293</v>
      </c>
      <c r="D36" s="4" t="n">
        <v>5</v>
      </c>
      <c r="E36" s="4" t="s">
        <v>225</v>
      </c>
      <c r="F36" s="4" t="s">
        <v>289</v>
      </c>
      <c r="G36" s="9" t="s">
        <v>220</v>
      </c>
    </row>
    <row r="37" customFormat="false" ht="25.5" hidden="false" customHeight="true" outlineLevel="0" collapsed="false">
      <c r="A37" s="4" t="s">
        <v>294</v>
      </c>
      <c r="B37" s="4" t="s">
        <v>287</v>
      </c>
      <c r="C37" s="4" t="s">
        <v>295</v>
      </c>
      <c r="D37" s="4" t="n">
        <v>3</v>
      </c>
      <c r="E37" s="4" t="s">
        <v>218</v>
      </c>
      <c r="F37" s="4" t="s">
        <v>289</v>
      </c>
      <c r="G37" s="9" t="s">
        <v>220</v>
      </c>
    </row>
    <row r="38" customFormat="false" ht="25.5" hidden="false" customHeight="true" outlineLevel="0" collapsed="false">
      <c r="A38" s="4" t="s">
        <v>296</v>
      </c>
      <c r="B38" s="4" t="s">
        <v>287</v>
      </c>
      <c r="C38" s="4" t="s">
        <v>297</v>
      </c>
      <c r="D38" s="4" t="n">
        <v>5</v>
      </c>
      <c r="E38" s="4" t="s">
        <v>218</v>
      </c>
      <c r="F38" s="4" t="s">
        <v>289</v>
      </c>
      <c r="G38" s="9" t="s">
        <v>220</v>
      </c>
    </row>
    <row r="39" customFormat="false" ht="25.5" hidden="false" customHeight="true" outlineLevel="0" collapsed="false">
      <c r="A39" s="4" t="s">
        <v>298</v>
      </c>
      <c r="B39" s="4" t="s">
        <v>287</v>
      </c>
      <c r="C39" s="4" t="s">
        <v>299</v>
      </c>
      <c r="D39" s="4" t="n">
        <v>3</v>
      </c>
      <c r="E39" s="4" t="s">
        <v>225</v>
      </c>
      <c r="F39" s="4" t="s">
        <v>289</v>
      </c>
      <c r="G39" s="9" t="s">
        <v>220</v>
      </c>
    </row>
    <row r="40" customFormat="false" ht="25.5" hidden="false" customHeight="true" outlineLevel="0" collapsed="false">
      <c r="A40" s="4" t="s">
        <v>300</v>
      </c>
      <c r="B40" s="4" t="s">
        <v>287</v>
      </c>
      <c r="C40" s="4" t="s">
        <v>301</v>
      </c>
      <c r="D40" s="4" t="n">
        <v>3</v>
      </c>
      <c r="E40" s="4" t="s">
        <v>225</v>
      </c>
      <c r="F40" s="4" t="s">
        <v>289</v>
      </c>
      <c r="G40" s="9" t="s">
        <v>220</v>
      </c>
    </row>
    <row r="41" customFormat="false" ht="25.5" hidden="false" customHeight="true" outlineLevel="0" collapsed="false">
      <c r="A41" s="4" t="s">
        <v>302</v>
      </c>
      <c r="B41" s="4" t="s">
        <v>287</v>
      </c>
      <c r="C41" s="4" t="s">
        <v>303</v>
      </c>
      <c r="D41" s="4" t="n">
        <v>2</v>
      </c>
      <c r="E41" s="4" t="s">
        <v>237</v>
      </c>
      <c r="F41" s="4" t="s">
        <v>289</v>
      </c>
      <c r="G41" s="9" t="s">
        <v>220</v>
      </c>
    </row>
    <row r="42" customFormat="false" ht="25.5" hidden="false" customHeight="true" outlineLevel="0" collapsed="false">
      <c r="A42" s="4" t="s">
        <v>304</v>
      </c>
      <c r="B42" s="4" t="s">
        <v>287</v>
      </c>
      <c r="C42" s="4" t="s">
        <v>305</v>
      </c>
      <c r="D42" s="4" t="n">
        <v>5</v>
      </c>
      <c r="E42" s="4" t="s">
        <v>225</v>
      </c>
      <c r="F42" s="4" t="s">
        <v>289</v>
      </c>
      <c r="G42" s="9" t="s">
        <v>220</v>
      </c>
    </row>
    <row r="43" customFormat="false" ht="25.5" hidden="false" customHeight="true" outlineLevel="0" collapsed="false">
      <c r="A43" s="4" t="s">
        <v>306</v>
      </c>
      <c r="B43" s="4" t="s">
        <v>287</v>
      </c>
      <c r="C43" s="4" t="s">
        <v>307</v>
      </c>
      <c r="D43" s="4" t="n">
        <v>3</v>
      </c>
      <c r="E43" s="4" t="s">
        <v>237</v>
      </c>
      <c r="F43" s="4" t="s">
        <v>289</v>
      </c>
      <c r="G43" s="9" t="s">
        <v>220</v>
      </c>
    </row>
    <row r="44" customFormat="false" ht="25.5" hidden="false" customHeight="true" outlineLevel="0" collapsed="false">
      <c r="A44" s="4" t="s">
        <v>308</v>
      </c>
      <c r="B44" s="4" t="s">
        <v>309</v>
      </c>
      <c r="C44" s="4" t="s">
        <v>310</v>
      </c>
      <c r="D44" s="4" t="n">
        <v>5</v>
      </c>
      <c r="E44" s="4" t="s">
        <v>218</v>
      </c>
      <c r="F44" s="4" t="s">
        <v>311</v>
      </c>
      <c r="G44" s="9" t="s">
        <v>220</v>
      </c>
    </row>
    <row r="45" customFormat="false" ht="25.5" hidden="false" customHeight="true" outlineLevel="0" collapsed="false">
      <c r="A45" s="4" t="s">
        <v>312</v>
      </c>
      <c r="B45" s="4" t="s">
        <v>309</v>
      </c>
      <c r="C45" s="4" t="s">
        <v>313</v>
      </c>
      <c r="D45" s="4" t="n">
        <v>8</v>
      </c>
      <c r="E45" s="4" t="s">
        <v>218</v>
      </c>
      <c r="F45" s="4" t="s">
        <v>311</v>
      </c>
      <c r="G45" s="9" t="s">
        <v>220</v>
      </c>
    </row>
    <row r="46" customFormat="false" ht="25.5" hidden="false" customHeight="true" outlineLevel="0" collapsed="false">
      <c r="A46" s="4" t="s">
        <v>314</v>
      </c>
      <c r="B46" s="4" t="s">
        <v>309</v>
      </c>
      <c r="C46" s="4" t="s">
        <v>315</v>
      </c>
      <c r="D46" s="4" t="n">
        <v>5</v>
      </c>
      <c r="E46" s="4" t="s">
        <v>225</v>
      </c>
      <c r="F46" s="4" t="s">
        <v>311</v>
      </c>
      <c r="G46" s="9" t="s">
        <v>220</v>
      </c>
    </row>
    <row r="47" customFormat="false" ht="25.5" hidden="false" customHeight="true" outlineLevel="0" collapsed="false">
      <c r="A47" s="4" t="s">
        <v>316</v>
      </c>
      <c r="B47" s="4" t="s">
        <v>309</v>
      </c>
      <c r="C47" s="4" t="s">
        <v>317</v>
      </c>
      <c r="D47" s="4" t="n">
        <v>3</v>
      </c>
      <c r="E47" s="4" t="s">
        <v>218</v>
      </c>
      <c r="F47" s="4" t="s">
        <v>311</v>
      </c>
      <c r="G47" s="9" t="s">
        <v>220</v>
      </c>
    </row>
    <row r="48" customFormat="false" ht="25.5" hidden="false" customHeight="true" outlineLevel="0" collapsed="false">
      <c r="A48" s="4" t="s">
        <v>318</v>
      </c>
      <c r="B48" s="4" t="s">
        <v>309</v>
      </c>
      <c r="C48" s="4" t="s">
        <v>319</v>
      </c>
      <c r="D48" s="4" t="n">
        <v>5</v>
      </c>
      <c r="E48" s="4" t="s">
        <v>218</v>
      </c>
      <c r="F48" s="4" t="s">
        <v>311</v>
      </c>
      <c r="G48" s="9" t="s">
        <v>220</v>
      </c>
    </row>
    <row r="49" customFormat="false" ht="25.5" hidden="false" customHeight="true" outlineLevel="0" collapsed="false">
      <c r="A49" s="4" t="s">
        <v>320</v>
      </c>
      <c r="B49" s="4" t="s">
        <v>309</v>
      </c>
      <c r="C49" s="4" t="s">
        <v>321</v>
      </c>
      <c r="D49" s="4" t="n">
        <v>3</v>
      </c>
      <c r="E49" s="4" t="s">
        <v>225</v>
      </c>
      <c r="F49" s="4" t="s">
        <v>311</v>
      </c>
      <c r="G49" s="9" t="s">
        <v>220</v>
      </c>
    </row>
    <row r="50" customFormat="false" ht="25.5" hidden="false" customHeight="true" outlineLevel="0" collapsed="false">
      <c r="A50" s="4" t="s">
        <v>322</v>
      </c>
      <c r="B50" s="4" t="s">
        <v>309</v>
      </c>
      <c r="C50" s="4" t="s">
        <v>323</v>
      </c>
      <c r="D50" s="4" t="n">
        <v>3</v>
      </c>
      <c r="E50" s="4" t="s">
        <v>225</v>
      </c>
      <c r="F50" s="4" t="s">
        <v>311</v>
      </c>
      <c r="G50" s="9" t="s">
        <v>220</v>
      </c>
    </row>
    <row r="51" customFormat="false" ht="25.5" hidden="false" customHeight="true" outlineLevel="0" collapsed="false">
      <c r="A51" s="4" t="s">
        <v>324</v>
      </c>
      <c r="B51" s="4" t="s">
        <v>309</v>
      </c>
      <c r="C51" s="4" t="s">
        <v>325</v>
      </c>
      <c r="D51" s="4" t="n">
        <v>2</v>
      </c>
      <c r="E51" s="4" t="s">
        <v>237</v>
      </c>
      <c r="F51" s="4" t="s">
        <v>311</v>
      </c>
      <c r="G51" s="9" t="s">
        <v>220</v>
      </c>
    </row>
    <row r="52" customFormat="false" ht="25.5" hidden="false" customHeight="true" outlineLevel="0" collapsed="false">
      <c r="A52" s="4" t="s">
        <v>326</v>
      </c>
      <c r="B52" s="4" t="s">
        <v>309</v>
      </c>
      <c r="C52" s="4" t="s">
        <v>327</v>
      </c>
      <c r="D52" s="4" t="n">
        <v>5</v>
      </c>
      <c r="E52" s="4" t="s">
        <v>225</v>
      </c>
      <c r="F52" s="4" t="s">
        <v>311</v>
      </c>
      <c r="G52" s="9" t="s">
        <v>220</v>
      </c>
    </row>
    <row r="53" customFormat="false" ht="25.5" hidden="false" customHeight="true" outlineLevel="0" collapsed="false">
      <c r="A53" s="4" t="s">
        <v>328</v>
      </c>
      <c r="B53" s="4" t="s">
        <v>309</v>
      </c>
      <c r="C53" s="4" t="s">
        <v>329</v>
      </c>
      <c r="D53" s="4" t="n">
        <v>3</v>
      </c>
      <c r="E53" s="4" t="s">
        <v>237</v>
      </c>
      <c r="F53" s="4" t="s">
        <v>311</v>
      </c>
      <c r="G53" s="9" t="s">
        <v>220</v>
      </c>
    </row>
    <row r="54" customFormat="false" ht="25.5" hidden="false" customHeight="true" outlineLevel="0" collapsed="false">
      <c r="A54" s="4" t="s">
        <v>330</v>
      </c>
      <c r="B54" s="4" t="s">
        <v>331</v>
      </c>
      <c r="C54" s="4" t="s">
        <v>332</v>
      </c>
      <c r="D54" s="4" t="n">
        <v>5</v>
      </c>
      <c r="E54" s="4" t="s">
        <v>218</v>
      </c>
      <c r="F54" s="4" t="s">
        <v>333</v>
      </c>
      <c r="G54" s="9" t="s">
        <v>220</v>
      </c>
    </row>
    <row r="55" customFormat="false" ht="25.5" hidden="false" customHeight="true" outlineLevel="0" collapsed="false">
      <c r="A55" s="4" t="s">
        <v>334</v>
      </c>
      <c r="B55" s="4" t="s">
        <v>331</v>
      </c>
      <c r="C55" s="4" t="s">
        <v>335</v>
      </c>
      <c r="D55" s="4" t="n">
        <v>3</v>
      </c>
      <c r="E55" s="4" t="s">
        <v>218</v>
      </c>
      <c r="F55" s="4" t="s">
        <v>333</v>
      </c>
      <c r="G55" s="9" t="s">
        <v>220</v>
      </c>
    </row>
    <row r="56" customFormat="false" ht="25.5" hidden="false" customHeight="true" outlineLevel="0" collapsed="false">
      <c r="A56" s="4" t="s">
        <v>336</v>
      </c>
      <c r="B56" s="4" t="s">
        <v>331</v>
      </c>
      <c r="C56" s="4" t="s">
        <v>337</v>
      </c>
      <c r="D56" s="4" t="n">
        <v>3</v>
      </c>
      <c r="E56" s="4" t="s">
        <v>225</v>
      </c>
      <c r="F56" s="4" t="s">
        <v>219</v>
      </c>
      <c r="G56" s="9" t="s">
        <v>220</v>
      </c>
    </row>
    <row r="57" customFormat="false" ht="25.5" hidden="false" customHeight="true" outlineLevel="0" collapsed="false">
      <c r="A57" s="4" t="s">
        <v>338</v>
      </c>
      <c r="B57" s="4" t="s">
        <v>331</v>
      </c>
      <c r="C57" s="4" t="s">
        <v>339</v>
      </c>
      <c r="D57" s="4" t="n">
        <v>5</v>
      </c>
      <c r="E57" s="4" t="s">
        <v>218</v>
      </c>
      <c r="F57" s="4" t="s">
        <v>219</v>
      </c>
      <c r="G57" s="9" t="s">
        <v>220</v>
      </c>
    </row>
    <row r="58" customFormat="false" ht="25.5" hidden="false" customHeight="true" outlineLevel="0" collapsed="false">
      <c r="A58" s="4" t="s">
        <v>340</v>
      </c>
      <c r="B58" s="4" t="s">
        <v>331</v>
      </c>
      <c r="C58" s="4" t="s">
        <v>341</v>
      </c>
      <c r="D58" s="4" t="n">
        <v>3</v>
      </c>
      <c r="E58" s="4" t="s">
        <v>218</v>
      </c>
      <c r="F58" s="4" t="s">
        <v>333</v>
      </c>
      <c r="G58" s="9" t="s">
        <v>220</v>
      </c>
    </row>
    <row r="59" customFormat="false" ht="25.5" hidden="false" customHeight="true" outlineLevel="0" collapsed="false">
      <c r="A59" s="4" t="s">
        <v>342</v>
      </c>
      <c r="B59" s="4" t="s">
        <v>331</v>
      </c>
      <c r="C59" s="4" t="s">
        <v>343</v>
      </c>
      <c r="D59" s="4" t="n">
        <v>2</v>
      </c>
      <c r="E59" s="4" t="s">
        <v>225</v>
      </c>
      <c r="F59" s="4" t="s">
        <v>333</v>
      </c>
      <c r="G59" s="9" t="s">
        <v>220</v>
      </c>
    </row>
    <row r="60" customFormat="false" ht="25.5" hidden="false" customHeight="true" outlineLevel="0" collapsed="false">
      <c r="A60" s="4" t="s">
        <v>344</v>
      </c>
      <c r="B60" s="4" t="s">
        <v>345</v>
      </c>
      <c r="C60" s="4" t="s">
        <v>346</v>
      </c>
      <c r="D60" s="4" t="n">
        <v>5</v>
      </c>
      <c r="E60" s="4" t="s">
        <v>218</v>
      </c>
      <c r="F60" s="4" t="s">
        <v>289</v>
      </c>
      <c r="G60" s="9" t="s">
        <v>220</v>
      </c>
    </row>
    <row r="61" customFormat="false" ht="25.5" hidden="false" customHeight="true" outlineLevel="0" collapsed="false">
      <c r="A61" s="4" t="s">
        <v>347</v>
      </c>
      <c r="B61" s="4" t="s">
        <v>345</v>
      </c>
      <c r="C61" s="4" t="s">
        <v>348</v>
      </c>
      <c r="D61" s="4" t="n">
        <v>5</v>
      </c>
      <c r="E61" s="4" t="s">
        <v>218</v>
      </c>
      <c r="F61" s="4" t="s">
        <v>289</v>
      </c>
      <c r="G61" s="9" t="s">
        <v>220</v>
      </c>
    </row>
    <row r="62" customFormat="false" ht="25.5" hidden="false" customHeight="true" outlineLevel="0" collapsed="false">
      <c r="A62" s="4" t="s">
        <v>349</v>
      </c>
      <c r="B62" s="4" t="s">
        <v>345</v>
      </c>
      <c r="C62" s="4" t="s">
        <v>350</v>
      </c>
      <c r="D62" s="4" t="n">
        <v>8</v>
      </c>
      <c r="E62" s="4" t="s">
        <v>218</v>
      </c>
      <c r="F62" s="4" t="s">
        <v>289</v>
      </c>
      <c r="G62" s="9" t="s">
        <v>220</v>
      </c>
    </row>
    <row r="63" customFormat="false" ht="25.5" hidden="false" customHeight="true" outlineLevel="0" collapsed="false">
      <c r="A63" s="4" t="s">
        <v>351</v>
      </c>
      <c r="B63" s="4" t="s">
        <v>345</v>
      </c>
      <c r="C63" s="4" t="s">
        <v>352</v>
      </c>
      <c r="D63" s="4" t="n">
        <v>3</v>
      </c>
      <c r="E63" s="4" t="s">
        <v>225</v>
      </c>
      <c r="F63" s="4" t="s">
        <v>353</v>
      </c>
      <c r="G63" s="9" t="s">
        <v>220</v>
      </c>
    </row>
    <row r="64" customFormat="false" ht="25.5" hidden="false" customHeight="true" outlineLevel="0" collapsed="false">
      <c r="A64" s="4" t="s">
        <v>354</v>
      </c>
      <c r="B64" s="4" t="s">
        <v>345</v>
      </c>
      <c r="C64" s="4" t="s">
        <v>355</v>
      </c>
      <c r="D64" s="4" t="n">
        <v>3</v>
      </c>
      <c r="E64" s="4" t="s">
        <v>225</v>
      </c>
      <c r="F64" s="4" t="s">
        <v>353</v>
      </c>
      <c r="G64" s="9" t="s">
        <v>220</v>
      </c>
    </row>
    <row r="65" customFormat="false" ht="25.5" hidden="false" customHeight="true" outlineLevel="0" collapsed="false">
      <c r="A65" s="4" t="s">
        <v>356</v>
      </c>
      <c r="B65" s="4" t="s">
        <v>345</v>
      </c>
      <c r="C65" s="4" t="s">
        <v>357</v>
      </c>
      <c r="D65" s="4" t="n">
        <v>3</v>
      </c>
      <c r="E65" s="4" t="s">
        <v>237</v>
      </c>
      <c r="F65" s="4" t="s">
        <v>353</v>
      </c>
      <c r="G65" s="9" t="s">
        <v>220</v>
      </c>
    </row>
    <row r="66" customFormat="false" ht="25.5" hidden="false" customHeight="true" outlineLevel="0" collapsed="false">
      <c r="A66" s="4" t="s">
        <v>358</v>
      </c>
      <c r="B66" s="4" t="s">
        <v>345</v>
      </c>
      <c r="C66" s="4" t="s">
        <v>359</v>
      </c>
      <c r="D66" s="4" t="n">
        <v>3</v>
      </c>
      <c r="E66" s="4" t="s">
        <v>225</v>
      </c>
      <c r="F66" s="4" t="s">
        <v>353</v>
      </c>
      <c r="G66" s="9" t="s">
        <v>220</v>
      </c>
    </row>
    <row r="67" customFormat="false" ht="25.5" hidden="false" customHeight="true" outlineLevel="0" collapsed="false">
      <c r="A67" s="4" t="s">
        <v>360</v>
      </c>
      <c r="B67" s="4" t="s">
        <v>361</v>
      </c>
      <c r="C67" s="4" t="s">
        <v>362</v>
      </c>
      <c r="D67" s="4" t="n">
        <v>3</v>
      </c>
      <c r="E67" s="4" t="s">
        <v>218</v>
      </c>
      <c r="F67" s="4" t="s">
        <v>353</v>
      </c>
      <c r="G67" s="9" t="s">
        <v>220</v>
      </c>
    </row>
    <row r="68" customFormat="false" ht="25.5" hidden="false" customHeight="true" outlineLevel="0" collapsed="false">
      <c r="A68" s="4" t="s">
        <v>363</v>
      </c>
      <c r="B68" s="4" t="s">
        <v>361</v>
      </c>
      <c r="C68" s="4" t="s">
        <v>364</v>
      </c>
      <c r="D68" s="4" t="n">
        <v>3</v>
      </c>
      <c r="E68" s="4" t="s">
        <v>218</v>
      </c>
      <c r="F68" s="4" t="s">
        <v>311</v>
      </c>
      <c r="G68" s="9" t="s">
        <v>220</v>
      </c>
    </row>
    <row r="69" customFormat="false" ht="25.5" hidden="false" customHeight="true" outlineLevel="0" collapsed="false">
      <c r="A69" s="4" t="s">
        <v>365</v>
      </c>
      <c r="B69" s="4" t="s">
        <v>361</v>
      </c>
      <c r="C69" s="4" t="s">
        <v>366</v>
      </c>
      <c r="D69" s="4" t="n">
        <v>5</v>
      </c>
      <c r="E69" s="4" t="s">
        <v>218</v>
      </c>
      <c r="F69" s="4" t="s">
        <v>311</v>
      </c>
      <c r="G69" s="9" t="s">
        <v>220</v>
      </c>
    </row>
    <row r="70" customFormat="false" ht="25.5" hidden="false" customHeight="true" outlineLevel="0" collapsed="false">
      <c r="A70" s="4" t="s">
        <v>367</v>
      </c>
      <c r="B70" s="4" t="s">
        <v>361</v>
      </c>
      <c r="C70" s="4" t="s">
        <v>368</v>
      </c>
      <c r="D70" s="4" t="n">
        <v>5</v>
      </c>
      <c r="E70" s="4" t="s">
        <v>225</v>
      </c>
      <c r="F70" s="4" t="s">
        <v>311</v>
      </c>
      <c r="G70" s="9" t="s">
        <v>220</v>
      </c>
    </row>
    <row r="71" customFormat="false" ht="25.5" hidden="false" customHeight="true" outlineLevel="0" collapsed="false">
      <c r="A71" s="4" t="s">
        <v>369</v>
      </c>
      <c r="B71" s="4" t="s">
        <v>361</v>
      </c>
      <c r="C71" s="4" t="s">
        <v>370</v>
      </c>
      <c r="D71" s="4" t="n">
        <v>8</v>
      </c>
      <c r="E71" s="4" t="s">
        <v>218</v>
      </c>
      <c r="F71" s="4" t="s">
        <v>371</v>
      </c>
      <c r="G71" s="10" t="s">
        <v>372</v>
      </c>
    </row>
    <row r="72" customFormat="false" ht="25.5" hidden="false" customHeight="true" outlineLevel="0" collapsed="false">
      <c r="A72" s="4" t="s">
        <v>373</v>
      </c>
      <c r="B72" s="4" t="s">
        <v>361</v>
      </c>
      <c r="C72" s="4" t="s">
        <v>374</v>
      </c>
      <c r="D72" s="4" t="n">
        <v>5</v>
      </c>
      <c r="E72" s="4" t="s">
        <v>218</v>
      </c>
      <c r="F72" s="4" t="s">
        <v>371</v>
      </c>
      <c r="G72" s="9" t="s">
        <v>220</v>
      </c>
    </row>
    <row r="73" customFormat="false" ht="25.5" hidden="false" customHeight="true" outlineLevel="0" collapsed="false">
      <c r="A73" s="4" t="s">
        <v>375</v>
      </c>
      <c r="B73" s="4" t="s">
        <v>361</v>
      </c>
      <c r="C73" s="4" t="s">
        <v>376</v>
      </c>
      <c r="D73" s="4" t="n">
        <v>5</v>
      </c>
      <c r="E73" s="4" t="s">
        <v>218</v>
      </c>
      <c r="F73" s="4" t="s">
        <v>311</v>
      </c>
      <c r="G73" s="9" t="s">
        <v>220</v>
      </c>
    </row>
    <row r="74" customFormat="false" ht="25.5" hidden="false" customHeight="true" outlineLevel="0" collapsed="false">
      <c r="A74" s="4" t="s">
        <v>377</v>
      </c>
      <c r="B74" s="4" t="s">
        <v>378</v>
      </c>
      <c r="C74" s="4" t="s">
        <v>379</v>
      </c>
      <c r="D74" s="4" t="n">
        <v>5</v>
      </c>
      <c r="E74" s="4" t="s">
        <v>218</v>
      </c>
      <c r="F74" s="4" t="s">
        <v>253</v>
      </c>
      <c r="G74" s="9" t="s">
        <v>220</v>
      </c>
    </row>
    <row r="75" customFormat="false" ht="25.5" hidden="false" customHeight="true" outlineLevel="0" collapsed="false">
      <c r="A75" s="4" t="s">
        <v>380</v>
      </c>
      <c r="B75" s="4" t="s">
        <v>378</v>
      </c>
      <c r="C75" s="4" t="s">
        <v>381</v>
      </c>
      <c r="D75" s="4" t="n">
        <v>3</v>
      </c>
      <c r="E75" s="4" t="s">
        <v>218</v>
      </c>
      <c r="F75" s="4" t="s">
        <v>253</v>
      </c>
      <c r="G75" s="9" t="s">
        <v>220</v>
      </c>
    </row>
    <row r="76" customFormat="false" ht="25.5" hidden="false" customHeight="true" outlineLevel="0" collapsed="false">
      <c r="A76" s="4" t="s">
        <v>382</v>
      </c>
      <c r="B76" s="4" t="s">
        <v>378</v>
      </c>
      <c r="C76" s="4" t="s">
        <v>383</v>
      </c>
      <c r="D76" s="4" t="n">
        <v>3</v>
      </c>
      <c r="E76" s="4" t="s">
        <v>237</v>
      </c>
      <c r="F76" s="4" t="s">
        <v>311</v>
      </c>
      <c r="G76" s="9" t="s">
        <v>220</v>
      </c>
    </row>
    <row r="77" customFormat="false" ht="25.5" hidden="false" customHeight="true" outlineLevel="0" collapsed="false">
      <c r="A77" s="4" t="s">
        <v>384</v>
      </c>
      <c r="B77" s="4" t="s">
        <v>378</v>
      </c>
      <c r="C77" s="4" t="s">
        <v>385</v>
      </c>
      <c r="D77" s="4" t="n">
        <v>2</v>
      </c>
      <c r="E77" s="4" t="s">
        <v>237</v>
      </c>
      <c r="F77" s="4" t="s">
        <v>311</v>
      </c>
      <c r="G77" s="9" t="s">
        <v>220</v>
      </c>
    </row>
    <row r="78" customFormat="false" ht="25.5" hidden="false" customHeight="true" outlineLevel="0" collapsed="false">
      <c r="A78" s="4" t="s">
        <v>386</v>
      </c>
      <c r="B78" s="4" t="s">
        <v>378</v>
      </c>
      <c r="C78" s="4" t="s">
        <v>387</v>
      </c>
      <c r="D78" s="4" t="n">
        <v>5</v>
      </c>
      <c r="E78" s="4" t="s">
        <v>225</v>
      </c>
      <c r="F78" s="4" t="s">
        <v>311</v>
      </c>
      <c r="G78" s="9" t="s">
        <v>220</v>
      </c>
    </row>
    <row r="79" customFormat="false" ht="25.5" hidden="false" customHeight="true" outlineLevel="0" collapsed="false">
      <c r="A79" s="4" t="s">
        <v>388</v>
      </c>
      <c r="B79" s="4" t="s">
        <v>378</v>
      </c>
      <c r="C79" s="4" t="s">
        <v>389</v>
      </c>
      <c r="D79" s="4" t="n">
        <v>3</v>
      </c>
      <c r="E79" s="4" t="s">
        <v>237</v>
      </c>
      <c r="F79" s="4" t="s">
        <v>311</v>
      </c>
      <c r="G79" s="9" t="s">
        <v>220</v>
      </c>
    </row>
    <row r="80" customFormat="false" ht="25.5" hidden="false" customHeight="true" outlineLevel="0" collapsed="false">
      <c r="A80" s="4" t="s">
        <v>390</v>
      </c>
      <c r="B80" s="4" t="s">
        <v>378</v>
      </c>
      <c r="C80" s="4" t="s">
        <v>391</v>
      </c>
      <c r="D80" s="4" t="n">
        <v>3</v>
      </c>
      <c r="E80" s="4" t="s">
        <v>237</v>
      </c>
      <c r="F80" s="4" t="s">
        <v>311</v>
      </c>
      <c r="G80" s="9" t="s">
        <v>220</v>
      </c>
    </row>
    <row r="81" customFormat="false" ht="25.5" hidden="false" customHeight="true" outlineLevel="0" collapsed="false">
      <c r="A81" s="4" t="s">
        <v>392</v>
      </c>
      <c r="B81" s="4" t="s">
        <v>393</v>
      </c>
      <c r="C81" s="4" t="s">
        <v>394</v>
      </c>
      <c r="D81" s="4" t="n">
        <v>5</v>
      </c>
      <c r="E81" s="4" t="s">
        <v>218</v>
      </c>
      <c r="F81" s="4" t="s">
        <v>267</v>
      </c>
      <c r="G81" s="9" t="s">
        <v>220</v>
      </c>
    </row>
    <row r="82" customFormat="false" ht="25.5" hidden="false" customHeight="true" outlineLevel="0" collapsed="false">
      <c r="A82" s="4" t="s">
        <v>395</v>
      </c>
      <c r="B82" s="4" t="s">
        <v>393</v>
      </c>
      <c r="C82" s="4" t="s">
        <v>396</v>
      </c>
      <c r="D82" s="4" t="n">
        <v>3</v>
      </c>
      <c r="E82" s="4" t="s">
        <v>225</v>
      </c>
      <c r="F82" s="4" t="s">
        <v>267</v>
      </c>
      <c r="G82" s="9" t="s">
        <v>220</v>
      </c>
    </row>
    <row r="83" customFormat="false" ht="25.5" hidden="false" customHeight="true" outlineLevel="0" collapsed="false">
      <c r="A83" s="4" t="s">
        <v>397</v>
      </c>
      <c r="B83" s="4" t="s">
        <v>393</v>
      </c>
      <c r="C83" s="4" t="s">
        <v>398</v>
      </c>
      <c r="D83" s="4" t="n">
        <v>5</v>
      </c>
      <c r="E83" s="4" t="s">
        <v>225</v>
      </c>
      <c r="F83" s="4" t="s">
        <v>399</v>
      </c>
      <c r="G83" s="9" t="s">
        <v>220</v>
      </c>
    </row>
    <row r="84" customFormat="false" ht="25.5" hidden="false" customHeight="true" outlineLevel="0" collapsed="false">
      <c r="A84" s="4" t="s">
        <v>400</v>
      </c>
      <c r="B84" s="4" t="s">
        <v>393</v>
      </c>
      <c r="C84" s="4" t="s">
        <v>401</v>
      </c>
      <c r="D84" s="4" t="n">
        <v>3</v>
      </c>
      <c r="E84" s="4" t="s">
        <v>218</v>
      </c>
      <c r="F84" s="4" t="s">
        <v>399</v>
      </c>
      <c r="G84" s="9" t="s">
        <v>220</v>
      </c>
    </row>
    <row r="85" customFormat="false" ht="25.5" hidden="false" customHeight="true" outlineLevel="0" collapsed="false">
      <c r="A85" s="4" t="s">
        <v>402</v>
      </c>
      <c r="B85" s="4" t="s">
        <v>393</v>
      </c>
      <c r="C85" s="4" t="s">
        <v>403</v>
      </c>
      <c r="D85" s="4" t="n">
        <v>3</v>
      </c>
      <c r="E85" s="4" t="s">
        <v>225</v>
      </c>
      <c r="F85" s="4" t="s">
        <v>404</v>
      </c>
      <c r="G85" s="9" t="s">
        <v>220</v>
      </c>
    </row>
    <row r="86" customFormat="false" ht="25.5" hidden="false" customHeight="true" outlineLevel="0" collapsed="false">
      <c r="A86" s="4" t="s">
        <v>405</v>
      </c>
      <c r="B86" s="4" t="s">
        <v>393</v>
      </c>
      <c r="C86" s="4" t="s">
        <v>406</v>
      </c>
      <c r="D86" s="4" t="n">
        <v>5</v>
      </c>
      <c r="E86" s="4" t="s">
        <v>225</v>
      </c>
      <c r="F86" s="4" t="s">
        <v>399</v>
      </c>
      <c r="G86" s="10" t="s">
        <v>372</v>
      </c>
    </row>
    <row r="87" customFormat="false" ht="25.5" hidden="false" customHeight="true" outlineLevel="0" collapsed="false">
      <c r="A87" s="4" t="s">
        <v>407</v>
      </c>
      <c r="B87" s="4" t="s">
        <v>393</v>
      </c>
      <c r="C87" s="4" t="s">
        <v>408</v>
      </c>
      <c r="D87" s="4" t="n">
        <v>2</v>
      </c>
      <c r="E87" s="4" t="s">
        <v>237</v>
      </c>
      <c r="F87" s="4" t="s">
        <v>399</v>
      </c>
      <c r="G87" s="9" t="s">
        <v>220</v>
      </c>
    </row>
    <row r="88" customFormat="false" ht="25.5" hidden="false" customHeight="true" outlineLevel="0" collapsed="false">
      <c r="A88" s="4" t="s">
        <v>409</v>
      </c>
      <c r="B88" s="4" t="s">
        <v>410</v>
      </c>
      <c r="C88" s="4" t="s">
        <v>411</v>
      </c>
      <c r="D88" s="4" t="n">
        <v>5</v>
      </c>
      <c r="E88" s="4" t="s">
        <v>218</v>
      </c>
      <c r="F88" s="4" t="s">
        <v>230</v>
      </c>
      <c r="G88" s="9" t="s">
        <v>220</v>
      </c>
    </row>
    <row r="89" customFormat="false" ht="25.5" hidden="false" customHeight="true" outlineLevel="0" collapsed="false">
      <c r="A89" s="4" t="s">
        <v>412</v>
      </c>
      <c r="B89" s="4" t="s">
        <v>410</v>
      </c>
      <c r="C89" s="4" t="s">
        <v>413</v>
      </c>
      <c r="D89" s="4" t="n">
        <v>5</v>
      </c>
      <c r="E89" s="4" t="s">
        <v>218</v>
      </c>
      <c r="F89" s="4" t="s">
        <v>253</v>
      </c>
      <c r="G89" s="9" t="s">
        <v>220</v>
      </c>
    </row>
    <row r="90" customFormat="false" ht="25.5" hidden="false" customHeight="true" outlineLevel="0" collapsed="false">
      <c r="A90" s="4" t="s">
        <v>414</v>
      </c>
      <c r="B90" s="4" t="s">
        <v>410</v>
      </c>
      <c r="C90" s="4" t="s">
        <v>415</v>
      </c>
      <c r="D90" s="4" t="n">
        <v>3</v>
      </c>
      <c r="E90" s="4" t="s">
        <v>218</v>
      </c>
      <c r="F90" s="4" t="s">
        <v>311</v>
      </c>
      <c r="G90" s="9" t="s">
        <v>220</v>
      </c>
    </row>
    <row r="91" customFormat="false" ht="25.5" hidden="false" customHeight="true" outlineLevel="0" collapsed="false">
      <c r="A91" s="4" t="s">
        <v>416</v>
      </c>
      <c r="B91" s="4" t="s">
        <v>410</v>
      </c>
      <c r="C91" s="4" t="s">
        <v>417</v>
      </c>
      <c r="D91" s="4" t="n">
        <v>5</v>
      </c>
      <c r="E91" s="4" t="s">
        <v>225</v>
      </c>
      <c r="F91" s="4" t="s">
        <v>311</v>
      </c>
      <c r="G91" s="9" t="s">
        <v>220</v>
      </c>
    </row>
    <row r="92" customFormat="false" ht="25.5" hidden="false" customHeight="true" outlineLevel="0" collapsed="false">
      <c r="A92" s="4" t="s">
        <v>418</v>
      </c>
      <c r="B92" s="4" t="s">
        <v>410</v>
      </c>
      <c r="C92" s="4" t="s">
        <v>419</v>
      </c>
      <c r="D92" s="4" t="n">
        <v>3</v>
      </c>
      <c r="E92" s="4" t="s">
        <v>225</v>
      </c>
      <c r="F92" s="4" t="s">
        <v>371</v>
      </c>
      <c r="G92" s="9" t="s">
        <v>220</v>
      </c>
    </row>
    <row r="93" customFormat="false" ht="25.5" hidden="false" customHeight="true" outlineLevel="0" collapsed="false">
      <c r="A93" s="4" t="s">
        <v>420</v>
      </c>
      <c r="B93" s="4" t="s">
        <v>410</v>
      </c>
      <c r="C93" s="4" t="s">
        <v>421</v>
      </c>
      <c r="D93" s="4" t="n">
        <v>3</v>
      </c>
      <c r="E93" s="4" t="s">
        <v>225</v>
      </c>
      <c r="F93" s="4" t="s">
        <v>371</v>
      </c>
      <c r="G93" s="9" t="s">
        <v>220</v>
      </c>
    </row>
    <row r="94" customFormat="false" ht="25.5" hidden="false" customHeight="true" outlineLevel="0" collapsed="false">
      <c r="A94" s="4" t="s">
        <v>422</v>
      </c>
      <c r="B94" s="4" t="s">
        <v>410</v>
      </c>
      <c r="C94" s="4" t="s">
        <v>423</v>
      </c>
      <c r="D94" s="4" t="n">
        <v>3</v>
      </c>
      <c r="E94" s="4" t="s">
        <v>237</v>
      </c>
      <c r="F94" s="4" t="s">
        <v>371</v>
      </c>
      <c r="G94" s="9" t="s">
        <v>220</v>
      </c>
    </row>
    <row r="95" customFormat="false" ht="25.5" hidden="false" customHeight="true" outlineLevel="0" collapsed="false">
      <c r="A95" s="4" t="s">
        <v>424</v>
      </c>
      <c r="B95" s="4" t="s">
        <v>410</v>
      </c>
      <c r="C95" s="4" t="s">
        <v>425</v>
      </c>
      <c r="D95" s="4" t="n">
        <v>3</v>
      </c>
      <c r="E95" s="4" t="s">
        <v>237</v>
      </c>
      <c r="F95" s="4" t="s">
        <v>311</v>
      </c>
      <c r="G95" s="9" t="s">
        <v>220</v>
      </c>
    </row>
    <row r="96" customFormat="false" ht="25.5" hidden="false" customHeight="true" outlineLevel="0" collapsed="false">
      <c r="A96" s="4" t="s">
        <v>426</v>
      </c>
      <c r="B96" s="4" t="s">
        <v>427</v>
      </c>
      <c r="C96" s="4" t="s">
        <v>428</v>
      </c>
      <c r="D96" s="4" t="n">
        <v>3</v>
      </c>
      <c r="E96" s="4" t="s">
        <v>218</v>
      </c>
      <c r="F96" s="4" t="s">
        <v>371</v>
      </c>
      <c r="G96" s="9" t="s">
        <v>220</v>
      </c>
    </row>
    <row r="97" customFormat="false" ht="25.5" hidden="false" customHeight="true" outlineLevel="0" collapsed="false">
      <c r="A97" s="4" t="s">
        <v>429</v>
      </c>
      <c r="B97" s="4" t="s">
        <v>427</v>
      </c>
      <c r="C97" s="4" t="s">
        <v>430</v>
      </c>
      <c r="D97" s="4" t="n">
        <v>5</v>
      </c>
      <c r="E97" s="4" t="s">
        <v>218</v>
      </c>
      <c r="F97" s="4" t="s">
        <v>371</v>
      </c>
      <c r="G97" s="9" t="s">
        <v>220</v>
      </c>
    </row>
    <row r="98" customFormat="false" ht="25.5" hidden="false" customHeight="true" outlineLevel="0" collapsed="false">
      <c r="A98" s="4" t="s">
        <v>431</v>
      </c>
      <c r="B98" s="4" t="s">
        <v>427</v>
      </c>
      <c r="C98" s="4" t="s">
        <v>432</v>
      </c>
      <c r="D98" s="4" t="n">
        <v>3</v>
      </c>
      <c r="E98" s="4" t="s">
        <v>218</v>
      </c>
      <c r="F98" s="4" t="s">
        <v>399</v>
      </c>
      <c r="G98" s="9" t="s">
        <v>220</v>
      </c>
    </row>
    <row r="99" customFormat="false" ht="25.5" hidden="false" customHeight="true" outlineLevel="0" collapsed="false">
      <c r="A99" s="4" t="s">
        <v>433</v>
      </c>
      <c r="B99" s="4" t="s">
        <v>427</v>
      </c>
      <c r="C99" s="4" t="s">
        <v>434</v>
      </c>
      <c r="D99" s="4" t="n">
        <v>3</v>
      </c>
      <c r="E99" s="4" t="s">
        <v>218</v>
      </c>
      <c r="F99" s="4" t="s">
        <v>399</v>
      </c>
      <c r="G99" s="9" t="s">
        <v>220</v>
      </c>
    </row>
    <row r="100" customFormat="false" ht="25.5" hidden="false" customHeight="true" outlineLevel="0" collapsed="false">
      <c r="A100" s="4" t="s">
        <v>435</v>
      </c>
      <c r="B100" s="4" t="s">
        <v>427</v>
      </c>
      <c r="C100" s="4" t="s">
        <v>436</v>
      </c>
      <c r="D100" s="4" t="n">
        <v>3</v>
      </c>
      <c r="E100" s="4" t="s">
        <v>218</v>
      </c>
      <c r="F100" s="4" t="s">
        <v>399</v>
      </c>
      <c r="G100" s="9" t="s">
        <v>220</v>
      </c>
    </row>
    <row r="101" customFormat="false" ht="25.5" hidden="false" customHeight="true" outlineLevel="0" collapsed="false">
      <c r="A101" s="4" t="s">
        <v>437</v>
      </c>
      <c r="B101" s="4" t="s">
        <v>427</v>
      </c>
      <c r="C101" s="4" t="s">
        <v>438</v>
      </c>
      <c r="D101" s="4" t="n">
        <v>3</v>
      </c>
      <c r="E101" s="4" t="s">
        <v>225</v>
      </c>
      <c r="F101" s="4" t="s">
        <v>404</v>
      </c>
      <c r="G101" s="9" t="s">
        <v>220</v>
      </c>
    </row>
    <row r="102" customFormat="false" ht="25.5" hidden="false" customHeight="true" outlineLevel="0" collapsed="false">
      <c r="A102" s="4" t="s">
        <v>439</v>
      </c>
      <c r="B102" s="4" t="s">
        <v>427</v>
      </c>
      <c r="C102" s="4" t="s">
        <v>440</v>
      </c>
      <c r="D102" s="4" t="n">
        <v>2</v>
      </c>
      <c r="E102" s="4" t="s">
        <v>237</v>
      </c>
      <c r="F102" s="4" t="s">
        <v>441</v>
      </c>
      <c r="G102" s="9" t="s">
        <v>220</v>
      </c>
    </row>
    <row r="103" customFormat="false" ht="25.5" hidden="false" customHeight="true" outlineLevel="0" collapsed="false">
      <c r="A103" s="4" t="s">
        <v>442</v>
      </c>
      <c r="B103" s="4" t="s">
        <v>427</v>
      </c>
      <c r="C103" s="4" t="s">
        <v>443</v>
      </c>
      <c r="D103" s="4" t="n">
        <v>2</v>
      </c>
      <c r="E103" s="4" t="s">
        <v>225</v>
      </c>
      <c r="F103" s="4" t="s">
        <v>404</v>
      </c>
      <c r="G103" s="9" t="s">
        <v>220</v>
      </c>
    </row>
    <row r="105" customFormat="false" ht="30" hidden="false" customHeight="true" outlineLevel="0" collapsed="false">
      <c r="A105" s="11" t="s">
        <v>444</v>
      </c>
      <c r="B105" s="11"/>
      <c r="C105" s="11"/>
      <c r="D105" s="11"/>
      <c r="E105" s="11"/>
      <c r="F105" s="11"/>
      <c r="G105" s="11"/>
    </row>
  </sheetData>
  <mergeCells count="1">
    <mergeCell ref="A105:G1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4" min="3" style="1" width="9"/>
    <col collapsed="false" customWidth="true" hidden="false" outlineLevel="0" max="5" min="5" style="1" width="8"/>
    <col collapsed="false" customWidth="true" hidden="false" outlineLevel="0" max="6" min="6" style="1" width="52"/>
  </cols>
  <sheetData>
    <row r="1" customFormat="false" ht="17.25" hidden="false" customHeight="true" outlineLevel="0" collapsed="false">
      <c r="A1" s="2" t="s">
        <v>445</v>
      </c>
    </row>
    <row r="3" customFormat="false" ht="15" hidden="false" customHeight="true" outlineLevel="0" collapsed="false">
      <c r="A3" s="3" t="s">
        <v>214</v>
      </c>
      <c r="B3" s="3" t="s">
        <v>446</v>
      </c>
      <c r="C3" s="3" t="s">
        <v>447</v>
      </c>
      <c r="D3" s="3" t="s">
        <v>212</v>
      </c>
      <c r="E3" s="3" t="s">
        <v>220</v>
      </c>
      <c r="F3" s="3" t="s">
        <v>448</v>
      </c>
    </row>
    <row r="4" customFormat="false" ht="31.5" hidden="false" customHeight="true" outlineLevel="0" collapsed="false">
      <c r="A4" s="4" t="s">
        <v>449</v>
      </c>
      <c r="B4" s="4" t="s">
        <v>450</v>
      </c>
      <c r="C4" s="4" t="n">
        <f aca="false">COUNTIF(Full_Backlog!F4:F103,"S0")</f>
        <v>0</v>
      </c>
      <c r="D4" s="4" t="n">
        <f aca="false">SUMIF(Full_Backlog!F4:F103,"S0",Full_Backlog!D4:D103)</f>
        <v>0</v>
      </c>
      <c r="E4" s="4" t="n">
        <f aca="false">COUNTIFS(Full_Backlog!F4:F103,"S0",Full_Backlog!G4:G103,"Done")</f>
        <v>0</v>
      </c>
      <c r="F4" s="4" t="s">
        <v>451</v>
      </c>
    </row>
    <row r="5" customFormat="false" ht="31.5" hidden="false" customHeight="true" outlineLevel="0" collapsed="false">
      <c r="A5" s="4" t="s">
        <v>333</v>
      </c>
      <c r="B5" s="4" t="s">
        <v>452</v>
      </c>
      <c r="C5" s="4" t="n">
        <f aca="false">COUNTIF(Full_Backlog!F4:F103,"S1")</f>
        <v>4</v>
      </c>
      <c r="D5" s="4" t="n">
        <f aca="false">SUMIF(Full_Backlog!F4:F103,"S1",Full_Backlog!D4:D103)</f>
        <v>13</v>
      </c>
      <c r="E5" s="4" t="n">
        <f aca="false">COUNTIFS(Full_Backlog!F4:F103,"S1",Full_Backlog!G4:G103,"Done")</f>
        <v>4</v>
      </c>
      <c r="F5" s="4" t="s">
        <v>453</v>
      </c>
    </row>
    <row r="6" customFormat="false" ht="31.5" hidden="false" customHeight="true" outlineLevel="0" collapsed="false">
      <c r="A6" s="4" t="s">
        <v>219</v>
      </c>
      <c r="B6" s="4" t="s">
        <v>454</v>
      </c>
      <c r="C6" s="4" t="n">
        <f aca="false">COUNTIF(Full_Backlog!F4:F103,"S2")</f>
        <v>6</v>
      </c>
      <c r="D6" s="4" t="n">
        <f aca="false">SUMIF(Full_Backlog!F4:F103,"S2",Full_Backlog!D4:D103)</f>
        <v>29</v>
      </c>
      <c r="E6" s="4" t="n">
        <f aca="false">COUNTIFS(Full_Backlog!F4:F103,"S2",Full_Backlog!G4:G103,"Done")</f>
        <v>6</v>
      </c>
      <c r="F6" s="4" t="s">
        <v>455</v>
      </c>
    </row>
    <row r="7" customFormat="false" ht="31.5" hidden="false" customHeight="true" outlineLevel="0" collapsed="false">
      <c r="A7" s="4" t="s">
        <v>230</v>
      </c>
      <c r="B7" s="4" t="s">
        <v>456</v>
      </c>
      <c r="C7" s="4" t="n">
        <f aca="false">COUNTIF(Full_Backlog!F4:F103,"S3")</f>
        <v>11</v>
      </c>
      <c r="D7" s="4" t="n">
        <f aca="false">SUMIF(Full_Backlog!F4:F103,"S3",Full_Backlog!D4:D103)</f>
        <v>47</v>
      </c>
      <c r="E7" s="4" t="n">
        <f aca="false">COUNTIFS(Full_Backlog!F4:F103,"S3",Full_Backlog!G4:G103,"Done")</f>
        <v>11</v>
      </c>
      <c r="F7" s="4" t="s">
        <v>457</v>
      </c>
    </row>
    <row r="8" customFormat="false" ht="31.5" hidden="false" customHeight="true" outlineLevel="0" collapsed="false">
      <c r="A8" s="4" t="s">
        <v>253</v>
      </c>
      <c r="B8" s="4" t="s">
        <v>458</v>
      </c>
      <c r="C8" s="4" t="n">
        <f aca="false">COUNTIF(Full_Backlog!F4:F103,"S4")</f>
        <v>9</v>
      </c>
      <c r="D8" s="4" t="n">
        <f aca="false">SUMIF(Full_Backlog!F4:F103,"S4",Full_Backlog!D4:D103)</f>
        <v>34</v>
      </c>
      <c r="E8" s="4" t="n">
        <f aca="false">COUNTIFS(Full_Backlog!F4:F103,"S4",Full_Backlog!G4:G103,"Done")</f>
        <v>9</v>
      </c>
      <c r="F8" s="4" t="s">
        <v>459</v>
      </c>
    </row>
    <row r="9" customFormat="false" ht="31.5" hidden="false" customHeight="true" outlineLevel="0" collapsed="false">
      <c r="A9" s="4" t="s">
        <v>267</v>
      </c>
      <c r="B9" s="4" t="s">
        <v>460</v>
      </c>
      <c r="C9" s="4" t="n">
        <f aca="false">COUNTIF(Full_Backlog!F4:F103,"S5")</f>
        <v>12</v>
      </c>
      <c r="D9" s="4" t="n">
        <f aca="false">SUMIF(Full_Backlog!F4:F103,"S5",Full_Backlog!D4:D103)</f>
        <v>50</v>
      </c>
      <c r="E9" s="4" t="n">
        <f aca="false">COUNTIFS(Full_Backlog!F4:F103,"S5",Full_Backlog!G4:G103,"Done")</f>
        <v>12</v>
      </c>
      <c r="F9" s="4" t="s">
        <v>461</v>
      </c>
    </row>
    <row r="10" customFormat="false" ht="31.5" hidden="false" customHeight="true" outlineLevel="0" collapsed="false">
      <c r="A10" s="4" t="s">
        <v>289</v>
      </c>
      <c r="B10" s="4" t="s">
        <v>462</v>
      </c>
      <c r="C10" s="4" t="n">
        <f aca="false">COUNTIF(Full_Backlog!F4:F103,"S6")</f>
        <v>13</v>
      </c>
      <c r="D10" s="4" t="n">
        <f aca="false">SUMIF(Full_Backlog!F4:F103,"S6",Full_Backlog!D4:D103)</f>
        <v>60</v>
      </c>
      <c r="E10" s="4" t="n">
        <f aca="false">COUNTIFS(Full_Backlog!F4:F103,"S6",Full_Backlog!G4:G103,"Done")</f>
        <v>13</v>
      </c>
      <c r="F10" s="4" t="s">
        <v>463</v>
      </c>
    </row>
    <row r="11" customFormat="false" ht="31.5" hidden="false" customHeight="true" outlineLevel="0" collapsed="false">
      <c r="A11" s="4" t="s">
        <v>353</v>
      </c>
      <c r="B11" s="4" t="s">
        <v>464</v>
      </c>
      <c r="C11" s="4" t="n">
        <f aca="false">COUNTIF(Full_Backlog!F4:F103,"S7")</f>
        <v>5</v>
      </c>
      <c r="D11" s="4" t="n">
        <f aca="false">SUMIF(Full_Backlog!F4:F103,"S7",Full_Backlog!D4:D103)</f>
        <v>15</v>
      </c>
      <c r="E11" s="4" t="n">
        <f aca="false">COUNTIFS(Full_Backlog!F4:F103,"S7",Full_Backlog!G4:G103,"Done")</f>
        <v>5</v>
      </c>
      <c r="F11" s="4" t="s">
        <v>465</v>
      </c>
    </row>
    <row r="12" customFormat="false" ht="31.5" hidden="false" customHeight="true" outlineLevel="0" collapsed="false">
      <c r="A12" s="4" t="s">
        <v>311</v>
      </c>
      <c r="B12" s="4" t="s">
        <v>466</v>
      </c>
      <c r="C12" s="4" t="n">
        <f aca="false">COUNTIF(Full_Backlog!F4:F103,"S8")</f>
        <v>22</v>
      </c>
      <c r="D12" s="4" t="n">
        <f aca="false">SUMIF(Full_Backlog!F4:F103,"S8",Full_Backlog!D4:D103)</f>
        <v>87</v>
      </c>
      <c r="E12" s="4" t="n">
        <f aca="false">COUNTIFS(Full_Backlog!F4:F103,"S8",Full_Backlog!G4:G103,"Done")</f>
        <v>22</v>
      </c>
      <c r="F12" s="4" t="s">
        <v>467</v>
      </c>
    </row>
    <row r="13" customFormat="false" ht="31.5" hidden="false" customHeight="true" outlineLevel="0" collapsed="false">
      <c r="A13" s="4" t="s">
        <v>371</v>
      </c>
      <c r="B13" s="4" t="s">
        <v>468</v>
      </c>
      <c r="C13" s="4" t="n">
        <f aca="false">COUNTIF(Full_Backlog!F4:F103,"S9")</f>
        <v>7</v>
      </c>
      <c r="D13" s="4" t="n">
        <f aca="false">SUMIF(Full_Backlog!F4:F103,"S9",Full_Backlog!D4:D103)</f>
        <v>30</v>
      </c>
      <c r="E13" s="4" t="n">
        <f aca="false">COUNTIFS(Full_Backlog!F4:F103,"S9",Full_Backlog!G4:G103,"Done")</f>
        <v>6</v>
      </c>
      <c r="F13" s="4" t="s">
        <v>469</v>
      </c>
    </row>
    <row r="14" customFormat="false" ht="31.5" hidden="false" customHeight="true" outlineLevel="0" collapsed="false">
      <c r="A14" s="4" t="s">
        <v>399</v>
      </c>
      <c r="B14" s="4" t="s">
        <v>470</v>
      </c>
      <c r="C14" s="4" t="n">
        <f aca="false">COUNTIF(Full_Backlog!F4:F103,"S10")</f>
        <v>7</v>
      </c>
      <c r="D14" s="4" t="n">
        <f aca="false">SUMIF(Full_Backlog!F4:F103,"S10",Full_Backlog!D4:D103)</f>
        <v>24</v>
      </c>
      <c r="E14" s="4" t="n">
        <f aca="false">COUNTIFS(Full_Backlog!F4:F103,"S10",Full_Backlog!G4:G103,"Done")</f>
        <v>6</v>
      </c>
      <c r="F14" s="4" t="s">
        <v>471</v>
      </c>
    </row>
    <row r="15" customFormat="false" ht="31.5" hidden="false" customHeight="true" outlineLevel="0" collapsed="false">
      <c r="A15" s="4" t="s">
        <v>404</v>
      </c>
      <c r="B15" s="4" t="s">
        <v>472</v>
      </c>
      <c r="C15" s="4" t="n">
        <f aca="false">COUNTIF(Full_Backlog!F4:F103,"S11")</f>
        <v>3</v>
      </c>
      <c r="D15" s="4" t="n">
        <f aca="false">SUMIF(Full_Backlog!F4:F103,"S11",Full_Backlog!D4:D103)</f>
        <v>8</v>
      </c>
      <c r="E15" s="4" t="n">
        <f aca="false">COUNTIFS(Full_Backlog!F4:F103,"S11",Full_Backlog!G4:G103,"Done")</f>
        <v>3</v>
      </c>
      <c r="F15" s="4" t="s">
        <v>473</v>
      </c>
    </row>
    <row r="16" customFormat="false" ht="31.5" hidden="false" customHeight="true" outlineLevel="0" collapsed="false">
      <c r="A16" s="4" t="s">
        <v>441</v>
      </c>
      <c r="B16" s="4" t="s">
        <v>474</v>
      </c>
      <c r="C16" s="4" t="n">
        <f aca="false">COUNTIF(Full_Backlog!F4:F103,"S12")</f>
        <v>1</v>
      </c>
      <c r="D16" s="4" t="n">
        <f aca="false">SUMIF(Full_Backlog!F4:F103,"S12",Full_Backlog!D4:D103)</f>
        <v>2</v>
      </c>
      <c r="E16" s="4" t="n">
        <f aca="false">COUNTIFS(Full_Backlog!F4:F103,"S12",Full_Backlog!G4:G103,"Done")</f>
        <v>1</v>
      </c>
      <c r="F16" s="4" t="s">
        <v>475</v>
      </c>
    </row>
    <row r="17" customFormat="false" ht="15" hidden="false" customHeight="true" outlineLevel="0" collapsed="false">
      <c r="B17" s="12" t="s">
        <v>476</v>
      </c>
      <c r="C17" s="12" t="n">
        <f aca="false">SUM(C4:C16)</f>
        <v>100</v>
      </c>
      <c r="D17" s="12" t="n">
        <f aca="false">SUM(D4:D16)</f>
        <v>399</v>
      </c>
    </row>
    <row r="18" customFormat="false" ht="27.75" hidden="false" customHeight="true" outlineLevel="0" collapsed="false">
      <c r="B18" s="11" t="s">
        <v>477</v>
      </c>
      <c r="C18" s="11"/>
      <c r="D18" s="11"/>
      <c r="E18" s="11"/>
      <c r="F18" s="11"/>
    </row>
  </sheetData>
  <mergeCells count="1">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7"/>
    <col collapsed="false" customWidth="true" hidden="false" outlineLevel="0" max="3" min="3" style="1" width="8"/>
    <col collapsed="false" customWidth="true" hidden="false" outlineLevel="0" max="4" min="4" style="1" width="30"/>
    <col collapsed="false" customWidth="true" hidden="false" outlineLevel="0" max="5" min="5" style="1" width="60"/>
    <col collapsed="false" customWidth="true" hidden="false" outlineLevel="0" max="6" min="6" style="1" width="55"/>
    <col collapsed="false" customWidth="true" hidden="false" outlineLevel="0" max="7" min="7" style="1" width="28"/>
  </cols>
  <sheetData>
    <row r="1" customFormat="false" ht="17.25" hidden="false" customHeight="true" outlineLevel="0" collapsed="false">
      <c r="A1" s="2" t="s">
        <v>478</v>
      </c>
    </row>
    <row r="3" customFormat="false" ht="15" hidden="false" customHeight="true" outlineLevel="0" collapsed="false">
      <c r="A3" s="13" t="s">
        <v>479</v>
      </c>
      <c r="B3" s="13" t="s">
        <v>480</v>
      </c>
      <c r="C3" s="13" t="s">
        <v>214</v>
      </c>
      <c r="D3" s="13" t="s">
        <v>447</v>
      </c>
      <c r="E3" s="13" t="s">
        <v>481</v>
      </c>
      <c r="F3" s="13" t="s">
        <v>482</v>
      </c>
      <c r="G3" s="13" t="s">
        <v>483</v>
      </c>
    </row>
    <row r="4" customFormat="false" ht="23.25" hidden="false" customHeight="true" outlineLevel="0" collapsed="false">
      <c r="A4" s="6" t="s">
        <v>484</v>
      </c>
      <c r="B4" s="6" t="s">
        <v>12</v>
      </c>
      <c r="C4" s="6" t="s">
        <v>485</v>
      </c>
      <c r="D4" s="6" t="s">
        <v>485</v>
      </c>
      <c r="E4" s="6" t="s">
        <v>486</v>
      </c>
      <c r="F4" s="6" t="s">
        <v>487</v>
      </c>
      <c r="G4" s="6" t="s">
        <v>488</v>
      </c>
    </row>
    <row r="5" customFormat="false" ht="23.25" hidden="false" customHeight="true" outlineLevel="0" collapsed="false">
      <c r="A5" s="6" t="s">
        <v>489</v>
      </c>
      <c r="B5" s="6" t="s">
        <v>15</v>
      </c>
      <c r="C5" s="6" t="s">
        <v>449</v>
      </c>
      <c r="D5" s="6" t="s">
        <v>485</v>
      </c>
      <c r="E5" s="6" t="s">
        <v>490</v>
      </c>
      <c r="F5" s="6" t="s">
        <v>491</v>
      </c>
      <c r="G5" s="6" t="s">
        <v>492</v>
      </c>
    </row>
    <row r="6" customFormat="false" ht="45.75" hidden="false" customHeight="true" outlineLevel="0" collapsed="false">
      <c r="A6" s="6" t="s">
        <v>493</v>
      </c>
      <c r="B6" s="6" t="s">
        <v>15</v>
      </c>
      <c r="C6" s="6" t="s">
        <v>333</v>
      </c>
      <c r="D6" s="6" t="s">
        <v>494</v>
      </c>
      <c r="E6" s="6" t="s">
        <v>495</v>
      </c>
      <c r="F6" s="6" t="s">
        <v>496</v>
      </c>
      <c r="G6" s="6" t="s">
        <v>497</v>
      </c>
    </row>
    <row r="7" customFormat="false" ht="34.5" hidden="false" customHeight="true" outlineLevel="0" collapsed="false">
      <c r="A7" s="6" t="s">
        <v>498</v>
      </c>
      <c r="B7" s="6" t="s">
        <v>15</v>
      </c>
      <c r="C7" s="6" t="s">
        <v>333</v>
      </c>
      <c r="D7" s="6" t="s">
        <v>485</v>
      </c>
      <c r="E7" s="6" t="s">
        <v>499</v>
      </c>
      <c r="F7" s="6" t="s">
        <v>500</v>
      </c>
      <c r="G7" s="6" t="s">
        <v>501</v>
      </c>
    </row>
    <row r="8" customFormat="false" ht="57" hidden="false" customHeight="true" outlineLevel="0" collapsed="false">
      <c r="A8" s="6" t="s">
        <v>502</v>
      </c>
      <c r="B8" s="6" t="s">
        <v>18</v>
      </c>
      <c r="C8" s="6" t="s">
        <v>219</v>
      </c>
      <c r="D8" s="6" t="s">
        <v>503</v>
      </c>
      <c r="E8" s="6" t="s">
        <v>504</v>
      </c>
      <c r="F8" s="6" t="s">
        <v>505</v>
      </c>
      <c r="G8" s="6" t="s">
        <v>506</v>
      </c>
    </row>
    <row r="9" customFormat="false" ht="15" hidden="false" customHeight="true" outlineLevel="0" collapsed="false">
      <c r="A9" s="6" t="s">
        <v>507</v>
      </c>
      <c r="B9" s="6" t="s">
        <v>18</v>
      </c>
      <c r="C9" s="6" t="s">
        <v>219</v>
      </c>
      <c r="D9" s="6" t="s">
        <v>508</v>
      </c>
      <c r="E9" s="6" t="s">
        <v>509</v>
      </c>
      <c r="F9" s="6" t="s">
        <v>510</v>
      </c>
      <c r="G9" s="6" t="s">
        <v>511</v>
      </c>
    </row>
    <row r="10" customFormat="false" ht="79.5" hidden="false" customHeight="true" outlineLevel="0" collapsed="false">
      <c r="A10" s="6" t="s">
        <v>512</v>
      </c>
      <c r="B10" s="6" t="s">
        <v>21</v>
      </c>
      <c r="C10" s="6" t="s">
        <v>230</v>
      </c>
      <c r="D10" s="6" t="s">
        <v>513</v>
      </c>
      <c r="E10" s="6" t="s">
        <v>514</v>
      </c>
      <c r="F10" s="6" t="s">
        <v>515</v>
      </c>
      <c r="G10" s="6" t="s">
        <v>516</v>
      </c>
    </row>
    <row r="11" customFormat="false" ht="15" hidden="false" customHeight="true" outlineLevel="0" collapsed="false">
      <c r="A11" s="6" t="s">
        <v>517</v>
      </c>
      <c r="B11" s="6" t="s">
        <v>21</v>
      </c>
      <c r="C11" s="6" t="s">
        <v>230</v>
      </c>
      <c r="D11" s="6" t="s">
        <v>518</v>
      </c>
      <c r="E11" s="6" t="s">
        <v>519</v>
      </c>
      <c r="F11" s="6" t="s">
        <v>520</v>
      </c>
      <c r="G11" s="6" t="s">
        <v>516</v>
      </c>
    </row>
    <row r="12" customFormat="false" ht="68.25" hidden="false" customHeight="true" outlineLevel="0" collapsed="false">
      <c r="A12" s="6" t="s">
        <v>521</v>
      </c>
      <c r="B12" s="6" t="s">
        <v>21</v>
      </c>
      <c r="C12" s="6" t="s">
        <v>230</v>
      </c>
      <c r="D12" s="6" t="s">
        <v>409</v>
      </c>
      <c r="E12" s="6" t="s">
        <v>522</v>
      </c>
      <c r="F12" s="6" t="s">
        <v>523</v>
      </c>
      <c r="G12" s="6" t="s">
        <v>524</v>
      </c>
    </row>
    <row r="13" customFormat="false" ht="90.75" hidden="false" customHeight="true" outlineLevel="0" collapsed="false">
      <c r="A13" s="6" t="s">
        <v>525</v>
      </c>
      <c r="B13" s="6" t="s">
        <v>24</v>
      </c>
      <c r="C13" s="6" t="s">
        <v>253</v>
      </c>
      <c r="D13" s="6" t="s">
        <v>526</v>
      </c>
      <c r="E13" s="6" t="s">
        <v>527</v>
      </c>
      <c r="F13" s="6" t="s">
        <v>515</v>
      </c>
      <c r="G13" s="6" t="s">
        <v>516</v>
      </c>
    </row>
    <row r="14" customFormat="false" ht="15" hidden="false" customHeight="true" outlineLevel="0" collapsed="false">
      <c r="A14" s="6" t="s">
        <v>528</v>
      </c>
      <c r="B14" s="6" t="s">
        <v>24</v>
      </c>
      <c r="C14" s="6" t="s">
        <v>253</v>
      </c>
      <c r="D14" s="6" t="s">
        <v>529</v>
      </c>
      <c r="E14" s="6" t="s">
        <v>530</v>
      </c>
      <c r="F14" s="6" t="s">
        <v>531</v>
      </c>
      <c r="G14" s="6" t="s">
        <v>516</v>
      </c>
    </row>
    <row r="15" customFormat="false" ht="102" hidden="false" customHeight="true" outlineLevel="0" collapsed="false">
      <c r="A15" s="6" t="s">
        <v>532</v>
      </c>
      <c r="B15" s="6" t="s">
        <v>24</v>
      </c>
      <c r="C15" s="6" t="s">
        <v>253</v>
      </c>
      <c r="D15" s="6" t="s">
        <v>412</v>
      </c>
      <c r="E15" s="6" t="s">
        <v>533</v>
      </c>
      <c r="F15" s="6" t="s">
        <v>534</v>
      </c>
      <c r="G15" s="6" t="s">
        <v>535</v>
      </c>
    </row>
    <row r="16" customFormat="false" ht="79.5" hidden="false" customHeight="true" outlineLevel="0" collapsed="false">
      <c r="A16" s="6" t="s">
        <v>536</v>
      </c>
      <c r="B16" s="6" t="s">
        <v>27</v>
      </c>
      <c r="C16" s="6" t="s">
        <v>267</v>
      </c>
      <c r="D16" s="6" t="s">
        <v>537</v>
      </c>
      <c r="E16" s="6" t="s">
        <v>538</v>
      </c>
      <c r="F16" s="6" t="s">
        <v>520</v>
      </c>
      <c r="G16" s="6" t="s">
        <v>516</v>
      </c>
    </row>
    <row r="17" customFormat="false" ht="15" hidden="false" customHeight="true" outlineLevel="0" collapsed="false">
      <c r="A17" s="6" t="s">
        <v>539</v>
      </c>
      <c r="B17" s="6" t="s">
        <v>27</v>
      </c>
      <c r="C17" s="6" t="s">
        <v>267</v>
      </c>
      <c r="D17" s="6" t="s">
        <v>540</v>
      </c>
      <c r="E17" s="6" t="s">
        <v>541</v>
      </c>
      <c r="F17" s="6" t="s">
        <v>515</v>
      </c>
      <c r="G17" s="6" t="s">
        <v>516</v>
      </c>
    </row>
    <row r="18" customFormat="false" ht="90.75" hidden="false" customHeight="true" outlineLevel="0" collapsed="false">
      <c r="A18" s="6" t="s">
        <v>542</v>
      </c>
      <c r="B18" s="6" t="s">
        <v>27</v>
      </c>
      <c r="C18" s="6" t="s">
        <v>267</v>
      </c>
      <c r="D18" s="6" t="s">
        <v>543</v>
      </c>
      <c r="E18" s="6" t="s">
        <v>544</v>
      </c>
      <c r="F18" s="6" t="s">
        <v>545</v>
      </c>
      <c r="G18" s="6" t="s">
        <v>546</v>
      </c>
    </row>
    <row r="19" customFormat="false" ht="79.5" hidden="false" customHeight="true" outlineLevel="0" collapsed="false">
      <c r="A19" s="6" t="s">
        <v>547</v>
      </c>
      <c r="B19" s="6" t="s">
        <v>30</v>
      </c>
      <c r="C19" s="6" t="s">
        <v>289</v>
      </c>
      <c r="D19" s="6" t="s">
        <v>548</v>
      </c>
      <c r="E19" s="6" t="s">
        <v>549</v>
      </c>
      <c r="F19" s="6" t="s">
        <v>550</v>
      </c>
      <c r="G19" s="6" t="s">
        <v>516</v>
      </c>
    </row>
    <row r="20" customFormat="false" ht="15" hidden="false" customHeight="true" outlineLevel="0" collapsed="false">
      <c r="A20" s="6" t="s">
        <v>551</v>
      </c>
      <c r="B20" s="6" t="s">
        <v>30</v>
      </c>
      <c r="C20" s="6" t="s">
        <v>289</v>
      </c>
      <c r="D20" s="6" t="s">
        <v>552</v>
      </c>
      <c r="E20" s="6" t="s">
        <v>553</v>
      </c>
      <c r="F20" s="6" t="s">
        <v>550</v>
      </c>
      <c r="G20" s="6" t="s">
        <v>516</v>
      </c>
    </row>
    <row r="21" customFormat="false" ht="79.5" hidden="false" customHeight="true" outlineLevel="0" collapsed="false">
      <c r="A21" s="6" t="s">
        <v>554</v>
      </c>
      <c r="B21" s="6" t="s">
        <v>30</v>
      </c>
      <c r="C21" s="6" t="s">
        <v>289</v>
      </c>
      <c r="D21" s="6" t="s">
        <v>555</v>
      </c>
      <c r="E21" s="6" t="s">
        <v>556</v>
      </c>
      <c r="F21" s="6" t="s">
        <v>557</v>
      </c>
      <c r="G21" s="6" t="s">
        <v>558</v>
      </c>
    </row>
    <row r="22" customFormat="false" ht="102" hidden="false" customHeight="true" outlineLevel="0" collapsed="false">
      <c r="A22" s="6" t="s">
        <v>559</v>
      </c>
      <c r="B22" s="6" t="s">
        <v>33</v>
      </c>
      <c r="C22" s="6" t="s">
        <v>353</v>
      </c>
      <c r="D22" s="6" t="s">
        <v>560</v>
      </c>
      <c r="E22" s="6" t="s">
        <v>561</v>
      </c>
      <c r="F22" s="6" t="s">
        <v>531</v>
      </c>
      <c r="G22" s="6" t="s">
        <v>562</v>
      </c>
    </row>
    <row r="23" customFormat="false" ht="15" hidden="false" customHeight="true" outlineLevel="0" collapsed="false">
      <c r="A23" s="6" t="s">
        <v>563</v>
      </c>
      <c r="B23" s="6" t="s">
        <v>33</v>
      </c>
      <c r="C23" s="6" t="s">
        <v>353</v>
      </c>
      <c r="D23" s="6" t="s">
        <v>564</v>
      </c>
      <c r="E23" s="6" t="s">
        <v>565</v>
      </c>
      <c r="F23" s="6" t="s">
        <v>531</v>
      </c>
      <c r="G23" s="6" t="s">
        <v>566</v>
      </c>
    </row>
    <row r="24" customFormat="false" ht="90.75" hidden="false" customHeight="true" outlineLevel="0" collapsed="false">
      <c r="A24" s="6" t="s">
        <v>567</v>
      </c>
      <c r="B24" s="6" t="s">
        <v>33</v>
      </c>
      <c r="C24" s="6" t="s">
        <v>353</v>
      </c>
      <c r="D24" s="6" t="s">
        <v>360</v>
      </c>
      <c r="E24" s="6" t="s">
        <v>568</v>
      </c>
      <c r="F24" s="6" t="s">
        <v>569</v>
      </c>
      <c r="G24" s="6" t="s">
        <v>570</v>
      </c>
    </row>
    <row r="25" customFormat="false" ht="79.5" hidden="false" customHeight="true" outlineLevel="0" collapsed="false">
      <c r="A25" s="6" t="s">
        <v>571</v>
      </c>
      <c r="B25" s="6" t="s">
        <v>36</v>
      </c>
      <c r="C25" s="6" t="s">
        <v>311</v>
      </c>
      <c r="D25" s="6" t="s">
        <v>572</v>
      </c>
      <c r="E25" s="6" t="s">
        <v>573</v>
      </c>
      <c r="F25" s="6" t="s">
        <v>574</v>
      </c>
      <c r="G25" s="6" t="s">
        <v>516</v>
      </c>
    </row>
    <row r="26" customFormat="false" ht="15" hidden="false" customHeight="true" outlineLevel="0" collapsed="false">
      <c r="A26" s="6" t="s">
        <v>575</v>
      </c>
      <c r="B26" s="6" t="s">
        <v>36</v>
      </c>
      <c r="C26" s="6" t="s">
        <v>311</v>
      </c>
      <c r="D26" s="6" t="s">
        <v>576</v>
      </c>
      <c r="E26" s="6" t="s">
        <v>577</v>
      </c>
      <c r="F26" s="6" t="s">
        <v>578</v>
      </c>
      <c r="G26" s="6" t="s">
        <v>579</v>
      </c>
    </row>
    <row r="27" customFormat="false" ht="102" hidden="false" customHeight="true" outlineLevel="0" collapsed="false">
      <c r="A27" s="6" t="s">
        <v>580</v>
      </c>
      <c r="B27" s="6" t="s">
        <v>36</v>
      </c>
      <c r="C27" s="6" t="s">
        <v>311</v>
      </c>
      <c r="D27" s="6" t="s">
        <v>581</v>
      </c>
      <c r="E27" s="6" t="s">
        <v>582</v>
      </c>
      <c r="F27" s="6" t="s">
        <v>583</v>
      </c>
      <c r="G27" s="6" t="s">
        <v>584</v>
      </c>
    </row>
    <row r="28" customFormat="false" ht="124.5" hidden="false" customHeight="true" outlineLevel="0" collapsed="false">
      <c r="A28" s="6" t="s">
        <v>585</v>
      </c>
      <c r="B28" s="6" t="s">
        <v>39</v>
      </c>
      <c r="C28" s="6" t="s">
        <v>371</v>
      </c>
      <c r="D28" s="6" t="s">
        <v>586</v>
      </c>
      <c r="E28" s="6" t="s">
        <v>587</v>
      </c>
      <c r="F28" s="6" t="s">
        <v>588</v>
      </c>
      <c r="G28" s="6" t="s">
        <v>589</v>
      </c>
      <c r="H28" s="6" t="s">
        <v>590</v>
      </c>
      <c r="I28" s="6" t="s">
        <v>591</v>
      </c>
    </row>
    <row r="29" customFormat="false" ht="15" hidden="false" customHeight="true" outlineLevel="0" collapsed="false">
      <c r="A29" s="6" t="s">
        <v>591</v>
      </c>
      <c r="B29" s="6" t="s">
        <v>39</v>
      </c>
      <c r="C29" s="6" t="s">
        <v>371</v>
      </c>
      <c r="D29" s="6" t="s">
        <v>592</v>
      </c>
      <c r="E29" s="6" t="s">
        <v>593</v>
      </c>
      <c r="F29" s="6" t="s">
        <v>592</v>
      </c>
      <c r="G29" s="6" t="s">
        <v>594</v>
      </c>
      <c r="H29" s="6"/>
      <c r="I29" s="6" t="s">
        <v>595</v>
      </c>
    </row>
    <row r="30" customFormat="false" ht="102" hidden="false" customHeight="true" outlineLevel="0" collapsed="false">
      <c r="A30" s="6" t="s">
        <v>595</v>
      </c>
      <c r="B30" s="6" t="s">
        <v>39</v>
      </c>
      <c r="C30" s="6" t="s">
        <v>371</v>
      </c>
      <c r="D30" s="6" t="s">
        <v>596</v>
      </c>
      <c r="E30" s="6" t="s">
        <v>597</v>
      </c>
      <c r="F30" s="6" t="s">
        <v>596</v>
      </c>
      <c r="G30" s="6" t="s">
        <v>598</v>
      </c>
      <c r="H30" s="6" t="s">
        <v>599</v>
      </c>
    </row>
    <row r="31" customFormat="false" ht="124.5" hidden="false" customHeight="true" outlineLevel="0" collapsed="false">
      <c r="A31" s="6" t="s">
        <v>600</v>
      </c>
      <c r="B31" s="6" t="s">
        <v>42</v>
      </c>
      <c r="C31" s="6" t="s">
        <v>399</v>
      </c>
      <c r="D31" s="6" t="s">
        <v>601</v>
      </c>
      <c r="E31" s="6" t="s">
        <v>602</v>
      </c>
      <c r="F31" s="6" t="s">
        <v>601</v>
      </c>
      <c r="G31" s="6" t="s">
        <v>531</v>
      </c>
      <c r="H31" s="6" t="s">
        <v>603</v>
      </c>
      <c r="I31" s="6" t="s">
        <v>604</v>
      </c>
    </row>
    <row r="32" customFormat="false" ht="15" hidden="false" customHeight="true" outlineLevel="0" collapsed="false">
      <c r="A32" s="6" t="s">
        <v>604</v>
      </c>
      <c r="B32" s="6" t="s">
        <v>42</v>
      </c>
      <c r="C32" s="6" t="s">
        <v>399</v>
      </c>
      <c r="D32" s="6" t="s">
        <v>605</v>
      </c>
      <c r="E32" s="6" t="s">
        <v>606</v>
      </c>
      <c r="F32" s="6" t="s">
        <v>607</v>
      </c>
      <c r="G32" s="6" t="s">
        <v>608</v>
      </c>
      <c r="H32" s="6" t="s">
        <v>609</v>
      </c>
      <c r="I32" s="6" t="s">
        <v>610</v>
      </c>
    </row>
    <row r="33" customFormat="false" ht="102" hidden="false" customHeight="true" outlineLevel="0" collapsed="false">
      <c r="A33" s="6" t="s">
        <v>610</v>
      </c>
      <c r="B33" s="6" t="s">
        <v>42</v>
      </c>
      <c r="C33" s="6" t="s">
        <v>399</v>
      </c>
      <c r="D33" s="6" t="s">
        <v>611</v>
      </c>
      <c r="E33" s="6" t="s">
        <v>612</v>
      </c>
      <c r="F33" s="6" t="s">
        <v>611</v>
      </c>
      <c r="G33" s="6" t="s">
        <v>613</v>
      </c>
      <c r="H33" s="6" t="s">
        <v>614</v>
      </c>
    </row>
    <row r="34" customFormat="false" ht="90.75" hidden="false" customHeight="true" outlineLevel="0" collapsed="false">
      <c r="A34" s="6" t="s">
        <v>615</v>
      </c>
      <c r="B34" s="6" t="s">
        <v>45</v>
      </c>
      <c r="C34" s="6" t="s">
        <v>404</v>
      </c>
      <c r="D34" s="6" t="s">
        <v>616</v>
      </c>
      <c r="E34" s="6" t="s">
        <v>617</v>
      </c>
      <c r="F34" s="6" t="s">
        <v>616</v>
      </c>
      <c r="G34" s="6" t="s">
        <v>531</v>
      </c>
      <c r="H34" s="6" t="s">
        <v>618</v>
      </c>
      <c r="I34" s="6" t="s">
        <v>619</v>
      </c>
    </row>
    <row r="35" customFormat="false" ht="15" hidden="false" customHeight="true" outlineLevel="0" collapsed="false">
      <c r="A35" s="6" t="s">
        <v>619</v>
      </c>
      <c r="B35" s="6" t="s">
        <v>45</v>
      </c>
      <c r="C35" s="6" t="s">
        <v>404</v>
      </c>
      <c r="D35" s="6" t="s">
        <v>437</v>
      </c>
      <c r="E35" s="6" t="s">
        <v>620</v>
      </c>
      <c r="F35" s="6" t="s">
        <v>437</v>
      </c>
      <c r="G35" s="6" t="s">
        <v>621</v>
      </c>
      <c r="H35" s="6" t="s">
        <v>622</v>
      </c>
      <c r="I35" s="6" t="s">
        <v>623</v>
      </c>
    </row>
    <row r="36" customFormat="false" ht="102" hidden="false" customHeight="true" outlineLevel="0" collapsed="false">
      <c r="A36" s="6" t="s">
        <v>623</v>
      </c>
      <c r="B36" s="6" t="s">
        <v>45</v>
      </c>
      <c r="C36" s="6" t="s">
        <v>441</v>
      </c>
      <c r="D36" s="6" t="s">
        <v>439</v>
      </c>
      <c r="E36" s="6" t="s">
        <v>624</v>
      </c>
      <c r="F36" s="6" t="s">
        <v>625</v>
      </c>
      <c r="G36" s="6" t="s">
        <v>626</v>
      </c>
      <c r="H36" s="6" t="s">
        <v>627</v>
      </c>
    </row>
    <row r="37" customFormat="false" ht="213.75" hidden="false" customHeight="true" outlineLevel="0" collapsed="false">
      <c r="A37" s="6" t="s">
        <v>628</v>
      </c>
      <c r="B37" s="6" t="s">
        <v>48</v>
      </c>
      <c r="C37" s="6" t="s">
        <v>485</v>
      </c>
      <c r="D37" s="6" t="s">
        <v>629</v>
      </c>
      <c r="E37" s="6" t="s">
        <v>630</v>
      </c>
      <c r="F37" s="6" t="s">
        <v>631</v>
      </c>
      <c r="G37" s="6"/>
      <c r="H37" s="6" t="s">
        <v>632</v>
      </c>
    </row>
    <row r="38" customFormat="false" ht="15" hidden="false" customHeight="true" outlineLevel="0" collapsed="false">
      <c r="A38" s="6" t="s">
        <v>632</v>
      </c>
      <c r="B38" s="6" t="s">
        <v>48</v>
      </c>
      <c r="C38" s="6" t="s">
        <v>485</v>
      </c>
      <c r="D38" s="6" t="s">
        <v>633</v>
      </c>
      <c r="E38" s="6" t="s">
        <v>634</v>
      </c>
      <c r="F38" s="6" t="s">
        <v>635</v>
      </c>
      <c r="G38" s="6" t="s">
        <v>636</v>
      </c>
      <c r="H38" s="6" t="s">
        <v>637</v>
      </c>
    </row>
    <row r="39" customFormat="false" ht="213.75" hidden="false" customHeight="true" outlineLevel="0" collapsed="false">
      <c r="A39" s="6" t="s">
        <v>638</v>
      </c>
      <c r="B39" s="6" t="s">
        <v>51</v>
      </c>
      <c r="C39" s="6" t="s">
        <v>485</v>
      </c>
      <c r="D39" s="6" t="s">
        <v>639</v>
      </c>
      <c r="E39" s="6" t="s">
        <v>640</v>
      </c>
      <c r="F39" s="6" t="s">
        <v>641</v>
      </c>
      <c r="G39" s="6"/>
      <c r="H39" s="6" t="s">
        <v>642</v>
      </c>
    </row>
    <row r="40" customFormat="false" ht="15" hidden="false" customHeight="true" outlineLevel="0" collapsed="false">
      <c r="A40" s="6" t="s">
        <v>642</v>
      </c>
      <c r="B40" s="6" t="s">
        <v>51</v>
      </c>
      <c r="C40" s="6" t="s">
        <v>485</v>
      </c>
      <c r="D40" s="6" t="s">
        <v>643</v>
      </c>
      <c r="E40" s="6" t="s">
        <v>644</v>
      </c>
      <c r="F40" s="6" t="s">
        <v>645</v>
      </c>
      <c r="G40" s="6"/>
      <c r="H40" s="6" t="s">
        <v>637</v>
      </c>
    </row>
    <row r="41" customFormat="false" ht="225" hidden="false" customHeight="true" outlineLevel="0" collapsed="false">
      <c r="A41" s="6" t="s">
        <v>646</v>
      </c>
      <c r="B41" s="6" t="s">
        <v>54</v>
      </c>
      <c r="C41" s="6" t="s">
        <v>441</v>
      </c>
      <c r="D41" s="6" t="s">
        <v>647</v>
      </c>
      <c r="E41" s="6" t="s">
        <v>648</v>
      </c>
      <c r="F41" s="6" t="s">
        <v>649</v>
      </c>
      <c r="G41" s="6" t="s">
        <v>650</v>
      </c>
      <c r="H41" s="6" t="s">
        <v>651</v>
      </c>
    </row>
    <row r="42" customFormat="false" ht="15" hidden="false" customHeight="true" outlineLevel="0" collapsed="false">
      <c r="A42" s="6" t="s">
        <v>651</v>
      </c>
      <c r="B42" s="6" t="s">
        <v>54</v>
      </c>
      <c r="C42" s="6" t="s">
        <v>441</v>
      </c>
      <c r="D42" s="6" t="s">
        <v>652</v>
      </c>
      <c r="E42" s="6" t="s">
        <v>653</v>
      </c>
      <c r="F42" s="6" t="s">
        <v>654</v>
      </c>
      <c r="G42" s="6" t="s">
        <v>655</v>
      </c>
      <c r="H42" s="6" t="s">
        <v>637</v>
      </c>
    </row>
    <row r="43" customFormat="false" ht="180" hidden="false" customHeight="true" outlineLevel="0" collapsed="false">
      <c r="A43" s="6" t="s">
        <v>656</v>
      </c>
      <c r="B43" s="6" t="s">
        <v>59</v>
      </c>
      <c r="C43" s="6" t="s">
        <v>485</v>
      </c>
      <c r="D43" s="6" t="s">
        <v>657</v>
      </c>
      <c r="E43" s="6" t="s">
        <v>658</v>
      </c>
      <c r="F43" s="6" t="s">
        <v>659</v>
      </c>
      <c r="G43" s="6" t="s">
        <v>660</v>
      </c>
      <c r="H43" s="6" t="s">
        <v>637</v>
      </c>
    </row>
    <row r="44" customFormat="false" ht="15" hidden="false" customHeight="true" outlineLevel="0" collapsed="false">
      <c r="A44" s="6" t="s">
        <v>661</v>
      </c>
      <c r="B44" s="6" t="s">
        <v>63</v>
      </c>
      <c r="C44" s="6" t="s">
        <v>485</v>
      </c>
      <c r="D44" s="6" t="s">
        <v>662</v>
      </c>
      <c r="E44" s="6" t="s">
        <v>663</v>
      </c>
      <c r="F44" s="6" t="s">
        <v>664</v>
      </c>
      <c r="G44" s="6" t="s">
        <v>665</v>
      </c>
      <c r="H44" s="6" t="s">
        <v>666</v>
      </c>
    </row>
    <row r="45" customFormat="false" ht="15" hidden="false" customHeight="true" outlineLevel="0" collapsed="false">
      <c r="A45" s="6" t="s">
        <v>667</v>
      </c>
      <c r="B45" s="6" t="s">
        <v>67</v>
      </c>
      <c r="C45" s="6" t="s">
        <v>485</v>
      </c>
      <c r="D45" s="6" t="s">
        <v>668</v>
      </c>
      <c r="E45" s="6" t="s">
        <v>669</v>
      </c>
      <c r="F45" s="6" t="s">
        <v>670</v>
      </c>
      <c r="G45" s="6" t="s">
        <v>671</v>
      </c>
      <c r="H45" s="6" t="s">
        <v>672</v>
      </c>
    </row>
    <row r="46" customFormat="false" ht="15" hidden="false" customHeight="true" outlineLevel="0" collapsed="false">
      <c r="A46" s="6" t="s">
        <v>673</v>
      </c>
      <c r="B46" s="6" t="s">
        <v>71</v>
      </c>
      <c r="C46" s="6" t="s">
        <v>485</v>
      </c>
      <c r="D46" s="6" t="s">
        <v>674</v>
      </c>
      <c r="E46" s="6" t="s">
        <v>675</v>
      </c>
      <c r="F46" s="6" t="s">
        <v>676</v>
      </c>
      <c r="G46" s="6" t="s">
        <v>677</v>
      </c>
      <c r="H46" s="6" t="s">
        <v>678</v>
      </c>
    </row>
    <row r="47" customFormat="false" ht="15" hidden="false" customHeight="true" outlineLevel="0" collapsed="false">
      <c r="A47" s="6" t="s">
        <v>679</v>
      </c>
      <c r="B47" s="6" t="s">
        <v>75</v>
      </c>
      <c r="C47" s="6" t="s">
        <v>485</v>
      </c>
      <c r="D47" s="6" t="s">
        <v>680</v>
      </c>
      <c r="E47" s="6" t="s">
        <v>681</v>
      </c>
      <c r="F47" s="6" t="s">
        <v>682</v>
      </c>
      <c r="G47" s="6" t="s">
        <v>683</v>
      </c>
      <c r="H47" s="6" t="s">
        <v>684</v>
      </c>
    </row>
    <row r="48" customFormat="false" ht="15" hidden="false" customHeight="true" outlineLevel="0" collapsed="false">
      <c r="A48" s="6" t="s">
        <v>685</v>
      </c>
      <c r="B48" s="6" t="s">
        <v>79</v>
      </c>
      <c r="C48" s="6" t="s">
        <v>485</v>
      </c>
      <c r="D48" s="6" t="s">
        <v>686</v>
      </c>
      <c r="E48" s="6" t="s">
        <v>687</v>
      </c>
      <c r="F48" s="6" t="s">
        <v>688</v>
      </c>
      <c r="G48" s="6" t="s">
        <v>689</v>
      </c>
      <c r="H48" s="6" t="s">
        <v>690</v>
      </c>
    </row>
    <row r="49" customFormat="false" ht="15" hidden="false" customHeight="true" outlineLevel="0" collapsed="false">
      <c r="A49" s="6" t="s">
        <v>691</v>
      </c>
      <c r="B49" s="6" t="s">
        <v>83</v>
      </c>
      <c r="C49" s="6" t="s">
        <v>485</v>
      </c>
      <c r="D49" s="6" t="s">
        <v>692</v>
      </c>
      <c r="E49" s="6" t="s">
        <v>693</v>
      </c>
      <c r="F49" s="6" t="s">
        <v>694</v>
      </c>
      <c r="G49" s="6" t="s">
        <v>695</v>
      </c>
      <c r="H49" s="6" t="s">
        <v>696</v>
      </c>
    </row>
    <row r="50" customFormat="false" ht="15" hidden="false" customHeight="true" outlineLevel="0" collapsed="false">
      <c r="A50" s="6" t="s">
        <v>697</v>
      </c>
      <c r="B50" s="6" t="s">
        <v>87</v>
      </c>
      <c r="C50" s="6" t="s">
        <v>485</v>
      </c>
      <c r="D50" s="6" t="s">
        <v>698</v>
      </c>
      <c r="E50" s="6" t="s">
        <v>699</v>
      </c>
      <c r="F50" s="6" t="s">
        <v>700</v>
      </c>
      <c r="G50" s="6" t="s">
        <v>701</v>
      </c>
      <c r="H50" s="6" t="s">
        <v>702</v>
      </c>
    </row>
    <row r="51" customFormat="false" ht="15" hidden="false" customHeight="true" outlineLevel="0" collapsed="false">
      <c r="A51" s="6" t="s">
        <v>703</v>
      </c>
      <c r="B51" s="6" t="s">
        <v>91</v>
      </c>
      <c r="C51" s="6" t="s">
        <v>485</v>
      </c>
      <c r="D51" s="6" t="s">
        <v>704</v>
      </c>
      <c r="E51" s="6" t="s">
        <v>705</v>
      </c>
      <c r="F51" s="6" t="s">
        <v>706</v>
      </c>
      <c r="G51" s="6" t="s">
        <v>707</v>
      </c>
      <c r="H51" s="6" t="s">
        <v>708</v>
      </c>
    </row>
    <row r="52" customFormat="false" ht="15" hidden="false" customHeight="true" outlineLevel="0" collapsed="false">
      <c r="A52" s="6" t="s">
        <v>709</v>
      </c>
      <c r="B52" s="6" t="s">
        <v>95</v>
      </c>
      <c r="C52" s="6" t="s">
        <v>485</v>
      </c>
      <c r="D52" s="6" t="s">
        <v>710</v>
      </c>
      <c r="E52" s="6" t="s">
        <v>711</v>
      </c>
      <c r="F52" s="6" t="s">
        <v>712</v>
      </c>
      <c r="G52" s="6" t="s">
        <v>713</v>
      </c>
      <c r="H52" s="6" t="s">
        <v>714</v>
      </c>
    </row>
    <row r="53" customFormat="false" ht="15" hidden="false" customHeight="true" outlineLevel="0" collapsed="false">
      <c r="A53" s="6" t="s">
        <v>715</v>
      </c>
      <c r="B53" s="6" t="s">
        <v>99</v>
      </c>
      <c r="C53" s="6" t="s">
        <v>485</v>
      </c>
      <c r="D53" s="6" t="s">
        <v>716</v>
      </c>
      <c r="E53" s="6" t="s">
        <v>717</v>
      </c>
      <c r="F53" s="6" t="s">
        <v>718</v>
      </c>
      <c r="G53" s="6" t="s">
        <v>719</v>
      </c>
      <c r="H53" s="6" t="s">
        <v>720</v>
      </c>
    </row>
    <row r="54" customFormat="false" ht="15" hidden="false" customHeight="true" outlineLevel="0" collapsed="false">
      <c r="A54" s="6" t="s">
        <v>721</v>
      </c>
      <c r="B54" s="6" t="s">
        <v>103</v>
      </c>
      <c r="C54" s="6" t="s">
        <v>485</v>
      </c>
      <c r="D54" s="6" t="s">
        <v>722</v>
      </c>
      <c r="E54" s="6" t="s">
        <v>723</v>
      </c>
      <c r="F54" s="6" t="s">
        <v>724</v>
      </c>
      <c r="G54" s="6" t="s">
        <v>725</v>
      </c>
      <c r="H54" s="6" t="s">
        <v>726</v>
      </c>
    </row>
    <row r="55" customFormat="false" ht="15" hidden="false" customHeight="true" outlineLevel="0" collapsed="false">
      <c r="A55" s="6" t="s">
        <v>727</v>
      </c>
      <c r="B55" s="6" t="s">
        <v>107</v>
      </c>
      <c r="C55" s="6" t="s">
        <v>485</v>
      </c>
      <c r="D55" s="6" t="s">
        <v>728</v>
      </c>
      <c r="E55" s="6" t="s">
        <v>729</v>
      </c>
      <c r="F55" s="6" t="s">
        <v>730</v>
      </c>
      <c r="G55" s="6" t="s">
        <v>731</v>
      </c>
      <c r="H55" s="6" t="s">
        <v>732</v>
      </c>
    </row>
    <row r="56" customFormat="false" ht="15" hidden="false" customHeight="true" outlineLevel="0" collapsed="false">
      <c r="A56" s="6" t="s">
        <v>733</v>
      </c>
      <c r="B56" s="6" t="s">
        <v>111</v>
      </c>
      <c r="C56" s="6" t="s">
        <v>485</v>
      </c>
      <c r="D56" s="6" t="s">
        <v>734</v>
      </c>
      <c r="E56" s="6" t="s">
        <v>735</v>
      </c>
      <c r="F56" s="6" t="s">
        <v>736</v>
      </c>
      <c r="G56" s="6" t="s">
        <v>737</v>
      </c>
      <c r="H56" s="6" t="s">
        <v>738</v>
      </c>
    </row>
    <row r="57" customFormat="false" ht="15" hidden="false" customHeight="true" outlineLevel="0" collapsed="false">
      <c r="A57" s="6" t="s">
        <v>739</v>
      </c>
      <c r="B57" s="6" t="s">
        <v>115</v>
      </c>
      <c r="C57" s="6" t="s">
        <v>485</v>
      </c>
      <c r="D57" s="6" t="s">
        <v>740</v>
      </c>
      <c r="E57" s="6" t="s">
        <v>741</v>
      </c>
      <c r="F57" s="6" t="s">
        <v>742</v>
      </c>
      <c r="G57" s="6" t="s">
        <v>743</v>
      </c>
      <c r="H57" s="6" t="s">
        <v>744</v>
      </c>
    </row>
    <row r="58" customFormat="false" ht="15" hidden="false" customHeight="true" outlineLevel="0" collapsed="false">
      <c r="A58" s="6" t="s">
        <v>745</v>
      </c>
      <c r="B58" s="6" t="s">
        <v>119</v>
      </c>
      <c r="C58" s="6" t="s">
        <v>485</v>
      </c>
      <c r="D58" s="6" t="s">
        <v>746</v>
      </c>
      <c r="E58" s="6" t="s">
        <v>747</v>
      </c>
      <c r="F58" s="6" t="s">
        <v>748</v>
      </c>
      <c r="G58" s="6" t="s">
        <v>749</v>
      </c>
      <c r="H58" s="6" t="s">
        <v>750</v>
      </c>
    </row>
    <row r="59" customFormat="false" ht="15" hidden="false" customHeight="true" outlineLevel="0" collapsed="false">
      <c r="A59" s="6" t="s">
        <v>751</v>
      </c>
      <c r="B59" s="6" t="s">
        <v>123</v>
      </c>
      <c r="C59" s="6" t="s">
        <v>485</v>
      </c>
      <c r="D59" s="6" t="s">
        <v>752</v>
      </c>
      <c r="E59" s="6" t="s">
        <v>753</v>
      </c>
      <c r="F59" s="6" t="s">
        <v>754</v>
      </c>
      <c r="G59" s="6" t="s">
        <v>755</v>
      </c>
      <c r="H59" s="6" t="s">
        <v>756</v>
      </c>
    </row>
    <row r="60" customFormat="false" ht="15" hidden="false" customHeight="true" outlineLevel="0" collapsed="false">
      <c r="A60" s="6" t="s">
        <v>757</v>
      </c>
      <c r="B60" s="6" t="s">
        <v>127</v>
      </c>
      <c r="C60" s="6" t="s">
        <v>485</v>
      </c>
      <c r="D60" s="6" t="s">
        <v>758</v>
      </c>
      <c r="E60" s="6" t="s">
        <v>759</v>
      </c>
      <c r="F60" s="6" t="s">
        <v>760</v>
      </c>
      <c r="G60" s="6" t="s">
        <v>761</v>
      </c>
      <c r="H60" s="6" t="s">
        <v>762</v>
      </c>
    </row>
    <row r="61" customFormat="false" ht="15" hidden="false" customHeight="true" outlineLevel="0" collapsed="false">
      <c r="A61" s="6" t="s">
        <v>763</v>
      </c>
      <c r="B61" s="6" t="s">
        <v>131</v>
      </c>
      <c r="C61" s="6" t="s">
        <v>485</v>
      </c>
      <c r="D61" s="6" t="s">
        <v>764</v>
      </c>
      <c r="E61" s="6" t="s">
        <v>765</v>
      </c>
      <c r="F61" s="6" t="s">
        <v>766</v>
      </c>
      <c r="G61" s="6" t="s">
        <v>767</v>
      </c>
      <c r="H61" s="6" t="s">
        <v>768</v>
      </c>
    </row>
    <row r="62" customFormat="false" ht="15" hidden="false" customHeight="true" outlineLevel="0" collapsed="false">
      <c r="A62" s="6" t="s">
        <v>769</v>
      </c>
      <c r="B62" s="6" t="s">
        <v>135</v>
      </c>
      <c r="C62" s="6" t="s">
        <v>485</v>
      </c>
      <c r="D62" s="6" t="s">
        <v>770</v>
      </c>
      <c r="E62" s="6" t="s">
        <v>771</v>
      </c>
      <c r="F62" s="6" t="s">
        <v>772</v>
      </c>
      <c r="G62" s="6" t="s">
        <v>773</v>
      </c>
      <c r="H62" s="6" t="s">
        <v>774</v>
      </c>
    </row>
    <row r="63" customFormat="false" ht="15" hidden="false" customHeight="true" outlineLevel="0" collapsed="false">
      <c r="A63" s="14"/>
    </row>
    <row r="64" customFormat="false" ht="15" hidden="false" customHeight="false" outlineLevel="0" collapsed="false">
      <c r="A64" s="15" t="s">
        <v>775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48"/>
    <col collapsed="false" customWidth="true" hidden="false" outlineLevel="0" max="4" min="4" style="1" width="44"/>
    <col collapsed="false" customWidth="true" hidden="false" outlineLevel="0" max="5" min="5" style="1" width="52"/>
    <col collapsed="false" customWidth="true" hidden="false" outlineLevel="0" max="6" min="6" style="1" width="20"/>
    <col collapsed="false" customWidth="true" hidden="false" outlineLevel="0" max="7" min="7" style="1" width="9"/>
  </cols>
  <sheetData>
    <row r="1" customFormat="false" ht="17.25" hidden="false" customHeight="true" outlineLevel="0" collapsed="false">
      <c r="A1" s="2" t="s">
        <v>776</v>
      </c>
    </row>
    <row r="3" customFormat="false" ht="15" hidden="false" customHeight="true" outlineLevel="0" collapsed="false">
      <c r="A3" s="13" t="s">
        <v>777</v>
      </c>
      <c r="B3" s="13" t="s">
        <v>214</v>
      </c>
      <c r="C3" s="13" t="s">
        <v>778</v>
      </c>
      <c r="D3" s="13" t="s">
        <v>779</v>
      </c>
      <c r="E3" s="13" t="s">
        <v>780</v>
      </c>
      <c r="F3" s="13" t="s">
        <v>781</v>
      </c>
      <c r="G3" s="13" t="s">
        <v>5</v>
      </c>
    </row>
    <row r="4" customFormat="false" ht="34.5" hidden="false" customHeight="true" outlineLevel="0" collapsed="false">
      <c r="A4" s="6" t="s">
        <v>330</v>
      </c>
      <c r="B4" s="6" t="s">
        <v>333</v>
      </c>
      <c r="C4" s="6" t="s">
        <v>332</v>
      </c>
      <c r="D4" s="6" t="s">
        <v>782</v>
      </c>
      <c r="E4" s="6" t="s">
        <v>783</v>
      </c>
      <c r="F4" s="6" t="s">
        <v>784</v>
      </c>
      <c r="G4" s="16" t="s">
        <v>220</v>
      </c>
    </row>
    <row r="5" customFormat="false" ht="34.5" hidden="false" customHeight="true" outlineLevel="0" collapsed="false">
      <c r="A5" s="6" t="s">
        <v>334</v>
      </c>
      <c r="B5" s="6" t="s">
        <v>333</v>
      </c>
      <c r="C5" s="6" t="s">
        <v>335</v>
      </c>
      <c r="D5" s="6" t="s">
        <v>785</v>
      </c>
      <c r="E5" s="6" t="s">
        <v>786</v>
      </c>
      <c r="F5" s="6" t="s">
        <v>784</v>
      </c>
      <c r="G5" s="16" t="s">
        <v>220</v>
      </c>
    </row>
    <row r="6" customFormat="false" ht="45.75" hidden="false" customHeight="true" outlineLevel="0" collapsed="false">
      <c r="A6" s="6" t="s">
        <v>340</v>
      </c>
      <c r="B6" s="6" t="s">
        <v>333</v>
      </c>
      <c r="C6" s="6" t="s">
        <v>341</v>
      </c>
      <c r="D6" s="6" t="s">
        <v>787</v>
      </c>
      <c r="E6" s="6" t="s">
        <v>788</v>
      </c>
      <c r="F6" s="6" t="s">
        <v>784</v>
      </c>
      <c r="G6" s="16" t="s">
        <v>220</v>
      </c>
    </row>
    <row r="7" customFormat="false" ht="34.5" hidden="false" customHeight="true" outlineLevel="0" collapsed="false">
      <c r="A7" s="6" t="s">
        <v>342</v>
      </c>
      <c r="B7" s="6" t="s">
        <v>333</v>
      </c>
      <c r="C7" s="6" t="s">
        <v>343</v>
      </c>
      <c r="D7" s="6" t="s">
        <v>789</v>
      </c>
      <c r="E7" s="6" t="s">
        <v>790</v>
      </c>
      <c r="F7" s="6" t="s">
        <v>784</v>
      </c>
      <c r="G7" s="16" t="s">
        <v>220</v>
      </c>
    </row>
    <row r="8" customFormat="false" ht="23.25" hidden="false" customHeight="true" outlineLevel="0" collapsed="false">
      <c r="A8" s="6" t="s">
        <v>215</v>
      </c>
      <c r="B8" s="6" t="s">
        <v>219</v>
      </c>
      <c r="C8" s="6" t="s">
        <v>217</v>
      </c>
      <c r="D8" s="6" t="s">
        <v>791</v>
      </c>
      <c r="E8" s="6" t="s">
        <v>792</v>
      </c>
      <c r="F8" s="6" t="s">
        <v>784</v>
      </c>
      <c r="G8" s="16" t="s">
        <v>220</v>
      </c>
    </row>
    <row r="9" customFormat="false" ht="23.25" hidden="false" customHeight="true" outlineLevel="0" collapsed="false">
      <c r="A9" s="6" t="s">
        <v>221</v>
      </c>
      <c r="B9" s="6" t="s">
        <v>219</v>
      </c>
      <c r="C9" s="6" t="s">
        <v>222</v>
      </c>
      <c r="D9" s="6" t="s">
        <v>793</v>
      </c>
      <c r="E9" s="6" t="s">
        <v>794</v>
      </c>
      <c r="F9" s="6" t="s">
        <v>784</v>
      </c>
      <c r="G9" s="16" t="s">
        <v>220</v>
      </c>
    </row>
    <row r="10" customFormat="false" ht="23.25" hidden="false" customHeight="true" outlineLevel="0" collapsed="false">
      <c r="A10" s="6" t="s">
        <v>223</v>
      </c>
      <c r="B10" s="6" t="s">
        <v>219</v>
      </c>
      <c r="C10" s="6" t="s">
        <v>224</v>
      </c>
      <c r="D10" s="6" t="s">
        <v>795</v>
      </c>
      <c r="E10" s="6" t="s">
        <v>796</v>
      </c>
      <c r="F10" s="6" t="s">
        <v>784</v>
      </c>
      <c r="G10" s="16" t="s">
        <v>220</v>
      </c>
    </row>
    <row r="11" customFormat="false" ht="23.25" hidden="false" customHeight="true" outlineLevel="0" collapsed="false">
      <c r="A11" s="6" t="s">
        <v>226</v>
      </c>
      <c r="B11" s="6" t="s">
        <v>219</v>
      </c>
      <c r="C11" s="6" t="s">
        <v>227</v>
      </c>
      <c r="D11" s="6" t="s">
        <v>797</v>
      </c>
      <c r="E11" s="6" t="s">
        <v>798</v>
      </c>
      <c r="F11" s="6" t="s">
        <v>784</v>
      </c>
      <c r="G11" s="16" t="s">
        <v>220</v>
      </c>
    </row>
    <row r="12" customFormat="false" ht="34.5" hidden="false" customHeight="true" outlineLevel="0" collapsed="false">
      <c r="A12" s="6" t="s">
        <v>228</v>
      </c>
      <c r="B12" s="6" t="s">
        <v>230</v>
      </c>
      <c r="C12" s="6" t="s">
        <v>229</v>
      </c>
      <c r="D12" s="6" t="s">
        <v>799</v>
      </c>
      <c r="E12" s="6" t="s">
        <v>800</v>
      </c>
      <c r="F12" s="6" t="s">
        <v>784</v>
      </c>
      <c r="G12" s="16" t="s">
        <v>220</v>
      </c>
    </row>
    <row r="13" customFormat="false" ht="23.25" hidden="false" customHeight="true" outlineLevel="0" collapsed="false">
      <c r="A13" s="6" t="s">
        <v>231</v>
      </c>
      <c r="B13" s="6" t="s">
        <v>230</v>
      </c>
      <c r="C13" s="6" t="s">
        <v>232</v>
      </c>
      <c r="D13" s="6" t="s">
        <v>801</v>
      </c>
      <c r="E13" s="6" t="s">
        <v>802</v>
      </c>
      <c r="F13" s="6" t="s">
        <v>784</v>
      </c>
      <c r="G13" s="16" t="s">
        <v>220</v>
      </c>
    </row>
    <row r="14" customFormat="false" ht="23.25" hidden="false" customHeight="true" outlineLevel="0" collapsed="false">
      <c r="A14" s="6" t="s">
        <v>233</v>
      </c>
      <c r="B14" s="6" t="s">
        <v>230</v>
      </c>
      <c r="C14" s="6" t="s">
        <v>234</v>
      </c>
      <c r="D14" s="6" t="s">
        <v>803</v>
      </c>
      <c r="E14" s="6" t="s">
        <v>804</v>
      </c>
      <c r="F14" s="6" t="s">
        <v>784</v>
      </c>
      <c r="G14" s="16" t="s">
        <v>220</v>
      </c>
    </row>
    <row r="15" customFormat="false" ht="23.25" hidden="false" customHeight="true" outlineLevel="0" collapsed="false">
      <c r="A15" s="6" t="s">
        <v>235</v>
      </c>
      <c r="B15" s="6" t="s">
        <v>230</v>
      </c>
      <c r="C15" s="6" t="s">
        <v>236</v>
      </c>
      <c r="D15" s="6" t="s">
        <v>805</v>
      </c>
      <c r="E15" s="6" t="s">
        <v>806</v>
      </c>
      <c r="F15" s="6" t="s">
        <v>784</v>
      </c>
      <c r="G15" s="16" t="s">
        <v>220</v>
      </c>
    </row>
    <row r="16" customFormat="false" ht="23.25" hidden="false" customHeight="true" outlineLevel="0" collapsed="false">
      <c r="A16" s="6" t="s">
        <v>238</v>
      </c>
      <c r="B16" s="6" t="s">
        <v>230</v>
      </c>
      <c r="C16" s="6" t="s">
        <v>239</v>
      </c>
      <c r="D16" s="6" t="s">
        <v>807</v>
      </c>
      <c r="E16" s="6" t="s">
        <v>808</v>
      </c>
      <c r="F16" s="6" t="s">
        <v>784</v>
      </c>
      <c r="G16" s="16" t="s">
        <v>220</v>
      </c>
    </row>
    <row r="17" customFormat="false" ht="23.25" hidden="false" customHeight="true" outlineLevel="0" collapsed="false">
      <c r="A17" s="6" t="s">
        <v>240</v>
      </c>
      <c r="B17" s="6" t="s">
        <v>230</v>
      </c>
      <c r="C17" s="6" t="s">
        <v>241</v>
      </c>
      <c r="D17" s="6" t="s">
        <v>809</v>
      </c>
      <c r="E17" s="6" t="s">
        <v>810</v>
      </c>
      <c r="F17" s="6" t="s">
        <v>784</v>
      </c>
      <c r="G17" s="16" t="s">
        <v>220</v>
      </c>
    </row>
    <row r="18" customFormat="false" ht="23.25" hidden="false" customHeight="true" outlineLevel="0" collapsed="false">
      <c r="A18" s="6" t="s">
        <v>242</v>
      </c>
      <c r="B18" s="6" t="s">
        <v>230</v>
      </c>
      <c r="C18" s="6" t="s">
        <v>244</v>
      </c>
      <c r="D18" s="6" t="s">
        <v>811</v>
      </c>
      <c r="E18" s="6" t="s">
        <v>812</v>
      </c>
      <c r="F18" s="6" t="s">
        <v>784</v>
      </c>
      <c r="G18" s="16" t="s">
        <v>220</v>
      </c>
    </row>
    <row r="19" customFormat="false" ht="23.25" hidden="false" customHeight="true" outlineLevel="0" collapsed="false">
      <c r="A19" s="6" t="s">
        <v>245</v>
      </c>
      <c r="B19" s="6" t="s">
        <v>230</v>
      </c>
      <c r="C19" s="6" t="s">
        <v>246</v>
      </c>
      <c r="D19" s="6" t="s">
        <v>813</v>
      </c>
      <c r="E19" s="6" t="s">
        <v>814</v>
      </c>
      <c r="F19" s="6" t="s">
        <v>784</v>
      </c>
      <c r="G19" s="16" t="s">
        <v>220</v>
      </c>
    </row>
    <row r="20" customFormat="false" ht="23.25" hidden="false" customHeight="true" outlineLevel="0" collapsed="false">
      <c r="A20" s="6" t="s">
        <v>247</v>
      </c>
      <c r="B20" s="6" t="s">
        <v>230</v>
      </c>
      <c r="C20" s="6" t="s">
        <v>248</v>
      </c>
      <c r="D20" s="6" t="s">
        <v>815</v>
      </c>
      <c r="E20" s="6" t="s">
        <v>816</v>
      </c>
      <c r="F20" s="6" t="s">
        <v>784</v>
      </c>
      <c r="G20" s="16" t="s">
        <v>220</v>
      </c>
    </row>
    <row r="21" customFormat="false" ht="23.25" hidden="false" customHeight="true" outlineLevel="0" collapsed="false">
      <c r="A21" s="6" t="s">
        <v>249</v>
      </c>
      <c r="B21" s="6" t="s">
        <v>230</v>
      </c>
      <c r="C21" s="6" t="s">
        <v>250</v>
      </c>
      <c r="D21" s="6" t="s">
        <v>817</v>
      </c>
      <c r="E21" s="6" t="s">
        <v>818</v>
      </c>
      <c r="F21" s="6" t="s">
        <v>784</v>
      </c>
      <c r="G21" s="16" t="s">
        <v>220</v>
      </c>
    </row>
    <row r="22" customFormat="false" ht="34.5" hidden="false" customHeight="true" outlineLevel="0" collapsed="false">
      <c r="A22" s="6" t="s">
        <v>251</v>
      </c>
      <c r="B22" s="6" t="s">
        <v>253</v>
      </c>
      <c r="C22" s="6" t="s">
        <v>252</v>
      </c>
      <c r="D22" s="6" t="s">
        <v>819</v>
      </c>
      <c r="E22" s="6" t="s">
        <v>820</v>
      </c>
      <c r="F22" s="6" t="s">
        <v>784</v>
      </c>
      <c r="G22" s="16" t="s">
        <v>220</v>
      </c>
    </row>
    <row r="23" customFormat="false" ht="23.25" hidden="false" customHeight="true" outlineLevel="0" collapsed="false">
      <c r="A23" s="6" t="s">
        <v>254</v>
      </c>
      <c r="B23" s="6" t="s">
        <v>253</v>
      </c>
      <c r="C23" s="6" t="s">
        <v>255</v>
      </c>
      <c r="D23" s="6" t="s">
        <v>821</v>
      </c>
      <c r="E23" s="6" t="s">
        <v>822</v>
      </c>
      <c r="F23" s="6" t="s">
        <v>784</v>
      </c>
      <c r="G23" s="16" t="s">
        <v>220</v>
      </c>
    </row>
    <row r="24" customFormat="false" ht="23.25" hidden="false" customHeight="true" outlineLevel="0" collapsed="false">
      <c r="A24" s="6" t="s">
        <v>256</v>
      </c>
      <c r="B24" s="6" t="s">
        <v>253</v>
      </c>
      <c r="C24" s="6" t="s">
        <v>257</v>
      </c>
      <c r="D24" s="6" t="s">
        <v>823</v>
      </c>
      <c r="E24" s="6" t="s">
        <v>824</v>
      </c>
      <c r="F24" s="6" t="s">
        <v>784</v>
      </c>
      <c r="G24" s="16" t="s">
        <v>220</v>
      </c>
    </row>
    <row r="25" customFormat="false" ht="23.25" hidden="false" customHeight="true" outlineLevel="0" collapsed="false">
      <c r="A25" s="6" t="s">
        <v>258</v>
      </c>
      <c r="B25" s="6" t="s">
        <v>253</v>
      </c>
      <c r="C25" s="6" t="s">
        <v>259</v>
      </c>
      <c r="D25" s="6" t="s">
        <v>825</v>
      </c>
      <c r="E25" s="6" t="s">
        <v>826</v>
      </c>
      <c r="F25" s="6" t="s">
        <v>784</v>
      </c>
      <c r="G25" s="16" t="s">
        <v>220</v>
      </c>
    </row>
    <row r="26" customFormat="false" ht="34.5" hidden="false" customHeight="true" outlineLevel="0" collapsed="false">
      <c r="A26" s="6" t="s">
        <v>260</v>
      </c>
      <c r="B26" s="6" t="s">
        <v>253</v>
      </c>
      <c r="C26" s="6" t="s">
        <v>261</v>
      </c>
      <c r="D26" s="6" t="s">
        <v>827</v>
      </c>
      <c r="E26" s="6" t="s">
        <v>828</v>
      </c>
      <c r="F26" s="6" t="s">
        <v>784</v>
      </c>
      <c r="G26" s="16" t="s">
        <v>220</v>
      </c>
    </row>
    <row r="27" customFormat="false" ht="23.25" hidden="false" customHeight="true" outlineLevel="0" collapsed="false">
      <c r="A27" s="6" t="s">
        <v>262</v>
      </c>
      <c r="B27" s="6" t="s">
        <v>253</v>
      </c>
      <c r="C27" s="6" t="s">
        <v>263</v>
      </c>
      <c r="D27" s="6" t="s">
        <v>829</v>
      </c>
      <c r="E27" s="6" t="s">
        <v>830</v>
      </c>
      <c r="F27" s="6" t="s">
        <v>784</v>
      </c>
      <c r="G27" s="16" t="s">
        <v>220</v>
      </c>
    </row>
    <row r="28" customFormat="false" ht="23.25" hidden="false" customHeight="true" outlineLevel="0" collapsed="false">
      <c r="A28" s="6" t="s">
        <v>264</v>
      </c>
      <c r="B28" s="6" t="s">
        <v>267</v>
      </c>
      <c r="C28" s="6" t="s">
        <v>266</v>
      </c>
      <c r="D28" s="6" t="s">
        <v>831</v>
      </c>
      <c r="E28" s="6" t="s">
        <v>832</v>
      </c>
      <c r="F28" s="6" t="s">
        <v>784</v>
      </c>
      <c r="G28" s="16" t="s">
        <v>220</v>
      </c>
    </row>
    <row r="29" customFormat="false" ht="23.25" hidden="false" customHeight="true" outlineLevel="0" collapsed="false">
      <c r="A29" s="6" t="s">
        <v>268</v>
      </c>
      <c r="B29" s="6" t="s">
        <v>267</v>
      </c>
      <c r="C29" s="6" t="s">
        <v>269</v>
      </c>
      <c r="D29" s="6" t="s">
        <v>833</v>
      </c>
      <c r="E29" s="6" t="s">
        <v>834</v>
      </c>
      <c r="F29" s="6" t="s">
        <v>784</v>
      </c>
      <c r="G29" s="16" t="s">
        <v>220</v>
      </c>
    </row>
    <row r="30" customFormat="false" ht="23.25" hidden="false" customHeight="true" outlineLevel="0" collapsed="false">
      <c r="A30" s="6" t="s">
        <v>270</v>
      </c>
      <c r="B30" s="6" t="s">
        <v>267</v>
      </c>
      <c r="C30" s="6" t="s">
        <v>271</v>
      </c>
      <c r="D30" s="6" t="s">
        <v>835</v>
      </c>
      <c r="E30" s="6" t="s">
        <v>836</v>
      </c>
      <c r="F30" s="6" t="s">
        <v>784</v>
      </c>
      <c r="G30" s="16" t="s">
        <v>220</v>
      </c>
    </row>
    <row r="31" customFormat="false" ht="23.25" hidden="false" customHeight="true" outlineLevel="0" collapsed="false">
      <c r="A31" s="6" t="s">
        <v>272</v>
      </c>
      <c r="B31" s="6" t="s">
        <v>267</v>
      </c>
      <c r="C31" s="6" t="s">
        <v>273</v>
      </c>
      <c r="D31" s="6" t="s">
        <v>837</v>
      </c>
      <c r="E31" s="6" t="s">
        <v>838</v>
      </c>
      <c r="F31" s="6" t="s">
        <v>784</v>
      </c>
      <c r="G31" s="16" t="s">
        <v>220</v>
      </c>
    </row>
    <row r="32" customFormat="false" ht="34.5" hidden="false" customHeight="true" outlineLevel="0" collapsed="false">
      <c r="A32" s="6" t="s">
        <v>274</v>
      </c>
      <c r="B32" s="6" t="s">
        <v>267</v>
      </c>
      <c r="C32" s="6" t="s">
        <v>275</v>
      </c>
      <c r="D32" s="6" t="s">
        <v>839</v>
      </c>
      <c r="E32" s="6" t="s">
        <v>840</v>
      </c>
      <c r="F32" s="6" t="s">
        <v>784</v>
      </c>
      <c r="G32" s="16" t="s">
        <v>220</v>
      </c>
    </row>
    <row r="33" customFormat="false" ht="23.25" hidden="false" customHeight="true" outlineLevel="0" collapsed="false">
      <c r="A33" s="6" t="s">
        <v>276</v>
      </c>
      <c r="B33" s="6" t="s">
        <v>267</v>
      </c>
      <c r="C33" s="6" t="s">
        <v>277</v>
      </c>
      <c r="D33" s="6" t="s">
        <v>841</v>
      </c>
      <c r="E33" s="6" t="s">
        <v>842</v>
      </c>
      <c r="F33" s="6" t="s">
        <v>784</v>
      </c>
      <c r="G33" s="16" t="s">
        <v>220</v>
      </c>
    </row>
    <row r="34" customFormat="false" ht="23.25" hidden="false" customHeight="true" outlineLevel="0" collapsed="false">
      <c r="A34" s="6" t="s">
        <v>278</v>
      </c>
      <c r="B34" s="6" t="s">
        <v>267</v>
      </c>
      <c r="C34" s="6" t="s">
        <v>279</v>
      </c>
      <c r="D34" s="6" t="s">
        <v>843</v>
      </c>
      <c r="E34" s="6" t="s">
        <v>844</v>
      </c>
      <c r="F34" s="6" t="s">
        <v>784</v>
      </c>
      <c r="G34" s="16" t="s">
        <v>220</v>
      </c>
    </row>
    <row r="35" customFormat="false" ht="23.25" hidden="false" customHeight="true" outlineLevel="0" collapsed="false">
      <c r="A35" s="6" t="s">
        <v>280</v>
      </c>
      <c r="B35" s="6" t="s">
        <v>267</v>
      </c>
      <c r="C35" s="6" t="s">
        <v>281</v>
      </c>
      <c r="D35" s="6" t="s">
        <v>845</v>
      </c>
      <c r="E35" s="6" t="s">
        <v>846</v>
      </c>
      <c r="F35" s="6" t="s">
        <v>784</v>
      </c>
      <c r="G35" s="16" t="s">
        <v>220</v>
      </c>
    </row>
    <row r="36" customFormat="false" ht="23.25" hidden="false" customHeight="true" outlineLevel="0" collapsed="false">
      <c r="A36" s="6" t="s">
        <v>282</v>
      </c>
      <c r="B36" s="6" t="s">
        <v>267</v>
      </c>
      <c r="C36" s="6" t="s">
        <v>283</v>
      </c>
      <c r="D36" s="6" t="s">
        <v>847</v>
      </c>
      <c r="E36" s="6" t="s">
        <v>848</v>
      </c>
      <c r="F36" s="6" t="s">
        <v>784</v>
      </c>
      <c r="G36" s="16" t="s">
        <v>220</v>
      </c>
    </row>
    <row r="37" customFormat="false" ht="23.25" hidden="false" customHeight="true" outlineLevel="0" collapsed="false">
      <c r="A37" s="6" t="s">
        <v>284</v>
      </c>
      <c r="B37" s="6" t="s">
        <v>267</v>
      </c>
      <c r="C37" s="6" t="s">
        <v>285</v>
      </c>
      <c r="D37" s="6" t="s">
        <v>849</v>
      </c>
      <c r="E37" s="6" t="s">
        <v>850</v>
      </c>
      <c r="F37" s="6" t="s">
        <v>784</v>
      </c>
      <c r="G37" s="16" t="s">
        <v>220</v>
      </c>
    </row>
    <row r="38" customFormat="false" ht="23.25" hidden="false" customHeight="true" outlineLevel="0" collapsed="false">
      <c r="A38" s="6" t="s">
        <v>286</v>
      </c>
      <c r="B38" s="6" t="s">
        <v>289</v>
      </c>
      <c r="C38" s="6" t="s">
        <v>288</v>
      </c>
      <c r="D38" s="6" t="s">
        <v>851</v>
      </c>
      <c r="E38" s="6" t="s">
        <v>852</v>
      </c>
      <c r="F38" s="6" t="s">
        <v>784</v>
      </c>
      <c r="G38" s="16" t="s">
        <v>220</v>
      </c>
    </row>
    <row r="39" customFormat="false" ht="23.25" hidden="false" customHeight="true" outlineLevel="0" collapsed="false">
      <c r="A39" s="6" t="s">
        <v>290</v>
      </c>
      <c r="B39" s="6" t="s">
        <v>289</v>
      </c>
      <c r="C39" s="6" t="s">
        <v>291</v>
      </c>
      <c r="D39" s="6" t="s">
        <v>853</v>
      </c>
      <c r="E39" s="6" t="s">
        <v>854</v>
      </c>
      <c r="F39" s="6" t="s">
        <v>784</v>
      </c>
      <c r="G39" s="16" t="s">
        <v>220</v>
      </c>
    </row>
    <row r="40" customFormat="false" ht="23.25" hidden="false" customHeight="true" outlineLevel="0" collapsed="false">
      <c r="A40" s="6" t="s">
        <v>292</v>
      </c>
      <c r="B40" s="6" t="s">
        <v>289</v>
      </c>
      <c r="C40" s="6" t="s">
        <v>293</v>
      </c>
      <c r="D40" s="6" t="s">
        <v>855</v>
      </c>
      <c r="E40" s="6" t="s">
        <v>856</v>
      </c>
      <c r="F40" s="6" t="s">
        <v>784</v>
      </c>
      <c r="G40" s="16" t="s">
        <v>220</v>
      </c>
    </row>
    <row r="41" customFormat="false" ht="23.25" hidden="false" customHeight="true" outlineLevel="0" collapsed="false">
      <c r="A41" s="6" t="s">
        <v>294</v>
      </c>
      <c r="B41" s="6" t="s">
        <v>289</v>
      </c>
      <c r="C41" s="6" t="s">
        <v>295</v>
      </c>
      <c r="D41" s="6" t="s">
        <v>857</v>
      </c>
      <c r="E41" s="6" t="s">
        <v>858</v>
      </c>
      <c r="F41" s="6" t="s">
        <v>784</v>
      </c>
      <c r="G41" s="16" t="s">
        <v>220</v>
      </c>
    </row>
    <row r="42" customFormat="false" ht="34.5" hidden="false" customHeight="true" outlineLevel="0" collapsed="false">
      <c r="A42" s="6" t="s">
        <v>296</v>
      </c>
      <c r="B42" s="6" t="s">
        <v>289</v>
      </c>
      <c r="C42" s="6" t="s">
        <v>297</v>
      </c>
      <c r="D42" s="6" t="s">
        <v>859</v>
      </c>
      <c r="E42" s="6" t="s">
        <v>860</v>
      </c>
      <c r="F42" s="6" t="s">
        <v>784</v>
      </c>
      <c r="G42" s="16" t="s">
        <v>220</v>
      </c>
    </row>
    <row r="43" customFormat="false" ht="23.25" hidden="false" customHeight="true" outlineLevel="0" collapsed="false">
      <c r="A43" s="6" t="s">
        <v>298</v>
      </c>
      <c r="B43" s="6" t="s">
        <v>289</v>
      </c>
      <c r="C43" s="6" t="s">
        <v>299</v>
      </c>
      <c r="D43" s="6" t="s">
        <v>861</v>
      </c>
      <c r="E43" s="6" t="s">
        <v>862</v>
      </c>
      <c r="F43" s="6" t="s">
        <v>784</v>
      </c>
      <c r="G43" s="16" t="s">
        <v>220</v>
      </c>
    </row>
    <row r="44" customFormat="false" ht="23.25" hidden="false" customHeight="true" outlineLevel="0" collapsed="false">
      <c r="A44" s="6" t="s">
        <v>300</v>
      </c>
      <c r="B44" s="6" t="s">
        <v>289</v>
      </c>
      <c r="C44" s="6" t="s">
        <v>301</v>
      </c>
      <c r="D44" s="6" t="s">
        <v>863</v>
      </c>
      <c r="E44" s="6" t="s">
        <v>864</v>
      </c>
      <c r="F44" s="6" t="s">
        <v>784</v>
      </c>
      <c r="G44" s="16" t="s">
        <v>220</v>
      </c>
    </row>
    <row r="45" customFormat="false" ht="23.25" hidden="false" customHeight="true" outlineLevel="0" collapsed="false">
      <c r="A45" s="6" t="s">
        <v>302</v>
      </c>
      <c r="B45" s="6" t="s">
        <v>289</v>
      </c>
      <c r="C45" s="6" t="s">
        <v>303</v>
      </c>
      <c r="D45" s="6" t="s">
        <v>865</v>
      </c>
      <c r="E45" s="6" t="s">
        <v>866</v>
      </c>
      <c r="F45" s="6" t="s">
        <v>784</v>
      </c>
      <c r="G45" s="16" t="s">
        <v>220</v>
      </c>
    </row>
    <row r="46" customFormat="false" ht="23.25" hidden="false" customHeight="true" outlineLevel="0" collapsed="false">
      <c r="A46" s="6" t="s">
        <v>304</v>
      </c>
      <c r="B46" s="6" t="s">
        <v>289</v>
      </c>
      <c r="C46" s="6" t="s">
        <v>305</v>
      </c>
      <c r="D46" s="6" t="s">
        <v>867</v>
      </c>
      <c r="E46" s="6" t="s">
        <v>868</v>
      </c>
      <c r="F46" s="6" t="s">
        <v>784</v>
      </c>
      <c r="G46" s="16" t="s">
        <v>220</v>
      </c>
    </row>
    <row r="47" customFormat="false" ht="23.25" hidden="false" customHeight="true" outlineLevel="0" collapsed="false">
      <c r="A47" s="6" t="s">
        <v>306</v>
      </c>
      <c r="B47" s="6" t="s">
        <v>289</v>
      </c>
      <c r="C47" s="6" t="s">
        <v>307</v>
      </c>
      <c r="D47" s="6" t="s">
        <v>869</v>
      </c>
      <c r="E47" s="6" t="s">
        <v>870</v>
      </c>
      <c r="F47" s="6" t="s">
        <v>784</v>
      </c>
      <c r="G47" s="16" t="s">
        <v>220</v>
      </c>
    </row>
    <row r="48" customFormat="false" ht="23.25" hidden="false" customHeight="true" outlineLevel="0" collapsed="false">
      <c r="A48" s="6" t="s">
        <v>308</v>
      </c>
      <c r="B48" s="6" t="s">
        <v>311</v>
      </c>
      <c r="C48" s="6" t="s">
        <v>310</v>
      </c>
      <c r="D48" s="6" t="s">
        <v>871</v>
      </c>
      <c r="E48" s="6" t="s">
        <v>872</v>
      </c>
      <c r="F48" s="6" t="s">
        <v>784</v>
      </c>
      <c r="G48" s="16" t="s">
        <v>220</v>
      </c>
    </row>
    <row r="49" customFormat="false" ht="23.25" hidden="false" customHeight="true" outlineLevel="0" collapsed="false">
      <c r="A49" s="6" t="s">
        <v>312</v>
      </c>
      <c r="B49" s="6" t="s">
        <v>311</v>
      </c>
      <c r="C49" s="6" t="s">
        <v>313</v>
      </c>
      <c r="D49" s="6" t="s">
        <v>873</v>
      </c>
      <c r="E49" s="6" t="s">
        <v>874</v>
      </c>
      <c r="F49" s="6" t="s">
        <v>784</v>
      </c>
      <c r="G49" s="16" t="s">
        <v>220</v>
      </c>
    </row>
    <row r="50" customFormat="false" ht="23.25" hidden="false" customHeight="true" outlineLevel="0" collapsed="false">
      <c r="A50" s="6" t="s">
        <v>314</v>
      </c>
      <c r="B50" s="6" t="s">
        <v>311</v>
      </c>
      <c r="C50" s="6" t="s">
        <v>315</v>
      </c>
      <c r="D50" s="6" t="s">
        <v>875</v>
      </c>
      <c r="E50" s="6" t="s">
        <v>876</v>
      </c>
      <c r="F50" s="6" t="s">
        <v>784</v>
      </c>
      <c r="G50" s="16" t="s">
        <v>220</v>
      </c>
    </row>
    <row r="51" customFormat="false" ht="23.25" hidden="false" customHeight="true" outlineLevel="0" collapsed="false">
      <c r="A51" s="6" t="s">
        <v>316</v>
      </c>
      <c r="B51" s="6" t="s">
        <v>311</v>
      </c>
      <c r="C51" s="6" t="s">
        <v>317</v>
      </c>
      <c r="D51" s="6" t="s">
        <v>877</v>
      </c>
      <c r="E51" s="6" t="s">
        <v>878</v>
      </c>
      <c r="F51" s="6" t="s">
        <v>784</v>
      </c>
      <c r="G51" s="16" t="s">
        <v>220</v>
      </c>
    </row>
    <row r="52" customFormat="false" ht="34.5" hidden="false" customHeight="true" outlineLevel="0" collapsed="false">
      <c r="A52" s="6" t="s">
        <v>318</v>
      </c>
      <c r="B52" s="6" t="s">
        <v>311</v>
      </c>
      <c r="C52" s="6" t="s">
        <v>319</v>
      </c>
      <c r="D52" s="6" t="s">
        <v>879</v>
      </c>
      <c r="E52" s="6" t="s">
        <v>880</v>
      </c>
      <c r="F52" s="6" t="s">
        <v>784</v>
      </c>
      <c r="G52" s="16" t="s">
        <v>220</v>
      </c>
    </row>
    <row r="53" customFormat="false" ht="23.25" hidden="false" customHeight="true" outlineLevel="0" collapsed="false">
      <c r="A53" s="6" t="s">
        <v>320</v>
      </c>
      <c r="B53" s="6" t="s">
        <v>311</v>
      </c>
      <c r="C53" s="6" t="s">
        <v>321</v>
      </c>
      <c r="D53" s="6" t="s">
        <v>881</v>
      </c>
      <c r="E53" s="6" t="s">
        <v>882</v>
      </c>
      <c r="F53" s="6" t="s">
        <v>784</v>
      </c>
      <c r="G53" s="16" t="s">
        <v>220</v>
      </c>
    </row>
    <row r="54" customFormat="false" ht="23.25" hidden="false" customHeight="true" outlineLevel="0" collapsed="false">
      <c r="A54" s="6" t="s">
        <v>322</v>
      </c>
      <c r="B54" s="6" t="s">
        <v>311</v>
      </c>
      <c r="C54" s="6" t="s">
        <v>323</v>
      </c>
      <c r="D54" s="6" t="s">
        <v>883</v>
      </c>
      <c r="E54" s="6" t="s">
        <v>884</v>
      </c>
      <c r="F54" s="6" t="s">
        <v>784</v>
      </c>
      <c r="G54" s="16" t="s">
        <v>220</v>
      </c>
    </row>
    <row r="55" customFormat="false" ht="23.25" hidden="false" customHeight="true" outlineLevel="0" collapsed="false">
      <c r="A55" s="6" t="s">
        <v>324</v>
      </c>
      <c r="B55" s="6" t="s">
        <v>311</v>
      </c>
      <c r="C55" s="6" t="s">
        <v>325</v>
      </c>
      <c r="D55" s="6" t="s">
        <v>885</v>
      </c>
      <c r="E55" s="6" t="s">
        <v>886</v>
      </c>
      <c r="F55" s="6" t="s">
        <v>784</v>
      </c>
      <c r="G55" s="16" t="s">
        <v>220</v>
      </c>
    </row>
    <row r="56" customFormat="false" ht="23.25" hidden="false" customHeight="true" outlineLevel="0" collapsed="false">
      <c r="A56" s="6" t="s">
        <v>326</v>
      </c>
      <c r="B56" s="6" t="s">
        <v>311</v>
      </c>
      <c r="C56" s="6" t="s">
        <v>327</v>
      </c>
      <c r="D56" s="6" t="s">
        <v>887</v>
      </c>
      <c r="E56" s="6" t="s">
        <v>888</v>
      </c>
      <c r="F56" s="6" t="s">
        <v>784</v>
      </c>
      <c r="G56" s="16" t="s">
        <v>220</v>
      </c>
    </row>
    <row r="57" customFormat="false" ht="23.25" hidden="false" customHeight="true" outlineLevel="0" collapsed="false">
      <c r="A57" s="6" t="s">
        <v>328</v>
      </c>
      <c r="B57" s="6" t="s">
        <v>311</v>
      </c>
      <c r="C57" s="6" t="s">
        <v>329</v>
      </c>
      <c r="D57" s="6" t="s">
        <v>889</v>
      </c>
      <c r="E57" s="6" t="s">
        <v>890</v>
      </c>
      <c r="F57" s="6" t="s">
        <v>784</v>
      </c>
      <c r="G57" s="16" t="s">
        <v>220</v>
      </c>
    </row>
    <row r="58" customFormat="false" ht="15" hidden="false" customHeight="true" outlineLevel="0" collapsed="false">
      <c r="A58" s="6" t="s">
        <v>336</v>
      </c>
      <c r="B58" s="6" t="s">
        <v>219</v>
      </c>
      <c r="C58" s="6" t="s">
        <v>337</v>
      </c>
      <c r="D58" s="6" t="s">
        <v>891</v>
      </c>
      <c r="E58" s="6" t="s">
        <v>892</v>
      </c>
      <c r="F58" s="6" t="s">
        <v>784</v>
      </c>
      <c r="G58" s="16" t="s">
        <v>220</v>
      </c>
    </row>
    <row r="59" customFormat="false" ht="23.25" hidden="false" customHeight="true" outlineLevel="0" collapsed="false">
      <c r="A59" s="6" t="s">
        <v>338</v>
      </c>
      <c r="B59" s="6" t="s">
        <v>219</v>
      </c>
      <c r="C59" s="6" t="s">
        <v>339</v>
      </c>
      <c r="D59" s="6" t="s">
        <v>893</v>
      </c>
      <c r="E59" s="6" t="s">
        <v>894</v>
      </c>
      <c r="F59" s="6" t="s">
        <v>784</v>
      </c>
      <c r="G59" s="16" t="s">
        <v>220</v>
      </c>
    </row>
    <row r="60" customFormat="false" ht="15" hidden="false" customHeight="true" outlineLevel="0" collapsed="false">
      <c r="A60" s="6" t="s">
        <v>344</v>
      </c>
      <c r="B60" s="6" t="s">
        <v>289</v>
      </c>
      <c r="C60" s="6" t="s">
        <v>346</v>
      </c>
      <c r="D60" s="6" t="s">
        <v>895</v>
      </c>
      <c r="E60" s="6" t="s">
        <v>896</v>
      </c>
      <c r="F60" s="6" t="s">
        <v>784</v>
      </c>
      <c r="G60" s="16" t="s">
        <v>220</v>
      </c>
    </row>
    <row r="61" customFormat="false" ht="15" hidden="false" customHeight="true" outlineLevel="0" collapsed="false">
      <c r="A61" s="6" t="s">
        <v>347</v>
      </c>
      <c r="B61" s="6" t="s">
        <v>289</v>
      </c>
      <c r="C61" s="6" t="s">
        <v>348</v>
      </c>
      <c r="D61" s="6" t="s">
        <v>897</v>
      </c>
      <c r="E61" s="6" t="s">
        <v>898</v>
      </c>
      <c r="F61" s="6" t="s">
        <v>784</v>
      </c>
      <c r="G61" s="16" t="s">
        <v>220</v>
      </c>
    </row>
    <row r="62" customFormat="false" ht="23.25" hidden="false" customHeight="true" outlineLevel="0" collapsed="false">
      <c r="A62" s="6" t="s">
        <v>349</v>
      </c>
      <c r="B62" s="6" t="s">
        <v>289</v>
      </c>
      <c r="C62" s="6" t="s">
        <v>350</v>
      </c>
      <c r="D62" s="6" t="s">
        <v>899</v>
      </c>
      <c r="E62" s="6" t="s">
        <v>900</v>
      </c>
      <c r="F62" s="6" t="s">
        <v>784</v>
      </c>
      <c r="G62" s="16" t="s">
        <v>220</v>
      </c>
    </row>
    <row r="63" customFormat="false" ht="23.25" hidden="false" customHeight="true" outlineLevel="0" collapsed="false">
      <c r="A63" s="6" t="s">
        <v>351</v>
      </c>
      <c r="B63" s="6" t="s">
        <v>353</v>
      </c>
      <c r="C63" s="6" t="s">
        <v>352</v>
      </c>
      <c r="D63" s="6" t="s">
        <v>901</v>
      </c>
      <c r="E63" s="6" t="s">
        <v>902</v>
      </c>
      <c r="F63" s="6" t="s">
        <v>784</v>
      </c>
      <c r="G63" s="16" t="s">
        <v>220</v>
      </c>
    </row>
    <row r="64" customFormat="false" ht="15" hidden="false" customHeight="true" outlineLevel="0" collapsed="false">
      <c r="A64" s="6" t="s">
        <v>354</v>
      </c>
      <c r="B64" s="6" t="s">
        <v>353</v>
      </c>
      <c r="C64" s="6" t="s">
        <v>355</v>
      </c>
      <c r="D64" s="6" t="s">
        <v>903</v>
      </c>
      <c r="E64" s="6" t="s">
        <v>904</v>
      </c>
      <c r="F64" s="6" t="s">
        <v>784</v>
      </c>
      <c r="G64" s="16" t="s">
        <v>220</v>
      </c>
    </row>
    <row r="65" customFormat="false" ht="15" hidden="false" customHeight="true" outlineLevel="0" collapsed="false">
      <c r="A65" s="6" t="s">
        <v>356</v>
      </c>
      <c r="B65" s="6" t="s">
        <v>353</v>
      </c>
      <c r="C65" s="6" t="s">
        <v>357</v>
      </c>
      <c r="D65" s="6" t="s">
        <v>905</v>
      </c>
      <c r="E65" s="6" t="s">
        <v>906</v>
      </c>
      <c r="F65" s="6" t="s">
        <v>784</v>
      </c>
      <c r="G65" s="16" t="s">
        <v>220</v>
      </c>
    </row>
    <row r="66" customFormat="false" ht="15" hidden="false" customHeight="true" outlineLevel="0" collapsed="false">
      <c r="A66" s="6" t="s">
        <v>358</v>
      </c>
      <c r="B66" s="6" t="s">
        <v>353</v>
      </c>
      <c r="C66" s="6" t="s">
        <v>359</v>
      </c>
      <c r="D66" s="6" t="s">
        <v>907</v>
      </c>
      <c r="E66" s="6" t="s">
        <v>908</v>
      </c>
      <c r="F66" s="6" t="s">
        <v>784</v>
      </c>
      <c r="G66" s="16" t="s">
        <v>220</v>
      </c>
    </row>
    <row r="67" customFormat="false" ht="23.25" hidden="false" customHeight="true" outlineLevel="0" collapsed="false">
      <c r="A67" s="6" t="s">
        <v>360</v>
      </c>
      <c r="B67" s="6" t="s">
        <v>353</v>
      </c>
      <c r="C67" s="6" t="s">
        <v>362</v>
      </c>
      <c r="D67" s="6" t="s">
        <v>909</v>
      </c>
      <c r="E67" s="6" t="s">
        <v>910</v>
      </c>
      <c r="F67" s="6" t="s">
        <v>784</v>
      </c>
      <c r="G67" s="16" t="s">
        <v>220</v>
      </c>
    </row>
    <row r="68" customFormat="false" ht="15" hidden="false" customHeight="true" outlineLevel="0" collapsed="false">
      <c r="A68" s="6" t="s">
        <v>363</v>
      </c>
      <c r="B68" s="6" t="s">
        <v>311</v>
      </c>
      <c r="C68" s="6" t="s">
        <v>364</v>
      </c>
      <c r="D68" s="6" t="s">
        <v>911</v>
      </c>
      <c r="E68" s="6" t="s">
        <v>912</v>
      </c>
      <c r="F68" s="6" t="s">
        <v>784</v>
      </c>
      <c r="G68" s="16" t="s">
        <v>220</v>
      </c>
    </row>
    <row r="69" customFormat="false" ht="15" hidden="false" customHeight="true" outlineLevel="0" collapsed="false">
      <c r="A69" s="6" t="s">
        <v>365</v>
      </c>
      <c r="B69" s="6" t="s">
        <v>311</v>
      </c>
      <c r="C69" s="6" t="s">
        <v>366</v>
      </c>
      <c r="D69" s="6" t="s">
        <v>913</v>
      </c>
      <c r="E69" s="6" t="s">
        <v>914</v>
      </c>
      <c r="F69" s="6" t="s">
        <v>784</v>
      </c>
      <c r="G69" s="16" t="s">
        <v>220</v>
      </c>
    </row>
    <row r="70" customFormat="false" ht="15" hidden="false" customHeight="true" outlineLevel="0" collapsed="false">
      <c r="A70" s="6" t="s">
        <v>367</v>
      </c>
      <c r="B70" s="6" t="s">
        <v>311</v>
      </c>
      <c r="C70" s="6" t="s">
        <v>368</v>
      </c>
      <c r="D70" s="6" t="s">
        <v>915</v>
      </c>
      <c r="E70" s="6" t="s">
        <v>916</v>
      </c>
      <c r="F70" s="6" t="s">
        <v>784</v>
      </c>
      <c r="G70" s="16" t="s">
        <v>220</v>
      </c>
    </row>
    <row r="71" customFormat="false" ht="23.25" hidden="false" customHeight="true" outlineLevel="0" collapsed="false">
      <c r="A71" s="6" t="s">
        <v>369</v>
      </c>
      <c r="B71" s="6" t="s">
        <v>371</v>
      </c>
      <c r="C71" s="6" t="s">
        <v>370</v>
      </c>
      <c r="D71" s="6" t="s">
        <v>917</v>
      </c>
      <c r="E71" s="6" t="s">
        <v>918</v>
      </c>
      <c r="F71" s="6" t="s">
        <v>919</v>
      </c>
      <c r="G71" s="17" t="s">
        <v>372</v>
      </c>
    </row>
    <row r="72" customFormat="false" ht="15" hidden="false" customHeight="true" outlineLevel="0" collapsed="false">
      <c r="A72" s="6" t="s">
        <v>373</v>
      </c>
      <c r="B72" s="6" t="s">
        <v>371</v>
      </c>
      <c r="C72" s="6" t="s">
        <v>374</v>
      </c>
      <c r="D72" s="6" t="s">
        <v>920</v>
      </c>
      <c r="E72" s="6" t="s">
        <v>921</v>
      </c>
      <c r="F72" s="6" t="s">
        <v>784</v>
      </c>
      <c r="G72" s="16" t="s">
        <v>220</v>
      </c>
    </row>
    <row r="73" customFormat="false" ht="15" hidden="false" customHeight="true" outlineLevel="0" collapsed="false">
      <c r="A73" s="6" t="s">
        <v>375</v>
      </c>
      <c r="B73" s="6" t="s">
        <v>311</v>
      </c>
      <c r="C73" s="6" t="s">
        <v>376</v>
      </c>
      <c r="D73" s="6" t="s">
        <v>922</v>
      </c>
      <c r="E73" s="6" t="s">
        <v>923</v>
      </c>
      <c r="F73" s="6" t="s">
        <v>784</v>
      </c>
      <c r="G73" s="16" t="s">
        <v>220</v>
      </c>
    </row>
    <row r="74" customFormat="false" ht="23.25" hidden="false" customHeight="true" outlineLevel="0" collapsed="false">
      <c r="A74" s="6" t="s">
        <v>377</v>
      </c>
      <c r="B74" s="6" t="s">
        <v>253</v>
      </c>
      <c r="C74" s="6" t="s">
        <v>379</v>
      </c>
      <c r="D74" s="6" t="s">
        <v>924</v>
      </c>
      <c r="E74" s="6" t="s">
        <v>925</v>
      </c>
      <c r="F74" s="6" t="s">
        <v>784</v>
      </c>
      <c r="G74" s="16" t="s">
        <v>220</v>
      </c>
    </row>
    <row r="75" customFormat="false" ht="15" hidden="false" customHeight="true" outlineLevel="0" collapsed="false">
      <c r="A75" s="6" t="s">
        <v>380</v>
      </c>
      <c r="B75" s="6" t="s">
        <v>253</v>
      </c>
      <c r="C75" s="6" t="s">
        <v>381</v>
      </c>
      <c r="D75" s="6" t="s">
        <v>926</v>
      </c>
      <c r="E75" s="6" t="s">
        <v>927</v>
      </c>
      <c r="F75" s="6" t="s">
        <v>784</v>
      </c>
      <c r="G75" s="16" t="s">
        <v>220</v>
      </c>
    </row>
    <row r="76" customFormat="false" ht="15" hidden="false" customHeight="true" outlineLevel="0" collapsed="false">
      <c r="A76" s="6" t="s">
        <v>382</v>
      </c>
      <c r="B76" s="6" t="s">
        <v>311</v>
      </c>
      <c r="C76" s="6" t="s">
        <v>383</v>
      </c>
      <c r="D76" s="6" t="s">
        <v>928</v>
      </c>
      <c r="E76" s="6" t="s">
        <v>929</v>
      </c>
      <c r="F76" s="6" t="s">
        <v>784</v>
      </c>
      <c r="G76" s="16" t="s">
        <v>220</v>
      </c>
    </row>
    <row r="77" customFormat="false" ht="15" hidden="false" customHeight="true" outlineLevel="0" collapsed="false">
      <c r="A77" s="6" t="s">
        <v>384</v>
      </c>
      <c r="B77" s="6" t="s">
        <v>311</v>
      </c>
      <c r="C77" s="6" t="s">
        <v>385</v>
      </c>
      <c r="D77" s="6" t="s">
        <v>930</v>
      </c>
      <c r="E77" s="6" t="s">
        <v>931</v>
      </c>
      <c r="F77" s="6" t="s">
        <v>784</v>
      </c>
      <c r="G77" s="16" t="s">
        <v>220</v>
      </c>
    </row>
    <row r="78" customFormat="false" ht="23.25" hidden="false" customHeight="true" outlineLevel="0" collapsed="false">
      <c r="A78" s="6" t="s">
        <v>386</v>
      </c>
      <c r="B78" s="6" t="s">
        <v>311</v>
      </c>
      <c r="C78" s="6" t="s">
        <v>387</v>
      </c>
      <c r="D78" s="6" t="s">
        <v>932</v>
      </c>
      <c r="E78" s="6" t="s">
        <v>933</v>
      </c>
      <c r="F78" s="6" t="s">
        <v>784</v>
      </c>
      <c r="G78" s="16" t="s">
        <v>220</v>
      </c>
    </row>
    <row r="79" customFormat="false" ht="15" hidden="false" customHeight="true" outlineLevel="0" collapsed="false">
      <c r="A79" s="6" t="s">
        <v>388</v>
      </c>
      <c r="B79" s="6" t="s">
        <v>311</v>
      </c>
      <c r="C79" s="6" t="s">
        <v>389</v>
      </c>
      <c r="D79" s="6" t="s">
        <v>934</v>
      </c>
      <c r="E79" s="6" t="s">
        <v>935</v>
      </c>
      <c r="F79" s="6" t="s">
        <v>784</v>
      </c>
      <c r="G79" s="16" t="s">
        <v>220</v>
      </c>
    </row>
    <row r="80" customFormat="false" ht="23.25" hidden="false" customHeight="true" outlineLevel="0" collapsed="false">
      <c r="A80" s="6" t="s">
        <v>390</v>
      </c>
      <c r="B80" s="6" t="s">
        <v>311</v>
      </c>
      <c r="C80" s="6" t="s">
        <v>391</v>
      </c>
      <c r="D80" s="6" t="s">
        <v>936</v>
      </c>
      <c r="E80" s="6" t="s">
        <v>937</v>
      </c>
      <c r="F80" s="6" t="s">
        <v>784</v>
      </c>
      <c r="G80" s="16" t="s">
        <v>220</v>
      </c>
    </row>
    <row r="81" customFormat="false" ht="15" hidden="false" customHeight="true" outlineLevel="0" collapsed="false">
      <c r="A81" s="6" t="s">
        <v>392</v>
      </c>
      <c r="B81" s="6" t="s">
        <v>267</v>
      </c>
      <c r="C81" s="6" t="s">
        <v>394</v>
      </c>
      <c r="D81" s="6" t="s">
        <v>938</v>
      </c>
      <c r="E81" s="6" t="s">
        <v>939</v>
      </c>
      <c r="F81" s="6" t="s">
        <v>784</v>
      </c>
      <c r="G81" s="16" t="s">
        <v>220</v>
      </c>
    </row>
    <row r="82" customFormat="false" ht="15" hidden="false" customHeight="true" outlineLevel="0" collapsed="false">
      <c r="A82" s="6" t="s">
        <v>395</v>
      </c>
      <c r="B82" s="6" t="s">
        <v>267</v>
      </c>
      <c r="C82" s="6" t="s">
        <v>396</v>
      </c>
      <c r="D82" s="6" t="s">
        <v>940</v>
      </c>
      <c r="E82" s="6" t="s">
        <v>941</v>
      </c>
      <c r="F82" s="6" t="s">
        <v>784</v>
      </c>
      <c r="G82" s="16" t="s">
        <v>220</v>
      </c>
    </row>
    <row r="83" customFormat="false" ht="15" hidden="false" customHeight="true" outlineLevel="0" collapsed="false">
      <c r="A83" s="6" t="s">
        <v>397</v>
      </c>
      <c r="B83" s="6" t="s">
        <v>399</v>
      </c>
      <c r="C83" s="6" t="s">
        <v>398</v>
      </c>
      <c r="D83" s="6" t="s">
        <v>942</v>
      </c>
      <c r="E83" s="6" t="s">
        <v>943</v>
      </c>
      <c r="F83" s="6" t="s">
        <v>784</v>
      </c>
      <c r="G83" s="16" t="s">
        <v>220</v>
      </c>
    </row>
    <row r="84" customFormat="false" ht="15" hidden="false" customHeight="true" outlineLevel="0" collapsed="false">
      <c r="A84" s="6" t="s">
        <v>400</v>
      </c>
      <c r="B84" s="6" t="s">
        <v>399</v>
      </c>
      <c r="C84" s="6" t="s">
        <v>401</v>
      </c>
      <c r="D84" s="6" t="s">
        <v>944</v>
      </c>
      <c r="E84" s="6" t="s">
        <v>945</v>
      </c>
      <c r="F84" s="6" t="s">
        <v>784</v>
      </c>
      <c r="G84" s="16" t="s">
        <v>220</v>
      </c>
    </row>
    <row r="85" customFormat="false" ht="23.25" hidden="false" customHeight="true" outlineLevel="0" collapsed="false">
      <c r="A85" s="6" t="s">
        <v>402</v>
      </c>
      <c r="B85" s="6" t="s">
        <v>404</v>
      </c>
      <c r="C85" s="6" t="s">
        <v>403</v>
      </c>
      <c r="D85" s="6" t="s">
        <v>946</v>
      </c>
      <c r="E85" s="6" t="s">
        <v>947</v>
      </c>
      <c r="F85" s="6" t="s">
        <v>784</v>
      </c>
      <c r="G85" s="16" t="s">
        <v>220</v>
      </c>
    </row>
    <row r="86" customFormat="false" ht="15" hidden="false" customHeight="true" outlineLevel="0" collapsed="false">
      <c r="A86" s="6" t="s">
        <v>405</v>
      </c>
      <c r="B86" s="6" t="s">
        <v>399</v>
      </c>
      <c r="C86" s="6" t="s">
        <v>406</v>
      </c>
      <c r="D86" s="6" t="s">
        <v>948</v>
      </c>
      <c r="E86" s="6" t="s">
        <v>949</v>
      </c>
      <c r="F86" s="6" t="s">
        <v>950</v>
      </c>
      <c r="G86" s="17" t="s">
        <v>372</v>
      </c>
    </row>
    <row r="87" customFormat="false" ht="15" hidden="false" customHeight="true" outlineLevel="0" collapsed="false">
      <c r="A87" s="6" t="s">
        <v>407</v>
      </c>
      <c r="B87" s="6" t="s">
        <v>399</v>
      </c>
      <c r="C87" s="6" t="s">
        <v>408</v>
      </c>
      <c r="D87" s="6" t="s">
        <v>951</v>
      </c>
      <c r="E87" s="6" t="s">
        <v>952</v>
      </c>
      <c r="F87" s="6" t="s">
        <v>784</v>
      </c>
      <c r="G87" s="16" t="s">
        <v>220</v>
      </c>
    </row>
    <row r="88" customFormat="false" ht="15" hidden="false" customHeight="true" outlineLevel="0" collapsed="false">
      <c r="A88" s="6" t="s">
        <v>409</v>
      </c>
      <c r="B88" s="6" t="s">
        <v>230</v>
      </c>
      <c r="C88" s="6" t="s">
        <v>411</v>
      </c>
      <c r="D88" s="6" t="s">
        <v>953</v>
      </c>
      <c r="E88" s="6" t="s">
        <v>954</v>
      </c>
      <c r="F88" s="6" t="s">
        <v>784</v>
      </c>
      <c r="G88" s="16" t="s">
        <v>220</v>
      </c>
    </row>
    <row r="89" customFormat="false" ht="15" hidden="false" customHeight="true" outlineLevel="0" collapsed="false">
      <c r="A89" s="6" t="s">
        <v>412</v>
      </c>
      <c r="B89" s="6" t="s">
        <v>253</v>
      </c>
      <c r="C89" s="6" t="s">
        <v>413</v>
      </c>
      <c r="D89" s="6" t="s">
        <v>955</v>
      </c>
      <c r="E89" s="6" t="s">
        <v>956</v>
      </c>
      <c r="F89" s="6" t="s">
        <v>784</v>
      </c>
      <c r="G89" s="16" t="s">
        <v>220</v>
      </c>
    </row>
    <row r="90" customFormat="false" ht="15" hidden="false" customHeight="true" outlineLevel="0" collapsed="false">
      <c r="A90" s="6" t="s">
        <v>414</v>
      </c>
      <c r="B90" s="6" t="s">
        <v>311</v>
      </c>
      <c r="C90" s="6" t="s">
        <v>415</v>
      </c>
      <c r="D90" s="6" t="s">
        <v>957</v>
      </c>
      <c r="E90" s="6" t="s">
        <v>958</v>
      </c>
      <c r="F90" s="6" t="s">
        <v>784</v>
      </c>
      <c r="G90" s="16" t="s">
        <v>220</v>
      </c>
    </row>
    <row r="91" customFormat="false" ht="15" hidden="false" customHeight="true" outlineLevel="0" collapsed="false">
      <c r="A91" s="6" t="s">
        <v>416</v>
      </c>
      <c r="B91" s="6" t="s">
        <v>311</v>
      </c>
      <c r="C91" s="6" t="s">
        <v>417</v>
      </c>
      <c r="D91" s="6" t="s">
        <v>959</v>
      </c>
      <c r="E91" s="6" t="s">
        <v>960</v>
      </c>
      <c r="F91" s="6" t="s">
        <v>784</v>
      </c>
      <c r="G91" s="16" t="s">
        <v>220</v>
      </c>
    </row>
    <row r="92" customFormat="false" ht="15" hidden="false" customHeight="true" outlineLevel="0" collapsed="false">
      <c r="A92" s="6" t="s">
        <v>418</v>
      </c>
      <c r="B92" s="6" t="s">
        <v>371</v>
      </c>
      <c r="C92" s="6" t="s">
        <v>419</v>
      </c>
      <c r="D92" s="6" t="s">
        <v>961</v>
      </c>
      <c r="E92" s="6" t="s">
        <v>962</v>
      </c>
      <c r="F92" s="6" t="s">
        <v>784</v>
      </c>
      <c r="G92" s="16" t="s">
        <v>220</v>
      </c>
    </row>
    <row r="93" customFormat="false" ht="15" hidden="false" customHeight="true" outlineLevel="0" collapsed="false">
      <c r="A93" s="6" t="s">
        <v>420</v>
      </c>
      <c r="B93" s="6" t="s">
        <v>371</v>
      </c>
      <c r="C93" s="6" t="s">
        <v>421</v>
      </c>
      <c r="D93" s="6" t="s">
        <v>963</v>
      </c>
      <c r="E93" s="6" t="s">
        <v>964</v>
      </c>
      <c r="F93" s="6" t="s">
        <v>784</v>
      </c>
      <c r="G93" s="16" t="s">
        <v>220</v>
      </c>
    </row>
    <row r="94" customFormat="false" ht="23.25" hidden="false" customHeight="true" outlineLevel="0" collapsed="false">
      <c r="A94" s="6" t="s">
        <v>422</v>
      </c>
      <c r="B94" s="6" t="s">
        <v>371</v>
      </c>
      <c r="C94" s="6" t="s">
        <v>423</v>
      </c>
      <c r="D94" s="6" t="s">
        <v>965</v>
      </c>
      <c r="E94" s="6" t="s">
        <v>966</v>
      </c>
      <c r="F94" s="6" t="s">
        <v>784</v>
      </c>
      <c r="G94" s="16" t="s">
        <v>220</v>
      </c>
    </row>
    <row r="95" customFormat="false" ht="15" hidden="false" customHeight="true" outlineLevel="0" collapsed="false">
      <c r="A95" s="6" t="s">
        <v>424</v>
      </c>
      <c r="B95" s="6" t="s">
        <v>311</v>
      </c>
      <c r="C95" s="6" t="s">
        <v>425</v>
      </c>
      <c r="D95" s="6" t="s">
        <v>967</v>
      </c>
      <c r="E95" s="6" t="s">
        <v>968</v>
      </c>
      <c r="F95" s="6" t="s">
        <v>784</v>
      </c>
      <c r="G95" s="16" t="s">
        <v>220</v>
      </c>
    </row>
    <row r="96" customFormat="false" ht="23.25" hidden="false" customHeight="true" outlineLevel="0" collapsed="false">
      <c r="A96" s="6" t="s">
        <v>426</v>
      </c>
      <c r="B96" s="6" t="s">
        <v>371</v>
      </c>
      <c r="C96" s="6" t="s">
        <v>428</v>
      </c>
      <c r="D96" s="6" t="s">
        <v>969</v>
      </c>
      <c r="E96" s="6" t="s">
        <v>970</v>
      </c>
      <c r="F96" s="6" t="s">
        <v>784</v>
      </c>
      <c r="G96" s="16" t="s">
        <v>220</v>
      </c>
    </row>
    <row r="97" customFormat="false" ht="23.25" hidden="false" customHeight="true" outlineLevel="0" collapsed="false">
      <c r="A97" s="6" t="s">
        <v>429</v>
      </c>
      <c r="B97" s="6" t="s">
        <v>371</v>
      </c>
      <c r="C97" s="6" t="s">
        <v>430</v>
      </c>
      <c r="D97" s="6" t="s">
        <v>971</v>
      </c>
      <c r="E97" s="6" t="s">
        <v>972</v>
      </c>
      <c r="F97" s="6" t="s">
        <v>784</v>
      </c>
      <c r="G97" s="16" t="s">
        <v>220</v>
      </c>
    </row>
    <row r="98" customFormat="false" ht="15" hidden="false" customHeight="true" outlineLevel="0" collapsed="false">
      <c r="A98" s="6" t="s">
        <v>431</v>
      </c>
      <c r="B98" s="6" t="s">
        <v>399</v>
      </c>
      <c r="C98" s="6" t="s">
        <v>432</v>
      </c>
      <c r="D98" s="6" t="s">
        <v>973</v>
      </c>
      <c r="E98" s="6" t="s">
        <v>974</v>
      </c>
      <c r="F98" s="6" t="s">
        <v>784</v>
      </c>
      <c r="G98" s="16" t="s">
        <v>220</v>
      </c>
    </row>
    <row r="99" customFormat="false" ht="15" hidden="false" customHeight="true" outlineLevel="0" collapsed="false">
      <c r="A99" s="6" t="s">
        <v>433</v>
      </c>
      <c r="B99" s="6" t="s">
        <v>399</v>
      </c>
      <c r="C99" s="6" t="s">
        <v>434</v>
      </c>
      <c r="D99" s="6" t="s">
        <v>975</v>
      </c>
      <c r="E99" s="6" t="s">
        <v>976</v>
      </c>
      <c r="F99" s="6" t="s">
        <v>784</v>
      </c>
      <c r="G99" s="16" t="s">
        <v>220</v>
      </c>
    </row>
    <row r="100" customFormat="false" ht="23.25" hidden="false" customHeight="true" outlineLevel="0" collapsed="false">
      <c r="A100" s="6" t="s">
        <v>435</v>
      </c>
      <c r="B100" s="6" t="s">
        <v>399</v>
      </c>
      <c r="C100" s="6" t="s">
        <v>436</v>
      </c>
      <c r="D100" s="6" t="s">
        <v>977</v>
      </c>
      <c r="E100" s="6" t="s">
        <v>978</v>
      </c>
      <c r="F100" s="6" t="s">
        <v>784</v>
      </c>
      <c r="G100" s="16" t="s">
        <v>220</v>
      </c>
    </row>
    <row r="101" customFormat="false" ht="15" hidden="false" customHeight="true" outlineLevel="0" collapsed="false">
      <c r="A101" s="6" t="s">
        <v>437</v>
      </c>
      <c r="B101" s="6" t="s">
        <v>404</v>
      </c>
      <c r="C101" s="6" t="s">
        <v>438</v>
      </c>
      <c r="D101" s="6" t="s">
        <v>979</v>
      </c>
      <c r="E101" s="6" t="s">
        <v>980</v>
      </c>
      <c r="F101" s="6" t="s">
        <v>784</v>
      </c>
      <c r="G101" s="16" t="s">
        <v>220</v>
      </c>
    </row>
    <row r="102" customFormat="false" ht="15" hidden="false" customHeight="true" outlineLevel="0" collapsed="false">
      <c r="A102" s="6" t="s">
        <v>439</v>
      </c>
      <c r="B102" s="6" t="s">
        <v>441</v>
      </c>
      <c r="C102" s="6" t="s">
        <v>440</v>
      </c>
      <c r="D102" s="6" t="s">
        <v>981</v>
      </c>
      <c r="E102" s="6" t="s">
        <v>982</v>
      </c>
      <c r="F102" s="6" t="s">
        <v>784</v>
      </c>
      <c r="G102" s="16" t="s">
        <v>220</v>
      </c>
    </row>
    <row r="103" customFormat="false" ht="15" hidden="false" customHeight="true" outlineLevel="0" collapsed="false">
      <c r="A103" s="6" t="s">
        <v>442</v>
      </c>
      <c r="B103" s="6" t="s">
        <v>404</v>
      </c>
      <c r="C103" s="6" t="s">
        <v>443</v>
      </c>
      <c r="D103" s="6" t="s">
        <v>983</v>
      </c>
      <c r="E103" s="6" t="s">
        <v>984</v>
      </c>
      <c r="F103" s="6" t="s">
        <v>784</v>
      </c>
      <c r="G103" s="16" t="s">
        <v>220</v>
      </c>
    </row>
    <row r="105" customFormat="false" ht="15" hidden="false" customHeight="true" outlineLevel="0" collapsed="false">
      <c r="A105" s="14" t="s">
        <v>985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19" min="2" style="1" width="11"/>
  </cols>
  <sheetData>
    <row r="1" customFormat="false" ht="17.25" hidden="false" customHeight="true" outlineLevel="0" collapsed="false">
      <c r="A1" s="2" t="s">
        <v>986</v>
      </c>
    </row>
    <row r="3" customFormat="false" ht="15" hidden="false" customHeight="true" outlineLevel="0" collapsed="false">
      <c r="A3" s="3" t="s">
        <v>987</v>
      </c>
      <c r="B3" s="3" t="s">
        <v>988</v>
      </c>
    </row>
    <row r="4" customFormat="false" ht="15" hidden="false" customHeight="true" outlineLevel="0" collapsed="false">
      <c r="A4" s="5" t="s">
        <v>989</v>
      </c>
      <c r="B4" s="5" t="n">
        <v>120</v>
      </c>
    </row>
    <row r="5" customFormat="false" ht="15" hidden="false" customHeight="true" outlineLevel="0" collapsed="false">
      <c r="A5" s="5" t="s">
        <v>990</v>
      </c>
      <c r="B5" s="5" t="n">
        <v>0.15</v>
      </c>
    </row>
    <row r="6" customFormat="false" ht="15" hidden="false" customHeight="true" outlineLevel="0" collapsed="false">
      <c r="A6" s="5" t="s">
        <v>991</v>
      </c>
      <c r="B6" s="5" t="n">
        <v>0.06</v>
      </c>
    </row>
    <row r="7" customFormat="false" ht="15" hidden="false" customHeight="true" outlineLevel="0" collapsed="false">
      <c r="A7" s="5" t="s">
        <v>992</v>
      </c>
      <c r="B7" s="5" t="n">
        <v>19</v>
      </c>
    </row>
    <row r="8" customFormat="false" ht="15" hidden="false" customHeight="true" outlineLevel="0" collapsed="false">
      <c r="A8" s="5" t="s">
        <v>993</v>
      </c>
      <c r="B8" s="5" t="n">
        <v>0.045</v>
      </c>
    </row>
    <row r="9" customFormat="false" ht="15" hidden="false" customHeight="true" outlineLevel="0" collapsed="false">
      <c r="A9" s="5" t="s">
        <v>994</v>
      </c>
      <c r="B9" s="5" t="n">
        <v>0</v>
      </c>
    </row>
    <row r="10" customFormat="false" ht="15" hidden="false" customHeight="true" outlineLevel="0" collapsed="false">
      <c r="A10" s="5" t="s">
        <v>995</v>
      </c>
      <c r="B10" s="5" t="n">
        <v>12000</v>
      </c>
    </row>
    <row r="11" customFormat="false" ht="15" hidden="false" customHeight="true" outlineLevel="0" collapsed="false">
      <c r="A11" s="5" t="s">
        <v>996</v>
      </c>
      <c r="B11" s="5" t="n">
        <v>0.03</v>
      </c>
    </row>
    <row r="12" customFormat="false" ht="15" hidden="false" customHeight="true" outlineLevel="0" collapsed="false">
      <c r="A12" s="7" t="s">
        <v>997</v>
      </c>
    </row>
    <row r="14" customFormat="false" ht="15" hidden="false" customHeight="true" outlineLevel="0" collapsed="false">
      <c r="A14" s="3" t="s">
        <v>998</v>
      </c>
      <c r="B14" s="3" t="s">
        <v>999</v>
      </c>
      <c r="C14" s="3" t="s">
        <v>1000</v>
      </c>
      <c r="D14" s="3" t="s">
        <v>1001</v>
      </c>
      <c r="E14" s="3" t="s">
        <v>1002</v>
      </c>
      <c r="F14" s="3" t="s">
        <v>1003</v>
      </c>
      <c r="G14" s="3" t="s">
        <v>1004</v>
      </c>
      <c r="H14" s="3" t="s">
        <v>1005</v>
      </c>
      <c r="I14" s="3" t="s">
        <v>1006</v>
      </c>
      <c r="J14" s="3" t="s">
        <v>1007</v>
      </c>
      <c r="K14" s="3" t="s">
        <v>1008</v>
      </c>
      <c r="L14" s="3" t="s">
        <v>1009</v>
      </c>
      <c r="M14" s="3" t="s">
        <v>1010</v>
      </c>
      <c r="N14" s="3" t="s">
        <v>1011</v>
      </c>
      <c r="O14" s="3" t="s">
        <v>1012</v>
      </c>
      <c r="P14" s="3" t="s">
        <v>1013</v>
      </c>
      <c r="Q14" s="3" t="s">
        <v>1014</v>
      </c>
      <c r="R14" s="3" t="s">
        <v>1015</v>
      </c>
      <c r="S14" s="3" t="s">
        <v>1016</v>
      </c>
    </row>
    <row r="15" customFormat="false" ht="15" hidden="false" customHeight="true" outlineLevel="0" collapsed="false">
      <c r="A15" s="12" t="s">
        <v>1017</v>
      </c>
      <c r="B15" s="7" t="n">
        <f aca="false">$B$4</f>
        <v>120</v>
      </c>
      <c r="C15" s="7" t="n">
        <f aca="false">B15*(1+$B$5)</f>
        <v>138</v>
      </c>
      <c r="D15" s="7" t="n">
        <f aca="false">C15*(1+$B$5)</f>
        <v>158.7</v>
      </c>
      <c r="E15" s="7" t="n">
        <f aca="false">D15*(1+$B$5)</f>
        <v>182.505</v>
      </c>
      <c r="F15" s="7" t="n">
        <f aca="false">E15*(1+$B$5)</f>
        <v>209.88075</v>
      </c>
      <c r="G15" s="7" t="n">
        <f aca="false">F15*(1+$B$5)</f>
        <v>241.3628625</v>
      </c>
      <c r="H15" s="7" t="n">
        <f aca="false">G15*(1+$B$5)</f>
        <v>277.567291875</v>
      </c>
      <c r="I15" s="7" t="n">
        <f aca="false">H15*(1+$B$5)</f>
        <v>319.20238565625</v>
      </c>
      <c r="J15" s="7" t="n">
        <f aca="false">I15*(1+$B$5)</f>
        <v>367.082743504687</v>
      </c>
      <c r="K15" s="7" t="n">
        <f aca="false">J15*(1+$B$5)</f>
        <v>422.14515503039</v>
      </c>
      <c r="L15" s="7" t="n">
        <f aca="false">K15*(1+$B$5)</f>
        <v>485.466928284949</v>
      </c>
      <c r="M15" s="7" t="n">
        <f aca="false">L15*(1+$B$5)</f>
        <v>558.286967527691</v>
      </c>
      <c r="N15" s="7" t="n">
        <f aca="false">M15*(1+$B$5)</f>
        <v>642.030012656845</v>
      </c>
      <c r="O15" s="7" t="n">
        <f aca="false">N15*(1+$B$5)</f>
        <v>738.334514555372</v>
      </c>
      <c r="P15" s="7" t="n">
        <f aca="false">O15*(1+$B$5)</f>
        <v>849.084691738677</v>
      </c>
      <c r="Q15" s="7" t="n">
        <f aca="false">P15*(1+$B$5)</f>
        <v>976.447395499479</v>
      </c>
      <c r="R15" s="7" t="n">
        <f aca="false">Q15*(1+$B$5)</f>
        <v>1122.9145048244</v>
      </c>
      <c r="S15" s="7" t="n">
        <f aca="false">R15*(1+$B$5)</f>
        <v>1291.35168054806</v>
      </c>
    </row>
    <row r="16" customFormat="false" ht="15" hidden="false" customHeight="true" outlineLevel="0" collapsed="false">
      <c r="A16" s="12" t="s">
        <v>1018</v>
      </c>
      <c r="B16" s="7" t="n">
        <f aca="false">ROUND(B15*$B$6,1)</f>
        <v>7.2</v>
      </c>
      <c r="C16" s="7" t="n">
        <f aca="false">ROUND(C15*$B$6,1)</f>
        <v>8.3</v>
      </c>
      <c r="D16" s="7" t="n">
        <f aca="false">ROUND(D15*$B$6,1)</f>
        <v>9.5</v>
      </c>
      <c r="E16" s="7" t="n">
        <f aca="false">ROUND(E15*$B$6,1)</f>
        <v>11</v>
      </c>
      <c r="F16" s="7" t="n">
        <f aca="false">ROUND(F15*$B$6,1)</f>
        <v>12.6</v>
      </c>
      <c r="G16" s="7" t="n">
        <f aca="false">ROUND(G15*$B$6,1)</f>
        <v>14.5</v>
      </c>
      <c r="H16" s="7" t="n">
        <f aca="false">ROUND(H15*$B$6,1)</f>
        <v>16.7</v>
      </c>
      <c r="I16" s="7" t="n">
        <f aca="false">ROUND(I15*$B$6,1)</f>
        <v>19.2</v>
      </c>
      <c r="J16" s="7" t="n">
        <f aca="false">ROUND(J15*$B$6,1)</f>
        <v>22</v>
      </c>
      <c r="K16" s="7" t="n">
        <f aca="false">ROUND(K15*$B$6,1)</f>
        <v>25.3</v>
      </c>
      <c r="L16" s="7" t="n">
        <f aca="false">ROUND(L15*$B$6,1)</f>
        <v>29.1</v>
      </c>
      <c r="M16" s="7" t="n">
        <f aca="false">ROUND(M15*$B$6,1)</f>
        <v>33.5</v>
      </c>
      <c r="N16" s="7" t="n">
        <f aca="false">ROUND(N15*$B$6,1)</f>
        <v>38.5</v>
      </c>
      <c r="O16" s="7" t="n">
        <f aca="false">ROUND(O15*$B$6,1)</f>
        <v>44.3</v>
      </c>
      <c r="P16" s="7" t="n">
        <f aca="false">ROUND(P15*$B$6,1)</f>
        <v>50.9</v>
      </c>
      <c r="Q16" s="7" t="n">
        <f aca="false">ROUND(Q15*$B$6,1)</f>
        <v>58.6</v>
      </c>
      <c r="R16" s="7" t="n">
        <f aca="false">ROUND(R15*$B$6,1)</f>
        <v>67.4</v>
      </c>
      <c r="S16" s="7" t="n">
        <f aca="false">ROUND(S15*$B$6,1)</f>
        <v>77.5</v>
      </c>
    </row>
    <row r="17" customFormat="false" ht="15" hidden="false" customHeight="true" outlineLevel="0" collapsed="false">
      <c r="A17" s="12" t="s">
        <v>1019</v>
      </c>
      <c r="B17" s="7" t="n">
        <f aca="false">B16</f>
        <v>7.2</v>
      </c>
      <c r="C17" s="7" t="n">
        <f aca="false">ROUND(B17*(1-$B$8)+C16,1)</f>
        <v>15.2</v>
      </c>
      <c r="D17" s="7" t="n">
        <f aca="false">ROUND(C17*(1-$B$8)+D16,1)</f>
        <v>24</v>
      </c>
      <c r="E17" s="7" t="n">
        <f aca="false">ROUND(D17*(1-$B$8)+E16,1)</f>
        <v>33.9</v>
      </c>
      <c r="F17" s="7" t="n">
        <f aca="false">ROUND(E17*(1-$B$8)+F16,1)</f>
        <v>45</v>
      </c>
      <c r="G17" s="7" t="n">
        <f aca="false">ROUND(F17*(1-$B$8)+G16,1)</f>
        <v>57.5</v>
      </c>
      <c r="H17" s="7" t="n">
        <f aca="false">ROUND(G17*(1-$B$8)+H16,1)</f>
        <v>71.6</v>
      </c>
      <c r="I17" s="7" t="n">
        <f aca="false">ROUND(H17*(1-$B$8)+I16,1)</f>
        <v>87.6</v>
      </c>
      <c r="J17" s="7" t="n">
        <f aca="false">ROUND(I17*(1-$B$8)+J16,1)</f>
        <v>105.7</v>
      </c>
      <c r="K17" s="7" t="n">
        <f aca="false">ROUND(J17*(1-$B$8)+K16,1)</f>
        <v>126.2</v>
      </c>
      <c r="L17" s="7" t="n">
        <f aca="false">ROUND(K17*(1-$B$8)+L16,1)</f>
        <v>149.6</v>
      </c>
      <c r="M17" s="7" t="n">
        <f aca="false">ROUND(L17*(1-$B$8)+M16,1)</f>
        <v>176.4</v>
      </c>
      <c r="N17" s="7" t="n">
        <f aca="false">ROUND(M17*(1-$B$8)+N16,1)</f>
        <v>207</v>
      </c>
      <c r="O17" s="7" t="n">
        <f aca="false">ROUND(N17*(1-$B$8)+O16,1)</f>
        <v>242</v>
      </c>
      <c r="P17" s="7" t="n">
        <f aca="false">ROUND(O17*(1-$B$8)+P16,1)</f>
        <v>282</v>
      </c>
      <c r="Q17" s="7" t="n">
        <f aca="false">ROUND(P17*(1-$B$8)+Q16,1)</f>
        <v>327.9</v>
      </c>
      <c r="R17" s="7" t="n">
        <f aca="false">ROUND(Q17*(1-$B$8)+R16,1)</f>
        <v>380.5</v>
      </c>
      <c r="S17" s="7" t="n">
        <f aca="false">ROUND(R17*(1-$B$8)+S16,1)</f>
        <v>440.9</v>
      </c>
    </row>
    <row r="18" customFormat="false" ht="15" hidden="false" customHeight="true" outlineLevel="0" collapsed="false">
      <c r="A18" s="12" t="s">
        <v>1020</v>
      </c>
      <c r="B18" s="7" t="n">
        <f aca="false">ROUND(B17*$B$7*(1-$B$9),0)</f>
        <v>137</v>
      </c>
      <c r="C18" s="7" t="n">
        <f aca="false">ROUND(C17*$B$7*(1-$B$9),0)</f>
        <v>289</v>
      </c>
      <c r="D18" s="7" t="n">
        <f aca="false">ROUND(D17*$B$7*(1-$B$9),0)</f>
        <v>456</v>
      </c>
      <c r="E18" s="7" t="n">
        <f aca="false">ROUND(E17*$B$7*(1-$B$9),0)</f>
        <v>644</v>
      </c>
      <c r="F18" s="7" t="n">
        <f aca="false">ROUND(F17*$B$7*(1-$B$9),0)</f>
        <v>855</v>
      </c>
      <c r="G18" s="7" t="n">
        <f aca="false">ROUND(G17*$B$7*(1-$B$9),0)</f>
        <v>1093</v>
      </c>
      <c r="H18" s="7" t="n">
        <f aca="false">ROUND(H17*$B$7*(1-$B$9),0)</f>
        <v>1360</v>
      </c>
      <c r="I18" s="7" t="n">
        <f aca="false">ROUND(I17*$B$7*(1-$B$9),0)</f>
        <v>1664</v>
      </c>
      <c r="J18" s="7" t="n">
        <f aca="false">ROUND(J17*$B$7*(1-$B$9),0)</f>
        <v>2008</v>
      </c>
      <c r="K18" s="7" t="n">
        <f aca="false">ROUND(K17*$B$7*(1-$B$9),0)</f>
        <v>2398</v>
      </c>
      <c r="L18" s="7" t="n">
        <f aca="false">ROUND(L17*$B$7*(1-$B$9),0)</f>
        <v>2842</v>
      </c>
      <c r="M18" s="7" t="n">
        <f aca="false">ROUND(M17*$B$7*(1-$B$9),0)</f>
        <v>3352</v>
      </c>
      <c r="N18" s="7" t="n">
        <f aca="false">ROUND(N17*$B$7*(1-$B$9),0)</f>
        <v>3933</v>
      </c>
      <c r="O18" s="7" t="n">
        <f aca="false">ROUND(O17*$B$7*(1-$B$9),0)</f>
        <v>4598</v>
      </c>
      <c r="P18" s="7" t="n">
        <f aca="false">ROUND(P17*$B$7*(1-$B$9),0)</f>
        <v>5358</v>
      </c>
      <c r="Q18" s="7" t="n">
        <f aca="false">ROUND(Q17*$B$7*(1-$B$9),0)</f>
        <v>6230</v>
      </c>
      <c r="R18" s="7" t="n">
        <f aca="false">ROUND(R17*$B$7*(1-$B$9),0)</f>
        <v>7230</v>
      </c>
      <c r="S18" s="7" t="n">
        <f aca="false">ROUND(S17*$B$7*(1-$B$9),0)</f>
        <v>8377</v>
      </c>
    </row>
    <row r="19" customFormat="false" ht="15" hidden="false" customHeight="true" outlineLevel="0" collapsed="false">
      <c r="A19" s="12" t="s">
        <v>1021</v>
      </c>
      <c r="B19" s="7" t="n">
        <f aca="false">$B$10</f>
        <v>12000</v>
      </c>
      <c r="C19" s="7" t="n">
        <f aca="false">ROUND(B19*(1+$B$11),0)</f>
        <v>12360</v>
      </c>
      <c r="D19" s="7" t="n">
        <f aca="false">ROUND(C19*(1+$B$11),0)</f>
        <v>12731</v>
      </c>
      <c r="E19" s="7" t="n">
        <f aca="false">ROUND(D19*(1+$B$11),0)</f>
        <v>13113</v>
      </c>
      <c r="F19" s="7" t="n">
        <f aca="false">ROUND(E19*(1+$B$11),0)</f>
        <v>13506</v>
      </c>
      <c r="G19" s="7" t="n">
        <f aca="false">ROUND(F19*(1+$B$11),0)</f>
        <v>13911</v>
      </c>
      <c r="H19" s="7" t="n">
        <f aca="false">ROUND(G19*(1+$B$11),0)</f>
        <v>14328</v>
      </c>
      <c r="I19" s="7" t="n">
        <f aca="false">ROUND(H19*(1+$B$11),0)</f>
        <v>14758</v>
      </c>
      <c r="J19" s="7" t="n">
        <f aca="false">ROUND(I19*(1+$B$11),0)</f>
        <v>15201</v>
      </c>
      <c r="K19" s="7" t="n">
        <f aca="false">ROUND(J19*(1+$B$11),0)</f>
        <v>15657</v>
      </c>
      <c r="L19" s="7" t="n">
        <f aca="false">ROUND(K19*(1+$B$11),0)</f>
        <v>16127</v>
      </c>
      <c r="M19" s="7" t="n">
        <f aca="false">ROUND(L19*(1+$B$11),0)</f>
        <v>16611</v>
      </c>
      <c r="N19" s="7" t="n">
        <f aca="false">ROUND(M19*(1+$B$11),0)</f>
        <v>17109</v>
      </c>
      <c r="O19" s="7" t="n">
        <f aca="false">ROUND(N19*(1+$B$11),0)</f>
        <v>17622</v>
      </c>
      <c r="P19" s="7" t="n">
        <f aca="false">ROUND(O19*(1+$B$11),0)</f>
        <v>18151</v>
      </c>
      <c r="Q19" s="7" t="n">
        <f aca="false">ROUND(P19*(1+$B$11),0)</f>
        <v>18696</v>
      </c>
      <c r="R19" s="7" t="n">
        <f aca="false">ROUND(Q19*(1+$B$11),0)</f>
        <v>19257</v>
      </c>
      <c r="S19" s="7" t="n">
        <f aca="false">ROUND(R19*(1+$B$11),0)</f>
        <v>19835</v>
      </c>
    </row>
    <row r="20" customFormat="false" ht="15" hidden="false" customHeight="true" outlineLevel="0" collapsed="false">
      <c r="A20" s="12" t="s">
        <v>1022</v>
      </c>
      <c r="B20" s="7" t="n">
        <f aca="false">B18-B19</f>
        <v>-11863</v>
      </c>
      <c r="C20" s="7" t="n">
        <f aca="false">C18-C19</f>
        <v>-12071</v>
      </c>
      <c r="D20" s="7" t="n">
        <f aca="false">D18-D19</f>
        <v>-12275</v>
      </c>
      <c r="E20" s="7" t="n">
        <f aca="false">E18-E19</f>
        <v>-12469</v>
      </c>
      <c r="F20" s="7" t="n">
        <f aca="false">F18-F19</f>
        <v>-12651</v>
      </c>
      <c r="G20" s="7" t="n">
        <f aca="false">G18-G19</f>
        <v>-12818</v>
      </c>
      <c r="H20" s="7" t="n">
        <f aca="false">H18-H19</f>
        <v>-12968</v>
      </c>
      <c r="I20" s="7" t="n">
        <f aca="false">I18-I19</f>
        <v>-13094</v>
      </c>
      <c r="J20" s="7" t="n">
        <f aca="false">J18-J19</f>
        <v>-13193</v>
      </c>
      <c r="K20" s="7" t="n">
        <f aca="false">K18-K19</f>
        <v>-13259</v>
      </c>
      <c r="L20" s="7" t="n">
        <f aca="false">L18-L19</f>
        <v>-13285</v>
      </c>
      <c r="M20" s="7" t="n">
        <f aca="false">M18-M19</f>
        <v>-13259</v>
      </c>
      <c r="N20" s="7" t="n">
        <f aca="false">N18-N19</f>
        <v>-13176</v>
      </c>
      <c r="O20" s="7" t="n">
        <f aca="false">O18-O19</f>
        <v>-13024</v>
      </c>
      <c r="P20" s="7" t="n">
        <f aca="false">P18-P19</f>
        <v>-12793</v>
      </c>
      <c r="Q20" s="7" t="n">
        <f aca="false">Q18-Q19</f>
        <v>-12466</v>
      </c>
      <c r="R20" s="7" t="n">
        <f aca="false">R18-R19</f>
        <v>-12027</v>
      </c>
      <c r="S20" s="7" t="n">
        <f aca="false">S18-S19</f>
        <v>-11458</v>
      </c>
    </row>
    <row r="21" customFormat="false" ht="15" hidden="false" customHeight="true" outlineLevel="0" collapsed="false">
      <c r="A21" s="12" t="s">
        <v>1023</v>
      </c>
      <c r="B21" s="7" t="n">
        <f aca="false">B20</f>
        <v>-11863</v>
      </c>
      <c r="C21" s="7" t="n">
        <f aca="false">B21+C20</f>
        <v>-23934</v>
      </c>
      <c r="D21" s="7" t="n">
        <f aca="false">C21+D20</f>
        <v>-36209</v>
      </c>
      <c r="E21" s="7" t="n">
        <f aca="false">D21+E20</f>
        <v>-48678</v>
      </c>
      <c r="F21" s="7" t="n">
        <f aca="false">E21+F20</f>
        <v>-61329</v>
      </c>
      <c r="G21" s="7" t="n">
        <f aca="false">F21+G20</f>
        <v>-74147</v>
      </c>
      <c r="H21" s="7" t="n">
        <f aca="false">G21+H20</f>
        <v>-87115</v>
      </c>
      <c r="I21" s="7" t="n">
        <f aca="false">H21+I20</f>
        <v>-100209</v>
      </c>
      <c r="J21" s="7" t="n">
        <f aca="false">I21+J20</f>
        <v>-113402</v>
      </c>
      <c r="K21" s="7" t="n">
        <f aca="false">J21+K20</f>
        <v>-126661</v>
      </c>
      <c r="L21" s="7" t="n">
        <f aca="false">K21+L20</f>
        <v>-139946</v>
      </c>
      <c r="M21" s="7" t="n">
        <f aca="false">L21+M20</f>
        <v>-153205</v>
      </c>
      <c r="N21" s="7" t="n">
        <f aca="false">M21+N20</f>
        <v>-166381</v>
      </c>
      <c r="O21" s="7" t="n">
        <f aca="false">N21+O20</f>
        <v>-179405</v>
      </c>
      <c r="P21" s="7" t="n">
        <f aca="false">O21+P20</f>
        <v>-192198</v>
      </c>
      <c r="Q21" s="7" t="n">
        <f aca="false">P21+Q20</f>
        <v>-204664</v>
      </c>
      <c r="R21" s="7" t="n">
        <f aca="false">Q21+R20</f>
        <v>-216691</v>
      </c>
      <c r="S21" s="7" t="n">
        <f aca="false">R21+S20</f>
        <v>-228149</v>
      </c>
    </row>
    <row r="23" customFormat="false" ht="42" hidden="false" customHeight="true" outlineLevel="0" collapsed="false">
      <c r="A23" s="11" t="s">
        <v>1024</v>
      </c>
      <c r="B23" s="11"/>
      <c r="C23" s="11"/>
      <c r="D23" s="11"/>
      <c r="E23" s="11"/>
      <c r="F23" s="11"/>
      <c r="G23" s="11"/>
      <c r="H23" s="11"/>
      <c r="I23" s="11"/>
      <c r="J23" s="11"/>
      <c r="K23" s="11"/>
      <c r="L23" s="11"/>
      <c r="M23" s="11"/>
      <c r="N23" s="11"/>
      <c r="O23" s="11"/>
      <c r="P23" s="11"/>
      <c r="Q23" s="11"/>
      <c r="R23" s="11"/>
      <c r="S23" s="11"/>
    </row>
  </sheetData>
  <mergeCells count="1">
    <mergeCell ref="A23:S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72"/>
    <col collapsed="false" customWidth="true" hidden="false" outlineLevel="0" max="3" min="3" style="1" width="16"/>
    <col collapsed="false" customWidth="true" hidden="false" outlineLevel="0" max="4" min="4" style="1" width="12"/>
  </cols>
  <sheetData>
    <row r="1" customFormat="false" ht="17.25" hidden="false" customHeight="true" outlineLevel="0" collapsed="false">
      <c r="A1" s="2" t="s">
        <v>1025</v>
      </c>
    </row>
    <row r="3" customFormat="false" ht="15" hidden="false" customHeight="true" outlineLevel="0" collapsed="false">
      <c r="A3" s="3" t="s">
        <v>1026</v>
      </c>
      <c r="B3" s="3" t="s">
        <v>1027</v>
      </c>
      <c r="C3" s="3" t="s">
        <v>1028</v>
      </c>
      <c r="D3" s="3" t="s">
        <v>1029</v>
      </c>
    </row>
    <row r="4" customFormat="false" ht="25.5" hidden="false" customHeight="true" outlineLevel="0" collapsed="false">
      <c r="A4" s="4" t="s">
        <v>1030</v>
      </c>
      <c r="B4" s="4" t="s">
        <v>1031</v>
      </c>
      <c r="C4" s="4" t="s">
        <v>1032</v>
      </c>
      <c r="D4" s="4" t="s">
        <v>353</v>
      </c>
    </row>
    <row r="5" customFormat="false" ht="25.5" hidden="false" customHeight="true" outlineLevel="0" collapsed="false">
      <c r="A5" s="4" t="s">
        <v>1030</v>
      </c>
      <c r="B5" s="4" t="s">
        <v>1033</v>
      </c>
      <c r="C5" s="4" t="s">
        <v>1034</v>
      </c>
      <c r="D5" s="4" t="s">
        <v>311</v>
      </c>
    </row>
    <row r="6" customFormat="false" ht="25.5" hidden="false" customHeight="true" outlineLevel="0" collapsed="false">
      <c r="A6" s="4" t="s">
        <v>1030</v>
      </c>
      <c r="B6" s="4" t="s">
        <v>1035</v>
      </c>
      <c r="C6" s="4" t="s">
        <v>1032</v>
      </c>
      <c r="D6" s="4" t="s">
        <v>311</v>
      </c>
    </row>
    <row r="7" customFormat="false" ht="25.5" hidden="false" customHeight="true" outlineLevel="0" collapsed="false">
      <c r="A7" s="4" t="s">
        <v>1030</v>
      </c>
      <c r="B7" s="4" t="s">
        <v>1036</v>
      </c>
      <c r="C7" s="4" t="s">
        <v>1034</v>
      </c>
      <c r="D7" s="4" t="s">
        <v>371</v>
      </c>
    </row>
    <row r="8" customFormat="false" ht="25.5" hidden="false" customHeight="true" outlineLevel="0" collapsed="false">
      <c r="A8" s="4" t="s">
        <v>1030</v>
      </c>
      <c r="B8" s="4" t="s">
        <v>1037</v>
      </c>
      <c r="C8" s="4" t="s">
        <v>1038</v>
      </c>
      <c r="D8" s="4" t="s">
        <v>371</v>
      </c>
    </row>
    <row r="9" customFormat="false" ht="25.5" hidden="false" customHeight="true" outlineLevel="0" collapsed="false">
      <c r="A9" s="4" t="s">
        <v>472</v>
      </c>
      <c r="B9" s="4" t="s">
        <v>1039</v>
      </c>
      <c r="C9" s="4" t="s">
        <v>1034</v>
      </c>
      <c r="D9" s="4" t="s">
        <v>404</v>
      </c>
    </row>
    <row r="10" customFormat="false" ht="25.5" hidden="false" customHeight="true" outlineLevel="0" collapsed="false">
      <c r="A10" s="4" t="s">
        <v>472</v>
      </c>
      <c r="B10" s="4" t="s">
        <v>1040</v>
      </c>
      <c r="C10" s="4" t="s">
        <v>1032</v>
      </c>
      <c r="D10" s="4" t="s">
        <v>404</v>
      </c>
    </row>
    <row r="11" customFormat="false" ht="25.5" hidden="false" customHeight="true" outlineLevel="0" collapsed="false">
      <c r="A11" s="4" t="s">
        <v>472</v>
      </c>
      <c r="B11" s="4" t="s">
        <v>1041</v>
      </c>
      <c r="C11" s="4" t="s">
        <v>1032</v>
      </c>
      <c r="D11" s="4" t="s">
        <v>404</v>
      </c>
    </row>
    <row r="12" customFormat="false" ht="25.5" hidden="false" customHeight="true" outlineLevel="0" collapsed="false">
      <c r="A12" s="4" t="s">
        <v>472</v>
      </c>
      <c r="B12" s="4" t="s">
        <v>1042</v>
      </c>
      <c r="C12" s="4" t="s">
        <v>1043</v>
      </c>
      <c r="D12" s="4" t="s">
        <v>404</v>
      </c>
    </row>
    <row r="13" customFormat="false" ht="25.5" hidden="false" customHeight="true" outlineLevel="0" collapsed="false">
      <c r="A13" s="4" t="s">
        <v>1044</v>
      </c>
      <c r="B13" s="4" t="s">
        <v>1045</v>
      </c>
      <c r="C13" s="4" t="s">
        <v>1034</v>
      </c>
      <c r="D13" s="4" t="s">
        <v>441</v>
      </c>
    </row>
    <row r="14" customFormat="false" ht="25.5" hidden="false" customHeight="true" outlineLevel="0" collapsed="false">
      <c r="A14" s="4" t="s">
        <v>1044</v>
      </c>
      <c r="B14" s="4" t="s">
        <v>1046</v>
      </c>
      <c r="C14" s="4" t="s">
        <v>1034</v>
      </c>
      <c r="D14" s="4" t="s">
        <v>441</v>
      </c>
    </row>
    <row r="15" customFormat="false" ht="25.5" hidden="false" customHeight="true" outlineLevel="0" collapsed="false">
      <c r="A15" s="4" t="s">
        <v>1044</v>
      </c>
      <c r="B15" s="4" t="s">
        <v>1047</v>
      </c>
      <c r="C15" s="4" t="s">
        <v>1032</v>
      </c>
      <c r="D15" s="4" t="s">
        <v>1048</v>
      </c>
    </row>
    <row r="16" customFormat="false" ht="25.5" hidden="false" customHeight="true" outlineLevel="0" collapsed="false">
      <c r="A16" s="4" t="s">
        <v>1044</v>
      </c>
      <c r="B16" s="4" t="s">
        <v>1049</v>
      </c>
      <c r="C16" s="4" t="s">
        <v>1034</v>
      </c>
      <c r="D16" s="4" t="s">
        <v>1048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6"/>
    <col collapsed="false" customWidth="true" hidden="false" outlineLevel="0" max="3" min="3" style="1" width="12"/>
  </cols>
  <sheetData>
    <row r="1" customFormat="false" ht="17.25" hidden="false" customHeight="true" outlineLevel="0" collapsed="false">
      <c r="A1" s="2" t="s">
        <v>1050</v>
      </c>
    </row>
    <row r="3" customFormat="false" ht="15" hidden="false" customHeight="true" outlineLevel="0" collapsed="false">
      <c r="A3" s="3" t="s">
        <v>176</v>
      </c>
      <c r="B3" s="3" t="s">
        <v>1051</v>
      </c>
      <c r="C3" s="3" t="s">
        <v>5</v>
      </c>
    </row>
    <row r="4" customFormat="false" ht="25.5" hidden="false" customHeight="true" outlineLevel="0" collapsed="false">
      <c r="A4" s="4" t="n">
        <v>1</v>
      </c>
      <c r="B4" s="4" t="s">
        <v>1052</v>
      </c>
      <c r="C4" s="4" t="s">
        <v>1053</v>
      </c>
    </row>
    <row r="5" customFormat="false" ht="25.5" hidden="false" customHeight="true" outlineLevel="0" collapsed="false">
      <c r="A5" s="4" t="n">
        <v>2</v>
      </c>
      <c r="B5" s="4" t="s">
        <v>1054</v>
      </c>
      <c r="C5" s="4" t="s">
        <v>1053</v>
      </c>
    </row>
    <row r="6" customFormat="false" ht="25.5" hidden="false" customHeight="true" outlineLevel="0" collapsed="false">
      <c r="A6" s="4" t="n">
        <v>3</v>
      </c>
      <c r="B6" s="4" t="s">
        <v>1055</v>
      </c>
      <c r="C6" s="4" t="s">
        <v>1053</v>
      </c>
    </row>
    <row r="7" customFormat="false" ht="25.5" hidden="false" customHeight="true" outlineLevel="0" collapsed="false">
      <c r="A7" s="4" t="n">
        <v>4</v>
      </c>
      <c r="B7" s="4" t="s">
        <v>1056</v>
      </c>
      <c r="C7" s="4" t="s">
        <v>1053</v>
      </c>
    </row>
    <row r="8" customFormat="false" ht="25.5" hidden="false" customHeight="true" outlineLevel="0" collapsed="false">
      <c r="A8" s="4" t="n">
        <v>5</v>
      </c>
      <c r="B8" s="4" t="s">
        <v>1057</v>
      </c>
      <c r="C8" s="4" t="s">
        <v>1053</v>
      </c>
    </row>
    <row r="9" customFormat="false" ht="25.5" hidden="false" customHeight="true" outlineLevel="0" collapsed="false">
      <c r="A9" s="4" t="n">
        <v>6</v>
      </c>
      <c r="B9" s="4" t="s">
        <v>1058</v>
      </c>
      <c r="C9" s="4" t="s">
        <v>1053</v>
      </c>
    </row>
    <row r="10" customFormat="false" ht="25.5" hidden="false" customHeight="true" outlineLevel="0" collapsed="false">
      <c r="A10" s="4" t="n">
        <v>7</v>
      </c>
      <c r="B10" s="4" t="s">
        <v>1059</v>
      </c>
      <c r="C10" s="4" t="s">
        <v>1053</v>
      </c>
    </row>
    <row r="11" customFormat="false" ht="25.5" hidden="false" customHeight="true" outlineLevel="0" collapsed="false">
      <c r="A11" s="4" t="n">
        <v>8</v>
      </c>
      <c r="B11" s="4" t="s">
        <v>1060</v>
      </c>
      <c r="C11" s="4" t="s">
        <v>1053</v>
      </c>
    </row>
    <row r="12" customFormat="false" ht="25.5" hidden="false" customHeight="true" outlineLevel="0" collapsed="false">
      <c r="A12" s="4" t="n">
        <v>9</v>
      </c>
      <c r="B12" s="4" t="s">
        <v>1061</v>
      </c>
      <c r="C12" s="9" t="s">
        <v>220</v>
      </c>
    </row>
    <row r="13" customFormat="false" ht="25.5" hidden="false" customHeight="true" outlineLevel="0" collapsed="false">
      <c r="A13" s="4" t="n">
        <v>10</v>
      </c>
      <c r="B13" s="4" t="s">
        <v>1062</v>
      </c>
      <c r="C13" s="4" t="s">
        <v>1053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0"/>
    <col collapsed="false" customWidth="true" hidden="false" outlineLevel="0" max="6" min="6" style="1" width="44"/>
  </cols>
  <sheetData>
    <row r="1" customFormat="false" ht="17.25" hidden="false" customHeight="true" outlineLevel="0" collapsed="false">
      <c r="A1" s="2" t="s">
        <v>1063</v>
      </c>
    </row>
    <row r="3" customFormat="false" ht="15" hidden="false" customHeight="true" outlineLevel="0" collapsed="false">
      <c r="A3" s="3" t="s">
        <v>1064</v>
      </c>
      <c r="B3" s="3" t="s">
        <v>999</v>
      </c>
      <c r="C3" s="3" t="s">
        <v>1001</v>
      </c>
      <c r="D3" s="3" t="s">
        <v>1004</v>
      </c>
      <c r="E3" s="3" t="s">
        <v>1010</v>
      </c>
      <c r="F3" s="3" t="s">
        <v>1065</v>
      </c>
    </row>
    <row r="4" customFormat="false" ht="25.5" hidden="false" customHeight="true" outlineLevel="0" collapsed="false">
      <c r="A4" s="5" t="s">
        <v>1066</v>
      </c>
      <c r="B4" s="5" t="s">
        <v>1067</v>
      </c>
      <c r="C4" s="5" t="s">
        <v>1068</v>
      </c>
      <c r="D4" s="5" t="s">
        <v>1069</v>
      </c>
      <c r="E4" s="5" t="s">
        <v>1070</v>
      </c>
      <c r="F4" s="5" t="s">
        <v>1071</v>
      </c>
    </row>
    <row r="5" customFormat="false" ht="25.5" hidden="false" customHeight="true" outlineLevel="0" collapsed="false">
      <c r="A5" s="5" t="s">
        <v>1072</v>
      </c>
      <c r="B5" s="5" t="s">
        <v>1073</v>
      </c>
      <c r="C5" s="5" t="s">
        <v>1074</v>
      </c>
      <c r="D5" s="5" t="s">
        <v>1075</v>
      </c>
      <c r="E5" s="5" t="s">
        <v>1076</v>
      </c>
      <c r="F5" s="5" t="s">
        <v>1077</v>
      </c>
    </row>
    <row r="6" customFormat="false" ht="25.5" hidden="false" customHeight="true" outlineLevel="0" collapsed="false">
      <c r="A6" s="5" t="s">
        <v>1078</v>
      </c>
      <c r="B6" s="5" t="s">
        <v>1079</v>
      </c>
      <c r="C6" s="5" t="s">
        <v>1080</v>
      </c>
      <c r="D6" s="5" t="s">
        <v>1081</v>
      </c>
      <c r="E6" s="5" t="s">
        <v>1082</v>
      </c>
      <c r="F6" s="5" t="s">
        <v>1083</v>
      </c>
    </row>
    <row r="7" customFormat="false" ht="25.5" hidden="false" customHeight="true" outlineLevel="0" collapsed="false">
      <c r="A7" s="5" t="s">
        <v>1084</v>
      </c>
      <c r="B7" s="5" t="s">
        <v>1085</v>
      </c>
      <c r="C7" s="5" t="s">
        <v>1086</v>
      </c>
      <c r="D7" s="5" t="s">
        <v>1087</v>
      </c>
      <c r="E7" s="5" t="s">
        <v>1087</v>
      </c>
      <c r="F7" s="5" t="s">
        <v>1088</v>
      </c>
    </row>
    <row r="8" customFormat="false" ht="25.5" hidden="false" customHeight="true" outlineLevel="0" collapsed="false">
      <c r="A8" s="5" t="s">
        <v>1089</v>
      </c>
      <c r="B8" s="5" t="s">
        <v>1090</v>
      </c>
      <c r="C8" s="5" t="s">
        <v>1091</v>
      </c>
      <c r="D8" s="5" t="s">
        <v>1092</v>
      </c>
      <c r="E8" s="5" t="s">
        <v>1093</v>
      </c>
      <c r="F8" s="5" t="s">
        <v>1094</v>
      </c>
    </row>
    <row r="9" customFormat="false" ht="25.5" hidden="false" customHeight="true" outlineLevel="0" collapsed="false">
      <c r="A9" s="5" t="s">
        <v>1095</v>
      </c>
      <c r="B9" s="5" t="s">
        <v>1096</v>
      </c>
      <c r="C9" s="5" t="s">
        <v>1097</v>
      </c>
      <c r="D9" s="5" t="s">
        <v>1098</v>
      </c>
      <c r="E9" s="5" t="s">
        <v>1098</v>
      </c>
      <c r="F9" s="5" t="s">
        <v>1099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0"/>
    <col collapsed="false" customWidth="true" hidden="false" outlineLevel="0" max="3" min="3" style="1" width="12"/>
    <col collapsed="false" customWidth="true" hidden="false" outlineLevel="0" max="4" min="4" style="1" width="50"/>
  </cols>
  <sheetData>
    <row r="1" customFormat="false" ht="17.25" hidden="false" customHeight="true" outlineLevel="0" collapsed="false">
      <c r="A1" s="2" t="s">
        <v>1100</v>
      </c>
    </row>
    <row r="3" customFormat="false" ht="15" hidden="false" customHeight="true" outlineLevel="0" collapsed="false">
      <c r="A3" s="3" t="s">
        <v>1101</v>
      </c>
      <c r="B3" s="3" t="s">
        <v>1102</v>
      </c>
      <c r="C3" s="3" t="s">
        <v>1103</v>
      </c>
      <c r="D3" s="3" t="s">
        <v>1104</v>
      </c>
    </row>
    <row r="4" customFormat="false" ht="30" hidden="false" customHeight="true" outlineLevel="0" collapsed="false">
      <c r="A4" s="4" t="s">
        <v>1105</v>
      </c>
      <c r="B4" s="4" t="s">
        <v>1106</v>
      </c>
      <c r="C4" s="4" t="s">
        <v>1107</v>
      </c>
      <c r="D4" s="4" t="s">
        <v>1108</v>
      </c>
    </row>
    <row r="5" customFormat="false" ht="30" hidden="false" customHeight="true" outlineLevel="0" collapsed="false">
      <c r="A5" s="4" t="s">
        <v>1109</v>
      </c>
      <c r="B5" s="4" t="s">
        <v>1107</v>
      </c>
      <c r="C5" s="4" t="s">
        <v>1106</v>
      </c>
      <c r="D5" s="4" t="s">
        <v>1110</v>
      </c>
    </row>
    <row r="6" customFormat="false" ht="30" hidden="false" customHeight="true" outlineLevel="0" collapsed="false">
      <c r="A6" s="4" t="s">
        <v>1111</v>
      </c>
      <c r="B6" s="4" t="s">
        <v>1107</v>
      </c>
      <c r="C6" s="4" t="s">
        <v>1106</v>
      </c>
      <c r="D6" s="4" t="s">
        <v>1112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1"/>
    <col collapsed="false" customWidth="true" hidden="false" outlineLevel="0" max="3" min="3" style="1" width="20"/>
    <col collapsed="false" customWidth="true" hidden="false" outlineLevel="0" max="4" min="4" style="1" width="34"/>
    <col collapsed="false" customWidth="true" hidden="false" outlineLevel="0" max="5" min="5" style="1" width="78"/>
    <col collapsed="false" customWidth="true" hidden="false" outlineLevel="0" max="6" min="6" style="1" width="62"/>
  </cols>
  <sheetData>
    <row r="1" customFormat="false" ht="17.25" hidden="false" customHeight="true" outlineLevel="0" collapsed="false">
      <c r="A1" s="2" t="s">
        <v>1113</v>
      </c>
    </row>
    <row r="2" customFormat="false" ht="345" hidden="false" customHeight="true" outlineLevel="0" collapsed="false">
      <c r="A2" s="18" t="s">
        <v>1114</v>
      </c>
    </row>
    <row r="4" customFormat="false" ht="15" hidden="false" customHeight="true" outlineLevel="0" collapsed="false">
      <c r="A4" s="13" t="s">
        <v>209</v>
      </c>
      <c r="B4" s="13" t="s">
        <v>1115</v>
      </c>
      <c r="C4" s="13" t="s">
        <v>5</v>
      </c>
      <c r="D4" s="13" t="s">
        <v>1116</v>
      </c>
      <c r="E4" s="13" t="s">
        <v>1117</v>
      </c>
      <c r="F4" s="13" t="s">
        <v>1118</v>
      </c>
    </row>
    <row r="5" customFormat="false" ht="45.75" hidden="false" customHeight="true" outlineLevel="0" collapsed="false">
      <c r="A5" s="6" t="s">
        <v>1119</v>
      </c>
      <c r="B5" s="19" t="s">
        <v>1120</v>
      </c>
      <c r="C5" s="16" t="s">
        <v>1121</v>
      </c>
      <c r="D5" s="6" t="s">
        <v>1122</v>
      </c>
      <c r="E5" s="6" t="s">
        <v>1123</v>
      </c>
      <c r="F5" s="6" t="s">
        <v>1124</v>
      </c>
    </row>
    <row r="6" customFormat="false" ht="34.5" hidden="false" customHeight="true" outlineLevel="0" collapsed="false">
      <c r="A6" s="6" t="s">
        <v>1125</v>
      </c>
      <c r="B6" s="19" t="s">
        <v>1120</v>
      </c>
      <c r="C6" s="16" t="s">
        <v>1121</v>
      </c>
      <c r="D6" s="6" t="s">
        <v>1126</v>
      </c>
      <c r="E6" s="6" t="s">
        <v>1127</v>
      </c>
      <c r="F6" s="6" t="s">
        <v>1128</v>
      </c>
    </row>
    <row r="7" customFormat="false" ht="34.5" hidden="false" customHeight="true" outlineLevel="0" collapsed="false">
      <c r="A7" s="6" t="s">
        <v>1129</v>
      </c>
      <c r="B7" s="19" t="s">
        <v>1120</v>
      </c>
      <c r="C7" s="16" t="s">
        <v>1121</v>
      </c>
      <c r="D7" s="6" t="s">
        <v>1130</v>
      </c>
      <c r="E7" s="6" t="s">
        <v>1131</v>
      </c>
      <c r="F7" s="6" t="s">
        <v>1132</v>
      </c>
    </row>
    <row r="8" customFormat="false" ht="34.5" hidden="false" customHeight="true" outlineLevel="0" collapsed="false">
      <c r="A8" s="6" t="s">
        <v>1133</v>
      </c>
      <c r="B8" s="19" t="s">
        <v>1120</v>
      </c>
      <c r="C8" s="16" t="s">
        <v>1121</v>
      </c>
      <c r="D8" s="6" t="s">
        <v>1134</v>
      </c>
      <c r="E8" s="6" t="s">
        <v>1135</v>
      </c>
      <c r="F8" s="6" t="s">
        <v>1136</v>
      </c>
    </row>
    <row r="9" customFormat="false" ht="34.5" hidden="false" customHeight="true" outlineLevel="0" collapsed="false">
      <c r="A9" s="6" t="s">
        <v>1137</v>
      </c>
      <c r="B9" s="19" t="s">
        <v>1120</v>
      </c>
      <c r="C9" s="16" t="s">
        <v>1121</v>
      </c>
      <c r="D9" s="6" t="s">
        <v>1138</v>
      </c>
      <c r="E9" s="6" t="s">
        <v>1139</v>
      </c>
      <c r="F9" s="6" t="s">
        <v>1140</v>
      </c>
    </row>
    <row r="10" customFormat="false" ht="34.5" hidden="false" customHeight="true" outlineLevel="0" collapsed="false">
      <c r="A10" s="6" t="s">
        <v>1141</v>
      </c>
      <c r="B10" s="6" t="s">
        <v>1142</v>
      </c>
      <c r="C10" s="16" t="s">
        <v>1121</v>
      </c>
      <c r="D10" s="6" t="s">
        <v>1143</v>
      </c>
      <c r="E10" s="6" t="s">
        <v>1144</v>
      </c>
      <c r="F10" s="6" t="s">
        <v>1145</v>
      </c>
    </row>
    <row r="11" customFormat="false" ht="34.5" hidden="false" customHeight="true" outlineLevel="0" collapsed="false">
      <c r="A11" s="6" t="s">
        <v>1146</v>
      </c>
      <c r="B11" s="6" t="s">
        <v>1142</v>
      </c>
      <c r="C11" s="16" t="s">
        <v>1121</v>
      </c>
      <c r="D11" s="6" t="s">
        <v>1147</v>
      </c>
      <c r="E11" s="6" t="s">
        <v>1148</v>
      </c>
      <c r="F11" s="6" t="s">
        <v>1149</v>
      </c>
    </row>
    <row r="12" customFormat="false" ht="34.5" hidden="false" customHeight="true" outlineLevel="0" collapsed="false">
      <c r="A12" s="6" t="s">
        <v>1150</v>
      </c>
      <c r="B12" s="6" t="s">
        <v>1151</v>
      </c>
      <c r="C12" s="16" t="s">
        <v>1121</v>
      </c>
      <c r="D12" s="6" t="s">
        <v>1152</v>
      </c>
      <c r="E12" s="6" t="s">
        <v>1153</v>
      </c>
      <c r="F12" s="6" t="s">
        <v>1154</v>
      </c>
    </row>
    <row r="13" customFormat="false" ht="34.5" hidden="false" customHeight="true" outlineLevel="0" collapsed="false">
      <c r="A13" s="6" t="s">
        <v>1155</v>
      </c>
      <c r="B13" s="6" t="s">
        <v>1151</v>
      </c>
      <c r="C13" s="16" t="s">
        <v>1121</v>
      </c>
      <c r="D13" s="6" t="s">
        <v>1156</v>
      </c>
      <c r="E13" s="6" t="s">
        <v>1157</v>
      </c>
      <c r="F13" s="6" t="s">
        <v>1158</v>
      </c>
    </row>
    <row r="14" customFormat="false" ht="15" hidden="false" customHeight="true" outlineLevel="0" collapsed="false">
      <c r="A14" s="20" t="s">
        <v>1159</v>
      </c>
    </row>
    <row r="15" customFormat="false" ht="23.25" hidden="false" customHeight="true" outlineLevel="0" collapsed="false">
      <c r="A15" s="6" t="s">
        <v>1160</v>
      </c>
      <c r="B15" s="6" t="s">
        <v>1142</v>
      </c>
      <c r="C15" s="16" t="s">
        <v>1121</v>
      </c>
      <c r="D15" s="6" t="s">
        <v>1161</v>
      </c>
      <c r="E15" s="6" t="s">
        <v>1162</v>
      </c>
      <c r="F15" s="6" t="s">
        <v>1163</v>
      </c>
    </row>
    <row r="16" customFormat="false" ht="23.25" hidden="false" customHeight="true" outlineLevel="0" collapsed="false">
      <c r="A16" s="6" t="s">
        <v>1164</v>
      </c>
      <c r="B16" s="6" t="s">
        <v>1151</v>
      </c>
      <c r="C16" s="16" t="s">
        <v>1121</v>
      </c>
      <c r="D16" s="6" t="s">
        <v>1165</v>
      </c>
      <c r="E16" s="6" t="s">
        <v>1166</v>
      </c>
      <c r="F16" s="6" t="s">
        <v>1167</v>
      </c>
    </row>
    <row r="17" customFormat="false" ht="34.5" hidden="false" customHeight="true" outlineLevel="0" collapsed="false">
      <c r="A17" s="6" t="s">
        <v>1168</v>
      </c>
      <c r="B17" s="6" t="s">
        <v>1151</v>
      </c>
      <c r="C17" s="16" t="s">
        <v>1121</v>
      </c>
      <c r="D17" s="6" t="s">
        <v>1169</v>
      </c>
      <c r="E17" s="6" t="s">
        <v>1170</v>
      </c>
      <c r="F17" s="6" t="s">
        <v>1171</v>
      </c>
    </row>
    <row r="18" customFormat="false" ht="23.25" hidden="false" customHeight="true" outlineLevel="0" collapsed="false">
      <c r="A18" s="6" t="s">
        <v>1172</v>
      </c>
      <c r="B18" s="6" t="s">
        <v>1173</v>
      </c>
      <c r="C18" s="16" t="s">
        <v>1121</v>
      </c>
      <c r="D18" s="6" t="s">
        <v>1174</v>
      </c>
      <c r="E18" s="6" t="s">
        <v>1175</v>
      </c>
      <c r="F18" s="6" t="s">
        <v>1176</v>
      </c>
    </row>
    <row r="19" customFormat="false" ht="15" hidden="false" customHeight="true" outlineLevel="0" collapsed="false">
      <c r="A19" s="20" t="s">
        <v>1177</v>
      </c>
    </row>
    <row r="20" customFormat="false" ht="79.5" hidden="false" customHeight="true" outlineLevel="0" collapsed="false">
      <c r="A20" s="6" t="s">
        <v>1178</v>
      </c>
      <c r="B20" s="19" t="s">
        <v>1179</v>
      </c>
      <c r="C20" s="16" t="s">
        <v>1121</v>
      </c>
      <c r="D20" s="6" t="s">
        <v>1180</v>
      </c>
      <c r="E20" s="6" t="s">
        <v>1181</v>
      </c>
      <c r="F20" s="6" t="s">
        <v>1182</v>
      </c>
    </row>
    <row r="21" customFormat="false" ht="90.75" hidden="false" customHeight="true" outlineLevel="0" collapsed="false">
      <c r="A21" s="6" t="s">
        <v>1183</v>
      </c>
      <c r="B21" s="19" t="s">
        <v>1179</v>
      </c>
      <c r="C21" s="16" t="s">
        <v>1121</v>
      </c>
      <c r="D21" s="6" t="s">
        <v>1184</v>
      </c>
      <c r="E21" s="6" t="s">
        <v>1185</v>
      </c>
      <c r="F21" s="6" t="s">
        <v>1186</v>
      </c>
    </row>
    <row r="22" customFormat="false" ht="102" hidden="false" customHeight="true" outlineLevel="0" collapsed="false">
      <c r="A22" s="6" t="s">
        <v>1187</v>
      </c>
      <c r="B22" s="19" t="s">
        <v>1179</v>
      </c>
      <c r="C22" s="17" t="s">
        <v>1188</v>
      </c>
      <c r="D22" s="6" t="s">
        <v>1189</v>
      </c>
      <c r="E22" s="6" t="s">
        <v>1190</v>
      </c>
      <c r="F22" s="6" t="s">
        <v>1191</v>
      </c>
    </row>
    <row r="23" customFormat="false" ht="113.25" hidden="false" customHeight="true" outlineLevel="0" collapsed="false">
      <c r="A23" s="6" t="s">
        <v>1192</v>
      </c>
      <c r="B23" s="19" t="s">
        <v>1142</v>
      </c>
      <c r="C23" s="16" t="s">
        <v>1121</v>
      </c>
      <c r="D23" s="6" t="s">
        <v>1193</v>
      </c>
      <c r="E23" s="6" t="s">
        <v>1194</v>
      </c>
      <c r="F23" s="6" t="s">
        <v>1195</v>
      </c>
    </row>
    <row r="24" customFormat="false" ht="113.25" hidden="false" customHeight="true" outlineLevel="0" collapsed="false">
      <c r="A24" s="6" t="s">
        <v>1196</v>
      </c>
      <c r="B24" s="21" t="s">
        <v>1197</v>
      </c>
      <c r="C24" s="16" t="s">
        <v>1121</v>
      </c>
      <c r="D24" s="6" t="s">
        <v>1198</v>
      </c>
      <c r="E24" s="6" t="s">
        <v>1199</v>
      </c>
      <c r="F24" s="6" t="s">
        <v>1200</v>
      </c>
    </row>
    <row r="25" customFormat="false" ht="135.75" hidden="false" customHeight="true" outlineLevel="0" collapsed="false">
      <c r="A25" s="6" t="s">
        <v>1201</v>
      </c>
      <c r="B25" s="19" t="s">
        <v>1142</v>
      </c>
      <c r="C25" s="16" t="s">
        <v>1121</v>
      </c>
      <c r="D25" s="6" t="s">
        <v>1202</v>
      </c>
      <c r="E25" s="6" t="s">
        <v>1203</v>
      </c>
      <c r="F25" s="6" t="s">
        <v>1204</v>
      </c>
    </row>
    <row r="26" customFormat="false" ht="79.5" hidden="false" customHeight="true" outlineLevel="0" collapsed="false">
      <c r="A26" s="6" t="s">
        <v>1205</v>
      </c>
      <c r="B26" s="19" t="s">
        <v>1142</v>
      </c>
      <c r="C26" s="16" t="s">
        <v>1121</v>
      </c>
      <c r="D26" s="6" t="s">
        <v>1206</v>
      </c>
      <c r="E26" s="6" t="s">
        <v>1207</v>
      </c>
      <c r="F26" s="6" t="s">
        <v>1208</v>
      </c>
    </row>
    <row r="27" customFormat="false" ht="15" hidden="false" customHeight="true" outlineLevel="0" collapsed="false">
      <c r="A27" s="20" t="s">
        <v>1209</v>
      </c>
    </row>
    <row r="28" customFormat="false" ht="79.5" hidden="false" customHeight="true" outlineLevel="0" collapsed="false">
      <c r="A28" s="6" t="s">
        <v>1210</v>
      </c>
      <c r="B28" s="19" t="s">
        <v>1120</v>
      </c>
      <c r="C28" s="16" t="s">
        <v>1121</v>
      </c>
      <c r="D28" s="6" t="s">
        <v>1211</v>
      </c>
      <c r="E28" s="6" t="s">
        <v>1212</v>
      </c>
      <c r="F28" s="6" t="s">
        <v>1213</v>
      </c>
    </row>
    <row r="29" customFormat="false" ht="34.5" hidden="false" customHeight="true" outlineLevel="0" collapsed="false">
      <c r="A29" s="6" t="s">
        <v>1214</v>
      </c>
      <c r="B29" s="19" t="s">
        <v>1142</v>
      </c>
      <c r="C29" s="16" t="s">
        <v>1121</v>
      </c>
      <c r="D29" s="6" t="s">
        <v>1215</v>
      </c>
      <c r="E29" s="6" t="s">
        <v>1216</v>
      </c>
      <c r="F29" s="6" t="s">
        <v>1217</v>
      </c>
    </row>
    <row r="30" customFormat="false" ht="34.5" hidden="false" customHeight="true" outlineLevel="0" collapsed="false">
      <c r="A30" s="6" t="s">
        <v>1218</v>
      </c>
      <c r="B30" s="19" t="s">
        <v>1142</v>
      </c>
      <c r="C30" s="16" t="s">
        <v>1121</v>
      </c>
      <c r="D30" s="6" t="s">
        <v>1219</v>
      </c>
      <c r="E30" s="6" t="s">
        <v>1220</v>
      </c>
      <c r="F30" s="6" t="s">
        <v>1221</v>
      </c>
    </row>
    <row r="31" customFormat="false" ht="45.75" hidden="false" customHeight="true" outlineLevel="0" collapsed="false">
      <c r="A31" s="6" t="s">
        <v>1222</v>
      </c>
      <c r="B31" s="6" t="s">
        <v>1151</v>
      </c>
      <c r="C31" s="17" t="s">
        <v>1053</v>
      </c>
      <c r="D31" s="6" t="s">
        <v>1223</v>
      </c>
      <c r="E31" s="6" t="s">
        <v>1224</v>
      </c>
      <c r="F31" s="6" t="s">
        <v>1225</v>
      </c>
    </row>
    <row r="32" customFormat="false" ht="34.5" hidden="false" customHeight="true" outlineLevel="0" collapsed="false">
      <c r="A32" s="6" t="s">
        <v>1226</v>
      </c>
      <c r="B32" s="6" t="s">
        <v>1151</v>
      </c>
      <c r="C32" s="17" t="s">
        <v>1053</v>
      </c>
      <c r="D32" s="6" t="s">
        <v>1227</v>
      </c>
      <c r="E32" s="6" t="s">
        <v>1228</v>
      </c>
      <c r="F32" s="6" t="s">
        <v>1229</v>
      </c>
    </row>
    <row r="33" customFormat="false" ht="102" hidden="false" customHeight="true" outlineLevel="0" collapsed="false">
      <c r="A33" s="6" t="s">
        <v>1230</v>
      </c>
      <c r="B33" s="19" t="s">
        <v>1142</v>
      </c>
      <c r="C33" s="16" t="s">
        <v>1121</v>
      </c>
      <c r="D33" s="6" t="s">
        <v>1231</v>
      </c>
      <c r="E33" s="6" t="s">
        <v>1232</v>
      </c>
      <c r="F33" s="6" t="s">
        <v>1233</v>
      </c>
    </row>
    <row r="34" customFormat="false" ht="102" hidden="false" customHeight="true" outlineLevel="0" collapsed="false">
      <c r="A34" s="6" t="s">
        <v>1234</v>
      </c>
      <c r="B34" s="19" t="s">
        <v>1151</v>
      </c>
      <c r="C34" s="16" t="s">
        <v>1121</v>
      </c>
      <c r="D34" s="6" t="s">
        <v>1235</v>
      </c>
      <c r="E34" s="6" t="s">
        <v>1236</v>
      </c>
      <c r="F34" s="6" t="s">
        <v>1237</v>
      </c>
    </row>
    <row r="35" customFormat="false" ht="135.75" hidden="false" customHeight="true" outlineLevel="0" collapsed="false">
      <c r="A35" s="6" t="s">
        <v>1238</v>
      </c>
      <c r="B35" s="6" t="s">
        <v>1239</v>
      </c>
      <c r="C35" s="16" t="s">
        <v>1240</v>
      </c>
      <c r="D35" s="6" t="s">
        <v>1241</v>
      </c>
      <c r="E35" s="6" t="s">
        <v>1242</v>
      </c>
      <c r="F35" s="6" t="s">
        <v>1243</v>
      </c>
    </row>
    <row r="36" customFormat="false" ht="113.25" hidden="false" customHeight="true" outlineLevel="0" collapsed="false">
      <c r="A36" s="6" t="s">
        <v>1244</v>
      </c>
      <c r="B36" s="19" t="s">
        <v>1142</v>
      </c>
      <c r="C36" s="16" t="s">
        <v>1121</v>
      </c>
      <c r="D36" s="6" t="s">
        <v>1245</v>
      </c>
      <c r="E36" s="6" t="s">
        <v>1246</v>
      </c>
      <c r="F36" s="6" t="s">
        <v>1247</v>
      </c>
    </row>
    <row r="37" customFormat="false" ht="113.25" hidden="false" customHeight="true" outlineLevel="0" collapsed="false">
      <c r="A37" s="6" t="s">
        <v>1248</v>
      </c>
      <c r="B37" s="6" t="s">
        <v>1151</v>
      </c>
      <c r="C37" s="17" t="s">
        <v>1249</v>
      </c>
      <c r="D37" s="6" t="s">
        <v>1250</v>
      </c>
      <c r="E37" s="6" t="s">
        <v>1251</v>
      </c>
      <c r="F37" s="6" t="s">
        <v>1252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2026-09-05T18:52:31Z</dcterms:created>
  <dc:creator>openpyxl</dc:creator>
  <dc:description/>
  <dc:language>en-US</dc:language>
  <cp:lastModifiedBy/>
  <dcterms:modified xsi:type="dcterms:W3CDTF">2026-09-13T19:35:55Z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