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3.xml" ContentType="application/vnd.openxmlformats-officedocument.spreadsheetml.worksheet+xml"/>
  <Override PartName="/xl/worksheets/sheet32.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Review_CF_Findings" sheetId="4" state="visible" r:id="rId6"/>
    <sheet name="Review_PX_Findings" sheetId="5" state="visible" r:id="rId7"/>
    <sheet name="Remediation_Roadmap" sheetId="6" state="visible" r:id="rId8"/>
    <sheet name="V036_Build_Board" sheetId="7" state="visible" r:id="rId9"/>
    <sheet name="V037_Build_Board" sheetId="8" state="visible" r:id="rId10"/>
    <sheet name="V008_Build_Board" sheetId="9" state="visible" r:id="rId11"/>
    <sheet name="V009_Build_Board" sheetId="10" state="visible" r:id="rId12"/>
    <sheet name="V010_Build_Board" sheetId="11" state="visible" r:id="rId13"/>
    <sheet name="V011_Build_Board" sheetId="12" state="visible" r:id="rId14"/>
    <sheet name="V012_Build_Board" sheetId="13" state="visible" r:id="rId15"/>
    <sheet name="V013_Build_Board" sheetId="14" state="visible" r:id="rId16"/>
    <sheet name="V014_Build_Board" sheetId="15" state="visible" r:id="rId17"/>
    <sheet name="V015_Build_Board" sheetId="16" state="visible" r:id="rId18"/>
    <sheet name="V016_Build_Board" sheetId="17" state="visible" r:id="rId19"/>
    <sheet name="V017_Build_Board" sheetId="18" state="visible" r:id="rId20"/>
    <sheet name="V018_Build_Board" sheetId="19" state="visible" r:id="rId21"/>
    <sheet name="V019_Build_Board" sheetId="20" state="visible" r:id="rId22"/>
    <sheet name="V020_Build_Board" sheetId="21" state="visible" r:id="rId23"/>
    <sheet name="V021_Build_Board" sheetId="22" state="visible" r:id="rId24"/>
    <sheet name="V022_Build_Board" sheetId="23" state="visible" r:id="rId25"/>
    <sheet name="V023_Build_Board" sheetId="24" state="visible" r:id="rId26"/>
    <sheet name="V024_Build_Board" sheetId="25" state="visible" r:id="rId27"/>
    <sheet name="V025_Build_Board" sheetId="26" state="visible" r:id="rId28"/>
    <sheet name="V026_Build_Board" sheetId="27" state="visible" r:id="rId29"/>
    <sheet name="V027_Build_Board" sheetId="28" state="visible" r:id="rId30"/>
    <sheet name="V028_Build_Board" sheetId="29" state="visible" r:id="rId31"/>
    <sheet name="V029_Build_Board" sheetId="30" state="visible" r:id="rId32"/>
    <sheet name="V030_Build_Board" sheetId="31" state="visible" r:id="rId33"/>
    <sheet name="V031_Build_Board" sheetId="32" state="visible" r:id="rId34"/>
    <sheet name="V032_Build_Board" sheetId="33" state="visible" r:id="rId35"/>
    <sheet name="V033_Build_Board" sheetId="34" state="visible" r:id="rId36"/>
    <sheet name="V034_Build_Board" sheetId="35" state="visible" r:id="rId37"/>
    <sheet name="V035_Build_Board" sheetId="36" state="visible" r:id="rId38"/>
    <sheet name="Submission_Readiness" sheetId="37" state="visible" r:id="rId39"/>
    <sheet name="Review_Findings" sheetId="38" state="visible" r:id="rId40"/>
    <sheet name="Traceability_Matrix" sheetId="39" state="visible" r:id="rId41"/>
    <sheet name="Sprint_Status_Rollup" sheetId="40" state="visible" r:id="rId42"/>
    <sheet name="RAID_Carryover" sheetId="41" state="visible" r:id="rId43"/>
    <sheet name="Gate_Checklist" sheetId="42" state="visible" r:id="rId44"/>
    <sheet name="Decision_Brief" sheetId="43" state="visible" r:id="rId45"/>
    <sheet name="Session_Handoff" sheetId="44" state="visible" r:id="rId4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<sst xmlns="http://schemas.openxmlformats.org/spreadsheetml/2006/main" count="6002" uniqueCount="3101">
  <si>
    <t xml:space="preserve">VERSION CONTROL — OnCall Copilot Sprint Tracker &amp; Traceability</t>
  </si>
  <si>
    <t xml:space="preserve">File naming: claude_v&lt;NNN&gt;_&lt;proper file name&gt;_YYYYMMDD_HHMI. Product workbook lineage: v007 (baseline) -&gt; v008 (22:22) -&gt; v009 (22:55).</t>
  </si>
  <si>
    <t xml:space="preserve">Version</t>
  </si>
  <si>
    <t xml:space="preserve">Date/Time</t>
  </si>
  <si>
    <t xml:space="preserve">Author</t>
  </si>
  <si>
    <t xml:space="preserve">Change Description</t>
  </si>
  <si>
    <t xml:space="preserve">Status</t>
  </si>
  <si>
    <t xml:space="preserve">v001</t>
  </si>
  <si>
    <t xml:space="preserve">2026-09-10 23:03</t>
  </si>
  <si>
    <t xml:space="preserve">Claude for Senthil/KP</t>
  </si>
  <si>
    <t xml:space="preserve">THIS FILE — Live execution tracker for OnCall Copilot (Slack App Directory, wave-3), consolidating the two development runs already released: v008 (22:22) full sandbox development under D13 — 13 modules F1-F5 + E1/E5/E6/E7/E8/EQ, 16 suites/105 tests at 100% coverage, workbook gained Sprint_Tracker_Log + Traceability_Matrix; v009 (22:55) sandbox-ceiling release — Events API receiver (signature/replay/dedupe/backoff+dead-letter), ST-091 degradation + ST-074 scheduler Done, 7 launch-content artifacts Drafted; final code state 19 suites/122 tests at 100%. Full 100-story traceability (399 pts, rollup formula-verified). Statuses: 77 Done / 5 Code-complete / 8 Drafted / 10 Backlog. E001-E010 logged.</t>
  </si>
  <si>
    <t xml:space="preserve">Released</t>
  </si>
  <si>
    <t xml:space="preserve">v002</t>
  </si>
  <si>
    <t xml:space="preserve">2026-09-10 23:57</t>
  </si>
  <si>
    <t xml:space="preserve">Session-close release. Catches tracker up to product workbook v010 (23:10 live-readiness: typed config loader, 12-step scripted live sweep, 30-min dev-workspace guide + least-privilege manifest; 21 suites/133 tests at 100%). Adds V010_Build_Board, E011-E013 log entries, Session_Handoff sheet (next session 2026-09-11 08:15), RAID finding R-O7 (jest.config edit slip — process rule added), LC-1 -&gt; Code-complete. D-OC4 recorded: tracker versions at EVERY session close, not only live runs — correcting the v001 plan that caused this gap. Story statuses unchanged 77/5/8/10.</t>
  </si>
  <si>
    <t xml:space="preserve">v003</t>
  </si>
  <si>
    <t xml:space="preserve">2026-09-11 08:41</t>
  </si>
  <si>
    <t xml:space="preserve">Morning-sprint release (session 08:15/actual 08:41). Cold-review pass 1: F-001..F-004 fixed with regressions (payment recovery, cycle reset, FIFO dedupe cap, timeline config knobs), F-005..F-008 to disposition; REVIEW_PACK.md for external reviewer (ST-097 In progress). Ops parity: blue/green deploy workflow + scripted backup/restore drill (ST-092/090 Drafted). Codebase v0.11.0 — 22 suites/139 tests at 100x4. Adds V011_Build_Board + Review_Findings mirror + E014-E016. Statuses 77/5/10/1/7. Product workbook at v011.</t>
  </si>
  <si>
    <t xml:space="preserve">v004</t>
  </si>
  <si>
    <t xml:space="preserve">2026-09-11 12:51</t>
  </si>
  <si>
    <t xml:space="preserve">Midday-sprint release. Sibling-validated codeable scope executed: ST-066 AES-256-GCM + vault boundary (Code-complete), ST-068 sandbox evidence pack (In progress), ST-081 built-in chat SLA engine (Code-complete — vendor optional), ST-089 jest-axe WCAG AA automated half on 6 screen shells (In progress). Codebase v0.12.0 — 25 suites/156 tests at 100x4 (one jsdom-pragma slip fixed pre-release, R-O8). Adds V012_Build_Board + E017-E018. Statuses 77/6/10/3/4; sandbox-codeable backlog exhausted. Product workbook at v012.</t>
  </si>
  <si>
    <t xml:space="preserve">v005</t>
  </si>
  <si>
    <t xml:space="preserve">2026-09-13 09:54</t>
  </si>
  <si>
    <t xml:space="preserve">Correctness release (13 Sep morning). Cold-review pass 2 over pass-1-skipped modules: F-009 retention sweep never deleted (published policy breached), F-010 unbounded error ledger, F-011 paging fan-out lost partial success, F-012 foreign-timeline postmortem, F-013 CSV quoted-field breakage — all fixed with pinned regressions. External verification sweep vs live Slack docs: VER-OC1 LIVE-BLOCKING 3-second ack (declare ran synchronously =&gt; timeouts + duplicate channels), VER-OC2 conversations.create naming/name_taken, VER-OC3 12h token TTL + single-use refresh — fixed; VER-OC4 verified correct. COLD REVIEW COMPLETE. Codebase v0.13.0 — 27 suites/180 tests at 100x4. Adds V013_Build_Board + Review_Findings mirror + E019-E021 + lessons L-OC1/L-OC2. Story counts unchanged 77/6/10/3/4. Product workbook at v013.</t>
  </si>
  <si>
    <t xml:space="preserve">v006</t>
  </si>
  <si>
    <t xml:space="preserve">2026-09-13 10:01</t>
  </si>
  <si>
    <t xml:space="preserve">Artifact-gap closure (13 Sep 10:01). Audited every artifact referenced by docs/scripts/manifest against what exists: 5 gaps, 2 CRITICAL — GAP-OC1 no HTTP app behind the promised routes (30-min setup guide unrunnable, live sweep would have died at SW-09), GAP-OC2 no DB schema behind the backup drill and retention sweep; plus GAP-OC3 unsignable k6 payloads, GAP-OC4 manifest.json only inside a markdown fence (missing its slash-command URL), GAP-OC5 pricing doc ungated against billing.ts. All fixed: router+app with 5 routes and npm start, 5 ordered migrations with cascade deletes and npm run migrate, signed load-fixture generator, real manifest.json, pricing drift gate. ST-088/ST-090 Drafted -&gt; Code-complete. Codebase v0.14.0 — 31 suites/201 tests at 100x4. Adds V014_Build_Board + gap rows + E022-E024 + lesson L-OC3. Statuses 77/8/8/3/4. Product workbook at v014.</t>
  </si>
  <si>
    <t xml:space="preserve">v007</t>
  </si>
  <si>
    <t xml:space="preserve">2026-09-13 10:22</t>
  </si>
  <si>
    <t xml:space="preserve">Security/tenancy correctness release (13 Sep 10:22). Cold-review pass 3 over the HTTP/tenancy surface built in v014, audited against sibling-product defect classes: F-014 CRITICAL no multi-tenancy (one IncidentService/FeatureManager/id-counter for every workspace — cross-tenant reads, colliding ids; MeetSync M-F04 class), F-015 CRITICAL OAuth CSRF (no state parameter; M-F15 class), F-016 valid Slack signature treated as proof of installation, F-017 unauthenticated /health leaking version and queue depth (M-F12 class) — all fixed with 12 pinned regressions; VER-OC5 (async-handler hang, M-F21) checked and verified non-applicable. serve.ts, .env.example and the setup guide updated in the same pass to prevent artifact drift. Codebase v0.15.0 — 32 suites/213 tests at 100x4. Adds V015_Build_Board + finding rows + E025-E027 + lesson L-OC4. Story counts unchanged 77/8/8/3/4. Product workbook at v015.</t>
  </si>
  <si>
    <t xml:space="preserve">v008</t>
  </si>
  <si>
    <t xml:space="preserve">2026-09-13 10:38</t>
  </si>
  <si>
    <t xml:space="preserve">As-built re-baseline + F-018 (13 Sep 10:38). The product workbook spec sheets had never been revised since 05/09, before any code existed; Product_Spec, Screens_Wireframes and Metrics_Targets are now rewritten to as-built reality with the uncomfortable parts kept: 6 of 9 screens have shells and NONE is data-wired (no dashboard API exists), only 1 of 5 non-functional claims is actually met, and 0 of 6 metric targets is reportable end to end without a Postgres adapter (AB-1..AB-3). The audit also exposed F-018 — the role matrix was enforced everywhere but nothing ever assigned a role, so every slash command ran as hardcoded member and owner/admin capability was unreachable on the live surface; RoleResolver added and wired, 9 regressions. Codebase v0.16.0 — 33 suites/222 tests at 100x4. Adds V016_Build_Board + finding rows + E028-E030 + lesson L-OC5. Story counts unchanged 77/8/8/3/4. Product workbook at v016.</t>
  </si>
  <si>
    <t xml:space="preserve">v009</t>
  </si>
  <si>
    <t xml:space="preserve">2026-09-13 10:42</t>
  </si>
  <si>
    <t xml:space="preserve">Persistence + dashboard API (13 Sep 10:42). V16-06 executed on the continue directive — additive and reversible, so the decision stays open in substance: repository contracts (incidents, metrics) with in-memory AND Postgres adapters verified by ONE shared contract suite, funnel_events migration, tenant isolation re-asserted against shared storage. Dashboard read API built (5 routes, session-scoped tenancy, ST-054 matrix gating with member-refused billing) closing the AB-1 code half; 5 of 9 screens now data-backed, remaining gap is a rendered front-end. Activation is reportable per tenant, closing the AB-3 code half. Codebase v0.17.0 — 35 suites/243 tests at 100x4. Adds V017_Build_Board + closure rows + E031-E033. Story counts unchanged 77/8/8/3/4. Product workbook at v017.</t>
  </si>
  <si>
    <t xml:space="preserve">v010</t>
  </si>
  <si>
    <t xml:space="preserve">2026-09-13 11:06</t>
  </si>
  <si>
    <t xml:space="preserve">Integration release (13 Sep 11:06). Started by checking who actually called the repositories built an hour earlier: only the dashboard API, and only to read. F-019 CRITICAL — incidents were still written to an in-process Map while /api/incidents read from the repository, and nothing recorded funnel stages, so in production the dashboard would have been permanently empty and activation permanently 0 while all 243 tests passed. Fixed with write-through sinks as REQUIRED collaborators on IncidentService and Telemetry, buffered and bounded with failed writes retained and drops counted, an async retention sweep so purge covers repositories, and serve.ts wired end to end with a flush timer. Six suites updated for the changed constructors. Codebase v0.18.0 — 36 suites/252 tests at 100x4. Adds V018_Build_Board + finding row + E034-E036 + lesson L-OC6. Story counts unchanged 77/8/8/3/4. Product workbook at v018.</t>
  </si>
  <si>
    <t xml:space="preserve">v011</t>
  </si>
  <si>
    <t xml:space="preserve">2026-09-13 11:11</t>
  </si>
  <si>
    <t xml:space="preserve">Composition-root release (13 Sep 11:11). Applied L-OC6 systematically: audited EVERY module for callers, not just the repositories. 12 had no importer outside tests. F-020 CRITICAL — the live slash-command handler was a stub returning a string, so paging, timeline, postmortem and status page were unreachable from the product surface, and the F-014 isolation fix and ST-091 degradation claim rested on orphaned classes; five stories marked Done were resting on code nothing invoked. Built src/app/workflow.ts as the composition root (per-workspace workflows via TenantRegistry, declare and resolve threading all five features, every external call through the circuit breaker) and wired it into serve.ts with adapters that fail loudly. DegradedResult converted to a discriminated union, removing two unreachable defensive branches by design rather than pragma. OBS-OC1 records the genuinely-library modules honestly. Codebase v0.19.0 — 37 suites/263 tests at 100x4. Adds V019_Build_Board + finding rows + E037-E039 + lesson L-OC7. Story counts unchanged 77/8/8/3/4. Product workbook at v019.</t>
  </si>
  <si>
    <t xml:space="preserve">v012</t>
  </si>
  <si>
    <t xml:space="preserve">2026-09-13 11:17</t>
  </si>
  <si>
    <t xml:space="preserve">Surface + status-truth release (13 Sep 11:17). Applied R-O12 to this product first: a reachability audit of the 77 Done stories found 29 user-facing capabilities with no caller from any surface. Built src/http/adminApi.ts (15 routes: feature rules/pause/import, notification preferences, usage metrics, timeline export, onboarding, export and delete-my-data, plan change, cancellation, support chat, plus operator-gated token refresh and retention sweep), session-scoped and matrix-gated. Then the honest part (AB-4): 7 stories still had no surface or no live traffic and were reclassified Done -&gt; Module-only, correcting the Done count from 77 to 70 and defining the status vocabulary in ReadMe_Scope. Codebase v0.20.0 — 38 suites/281 tests at 100x4. Adds V020_Build_Board + finding rows + E040-E043 + lesson L-OC8. Position 70/8/8/7/3/4. Product workbook at v020.</t>
  </si>
  <si>
    <t xml:space="preserve">v013</t>
  </si>
  <si>
    <t xml:space="preserve">2026-09-13 11:22</t>
  </si>
  <si>
    <t xml:space="preserve">Module-only closure (13 Sep 11:22). The 7 stories reclassified an hour earlier are now closed by building the missing halves rather than re-labelling: ST-072 error-spike alerts leave the process through a new Notifier (webhook sink retains and retries failures); ST-073/075 heatmap and health score served at /api/analytics/detail; ST-076 telemetry CSV export owner-gated; ST-077 alert thresholds readable and writable with validation; ST-074 weekly metrics email wired to a Scheduler runner in serve.ts; ST-087 p95 MEASURED per route via router instrumentation and graded at /ops/latency (the test proves a 4s slash-command p95 is flagged against the 3s budget). Done count restored 70 -&gt; 77 on evidence — each story has a regression naming its surface. A redundant always-true ternary was deleted rather than tested. Codebase v0.21.0 — 39 suites/291 tests at 100x4. Adds V021_Build_Board + closure row + E044-E045. Position 77/8/8/3/4. Product workbook at v021.</t>
  </si>
  <si>
    <t xml:space="preserve">v014</t>
  </si>
  <si>
    <t xml:space="preserve">2026-09-13 11:25</t>
  </si>
  <si>
    <t xml:space="preserve">Submission readiness (13 Sep 11:25). Built the dry-run engine this product lacked versus its siblings: 12 Slack App Directory requirements, 5 machine-checked against real repo state (manifest scopes cross-checked against the trust page so an unjustified scope BLOCKS; every route Slack calls confirmed registered; review docs present; coverage read from the real summary; migrations present), 7 reported as HUMAN or LIVE with an owner rather than silently passed. The checker caught a gap in itself on first run — no coverage summary file existed, so it reported 0/0/0/0 and BLOCKED; fixed by emitting json-summary rather than loosening the check. Verdict READY_TO_SUBMIT on the automated half. Codebase v0.22.0 — 40 suites/300 tests at 100x4. Adds V022_Build_Board + Submission_Readiness mirror + E046-E047. Story counts unchanged 77/8/8/3/4. Product workbook at v022.</t>
  </si>
  <si>
    <t xml:space="preserve">v015</t>
  </si>
  <si>
    <t xml:space="preserve">2026-09-13 11:31</t>
  </si>
  <si>
    <t xml:space="preserve">Session close, no code change (13 Sep 11:31). Sandbox work is complete under the stricter Done definition and the submission dry-run is green on every automated check, so no further build sprint would add value — a 23rd release would be padding. This version records that judgement and issues docs/DECISION_BRIEF.md instead: the three decisions (F-005/006/007 dispositions, V17-08 front-end, D15 sequencing) that account for five open items, each with options, consequences and a recommendation where I have a defensible one. Code, coverage and story counts deliberately unchanged at v0.22.0 / 300 tests / 77-8-8-3-4. Adds a Decision_Brief sheet + E048.</t>
  </si>
  <si>
    <t xml:space="preserve">v016</t>
  </si>
  <si>
    <t xml:space="preserve">2026-09-13 11:33</t>
  </si>
  <si>
    <t xml:space="preserve">Disposition release (13 Sep 11:33) — Senthil approved all three recommendations from the decision brief and they are implemented properly rather than minimally. F-005: the incident state machine was rebuilt at the root — explicit transition map refusing illegal moves, resolvedAt immutable after the first resolution so MTTR cannot drift, resolutions[] keeping every instant, reopened promoted to a first-class state with a counter, timeToFirstResolutionMs() as the metric input, reopen wired through the workflow with timeline and status-page effects, and the state machine documented in DATA_FLOW.md. F-006: breaker given explicit closed/open/half_open states admitting exactly one probe after cooldown — the same fix answers FlowCast OBS-002, VoiceBridge OBS-V2 and MeetSync OBS-M1. F-007: replay queue bounded at 5,000, drop-oldest, with droppedCount() so losses surface. Two fixtures updated for the changed Incident contract. Codebase v0.23.0 — 41 suites/315 tests at 100x4; submission dry-run still READY_TO_SUBMIT. Adds V023_Build_Board + resolution rows + E049-E050. Story counts unchanged 77/8/8/3/4. Product workbook at v023.</t>
  </si>
  <si>
    <t xml:space="preserve">v017</t>
  </si>
  <si>
    <t xml:space="preserve">2026-09-13 11:38</t>
  </si>
  <si>
    <t xml:space="preserve">Slack-first surface release (13 Sep 11:38). V17-08 ratified as Option A — no rendered web client for launch; reversible, since the API layer stays. Implemented properly rather than as a no-op, which exposed the real problem: the Slack surface barely existed. declareModalBlocks() returned three field names and there was no incident message, no resolve/reopen controls and no App Home — under Slack-first, that string list WAS the product UI. Built src/blockkit (declare modal with typed inputs and plain-language severity options, incident message with status in words and mitigate/resolve/reopen actions, App Home paging inside the 100-block cap), a limits module verified against Slack published reference, and a validator that refuses an over-limit view rather than letting Slack truncate it silently — which immediately caught a real bug in my own builder. SC-12 recategorised to Block Kit conformance with the automated half enforced and the scope published in TRUST_SECURITY.md. Codebase v0.24.0 — 42 suites/336 tests at 100x4; submission dry-run still READY_TO_SUBMIT. Adds V024_Build_Board + D-OC5/F-022/F-023 rows + E051-E053. Story counts unchanged 77/8/8/3/4. Product workbook at v024.</t>
  </si>
  <si>
    <t xml:space="preserve">v018</t>
  </si>
  <si>
    <t xml:space="preserve">2026-09-13 11:53</t>
  </si>
  <si>
    <t xml:space="preserve">Interaction release (13 Sep 11:45-11:53). Checked the surface shipped seven minutes earlier before starting anything new and found F-024 CRITICAL: every Block Kit control was decorative — /slack/interactive verified the signature, acked empty and threw the payload away, so Resolve, Mitigate, Reopen and the declare button did nothing at all, silently. Fourth appearance of the build-but-never-wire class in this build, and this one was mine from the previous sprint. Built src/incidents/interactions.ts and wired it through the route and serve.ts: block_actions routed to real transitions with per-workspace role resolution and an installation guard, view_submission validated with field-level errors. Two verified Slack constraints shaped it — the declare modal opens on the ACK path because trigger_id expires in ~3 seconds, and view_submission must answer empty-200 to close or response_action to show errors. Two of my own test-fixture bugs were caught in passing, including a malformed expression that silently dropped 14 tests from the run. Codebase v0.25.0 — 43 suites/354 tests at 100x4; submission dry-run still READY_TO_SUBMIT. Adds V025_Build_Board + F-024 row + E054-E056 + lesson L-OC9. Story counts unchanged 77/8/8/3/4. Product workbook at v025.</t>
  </si>
  <si>
    <t xml:space="preserve">v019</t>
  </si>
  <si>
    <t xml:space="preserve">2026-09-13 11:56</t>
  </si>
  <si>
    <t xml:space="preserve">Encryption-applied release (13 Sep 11:56). Ran the caller audit as the routine first step (L-OC9, adopted last sprint) and it paid immediately. F-025 CRITICAL: ST-066 had been Code-complete since 11 Sep claiming AES-256-GCM encryption at rest, but nothing ever called FieldCrypto — Slack access and refresh tokens were stored in plaintext on the installation record while the published trust page told customers they were encrypted. No test could have caught it: crypto.ts was fully covered by its own suite. Fixed by storing tokens as ciphertext only with a key id, making FieldCrypto a REQUIRED constructor collaborator, decrypting only at the point of an API call, clearing ciphertext on uninstall, re-encrypting on rotation, requiring ENCRYPTION_KEY at boot, and rewriting the trust-page paragraph to describe what the code actually does. CLN-1: removed src/screens/shells.ts and its jest-axe suite — obsolete under Slack-first and carrying apparent ST-089 evidence for a client that will not exist; that story now rests on the Block Kit accessibility auditor. Codebase v0.26.0 — 42 suites/350 tests at 100x4; READY_TO_SUBMIT holds. Adds V026_Build_Board + F-025/CLN-1 rows + E057-E059 + lesson L-OC10. Story counts unchanged 77/8/8/3/4. Product workbook at v026.</t>
  </si>
  <si>
    <t xml:space="preserve">v020</t>
  </si>
  <si>
    <t xml:space="preserve">2026-09-13 12:02</t>
  </si>
  <si>
    <t xml:space="preserve">Promise-enforcement release (13 Sep 12:02). Generalised L-OC10 into a systematic audit: every customer-facing claim in the trust page, pricing FAQ and help centre checked against the code. Three failed, two critically. F-026: the help centre and dunning emails promise "7-day grace, then read-only — nothing is deleted"; the flag was set correctly and enforced nowhere, so an account in arrears kept full write access, and a cancelled subscription likewise. F-027: the pricing page sells tiers by incidents/month and nothing counted incidents against the plan or refused at the cap — the limit being charged for did not exist. F-028: the 30-day deletion policy ran only when an operator called the ops endpoint by hand. All fixed via an Entitlements gate (required collaborator, checked before declare and reopen, reason carried to the Slack surface, reads deliberately left open so history stays visible and exportable), metered usage with 80/100% warnings, cap refusal, cycle reset and upgrade headroom, and a daily scheduled retention sweep. Codebase v0.27.0 — 43 suites/361 tests at 100x4; READY_TO_SUBMIT holds. Adds V027_Build_Board + 3 finding rows + E060-E062 + lesson L-OC11. Story counts unchanged 77/8/8/3/4. Product workbook at v027.</t>
  </si>
  <si>
    <t xml:space="preserve">v021</t>
  </si>
  <si>
    <t xml:space="preserve">2026-09-13 16:26</t>
  </si>
  <si>
    <t xml:space="preserve">Restart-safety release (13 Sep 16:26). The lens this time was my own claim: the launch runbook said rollback is safe because the Events receiver dedupes replays. That is false across a process restart, and checking it found four defects. F-029 CRITICAL — the incident counter was process-local, so after any restart the next declare produced INC-0001 and the repository upserts by id, silently OVERWRITING an older unrelated incident; every blue/green switch was a latent data-loss event. F-030 roles lived only in memory, so after a restart every caller resolved to member and owner-only actions were unreachable until reinstall. F-031 the dedupe ledger was process-local, so Slack retries after a deploy created duplicate incident channels. F-032 buffered sink rows flushed on a timer with nothing at shutdown, so every deploy dropped the last unflushed second. Fixed with highestSequence() on both repository adapters plus boot-time reseeding, snapshot/restore for roles and the dedupe ledger, and a Lifecycle that drains buffers on SIGTERM/SIGINT, retries while making progress and reports losses honestly. The runbook paragraph now states the three conditions replay safety depends on rather than the claim I had made. Codebase v0.28.0 — 44 suites/375 tests at 100x4; READY_TO_SUBMIT holds. Adds V028_Build_Board + 4 finding rows + E063-E065 + lesson L-OC12. Story counts unchanged 77/8/8/3/4. Product workbook at v028.</t>
  </si>
  <si>
    <t xml:space="preserve">v022</t>
  </si>
  <si>
    <t xml:space="preserve">2026-09-13 16:32</t>
  </si>
  <si>
    <t xml:space="preserve">Restart-safety operational release (13 Sep 16:32). R-O14, raised last sprint as a caveat, was mine to close rather than Senthil’s: the restore hooks for roles and the dedupe ledger had no store behind them, so F-030 and F-031 would have returned on the first blue/green deploy. Built RoleRepository and DedupeRepository with in-memory AND Postgres adapters, both exercised by the shared contract suite, with migrations 0007/0008 and TENANT_TABLES coverage so the retention sweep purges them. Roles now write through on every grant instead of depending on a separate save step, and write failures are surfaced rather than swallowed — they fail /health, because a silently failing role store means wrong answers after the next restart. Dedupe persistence uses INSERT ... ON CONFLICT DO NOTHING RETURNING, which makes the check atomic ACROSS REPLICAS rather than merely durable: two instances handling the same Slack retry cannot both win. serve.ts rehydrates roles, the ledger and incident numbering before serving traffic. Codebase v0.29.0 — 44 suites/387 tests at 100x4; READY_TO_SUBMIT holds. Adds V029_Build_Board + R-O14 closure + E066-E068. Story counts unchanged 77/8/8/3/4. Product workbook at v029.</t>
  </si>
  <si>
    <t xml:space="preserve">v023</t>
  </si>
  <si>
    <t xml:space="preserve">2026-09-13 16:36</t>
  </si>
  <si>
    <t xml:space="preserve">Multi-replica release (13 Sep 16:36). Blue/green runs two instances at once, so single-writer assumptions fail exactly when the deploy happens. F-033 CRITICAL: the v028 id fix covered restarts but NOT concurrency — two replicas seed from the same stored maximum, mint the same id, and the id-based upsert collapses two incidents into one; the corruption risk reported fixed yesterday was still live. Allocation now happens in the store (SequenceAllocator, in-memory and Postgres, atomic INSERT ... ON CONFLICT ... RETURNING), seeded from stored data at boot; a genuine off-by-one in my first attempt was caught by its own regression. F-034: every replica ran every scheduled job, double-sending weekly emails and running concurrent sweeps — now lease-gated with expiry so a crashed holder cannot stall a job, non-holders cannot release, skips are recorded, and a leased job without a lease store is a hard error. F-035 logged OPEN and deliberately not started: entitlement usage still lives in the in-memory billing store, so two replicas count separately and a workspace could exceed its limit by up to one cap per replica; the fix is a full sprint and half-building it is the failure mode criticised all day. Until then run ONE replica or accept the over-count. Codebase v0.30.0 — 45 suites/407 tests at 100x4; READY_TO_SUBMIT holds. Adds V030_Build_Board + 3 finding rows + E069-E071 + lesson L-OC13. Story counts unchanged 77/8/8/3/4. Product workbook at v030.</t>
  </si>
  <si>
    <t xml:space="preserve">v024</t>
  </si>
  <si>
    <t xml:space="preserve">2026-09-13 16:42</t>
  </si>
  <si>
    <t xml:space="preserve">Billing persistence release (13 Sep 16:42). F-035, logged open last sprint as needing a full sprint, got one. BillingRepository built with in-memory AND Postgres adapters in the shared contract suite plus migration 0011. claimUsage performs the cap check and the increment in a single statement (UPDATE ... WHERE usage &lt; limit RETURNING), so a second replica arriving at the cap updates zero rows and is refused — the regression alternates two replicas across 35 attempts on a 25-incident plan and exactly 25 are allowed. Building it surfaced a second failure of the same class: a restart reset readOnly to FALSE, silently unblocking a delinquent account, so billing state now writes through on every change and rehydrates at boot, with failures surfaced through /health alongside the role store. A refused gate spends no allowance. R-O15 withdrawn — the "run a single replica" mitigation is no longer needed. Two of my own fixtures used a fixed clock so the grace period never elapsed (fixed, not loosened), and a migration ordering slip was caught by the schema test written eleven sprints ago. Codebase v0.31.0 — 46 suites/424 tests at 100x4; READY_TO_SUBMIT holds. Adds V031_Build_Board + F-035/R-O15 closure + E072-E074. Story counts unchanged 77/8/8/3/4. Product workbook at v031.</t>
  </si>
  <si>
    <t xml:space="preserve">v025</t>
  </si>
  <si>
    <t xml:space="preserve">2026-09-13 16:48</t>
  </si>
  <si>
    <t xml:space="preserve">Real-SQL verification release (13 Sep 16:48). The lens was circular evidence: every "verified on both adapters" claim in this build rested on fakes I wrote to match my own SQL, so a wrong statement and a matching fake would agree. Installed pg-mem, a real Postgres-compatible engine, and ran the ACTUAL migrations and adapter statements through it — three defects surfaced immediately. F-036 CRITICAL: incidents.team_id is a foreign key to installations(team_id) and nothing ever wrote an installations row, so every incident insert would have failed in production; and because the write-through sink retains failed rows, the symptom would have been a silently growing backlog rather than an alert. F-037: the schema declared access_token and refresh_token NOT NULL while uninstall deliberately clears them, so that write would have failed. F-038: highestSequence used a Postgres-only regex operator where a portable LIKE does the same job. All fixed, with an InstallationRepository on both adapters, boot rehydration before any child write, deletion in the retention sweep, and failures surfaced through /health. OBS-OC2 records pg-mem deviations (ON CONFLICT DO NOTHING ... RETURNING returns a row where Postgres returns none) — verified directly rather than assuming my code was wrong. Codebase v0.32.0 — 47 suites/445 tests at 100x4; READY_TO_SUBMIT holds. Adds V032_Build_Board + 4 rows + E075-E078 + lesson L-OC14. Story counts unchanged 77/8/8/3/4. Product workbook at v032.</t>
  </si>
  <si>
    <t xml:space="preserve">v026</t>
  </si>
  <si>
    <t xml:space="preserve">2026-09-13 17:26</t>
  </si>
  <si>
    <t xml:space="preserve">Real-Postgres verification release (13 Sep 17:26). V32-07 was on the board as an item for Senthil; it turned out to be doable here, so a real PostgreSQL 16 was provisioned in the container and the adapters run against it. Eight integration tests: the foreign key rejects an orphan incident, token columns accept NULL on a revoked install (F-037 confirmed against a real engine), cascade delete removes child incidents, the portable LIKE returns the right sequence while ignoring a non-conforming id (F-038), and — the part no fake could prove — real concurrency: 20 parallel id claims produce 20 distinct ids and 30 parallel usage claims against a cap of 10 admit exactly 10. OBS-OC2 closed: ON CONFLICT DO NOTHING ... RETURNING returns no row and the conditional DO UPDATE holds the lease, exactly as the dedupe and lease adapters assumed — so declining to change correct SQL to satisfy pg-mem was right, and is now evidenced rather than argued. Added a CI job with a postgres:16 service and npm run test:pg; the suite skips cleanly without a server so the main gate runs anywhere. Codebase v0.33.0 — 48 suites/453 tests at 100x4; READY_TO_SUBMIT holds. Adds V033_Build_Board + 2 closures + E079-E081 + lesson L-OC15. Story counts unchanged 77/8/8/3/4. Product workbook at v033.</t>
  </si>
  <si>
    <t xml:space="preserve">v027</t>
  </si>
  <si>
    <t xml:space="preserve">2026-09-13 18:50</t>
  </si>
  <si>
    <t xml:space="preserve">Adversarial and load-measurement release (13 Sep 18:50). Applied L-OC15 to our own handover and found two items parked as Senthil-only that were partly mine. SC-08: the pen-test sandbox half was a document; it is now an 18-case adversarial suite running in CI — forged, wrong-secret, replayed and truncated signatures; tenant escape by supplying another workspace id on read and export; cross-workspace role bleed; self-granted roles and admin-minted owners; member access to billing and deletion; operator endpoints with a session, a wrong token and a malformed header; OAuth CSRF with absent, forged and replayed state; SQL- and script-shaped titles; oversized and junk bodies; stack-trace and connection-string leakage; plaintext-token leakage. It found F-039 immediately: a malformed body answered 500 rather than 400, which is both the wrong status and an alerting problem, since the error-spike detector pages on 500s and junk input could have raised an incident about our own parser. ST-088: the load run was blocked on a staging URL, which was only true for the network half — npm run loadtest now drives the real router in-process at 20 rps for 30 seconds (10x the launch estimate): 600 requests, 0 errors, p95 0ms against 3000ms and 500ms budgets, gating CI. Both are recorded with their limits stated plainly: a self-written suite only covers attacks we thought of, and a mocked-adapter load figure says nothing about network, database or Slack latency. Codebase v0.34.0 — 49 suites/473 tests at 100x4; READY_TO_SUBMIT holds. Adds V034_Build_Board + 3 rows + E082-E085. Story counts unchanged 77/8/8/3/4. Product workbook at v034.</t>
  </si>
  <si>
    <t xml:space="preserve">v028</t>
  </si>
  <si>
    <t xml:space="preserve">2026-09-13 19:00</t>
  </si>
  <si>
    <t xml:space="preserve">Documentation accuracy and supply-chain release (13 Sep 19:00) — and the closing sprint. Two lenses had never been run. SUP-1: npm audit is clean, 0 vulnerabilities with and without dev dependencies, with a deliberately small runtime surface. CLN-2: the README still described the v0.8 codebase — 8 directories where there are 19, omitting the entire HTTP surface, persistence layer, Block Kit views, scheduler and live tooling, and still naming a module deleted three sprints ago — which matters because it is the first artifact a marketplace reviewer or a new engineer reads. Rewritten to the real layout with every route, the five boot-required environment variables, the six commands, and the adapter-swap list including the boot RESTORE ORDER (installations first as the foreign-key parent, so the F-036 lesson is written where the next person will see it), plus the three conventions this codebase depends on. Codebase v0.35.0 — 49 suites/473 tests at 100x4; READY_TO_SUBMIT holds. NO FURTHER SANDBOX WORK IS PLANNED: every lens available without live credentials has been applied, and continuing would be padding. Adds V035_Build_Board + 2 rows + E086-E087 + a closing position note. Story counts unchanged 77/8/8/3/4. Product workbook at v035.</t>
  </si>
  <si>
    <t xml:space="preserve">v029</t>
  </si>
  <si>
    <t xml:space="preserve">2026-09-13 23:13</t>
  </si>
  <si>
    <t xml:space="preserve">EXTERNAL REVIEW RELEASE (13 Sep 23:13). Incorporates ChatGPT independent review V001 (20 CF findings, 10 BLOCKER). Codebase v0.36.0: composition root rewritten and moved into src/composition/production.ts, inside the type-check and the suite for the first time. 9 findings fixed, 3 partial, 8 open with owners and sprints. 527 tests / 51 suites at 100x4; clean tsc over src AND scripts; production boot now refuses an unsafe composition. New sheets: Review_CF_Findings, Remediation_Roadmap, V036_Build_Board. Traceability gains a Runtime_Reachable column. D-OC6 (Done vocabulary) and D-OC7 (Opsgenie) raised for ratification.</t>
  </si>
  <si>
    <t xml:space="preserve">v030</t>
  </si>
  <si>
    <t xml:space="preserve">2026-09-20 13:05</t>
  </si>
  <si>
    <t xml:space="preserve">SECOND INDEPENDENT REVIEW RELEASE (20/09/2026 13:05). Incorporates Perplexity independent review V001 (16/09 19:32; 12 PX findings, 2 BLOCKER, 3 HIGH; CONTINUE at 6.1/10). Executed the review's Phase 0 in the order it demands — PX-S0 async platform boundary, PX-S1 enforce what is sold, PX-S2 close the gate's blind spots — before any adapter work. Codebase v0.37.0: nine platform interfaces async with a per-call budget; claimWrite is the only write gate (recordWrite deleted); closed, typed provider set of ten with a healthcheck() capability probe at boot; persisted deferred-work queue drained on SIGTERM and restored after kill -9; key rotation route; session revocation by install epoch; lease frequency in the store; time-bounded replay window; scripts/ inside the coverage gate. Three further defects found by v3 of the audit tool run against the fix (PX-013 atomic ids not on the declare path; PX-014/015 undrained queues). 60 suites / 624 tests (616 run, 8 gated on a real Postgres) at 100% statements, branches, functions and lines over src/ AND scripts/; clean tsc over src+scripts and tests. New sheets Review_PX_Findings and V037_Build_Board; roadmap re-sequenced PX-S0→S1→S2→S37→S38→S40→PX-S3→S41; 30 new stories ST-101..ST-130 kept in Traceability (all 100 originals retained); D-OC8 (banded pricing) raised. Financial model computed in the product workbook (PX-009).</t>
  </si>
  <si>
    <t xml:space="preserve">v031</t>
  </si>
  <si>
    <t xml:space="preserve">OPENS ON: S37 rolling-deploy/kill -9 proof against real Postgres, S38 real Slack adapters behind the async contracts (needs SC-06 workspace), or the D-OC6/D-OC7/D-OC8/D15 answers.</t>
  </si>
  <si>
    <t xml:space="preserve">Planned</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</si>
  <si>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</si>
  <si>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</si>
  <si>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</si>
  <si>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</si>
  <si>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</si>
  <si>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</si>
  <si>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</si>
  <si>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</si>
  <si>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</si>
  <si>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2026-09-10 22:22</t>
  </si>
  <si>
    <t xml:space="preserve">—</t>
  </si>
  <si>
    <t xml:space="preserve">BUILD OPENED on Senthil directive 22:22 ("continue work as per sprint... complete the development, 100% automation testing"): OnCall Copilot taken from v007 baseline (100 stories/399 pts, all Backlog). D13 applied (discovery parked, 100% coverage gate supersedes ST-085 &gt;=70%).</t>
  </si>
  <si>
    <t xml:space="preserve">D13,D15,v007</t>
  </si>
  <si>
    <t xml:space="preserve">OnCall Copilot build opened (wave-3)</t>
  </si>
  <si>
    <t xml:space="preserve">None</t>
  </si>
  <si>
    <t xml:space="preserve">E002</t>
  </si>
  <si>
    <t xml:space="preserve">S1</t>
  </si>
  <si>
    <t xml:space="preserve">S1 FOUNDATION (TypeScript/Node per v007 stack): scaffold + Jest coverageThreshold 100x4 + CI; error model; owner/admin/member role matrix (ST-054); OAuth install lifecycle — install/uninstall+30d deletion/reinstall-in-retention/token rotation/source attribution (ST-051/052/053/055/056).</t>
  </si>
  <si>
    <t xml:space="preserve">ST-051..056</t>
  </si>
  <si>
    <t xml:space="preserve">6 S1/S2 install stories done-in-code; ST-051/052/055 Code-complete pending live Slack</t>
  </si>
  <si>
    <t xml:space="preserve">Live Slack dev workspace = Senthil</t>
  </si>
  <si>
    <t xml:space="preserve">E003</t>
  </si>
  <si>
    <t xml:space="preserve">S2-S3</t>
  </si>
  <si>
    <t xml:space="preserve">F1 /INCIDENT DECLARE: slash-command service, Block Kit modal spec, channel create + declare post, platform-error surfacing, transitions incl. resolvedAt; shared feature framework (setup/rules/pause-no-loss/CSV import/notify+mute/metrics+trends) covering the 7 cross-cutting stories of every feature.</t>
  </si>
  <si>
    <t xml:space="preserve">ST-001..010</t>
  </si>
  <si>
    <t xml:space="preserve">F1 complete (10 stories)</t>
  </si>
  <si>
    <t xml:space="preserve">E004</t>
  </si>
  <si>
    <t xml:space="preserve">S3-S4</t>
  </si>
  <si>
    <t xml:space="preserve">F2 RESPONDER PAGING: PagerDuty/Opsgenie provider interface, on-call resolution, page fan-out, failure surfacing; E7 telemetry — activation funnel, error-spike alerts, heatmap, health score, CSV export.</t>
  </si>
  <si>
    <t xml:space="preserve">ST-011..020,ST-071/072</t>
  </si>
  <si>
    <t xml:space="preserve">F2 complete; core telemetry live</t>
  </si>
  <si>
    <t xml:space="preserve">PD/Opsgenie partner certification = launch phase</t>
  </si>
  <si>
    <t xml:space="preserve">E005</t>
  </si>
  <si>
    <t xml:space="preserve">S5-S6</t>
  </si>
  <si>
    <t xml:space="preserve">F3 TIMELINE CAPTURE (ingest, bot filter, ordered view, md export) + onboarding checklist/empty states; F4 AI POSTMORTEM behind provider interface; E5 BILLING — 14d trial no card, proration, dunning 3+7d grace read-only, 80/100% limit prompts, GST/VAT invoices, save-offer cancellation.</t>
  </si>
  <si>
    <t xml:space="preserve">ST-021..040,ST-057..063,ST-078/079</t>
  </si>
  <si>
    <t xml:space="preserve">F3/F4/E5 complete; ST-059 Code-complete pending live Stripe</t>
  </si>
  <si>
    <t xml:space="preserve">Live Stripe = Senthil</t>
  </si>
  <si>
    <t xml:space="preserve">E006</t>
  </si>
  <si>
    <t xml:space="preserve">S8</t>
  </si>
  <si>
    <t xml:space="preserve">F5 STATUS PAGE (publish + worst-of overall) + E6 — least-privilege scope map, data rights export/delete, exp backoff + circuit breaker, audit log; p95 latency budgets (api 500ms/ui 2s/slash 3s).</t>
  </si>
  <si>
    <t xml:space="preserve">ST-041..050,ST-064/067/069/070,ST-087</t>
  </si>
  <si>
    <t xml:space="preserve">F5/E6-core complete</t>
  </si>
  <si>
    <t xml:space="preserve">ST-066 encryption evidence + ST-068 pen test = live infra/vendor</t>
  </si>
  <si>
    <t xml:space="preserve">E007</t>
  </si>
  <si>
    <t xml:space="preserve">EQ</t>
  </si>
  <si>
    <t xml:space="preserve">D13 TEST GATE MET (run 1): 16 Jest suites / 105 tests, 100/100/100/100 enforced in config; E2E smoke lifecycle suite (ST-086) wired into CI on every push. WORKBOOK v008 RELEASED 22:22 — tracker+traceability sheets added, 75 Done / 5 Code-complete / 2 In progress / 18 Backlog, Sprint_Board formulas recalc-verified 0 errors.</t>
  </si>
  <si>
    <t xml:space="preserve">D13,ST-085/086,v008</t>
  </si>
  <si>
    <t xml:space="preserve">v008 Released</t>
  </si>
  <si>
    <t xml:space="preserve">E008</t>
  </si>
  <si>
    <t xml:space="preserve">2026-09-10 22:55</t>
  </si>
  <si>
    <t xml:space="preserve">EVENTS API RECEIVER (Launch #4 — Events API chosen over Socket Mode): HMAC signature verify (timing-safe), 5-min replay guard, event_id dedupe on Slack retries, retry queue with exp backoff + dead-letter after 5 attempts; url_verification challenge handled.</t>
  </si>
  <si>
    <t xml:space="preserve">LC-4,ST-070</t>
  </si>
  <si>
    <t xml:space="preserve">Launch #4 -&gt; Code-complete (live burst validation pending)</t>
  </si>
  <si>
    <t xml:space="preserve">Signing secret + live burst = Senthil workspace</t>
  </si>
  <si>
    <t xml:space="preserve">E009</t>
  </si>
  <si>
    <t xml:space="preserve">S8-S10</t>
  </si>
  <si>
    <t xml:space="preserve">ST-091 GRACEFUL DEGRADATION Done (breaker-wrapped platform calls, provider-specific user comms — PD outage warns responders NOT paged, replay queue, recovery tested); ST-074 scheduler Done (weekly metrics email wired). 7 LAUNCH ARTIFACTS DRAFTED: listing A/B, pricing+FAQ, trust page, runbook, comms templates, 15 help articles, k6 5x script.</t>
  </si>
  <si>
    <t xml:space="preserve">ST-091,ST-074,ST-065/080/084/088/093/095/096/098</t>
  </si>
  <si>
    <t xml:space="preserve">2 In-progress -&gt; Done; 8 stories -&gt; Drafted</t>
  </si>
  <si>
    <t xml:space="preserve">Review/hosting/staging = Senthil</t>
  </si>
  <si>
    <t xml:space="preserve">E010</t>
  </si>
  <si>
    <t xml:space="preserve">D13 TEST GATE MET (run 2): 19 suites / 122 tests, 100/100/100/100 held; tsc clean. WORKBOOK v009 RELEASED 22:55 — 77 Done / 5 Code-complete / 8 Drafted / 10 Backlog, recalc 0 errors. SANDBOX CEILING REACHED — all remaining items Senthil-gated.</t>
  </si>
  <si>
    <t xml:space="preserve">D13,v009</t>
  </si>
  <si>
    <t xml:space="preserve">v009 Released; sandbox exhausted</t>
  </si>
  <si>
    <t xml:space="preserve">Slack workspace, Stripe, vendors, A/B pick, D15</t>
  </si>
  <si>
    <t xml:space="preserve">v002 live run</t>
  </si>
  <si>
    <t xml:space="preserve">E011</t>
  </si>
  <si>
    <t xml:space="preserve">TRACKER v001 ISSUED — standalone sprint tracker + traceability (this file lineage) on the TeleField template: E001-E010, V008+V009 build boards, 11-col traceability, live rollup 77 Done/311 pts, RAID, D7 gate.</t>
  </si>
  <si>
    <t xml:space="preserve">Tracker lineage opened</t>
  </si>
  <si>
    <t xml:space="preserve">E012</t>
  </si>
  <si>
    <t xml:space="preserve">2026-09-10 23:10</t>
  </si>
  <si>
    <t xml:space="preserve">S1-live prep</t>
  </si>
  <si>
    <t xml:space="preserve">PRODUCT WORKBOOK v010 RELEASED (live-readiness): typed config loader (fail-fast, redacted), 12-step live sweep — 8 auto + 4 operator, dry-run tested incl. failure/exception paths, npm run live-sweep CLI; 30-min DEV_WORKSPACE_SETUP.md with least-privilege manifest.json + .env.example. D13 gate re-met: 21 suites/133 tests 100x4; jest.config edit slip caught pre-release (R-O7).</t>
  </si>
  <si>
    <t xml:space="preserve">v010,LC-1,R-O7</t>
  </si>
  <si>
    <t xml:space="preserve">LC-1 -&gt; Code-complete; sweep = S1-live exit script</t>
  </si>
  <si>
    <t xml:space="preserve">Workspace creds = Senthil</t>
  </si>
  <si>
    <t xml:space="preserve">E013</t>
  </si>
  <si>
    <t xml:space="preserve">SESSION CLOSED. Tracker v002 issued at close per D-OC4 (gap between v001 and workbook v010 corrected). NEXT SESSION: 2026-09-11 08:15 (not 03:50). Pickup: Session_Handoff sheet.</t>
  </si>
  <si>
    <t xml:space="preserve">D-OC4</t>
  </si>
  <si>
    <t xml:space="preserve">Tracker current with workbook v010</t>
  </si>
  <si>
    <t xml:space="preserve">Slack workspace, Stripe, vendors, A/B, D15 — all Senthil</t>
  </si>
  <si>
    <t xml:space="preserve">v003 after live run</t>
  </si>
  <si>
    <t xml:space="preserve">E014</t>
  </si>
  <si>
    <t xml:space="preserve">S9-S10</t>
  </si>
  <si>
    <t xml:space="preserve">COLD-REVIEW PASS 1 — F-001 billing payment-recovery missing (High, FIXED), F-002 usage cycle-reset missing (High, FIXED), F-003 dedupe ledger unbounded (Med, FIXED FIFO 10k), F-004 timeline config knobs dead (Med, FIXED); F-005 re-resolve/reopen semantics, F-006 breaker half-open, F-007 replayQueue cap, F-008 audit adapter — to disposition. REVIEW_PACK.md issued (ST-097 In progress).</t>
  </si>
  <si>
    <t xml:space="preserve">F-001..008,ST-097,v011</t>
  </si>
  <si>
    <t xml:space="preserve">4 fixes + 6 regression tests</t>
  </si>
  <si>
    <t xml:space="preserve">F-005/006/007 = Senthil</t>
  </si>
  <si>
    <t xml:space="preserve">E015</t>
  </si>
  <si>
    <t xml:space="preserve">S10</t>
  </si>
  <si>
    <t xml:space="preserve">OPS PARITY — blue/green deploy workflow (approval gate, warm rollback, coverage gate blocks deploy) + backup/restore drill script (checksum + row-count parity evidence). ST-092/ST-090 -&gt; Drafted.</t>
  </si>
  <si>
    <t xml:space="preserve">ST-090,ST-092,v011</t>
  </si>
  <si>
    <t xml:space="preserve">2 Backlog -&gt; Drafted</t>
  </si>
  <si>
    <t xml:space="preserve">Infra/Postgres = Senthil</t>
  </si>
  <si>
    <t xml:space="preserve">E016</t>
  </si>
  <si>
    <t xml:space="preserve">GATE RE-MET: 22 suites/139 tests 100x4, tsc clean, codebase v0.11.0. Workbook v011 + tracker v003 released together (D-OC4). Remaining Backlog (7) entirely external.</t>
  </si>
  <si>
    <t xml:space="preserve">D13,D-OC4,v011</t>
  </si>
  <si>
    <t xml:space="preserve">Tracker current with workbook</t>
  </si>
  <si>
    <t xml:space="preserve">Live queue unchanged + F-dispositions</t>
  </si>
  <si>
    <t xml:space="preserve">v004 after live run</t>
  </si>
  <si>
    <t xml:space="preserve">E017</t>
  </si>
  <si>
    <t xml:space="preserve">CODEABLE SCOPE (sibling-validated): ST-066 crypto module w/ rotation + tamper tests; ST-068 SECURITY_EVIDENCE.md (threat model + control-&gt;test map + vendor brief); ST-081 chat SLA engine over business-time calendar (breach + escalation) — CHAT VENDOR NOW OPTIONAL; ST-089 six accessible screen shells + jest-axe AA suite in CI.</t>
  </si>
  <si>
    <t xml:space="preserve">ST-066/068/081/089,v012</t>
  </si>
  <si>
    <t xml:space="preserve">068/089 -&gt; In progress; 081 -&gt; Code-complete; Backlog 7-&gt;4</t>
  </si>
  <si>
    <t xml:space="preserve">Live audit, pen test, dispositions = Senthil</t>
  </si>
  <si>
    <t xml:space="preserve">E018</t>
  </si>
  <si>
    <t xml:space="preserve">GATE: 25 suites/156 tests 100x4, tsc clean, v0.12.0. R-O8 logged (jsdom docblock pragma must sit alone — comment lines merged into env name; caught by gate). Workbook v012 + tracker v004 released (D-OC4). SANDBOX-CODEABLE BACKLOG EXHAUSTED — remaining 4 Backlog + all flips are Senthil/live-gated.</t>
  </si>
  <si>
    <t xml:space="preserve">D13,D-OC4,R-O8,v012</t>
  </si>
  <si>
    <t xml:space="preserve">Tracker current; ceiling re-reached</t>
  </si>
  <si>
    <t xml:space="preserve">Full queue Senthil-side</t>
  </si>
  <si>
    <t xml:space="preserve">v005 after live run</t>
  </si>
  <si>
    <t xml:space="preserve">E019</t>
  </si>
  <si>
    <t xml:space="preserve">COLD-REVIEW PASS 2 (modules pass 1 skipped): F-009 retention sweep never deleted anything — uninstall only scheduled a date while incident/timeline records lived on, breaching the published 30-day policy (FIXED: PurgeableStore registry + runRetentionSweep); F-010 unbounded error ledger; F-011 paging fan-out threw away who had already been paged (double-page on retry, nobody knew who needed manual escalation); F-012 postmortem accepted another incident timeline; F-013 CSV import broke on quoted commas/newlines (new RFC-4180 csv.ts).</t>
  </si>
  <si>
    <t xml:space="preserve">F-009..F-013,v013</t>
  </si>
  <si>
    <t xml:space="preserve">5 fixes, 11 regressions</t>
  </si>
  <si>
    <t xml:space="preserve">E020</t>
  </si>
  <si>
    <t xml:space="preserve">EXTERNAL VERIFICATION SWEEP vs live Slack docs: VER-OC1 LIVE-BLOCKING — 3-second slash-command ack contract; declare() did channel-create + post synchronously so a slow day meant user timeout errors AND Slack retries creating DUPLICATE incident channels; no test could see it (FlowCast VER-001 class). Fixed ack-first with response_url delivery. VER-OC2 channel naming + name_taken incl. archived channels. VER-OC3 12h token TTL, single-use refresh -&gt; expiry tracking + 2h-margin proactive refresh. VER-OC4 retry-x3 behaviour verified correct against existing dedupe.</t>
  </si>
  <si>
    <t xml:space="preserve">VER-OC1..OC4,v013</t>
  </si>
  <si>
    <t xml:space="preserve">3 fixes + 1 verified</t>
  </si>
  <si>
    <t xml:space="preserve">Live burst check needs workspace</t>
  </si>
  <si>
    <t xml:space="preserve">E021</t>
  </si>
  <si>
    <t xml:space="preserve">GATE: 27 suites/180 tests 100x4, tsc clean, v0.13.0. Two paging tests deliberately rewritten to the new PagingOutcome contract (old ones pinned the defective throw-away behaviour — L-OC2). Workbook v013 + tracker v005 released (D-OC4). COLD REVIEW COMPLETE across all modules; story counts unchanged — correctness, not scope.</t>
  </si>
  <si>
    <t xml:space="preserve">D13,D-OC4,v013</t>
  </si>
  <si>
    <t xml:space="preserve">Review complete</t>
  </si>
  <si>
    <t xml:space="preserve">Queue unchanged, all Senthil-side</t>
  </si>
  <si>
    <t xml:space="preserve">v006 after live run</t>
  </si>
  <si>
    <t xml:space="preserve">E022</t>
  </si>
  <si>
    <t xml:space="preserve">ARTIFACT-GAP AUDIT: cross-checked every path, route, npm script and file our docs, manifest, CI workflows and shell scripts reference against the repo. 5 gaps, 2 CRITICAL (GAP-OC1 no HTTP app; GAP-OC2 no DB schema). The uncomfortable finding: twelve releases and two cold-review passes at 100% coverage never noticed the product had no server — because every test called the modules directly.</t>
  </si>
  <si>
    <t xml:space="preserve">GAP-OC1..OC5,v014</t>
  </si>
  <si>
    <t xml:space="preserve">5 gaps opened</t>
  </si>
  <si>
    <t xml:space="preserve">E023</t>
  </si>
  <si>
    <t xml:space="preserve">BUILT the missing artifacts: framework-free router + app wiring the real modules across /slack/events, /slack/commands (3s ack contract), /slack/interactive, /oauth/callback, /health with signature verification, plus npm start shell; 5 ordered migrations with cascade deletes from installations and a drill-vs-schema parity test, plus npm run migrate; signed k6 fixture generator with distinct event ids; manifest.json at repo root; pricing matrix generated from billing.ts behind a drift gate. ST-088/ST-090 -&gt; Code-complete.</t>
  </si>
  <si>
    <t xml:space="preserve">ST-088,ST-090,v014</t>
  </si>
  <si>
    <t xml:space="preserve">2 stories advanced</t>
  </si>
  <si>
    <t xml:space="preserve">Staging URL + Postgres = Senthil</t>
  </si>
  <si>
    <t xml:space="preserve">E024</t>
  </si>
  <si>
    <t xml:space="preserve">GATE: 31 suites/201 tests 100x4, tsc clean, v0.14.0. The new pricing drift gate fired on first run (published 2,000 vs engine 2000) — separators normalised, check kept strict. Workbook v014 + tracker v006 released (D-OC4). The 30-minute setup guide is now genuinely executable end-to-end.</t>
  </si>
  <si>
    <t xml:space="preserve">D13,D-OC4,v014</t>
  </si>
  <si>
    <t xml:space="preserve">Setup path executable</t>
  </si>
  <si>
    <t xml:space="preserve">Workspace + Postgres</t>
  </si>
  <si>
    <t xml:space="preserve">v007 after live run</t>
  </si>
  <si>
    <t xml:space="preserve">E025</t>
  </si>
  <si>
    <t xml:space="preserve">COLD-REVIEW PASS 3 — scoped to the HTTP/tenancy surface v014 introduced, which had never been reviewed, using the defect classes sibling products surfaced. F-014 CRITICAL: no multi-tenancy anywhere — a single IncidentService, FeatureManager and id counter served every installed workspace, so workspace B could read workspace A incidents and INC ids collided. F-015 CRITICAL: /oauth/callback accepted any code with no state (CSRF). F-016: a valid Slack signature was treated as proof of an active installation. F-017: /health leaked version + queue depth unauthenticated.</t>
  </si>
  <si>
    <t xml:space="preserve">F-014..F-017,v015</t>
  </si>
  <si>
    <t xml:space="preserve">4 fixes, 12 regressions</t>
  </si>
  <si>
    <t xml:space="preserve">E026</t>
  </si>
  <si>
    <t xml:space="preserve">BUILT: TenantRegistry with per-workspace isolation, refusal of unscoped access and evict-on-purge; OAuthStateStore (HMAC-signed, TTL-bounded, single-use) plus a /oauth/start entry point; installation guard on /slack/commands returning a reinstall prompt; operator-token gate on detailed health with OPERATOR_TOKEN required at boot. serve.ts, .env.example and DEV_WORKSPACE_SETUP.md updated in the same pass — L-OC3 discipline so no artifact drifts from the code. VER-OC5 (MeetSync async-handler hang) checked: non-applicable, our router is synchronous with contained 500s.</t>
  </si>
  <si>
    <t xml:space="preserve">VER-OC5,v015</t>
  </si>
  <si>
    <t xml:space="preserve">Artifacts in sync</t>
  </si>
  <si>
    <t xml:space="preserve">Live run unchanged</t>
  </si>
  <si>
    <t xml:space="preserve">E027</t>
  </si>
  <si>
    <t xml:space="preserve">GATE: 32 suites/213 tests 100x4, tsc clean, v0.15.0. One v014 test asserted the pre-guard command contract and was updated deliberately (L-OC2). Workbook v015 + tracker v007 released (D-OC4). Cold review now spans passes 1-3 plus the artifact-gap audit and doc verification sweep.</t>
  </si>
  <si>
    <t xml:space="preserve">D13,D-OC4,v015</t>
  </si>
  <si>
    <t xml:space="preserve">Review surface complete</t>
  </si>
  <si>
    <t xml:space="preserve">v008 after live run</t>
  </si>
  <si>
    <t xml:space="preserve">E028</t>
  </si>
  <si>
    <t xml:space="preserve">AS-BUILT RE-BASELINE of the product workbook spec sheets — first revision since 05/09, written before any code existed and carried unchanged through nine releases. Rewrote Product_Spec (per-module built vs not-built + honest non-functional status), Screens_Wireframes (AB-1: 6 of 9 screens have shells, 0 data-wired, 0 wireframes — the largest artifact-vs-code divergence), Metrics_Targets (AB-3: 0 of 6 reportable end to end; the S12 kill/continue gate would have no evidence without a Postgres adapter).</t>
  </si>
  <si>
    <t xml:space="preserve">AB-1..AB-3,v016</t>
  </si>
  <si>
    <t xml:space="preserve">Spec sheets match code</t>
  </si>
  <si>
    <t xml:space="preserve">Postgres adapter for self-reporting</t>
  </si>
  <si>
    <t xml:space="preserve">E029</t>
  </si>
  <si>
    <t xml:space="preserve">F-018 — exposed by the audit, invisible to 213 passing tests: ST-054 role matrix was enforced at every call site but NOTHING ASSIGNED A ROLE. Every slash command ran as a hardcoded member and the OAuth callback as a hardcoded owner, so owner/admin capabilities were unreachable in production and the matrix was decorative. RoleResolver added: installer seeded as owner from the signed user_id, per-workspace scoping, promotion rules, last-owner demotion blocked, purge on retention; wired into /slack/commands and /oauth/callback.</t>
  </si>
  <si>
    <t xml:space="preserve">F-018,v016</t>
  </si>
  <si>
    <t xml:space="preserve">9 regressions</t>
  </si>
  <si>
    <t xml:space="preserve">E030</t>
  </si>
  <si>
    <t xml:space="preserve">GATE: 33 suites/222 tests 100x4, tsc clean, v0.16.0. Workbook v016 + tracker v008 released (D-OC4). Story counts unchanged — documentation and correctness, no scope movement. Review surface now: passes 1-3, artifact-gap audit, doc verification sweep, as-built re-baseline.</t>
  </si>
  <si>
    <t xml:space="preserve">D13,D-OC4,v016</t>
  </si>
  <si>
    <t xml:space="preserve">All audit types exhausted</t>
  </si>
  <si>
    <t xml:space="preserve">Queue unchanged, Senthil-side</t>
  </si>
  <si>
    <t xml:space="preserve">v009 after live run</t>
  </si>
  <si>
    <t xml:space="preserve">E031</t>
  </si>
  <si>
    <t xml:space="preserve">V16-06 EXECUTED — persistence layer: IncidentRepository + MetricsRepository contracts, in-memory AND Postgres adapters, ONE shared contract suite running the same 14 assertions against both so the deploy swap is proven rather than hoped (the Pg adapter runs against a SQL-executing fake, exercising its real statements, parameter order and row mapping). funnel_events migration added; F-014 tenant isolation re-asserted as an explicit contract test against shared storage.</t>
  </si>
  <si>
    <t xml:space="preserve">V16-06,AB-3,v017</t>
  </si>
  <si>
    <t xml:space="preserve">AB-3 code half closed</t>
  </si>
  <si>
    <t xml:space="preserve">Live DATABASE_URL = Senthil</t>
  </si>
  <si>
    <t xml:space="preserve">E032</t>
  </si>
  <si>
    <t xml:space="preserve">DASHBOARD READ API — /api/incidents, /api/incident, /api/analytics, /api/team, /api/billing. Tenant scope is taken from the session and NEVER from the query string (pinned by an attacker-style override test); every route runs through the real ST-054 matrix, so a member gets 403 on billing and an owner with no billing account gets 404 rather than a crash. AB-1 code half closed: 5 of 9 screens are data-backed; what remains is a rendered front-end, not an API.</t>
  </si>
  <si>
    <t xml:space="preserve">AB-1,v017</t>
  </si>
  <si>
    <t xml:space="preserve">5 screens data-backed</t>
  </si>
  <si>
    <t xml:space="preserve">Front-end not yet scoped</t>
  </si>
  <si>
    <t xml:space="preserve">E033</t>
  </si>
  <si>
    <t xml:space="preserve">GATE: 35 suites/243 tests 100x4, tsc clean, v0.17.0. Workbook v017 + tracker v009 released (D-OC4). Screens and Metrics sheets updated in place so the as-built record stays true one sprint after it was written. Story counts unchanged.</t>
  </si>
  <si>
    <t xml:space="preserve">D13,D-OC4,v017</t>
  </si>
  <si>
    <t xml:space="preserve">As-built record current</t>
  </si>
  <si>
    <t xml:space="preserve">Queue unchanged</t>
  </si>
  <si>
    <t xml:space="preserve">v010 after live run</t>
  </si>
  <si>
    <t xml:space="preserve">E034</t>
  </si>
  <si>
    <t xml:space="preserve">INTEGRATION CHECK of my own v017 work before opening anything new: grepped for callers of the new repositories. Only the dashboard API, and only reads. F-019 CRITICAL — read and write sides were different stores: incidents in an in-process Map, /api/incidents reading the repository, funnel stages never persisted. In production the dashboard would have been permanently empty and activation permanently 0, with 243 green tests.</t>
  </si>
  <si>
    <t xml:space="preserve">F-019,v018</t>
  </si>
  <si>
    <t xml:space="preserve">Defect in 1-hour-old code</t>
  </si>
  <si>
    <t xml:space="preserve">E035</t>
  </si>
  <si>
    <t xml:space="preserve">FIXED with write-through sinks as REQUIRED collaborators (an optional sink is precisely how this recurs) on IncidentService and Telemetry; buffers bounded at 10k with failed writes retained for the next flush and drops counted rather than silent; async retention sweep so the 30-day purge reaches repositories as well as in-process state; serve.ts wires sinks, flush timer and dashboard API. Nine regressions pin read and write to the same store.</t>
  </si>
  <si>
    <t xml:space="preserve">Read/write reunified</t>
  </si>
  <si>
    <t xml:space="preserve">E036</t>
  </si>
  <si>
    <t xml:space="preserve">GATE: 36 suites/252 tests 100x4, tsc clean, v0.18.0. Six suites updated for the changed constructors — deliberate, the contracts changed. Workbook v018 + tracker v010 released (D-OC4). V17-08 front-end decision deliberately NOT pre-empted: it is a 13-point spend I argued may be unnecessary, so it stays yours.</t>
  </si>
  <si>
    <t xml:space="preserve">D13,D-OC4,v018</t>
  </si>
  <si>
    <t xml:space="preserve">Release complete</t>
  </si>
  <si>
    <t xml:space="preserve">V17-08 + full queue Senthil-side</t>
  </si>
  <si>
    <t xml:space="preserve">v011 after live run</t>
  </si>
  <si>
    <t xml:space="preserve">E037</t>
  </si>
  <si>
    <t xml:space="preserve">SYSTEMATIC CALLER AUDIT — L-OC6 applied to every module rather than once. 12 modules had no importer outside tests. F-020 CRITICAL: the live declare handler was a stub returning a string, so F2 paging, F3 timeline, F4 postmortem and F5 status page could not be invoked by any user path; TenantRegistry (the F-014 isolation fix) and DegradationService (ST-091) were orphaned, so both claims rested on classes nothing used.</t>
  </si>
  <si>
    <t xml:space="preserve">F-020,v019</t>
  </si>
  <si>
    <t xml:space="preserve">Worst finding of the build</t>
  </si>
  <si>
    <t xml:space="preserve">E038</t>
  </si>
  <si>
    <t xml:space="preserve">FIXED — src/app/workflow.ts composition root: one workflow per workspace resolved through TenantRegistry; declare threads channel creation, timeline capture, responder paging, SEV1 status publish, funnel and onboarding; resolve threads timeline, postmortem and status clear; every external call runs through the circuit breaker, so a paging outage still declares the incident and tells the user to escalate manually. serve.ts wired with adapters that throw named wiring errors instead of pretending. 15 regressions incl. per-workspace id sequences and outage paths.</t>
  </si>
  <si>
    <t xml:space="preserve">All 5 features reachable</t>
  </si>
  <si>
    <t xml:space="preserve">Real adapters at deploy</t>
  </si>
  <si>
    <t xml:space="preserve">E039</t>
  </si>
  <si>
    <t xml:space="preserve">DegradedResult made a discriminated union so a degraded result always carries user comms — two unreachable defensive branches removed by design rather than pragma-ed (MeetSync precedent); four tests narrowed accordingly. GATE: 37 suites/263 tests 100x4, tsc clean, v0.19.0. Workbook v019 + tracker v011 released (D-OC4). V17-08 still deliberately not pre-empted.</t>
  </si>
  <si>
    <t xml:space="preserve">D13,D-OC4,v019</t>
  </si>
  <si>
    <t xml:space="preserve">V17-08 + queue Senthil-side</t>
  </si>
  <si>
    <t xml:space="preserve">v012 after live run</t>
  </si>
  <si>
    <t xml:space="preserve">E040</t>
  </si>
  <si>
    <t xml:space="preserve">REACHABILITY AUDIT of the 77 Done stories — R-O12 applied here first. 29 user-facing capabilities had no caller from any surface: feature rules, pause/resume, CSV import, notification preferences, usage metrics, timeline export, onboarding checklist and empty states, export/delete-my-data, plan change, cancellation, support chat, retention sweep, token refresh. Stories reading "the user can X" were true of the module, not the product.</t>
  </si>
  <si>
    <t xml:space="preserve">F-021,v020</t>
  </si>
  <si>
    <t xml:space="preserve">Overstatement measured</t>
  </si>
  <si>
    <t xml:space="preserve">E041</t>
  </si>
  <si>
    <t xml:space="preserve">BUILT src/http/adminApi.ts — 15 routes making those capabilities real. Session-scoped, matrix-gated (a member is refused data rights and billing), operational routes behind the operator token and never a session role. Repeated missing-field fallbacks and unknown-throw handling collapsed into two tested helpers rather than duplicated at ten call sites.</t>
  </si>
  <si>
    <t xml:space="preserve">22 stories genuinely reachable</t>
  </si>
  <si>
    <t xml:space="preserve">E042</t>
  </si>
  <si>
    <t xml:space="preserve">STATUS TRUTH PASS (AB-4) — the uncomfortable half: 7 stories still had no surface or no live traffic after the API work (weekly email, health score, heatmap, telemetry CSV export, alert thresholds, error-spike alerting, p95 measurement) and were reclassified Done -&gt; Module-only. DONE COUNT CORRECTED 77 -&gt; 70. Status vocabulary now defined in ReadMe_Scope; the Sprint_Board formula was left unchanged so the board reports the corrected number rather than the flattering one.</t>
  </si>
  <si>
    <t xml:space="preserve">AB-4,v020</t>
  </si>
  <si>
    <t xml:space="preserve">Done 77 -&gt; 70</t>
  </si>
  <si>
    <t xml:space="preserve">E043</t>
  </si>
  <si>
    <t xml:space="preserve">GATE: 38 suites/281 tests 100x4, tsc clean, v0.20.0. Workbook v020 + tracker v012 released (D-OC4). Position 70 Done / 8 Code-complete / 8 Drafted / 7 Module-only / 3 In progress / 4 Backlog.</t>
  </si>
  <si>
    <t xml:space="preserve">D13,D-OC4,v020</t>
  </si>
  <si>
    <t xml:space="preserve">v013 after live run</t>
  </si>
  <si>
    <t xml:space="preserve">E044</t>
  </si>
  <si>
    <t xml:space="preserve">MODULE-ONLY LIST CLOSED BY BUILDING, NOT RE-LABELLING. Notifier added and wired so a detected error spike actually leaves the process (WebhookNotifier retains and retries failed posts); /api/analytics/detail serves heatmap + health score + funnel; /api/analytics/export serves telemetry CSV owner-gated; /api/alerts/thresholds reads and writes thresholds with validation; Scheduler wired into serve.ts giving the weekly metrics email a runner; Router instrumented so p95 is measured per route and /ops/latency grades it against the real budgets.</t>
  </si>
  <si>
    <t xml:space="preserve">ST-072..077,ST-087,v021</t>
  </si>
  <si>
    <t xml:space="preserve">7 Module-only -&gt; Done</t>
  </si>
  <si>
    <t xml:space="preserve">E045</t>
  </si>
  <si>
    <t xml:space="preserve">A redundant always-true ternary in the latency report surfaced while closing coverage and was deleted rather than covered by a contrived test. GATE: 39 suites/291 tests 100x4, tsc clean, v0.21.0. Workbook v021 + tracker v013 released (D-OC4). Position 77 Done / 8 Code-complete / 8 Drafted / 3 In progress / 4 Backlog — and Done now carries the stricter meaning defined at 11:17.</t>
  </si>
  <si>
    <t xml:space="preserve">D13,D-OC4,v021</t>
  </si>
  <si>
    <t xml:space="preserve">Done restored on evidence</t>
  </si>
  <si>
    <t xml:space="preserve">v014 after live run</t>
  </si>
  <si>
    <t xml:space="preserve">E046</t>
  </si>
  <si>
    <t xml:space="preserve">S11</t>
  </si>
  <si>
    <t xml:space="preserve">SUBMISSION READINESS DRY-RUN built — 12 App Directory requirements. The 5 checkable ones are verified against real repo state, and the manifest check is a genuine cross-check: any bot scope not justified on the trust page BLOCKS submission. The other 7 are reported as HUMAN or LIVE with an owner, so nothing is quietly assumed ready.</t>
  </si>
  <si>
    <t xml:space="preserve">Submission_Readiness sheet added</t>
  </si>
  <si>
    <t xml:space="preserve">7 items Senthil-owned</t>
  </si>
  <si>
    <t xml:space="preserve">E047</t>
  </si>
  <si>
    <t xml:space="preserve">The checker failed itself on first run: no coverage summary existed, so it reported 0/0/0/0 and BLOCKED rather than assuming the gate was green. Fixed by emitting json-summary from Jest, not by weakening the check. VERDICT READY_TO_SUBMIT on the automated half (5 pass, 0 blocked, 7 awaiting a human or live platform). GATE: 40 suites/300 tests 100x4, tsc clean, v0.22.0. Workbook v022 + tracker v014 released (D-OC4).</t>
  </si>
  <si>
    <t xml:space="preserve">D13,D-OC4,v022</t>
  </si>
  <si>
    <t xml:space="preserve">v015 after live run</t>
  </si>
  <si>
    <t xml:space="preserve">E048</t>
  </si>
  <si>
    <t xml:space="preserve">SESSION CLOSED WITH NO CODE CHANGE — a deliberate call. Every audit type is exhausted (cold review passes 1-3, artifact-gap, doc verification, as-built re-baseline, reachability) and the submission dry-run passes every automated check, so further build work would be padding rather than progress. Issued docs/DECISION_BRIEF.md consolidating the three decisions behind five open items: F-005/006/007 dispositions (recommendations given), V17-08 front-end (recommend Slack-first — the API exists either way), D15 sequencing (no recommendation; it depends on your available hours, and leaving it unratified is the worst option).</t>
  </si>
  <si>
    <t xml:space="preserve">DECISION_BRIEF.md</t>
  </si>
  <si>
    <t xml:space="preserve">No state change — by design</t>
  </si>
  <si>
    <t xml:space="preserve">All remaining work is yours</t>
  </si>
  <si>
    <t xml:space="preserve">v016 on your answers</t>
  </si>
  <si>
    <t xml:space="preserve">E049</t>
  </si>
  <si>
    <t xml:space="preserve">DISPOSITIONS IMPLEMENTED — all three approved options, built properly rather than minimally. F-005 rebuilt the incident state machine: illegal transitions now refused (open-&gt;reopened, resolved-&gt;mitigated and double-resolve all throw), resolvedAt immutable after the first resolution, resolutions[] recording every instant, reopened a first-class state with a counter, timeToFirstResolutionMs() as the defensible MTTR input, reopen wired into the workflow with timeline and status-page effects, state machine documented in DATA_FLOW.md.</t>
  </si>
  <si>
    <t xml:space="preserve">F-005,v023</t>
  </si>
  <si>
    <t xml:space="preserve">7 regressions</t>
  </si>
  <si>
    <t xml:space="preserve">E050</t>
  </si>
  <si>
    <t xml:space="preserve">F-006 breaker given explicit closed/open/half_open states — exactly one probe admitted after cooldown while other callers wait; success closes, failure re-opens for a full cooldown (worth porting to FlowCast, VoiceBridge and MeetSync, which logged the same observation). F-007 replay queue bounded at 5,000 with drop-oldest and a public drop counter. GATE: 41 suites/315 tests 100x4, tsc clean, v0.23.0; submission dry-run re-run still READY_TO_SUBMIT. Workbook v023 + tracker v016 released (D-OC4). Every review finding F-001..F-021 is now closed.</t>
  </si>
  <si>
    <t xml:space="preserve">F-006,F-007,v023</t>
  </si>
  <si>
    <t xml:space="preserve">All findings closed</t>
  </si>
  <si>
    <t xml:space="preserve">SC-06 live run + D15 remain</t>
  </si>
  <si>
    <t xml:space="preserve">v017 on live evidence</t>
  </si>
  <si>
    <t xml:space="preserve">E051</t>
  </si>
  <si>
    <t xml:space="preserve">V17-08 RATIFIED (Option A, Slack-first) and implemented rather than treated as "no work". Choosing it exposed F-022: the Slack surface barely existed — the declare modal was three strings, with no incident message, no resolve/reopen controls and no App Home. Under a Slack-first product that was the entire UI.</t>
  </si>
  <si>
    <t xml:space="preserve">D-OC5,F-022,v024</t>
  </si>
  <si>
    <t xml:space="preserve">Decision closed + real surface built</t>
  </si>
  <si>
    <t xml:space="preserve">E052</t>
  </si>
  <si>
    <t xml:space="preserve">BUILT src/blockkit and wired it into the workflow behind one validation guard. F-023: Slack silently truncates over-limit payloads, so limits were verified against Slack published reference (24-char titles, 100 modal / 50 message blocks, 3000-char sections, 10 fields, 75-char buttons) and enforced at build time — the validator immediately caught a genuine bug in my own builder where a :warning: prefix pushed a truncated note back over the section cap.</t>
  </si>
  <si>
    <t xml:space="preserve">F-023,v024</t>
  </si>
  <si>
    <t xml:space="preserve">21 regressions</t>
  </si>
  <si>
    <t xml:space="preserve">E053</t>
  </si>
  <si>
    <t xml:space="preserve">SC-12 recategorised honestly: with no web client there is no CSS to audit, so accessibility is Block Kit conformance — no emoji-only status, meaning never carried by colour alone, labelled inputs, named buttons, alt text — now enforced on every view, with the scope statement published in TRUST_SECURITY.md and the live screen-reader pass kept as the residual human item. GATE: 42 suites/336 tests 100x4, v0.24.0, READY_TO_SUBMIT holds. Workbook v024 + tracker v017 released (D-OC4).</t>
  </si>
  <si>
    <t xml:space="preserve">SC-12,D13,D-OC4</t>
  </si>
  <si>
    <t xml:space="preserve">Automated a11y half closed</t>
  </si>
  <si>
    <t xml:space="preserve">D15 + SC-06 remain</t>
  </si>
  <si>
    <t xml:space="preserve">v018 on live evidence</t>
  </si>
  <si>
    <t xml:space="preserve">E054</t>
  </si>
  <si>
    <t xml:space="preserve">2026-09-13 11:45</t>
  </si>
  <si>
    <t xml:space="preserve">F-024 CRITICAL — checked the v024 surface before opening new work: every control was dead. /slack/interactive verified the signature, returned an empty 200 and discarded the payload, so a user clicking Resolve got no error, no state change, nothing. Fourth appearance of the orphan class in this build; this one was mine, seven minutes old.</t>
  </si>
  <si>
    <t xml:space="preserve">F-024,v025</t>
  </si>
  <si>
    <t xml:space="preserve">Defect in 7-minute-old code</t>
  </si>
  <si>
    <t xml:space="preserve">E055</t>
  </si>
  <si>
    <t xml:space="preserve">BUILT the interaction handler and wired it end to end. block_actions route to real transitions (mitigate/resolve/reopen) with per-workspace role resolution and an installation guard; view_submission is validated and returns field-level errors; a rejected transition (e.g. resolved -&gt; mitigated, now refused by the F-005 state machine) becomes a user-facing warning rather than a crash. Slack constraints honoured: the declare modal opens on the ACK path because trigger_id expires in ~3 seconds, and the empty-200 / response_action contract is followed so the user never watches a spinner.</t>
  </si>
  <si>
    <t xml:space="preserve">24 regressions</t>
  </si>
  <si>
    <t xml:space="preserve">E056</t>
  </si>
  <si>
    <t xml:space="preserve">A stale test asserting the old empty-ack contract was updated deliberately (the contract changed). Two of my own fixture bugs were caught: a default parameter swallowing an explicit undefined, and a malformed expression that silently removed 14 tests from the run — noticed because the total moved, not because anything failed. GATE: 43 suites/354 tests 100x4, tsc clean, v0.25.0; READY_TO_SUBMIT holds. Workbook v025 + tracker v018 released (D-OC4).</t>
  </si>
  <si>
    <t xml:space="preserve">D13,D-OC4,v025</t>
  </si>
  <si>
    <t xml:space="preserve">v019 on live evidence</t>
  </si>
  <si>
    <t xml:space="preserve">E057</t>
  </si>
  <si>
    <t xml:space="preserve">CALLER AUDIT (now routine per L-OC9) found F-025 CRITICAL: ST-066 claimed AES-256-GCM encryption at rest since 11 Sep and nothing ever called FieldCrypto. Slack access and refresh tokens were plaintext on the installation record while the trust page told customers they were encrypted — a published security claim that was not true. Fully covered code, entirely unapplied.</t>
  </si>
  <si>
    <t xml:space="preserve">F-025,v026</t>
  </si>
  <si>
    <t xml:space="preserve">Security claim made real</t>
  </si>
  <si>
    <t xml:space="preserve">E058</t>
  </si>
  <si>
    <t xml:space="preserve">FIXED — ciphertext-only storage with a key id, FieldCrypto as a REQUIRED collaborator so plaintext cannot creep back, decryption only at the point of an API call, ciphertext cleared on uninstall, re-encryption on rotation, ENCRYPTION_KEY required at boot, and the trust-page paragraph rewritten to match the code. One regression asserts no plaintext appears anywhere on the serialised record. CLN-1: obsolete web-shell module and its jest-axe suite removed — they carried apparent ST-089 evidence for a client V17-08 ratified out of existence.</t>
  </si>
  <si>
    <t xml:space="preserve">CLN-1,ST-089,v026</t>
  </si>
  <si>
    <t xml:space="preserve">Evidence matches reality</t>
  </si>
  <si>
    <t xml:space="preserve">Live at-rest infra evidence = Senthil</t>
  </si>
  <si>
    <t xml:space="preserve">E059</t>
  </si>
  <si>
    <t xml:space="preserve">Scripted patching of 20+ test construction sites for the new required collaborator mangled three of them; caught and repaired before release rather than after. GATE: 42 suites/350 tests 100x4, tsc clean, v0.26.0; READY_TO_SUBMIT holds. Workbook v026 + tracker v019 released (D-OC4).</t>
  </si>
  <si>
    <t xml:space="preserve">D13,D-OC4,v026</t>
  </si>
  <si>
    <t xml:space="preserve">v020 on live evidence</t>
  </si>
  <si>
    <t xml:space="preserve">E060</t>
  </si>
  <si>
    <t xml:space="preserve">PUBLISHED-PROMISE AUDIT — every customer-facing claim cross-checked against code rather than waiting for a third failure. F-026 CRITICAL: read-only after failed payment was promised in the help centre and dunning emails, set correctly on the account, and enforced nowhere — an account in arrears kept full write access; cancelled subscriptions too. F-027 CRITICAL: the incident limit the pricing page charges for was never counted against incident creation or refused at the cap. F-028: the 30-day deletion policy had no timer, only a hand-called endpoint.</t>
  </si>
  <si>
    <t xml:space="preserve">F-026,F-027,F-028,v027</t>
  </si>
  <si>
    <t xml:space="preserve">3 promises made real</t>
  </si>
  <si>
    <t xml:space="preserve">E061</t>
  </si>
  <si>
    <t xml:space="preserve">FIXED — Entitlements as a REQUIRED collaborator gating every mutating action, carrying a reason so the Slack surface can render the right guidance; reads deliberately stay open (an account in arrears must still see and export its own history); usage metered per declare with 80/100% warnings, cap refusal, cycle reset and upgrade headroom; retention sweep registered as a daily scheduled job so the policy executes whether or not anyone remembers.</t>
  </si>
  <si>
    <t xml:space="preserve">12 regressions</t>
  </si>
  <si>
    <t xml:space="preserve">E062</t>
  </si>
  <si>
    <t xml:space="preserve">An existing test legitimately broke because the new gate refused 60 declares on a 25-incident trial — fixed by giving that workspace a business plan, not by weakening the gate. Scripted harness patching mangled several call sites for the third time and was repaired before release; the script approach is the recurring risk, not the changes themselves. GATE: 43 suites/361 tests 100x4, tsc clean, v0.27.0; READY_TO_SUBMIT holds. Workbook v027 + tracker v020 released (D-OC4).</t>
  </si>
  <si>
    <t xml:space="preserve">D13,D-OC4,v027</t>
  </si>
  <si>
    <t xml:space="preserve">v021 on live evidence</t>
  </si>
  <si>
    <t xml:space="preserve">E063</t>
  </si>
  <si>
    <t xml:space="preserve">RESTART/DEPLOY SAFETY AUDIT, prompted by testing my own runbook claim that rollback is safe because replays are deduped — untrue across a restart. F-029 CRITICAL: process-local incident counter meant a restarted process reissued INC-0001, and the repository upserts by id, so a deploy would silently overwrite an older incident. F-030: roles lost on restart, everyone becomes member. F-031: dedupe ledger lost, Slack retries create duplicate incident channels after a deploy. F-032: buffered writes dropped at shutdown.</t>
  </si>
  <si>
    <t xml:space="preserve">F-029..F-032,v028</t>
  </si>
  <si>
    <t xml:space="preserve">4 defects, 1 data-corrupting</t>
  </si>
  <si>
    <t xml:space="preserve">E064</t>
  </si>
  <si>
    <t xml:space="preserve">FIXED — highestSequence() added to the repository contract and verified on BOTH adapters in the shared suite, with numbering reseeded at boot and seeding never lowering a live sequence; snapshot/restore for roles and for the dedupe ledger (cap-respecting); Lifecycle drains every registered buffer on SIGTERM/SIGINT, retries while progress continues, stops when storage is unreachable and REPORTS the loss with a non-zero exit rather than hiding it. Runbook rollback paragraph rewritten to state the real conditions.</t>
  </si>
  <si>
    <t xml:space="preserve">17 regressions</t>
  </si>
  <si>
    <t xml:space="preserve">E065</t>
  </si>
  <si>
    <t xml:space="preserve">GATE: 44 suites/375 tests 100x4, tsc clean, v0.28.0; READY_TO_SUBMIT holds. Workbook v028 + tracker v021 released (D-OC4). Story counts unchanged — correctness, not scope.</t>
  </si>
  <si>
    <t xml:space="preserve">D13,D-OC4,v028</t>
  </si>
  <si>
    <t xml:space="preserve">v022 on live evidence</t>
  </si>
  <si>
    <t xml:space="preserve">E066</t>
  </si>
  <si>
    <t xml:space="preserve">R-O14 CLOSED — the caveat raised last sprint was mine to fix. RoleRepository and DedupeRepository built with in-memory and Postgres adapters, both run through the SAME contract suite, plus migrations 0007/0008 and TENANT_TABLES coverage so the retention sweep reaches them.</t>
  </si>
  <si>
    <t xml:space="preserve">R-O14,v029</t>
  </si>
  <si>
    <t xml:space="preserve">Stores behind the hooks</t>
  </si>
  <si>
    <t xml:space="preserve">E067</t>
  </si>
  <si>
    <t xml:space="preserve">Roles write through on every grant rather than via a separate save step, and failures are surfaced — they now fail /health, since a silently failing role store produces wrong answers after the next restart. Dedupe uses INSERT ... ON CONFLICT DO NOTHING RETURNING, making the check atomic ACROSS REPLICAS, not just durable: two instances handling the same Slack retry cannot both win. serve.ts rehydrates roles, ledger and incident numbering before serving traffic.</t>
  </si>
  <si>
    <t xml:space="preserve">Replica-safe dedupe</t>
  </si>
  <si>
    <t xml:space="preserve">Pg adapters swap in at deploy</t>
  </si>
  <si>
    <t xml:space="preserve">E068</t>
  </si>
  <si>
    <t xml:space="preserve">GATE: 44 suites/387 tests 100x4, tsc clean, v0.29.0; READY_TO_SUBMIT holds. Workbook v029 + tracker v022 released (D-OC4). Story counts unchanged.</t>
  </si>
  <si>
    <t xml:space="preserve">D13,D-OC4,v029</t>
  </si>
  <si>
    <t xml:space="preserve">v023 on live evidence</t>
  </si>
  <si>
    <t xml:space="preserve">E069</t>
  </si>
  <si>
    <t xml:space="preserve">MULTI-REPLICA AUDIT. F-033 CRITICAL: yesterday I reported the id-collision risk fixed, but seeding from the stored maximum only covers a RESTART. Under blue/green two instances run together, both seed from the same number and both mint it — and the id-based upsert collapses two incidents into one row. F-034: every replica ran every scheduled job, so a two-instance deploy double-sends each weekly email and runs concurrent retention sweeps.</t>
  </si>
  <si>
    <t xml:space="preserve">F-033,F-034,v030</t>
  </si>
  <si>
    <t xml:space="preserve">2 defects, 1 data-corrupting</t>
  </si>
  <si>
    <t xml:space="preserve">E070</t>
  </si>
  <si>
    <t xml:space="preserve">FIXED — SequenceAllocator moves id allocation into the store on both adapters (atomic INSERT ... ON CONFLICT ... RETURNING; the row lock serialises replicas), seeded from stored data at boot and wired through the service; LeaseStore + lease-gated scheduling gives exactly one holder per job, with expiry so a crashed replica cannot stall it, no release by non-holders, recorded skips, and a hard error if a leased job has no lease store. My first allocation attempt skipped an id after an allocation — caught by its own regression, not by review.</t>
  </si>
  <si>
    <t xml:space="preserve">13 regressions</t>
  </si>
  <si>
    <t xml:space="preserve">E071</t>
  </si>
  <si>
    <t xml:space="preserve">F-035 LOGGED OPEN, DELIBERATELY NOT STARTED — entitlement usage remains in the in-memory billing store, so two replicas count separately and a workspace could exceed its plan by up to one cap per replica. The fix is the same shape as the others (BillingRepository, both adapters, shared contract suite) and needs a full sprint; starting it half-way is exactly the pattern criticised all day. Mitigation until then: run ONE replica, or accept the over-count. GATE: 45 suites/407 tests 100x4, v0.30.0; READY_TO_SUBMIT holds. Workbook v030 + tracker v023 released (D-OC4).</t>
  </si>
  <si>
    <t xml:space="preserve">F-035,D13,D-OC4</t>
  </si>
  <si>
    <t xml:space="preserve">Honest open item</t>
  </si>
  <si>
    <t xml:space="preserve">F-035 needs a sprint</t>
  </si>
  <si>
    <t xml:space="preserve">E072</t>
  </si>
  <si>
    <t xml:space="preserve">F-035 CLOSED — BillingRepository with both adapters in the shared contract suite, migration 0011, and an atomic claimUsage that does the cap check and increment in one statement. Regression alternates two replicas across 35 attempts on a 25-incident plan: exactly 25 allowed, not 50.</t>
  </si>
  <si>
    <t xml:space="preserve">F-035,v031</t>
  </si>
  <si>
    <t xml:space="preserve">Shared allowance enforced</t>
  </si>
  <si>
    <t xml:space="preserve">E073</t>
  </si>
  <si>
    <t xml:space="preserve">SECOND FAILURE FOUND WHILE FIXING THE FIRST: a restart reset readOnly to false, silently unblocking a delinquent account — arrears now rehydrate at boot, and billing write failures fail /health alongside the role store. A refused gate spends no allowance. R-O15 withdrawn: the single-replica mitigation is no longer required.</t>
  </si>
  <si>
    <t xml:space="preserve">R-O15,v031</t>
  </si>
  <si>
    <t xml:space="preserve">Mitigation withdrawn</t>
  </si>
  <si>
    <t xml:space="preserve">E074</t>
  </si>
  <si>
    <t xml:space="preserve">Two of my own fixtures used a fixed clock so the grace period never elapsed — fixed rather than loosening the assertions. A migration ordering slip (0011 before 0010) was caught by the schema test written eleven sprints ago, which is the argument for writing that kind of test. GATE: 46 suites/424 tests 100x4, tsc clean, v0.31.0; READY_TO_SUBMIT holds. Workbook v031 + tracker v024 released (D-OC4).</t>
  </si>
  <si>
    <t xml:space="preserve">D13,D-OC4,v031</t>
  </si>
  <si>
    <t xml:space="preserve">v025 on live evidence</t>
  </si>
  <si>
    <t xml:space="preserve">E075</t>
  </si>
  <si>
    <t xml:space="preserve">CIRCULAR-EVIDENCE AUDIT — every "both adapters" claim rested on fakes written to match my own SQL. Installed pg-mem and ran the real migrations and adapter statements through an actual SQL engine.</t>
  </si>
  <si>
    <t xml:space="preserve">v032</t>
  </si>
  <si>
    <t xml:space="preserve">3 defects found immediately</t>
  </si>
  <si>
    <t xml:space="preserve">E076</t>
  </si>
  <si>
    <t xml:space="preserve">F-036 CRITICAL: installations were never persisted, and incidents.team_id is a foreign key to installations(team_id) — every incident insert would have failed in production. Because the sink retains failed rows, it would have shown up as a silently growing backlog, not an alert. F-037: token columns NOT NULL while uninstall clears them. F-038: Postgres-only regex operator replaced with portable LIKE. All fixed; InstallationRepository on both adapters with boot rehydration before any child write and deletion in the retention sweep.</t>
  </si>
  <si>
    <t xml:space="preserve">F-036,F-037,F-038,v032</t>
  </si>
  <si>
    <t xml:space="preserve">8 regressions</t>
  </si>
  <si>
    <t xml:space="preserve">E077</t>
  </si>
  <si>
    <t xml:space="preserve">OBS-OC2 — pg-mem deviates from Postgres on ON CONFLICT DO NOTHING ... RETURNING and on conditional DO UPDATE. Verified the deviation directly rather than assuming my code was wrong and "fixing" correct SQL; the dedupe and lease semantics stay asserted against the in-memory adapters while the SQL is still executed for syntax. A real-Postgres check remains a live item.</t>
  </si>
  <si>
    <t xml:space="preserve">OBS-OC2,v032</t>
  </si>
  <si>
    <t xml:space="preserve">Deviation documented</t>
  </si>
  <si>
    <t xml:space="preserve">Real Postgres at deploy</t>
  </si>
  <si>
    <t xml:space="preserve">E078</t>
  </si>
  <si>
    <t xml:space="preserve">GATE: 47 suites/445 tests 100x4, tsc clean, v0.32.0; READY_TO_SUBMIT holds. Workbook v032 + tracker v025 released (D-OC4).</t>
  </si>
  <si>
    <t xml:space="preserve">D13,D-OC4,v032</t>
  </si>
  <si>
    <t xml:space="preserve">v026 on live evidence</t>
  </si>
  <si>
    <t xml:space="preserve">E079</t>
  </si>
  <si>
    <t xml:space="preserve">V32-07 CLOSED HERE rather than left on Senthil’s list — a real PostgreSQL 16 was provisioned in the container and the adapters run against it. FK enforcement rejects an orphan incident; token columns accept NULL on a revoked install; cascade delete removes child incidents; the portable LIKE ignores a non-conforming id and returns the right sequence.</t>
  </si>
  <si>
    <t xml:space="preserve">V32-07,v033</t>
  </si>
  <si>
    <t xml:space="preserve">8 real-DB tests</t>
  </si>
  <si>
    <t xml:space="preserve">E080</t>
  </si>
  <si>
    <t xml:space="preserve">THE PART NO FAKE COULD PROVE: genuine concurrency. 20 parallel sequence claims produce 20 distinct ids; 30 parallel usage claims against a cap of 10 admit exactly 10. OBS-OC2 closed — ON CONFLICT DO NOTHING ... RETURNING returns no row and the conditional DO UPDATE holds the lease, exactly as assumed, so not "fixing" correct SQL to satisfy pg-mem was the right call and is now evidenced.</t>
  </si>
  <si>
    <t xml:space="preserve">OBS-OC2,v033</t>
  </si>
  <si>
    <t xml:space="preserve">Concurrency proven</t>
  </si>
  <si>
    <t xml:space="preserve">E081</t>
  </si>
  <si>
    <t xml:space="preserve">CI gained a postgres:16 service job and npm run test:pg; the Postgres suite skips cleanly when no server is configured so the main gate runs anywhere. GATE: 48 suites/453 tests (445 run + 8 gated) 100x4, tsc clean, v0.33.0; READY_TO_SUBMIT holds. Workbook v033 + tracker v026 released (D-OC4).</t>
  </si>
  <si>
    <t xml:space="preserve">D13,D-OC4,v033</t>
  </si>
  <si>
    <t xml:space="preserve">v027 on live evidence</t>
  </si>
  <si>
    <t xml:space="preserve">E082</t>
  </si>
  <si>
    <t xml:space="preserve">L-OC15 APPLIED TO OUR OWN HANDOVER: two items parked as Senthil-only were partly mine. SC-08 pen test — the sandbox half was a document, not a test. ST-088 load run — blocked on a staging URL that only the network half actually needs.</t>
  </si>
  <si>
    <t xml:space="preserve">SC-08,ST-088,v034</t>
  </si>
  <si>
    <t xml:space="preserve">2 items advanced</t>
  </si>
  <si>
    <t xml:space="preserve">E083</t>
  </si>
  <si>
    <t xml:space="preserve">18-CASE ADVERSARIAL SUITE now in CI: signature forgery, wrong secret, replay outside the window, truncated signatures, tenant escape via supplied team id, cross-workspace role bleed, self-granted roles, admin-minted owners, member access to billing and deletion, operator bypass attempts, OAuth CSRF (absent, forged, replayed state), SQL/script-shaped input, oversized and junk bodies, stack-trace and connection-string leakage, plaintext-token leakage.</t>
  </si>
  <si>
    <t xml:space="preserve">SC-08,v034</t>
  </si>
  <si>
    <t xml:space="preserve">Permanent regressions</t>
  </si>
  <si>
    <t xml:space="preserve">Third-party engagement still open</t>
  </si>
  <si>
    <t xml:space="preserve">E084</t>
  </si>
  <si>
    <t xml:space="preserve">F-039 FOUND BY THAT SUITE: a malformed body answered 500 instead of 400 — wrong status, and worse, the error-spike detector pages on 500s, so junk input could have raised an incident about our own parser. Fixed with regressions for junk text and valid-JSON-but-not-an-object.</t>
  </si>
  <si>
    <t xml:space="preserve">F-039,v034</t>
  </si>
  <si>
    <t xml:space="preserve">Real defect</t>
  </si>
  <si>
    <t xml:space="preserve">E085</t>
  </si>
  <si>
    <t xml:space="preserve">ST-088 MEASURED in-process at 20 rps for 30s: 600 requests, 0 errors, p95 within budget, gating CI — recorded with the limit stated (mocked adapters, so it proves our code is not the bottleneck and nothing about network, DB or Slack latency). GATE: 49 suites/473 tests 100x4, v0.34.0; READY_TO_SUBMIT holds. Workbook v034 + tracker v027 released (D-OC4).</t>
  </si>
  <si>
    <t xml:space="preserve">ST-088,D13,D-OC4</t>
  </si>
  <si>
    <t xml:space="preserve">Staging, vendor, D15, SC-06 remain</t>
  </si>
  <si>
    <t xml:space="preserve">E086</t>
  </si>
  <si>
    <t xml:space="preserve">SUP-1 supply chain: npm audit clean, 0 vulnerabilities with and without dev dependencies. CLN-2 documentation drift: the README described the v0.8 codebase — 8 of 19 directories, no HTTP surface, no persistence layer, no Block Kit views, and a module deleted three sprints ago still listed. Rewritten to reality including the boot restore order, so the F-036 foreign-key lesson is recorded where the next engineer will read it.</t>
  </si>
  <si>
    <t xml:space="preserve">CLN-2,SUP-1,v035</t>
  </si>
  <si>
    <t xml:space="preserve">First-read artifact accurate</t>
  </si>
  <si>
    <t xml:space="preserve">E087</t>
  </si>
  <si>
    <t xml:space="preserve">CLOSING POSITION. Every lens available in a sandbox has been applied across 28 releases: cold review passes 1-3, doc verification against the platform, artifact-gap audit, as-built re-baseline, reachability and caller audits, published-promise audit, restart and deploy safety, multi-replica correctness, real-database verification, adversarial security, load measurement, supply chain and documentation accuracy. 39 findings fixed, 11 of them critical or live-blocking, most invisible to a 100% coverage gate. I am not planning further sprints: the remaining items need live credentials, an external party, or a decision only Senthil can make.</t>
  </si>
  <si>
    <t xml:space="preserve">D13,D-OC4,v035</t>
  </si>
  <si>
    <t xml:space="preserve">Sandbox work complete</t>
  </si>
  <si>
    <t xml:space="preserve">D15, SC-06/07, pen test, reviewer, assets</t>
  </si>
  <si>
    <t xml:space="preserve">v029 on live evidence</t>
  </si>
  <si>
    <t xml:space="preserve">E088</t>
  </si>
  <si>
    <t xml:space="preserve">2026-09-13 20:44</t>
  </si>
  <si>
    <t xml:space="preserve">EXTERNAL REVIEW RECEIVED. ChatGPT independent review V001 of the V035 package: 20 findings, 10 BLOCKER, overall verdict CONTINUE at 5.5/10 with "stop calling this enterprise-ready". This is the first genuinely independent review of this product and it opens tracker v029 exactly as the v029 row predicted.</t>
  </si>
  <si>
    <t xml:space="preserve">CF-001..CF-020,v029</t>
  </si>
  <si>
    <t xml:space="preserve">Review received</t>
  </si>
  <si>
    <t xml:space="preserve">E089</t>
  </si>
  <si>
    <t xml:space="preserve">2026-09-13 21:10</t>
  </si>
  <si>
    <t xml:space="preserve">S36</t>
  </si>
  <si>
    <t xml:space="preserve">FINDINGS VERIFIED BEFORE ANY CHANGE. tsc over scripts/serve.ts reports 4 errors (TS2448/TS2454) while the CI gate npx tsc --noEmit exits 0. Baseline suite: 473 tests, 48 suites, 100% on all four metrics, green — against a composition root that cannot start. Root cause found and it is not in the review: tsconfig included src/** only and jest.config.js excludes scripts/, so the file that chooses every adapter was type-checked by nothing and imported by no test.</t>
  </si>
  <si>
    <t xml:space="preserve">CF-001,L-OC16</t>
  </si>
  <si>
    <t xml:space="preserve">Review confirmed; new defect class identified</t>
  </si>
  <si>
    <t xml:space="preserve">E090</t>
  </si>
  <si>
    <t xml:space="preserve">2026-09-13 21:40</t>
  </si>
  <si>
    <t xml:space="preserve">COMPOSITION ROOT REBUILT. src/composition/production.ts created inside both gates: buildDataPlane (in-memory for development, eight Pg adapters for staging/production, refuse production without a connection), inspectComposition/assertProductionComposition (refuse in-memory stores, recording notifiers, fake billing, unwired platform adapters, and services built without their persistence collaborator), providerReadiness for /ops/composition.</t>
  </si>
  <si>
    <t xml:space="preserve">CF-001,002,003,010,011,012,014,015</t>
  </si>
  <si>
    <t xml:space="preserve">Five BLOCKERs closed</t>
  </si>
  <si>
    <t xml:space="preserve">E091</t>
  </si>
  <si>
    <t xml:space="preserve">2026-09-13 22:05</t>
  </si>
  <si>
    <t xml:space="preserve">S38-S39</t>
  </si>
  <si>
    <t xml:space="preserve">SURFACES MADE REACHABLE. Router gained real async routes (registerAsync/handleAsync) so dashboard reads return their payload instead of an empty 202; src/http/session.ts issues a signed, expiring, tenant-bound cookie at the OAuth callback with double-submit CSRF; InstallService became the authority on whether a workspace is installed; DataRights became a coordinator over six real tenant stores and retention now covers incidents and metrics.</t>
  </si>
  <si>
    <t xml:space="preserve">CF-005,006,007,008,009</t>
  </si>
  <si>
    <t xml:space="preserve">Four BLOCKERs and one HIGH closed</t>
  </si>
  <si>
    <t xml:space="preserve">E092</t>
  </si>
  <si>
    <t xml:space="preserve">2026-09-13 22:20</t>
  </si>
  <si>
    <t xml:space="preserve">A TEST HAD ENCODED THE DEFECT. tests/abuse.security.test.ts asserted expect(direct.status).toBe(202) with the comment "async shell" — the CF-007 swallow written down as expected behaviour, which is why the suite could never have caught it. Rewritten to assert a real 200 payload, an empty list for the attacker and a 404 on the cross-tenant read.</t>
  </si>
  <si>
    <t xml:space="preserve">CF-007,L-OC17</t>
  </si>
  <si>
    <t xml:space="preserve">Real defect in the suite itself</t>
  </si>
  <si>
    <t xml:space="preserve">E093</t>
  </si>
  <si>
    <t xml:space="preserve">2026-09-13 22:40</t>
  </si>
  <si>
    <t xml:space="preserve">PACKAGING AND PIPELINE. pg moved to dependencies, ts-node out of the production path, npm start runs node dist/scripts/serve.js, engines and files declared, multi-stage non-root Dockerfile added. CI reordered to build -&gt; typecheck:all -&gt; tests, with a package job that installs without dev dependencies and asserts that a production boot refuses the current composition.</t>
  </si>
  <si>
    <t xml:space="preserve">CF-013,CF-020,CB-03</t>
  </si>
  <si>
    <t xml:space="preserve">Production install path proven</t>
  </si>
  <si>
    <t xml:space="preserve">E094</t>
  </si>
  <si>
    <t xml:space="preserve">2026-09-13 23:05</t>
  </si>
  <si>
    <t xml:space="preserve">GATE RE-RUN AND BOOT SMOKE. 51 suites / 527 tests / 519 passing / 8 skipped at 100% statements, branches, functions and lines. Clean tsc over src AND scripts for the first time. Built artifact run in both modes: APP_ENV=production exits naming all seven unwired providers; APP_ENV=development boots, prints the route table and drains cleanly on SIGTERM.</t>
  </si>
  <si>
    <t xml:space="preserve">v0.36.0,CF-001..015</t>
  </si>
  <si>
    <t xml:space="preserve">9 findings FIXED, 3 PARTIAL, 8 OPEN</t>
  </si>
  <si>
    <t xml:space="preserve">Slack/Stripe/KMS/IdP/pen test all Senthil-gated</t>
  </si>
  <si>
    <t xml:space="preserve">E095</t>
  </si>
  <si>
    <t xml:space="preserve">RELEASE v029 / workbook v036 / codebase v0.36.0. Artefacts regenerated from the code rather than from memory (CB-11): README rewritten and now asserted by tests, Traceability gains a Runtime_Reachable column, three new sheets. Two decisions raised rather than taken: D-OC6 (whose definition of Done governs — the answer moves the headline count from 77 to 54) and D-OC7 (Opsgenie repositioning ahead of S41).</t>
  </si>
  <si>
    <t xml:space="preserve">D-OC6,D-OC7,v029</t>
  </si>
  <si>
    <t xml:space="preserve">D15, D-OC6, D-OC7, SC-06/07, pen test, reviewer</t>
  </si>
  <si>
    <t xml:space="preserve">v030 on S37-S38 or a live run</t>
  </si>
  <si>
    <t xml:space="preserve">E096</t>
  </si>
  <si>
    <t xml:space="preserve">2026-09-16 19:32</t>
  </si>
  <si>
    <t xml:space="preserve">SECOND INDEPENDENT REVIEW RECEIVED (Perplexity Computer). Deliberately not a re-audit of CF-001..020: 12 new findings, PX-001 BLOCKER (sync platform boundary), PX-002 BLOCKER (plan limits unenforced — a regression of F-026/027), PX-003/004/005 HIGH. Verdict CONTINUE 6.1/10; engineering discipline scored 9.0; market attractiveness cut to 5.0 (incident.io free tier covers four of five modules). Central instruction: PX-S0 must land before S37/S38/S40/S41 or those sprints are re-worked.</t>
  </si>
  <si>
    <t xml:space="preserve">PX-001..PX-012, D-OC6/7</t>
  </si>
  <si>
    <t xml:space="preserve">Review received; v030 opened</t>
  </si>
  <si>
    <t xml:space="preserve">E097</t>
  </si>
  <si>
    <t xml:space="preserve">2026-09-20 10:54</t>
  </si>
  <si>
    <t xml:space="preserve">PX-S0</t>
  </si>
  <si>
    <t xml:space="preserve">FINDINGS VERIFIED BEFORE ANY CHANGE. Baseline reproduced: 51 suites / 527 tests / 519 passing at 100x4, tsc clean. Confirmed every PX finding in source; found the boundary WIDER than reported — OAuthClient, PaymentProvider and the live-sweep SlackApi were synchronous too (nine interfaces, not four), and the OAuth client was a third un-inventoried provider (PX-003 listed two). Financial model reproduced from the sheet's own assumptions: M18 net +$444, cumulative −$213,302.</t>
  </si>
  <si>
    <t xml:space="preserve">PX-001,PX-003,PX-009</t>
  </si>
  <si>
    <t xml:space="preserve">Review confirmed and widened</t>
  </si>
  <si>
    <t xml:space="preserve">E098</t>
  </si>
  <si>
    <t xml:space="preserve">2026-09-20 11:40</t>
  </si>
  <si>
    <t xml:space="preserve">ASYNC PLATFORM BOUNDARY. Nine interfaces Promise-returning; IncidentWorkflow.declare/resolve/reopen, timeline capture, DegradationService, CircuitBreaker (opens exactly once under 5 concurrent failures) and the ack contract converted; every platform call under a 10 s budget — a timeout is a degraded result, never a hang; the AI call moved under its own breaker so a slow model cannot hold a resolve hostage. 26 suites migrated with assertions kept. New gate tests/px/asyncBoundary: compiler-API assertion over the interfaces, reflection over real adapter instances, floating-promise rule over src/ and scripts/. The gate's FIRST run found two stubs that threw synchronously and one floating .then.</t>
  </si>
  <si>
    <t xml:space="preserve">ST-101..ST-107</t>
  </si>
  <si>
    <t xml:space="preserve">PX-001 FIXED</t>
  </si>
  <si>
    <t xml:space="preserve">E099</t>
  </si>
  <si>
    <t xml:space="preserve">2026-09-20 12:05</t>
  </si>
  <si>
    <t xml:space="preserve">PX-S1</t>
  </si>
  <si>
    <t xml:space="preserve">ENFORCE WHAT IS SOLD. recordWrite deleted; declare() and reopen() await claimWrite(); enforcementWiring test builds the PRODUCTION composition (composeRuntime + real data plane) and asserts limit+1 refused with the store's counter at limit; two runtimes on one store cannot jointly exceed the cap; monthly reset is a leased once-per-cycle job. Pricing axis moved to workspace-size bands (D-OC8, reversible in one table) with PRICING_FAQ regenerated and gate-tested. audit.mjs v3 A10 ('enforcement method with no caller outside tests') then found PX-013 in our own fix: F-033's atomic id allocator had never been on the declare path. Fixed the same hour.</t>
  </si>
  <si>
    <t xml:space="preserve">ST-108..ST-113, ST-125, PX-013</t>
  </si>
  <si>
    <t xml:space="preserve">PX-002 FIXED; PX-013 found and FIXED</t>
  </si>
  <si>
    <t xml:space="preserve">D-OC8 to ratify</t>
  </si>
  <si>
    <t xml:space="preserve">E100</t>
  </si>
  <si>
    <t xml:space="preserve">2026-09-20 12:35</t>
  </si>
  <si>
    <t xml:space="preserve">PX-S2</t>
  </si>
  <si>
    <t xml:space="preserve">CLOSE THE GATE'S BLIND SPOTS. Service wiring moved from scripts/serve.ts into src/composition/runtime.ts (importable by tests); REQUIRED_PROVIDERS a closed, typed set of ten (adds responseUrlPoster, modalOpener, oauth); every provider exposes healthcheck() and production probes all of them — a fully-faked-but-healthy composition is PERMITTED, a correctly-named-but-failing one REFUSED by name. Deferred work persisted (deferred_work, migration 0014), leased, drained first by Lifecycle on SIGTERM and restored after kill -9; Lifecycle re-checks pending per round. Lease frequency in the store (last_run_at, 0013). Paging id widened and derived from the adapter. Dedupe window time-bounded (6 h). Session revocation by install epoch (PX-010, pulled forward from S38). Key rotation route with EnvKeyVault (PX-005, pulled forward from S43). scripts/ inside the coverage gate with a boot smoke that drives serve.ts in all three modes.</t>
  </si>
  <si>
    <t xml:space="preserve">ST-114..ST-124</t>
  </si>
  <si>
    <t xml:space="preserve">PX-003..008, 010, 011 FIXED</t>
  </si>
  <si>
    <t xml:space="preserve">KMS (S43), real adapters (S38-S41)</t>
  </si>
  <si>
    <t xml:space="preserve">E101</t>
  </si>
  <si>
    <t xml:space="preserve">2026-09-20 12:50</t>
  </si>
  <si>
    <t xml:space="preserve">GATE RE-RUN, BUILT ARTIFACT, TOOLING. 60 suites / 624 tests (616 run, 8 gated on a real Postgres) at 100% statements, branches, functions and lines over src/ AND scripts/; clean tsc over src+scripts and tests. Built artifact: APP_ENV=production refuses naming all ten providers and their probe results; APP_ENV=development boots, answers /health and /ops/composition, drains cleanly on SIGTERM — now also asserted by the CI package job. npm audit 0 vulnerabilities. audit.mjs v3 (A10 enforcement-without-caller, A11 gate-by-enumeration, A12 queue-without-lifecycle, A13 sync platform interface) run against V036 fires on all four classes; against V037 only A12 remains (PX-014 replay queue, PX-015 receiver retry queue — open, S42/S38). Playbook v3 issued with four new classes and four new judgement checks.</t>
  </si>
  <si>
    <t xml:space="preserve">audit.mjs v3, playbook v3</t>
  </si>
  <si>
    <t xml:space="preserve">Release gate green</t>
  </si>
  <si>
    <t xml:space="preserve">PX-014/015 open with owners</t>
  </si>
  <si>
    <t xml:space="preserve">E102</t>
  </si>
  <si>
    <t xml:space="preserve">RELEASE v030 / workbook v037 / codebase v0.37.0. Artefacts regenerated from the code (CB-11): README, PRICING_FAQ, DATA_FLOW, TRUST_SECURITY, docs/PERPLEXITY_REVIEW_V001_RESPONSE.md. Tracker: Review_PX_Findings (15 rows), V037_Build_Board, roadmap re-sequenced with PX-S0..PX-S3, 30 stories ST-101..ST-130 added and every existing task retained, D-OC8 raised, RAID +8, gate checklist G-00/06/07 updated and G-08 added. Reachability count deliberately unchanged (54): PX-S0..S2 make the adapters DROP-INS, they do not wire them — that is S38, and it needs the workspace.</t>
  </si>
  <si>
    <t xml:space="preserve">D-OC4, D-OC8, CB-11</t>
  </si>
  <si>
    <t xml:space="preserve">D-OC6, D-OC7, D-OC8, D15, SC-06/07, KMS, pen test, third reviewer</t>
  </si>
  <si>
    <t xml:space="preserve">v031 on S37/S38 or live evidence</t>
  </si>
  <si>
    <t xml:space="preserve">DECISIONS (tracker scope)</t>
  </si>
  <si>
    <t xml:space="preserve">Decision</t>
  </si>
  <si>
    <t xml:space="preserve">Rationale</t>
  </si>
  <si>
    <t xml:space="preserve">Decided by</t>
  </si>
  <si>
    <t xml:space="preserve">D13</t>
  </si>
  <si>
    <t xml:space="preserve">(Portfolio-wide) Discovery interviews parked; development proceeds with 100% automation test coverage on all code (supersedes ST-085 &gt;=70% gate).</t>
  </si>
  <si>
    <t xml:space="preserve">Senthil 10 Sep 20:45; applied to OnCall Copilot per 22:22 directive.</t>
  </si>
  <si>
    <t xml:space="preserve">Senthil</t>
  </si>
  <si>
    <t xml:space="preserve">LOCKED</t>
  </si>
  <si>
    <t xml:space="preserve">D15</t>
  </si>
  <si>
    <t xml:space="preserve">OnCall Copilot (wave-3) opened 22:22 alongside RevRescue/TeleField/FlowCast/RetainKit/EngageOS/DocMerge/ShiftDesk while rank-1 gate unmet — sequencing mode (hold-serial vs formal-parallel) unratified; eight concurrent builds.</t>
  </si>
  <si>
    <t xml:space="preserve">Senthil "continue" directives across products; R1 serial rule formally intact until ratified.</t>
  </si>
  <si>
    <t xml:space="preserve">Senthil (pending)</t>
  </si>
  <si>
    <t xml:space="preserve">OPEN — pick (a) or (b); PX-S0..S2 consumed a full engineering band on this product alone (review decision 5)</t>
  </si>
  <si>
    <t xml:space="preserve">D-OC1</t>
  </si>
  <si>
    <t xml:space="preserve">Stack = TypeScript/Node per v007 ReadMe market-standard assumption; in-memory repositories behind interfaces (no Postgres in sandbox), Postgres adapter at deploy.</t>
  </si>
  <si>
    <t xml:space="preserve">Matches accepted precedent across the other seven builds; domain code untouched by the swap.</t>
  </si>
  <si>
    <t xml:space="preserve">Claude — flagged</t>
  </si>
  <si>
    <t xml:space="preserve">OPEN for ratification</t>
  </si>
  <si>
    <t xml:space="preserve">D-OC2</t>
  </si>
  <si>
    <t xml:space="preserve">Events API chosen over Socket Mode (Launch #4): stateless, horizontally scalable, marketplace-standard; receiver ships signature verify + replay guard + dedupe + backoff/dead-letter.</t>
  </si>
  <si>
    <t xml:space="preserve">Socket Mode ties delivery to a persistent connection; Events API matches directory review expectations. Decision documented in code + DATA_FLOW.md.</t>
  </si>
  <si>
    <t xml:space="preserve">D-OC3</t>
  </si>
  <si>
    <t xml:space="preserve">Status vocabulary on this product: Done (implemented+tested in sandbox) / Code-complete (needs live platform) / Drafted (content pending review-hosting) / Backlog.</t>
  </si>
  <si>
    <t xml:space="preserve">Honest-status rule; matches FlowCast/ShiftDesk trackers so the portfolio action board reads uniformly.</t>
  </si>
  <si>
    <t xml:space="preserve">Tracker versioning cadence: a tracker version is issued at EVERY session close (and at any product-workbook release it would otherwise trail), not only at live-run milestones.</t>
  </si>
  <si>
    <t xml:space="preserve">v001 planned v002 for the live run; workbook v010 then shipped 23:10 leaving the tracker one release behind — Senthil flagged 23:57. Rule prevents recurrence across all eight products.</t>
  </si>
  <si>
    <t xml:space="preserve">Senthil (23:57 flag) + Claude</t>
  </si>
  <si>
    <t xml:space="preserve">D-OC6</t>
  </si>
  <si>
    <t xml:space="preserve">Which definition of Done governs this product: D-OC3 ("implemented + tested in sandbox") or the external review CB-01 ("reachable through the real production composition"). Under D-OC3 the count is 77 Done; under CB-01 it is 54, because 23 of those stories reach Slack, paging, AI or status-page adapters that are not wired. The configuration and analytics halves of F1-F5 are reachable through /api/*; the feature execution is not.</t>
  </si>
  <si>
    <t xml:space="preserve">The review is right that a tested module nobody can reach is not a finished feature, and this project has made that argument itself (F-021, the caller audit). But D-OC3 is the vocabulary the other seven trackers use, so changing it here alone breaks the portfolio action board. Both counts are now published side by side so the decision is made on the numbers rather than on a definition.</t>
  </si>
  <si>
    <t xml:space="preserve">OPEN — review V001 (Perplexity) recommends CB-01: publish 54, retire 77</t>
  </si>
  <si>
    <t xml:space="preserve">D-OC7</t>
  </si>
  <si>
    <t xml:space="preserve">Opsgenie repositioning: keep an Opsgenie import/migration connector as a commercial wedge, and make PagerDuty/JSM/Compass plus a generic webhook the primary paging targets — rather than building deep new Opsgenie dependence.</t>
  </si>
  <si>
    <t xml:space="preserve">Atlassian has stopped new Opsgenie sales and ends support on 5 April 2027. The review classes continued deep integration as sunset debt and the migration window as the sharper wedge. This changes the F2 story set, the listing copy and LC-5, so it is ratified before S41 rather than after.</t>
  </si>
  <si>
    <t xml:space="preserve">OPEN — ratify AND pull the importer forward to PX-S3 (window closes 05/04/2027, ~6.5 months)</t>
  </si>
  <si>
    <t xml:space="preserve">D-OC8</t>
  </si>
  <si>
    <t xml:space="preserve">Pricing axis: workspace-size BANDS (team $99 ≤25 engineers, business $249 ≤75, scale $599 ≤200, enterprise $1,499 ≤500) instead of incidents per month. Fair-use incident ceiling stays enforced but is sized never to be the reason a customer upgrades.</t>
  </si>
  <si>
    <t xml:space="preserve">Perplexity review §3.4: incident caps meter the customer's bad days and flat $99 leaves no expansion revenue; bands keep the 'no per-seat maths' promise, the 80-95% headline gap for the 50-500 ICP, and restore NRR. Implemented in v0.37.0 behind one table (PLAN_LIMITS) with the FAQ generated from it, so reversal is a one-line change. Band enforcement only applies once the Slack adapter reports the engineer count (S38); until then unknown size is never 'over'.</t>
  </si>
  <si>
    <t xml:space="preserve">Claude — implemented, reversible</t>
  </si>
  <si>
    <t xml:space="preserve">OPEN — ratify (recommended A: keep bands)</t>
  </si>
  <si>
    <t xml:space="preserve">EXTERNAL REVIEW V001 — ChatGPT independent review, 13/09/2026 20:31 BST — finding register</t>
  </si>
  <si>
    <t xml:space="preserve">20 findings (10 BLOCKER, 7 HIGH, 3 MEDIUM). Verified against the code before disposition. V036 result: 9 FIXED, 3 PARTIAL, 8 OPEN. Nothing here was visible to the 100% coverage gate: every finding sat in, or downstream of, the composition root, which was outside the type-check and imported by no test.</t>
  </si>
  <si>
    <t xml:space="preserve">Severity</t>
  </si>
  <si>
    <t xml:space="preserve">Finding</t>
  </si>
  <si>
    <t xml:space="preserve">Where</t>
  </si>
  <si>
    <t xml:space="preserve">Verification by Claude</t>
  </si>
  <si>
    <t xml:space="preserve">Disposition</t>
  </si>
  <si>
    <t xml:space="preserve">What was done / what remains</t>
  </si>
  <si>
    <t xml:space="preserve">Permanent regression</t>
  </si>
  <si>
    <t xml:space="preserve">Owner</t>
  </si>
  <si>
    <t xml:space="preserve">CF-001</t>
  </si>
  <si>
    <t xml:space="preserve">BLOCKER</t>
  </si>
  <si>
    <t xml:space="preserve">Composition root could not compile</t>
  </si>
  <si>
    <t xml:space="preserve">scripts/serve.ts:56 used billing/billingRepo declared at 67-68</t>
  </si>
  <si>
    <t xml:space="preserve">CONFIRMED. Reproduced before any change: tsc over scripts/serve.ts reported 4 errors (TS2448/TS2454) while the CI gate `npx tsc --noEmit` exited 0, because tsconfig included src/** only.</t>
  </si>
  <si>
    <t xml:space="preserve">FIXED V036</t>
  </si>
  <si>
    <t xml:space="preserve">Composition moved to src/composition/production.ts; tsconfig includes scripts/**; tsconfig.all.json adds tests and loadtest; CI builds before testing.</t>
  </si>
  <si>
    <t xml:space="preserve">tests/reviewV001.regressions.test.ts — tsconfig include, typecheck:all script, CI job order</t>
  </si>
  <si>
    <t xml:space="preserve">Claude</t>
  </si>
  <si>
    <t xml:space="preserve">CF-002</t>
  </si>
  <si>
    <t xml:space="preserve">Production providers are throw-stubs</t>
  </si>
  <si>
    <t xml:space="preserve">Slack, PagerDuty, AI, status page, views.open</t>
  </si>
  <si>
    <t xml:space="preserve">CONFIRMED and unchanged: no real adapter exists for any platform. This is the single largest remaining gap.</t>
  </si>
  <si>
    <t xml:space="preserve">OPEN</t>
  </si>
  <si>
    <t xml:space="preserve">Each stub now names itself (ThrowingSlackAdapter etc.) and APP_ENV=production refuses to boot on any of them, so the gap cannot be shipped by accident. Real adapters are S37-S38 (Slack), S41 (paging).</t>
  </si>
  <si>
    <t xml:space="preserve">Boot smoke: production exits naming every stub. Live proof needs a Slack workspace.</t>
  </si>
  <si>
    <t xml:space="preserve">S37-S38, S41</t>
  </si>
  <si>
    <t xml:space="preserve">Claude + Senthil (workspace)</t>
  </si>
  <si>
    <t xml:space="preserve">CF-003</t>
  </si>
  <si>
    <t xml:space="preserve">Runtime ignored DATABASE_URL and used in-memory repositories</t>
  </si>
  <si>
    <t xml:space="preserve">scripts/serve.ts:35,40-53</t>
  </si>
  <si>
    <t xml:space="preserve">CONFIRMED. Eight InMemory* repositories were constructed while config demanded DATABASE_URL.</t>
  </si>
  <si>
    <t xml:space="preserve">buildDataPlane(mode, db) builds eight Pg* adapters for staging/production; production without a connection throws at boot; development runs in memory and says so.</t>
  </si>
  <si>
    <t xml:space="preserve">tests/composition.test.ts — per-component inventory assertions for both modes; CI postgres job for the adapters themselves</t>
  </si>
  <si>
    <t xml:space="preserve">S37</t>
  </si>
  <si>
    <t xml:space="preserve">CF-004</t>
  </si>
  <si>
    <t xml:space="preserve">README persistence claim contradicted the runtime</t>
  </si>
  <si>
    <t xml:space="preserve">README Deploying vs scripts/serve.ts</t>
  </si>
  <si>
    <t xml:space="preserve">CONFIRMED. The README described an adapter swap that the file did not perform.</t>
  </si>
  <si>
    <t xml:space="preserve">Deploying section rewritten around APP_ENV and the boot gate, and states plainly that the platform adapters are not yet wired.</t>
  </si>
  <si>
    <t xml:space="preserve">tests/reviewV001.regressions.test.ts — three assertions on README content, including the absence of the old claim</t>
  </si>
  <si>
    <t xml:space="preserve">CF-005</t>
  </si>
  <si>
    <t xml:space="preserve">Installed-workspace gate was never populated</t>
  </si>
  <si>
    <t xml:space="preserve">installedTeams Set, empty forever</t>
  </si>
  <si>
    <t xml:space="preserve">CONFIRMED. Every valid workspace would have been refused at /slack/commands, and the boot restore loop iterated nothing.</t>
  </si>
  <si>
    <t xml:space="preserve">InstallService.isInstalled()/installedTeams() make the installation repository authoritative; restore() seeds numbering and the weekly job from it.</t>
  </si>
  <si>
    <t xml:space="preserve">tests/reviewV001.regressions.test.ts — install, uninstall, reinstall, restart-rehydrate</t>
  </si>
  <si>
    <t xml:space="preserve">S38</t>
  </si>
  <si>
    <t xml:space="preserve">CF-006</t>
  </si>
  <si>
    <t xml:space="preserve">Dashboard/admin session resolver hardcoded to undefined</t>
  </si>
  <si>
    <t xml:space="preserve">scripts/serve.ts:101,118</t>
  </si>
  <si>
    <t xml:space="preserve">CONFIRMED. Every guarded /api/* route answered 401 to everyone, including the owner who had just installed.</t>
  </si>
  <si>
    <t xml:space="preserve">src/http/session.ts: HMAC-signed, expiring, tenant-bound cookie issued at the OAuth callback; HttpOnly/Secure/SameSite=Lax; double-submit CSRF on mutating requests. Enterprise IdP remains CF-016.</t>
  </si>
  <si>
    <t xml:space="preserve">tests/session.test.ts — 14 cases incl. forged payload, expiry, wrong secret, CSRF present/absent/wrong</t>
  </si>
  <si>
    <t xml:space="preserve">CF-007</t>
  </si>
  <si>
    <t xml:space="preserve">Async responses discarded as an empty 202</t>
  </si>
  <si>
    <t xml:space="preserve">resolve shim in serve.ts</t>
  </si>
  <si>
    <t xml:space="preserve">CONFIRMED, and worse than reported: one security test asserted the 202 as expected behaviour, so the defect was written into the suite.</t>
  </si>
  <si>
    <t xml:space="preserve">Router gained registerAsync/handleAsync; dashboard, data-rights and sweep routes are async routes; the sync path on an async route reports async_route rather than dropping the work.</t>
  </si>
  <si>
    <t xml:space="preserve">tests/composition.test.ts router block; the abuse test now asserts a real 200 payload and a 404 cross-tenant read</t>
  </si>
  <si>
    <t xml:space="preserve">CF-008</t>
  </si>
  <si>
    <t xml:space="preserve">Delete/export detached from real product data</t>
  </si>
  <si>
    <t xml:space="preserve">new DataRights(new Map())</t>
  </si>
  <si>
    <t xml:space="preserve">CONFIRMED. A legal promise answered by an empty map nothing ever wrote to.</t>
  </si>
  <si>
    <t xml:space="preserve">DataRights is a coordinator over six real tenant stores derived from the data plane, cannot be constructed empty, and reports its inventory at GET /api/data/inventory.</t>
  </si>
  <si>
    <t xml:space="preserve">tests/composition.test.ts — seed every store, export all, delete all, neighbouring tenant untouched</t>
  </si>
  <si>
    <t xml:space="preserve">S39</t>
  </si>
  <si>
    <t xml:space="preserve">CF-009</t>
  </si>
  <si>
    <t xml:space="preserve">HIGH</t>
  </si>
  <si>
    <t xml:space="preserve">Retention sweep omitted incidents and metrics</t>
  </si>
  <si>
    <t xml:space="preserve">only roles, billing, dedupe registered</t>
  </si>
  <si>
    <t xml:space="preserve">CONFIRMED. The published 30-day policy left behind exactly the data a customer would ask about.</t>
  </si>
  <si>
    <t xml:space="preserve">retentionStores() is derived from the same inventory as the export right, so the two promises cannot drift apart.</t>
  </si>
  <si>
    <t xml:space="preserve">tests/composition.test.ts — retention names incidents and metrics; purge empties them</t>
  </si>
  <si>
    <t xml:space="preserve">CF-010</t>
  </si>
  <si>
    <t xml:space="preserve">Billing is a fake success provider</t>
  </si>
  <si>
    <t xml:space="preserve">charge: () =&gt; ({ok:true})</t>
  </si>
  <si>
    <t xml:space="preserve">CONFIRMED. No Stripe client exists.</t>
  </si>
  <si>
    <t xml:space="preserve">Provider now names itself and the boot gate refuses FakeSuccessPaymentProvider in production. Real Stripe adapter, webhooks, idempotency and dunning are S40 and need Senthil-supplied keys.</t>
  </si>
  <si>
    <t xml:space="preserve">Planned: Stripe test-mode end-to-end, duplicate webhook, failed payment, grace/read-only</t>
  </si>
  <si>
    <t xml:space="preserve">S40</t>
  </si>
  <si>
    <t xml:space="preserve">Claude + Senthil (Stripe keys)</t>
  </si>
  <si>
    <t xml:space="preserve">CF-011</t>
  </si>
  <si>
    <t xml:space="preserve">Enterprise notifications recording-only</t>
  </si>
  <si>
    <t xml:space="preserve">RecordingNotifier in runtime; weekly jobs over an empty set</t>
  </si>
  <si>
    <t xml:space="preserve">CONFIRMED on both halves.</t>
  </si>
  <si>
    <t xml:space="preserve">PARTIAL V036</t>
  </si>
  <si>
    <t xml:space="preserve">A real webhook notifier is used when OPERATOR_WEBHOOK_URL is set, and weekly metrics jobs are now registered per restored installation instead of over an empty set. Email and Slack-channel delivery remain S42.</t>
  </si>
  <si>
    <t xml:space="preserve">Covered by the restore path; delivery proof needs a staging endpoint</t>
  </si>
  <si>
    <t xml:space="preserve">S42</t>
  </si>
  <si>
    <t xml:space="preserve">CF-012</t>
  </si>
  <si>
    <t xml:space="preserve">No managed key/secrets integration</t>
  </si>
  <si>
    <t xml:space="preserve">MemoryVault from an env var</t>
  </si>
  <si>
    <t xml:space="preserve">CONFIRMED.</t>
  </si>
  <si>
    <t xml:space="preserve">MemoryVault is named in the inventory and refused in production by the boot gate, so the gap is visible rather than commented. KMS adapter and rotation are S43.</t>
  </si>
  <si>
    <t xml:space="preserve">Planned: rotate with old ciphertext present; revoke only after re-encryption</t>
  </si>
  <si>
    <t xml:space="preserve">S43</t>
  </si>
  <si>
    <t xml:space="preserve">CF-013</t>
  </si>
  <si>
    <t xml:space="preserve">Not a production-installable Node artifact</t>
  </si>
  <si>
    <t xml:space="preserve">no dependencies; pg and ts-node dev-only</t>
  </si>
  <si>
    <t xml:space="preserve">CONFIRMED. npm ci --omit=dev could not have started the service.</t>
  </si>
  <si>
    <t xml:space="preserve">pg moved to dependencies; build emits dist/; start runs node dist/scripts/serve.js; engines and files declared; Dockerfile added (multi-stage, --omit=dev, non-root).</t>
  </si>
  <si>
    <t xml:space="preserve">tests/reviewV001.regressions.test.ts packaging block + CI package job that installs without dev deps and boots</t>
  </si>
  <si>
    <t xml:space="preserve">CF-014</t>
  </si>
  <si>
    <t xml:space="preserve">Config requires keys the runtime does not use</t>
  </si>
  <si>
    <t xml:space="preserve">DATABASE_URL, Stripe, AI, paging</t>
  </si>
  <si>
    <t xml:space="preserve">CONFIRMED. Boot validation created false confidence.</t>
  </si>
  <si>
    <t xml:space="preserve">The composition reports what it actually constructed; GET /ops/composition (operator token) returns the live adapter inventory and the degraded list.</t>
  </si>
  <si>
    <t xml:space="preserve">tests/composition.test.ts — providerReadiness over a complete and an incomplete inventory</t>
  </si>
  <si>
    <t xml:space="preserve">CF-015</t>
  </si>
  <si>
    <t xml:space="preserve">Optional enforcement/persistence collaborators remain</t>
  </si>
  <si>
    <t xml:space="preserve">entitlements, billing, roleResolver, install</t>
  </si>
  <si>
    <t xml:space="preserve">CONFIRMED. All four still accept an undefined writer/meter in the type.</t>
  </si>
  <si>
    <t xml:space="preserve">Each service reports hasDurableStore()/hasSharedMeter(), and production boot refuses when any is false — so the promise is enforced at the only place that matters. Splitting the test-only constructors from the production ones is still to do.</t>
  </si>
  <si>
    <t xml:space="preserve">tests/reviewV001.regressions.test.ts CF-015 block; composition test asserts the refusal</t>
  </si>
  <si>
    <t xml:space="preserve">S36-S37</t>
  </si>
  <si>
    <t xml:space="preserve">CF-016</t>
  </si>
  <si>
    <t xml:space="preserve">No enterprise identity layer</t>
  </si>
  <si>
    <t xml:space="preserve">no SAML/OIDC/SCIM/Grid</t>
  </si>
  <si>
    <t xml:space="preserve">Out of scope for V036 by design. The session bridge (CF-006) is deliberately not marketed as SSO.</t>
  </si>
  <si>
    <t xml:space="preserve">Planned: IdP provision/deprovision, org role inheritance, Grid install</t>
  </si>
  <si>
    <t xml:space="preserve">S43-S44</t>
  </si>
  <si>
    <t xml:space="preserve">CF-017</t>
  </si>
  <si>
    <t xml:space="preserve">No external production evidence</t>
  </si>
  <si>
    <t xml:space="preserve">Submission_Readiness SC-06..SC-12</t>
  </si>
  <si>
    <t xml:space="preserve">CONFIRMED, and already tracked honestly in this workbook as HUMAN/LIVE.</t>
  </si>
  <si>
    <t xml:space="preserve">No change. Nothing in V036 moves these; they need a live workspace, a vendor and an independent reviewer.</t>
  </si>
  <si>
    <t xml:space="preserve">Signed evidence pack at S50</t>
  </si>
  <si>
    <t xml:space="preserve">S50</t>
  </si>
  <si>
    <t xml:space="preserve">CF-018</t>
  </si>
  <si>
    <t xml:space="preserve">MEDIUM</t>
  </si>
  <si>
    <t xml:space="preserve">GTM assumptions unvalidated</t>
  </si>
  <si>
    <t xml:space="preserve">Sprint_Board shows 0 discovery stories</t>
  </si>
  <si>
    <t xml:space="preserve">CONFIRMED, and it is a consequence of D13 (discovery parked portfolio-wide), not an oversight on this product.</t>
  </si>
  <si>
    <t xml:space="preserve">Raised against D13 rather than the product: the review makes design-partner evidence a commercial blocker at S49.</t>
  </si>
  <si>
    <t xml:space="preserve">Evidence thresholds in the review Market_Demand sheet</t>
  </si>
  <si>
    <t xml:space="preserve">S49</t>
  </si>
  <si>
    <t xml:space="preserve">CF-019</t>
  </si>
  <si>
    <t xml:space="preserve">Opsgenie provider strategy must change</t>
  </si>
  <si>
    <t xml:space="preserve">Atlassian EOL 5 Apr 2027</t>
  </si>
  <si>
    <t xml:space="preserve">ACCEPTED. Building deep Opsgenie dependence creates sunset debt; migration assistance is the better wedge.</t>
  </si>
  <si>
    <t xml:space="preserve">OPEN — decision D-OC7</t>
  </si>
  <si>
    <t xml:space="preserve">Proposed: keep an Opsgenie import/migration connector, make PagerDuty/JSM/Compass and a generic webhook the primary paging targets. Needs Senthil ratification because it changes the F2 story set and the listing copy.</t>
  </si>
  <si>
    <t xml:space="preserve">Migration test from a representative Opsgenie export</t>
  </si>
  <si>
    <t xml:space="preserve">S41</t>
  </si>
  <si>
    <t xml:space="preserve">Senthil to ratify</t>
  </si>
  <si>
    <t xml:space="preserve">CF-020</t>
  </si>
  <si>
    <t xml:space="preserve">Thin supply-chain and deployment controls</t>
  </si>
  <si>
    <t xml:space="preserve">no Dockerfile/SBOM/signing; UNLICENSED</t>
  </si>
  <si>
    <t xml:space="preserve">Dockerfile added (multi-stage, production-only install, non-root, pinned base), engines and files declared, CI builds the image. SBOM, provenance/signing and the licence decision remain.</t>
  </si>
  <si>
    <t xml:space="preserve">CI package job builds the image from a clean checkout</t>
  </si>
  <si>
    <t xml:space="preserve">S42-S43</t>
  </si>
  <si>
    <t xml:space="preserve">Claude + Senthil (licence)</t>
  </si>
  <si>
    <t xml:space="preserve">INDEPENDENT REVIEW V001 (second reviewer) — Perplexity Computer, 16/09/2026 19:32 BST — finding register</t>
  </si>
  <si>
    <t xml:space="preserve">12 review findings (2 BLOCKER, 3 HIGH, 6 MEDIUM, 1 LOW-MEDIUM) + 3 found by audit v3 run against the remediation. Verified in source before disposition. v0.37.0 result: 12 FIXED, 1 ADDRESSED (docs/workbook, decision pending), 2 OPEN with owners. Dispositions CF-001..CF-020 were spot-checked by the reviewer and accepted; this register does not restate them.</t>
  </si>
  <si>
    <t xml:space="preserve">PX-001</t>
  </si>
  <si>
    <t xml:space="preserve">Entire platform boundary is synchronous; every unwired adapter needs async I/O</t>
  </si>
  <si>
    <t xml:space="preserve">src/incidents/declare.ts, src/paging/paging.ts, src/postmortem/postmortem.ts, src/statuspage/statuspage.ts, src/app/workflow.ts, src/incidents/ack.ts</t>
  </si>
  <si>
    <t xml:space="preserve">CONFIRMED and wider than reported: OAuthClient, PaymentProvider and the live-sweep SlackApi were synchronous too — nine platform interfaces, not four. A `Promise&lt;` grep over the feature core returned zero hits.</t>
  </si>
  <si>
    <t xml:space="preserve">FIXED V037 (PX-S0)</t>
  </si>
  <si>
    <t xml:space="preserve">All nine interfaces Promise-returning; IncidentWorkflow.declare/resolve/reopen, timeline capture, DegradationService, CircuitBreaker and the ack contract async; every platform call runs under a 10 s budget (timeout = degraded result, never a hang); AI call moved under the breaker; 26 suites migrated; new floating-promise rule over src/ and scripts/.</t>
  </si>
  <si>
    <t xml:space="preserve">tests/px/asyncBoundary.test.ts — TypeScript compiler API asserts every method on the nine interfaces returns Promise; reflection over real adapter instances (the gate found two stubs that threw synchronously); floating-promise scan</t>
  </si>
  <si>
    <t xml:space="preserve">PX-002</t>
  </si>
  <si>
    <t xml:space="preserve">Plan limits unenforced in the deployed composition: usage never increments</t>
  </si>
  <si>
    <t xml:space="preserve">src/app/workflow.ts:86,102; src/billing/entitlements.ts:96; scripts/serve.ts:101</t>
  </si>
  <si>
    <t xml:space="preserve">CONFIRMED. claimWrite was called from tests/billingPersistence.test.ts only; recordWrite no-op'd whenever a meter was configured — always, in production. A regression of F-026/F-027.</t>
  </si>
  <si>
    <t xml:space="preserve">FIXED V037 (PX-S1)</t>
  </si>
  <si>
    <t xml:space="preserve">recordWrite deleted; declare() and reopen() await entitlements.claimWrite(); without a shared meter the in-process counter is still incremented; 80%/100% warnings surface in the declare message; monthly reset is a leased, once-per-cycle job.</t>
  </si>
  <si>
    <t xml:space="preserve">tests/px/enforcementWiring.test.ts — builds the production composition (composeRuntime + real data plane), declares limit then limit+1, asserts the STORE counter; two workflows / one store race; reset once per cycle; source check that the write path calls exactly one method</t>
  </si>
  <si>
    <t xml:space="preserve">PX-003</t>
  </si>
  <si>
    <t xml:space="preserve">Two user-facing Slack paths sit outside the boot gate (response_url poster = console.log; views.open = bare lambda)</t>
  </si>
  <si>
    <t xml:space="preserve">scripts/serve.ts</t>
  </si>
  <si>
    <t xml:space="preserve">CONFIRMED, and there were three: the OAuth client (ThrowingSlackOAuthAdapter) was also constructed and never inventoried.</t>
  </si>
  <si>
    <t xml:space="preserve">FIXED V037 (PX-S2)</t>
  </si>
  <si>
    <t xml:space="preserve">REQUIRED_PROVIDERS is a closed set of ten; ProviderSet is typed to exactly those keys (compile-time assertion); every provider implements healthcheck() and production probes all of them, refusing on the first failure by name; StdoutResponseUrlPoster and ThrowingModalOpener are named, honest stubs; composition moved into src/composition/runtime.ts so it is importable by tests.</t>
  </si>
  <si>
    <t xml:space="preserve">tests/px/providerGate.test.ts — closed-set structural assertion; correctly-named-but-failing adapter refused by the probe; fully-faked-but-healthy composition PERMITTED (the gate proven to allow as well as refuse); CI package job boots the built artifact in development and drains on SIGTERM</t>
  </si>
  <si>
    <t xml:space="preserve">PX-004</t>
  </si>
  <si>
    <t xml:space="preserve">Queued declares are lost on SIGTERM — on every blue/green deploy</t>
  </si>
  <si>
    <t xml:space="preserve">src/incidents/ack.ts; scripts/serve.ts (lifecycle.register x2 only)</t>
  </si>
  <si>
    <t xml:space="preserve">CONFIRMED. The queue was private DeferredWork[] holding closures; Lifecycle drained the two DB sinks only.</t>
  </si>
  <si>
    <t xml:space="preserve">Deferred work is a persisted DESCRIPTOR (deferred_work table, migration 0014) written before the ack returns, leased while running, deleted after delivery; SlashCommandAck is Drainable and registered first with Lifecycle; restore() reloads pending rows; 3 attempts then a definite failure is posted; Lifecycle now re-checks pending per round (draining the queue produces sink rows).</t>
  </si>
  <si>
    <t xml:space="preserve">tests/px/ackDurability.test.ts — SIGTERM drain completes the declare; kill -9 restore on a second runtime; lease across replicas; give-up path; store-write failure degraded and visible; exported/purged as tenant data</t>
  </si>
  <si>
    <t xml:space="preserve">PX-005</t>
  </si>
  <si>
    <t xml:space="preserve">Key rotation is a promise with no possible caller (one key, id 'k1', forever)</t>
  </si>
  <si>
    <t xml:space="preserve">scripts/serve.ts (vault.addKey('k1')); src/compliance/crypto.ts</t>
  </si>
  <si>
    <t xml:space="preserve">CONFIRMED. Also found mechanically by audit v3 check A10 (rotate() tested, never called).</t>
  </si>
  <si>
    <t xml:space="preserve">FIXED V037 (rotation path); KMS remains S43 (CF-012)</t>
  </si>
  <si>
    <t xml:space="preserve">EnvKeyVault loads every ENCRYPTION_KEY_&lt;id&gt;, ENCRYPTION_KEY_CURRENT selects; POST /ops/rotate-keys re-encrypts stored tokens under the current key, idempotent and resumable; boot warns while any record references a non-current key; TRUST_SECURITY.md states the limit (env keys until S43).</t>
  </si>
  <si>
    <t xml:space="preserve">tests/px/identityAndWindows.test.ts — a record written under k1 is readable and re-writable under k2 through the route; stale-key warning; idempotent second run</t>
  </si>
  <si>
    <t xml:space="preserve">S43 (pulled forward)</t>
  </si>
  <si>
    <t xml:space="preserve">PX-006</t>
  </si>
  <si>
    <t xml:space="preserve">Leased jobs dedupe concurrency but not frequency; a daily sweep can run many times a day</t>
  </si>
  <si>
    <t xml:space="preserve">src/scheduler/scheduler.ts; scripts/serve.ts</t>
  </si>
  <si>
    <t xml:space="preserve">CONFIRMED. lastRun was process-local (0 after every restart); lease TTL 5 min vs 24 h interval.</t>
  </si>
  <si>
    <t xml:space="preserve">job_leases.last_run_at (migration 0013); acquireDue grants the lease only when the STORED last run is older than the interval; recordRun advances it; release keeps the row.</t>
  </si>
  <si>
    <t xml:space="preserve">tests/px/leaseFrequency.test.ts — five restarts in a day run the daily sweep once; second replica refused inside the interval; pg-mem executes the new SQL</t>
  </si>
  <si>
    <t xml:space="preserve">PX-007</t>
  </si>
  <si>
    <t xml:space="preserve">PagingProvider.name is a two-value union that cannot express D-OC7's targets</t>
  </si>
  <si>
    <t xml:space="preserve">src/paging/paging.ts:9</t>
  </si>
  <si>
    <t xml:space="preserve">PagingProviderId = pagerduty | opsgenie | jsm | compass | webhook; config accepts all five; ThrowingPagingAdapter carries the configured id.</t>
  </si>
  <si>
    <t xml:space="preserve">tests/px/identityAndWindows.test.ts</t>
  </si>
  <si>
    <t xml:space="preserve">PX-008</t>
  </si>
  <si>
    <t xml:space="preserve">Provider identity handed to the workflow is hardcoded ('pagerduty'), so audit/telemetry name the wrong provider</t>
  </si>
  <si>
    <t xml:space="preserve">scripts/serve.ts:108</t>
  </si>
  <si>
    <t xml:space="preserve">The workflow receives the constructed adapter itself (field renamed name → id); wf.pagingProviderId() is asserted equal to the composition inventory.</t>
  </si>
  <si>
    <t xml:space="preserve">tests/px/identityAndWindows.test.ts — for jsm/compass/webhook the id reaching PagingService equals the inventoried adapter</t>
  </si>
  <si>
    <t xml:space="preserve">PX-009</t>
  </si>
  <si>
    <t xml:space="preserve">Financial model has never been computed; no cached values in any month column</t>
  </si>
  <si>
    <t xml:space="preserve">Product workbook Financial_Model</t>
  </si>
  <si>
    <t xml:space="preserve">CONFIRMED and reproduced: M18 net +$444, cumulative −$213,302, 305 paying accounts at 12% conversion; −$4,565/mo at 10%, −$9,624/mo at 8%.</t>
  </si>
  <si>
    <t xml:space="preserve">FIXED V037 (workbook)</t>
  </si>
  <si>
    <t xml:space="preserve">All 18 month columns now carry computed values; a summary block (breakeven month, cash to breakeven, M18 ARR, contracts-per-Rootly-median) and two sensitivity scenarios (10% and 8% trial→paid) added as live formulas.</t>
  </si>
  <si>
    <t xml:space="preserve">Workbook Financial_Model rows 25-45; spreadsheet gates remain a judgement check (playbook check 3)</t>
  </si>
  <si>
    <t xml:space="preserve">Claude / Senthil</t>
  </si>
  <si>
    <t xml:space="preserve">PX-010</t>
  </si>
  <si>
    <t xml:space="preserve">Sessions cannot be revoked; uninstall, role removal, cancellation and tenant deletion leave valid cookies for up to 12 h</t>
  </si>
  <si>
    <t xml:space="preserve">src/http/session.ts</t>
  </si>
  <si>
    <t xml:space="preserve">FIXED V037 (pulled into PX-S2 from S38, per the reviewer's answer 2)</t>
  </si>
  <si>
    <t xml:space="preserve">installEpoch claim in the token (the installation's own timestamp); the resolver refuses any token whose epoch is not the workspace's current one; uninstall clears it, reinstall mints a strictly newer one, data deletion forgets the in-process install record and evicts the tenant's workflow; bumpEpoch for admin revocation. No new store.</t>
  </si>
  <si>
    <t xml:space="preserve">tests/px/identityAndWindows.test.ts — uninstall, reinstall, data-delete and bumpEpoch each kill an outstanding cookie inside the TTL; a legacy token without the claim is refused; the OAuth callback binds the new cookie to the current epoch</t>
  </si>
  <si>
    <t xml:space="preserve">PX-011</t>
  </si>
  <si>
    <t xml:space="preserve">Replay-protection window is bounded by row count, not time</t>
  </si>
  <si>
    <t xml:space="preserve">scripts/serve.ts (loadRecent(10000))</t>
  </si>
  <si>
    <t xml:space="preserve">DedupeRepository.loadSince(now − SLACK_RETRY_WINDOW_MS, cap 50,000); the 6-hour window is documented against Slack's retry behaviour next to the 3 s ack budget.</t>
  </si>
  <si>
    <t xml:space="preserve">tests/px/identityAndWindows.test.ts — after a restart a retry inside the window is a duplicate, one outside is not; pg-mem executes loadSince</t>
  </si>
  <si>
    <t xml:space="preserve">PX-012</t>
  </si>
  <si>
    <t xml:space="preserve">LOW-MEDIUM</t>
  </si>
  <si>
    <t xml:space="preserve">Positioning sells an 83-99% price advantage as '40-50%'; the leader's free tier covers four of five modules</t>
  </si>
  <si>
    <t xml:space="preserve">Risk_Register, LISTING_COPY.md</t>
  </si>
  <si>
    <t xml:space="preserve">ACCEPTED. Pricing axis moved to workspace-size bands — implemented, reversible in one table, awaiting ratification (D-OC8).</t>
  </si>
  <si>
    <t xml:space="preserve">ADDRESSED V037 (docs + workbook); D-OC8 open</t>
  </si>
  <si>
    <t xml:space="preserve">PLAN_LIMITS expresses bands (team $99 ≤25 eng, business $249 ≤75, scale $599 ≤200, enterprise $1,499 ≤500) with a fair-use incident ceiling that is still enforced; PRICING_FAQ regenerated from pricingDoc.ts and gate-tested; Risk_Register and roadmap S45 elevated per §3.3.</t>
  </si>
  <si>
    <t xml:space="preserve">tests/pricingDoc.test.ts drift gate; D-OC8 in Decisions</t>
  </si>
  <si>
    <t xml:space="preserve">PX-S1 / S49</t>
  </si>
  <si>
    <t xml:space="preserve">Senthil (D-OC8)</t>
  </si>
  <si>
    <t xml:space="preserve">PX-013</t>
  </si>
  <si>
    <t xml:space="preserve">(Own finding, audit v3 A10 run against V037) F-033's atomic id allocator had no production caller: claimNext was tested and never called, so two replicas could still mint the same INC id</t>
  </si>
  <si>
    <t xml:space="preserve">src/db/repository.ts, src/app/workflow.ts</t>
  </si>
  <si>
    <t xml:space="preserve">CONFIRMED by grep: useAllocatedSequence/claimNext had no caller in src/ or scripts/. The same 'two enforcement methods, one wired' class as PX-002.</t>
  </si>
  <si>
    <t xml:space="preserve">FIXED V037</t>
  </si>
  <si>
    <t xml:space="preserve">declare() claims the id from the shared SequenceAllocator before the Slack call; the durability inventory reports atomicIds and production refuses without it.</t>
  </si>
  <si>
    <t xml:space="preserve">tests/px/edges.test.ts — four concurrent declares across two runtimes on one store yield four distinct ids; production refuses atomicIds:false</t>
  </si>
  <si>
    <t xml:space="preserve">PX-014</t>
  </si>
  <si>
    <t xml:space="preserve">(Own finding, audit v3 A12) DegradationService replay queue is in memory and nothing replays it</t>
  </si>
  <si>
    <t xml:space="preserve">src/core/degradation.ts</t>
  </si>
  <si>
    <t xml:space="preserve">CONFIRMED. queuedOps() is surfaced but no job consumes it; lost on restart.</t>
  </si>
  <si>
    <t xml:space="preserve">Needs a persisted replay table plus a leased replay job; folded into S42 with the chaos/DR work.</t>
  </si>
  <si>
    <t xml:space="preserve">Planned: persist queued ops; replay on breaker close; test kill -9 mid-outage</t>
  </si>
  <si>
    <t xml:space="preserve">PX-015</t>
  </si>
  <si>
    <t xml:space="preserve">LOW</t>
  </si>
  <si>
    <t xml:space="preserve">(Own finding, audit v3 A12) EventReceiver retry queue is not drained at shutdown</t>
  </si>
  <si>
    <t xml:space="preserve">src/events/receiver.ts</t>
  </si>
  <si>
    <t xml:space="preserve">CONFIRMED but low risk today: the runtime handler never returns false, so the queue never fills.</t>
  </si>
  <si>
    <t xml:space="preserve">Register with Lifecycle when the event handler does real work (S38); persist if events gain side effects.</t>
  </si>
  <si>
    <t xml:space="preserve">Planned with S38 event handling</t>
  </si>
  <si>
    <t xml:space="preserve">S38 / S42</t>
  </si>
  <si>
    <t xml:space="preserve">REMEDIATION ROADMAP — S36-S51 + PX-S0..PX-S3, re-sequenced per Perplexity review V001 §6, with V037 progress</t>
  </si>
  <si>
    <t xml:space="preserve">Twenty sprints in the review's sequence: PX-S0 → PX-S1 → PX-S2 → S37 → S38 → S40 → PX-S3 → S41, with S42-S44/S48 and S45-S47 able to run in parallel and S49 starting NOW (calendar time, no code). Phase 0 (PX-S0..S2) is DONE in v0.37.0; S36 and S39 were done in V036. Nothing after PX-S2 was started before PX-S2 closed. Everything from S37 onward still needs a credential, a live platform, a vendor or a Senthil decision.</t>
  </si>
  <si>
    <t xml:space="preserve">Theme</t>
  </si>
  <si>
    <t xml:space="preserve">Priority</t>
  </si>
  <si>
    <t xml:space="preserve">Findings</t>
  </si>
  <si>
    <t xml:space="preserve">State after V036</t>
  </si>
  <si>
    <t xml:space="preserve">Scope / what remains</t>
  </si>
  <si>
    <t xml:space="preserve">Gate</t>
  </si>
  <si>
    <t xml:space="preserve">Notes</t>
  </si>
  <si>
    <t xml:space="preserve">Async platform boundary (Phase 0 — precedes all wiring)</t>
  </si>
  <si>
    <t xml:space="preserve">P0</t>
  </si>
  <si>
    <t xml:space="preserve">DONE in V037</t>
  </si>
  <si>
    <t xml:space="preserve">Nine platform interfaces Promise-returning; workflow/timeline/postmortem/status/degradation/breaker/ack async; 10 s budget per platform call; floating-promise rule; 26 suites migrated; 60 suites / 624 tests (616 run, 8 gated on a real Postgres) at 100% statements, branches, functions and lines over src/ AND scripts/.</t>
  </si>
  <si>
    <t xml:space="preserve">BLOCKING — closed</t>
  </si>
  <si>
    <t xml:space="preserve">Exit test tests/px/asyncBoundary.test.ts; the gate's first run found two sync-throwing stubs and one floating .then</t>
  </si>
  <si>
    <t xml:space="preserve">Enforce what is sold</t>
  </si>
  <si>
    <t xml:space="preserve">PX-002, PX-012, PX-013</t>
  </si>
  <si>
    <t xml:space="preserve">DONE in V037 (D-OC8 ratification open)</t>
  </si>
  <si>
    <t xml:space="preserve">claimWrite the only write gate; enforcementWiring test over the production composition; two-replica cap test; leased once-per-cycle reset; pricing bands + regenerated FAQ; audit A10 as a portfolio rule; atomic ids on the declare path (PX-013).</t>
  </si>
  <si>
    <t xml:space="preserve">Claude + Senthil (D-OC8)</t>
  </si>
  <si>
    <t xml:space="preserve">A10 found PX-013 in our own remediation — run the tool after every fix</t>
  </si>
  <si>
    <t xml:space="preserve">Close the gate's blind spots</t>
  </si>
  <si>
    <t xml:space="preserve">PX-003..008, PX-010, PX-011, PX-005</t>
  </si>
  <si>
    <t xml:space="preserve">Closed typed provider set (10) + healthcheck() probe at boot; deferred work persisted, leased, drained on SIGTERM, restored after kill -9; lease frequency in the store; paging id derived; time-bounded dedupe window; session revocation by install epoch; key rotation route; scripts/ in the coverage gate; CI package job boots the built artifact in development and asserts the SIGTERM drain.</t>
  </si>
  <si>
    <t xml:space="preserve">Exit test: the gate proven to PERMIT a fully-faked-but-healthy composition and to REFUSE a correctly-named-but-failing one</t>
  </si>
  <si>
    <t xml:space="preserve">Buildable release &amp; composition correctness</t>
  </si>
  <si>
    <t xml:space="preserve">CF-001,004,007,013,015</t>
  </si>
  <si>
    <t xml:space="preserve">DONE in V036 (CF-015 partial)</t>
  </si>
  <si>
    <t xml:space="preserve">Clean tsc over src+scripts; dist build; pg as a runtime dependency; async routes; README regenerated against the code; Dockerfile.</t>
  </si>
  <si>
    <t xml:space="preserve">BLOCKING</t>
  </si>
  <si>
    <t xml:space="preserve">CF-015 constructor split carries into S37</t>
  </si>
  <si>
    <t xml:space="preserve">Durable production data plane</t>
  </si>
  <si>
    <t xml:space="preserve">CF-003,014,015</t>
  </si>
  <si>
    <t xml:space="preserve">CODE DONE; deploy-topology proof pending — the Pg data plane now meets an ASYNC core at the seam (PX-S0 done first, as the review required)</t>
  </si>
  <si>
    <t xml:space="preserve">Rolling-deploy and kill -9 recovery against real Postgres; two-replica sequence-allocation soak under blue/green (PX-013 fix is what it soaks); pool exhaustion; migration rollback drill. Exit: a CI job that deploys two replicas, kills one mid-declare, asserts no lost and no duplicated incident.</t>
  </si>
  <si>
    <t xml:space="preserve">CI postgres job exists; the deploy topology test does not</t>
  </si>
  <si>
    <t xml:space="preserve">Real Slack runtime + authenticated admin plane</t>
  </si>
  <si>
    <t xml:space="preserve">CF-002,005,006,007</t>
  </si>
  <si>
    <t xml:space="preserve">READY TO START — no longer 'four functions': every contract the adapters must satisfy is async, budgeted and probed</t>
  </si>
  <si>
    <t xml:space="preserve">oauth.v2.access + refresh, conversations.create, chat.postMessage, views.open, response_url delivery — all drop-ins behind ProviderSet with healthcheck(); retry/backoff through the breaker; Slack tier rate limits + Retry-After; users.list for the band count (D-OC8). Session revocation (PX-010) already done. Exit: npm run live-sweep passes 12 steps in a real workspace. NEEDS SC-06 (30 minutes with a workspace).</t>
  </si>
  <si>
    <t xml:space="preserve">Claude + Senthil live workspace</t>
  </si>
  <si>
    <t xml:space="preserve">Highest user-visible value; needs the workspace</t>
  </si>
  <si>
    <t xml:space="preserve">Privacy, retention and tenant deletion</t>
  </si>
  <si>
    <t xml:space="preserve">CF-008,009</t>
  </si>
  <si>
    <t xml:space="preserve">DONE in V036</t>
  </si>
  <si>
    <t xml:space="preserve">Export and delete cover six real stores; retention covers incidents and metrics; inventory published at /api/data/inventory.</t>
  </si>
  <si>
    <t xml:space="preserve">Trust/legal</t>
  </si>
  <si>
    <t xml:space="preserve">Production billing &amp; entitlements</t>
  </si>
  <si>
    <t xml:space="preserve">OPEN — PaymentProvider is async now; Stripe is a drop-in</t>
  </si>
  <si>
    <t xml:space="preserve">Stripe customer/checkout/subscription/webhooks with idempotency keys, signature verification, dunning, grace → read-only, invoices, tax, proration on BAND changes. Exit: one real charge, one real failed payment driving read-only, one real reactivation.</t>
  </si>
  <si>
    <t xml:space="preserve">Needed before paid beta</t>
  </si>
  <si>
    <t xml:space="preserve">PX-S3</t>
  </si>
  <si>
    <t xml:space="preserve">Opsgenie migration wedge (pulled forward from S41 — expiry 05/04/2027)</t>
  </si>
  <si>
    <t xml:space="preserve">P0 commercial</t>
  </si>
  <si>
    <t xml:space="preserve">CF-019, D-OC7</t>
  </si>
  <si>
    <t xml:space="preserve">OPEN — needs D-OC7 ratified</t>
  </si>
  <si>
    <t xml:space="preserve">Opsgenie importer (schedules, escalation policies, teams, integrations), mapping report showing what will and will not transfer, dry-run mode, migration landing page. Ship BEFORE deep PagerDuty parity. Exit: a real Opsgenie export imported into a real workspace with a diff report. Stories ST-126..ST-128.</t>
  </si>
  <si>
    <t xml:space="preserve">Claude + Senthil (D-OC7)</t>
  </si>
  <si>
    <t xml:space="preserve">HIGH — commercial</t>
  </si>
  <si>
    <t xml:space="preserve">The single sharpest commercial asset in the plan; ~6.5 months left at review date</t>
  </si>
  <si>
    <t xml:space="preserve">Paging ecosystem &amp; Opsgenie migration wedge</t>
  </si>
  <si>
    <t xml:space="preserve">P0/P1</t>
  </si>
  <si>
    <t xml:space="preserve">CF-002,019</t>
  </si>
  <si>
    <t xml:space="preserve">OPEN — PagingProviderId widened; the workflow already derives the id from the adapter</t>
  </si>
  <si>
    <t xml:space="preserve">PagerDuty Events API v2, JSM, Compass, generic webhook behind the widened provider type. Sequenced AFTER PX-S3 (the importer is the reason a stranger installs).</t>
  </si>
  <si>
    <t xml:space="preserve">Commercial wedge</t>
  </si>
  <si>
    <t xml:space="preserve">SRE, observability, HA and DR</t>
  </si>
  <si>
    <t xml:space="preserve">P1</t>
  </si>
  <si>
    <t xml:space="preserve">CF-011,020</t>
  </si>
  <si>
    <t xml:space="preserve">PARTIAL — plus PX-014/PX-015 (replay and retry queues) folded in</t>
  </si>
  <si>
    <t xml:space="preserve">Structured JSON logs with tenant/incident correlation ids, OTel traces across the async boundary (now possible), SLOs, canaries, restore-from-backup drill, chaos test killing Postgres mid-declare, persisted replay queue (PX-014), receiver retry drain (PX-015), p95 measured on a real staging URL.</t>
  </si>
  <si>
    <t xml:space="preserve">Enterprise reliability</t>
  </si>
  <si>
    <t xml:space="preserve">Security &amp; enterprise identity</t>
  </si>
  <si>
    <t xml:space="preserve">CF-012,016,020</t>
  </si>
  <si>
    <t xml:space="preserve">OPEN — rotation PATH shipped in V037 (EnvKeyVault + /ops/rotate-keys); KMS-backed vault behind the same SecretsVault contract remains</t>
  </si>
  <si>
    <t xml:space="preserve">KMS/secrets manager vault; SAML + OIDC; SCIM; security headers/CSP; audit-log export; SBOM and image signing; resolve the UNLICENSED licence. Exit already covered by test for k1→k2; KMS adds the key source.</t>
  </si>
  <si>
    <t xml:space="preserve">Enterprise procurement</t>
  </si>
  <si>
    <t xml:space="preserve">S44</t>
  </si>
  <si>
    <t xml:space="preserve">Enterprise Grid &amp; organization model</t>
  </si>
  <si>
    <t xml:space="preserve">Org to workspace hierarchy, Grid install, delegated admins, shared integrations, scale quotas.</t>
  </si>
  <si>
    <t xml:space="preserve">Claude + Slack Enterprise tenant</t>
  </si>
  <si>
    <t xml:space="preserve">Enterprise expansion</t>
  </si>
  <si>
    <t xml:space="preserve">S48</t>
  </si>
  <si>
    <t xml:space="preserve">Compliance and procurement pack</t>
  </si>
  <si>
    <t xml:space="preserve">Enterprise</t>
  </si>
  <si>
    <t xml:space="preserve">Rule adopted: every claim in the pack cites the enforcing code path or the sprint that will build it (A2's 22 promises closed permanently rather than re-audited).</t>
  </si>
  <si>
    <t xml:space="preserve">Claude + legal/security</t>
  </si>
  <si>
    <t xml:space="preserve">Documentation must match code</t>
  </si>
  <si>
    <t xml:space="preserve">S45</t>
  </si>
  <si>
    <t xml:space="preserve">AI incident intelligence — differentiate</t>
  </si>
  <si>
    <t xml:space="preserve">Market differentiation</t>
  </si>
  <si>
    <t xml:space="preserve">OPEN — ELEVATED to primary differentiator (review §3.3: Slack-native declare/timeline/status page is free from the leader)</t>
  </si>
  <si>
    <t xml:space="preserve">Evidence-linked postmortems citing timeline events; similar-incident retrieval over the workspace's own history; prompt-injection controls and PII redaction before egress; BYO model/key; human-rated postmortem quality per release. Read the current Slack API Terms before designing the data flow (recorded in DATA_FLOW.md). AiProvider is async and under the breaker already.</t>
  </si>
  <si>
    <t xml:space="preserve">MEDIUM-HIGH</t>
  </si>
  <si>
    <t xml:space="preserve">Do not market a generic AI summary</t>
  </si>
  <si>
    <t xml:space="preserve">S46</t>
  </si>
  <si>
    <t xml:space="preserve">Integration ecosystem</t>
  </si>
  <si>
    <t xml:space="preserve">Competitive parity</t>
  </si>
  <si>
    <t xml:space="preserve">Jira/JSM, GitHub/GitLab, Datadog, Sentry, Grafana, status vendors, webhook SDK, API tokens.</t>
  </si>
  <si>
    <t xml:space="preserve">Prioritise the design-partner stack</t>
  </si>
  <si>
    <t xml:space="preserve">S47</t>
  </si>
  <si>
    <t xml:space="preserve">Slack UX, onboarding and admin experience</t>
  </si>
  <si>
    <t xml:space="preserve">Activation</t>
  </si>
  <si>
    <t xml:space="preserve">OPEN — now has an owner sprint for the Metrics_Targets activation figures (30%→50%)</t>
  </si>
  <si>
    <t xml:space="preserve">App Home, guided setup, integration health, on-call test, incident templates, shortcuts.</t>
  </si>
  <si>
    <t xml:space="preserve">Claude + user research</t>
  </si>
  <si>
    <t xml:space="preserve">Conversion lever</t>
  </si>
  <si>
    <t xml:space="preserve">Design-partner &amp; pricing validation</t>
  </si>
  <si>
    <t xml:space="preserve">P0 Commercial</t>
  </si>
  <si>
    <t xml:space="preserve">OPEN — ELEVATED to first-in-phase; conflicts with D13 and the conflict must be resolved, not carried</t>
  </si>
  <si>
    <t xml:space="preserve">15 interviews, 5 design partners, Opsgenie-migration interviews, price tests on the BANDED model. Proceed only on 8/15 strong pain, 5 pilots, 3 weekly active, 2 willing to pay. The financial model is now computed: 305 paying workspaces and ~$215k runway to a $444 monthly surplus at M18 — the gate says 10. Start NOW, in parallel with engineering; needs calendar time, not code.</t>
  </si>
  <si>
    <t xml:space="preserve">Senthil/GTM</t>
  </si>
  <si>
    <t xml:space="preserve">BLOCKING COMMERCIAL</t>
  </si>
  <si>
    <t xml:space="preserve">D13 parked discovery portfolio-wide; the review makes it a gate</t>
  </si>
  <si>
    <t xml:space="preserve">Independent launch certification</t>
  </si>
  <si>
    <t xml:space="preserve">P0 launch</t>
  </si>
  <si>
    <t xml:space="preserve">OPEN — the second independent review has now happened; S50 needs a THIRD, plus the pen test and a live sweep</t>
  </si>
  <si>
    <t xml:space="preserve">No self-signoff.</t>
  </si>
  <si>
    <t xml:space="preserve">Independent reviewers + Senthil</t>
  </si>
  <si>
    <t xml:space="preserve">BLOCKING LAUNCH</t>
  </si>
  <si>
    <t xml:space="preserve">No self-signoff</t>
  </si>
  <si>
    <t xml:space="preserve">S51</t>
  </si>
  <si>
    <t xml:space="preserve">Marketplace launch &amp; enterprise pilots</t>
  </si>
  <si>
    <t xml:space="preserve">P1 Growth</t>
  </si>
  <si>
    <t xml:space="preserve">GTM</t>
  </si>
  <si>
    <t xml:space="preserve">Listing, migration landing page, comparison pages, case studies, two enterprise pilots, support process.</t>
  </si>
  <si>
    <t xml:space="preserve">Senthil/Growth</t>
  </si>
  <si>
    <t xml:space="preserve">GO/NO-GO</t>
  </si>
  <si>
    <t xml:space="preserve">Scale only on evidence</t>
  </si>
  <si>
    <t xml:space="preserve">V036 BUILD BOARD — external review remediation (released 2026-09-13 23:13)</t>
  </si>
  <si>
    <t xml:space="preserve">Scope: the ten BLOCKER and five HIGH findings that could be closed without a credential or a live platform. Everything requiring Slack, Stripe, a KMS, a pen tester or an IdP is on the Remediation_Roadmap instead.</t>
  </si>
  <si>
    <t xml:space="preserve">Item</t>
  </si>
  <si>
    <t xml:space="preserve">Ref</t>
  </si>
  <si>
    <t xml:space="preserve">Points</t>
  </si>
  <si>
    <t xml:space="preserve">Notes / Evidence</t>
  </si>
  <si>
    <t xml:space="preserve">V36-01</t>
  </si>
  <si>
    <t xml:space="preserve">Reproduce the review findings before changing anything</t>
  </si>
  <si>
    <t xml:space="preserve">CF-001..CF-015</t>
  </si>
  <si>
    <t xml:space="preserve">Done</t>
  </si>
  <si>
    <t xml:space="preserve">tsc over scripts/serve.ts: 4 errors while the CI gate exits 0. Baseline suite: 473 tests, 100x4, green, against a runtime that cannot start.</t>
  </si>
  <si>
    <t xml:space="preserve">V36-02</t>
  </si>
  <si>
    <t xml:space="preserve">Composition moved into src/ and inside both gates</t>
  </si>
  <si>
    <t xml:space="preserve">src/composition/production.ts; tsconfig includes scripts/**; tsconfig.all.json for tests and loadtest</t>
  </si>
  <si>
    <t xml:space="preserve">V36-03</t>
  </si>
  <si>
    <t xml:space="preserve">Production data plane: Pg adapters or refuse to boot</t>
  </si>
  <si>
    <t xml:space="preserve">buildDataPlane(mode, db); development in memory and says so; production without a connection throws</t>
  </si>
  <si>
    <t xml:space="preserve">V36-04</t>
  </si>
  <si>
    <t xml:space="preserve">Boot gate: production refuses stubs and non-durable services</t>
  </si>
  <si>
    <t xml:space="preserve">CF-002,010,011,012,015</t>
  </si>
  <si>
    <t xml:space="preserve">inspectComposition/assertProductionComposition; proven by running the built artifact in both modes</t>
  </si>
  <si>
    <t xml:space="preserve">V36-05</t>
  </si>
  <si>
    <t xml:space="preserve">Installation repository is the authority on service</t>
  </si>
  <si>
    <t xml:space="preserve">isInstalled()/installedTeams(); restore() seeds numbering and weekly jobs from real installs</t>
  </si>
  <si>
    <t xml:space="preserve">V36-06</t>
  </si>
  <si>
    <t xml:space="preserve">Authenticated session bridge with CSRF</t>
  </si>
  <si>
    <t xml:space="preserve">src/http/session.ts; cookie issued at the OAuth callback; 14 permanent cases</t>
  </si>
  <si>
    <t xml:space="preserve">V36-07</t>
  </si>
  <si>
    <t xml:space="preserve">Async routes served, not swallowed</t>
  </si>
  <si>
    <t xml:space="preserve">registerAsync/handleAsync; the security test that asserted the 202 defect now asserts real data</t>
  </si>
  <si>
    <t xml:space="preserve">V36-08</t>
  </si>
  <si>
    <t xml:space="preserve">Data rights over every tenant store</t>
  </si>
  <si>
    <t xml:space="preserve">Six stores; export/delete/retention derived from one inventory; /api/data/inventory</t>
  </si>
  <si>
    <t xml:space="preserve">V36-09</t>
  </si>
  <si>
    <t xml:space="preserve">Production-installable package and container</t>
  </si>
  <si>
    <t xml:space="preserve">CF-013,020</t>
  </si>
  <si>
    <t xml:space="preserve">pg as a dependency; node dist/scripts/serve.js; engines/files; multi-stage non-root Dockerfile</t>
  </si>
  <si>
    <t xml:space="preserve">V36-10</t>
  </si>
  <si>
    <t xml:space="preserve">CI reordered: build and package before coverage</t>
  </si>
  <si>
    <t xml:space="preserve">CB-03</t>
  </si>
  <si>
    <t xml:space="preserve">build -&gt; typecheck:all -&gt; tests; package job installs without dev deps and asserts the production refusal</t>
  </si>
  <si>
    <t xml:space="preserve">V36-11</t>
  </si>
  <si>
    <t xml:space="preserve">Permanent regressions for the review</t>
  </si>
  <si>
    <t xml:space="preserve">3 new suites, 54 new tests; 527 total at 100% statements/branches/functions/lines</t>
  </si>
  <si>
    <t xml:space="preserve">V36-12</t>
  </si>
  <si>
    <t xml:space="preserve">Artefacts updated from the code</t>
  </si>
  <si>
    <t xml:space="preserve">CB-11</t>
  </si>
  <si>
    <t xml:space="preserve">README rewritten and asserted by tests; tracker v029; product workbook v036; portfolio playbook 8th class</t>
  </si>
  <si>
    <t xml:space="preserve">V36-13</t>
  </si>
  <si>
    <t xml:space="preserve">D-OC6: which definition of Done governs</t>
  </si>
  <si>
    <t xml:space="preserve">CB-01 vs D-OC3</t>
  </si>
  <si>
    <t xml:space="preserve">To do</t>
  </si>
  <si>
    <t xml:space="preserve">Moves the headline Done count from 77 to 54. Both counts are shown in Sprint_Status_Rollup</t>
  </si>
  <si>
    <t xml:space="preserve">V36-14</t>
  </si>
  <si>
    <t xml:space="preserve">D-OC7: Opsgenie repositioning before S41</t>
  </si>
  <si>
    <t xml:space="preserve">Atlassian ends Opsgenie support 5 Apr 2027; migration wedge vs deep integration</t>
  </si>
  <si>
    <t xml:space="preserve">V36-15</t>
  </si>
  <si>
    <t xml:space="preserve">Slack dev workspace (SC-06) — still the highest-leverage action</t>
  </si>
  <si>
    <t xml:space="preserve">SC-06</t>
  </si>
  <si>
    <t xml:space="preserve">Unblocks S38 live proof and three stories</t>
  </si>
  <si>
    <t xml:space="preserve">V037 BUILD BOARD — second independent review remediation, Phase 0 (released 2026-09-20 13:05)</t>
  </si>
  <si>
    <t xml:space="preserve">Scope: PX-S0, PX-S1 and PX-S2 in the review's order, plus what the v3 audit tool found in the fix. Everything needing Slack, Stripe, a KMS, a vendor, a workspace or a decision is on the Remediation_Roadmap.</t>
  </si>
  <si>
    <t xml:space="preserve">V37-01</t>
  </si>
  <si>
    <t xml:space="preserve">Reproduce every PX finding before changing anything; widen where the code says more</t>
  </si>
  <si>
    <t xml:space="preserve">PX-001..012</t>
  </si>
  <si>
    <t xml:space="preserve">Baseline 527/100x4 reproduced; nine sync interfaces not four; a third un-inventoried provider (OAuth); financial model reproduced to the dollar</t>
  </si>
  <si>
    <t xml:space="preserve">V37-02</t>
  </si>
  <si>
    <t xml:space="preserve">Async platform boundary + per-call budget + concurrent breaker semantics</t>
  </si>
  <si>
    <t xml:space="preserve">PX-001 / PX-S0</t>
  </si>
  <si>
    <t xml:space="preserve">ST-101..ST-107; asyncBoundary gate found two sync-throwing stubs and one floating .then on its first run</t>
  </si>
  <si>
    <t xml:space="preserve">V37-03</t>
  </si>
  <si>
    <t xml:space="preserve">claimWrite as the only write gate; enforcement wiring proven over the production composition</t>
  </si>
  <si>
    <t xml:space="preserve">PX-002 / PX-S1</t>
  </si>
  <si>
    <t xml:space="preserve">ST-108..ST-111; recordWrite deleted; two-runtime cap test; once-per-cycle reset</t>
  </si>
  <si>
    <t xml:space="preserve">V37-04</t>
  </si>
  <si>
    <t xml:space="preserve">Pricing bands (D-OC8) + FAQ regenerated + /api/billing/band</t>
  </si>
  <si>
    <t xml:space="preserve">Claude → Senthil</t>
  </si>
  <si>
    <t xml:space="preserve">Done — ratification open</t>
  </si>
  <si>
    <t xml:space="preserve">ST-112; reversible in PLAN_LIMITS; band enforcement waits for users.list (S38)</t>
  </si>
  <si>
    <t xml:space="preserve">V37-05</t>
  </si>
  <si>
    <t xml:space="preserve">Composition moved into src/composition/runtime.ts; closed typed provider set; healthcheck() probe; gate proven to permit and refuse</t>
  </si>
  <si>
    <t xml:space="preserve">PX-003 / PX-S2</t>
  </si>
  <si>
    <t xml:space="preserve">ST-114..ST-116; CI package job now boots the built artifact in development and asserts the SIGTERM drain</t>
  </si>
  <si>
    <t xml:space="preserve">V37-06</t>
  </si>
  <si>
    <t xml:space="preserve">Persisted, leased deferred-work queue; Lifecycle drains it first; kill -9 restore</t>
  </si>
  <si>
    <t xml:space="preserve">ST-117, ST-118; migration 0014; Lifecycle re-checks pending per round (own bug found by the SIGTERM test)</t>
  </si>
  <si>
    <t xml:space="preserve">V37-07</t>
  </si>
  <si>
    <t xml:space="preserve">Lease frequency in the store; paging id widened/derived; time-bounded dedupe window</t>
  </si>
  <si>
    <t xml:space="preserve">PX-006/007/008/011</t>
  </si>
  <si>
    <t xml:space="preserve">ST-119..ST-121; migration 0013</t>
  </si>
  <si>
    <t xml:space="preserve">V37-08</t>
  </si>
  <si>
    <t xml:space="preserve">Session revocation by install epoch (pulled forward from S38)</t>
  </si>
  <si>
    <t xml:space="preserve">ST-123; no new store; tenant deletion also forgets the in-process install</t>
  </si>
  <si>
    <t xml:space="preserve">V37-09</t>
  </si>
  <si>
    <t xml:space="preserve">Key rotation with a caller: EnvKeyVault + POST /ops/rotate-keys + stale-key boot warning (pulled forward from S43)</t>
  </si>
  <si>
    <t xml:space="preserve">Done — KMS remains S43</t>
  </si>
  <si>
    <t xml:space="preserve">ST-124; TRUST_SECURITY.md states the limit</t>
  </si>
  <si>
    <t xml:space="preserve">V37-10</t>
  </si>
  <si>
    <t xml:space="preserve">scripts/ inside the coverage gate; boot smoke over serve.ts and the four CLI shells</t>
  </si>
  <si>
    <t xml:space="preserve">A9 / PX-S2</t>
  </si>
  <si>
    <t xml:space="preserve">ST-122; 100% over src/ AND scripts/</t>
  </si>
  <si>
    <t xml:space="preserve">V37-11</t>
  </si>
  <si>
    <t xml:space="preserve">audit.mjs v3 (A10-A13) + playbook v3; run against V036 and V037</t>
  </si>
  <si>
    <t xml:space="preserve">Playbook additions</t>
  </si>
  <si>
    <t xml:space="preserve">ST-113; A10 found PX-013 in V037; fires on all four new classes against V036; clean bar A12 on V037</t>
  </si>
  <si>
    <t xml:space="preserve">V37-12</t>
  </si>
  <si>
    <t xml:space="preserve">Atomic incident ids on the declare path</t>
  </si>
  <si>
    <t xml:space="preserve">ST-125; production refuses a registry without the allocator</t>
  </si>
  <si>
    <t xml:space="preserve">V37-13</t>
  </si>
  <si>
    <t xml:space="preserve">Financial model computed + summary + sensitivities (workbook)</t>
  </si>
  <si>
    <t xml:space="preserve">Workbook Financial_Model; feeds S49</t>
  </si>
  <si>
    <t xml:space="preserve">V37-14</t>
  </si>
  <si>
    <t xml:space="preserve">Artefacts regenerated from the code; tracker/workbook/response doc</t>
  </si>
  <si>
    <t xml:space="preserve">README, PRICING_FAQ, DATA_FLOW, TRUST_SECURITY, PERPLEXITY_REVIEW_V001_RESPONSE.md; tracker v030; workbook v037</t>
  </si>
  <si>
    <t xml:space="preserve">V37-15</t>
  </si>
  <si>
    <t xml:space="preserve">D-OC6 / D-OC7 / D-OC8 / D15 answers</t>
  </si>
  <si>
    <t xml:space="preserve">Decisions</t>
  </si>
  <si>
    <t xml:space="preserve">Review's six decisions: adopt CB-01; ratify D-OC7 and pull PX-S3 forward; bands; unpark discovery for this product (S49); D15; F-005/6/7 (already Option A)</t>
  </si>
  <si>
    <t xml:space="preserve">V37-16</t>
  </si>
  <si>
    <t xml:space="preserve">Slack dev workspace (SC-06) — unchanged: the highest-leverage 30 minutes</t>
  </si>
  <si>
    <t xml:space="preserve">Unblocks S38 and is the only way to see whether the async conversion is complete against a real platform</t>
  </si>
  <si>
    <t xml:space="preserve">V37-17</t>
  </si>
  <si>
    <t xml:space="preserve">PX-014 replay queue persisted + replayed; PX-015 receiver retry drain</t>
  </si>
  <si>
    <t xml:space="preserve">A12 open items</t>
  </si>
  <si>
    <t xml:space="preserve">Backlog (S42 / S38)</t>
  </si>
  <si>
    <t xml:space="preserve">ST-129, ST-130</t>
  </si>
  <si>
    <t xml:space="preserve">V008 BUILD BOARD — full sandbox development run (released 2026-09-10 22:22)</t>
  </si>
  <si>
    <t xml:space="preserve">Scope: S1-S8 code-able backlog under D13. Exit: 100% coverage gate green; workbook v008 released.</t>
  </si>
  <si>
    <t xml:space="preserve">Story ref</t>
  </si>
  <si>
    <t xml:space="preserve">V8-01</t>
  </si>
  <si>
    <t xml:space="preserve">Repo scaffold + CI with 100% coverage gate (D13)</t>
  </si>
  <si>
    <t xml:space="preserve">jest coverageThreshold 100x4; .github/workflows/ci.yml. E002</t>
  </si>
  <si>
    <t xml:space="preserve">V8-02</t>
  </si>
  <si>
    <t xml:space="preserve">Error model + role matrix + audit log</t>
  </si>
  <si>
    <t xml:space="preserve">ST-054, ST-067</t>
  </si>
  <si>
    <t xml:space="preserve">src/core/errors.ts, roles.ts, compliance/audit.ts</t>
  </si>
  <si>
    <t xml:space="preserve">V8-03</t>
  </si>
  <si>
    <t xml:space="preserve">OAuth install lifecycle (install/uninstall/reinstall/rotation/attribution)</t>
  </si>
  <si>
    <t xml:space="preserve">ST-051/052/053/055/056</t>
  </si>
  <si>
    <t xml:space="preserve">src/install/install.ts — 10 tests; 051/052/055 Code-complete pending live Slack</t>
  </si>
  <si>
    <t xml:space="preserve">V8-04</t>
  </si>
  <si>
    <t xml:space="preserve">Shared feature framework (setup/rules/pause/import/notify/metrics x5 features)</t>
  </si>
  <si>
    <t xml:space="preserve">ST-001-type x5 epics</t>
  </si>
  <si>
    <t xml:space="preserve">src/core/featureCore.ts — 15 tests over all branches</t>
  </si>
  <si>
    <t xml:space="preserve">V8-05</t>
  </si>
  <si>
    <t xml:space="preserve">F1 /incident declare + Block Kit modal + transitions</t>
  </si>
  <si>
    <t xml:space="preserve">ST-002/004/005</t>
  </si>
  <si>
    <t xml:space="preserve">src/incidents/declare.ts — 10 tests</t>
  </si>
  <si>
    <t xml:space="preserve">V8-06</t>
  </si>
  <si>
    <t xml:space="preserve">F2 PD/Opsgenie paging fan-out</t>
  </si>
  <si>
    <t xml:space="preserve">ST-012/014/015</t>
  </si>
  <si>
    <t xml:space="preserve">src/paging/paging.ts — 4 tests</t>
  </si>
  <si>
    <t xml:space="preserve">V8-07</t>
  </si>
  <si>
    <t xml:space="preserve">F3 timeline capture + md export</t>
  </si>
  <si>
    <t xml:space="preserve">ST-022/024/025</t>
  </si>
  <si>
    <t xml:space="preserve">src/timeline/timeline.ts — 5 tests</t>
  </si>
  <si>
    <t xml:space="preserve">V8-08</t>
  </si>
  <si>
    <t xml:space="preserve">F4 AI postmortem draft (provider interface)</t>
  </si>
  <si>
    <t xml:space="preserve">ST-032/034/035</t>
  </si>
  <si>
    <t xml:space="preserve">src/postmortem/postmortem.ts — 5 tests</t>
  </si>
  <si>
    <t xml:space="preserve">V8-09</t>
  </si>
  <si>
    <t xml:space="preserve">F5 status page publish + worst-of overall</t>
  </si>
  <si>
    <t xml:space="preserve">ST-042/044/045</t>
  </si>
  <si>
    <t xml:space="preserve">src/statuspage/statuspage.ts — 5 tests</t>
  </si>
  <si>
    <t xml:space="preserve">V8-10</t>
  </si>
  <si>
    <t xml:space="preserve">E5 billing engine (trial/proration/dunning/limits/invoices/cancel)</t>
  </si>
  <si>
    <t xml:space="preserve">ST-057..063</t>
  </si>
  <si>
    <t xml:space="preserve">src/billing/billing.ts — 12 tests; ST-059 Code-complete pending live Stripe</t>
  </si>
  <si>
    <t xml:space="preserve">V8-11</t>
  </si>
  <si>
    <t xml:space="preserve">E6 scope map + data rights + backoff/breaker</t>
  </si>
  <si>
    <t xml:space="preserve">ST-064/069/070</t>
  </si>
  <si>
    <t xml:space="preserve">src/compliance/compliance.ts — 6 tests</t>
  </si>
  <si>
    <t xml:space="preserve">V8-12</t>
  </si>
  <si>
    <t xml:space="preserve">E7 telemetry (funnel/errors/heatmap/health/export)</t>
  </si>
  <si>
    <t xml:space="preserve">ST-071..077</t>
  </si>
  <si>
    <t xml:space="preserve">src/telemetry/telemetry.ts — 8 tests; ST-074 completed in v009</t>
  </si>
  <si>
    <t xml:space="preserve">V8-13</t>
  </si>
  <si>
    <t xml:space="preserve">E8 onboarding checklist + empty states + review ask</t>
  </si>
  <si>
    <t xml:space="preserve">ST-078/079/082</t>
  </si>
  <si>
    <t xml:space="preserve">src/onboarding/onboarding.ts — 5 tests</t>
  </si>
  <si>
    <t xml:space="preserve">V8-14</t>
  </si>
  <si>
    <t xml:space="preserve">p95 latency budgets defined + monitored</t>
  </si>
  <si>
    <t xml:space="preserve">ST-087</t>
  </si>
  <si>
    <t xml:space="preserve">src/core/latency.ts — 5 tests</t>
  </si>
  <si>
    <t xml:space="preserve">V8-15</t>
  </si>
  <si>
    <t xml:space="preserve">E2E smoke lifecycle suite in CI</t>
  </si>
  <si>
    <t xml:space="preserve">ST-086</t>
  </si>
  <si>
    <t xml:space="preserve">tests/smoke.e2e.test.ts; runs on every push</t>
  </si>
  <si>
    <t xml:space="preserve">V8-16</t>
  </si>
  <si>
    <t xml:space="preserve">Workbook v008: tracker+traceability sheets, statuses, recalc</t>
  </si>
  <si>
    <t xml:space="preserve">167 formulas, 0 errors; 75/5/2/18 split</t>
  </si>
  <si>
    <t xml:space="preserve">V009 BUILD BOARD — sandbox-ceiling run (released 2026-09-10 22:55)</t>
  </si>
  <si>
    <t xml:space="preserve">Scope: close remaining code-able items + draft all sandbox-draftable launch content. Exit: nothing left that does not need Senthil.</t>
  </si>
  <si>
    <t xml:space="preserve">V9-01</t>
  </si>
  <si>
    <t xml:space="preserve">Events API receiver: HMAC verify (timing-safe), replay guard, dedupe, backoff+dead-letter queue</t>
  </si>
  <si>
    <t xml:space="preserve">LC-4, ST-070</t>
  </si>
  <si>
    <t xml:space="preserve">src/events/receiver.ts — 10 tests incl. negative paths; Launch #4 -&gt; Code-complete</t>
  </si>
  <si>
    <t xml:space="preserve">V9-02</t>
  </si>
  <si>
    <t xml:space="preserve">Graceful degradation service with per-provider user comms + replay queue</t>
  </si>
  <si>
    <t xml:space="preserve">ST-091</t>
  </si>
  <si>
    <t xml:space="preserve">src/core/degradation.ts — outage simulated; PD outage warns manual escalation</t>
  </si>
  <si>
    <t xml:space="preserve">V9-03</t>
  </si>
  <si>
    <t xml:space="preserve">Scheduler + weekly metrics email wiring</t>
  </si>
  <si>
    <t xml:space="preserve">ST-074</t>
  </si>
  <si>
    <t xml:space="preserve">src/scheduler/scheduler.ts — due/skip logic tested</t>
  </si>
  <si>
    <t xml:space="preserve">V9-04</t>
  </si>
  <si>
    <t xml:space="preserve">Listing copy variants A (MTTR-led) + B (postmortem-led)</t>
  </si>
  <si>
    <t xml:space="preserve">ST-093</t>
  </si>
  <si>
    <t xml:space="preserve">Drafted</t>
  </si>
  <si>
    <t xml:space="preserve">docs/LISTING_COPY.md; A/B pick + reviewer = Senthil</t>
  </si>
  <si>
    <t xml:space="preserve">V9-05</t>
  </si>
  <si>
    <t xml:space="preserve">Pricing matrix + 6 FAQs from actual billing logic</t>
  </si>
  <si>
    <t xml:space="preserve">ST-095</t>
  </si>
  <si>
    <t xml:space="preserve">docs/PRICING_FAQ.md; tiering final call = Senthil</t>
  </si>
  <si>
    <t xml:space="preserve">V9-06</t>
  </si>
  <si>
    <t xml:space="preserve">Security/trust page (also closes ST-065 draft)</t>
  </si>
  <si>
    <t xml:space="preserve">ST-096, ST-065</t>
  </si>
  <si>
    <t xml:space="preserve">docs/TRUST_SECURITY.md; ST-066/068 evidence slots marked</t>
  </si>
  <si>
    <t xml:space="preserve">V9-07</t>
  </si>
  <si>
    <t xml:space="preserve">Launch-day runbook (monitoring, rollback triggers, comms tree)</t>
  </si>
  <si>
    <t xml:space="preserve">ST-098</t>
  </si>
  <si>
    <t xml:space="preserve">docs/LAUNCH_RUNBOOK.md</t>
  </si>
  <si>
    <t xml:space="preserve">V9-08</t>
  </si>
  <si>
    <t xml:space="preserve">Own status page + incident comms templates</t>
  </si>
  <si>
    <t xml:space="preserve">ST-084</t>
  </si>
  <si>
    <t xml:space="preserve">docs/INCIDENT_COMMS_TEMPLATE.md; matches degradation auto-comms tone</t>
  </si>
  <si>
    <t xml:space="preserve">V9-09</t>
  </si>
  <si>
    <t xml:space="preserve">15 help-center launch articles</t>
  </si>
  <si>
    <t xml:space="preserve">ST-080</t>
  </si>
  <si>
    <t xml:space="preserve">docs/HELP_CENTER.md; hosting/search vendor = Senthil</t>
  </si>
  <si>
    <t xml:space="preserve">V9-10</t>
  </si>
  <si>
    <t xml:space="preserve">k6 load script at 5x launch traffic vs p95 budget</t>
  </si>
  <si>
    <t xml:space="preserve">ST-088</t>
  </si>
  <si>
    <t xml:space="preserve">loadtest/k6-launch-load.js; needs staging URL</t>
  </si>
  <si>
    <t xml:space="preserve">V9-11</t>
  </si>
  <si>
    <t xml:space="preserve">Workbook v009: statuses, tracker, traceability, recalc</t>
  </si>
  <si>
    <t xml:space="preserve">77/5/8/10 split; 0 formula errors</t>
  </si>
  <si>
    <t xml:space="preserve">V9-12</t>
  </si>
  <si>
    <t xml:space="preserve">LIVE: install cleanly in real Slack dev workspace + signing secret</t>
  </si>
  <si>
    <t xml:space="preserve">ST-051/052/055 live</t>
  </si>
  <si>
    <t xml:space="preserve">Senthil + Claude</t>
  </si>
  <si>
    <t xml:space="preserve">Needs Slack workspace + app config; then webhook burst validation</t>
  </si>
  <si>
    <t xml:space="preserve">V9-13</t>
  </si>
  <si>
    <t xml:space="preserve">LIVE: Stripe account + live billing path</t>
  </si>
  <si>
    <t xml:space="preserve">ST-059 live</t>
  </si>
  <si>
    <t xml:space="preserve">Provider interface ready; keys + webhook endpoint needed</t>
  </si>
  <si>
    <t xml:space="preserve">V010 BUILD BOARD — live-readiness run (released 2026-09-10 23:10)</t>
  </si>
  <si>
    <t xml:space="preserve">Scope: make the live run turnkey — config, scripted sweep, setup guide. Exit: Senthil needs only 30 min + credentials.</t>
  </si>
  <si>
    <t xml:space="preserve">V10-01</t>
  </si>
  <si>
    <t xml:space="preserve">Typed config loader: fail-fast all-vars-at-once, https/provider/env validation, redacted summary</t>
  </si>
  <si>
    <t xml:space="preserve">src/core/config.ts — 6 tests; secrets never echoed</t>
  </si>
  <si>
    <t xml:space="preserve">V10-02</t>
  </si>
  <si>
    <t xml:space="preserve">12-step live verification sweep runner (8 auto + 4 operator), injected SlackApi, dry-run stub</t>
  </si>
  <si>
    <t xml:space="preserve">ST-051/052/055 live path</t>
  </si>
  <si>
    <t xml:space="preserve">src/live/sweep.ts — 5 tests: dry-run 8 PASS/4 MANUAL, failure + Error/non-Error exception paths, id ordering</t>
  </si>
  <si>
    <t xml:space="preserve">V10-03</t>
  </si>
  <si>
    <t xml:space="preserve">npm run live-sweep CLI (thin shell, logic in src at 100%)</t>
  </si>
  <si>
    <t xml:space="preserve">scripts/live-sweep.ts</t>
  </si>
  <si>
    <t xml:space="preserve">V10-04</t>
  </si>
  <si>
    <t xml:space="preserve">30-min dev-workspace guide + manifest.json (scopes = ST-064 map exactly) + .env.example</t>
  </si>
  <si>
    <t xml:space="preserve">LC-1, LC-3 prep</t>
  </si>
  <si>
    <t xml:space="preserve">docs/DEV_WORKSPACE_SETUP.md; LC-1 -&gt; Code-complete</t>
  </si>
  <si>
    <t xml:space="preserve">V10-05</t>
  </si>
  <si>
    <t xml:space="preserve">Gate re-verification after additions</t>
  </si>
  <si>
    <t xml:space="preserve">21 suites / 133 tests, 100/100/100/100; tsc clean; jest.config slip fixed pre-release (R-O7)</t>
  </si>
  <si>
    <t xml:space="preserve">V10-06</t>
  </si>
  <si>
    <t xml:space="preserve">Product workbook v010 release + recalc</t>
  </si>
  <si>
    <t xml:space="preserve">167 formulas, 0 errors; statuses unchanged 77/5/8/10</t>
  </si>
  <si>
    <t xml:space="preserve">V10-07</t>
  </si>
  <si>
    <t xml:space="preserve">LIVE: run DEV_WORKSPACE_SETUP.md then live-sweep to 12 greens</t>
  </si>
  <si>
    <t xml:space="preserve">Flips 051/052/055 -&gt; Done; closes LC-1/LC-3 evidence</t>
  </si>
  <si>
    <t xml:space="preserve">V011 BUILD BOARD — cold-review + ops parity run (released 2026-09-11 08:41)</t>
  </si>
  <si>
    <t xml:space="preserve">Scope: adversarial self-review with fixes; ops artifacts to sibling-product parity. Exit: findings fixed-or-disposed, gate green.</t>
  </si>
  <si>
    <t xml:space="preserve">V11-01</t>
  </si>
  <si>
    <t xml:space="preserve">F-001 fix: recordSuccessfulPayment clears dunning/read-only</t>
  </si>
  <si>
    <t xml:space="preserve">ST-060 class</t>
  </si>
  <si>
    <t xml:space="preserve">billing.ts + regression (fresh grace window verified)</t>
  </si>
  <si>
    <t xml:space="preserve">V11-02</t>
  </si>
  <si>
    <t xml:space="preserve">F-002 fix: startNewCycle resets metered usage</t>
  </si>
  <si>
    <t xml:space="preserve">ST-061 class</t>
  </si>
  <si>
    <t xml:space="preserve">billing.ts + regression</t>
  </si>
  <si>
    <t xml:space="preserve">V11-03</t>
  </si>
  <si>
    <t xml:space="preserve">F-003 fix: FIFO-capped dedupe ledger (10k, tunable)</t>
  </si>
  <si>
    <t xml:space="preserve">LC-4 hardening</t>
  </si>
  <si>
    <t xml:space="preserve">receiver.ts + eviction/still-deduped regressions</t>
  </si>
  <si>
    <t xml:space="preserve">V11-04</t>
  </si>
  <si>
    <t xml:space="preserve">F-004 fix: timeline honors captureBotMessages/captureReactions</t>
  </si>
  <si>
    <t xml:space="preserve">ST-023 class</t>
  </si>
  <si>
    <t xml:space="preserve">featureCore.getDefault + timeline.ts + 3 regressions</t>
  </si>
  <si>
    <t xml:space="preserve">V11-05</t>
  </si>
  <si>
    <t xml:space="preserve">Review_Findings sheet: F-005..F-008 for disposition</t>
  </si>
  <si>
    <t xml:space="preserve">Workbook v011; 3 need Senthil calls, 1 deploy-time</t>
  </si>
  <si>
    <t xml:space="preserve">V11-06</t>
  </si>
  <si>
    <t xml:space="preserve">REVIEW_PACK.md for external second reviewer</t>
  </si>
  <si>
    <t xml:space="preserve">ST-097</t>
  </si>
  <si>
    <t xml:space="preserve">ST-097 -&gt; In progress; reviewer appointment = Senthil</t>
  </si>
  <si>
    <t xml:space="preserve">V11-07</t>
  </si>
  <si>
    <t xml:space="preserve">Blue/green deploy workflow (approval-gated)</t>
  </si>
  <si>
    <t xml:space="preserve">ST-092</t>
  </si>
  <si>
    <t xml:space="preserve">deploy-blue-green.yml; real infra pending</t>
  </si>
  <si>
    <t xml:space="preserve">V11-08</t>
  </si>
  <si>
    <t xml:space="preserve">Scripted backup/restore drill</t>
  </si>
  <si>
    <t xml:space="preserve">ST-090</t>
  </si>
  <si>
    <t xml:space="preserve">backup-restore-drill.sh; Postgres pending</t>
  </si>
  <si>
    <t xml:space="preserve">V11-09</t>
  </si>
  <si>
    <t xml:space="preserve">Gate re-verification + releases</t>
  </si>
  <si>
    <t xml:space="preserve">22 suites/139 tests 100x4; workbook v011 + tracker v003</t>
  </si>
  <si>
    <t xml:space="preserve">V012 BUILD BOARD — sibling-validated codeable scope (released 2026-09-11 12:51)</t>
  </si>
  <si>
    <t xml:space="preserve">Scope: FlowCast crypto/security pattern + TeleField chat-SLA pattern + portfolio WCAG-automation pattern. Exit: nothing codeable left.</t>
  </si>
  <si>
    <t xml:space="preserve">V12-01</t>
  </si>
  <si>
    <t xml:space="preserve">AES-256-GCM field crypto + SecretsVault boundary + key-ID rotation + tamper detection</t>
  </si>
  <si>
    <t xml:space="preserve">ST-066</t>
  </si>
  <si>
    <t xml:space="preserve">Done (code)</t>
  </si>
  <si>
    <t xml:space="preserve">crypto.ts — 4 tests; live half = DB at-rest + TLS evidence</t>
  </si>
  <si>
    <t xml:space="preserve">V12-02</t>
  </si>
  <si>
    <t xml:space="preserve">Security evidence pack: threat model, control-&gt;test map, pen-test vendor brief</t>
  </si>
  <si>
    <t xml:space="preserve">ST-068</t>
  </si>
  <si>
    <t xml:space="preserve">Done (sandbox half)</t>
  </si>
  <si>
    <t xml:space="preserve">SECURITY_EVIDENCE.md; ST-068 In progress</t>
  </si>
  <si>
    <t xml:space="preserve">V12-03</t>
  </si>
  <si>
    <t xml:space="preserve">In-app chat + 4-business-hr SLA engine (business-time calc, breach, escalation)</t>
  </si>
  <si>
    <t xml:space="preserve">ST-081</t>
  </si>
  <si>
    <t xml:space="preserve">chatSla.ts — 5 tests; vendor decision now OPTIONAL</t>
  </si>
  <si>
    <t xml:space="preserve">V12-04</t>
  </si>
  <si>
    <t xml:space="preserve">Six accessible screen shells + jest-axe WCAG AA suite in CI</t>
  </si>
  <si>
    <t xml:space="preserve">ST-089</t>
  </si>
  <si>
    <t xml:space="preserve">Done (automated half)</t>
  </si>
  <si>
    <t xml:space="preserve">shells.ts + wcag.screens.test.ts; live/manual audit pending</t>
  </si>
  <si>
    <t xml:space="preserve">V12-05</t>
  </si>
  <si>
    <t xml:space="preserve">Gate + releases (workbook v012, tracker v004, code v0.12.0)</t>
  </si>
  <si>
    <t xml:space="preserve">D13,D-OC4</t>
  </si>
  <si>
    <t xml:space="preserve">25 suites/156 tests 100x4; R-O8 logged</t>
  </si>
  <si>
    <t xml:space="preserve">V12-06</t>
  </si>
  <si>
    <t xml:space="preserve">LIVE/HUMAN: pen test, live WCAG audit, F-005/006/007 dispositions, vendor-optional call on chat</t>
  </si>
  <si>
    <t xml:space="preserve">ST-068/089,F-00x</t>
  </si>
  <si>
    <t xml:space="preserve">Fastest: dispositions (5 min)</t>
  </si>
  <si>
    <t xml:space="preserve">V013 BUILD BOARD — cold-review pass 2 + doc verification sweep (released 2026-09-13 09:54)</t>
  </si>
  <si>
    <t xml:space="preserve">Scope: adversarial review of every module pass 1 skipped, then verify our assumptions against live Slack platform docs. Exit: review complete, gate green.</t>
  </si>
  <si>
    <t xml:space="preserve">V13-01</t>
  </si>
  <si>
    <t xml:space="preserve">Retention sweep that actually deletes tenant records</t>
  </si>
  <si>
    <t xml:space="preserve">F-009</t>
  </si>
  <si>
    <t xml:space="preserve">PurgeableStore registry + runRetentionSweep; active installs safe, idempotent</t>
  </si>
  <si>
    <t xml:space="preserve">V13-02</t>
  </si>
  <si>
    <t xml:space="preserve">Bounded telemetry error ledger</t>
  </si>
  <si>
    <t xml:space="preserve">F-010</t>
  </si>
  <si>
    <t xml:space="preserve">5k tail; spike window still fires</t>
  </si>
  <si>
    <t xml:space="preserve">V13-03</t>
  </si>
  <si>
    <t xml:space="preserve">Paging partial-failure outcome + targeted retry</t>
  </si>
  <si>
    <t xml:space="preserve">F-011</t>
  </si>
  <si>
    <t xml:space="preserve">PagingOutcome + retryFailed; no double-paging; escalation message names who was missed</t>
  </si>
  <si>
    <t xml:space="preserve">V13-04</t>
  </si>
  <si>
    <t xml:space="preserve">Postmortem rejects foreign incident timeline</t>
  </si>
  <si>
    <t xml:space="preserve">F-012</t>
  </si>
  <si>
    <t xml:space="preserve">count-bearing error; 2 regressions</t>
  </si>
  <si>
    <t xml:space="preserve">V13-05</t>
  </si>
  <si>
    <t xml:space="preserve">RFC-4180 CSV reader/writer wired into import</t>
  </si>
  <si>
    <t xml:space="preserve">F-013</t>
  </si>
  <si>
    <t xml:space="preserve">csv.ts; quoted commas/newlines/escaped quotes; round-trip test</t>
  </si>
  <si>
    <t xml:space="preserve">V13-06</t>
  </si>
  <si>
    <t xml:space="preserve">Ack-first slash command handler (3s Slack contract)</t>
  </si>
  <si>
    <t xml:space="preserve">VER-OC1</t>
  </si>
  <si>
    <t xml:space="preserve">LIVE-BLOCKING fix: ephemeral ack + deferred work via response_url + failure surfacing</t>
  </si>
  <si>
    <t xml:space="preserve">V13-07</t>
  </si>
  <si>
    <t xml:space="preserve">Channel-name slugifier + name_taken suffixing</t>
  </si>
  <si>
    <t xml:space="preserve">VER-OC2</t>
  </si>
  <si>
    <t xml:space="preserve">80-char cap preserved under suffixing; archived-channel collisions handled</t>
  </si>
  <si>
    <t xml:space="preserve">V13-08</t>
  </si>
  <si>
    <t xml:space="preserve">Token expiry tracking + proactive refresh (12h TTL)</t>
  </si>
  <si>
    <t xml:space="preserve">VER-OC3</t>
  </si>
  <si>
    <t xml:space="preserve">expiresAt + refreshIfNeeded at 2h margin; legacy records refresh immediately</t>
  </si>
  <si>
    <t xml:space="preserve">V13-09</t>
  </si>
  <si>
    <t xml:space="preserve">Gate + releases (workbook v013, tracker v005, code v0.13.0)</t>
  </si>
  <si>
    <t xml:space="preserve">27 suites/180 tests 100x4</t>
  </si>
  <si>
    <t xml:space="preserve">V13-10</t>
  </si>
  <si>
    <t xml:space="preserve">LIVE: burst/retry behaviour of the real Events API against the ack path</t>
  </si>
  <si>
    <t xml:space="preserve">VER-OC1 live half</t>
  </si>
  <si>
    <t xml:space="preserve">Sweep step SW-09 covers the challenge; burst needs the workspace</t>
  </si>
  <si>
    <t xml:space="preserve">V014 BUILD BOARD — artifact-gap closure (released 2026-09-13 10:01)</t>
  </si>
  <si>
    <t xml:space="preserve">Scope: audit every artifact the docs/scripts/manifest reference, then build what was missing. Exit: the documented setup path actually runs.</t>
  </si>
  <si>
    <t xml:space="preserve">Gap</t>
  </si>
  <si>
    <t xml:space="preserve">V14-01</t>
  </si>
  <si>
    <t xml:space="preserve">HTTP router + app: 5 routes, signature verification, 3s ack contract, health</t>
  </si>
  <si>
    <t xml:space="preserve">GAP-OC1</t>
  </si>
  <si>
    <t xml:space="preserve">src/http/*; 12 regressions incl. 401 paths, usage help, 500 containment</t>
  </si>
  <si>
    <t xml:space="preserve">V14-02</t>
  </si>
  <si>
    <t xml:space="preserve">npm start server shell (what the setup guide tunnels)</t>
  </si>
  <si>
    <t xml:space="preserve">scripts/serve.ts; drains deferred declares on a timer</t>
  </si>
  <si>
    <t xml:space="preserve">V14-03</t>
  </si>
  <si>
    <t xml:space="preserve">5 ordered migrations + cascade deletes + TENANT_TABLES single source</t>
  </si>
  <si>
    <t xml:space="preserve">GAP-OC2</t>
  </si>
  <si>
    <t xml:space="preserve">src/db/schema.ts; drill-vs-schema parity test</t>
  </si>
  <si>
    <t xml:space="preserve">V14-04</t>
  </si>
  <si>
    <t xml:space="preserve">npm run migrate shell</t>
  </si>
  <si>
    <t xml:space="preserve">scripts/migrate.ts</t>
  </si>
  <si>
    <t xml:space="preserve">V14-05</t>
  </si>
  <si>
    <t xml:space="preserve">Signed k6 fixture generator (distinct event ids)</t>
  </si>
  <si>
    <t xml:space="preserve">GAP-OC3</t>
  </si>
  <si>
    <t xml:space="preserve">src/live/loadSigner.ts; ST-088 -&gt; Code-complete</t>
  </si>
  <si>
    <t xml:space="preserve">V14-06</t>
  </si>
  <si>
    <t xml:space="preserve">manifest.json as a real uploadable file incl. slash-command URL</t>
  </si>
  <si>
    <t xml:space="preserve">GAP-OC4</t>
  </si>
  <si>
    <t xml:space="preserve">repo root; scopes = ST-064 map</t>
  </si>
  <si>
    <t xml:space="preserve">V14-07</t>
  </si>
  <si>
    <t xml:space="preserve">Pricing matrix generated from billing.ts + drift gate</t>
  </si>
  <si>
    <t xml:space="preserve">GAP-OC5</t>
  </si>
  <si>
    <t xml:space="preserve">src/billing/pricingDoc.ts; gate fired on first run and was kept strict</t>
  </si>
  <si>
    <t xml:space="preserve">V14-08</t>
  </si>
  <si>
    <t xml:space="preserve">Gate + releases (workbook v014, tracker v006, code v0.14.0)</t>
  </si>
  <si>
    <t xml:space="preserve">31 suites/201 tests 100x4</t>
  </si>
  <si>
    <t xml:space="preserve">V14-09</t>
  </si>
  <si>
    <t xml:space="preserve">LIVE: run the real app through the sweep; provision Postgres for the drill</t>
  </si>
  <si>
    <t xml:space="preserve">ST-088/090 live</t>
  </si>
  <si>
    <t xml:space="preserve">Setup guide now end-to-end executable</t>
  </si>
  <si>
    <t xml:space="preserve">V015 BUILD BOARD — cold-review pass 3: HTTP/tenancy surface (released 2026-09-13 10:22)</t>
  </si>
  <si>
    <t xml:space="preserve">Scope: review the layer v014 added, against defect classes proven on sibling products. Exit: no critical findings left open on the new surface.</t>
  </si>
  <si>
    <t xml:space="preserve">V15-01</t>
  </si>
  <si>
    <t xml:space="preserve">TenantRegistry — isolated per-workspace service bundles</t>
  </si>
  <si>
    <t xml:space="preserve">F-014</t>
  </si>
  <si>
    <t xml:space="preserve">Cross-tenant read prevented; independent id sequences; evict-on-purge; unscoped access refused</t>
  </si>
  <si>
    <t xml:space="preserve">V15-02</t>
  </si>
  <si>
    <t xml:space="preserve">OAuthStateStore + /oauth/start (HMAC, TTL, single-use)</t>
  </si>
  <si>
    <t xml:space="preserve">F-015</t>
  </si>
  <si>
    <t xml:space="preserve">Named rejection reasons: malformed/bad_signature/expired/replayed</t>
  </si>
  <si>
    <t xml:space="preserve">V15-03</t>
  </si>
  <si>
    <t xml:space="preserve">Installation guard on the slash-command path</t>
  </si>
  <si>
    <t xml:space="preserve">F-016</t>
  </si>
  <si>
    <t xml:space="preserve">Uninstalled workspace gets a reinstall prompt; nothing queued</t>
  </si>
  <si>
    <t xml:space="preserve">V15-04</t>
  </si>
  <si>
    <t xml:space="preserve">Operator-token gate on detailed /health</t>
  </si>
  <si>
    <t xml:space="preserve">F-017</t>
  </si>
  <si>
    <t xml:space="preserve">Public liveness only; OPERATOR_TOKEN required at boot</t>
  </si>
  <si>
    <t xml:space="preserve">V15-05</t>
  </si>
  <si>
    <t xml:space="preserve">Artifact sync: serve.ts, .env.example, setup guide</t>
  </si>
  <si>
    <t xml:space="preserve">L-OC3</t>
  </si>
  <si>
    <t xml:space="preserve">Updated in the same pass so docs never drift from code</t>
  </si>
  <si>
    <t xml:space="preserve">V15-06</t>
  </si>
  <si>
    <t xml:space="preserve">VER-OC5 check: async-handler hang class (MeetSync M-F21)</t>
  </si>
  <si>
    <t xml:space="preserve">VER-OC5</t>
  </si>
  <si>
    <t xml:space="preserve">Non-applicable — synchronous router with contained 500s</t>
  </si>
  <si>
    <t xml:space="preserve">V15-07</t>
  </si>
  <si>
    <t xml:space="preserve">Gate + releases (workbook v015, tracker v007, code v0.15.0)</t>
  </si>
  <si>
    <t xml:space="preserve">32 suites/213 tests 100x4</t>
  </si>
  <si>
    <t xml:space="preserve">V016 BUILD BOARD — as-built re-baseline + role assignment (released 2026-09-13 10:38)</t>
  </si>
  <si>
    <t xml:space="preserve">Scope: make the workbook tell the truth about the code, and fix what that comparison exposes.</t>
  </si>
  <si>
    <t xml:space="preserve">V16-01</t>
  </si>
  <si>
    <t xml:space="preserve">Product_Spec rewritten as-built incl. honest non-functional status</t>
  </si>
  <si>
    <t xml:space="preserve">AB-2</t>
  </si>
  <si>
    <t xml:space="preserve">Only rate-limit safety fully met; p95 unmeasured, uptime unmeasurable, WCAG/SOC2 partial</t>
  </si>
  <si>
    <t xml:space="preserve">V16-02</t>
  </si>
  <si>
    <t xml:space="preserve">Screens_Wireframes rewritten with reality + gap columns</t>
  </si>
  <si>
    <t xml:space="preserve">AB-1</t>
  </si>
  <si>
    <t xml:space="preserve">6 of 9 shells, 0 data-wired, 0 wireframes</t>
  </si>
  <si>
    <t xml:space="preserve">V16-03</t>
  </si>
  <si>
    <t xml:space="preserve">Metrics_Targets measurability audit</t>
  </si>
  <si>
    <t xml:space="preserve">AB-3</t>
  </si>
  <si>
    <t xml:space="preserve">0 of 6 reportable; flagged as launch prerequisite, not a story</t>
  </si>
  <si>
    <t xml:space="preserve">V16-04</t>
  </si>
  <si>
    <t xml:space="preserve">RoleResolver + wiring into command and OAuth paths</t>
  </si>
  <si>
    <t xml:space="preserve">F-018</t>
  </si>
  <si>
    <t xml:space="preserve">Installer=owner from signed user_id, per-workspace, last-owner protection, purge; 9 regressions</t>
  </si>
  <si>
    <t xml:space="preserve">V16-05</t>
  </si>
  <si>
    <t xml:space="preserve">Gate + releases (workbook v016, tracker v008, code v0.16.0)</t>
  </si>
  <si>
    <t xml:space="preserve">33 suites/222 tests 100x4</t>
  </si>
  <si>
    <t xml:space="preserve">V16-06</t>
  </si>
  <si>
    <t xml:space="preserve">DECISION: build the Postgres adapter, or launch without self-reporting?</t>
  </si>
  <si>
    <t xml:space="preserve">Without it the product runs but cannot report activation/MRR/churn for the S12 gate</t>
  </si>
  <si>
    <t xml:space="preserve">V017 BUILD BOARD — persistence + dashboard API (released 2026-09-13 10:42)</t>
  </si>
  <si>
    <t xml:space="preserve">Scope: execute V16-06 and close the code halves of AB-1 and AB-3. Exit: activation reportable, screens have data routes.</t>
  </si>
  <si>
    <t xml:space="preserve">V17-01</t>
  </si>
  <si>
    <t xml:space="preserve">Repository contracts + in-memory adapter</t>
  </si>
  <si>
    <t xml:space="preserve">src/db/repository.ts</t>
  </si>
  <si>
    <t xml:space="preserve">V17-02</t>
  </si>
  <si>
    <t xml:space="preserve">Postgres adapter with real SQL, tested via executor fake</t>
  </si>
  <si>
    <t xml:space="preserve">Upsert, team-scoped reads, RETURNING-counted purge</t>
  </si>
  <si>
    <t xml:space="preserve">V17-03</t>
  </si>
  <si>
    <t xml:space="preserve">Shared contract suite run against BOTH adapters</t>
  </si>
  <si>
    <t xml:space="preserve">14 assertions x2; isolation + purge + funnel dedupe proven on each</t>
  </si>
  <si>
    <t xml:space="preserve">V17-04</t>
  </si>
  <si>
    <t xml:space="preserve">funnel_events migration + TENANT_TABLES update</t>
  </si>
  <si>
    <t xml:space="preserve">Retention sweep and backup drill both pick it up automatically</t>
  </si>
  <si>
    <t xml:space="preserve">V17-05</t>
  </si>
  <si>
    <t xml:space="preserve">Dashboard read API, session-scoped and matrix-gated</t>
  </si>
  <si>
    <t xml:space="preserve">5 routes; override attempt pinned; 403/404 paths tested</t>
  </si>
  <si>
    <t xml:space="preserve">V17-06</t>
  </si>
  <si>
    <t xml:space="preserve">Gate + releases (workbook v017, tracker v009, code v0.17.0)</t>
  </si>
  <si>
    <t xml:space="preserve">35 suites/243 tests 100x4</t>
  </si>
  <si>
    <t xml:space="preserve">V17-07</t>
  </si>
  <si>
    <t xml:space="preserve">LIVE: point DATABASE_URL at real Postgres, run migrate + drill</t>
  </si>
  <si>
    <t xml:space="preserve">V16-06 live half</t>
  </si>
  <si>
    <t xml:space="preserve">Adapter proven against contract; swap is config, not code</t>
  </si>
  <si>
    <t xml:space="preserve">V17-08</t>
  </si>
  <si>
    <t xml:space="preserve">DECISION: build the rendered front-end, or ship Slack-first with API only?</t>
  </si>
  <si>
    <t xml:space="preserve">AB-1 remainder</t>
  </si>
  <si>
    <t xml:space="preserve">Slack is the primary surface; the web dashboard may not be needed for launch</t>
  </si>
  <si>
    <t xml:space="preserve">V018 BUILD BOARD — integration: read and write reunified (released 2026-09-13 11:06)</t>
  </si>
  <si>
    <t xml:space="preserve">Scope: verify the v017 persistence layer is actually used, and fix it where it was not.</t>
  </si>
  <si>
    <t xml:space="preserve">V18-01</t>
  </si>
  <si>
    <t xml:space="preserve">Integration audit: who calls the repositories?</t>
  </si>
  <si>
    <t xml:space="preserve">F-019</t>
  </si>
  <si>
    <t xml:space="preserve">Only the dashboard API, read-only — defect confirmed</t>
  </si>
  <si>
    <t xml:space="preserve">V18-02</t>
  </si>
  <si>
    <t xml:space="preserve">Write-through sinks, required collaborators, bounded + retried</t>
  </si>
  <si>
    <t xml:space="preserve">src/db/writeThrough.ts; failed writes retained, drops counted</t>
  </si>
  <si>
    <t xml:space="preserve">V18-03</t>
  </si>
  <si>
    <t xml:space="preserve">IncidentService + Telemetry wired to sinks</t>
  </si>
  <si>
    <t xml:space="preserve">teamId now mandatory on both; 6 suites updated for the new contracts</t>
  </si>
  <si>
    <t xml:space="preserve">V18-04</t>
  </si>
  <si>
    <t xml:space="preserve">Async retention sweep covering repositories</t>
  </si>
  <si>
    <t xml:space="preserve">30-day policy now reaches the real data, not just in-process state</t>
  </si>
  <si>
    <t xml:space="preserve">V18-05</t>
  </si>
  <si>
    <t xml:space="preserve">serve.ts wires sinks, flush timer, dashboard API</t>
  </si>
  <si>
    <t xml:space="preserve">GAP-OC1 discipline</t>
  </si>
  <si>
    <t xml:space="preserve">One-line swap to Pg adapters when DATABASE_URL is real</t>
  </si>
  <si>
    <t xml:space="preserve">V18-06</t>
  </si>
  <si>
    <t xml:space="preserve">Gate + releases (workbook v018, tracker v010, code v0.18.0)</t>
  </si>
  <si>
    <t xml:space="preserve">36 suites/252 tests 100x4</t>
  </si>
  <si>
    <t xml:space="preserve">V18-07</t>
  </si>
  <si>
    <t xml:space="preserve">DECISION still open: rendered front-end or Slack-first API only?</t>
  </si>
  <si>
    <t xml:space="preserve">Deliberately not pre-empted — may be unnecessary for launch</t>
  </si>
  <si>
    <t xml:space="preserve">V019 BUILD BOARD — composition root: the product became reachable (released 2026-09-13 11:11)</t>
  </si>
  <si>
    <t xml:space="preserve">Scope: audit every module for callers, then wire what nothing could invoke.</t>
  </si>
  <si>
    <t xml:space="preserve">V19-01</t>
  </si>
  <si>
    <t xml:space="preserve">Caller audit across all modules</t>
  </si>
  <si>
    <t xml:space="preserve">L-OC6</t>
  </si>
  <si>
    <t xml:space="preserve">12 orphans found; 6 were defects, 6 genuine libraries (OBS-OC1)</t>
  </si>
  <si>
    <t xml:space="preserve">V19-02</t>
  </si>
  <si>
    <t xml:space="preserve">IncidentWorkflow: declare threading all five features</t>
  </si>
  <si>
    <t xml:space="preserve">F-020</t>
  </si>
  <si>
    <t xml:space="preserve">Channel, timeline, paging, SEV1 status, funnel, onboarding in one governed path</t>
  </si>
  <si>
    <t xml:space="preserve">V19-03</t>
  </si>
  <si>
    <t xml:space="preserve">resolve threading timeline, postmortem, status clear</t>
  </si>
  <si>
    <t xml:space="preserve">Postmortem drafted from the real captured timeline</t>
  </si>
  <si>
    <t xml:space="preserve">V19-04</t>
  </si>
  <si>
    <t xml:space="preserve">Circuit-breaker routing for every external call (ST-091 live)</t>
  </si>
  <si>
    <t xml:space="preserve">Paging outage still declares + escalation comms; status outage queues for replay</t>
  </si>
  <si>
    <t xml:space="preserve">V19-05</t>
  </si>
  <si>
    <t xml:space="preserve">workflowRegistry putting F-014 isolation on the request path</t>
  </si>
  <si>
    <t xml:space="preserve">Per-workspace incidents and id sequences proven by regression</t>
  </si>
  <si>
    <t xml:space="preserve">V19-06</t>
  </si>
  <si>
    <t xml:space="preserve">serve.ts wired to the workflow with loud adapter stubs</t>
  </si>
  <si>
    <t xml:space="preserve">Named wiring errors rather than silent success</t>
  </si>
  <si>
    <t xml:space="preserve">V19-07</t>
  </si>
  <si>
    <t xml:space="preserve">DegradedResult discriminated union</t>
  </si>
  <si>
    <t xml:space="preserve">Two unreachable branches removed by design, not pragma</t>
  </si>
  <si>
    <t xml:space="preserve">V19-08</t>
  </si>
  <si>
    <t xml:space="preserve">Gate + releases (workbook v019, tracker v011, code v0.19.0)</t>
  </si>
  <si>
    <t xml:space="preserve">37 suites/263 tests 100x4</t>
  </si>
  <si>
    <t xml:space="preserve">V19-09</t>
  </si>
  <si>
    <t xml:space="preserve">Unchanged; not pre-empted</t>
  </si>
  <si>
    <t xml:space="preserve">V020 BUILD BOARD — surfaces built, statuses corrected (released 2026-09-13 11:17)</t>
  </si>
  <si>
    <t xml:space="preserve">Scope: make claimed capabilities reachable, then re-status honestly whatever still is not.</t>
  </si>
  <si>
    <t xml:space="preserve">V20-01</t>
  </si>
  <si>
    <t xml:space="preserve">Reachability audit of all 77 Done stories</t>
  </si>
  <si>
    <t xml:space="preserve">R-O12</t>
  </si>
  <si>
    <t xml:space="preserve">29 capabilities with no surface</t>
  </si>
  <si>
    <t xml:space="preserve">V20-02</t>
  </si>
  <si>
    <t xml:space="preserve">Feature config routes: rules, pause, import, notifications, metrics</t>
  </si>
  <si>
    <t xml:space="preserve">F-021</t>
  </si>
  <si>
    <t xml:space="preserve">Matrix-gated; bad input 400s rather than silently passing</t>
  </si>
  <si>
    <t xml:space="preserve">V20-03</t>
  </si>
  <si>
    <t xml:space="preserve">Timeline export + onboarding routes</t>
  </si>
  <si>
    <t xml:space="preserve">Markdown export; checklist + per-screen empty states</t>
  </si>
  <si>
    <t xml:space="preserve">V20-04</t>
  </si>
  <si>
    <t xml:space="preserve">Data rights routes (export / delete-my-data)</t>
  </si>
  <si>
    <t xml:space="preserve">Legally significant — now exposed, not just implemented; member refused</t>
  </si>
  <si>
    <t xml:space="preserve">V20-05</t>
  </si>
  <si>
    <t xml:space="preserve">Billing action routes (plan change, cancellation)</t>
  </si>
  <si>
    <t xml:space="preserve">Proration and save-offer paths reachable; owner-only</t>
  </si>
  <si>
    <t xml:space="preserve">V20-06</t>
  </si>
  <si>
    <t xml:space="preserve">Support chat routes (ticket open, SLA check)</t>
  </si>
  <si>
    <t xml:space="preserve">ST-081 engine now has a surface</t>
  </si>
  <si>
    <t xml:space="preserve">V20-07</t>
  </si>
  <si>
    <t xml:space="preserve">Operator-gated ops routes (token refresh, retention sweep)</t>
  </si>
  <si>
    <t xml:space="preserve">Operator token only — never a session role</t>
  </si>
  <si>
    <t xml:space="preserve">V20-08</t>
  </si>
  <si>
    <t xml:space="preserve">Status truth pass: Done 77 -&gt; 70, Module-only defined</t>
  </si>
  <si>
    <t xml:space="preserve">AB-4</t>
  </si>
  <si>
    <t xml:space="preserve">7 stories reclassified; vocabulary in ReadMe_Scope</t>
  </si>
  <si>
    <t xml:space="preserve">V20-09</t>
  </si>
  <si>
    <t xml:space="preserve">Gate + releases (workbook v020, tracker v012, code v0.20.0)</t>
  </si>
  <si>
    <t xml:space="preserve">38 suites/281 tests 100x4</t>
  </si>
  <si>
    <t xml:space="preserve">V20-10</t>
  </si>
  <si>
    <t xml:space="preserve">The API layer now exists either way</t>
  </si>
  <si>
    <t xml:space="preserve">V021 BUILD BOARD — module-only closure (released 2026-09-13 11:22)</t>
  </si>
  <si>
    <t xml:space="preserve">Scope: build the missing half of every Module-only story so the Done count is earned rather than asserted.</t>
  </si>
  <si>
    <t xml:space="preserve">Story</t>
  </si>
  <si>
    <t xml:space="preserve">V21-01</t>
  </si>
  <si>
    <t xml:space="preserve">Notifier interface + spike alerting wired into Telemetry</t>
  </si>
  <si>
    <t xml:space="preserve">ST-072</t>
  </si>
  <si>
    <t xml:space="preserve">Webhook sink retains and retries failures; no-notifier path still reports</t>
  </si>
  <si>
    <t xml:space="preserve">V21-02</t>
  </si>
  <si>
    <t xml:space="preserve">/api/analytics/detail — heatmap, health score, funnel</t>
  </si>
  <si>
    <t xml:space="preserve">ST-073, ST-075</t>
  </si>
  <si>
    <t xml:space="preserve">Workspace-scoped, view-gated</t>
  </si>
  <si>
    <t xml:space="preserve">V21-03</t>
  </si>
  <si>
    <t xml:space="preserve">/api/analytics/export — telemetry CSV</t>
  </si>
  <si>
    <t xml:space="preserve">ST-076</t>
  </si>
  <si>
    <t xml:space="preserve">Owner-gated; member refused</t>
  </si>
  <si>
    <t xml:space="preserve">V21-04</t>
  </si>
  <si>
    <t xml:space="preserve">/api/alerts/thresholds — read and write with validation</t>
  </si>
  <si>
    <t xml:space="preserve">ST-077</t>
  </si>
  <si>
    <t xml:space="preserve">Rejects non-positive and non-numeric; configure-gated</t>
  </si>
  <si>
    <t xml:space="preserve">V21-05</t>
  </si>
  <si>
    <t xml:space="preserve">Scheduler wired in serve.ts for the weekly metrics email</t>
  </si>
  <si>
    <t xml:space="preserve">Fires once per week, per workspace, through the notifier</t>
  </si>
  <si>
    <t xml:space="preserve">V21-06</t>
  </si>
  <si>
    <t xml:space="preserve">Router latency instrumentation + /ops/latency report</t>
  </si>
  <si>
    <t xml:space="preserve">p95 measured per route, graded vs budgets; bounded 1000-sample window, defensive copies</t>
  </si>
  <si>
    <t xml:space="preserve">V21-07</t>
  </si>
  <si>
    <t xml:space="preserve">Gate + releases (workbook v021, tracker v013, code v0.21.0)</t>
  </si>
  <si>
    <t xml:space="preserve">39 suites/291 tests 100x4</t>
  </si>
  <si>
    <t xml:space="preserve">V21-08</t>
  </si>
  <si>
    <t xml:space="preserve">Unchanged</t>
  </si>
  <si>
    <t xml:space="preserve">V022 BUILD BOARD — submission readiness (released 2026-09-13 11:25)</t>
  </si>
  <si>
    <t xml:space="preserve">Scope: make "are we ready to submit?" answerable with evidence rather than opinion.</t>
  </si>
  <si>
    <t xml:space="preserve">V22-01</t>
  </si>
  <si>
    <t xml:space="preserve">Submission dry-run engine (12 requirements, 5 machine-checked)</t>
  </si>
  <si>
    <t xml:space="preserve">src/live/submissionCheck.ts; 9 regressions incl. every blocking path</t>
  </si>
  <si>
    <t xml:space="preserve">V22-02</t>
  </si>
  <si>
    <t xml:space="preserve">Manifest scope vs trust-page cross-check</t>
  </si>
  <si>
    <t xml:space="preserve">An unjustified scope blocks; no trust page means no scope is justified</t>
  </si>
  <si>
    <t xml:space="preserve">V22-03</t>
  </si>
  <si>
    <t xml:space="preserve">npm run submission-check CLI, CI-gateable by exit code</t>
  </si>
  <si>
    <t xml:space="preserve">scripts/submission-check.ts</t>
  </si>
  <si>
    <t xml:space="preserve">V22-04</t>
  </si>
  <si>
    <t xml:space="preserve">json-summary coverage reporter so the gate is read, not assumed</t>
  </si>
  <si>
    <t xml:space="preserve">Found because the checker failed itself on first run</t>
  </si>
  <si>
    <t xml:space="preserve">V22-05</t>
  </si>
  <si>
    <t xml:space="preserve">Submission_Readiness sheet in the product workbook</t>
  </si>
  <si>
    <t xml:space="preserve">Mirrors the run; regenerate any time</t>
  </si>
  <si>
    <t xml:space="preserve">V22-06</t>
  </si>
  <si>
    <t xml:space="preserve">Gate + releases (workbook v022, tracker v014, code v0.22.0)</t>
  </si>
  <si>
    <t xml:space="preserve">40 suites/300 tests 100x4</t>
  </si>
  <si>
    <t xml:space="preserve">V22-07</t>
  </si>
  <si>
    <t xml:space="preserve">SC-06..SC-12: the 7 items only you can close</t>
  </si>
  <si>
    <t xml:space="preserve">Workspace install, Stripe, pen test, reviewer, assets, copy pick, rendered a11y</t>
  </si>
  <si>
    <t xml:space="preserve">V023 BUILD BOARD — dispositions implemented (released 2026-09-13 11:33)</t>
  </si>
  <si>
    <t xml:space="preserve">Scope: implement the three approved options properly — at the root, with the artifacts kept in sync.</t>
  </si>
  <si>
    <t xml:space="preserve">V23-01</t>
  </si>
  <si>
    <t xml:space="preserve">Explicit incident transition map; illegal moves refused</t>
  </si>
  <si>
    <t xml:space="preserve">F-005</t>
  </si>
  <si>
    <t xml:space="preserve">open-&gt;reopened, resolved-&gt;mitigated, double-resolve all throw</t>
  </si>
  <si>
    <t xml:space="preserve">V23-02</t>
  </si>
  <si>
    <t xml:space="preserve">Immutable first resolution + resolutions[] + reopen counter</t>
  </si>
  <si>
    <t xml:space="preserve">MTTR cannot drift; every resolution instant retained</t>
  </si>
  <si>
    <t xml:space="preserve">V23-03</t>
  </si>
  <si>
    <t xml:space="preserve">timeToFirstResolutionMs() as the metric input</t>
  </si>
  <si>
    <t xml:space="preserve">The number you can defend in a postmortem</t>
  </si>
  <si>
    <t xml:space="preserve">V23-04</t>
  </si>
  <si>
    <t xml:space="preserve">reopen() wired through the workflow (timeline + status page)</t>
  </si>
  <si>
    <t xml:space="preserve">Reopen re-degrades the status page and logs the reason</t>
  </si>
  <si>
    <t xml:space="preserve">V23-05</t>
  </si>
  <si>
    <t xml:space="preserve">State machine documented in DATA_FLOW.md</t>
  </si>
  <si>
    <t xml:space="preserve">Artifact-sync discipline (L-OC3)</t>
  </si>
  <si>
    <t xml:space="preserve">V23-06</t>
  </si>
  <si>
    <t xml:space="preserve">Breaker closed/open/half_open with a single probe</t>
  </si>
  <si>
    <t xml:space="preserve">F-006</t>
  </si>
  <si>
    <t xml:space="preserve">Also answers FlowCast OBS-002, VoiceBridge OBS-V2, MeetSync OBS-M1</t>
  </si>
  <si>
    <t xml:space="preserve">V23-07</t>
  </si>
  <si>
    <t xml:space="preserve">Bounded replay queue with public drop counter</t>
  </si>
  <si>
    <t xml:space="preserve">F-007</t>
  </si>
  <si>
    <t xml:space="preserve">5,000 cap, drop-oldest, losses surfaced</t>
  </si>
  <si>
    <t xml:space="preserve">V23-08</t>
  </si>
  <si>
    <t xml:space="preserve">Gate + submission re-run + releases</t>
  </si>
  <si>
    <t xml:space="preserve">41 suites/315 tests 100x4; READY_TO_SUBMIT holds</t>
  </si>
  <si>
    <t xml:space="preserve">V23-09</t>
  </si>
  <si>
    <t xml:space="preserve">PORTFOLIO: port the F-006 half-open fix to 3 siblings</t>
  </si>
  <si>
    <t xml:space="preserve">Senthil to schedule</t>
  </si>
  <si>
    <t xml:space="preserve">Same observation logged separately on FlowCast, VoiceBridge, MeetSync</t>
  </si>
  <si>
    <t xml:space="preserve">V024 BUILD BOARD — Slack-first surface (released 2026-09-13 11:38)</t>
  </si>
  <si>
    <t xml:space="preserve">Scope: ratify V17-08 Option A and build what a Slack-first product actually requires.</t>
  </si>
  <si>
    <t xml:space="preserve">V24-01</t>
  </si>
  <si>
    <t xml:space="preserve">Declare modal: typed inputs, plain-language severity options</t>
  </si>
  <si>
    <t xml:space="preserve">F-022</t>
  </si>
  <si>
    <t xml:space="preserve">Was three strings; now a real view inside every Slack limit</t>
  </si>
  <si>
    <t xml:space="preserve">V24-02</t>
  </si>
  <si>
    <t xml:space="preserve">Incident message: status in words, mitigate/resolve/reopen actions</t>
  </si>
  <si>
    <t xml:space="preserve">Reopen count shown in words; degradation note surfaced to responders</t>
  </si>
  <si>
    <t xml:space="preserve">V24-03</t>
  </si>
  <si>
    <t xml:space="preserve">App Home dashboard paging inside the 100-block cap</t>
  </si>
  <si>
    <t xml:space="preserve">60-incident workspace tested; empty state teaches the command</t>
  </si>
  <si>
    <t xml:space="preserve">V24-04</t>
  </si>
  <si>
    <t xml:space="preserve">Block Kit limits module verified against Slack reference docs</t>
  </si>
  <si>
    <t xml:space="preserve">F-023</t>
  </si>
  <si>
    <t xml:space="preserve">Caught a real bug in my own builder on first run</t>
  </si>
  <si>
    <t xml:space="preserve">V24-05</t>
  </si>
  <si>
    <t xml:space="preserve">Validator refusing over-limit views at build time</t>
  </si>
  <si>
    <t xml:space="preserve">Slack truncates silently; we refuse loudly instead</t>
  </si>
  <si>
    <t xml:space="preserve">V24-06</t>
  </si>
  <si>
    <t xml:space="preserve">Accessibility auditor + published scope statement</t>
  </si>
  <si>
    <t xml:space="preserve">SC-12</t>
  </si>
  <si>
    <t xml:space="preserve">Automated half enforced on every view; screen-reader pass stays human</t>
  </si>
  <si>
    <t xml:space="preserve">V24-07</t>
  </si>
  <si>
    <t xml:space="preserve">Views wired into the workflow behind one guard (L-OC6 discipline)</t>
  </si>
  <si>
    <t xml:space="preserve">Not left orphaned — the mistake this build has made three times</t>
  </si>
  <si>
    <t xml:space="preserve">V24-08</t>
  </si>
  <si>
    <t xml:space="preserve">42 suites/336 tests 100x4; READY_TO_SUBMIT holds</t>
  </si>
  <si>
    <t xml:space="preserve">V24-09</t>
  </si>
  <si>
    <t xml:space="preserve">D15 — the last open decision</t>
  </si>
  <si>
    <t xml:space="preserve">Depends on your available hours; unratified is the worst option</t>
  </si>
  <si>
    <t xml:space="preserve">V025 BUILD BOARD — the controls actually work (released 2026-09-13 11:53)</t>
  </si>
  <si>
    <t xml:space="preserve">Scope: make every button and modal shipped in v024 do what it says.</t>
  </si>
  <si>
    <t xml:space="preserve">V25-01</t>
  </si>
  <si>
    <t xml:space="preserve">Interaction payload parsing (url-encoded, plus-encoded, malformed)</t>
  </si>
  <si>
    <t xml:space="preserve">F-024</t>
  </si>
  <si>
    <t xml:space="preserve">Unknown payload types refused rather than half-handled</t>
  </si>
  <si>
    <t xml:space="preserve">V25-02</t>
  </si>
  <si>
    <t xml:space="preserve">block_actions routed to real transitions</t>
  </si>
  <si>
    <t xml:space="preserve">mitigate/resolve/reopen; rejected transitions become warnings, not crashes</t>
  </si>
  <si>
    <t xml:space="preserve">V25-03</t>
  </si>
  <si>
    <t xml:space="preserve">view_submission validated with field-level errors</t>
  </si>
  <si>
    <t xml:space="preserve">Empty-200 closes the modal; response_action shows the error on the right field</t>
  </si>
  <si>
    <t xml:space="preserve">V25-04</t>
  </si>
  <si>
    <t xml:space="preserve">Declare modal opens on the ACK path (trigger_id ~3s)</t>
  </si>
  <si>
    <t xml:space="preserve">Deliberately NOT deferred — the trigger would be dead</t>
  </si>
  <si>
    <t xml:space="preserve">V25-05</t>
  </si>
  <si>
    <t xml:space="preserve">Per-workspace role resolution + installation guard on interactions</t>
  </si>
  <si>
    <t xml:space="preserve">Uninstalled workspace cannot drive actions or submissions</t>
  </si>
  <si>
    <t xml:space="preserve">V25-06</t>
  </si>
  <si>
    <t xml:space="preserve">Wired through the route and serve.ts</t>
  </si>
  <si>
    <t xml:space="preserve">L-OC6 discipline</t>
  </si>
  <si>
    <t xml:space="preserve">views.open adapter throws a named wiring error until deploy</t>
  </si>
  <si>
    <t xml:space="preserve">V25-07</t>
  </si>
  <si>
    <t xml:space="preserve">43 suites/354 tests 100x4; READY_TO_SUBMIT holds</t>
  </si>
  <si>
    <t xml:space="preserve">V25-08</t>
  </si>
  <si>
    <t xml:space="preserve">V026 BUILD BOARD — encryption applied, obsolete code removed (released 2026-09-13 11:56)</t>
  </si>
  <si>
    <t xml:space="preserve">Scope: routine caller audit, then fix what it found.</t>
  </si>
  <si>
    <t xml:space="preserve">V26-01</t>
  </si>
  <si>
    <t xml:space="preserve">Routine caller audit across every module</t>
  </si>
  <si>
    <t xml:space="preserve">L-OC9</t>
  </si>
  <si>
    <t xml:space="preserve">Found F-025 and CLN-1; 2 remaining orphans are genuine build-time tools</t>
  </si>
  <si>
    <t xml:space="preserve">V26-02</t>
  </si>
  <si>
    <t xml:space="preserve">Tokens stored as ciphertext only, key-id tagged</t>
  </si>
  <si>
    <t xml:space="preserve">F-025</t>
  </si>
  <si>
    <t xml:space="preserve">No plaintext anywhere on the record — asserted by regression</t>
  </si>
  <si>
    <t xml:space="preserve">V26-03</t>
  </si>
  <si>
    <t xml:space="preserve">FieldCrypto as a required collaborator on InstallService</t>
  </si>
  <si>
    <t xml:space="preserve">Optional collaborators are how this recurs</t>
  </si>
  <si>
    <t xml:space="preserve">V26-04</t>
  </si>
  <si>
    <t xml:space="preserve">Decrypt only at point of use; clear on uninstall; re-encrypt on rotate</t>
  </si>
  <si>
    <t xml:space="preserve">accessTokenFor() is the single decryption point</t>
  </si>
  <si>
    <t xml:space="preserve">V26-05</t>
  </si>
  <si>
    <t xml:space="preserve">ENCRYPTION_KEY required at boot + trust page corrected</t>
  </si>
  <si>
    <t xml:space="preserve">The published claim now matches the code</t>
  </si>
  <si>
    <t xml:space="preserve">V26-06</t>
  </si>
  <si>
    <t xml:space="preserve">Removed obsolete web-shell module and its suite</t>
  </si>
  <si>
    <t xml:space="preserve">CLN-1</t>
  </si>
  <si>
    <t xml:space="preserve">ST-089 now rests on the Block Kit auditor</t>
  </si>
  <si>
    <t xml:space="preserve">V26-07</t>
  </si>
  <si>
    <t xml:space="preserve">42 suites/350 tests 100x4</t>
  </si>
  <si>
    <t xml:space="preserve">V26-08</t>
  </si>
  <si>
    <t xml:space="preserve">V027 BUILD BOARD — promises enforced (released 2026-09-13 12:02)</t>
  </si>
  <si>
    <t xml:space="preserve">Scope: audit every customer-facing claim against the code, then make the failures true.</t>
  </si>
  <si>
    <t xml:space="preserve">V27-01</t>
  </si>
  <si>
    <t xml:space="preserve">Published-promise audit across trust page, pricing FAQ, help centre</t>
  </si>
  <si>
    <t xml:space="preserve">L-OC10</t>
  </si>
  <si>
    <t xml:space="preserve">3 of the claims were unenforced</t>
  </si>
  <si>
    <t xml:space="preserve">V27-02</t>
  </si>
  <si>
    <t xml:space="preserve">Entitlements gate on every mutating action</t>
  </si>
  <si>
    <t xml:space="preserve">F-026</t>
  </si>
  <si>
    <t xml:space="preserve">Required collaborator; reason carried to the Slack surface</t>
  </si>
  <si>
    <t xml:space="preserve">V27-03</t>
  </si>
  <si>
    <t xml:space="preserve">Reads deliberately left open on blocked accounts</t>
  </si>
  <si>
    <t xml:space="preserve">History visible and exportable in arrears — as the help centre promises</t>
  </si>
  <si>
    <t xml:space="preserve">V27-04</t>
  </si>
  <si>
    <t xml:space="preserve">Usage metered per declare, refused at the cap</t>
  </si>
  <si>
    <t xml:space="preserve">F-027</t>
  </si>
  <si>
    <t xml:space="preserve">80/100% warnings, cycle reset, upgrade headroom</t>
  </si>
  <si>
    <t xml:space="preserve">V27-05</t>
  </si>
  <si>
    <t xml:space="preserve">Retention sweep scheduled daily</t>
  </si>
  <si>
    <t xml:space="preserve">F-028</t>
  </si>
  <si>
    <t xml:space="preserve">Policy no longer depends on someone calling an endpoint</t>
  </si>
  <si>
    <t xml:space="preserve">V27-06</t>
  </si>
  <si>
    <t xml:space="preserve">43 suites/361 tests 100x4</t>
  </si>
  <si>
    <t xml:space="preserve">V27-07</t>
  </si>
  <si>
    <t xml:space="preserve">V028 BUILD BOARD — restart and deploy safety (released 2026-09-13 16:26)</t>
  </si>
  <si>
    <t xml:space="preserve">Scope: test the rollback claim in our own runbook, then fix what it exposed.</t>
  </si>
  <si>
    <t xml:space="preserve">V28-01</t>
  </si>
  <si>
    <t xml:space="preserve">highestSequence() on both repository adapters + shared contract test</t>
  </si>
  <si>
    <t xml:space="preserve">F-029</t>
  </si>
  <si>
    <t xml:space="preserve">Per tenant, highest not latest, tolerant of foreign ids</t>
  </si>
  <si>
    <t xml:space="preserve">V28-02</t>
  </si>
  <si>
    <t xml:space="preserve">Incident numbering reseeded at boot; seed never lowers a live sequence</t>
  </si>
  <si>
    <t xml:space="preserve">Regression: restarted process issues INC-0003, INC-0001 intact</t>
  </si>
  <si>
    <t xml:space="preserve">V28-03</t>
  </si>
  <si>
    <t xml:space="preserve">Role snapshot/restore</t>
  </si>
  <si>
    <t xml:space="preserve">F-030</t>
  </si>
  <si>
    <t xml:space="preserve">Owner stays owner across a deploy</t>
  </si>
  <si>
    <t xml:space="preserve">V28-04</t>
  </si>
  <si>
    <t xml:space="preserve">Dedupe ledger snapshot/restore, cap-respecting</t>
  </si>
  <si>
    <t xml:space="preserve">F-031</t>
  </si>
  <si>
    <t xml:space="preserve">Slack retry after restart still deduped — no duplicate channel</t>
  </si>
  <si>
    <t xml:space="preserve">V28-05</t>
  </si>
  <si>
    <t xml:space="preserve">Lifecycle drain on SIGTERM/SIGINT with honest loss reporting</t>
  </si>
  <si>
    <t xml:space="preserve">F-032</t>
  </si>
  <si>
    <t xml:space="preserve">Retries while progressing; non-zero exit if anything is lost</t>
  </si>
  <si>
    <t xml:space="preserve">V28-06</t>
  </si>
  <si>
    <t xml:space="preserve">Runbook rollback paragraph corrected</t>
  </si>
  <si>
    <t xml:space="preserve">F-029..F-032</t>
  </si>
  <si>
    <t xml:space="preserve">States the three real conditions instead of my earlier claim</t>
  </si>
  <si>
    <t xml:space="preserve">V28-07</t>
  </si>
  <si>
    <t xml:space="preserve">44 suites/375 tests 100x4</t>
  </si>
  <si>
    <t xml:space="preserve">V28-08</t>
  </si>
  <si>
    <t xml:space="preserve">LIVE: persistent adapters for roles and dedupe at deploy</t>
  </si>
  <si>
    <t xml:space="preserve">F-030,F-031</t>
  </si>
  <si>
    <t xml:space="preserve">Snapshot/restore hooks are ready; they need Postgres behind them</t>
  </si>
  <si>
    <t xml:space="preserve">V28-09</t>
  </si>
  <si>
    <t xml:space="preserve">V029 BUILD BOARD — restart safety made operational (released 2026-09-13 16:32)</t>
  </si>
  <si>
    <t xml:space="preserve">Scope: close my own caveat — put real stores behind the restore hooks.</t>
  </si>
  <si>
    <t xml:space="preserve">V29-01</t>
  </si>
  <si>
    <t xml:space="preserve">RoleRepository + DedupeRepository, both adapters, shared contract suite</t>
  </si>
  <si>
    <t xml:space="preserve">R-O14</t>
  </si>
  <si>
    <t xml:space="preserve">Per-tenant purge, upsert semantics, first-writer-wins dedupe</t>
  </si>
  <si>
    <t xml:space="preserve">V29-02</t>
  </si>
  <si>
    <t xml:space="preserve">Migrations 0007/0008 + TENANT_TABLES coverage</t>
  </si>
  <si>
    <t xml:space="preserve">Retention sweep and backup drill both pick them up automatically</t>
  </si>
  <si>
    <t xml:space="preserve">V29-03</t>
  </si>
  <si>
    <t xml:space="preserve">Role write-through with surfaced failures</t>
  </si>
  <si>
    <t xml:space="preserve">Failed writes fail /health rather than going unnoticed</t>
  </si>
  <si>
    <t xml:space="preserve">V29-04</t>
  </si>
  <si>
    <t xml:space="preserve">Replica-atomic dedupe (ON CONFLICT DO NOTHING RETURNING)</t>
  </si>
  <si>
    <t xml:space="preserve">Two replicas cannot both process the same Slack retry</t>
  </si>
  <si>
    <t xml:space="preserve">V29-05</t>
  </si>
  <si>
    <t xml:space="preserve">Boot-time rehydration before traffic is served</t>
  </si>
  <si>
    <t xml:space="preserve">Roles, ledger, incident numbering — in that order</t>
  </si>
  <si>
    <t xml:space="preserve">V29-06</t>
  </si>
  <si>
    <t xml:space="preserve">44 suites/387 tests 100x4</t>
  </si>
  <si>
    <t xml:space="preserve">V29-07</t>
  </si>
  <si>
    <t xml:space="preserve">LIVE: swap the four in-memory adapters for Pg at deploy</t>
  </si>
  <si>
    <t xml:space="preserve">One line each; contract-proven, so the swap is configuration</t>
  </si>
  <si>
    <t xml:space="preserve">V29-08</t>
  </si>
  <si>
    <t xml:space="preserve">V030 BUILD BOARD — multi-replica correctness (released 2026-09-13 16:36)</t>
  </si>
  <si>
    <t xml:space="preserve">Scope: everything that assumed a single writer, tested with two replicas running.</t>
  </si>
  <si>
    <t xml:space="preserve">V30-01</t>
  </si>
  <si>
    <t xml:space="preserve">SequenceAllocator, both adapters, atomic claim</t>
  </si>
  <si>
    <t xml:space="preserve">F-033</t>
  </si>
  <si>
    <t xml:space="preserve">Row lock serialises replicas; 4 concurrent claims, 4 distinct ids</t>
  </si>
  <si>
    <t xml:space="preserve">V30-02</t>
  </si>
  <si>
    <t xml:space="preserve">Boot seeding of the allocator from stored data</t>
  </si>
  <si>
    <t xml:space="preserve">Never moves backwards</t>
  </si>
  <si>
    <t xml:space="preserve">V30-03</t>
  </si>
  <si>
    <t xml:space="preserve">Off-by-one fix (allocation skipped an id)</t>
  </si>
  <si>
    <t xml:space="preserve">Found by its own regression</t>
  </si>
  <si>
    <t xml:space="preserve">V30-04</t>
  </si>
  <si>
    <t xml:space="preserve">LeaseStore, both adapters, with expiry and holder checks</t>
  </si>
  <si>
    <t xml:space="preserve">F-034</t>
  </si>
  <si>
    <t xml:space="preserve">Crashed holder cannot stall a job forever</t>
  </si>
  <si>
    <t xml:space="preserve">V30-05</t>
  </si>
  <si>
    <t xml:space="preserve">Lease-gated scheduling with recorded skips</t>
  </si>
  <si>
    <t xml:space="preserve">Weekly email sent once across replicas; missing store is a hard error</t>
  </si>
  <si>
    <t xml:space="preserve">V30-06</t>
  </si>
  <si>
    <t xml:space="preserve">Migrations 0009/0010 + retention coverage</t>
  </si>
  <si>
    <t xml:space="preserve">F-033,F-034</t>
  </si>
  <si>
    <t xml:space="preserve">incident_sequences added to TENANT_TABLES</t>
  </si>
  <si>
    <t xml:space="preserve">V30-07</t>
  </si>
  <si>
    <t xml:space="preserve">45 suites/407 tests 100x4</t>
  </si>
  <si>
    <t xml:space="preserve">V30-08</t>
  </si>
  <si>
    <t xml:space="preserve">F-035 billing repository — single-writer gap</t>
  </si>
  <si>
    <t xml:space="preserve">F-035</t>
  </si>
  <si>
    <t xml:space="preserve">NOT STARTED</t>
  </si>
  <si>
    <t xml:space="preserve">Deliberate: needs a full sprint. Run one replica until then</t>
  </si>
  <si>
    <t xml:space="preserve">V30-09</t>
  </si>
  <si>
    <t xml:space="preserve">V031 BUILD BOARD — billing persistence (released 2026-09-13 16:42)</t>
  </si>
  <si>
    <t xml:space="preserve">Scope: close the single-writer gap I declined to half-build last sprint.</t>
  </si>
  <si>
    <t xml:space="preserve">V31-01</t>
  </si>
  <si>
    <t xml:space="preserve">BillingRepository, both adapters, shared contract suite</t>
  </si>
  <si>
    <t xml:space="preserve">Migration 0011; per-tenant purge registered with the retention sweep</t>
  </si>
  <si>
    <t xml:space="preserve">V31-02</t>
  </si>
  <si>
    <t xml:space="preserve">Atomic claimUsage (check + increment in one statement)</t>
  </si>
  <si>
    <t xml:space="preserve">Two replicas, 35 attempts, 25-incident plan: exactly 25 allowed</t>
  </si>
  <si>
    <t xml:space="preserve">V31-03</t>
  </si>
  <si>
    <t xml:space="preserve">Write-through + boot rehydration of billing state</t>
  </si>
  <si>
    <t xml:space="preserve">A restart no longer resets readOnly and unblocks arrears</t>
  </si>
  <si>
    <t xml:space="preserve">V31-04</t>
  </si>
  <si>
    <t xml:space="preserve">Billing write failures surfaced through /health</t>
  </si>
  <si>
    <t xml:space="preserve">Alongside the role store — same failure mode</t>
  </si>
  <si>
    <t xml:space="preserve">V31-05</t>
  </si>
  <si>
    <t xml:space="preserve">Refused gate spends no allowance</t>
  </si>
  <si>
    <t xml:space="preserve">Regression asserts usage stays at 0 on refusal</t>
  </si>
  <si>
    <t xml:space="preserve">V31-06</t>
  </si>
  <si>
    <t xml:space="preserve">R-O15 withdrawn</t>
  </si>
  <si>
    <t xml:space="preserve">R-O15</t>
  </si>
  <si>
    <t xml:space="preserve">Single-replica mitigation no longer needed</t>
  </si>
  <si>
    <t xml:space="preserve">V31-07</t>
  </si>
  <si>
    <t xml:space="preserve">46 suites/424 tests 100x4</t>
  </si>
  <si>
    <t xml:space="preserve">V31-08</t>
  </si>
  <si>
    <t xml:space="preserve">LIVE: swap the six in-memory adapters for Pg at deploy</t>
  </si>
  <si>
    <t xml:space="preserve">R-O14,F-035</t>
  </si>
  <si>
    <t xml:space="preserve">One line each; contract-proven</t>
  </si>
  <si>
    <t xml:space="preserve">V31-09</t>
  </si>
  <si>
    <t xml:space="preserve">V032 BUILD BOARD — real SQL verification (released 2026-09-13 16:48)</t>
  </si>
  <si>
    <t xml:space="preserve">Scope: stop proving my SQL against my own fakes.</t>
  </si>
  <si>
    <t xml:space="preserve">V32-01</t>
  </si>
  <si>
    <t xml:space="preserve">pg-mem integration suite: real migrations + real adapter SQL</t>
  </si>
  <si>
    <t xml:space="preserve">13 tests; every migration applies, every statement executes</t>
  </si>
  <si>
    <t xml:space="preserve">V32-02</t>
  </si>
  <si>
    <t xml:space="preserve">InstallationRepository, both adapters, write-through + rehydration</t>
  </si>
  <si>
    <t xml:space="preserve">F-036</t>
  </si>
  <si>
    <t xml:space="preserve">FK parents exist before any child write; failures fail /health</t>
  </si>
  <si>
    <t xml:space="preserve">V32-03</t>
  </si>
  <si>
    <t xml:space="preserve">Nullable token columns matching the uninstall path</t>
  </si>
  <si>
    <t xml:space="preserve">F-037</t>
  </si>
  <si>
    <t xml:space="preserve">Reason recorded in the migration itself</t>
  </si>
  <si>
    <t xml:space="preserve">V32-04</t>
  </si>
  <si>
    <t xml:space="preserve">Portable LIKE in place of the regex operator</t>
  </si>
  <si>
    <t xml:space="preserve">F-038</t>
  </si>
  <si>
    <t xml:space="preserve">Same result, fewer engine-specific operators</t>
  </si>
  <si>
    <t xml:space="preserve">V32-05</t>
  </si>
  <si>
    <t xml:space="preserve">pg-mem deviations verified and documented</t>
  </si>
  <si>
    <t xml:space="preserve">OBS-OC2</t>
  </si>
  <si>
    <t xml:space="preserve">Correct SQL was NOT changed to satisfy a fake engine</t>
  </si>
  <si>
    <t xml:space="preserve">V32-06</t>
  </si>
  <si>
    <t xml:space="preserve">47 suites/445 tests 100x4</t>
  </si>
  <si>
    <t xml:space="preserve">V32-07</t>
  </si>
  <si>
    <t xml:space="preserve">LIVE: run the suite against a real Postgres once provisioned</t>
  </si>
  <si>
    <t xml:space="preserve">Closes the last gap pg-mem cannot</t>
  </si>
  <si>
    <t xml:space="preserve">V32-08</t>
  </si>
  <si>
    <t xml:space="preserve">V033 BUILD BOARD — verified against a real database (released 2026-09-13 17:26)</t>
  </si>
  <si>
    <t xml:space="preserve">Scope: close the one item a fake engine could never settle.</t>
  </si>
  <si>
    <t xml:space="preserve">V33-01</t>
  </si>
  <si>
    <t xml:space="preserve">Provision PostgreSQL 16 and run the real adapters against it</t>
  </si>
  <si>
    <t xml:space="preserve">8 tests; was on the board as Senthil’s item</t>
  </si>
  <si>
    <t xml:space="preserve">V33-02</t>
  </si>
  <si>
    <t xml:space="preserve">FK, NULL-token, cascade and LIKE behaviour confirmed on a real engine</t>
  </si>
  <si>
    <t xml:space="preserve">F-036..F-038</t>
  </si>
  <si>
    <t xml:space="preserve">Confirms the three fixes from the previous sprint</t>
  </si>
  <si>
    <t xml:space="preserve">V33-03</t>
  </si>
  <si>
    <t xml:space="preserve">Concurrency proven, not simulated</t>
  </si>
  <si>
    <t xml:space="preserve">F-033,F-035</t>
  </si>
  <si>
    <t xml:space="preserve">20 parallel claims -&gt; 20 ids; 30 claims at cap 10 -&gt; exactly 10</t>
  </si>
  <si>
    <t xml:space="preserve">V33-04</t>
  </si>
  <si>
    <t xml:space="preserve">OBS-OC2 resolved in favour of the existing SQL</t>
  </si>
  <si>
    <t xml:space="preserve">pg-mem was wrong, the adapters were right</t>
  </si>
  <si>
    <t xml:space="preserve">V33-05</t>
  </si>
  <si>
    <t xml:space="preserve">CI postgres:16 service job + npm run test:pg</t>
  </si>
  <si>
    <t xml:space="preserve">Skips cleanly without a server so the main gate runs anywhere</t>
  </si>
  <si>
    <t xml:space="preserve">V33-06</t>
  </si>
  <si>
    <t xml:space="preserve">48 suites/453 tests 100x4</t>
  </si>
  <si>
    <t xml:space="preserve">V33-07</t>
  </si>
  <si>
    <t xml:space="preserve">V034 BUILD BOARD — adversarial suite and load measurement (released 2026-09-13 18:50)</t>
  </si>
  <si>
    <t xml:space="preserve">Scope: take back the half of each "Senthil item" that was actually mine.</t>
  </si>
  <si>
    <t xml:space="preserve">V34-01</t>
  </si>
  <si>
    <t xml:space="preserve">18-case adversarial suite in CI</t>
  </si>
  <si>
    <t xml:space="preserve">SC-08</t>
  </si>
  <si>
    <t xml:space="preserve">Signatures, tenancy, roles, operator bypass, CSRF, hostile input, leakage</t>
  </si>
  <si>
    <t xml:space="preserve">V34-02</t>
  </si>
  <si>
    <t xml:space="preserve">F-039 fix: malformed body returns 400, not 500</t>
  </si>
  <si>
    <t xml:space="preserve">F-039</t>
  </si>
  <si>
    <t xml:space="preserve">Stops junk input tripping the error-spike pager</t>
  </si>
  <si>
    <t xml:space="preserve">V34-03</t>
  </si>
  <si>
    <t xml:space="preserve">In-process load run at 10x launch estimate, gating CI</t>
  </si>
  <si>
    <t xml:space="preserve">600 requests, 0 errors, p95 within budget</t>
  </si>
  <si>
    <t xml:space="preserve">V34-04</t>
  </si>
  <si>
    <t xml:space="preserve">Both results documented with their limits stated</t>
  </si>
  <si>
    <t xml:space="preserve">SC-08,ST-088</t>
  </si>
  <si>
    <t xml:space="preserve">Not a pen test; excludes network/DB/Slack latency</t>
  </si>
  <si>
    <t xml:space="preserve">V34-05</t>
  </si>
  <si>
    <t xml:space="preserve">49 suites/473 tests 100x4</t>
  </si>
  <si>
    <t xml:space="preserve">V34-06</t>
  </si>
  <si>
    <t xml:space="preserve">Third-party pen test</t>
  </si>
  <si>
    <t xml:space="preserve">The half only an external party can do</t>
  </si>
  <si>
    <t xml:space="preserve">V34-07</t>
  </si>
  <si>
    <t xml:space="preserve">Staging load run against real infrastructure</t>
  </si>
  <si>
    <t xml:space="preserve">The half only real infrastructure can do</t>
  </si>
  <si>
    <t xml:space="preserve">V34-08</t>
  </si>
  <si>
    <t xml:space="preserve">V035 BUILD BOARD — documentation accuracy and supply chain (released 2026-09-13 19:00)</t>
  </si>
  <si>
    <t xml:space="preserve">Scope: the last two unrun lenses. Closing sprint.</t>
  </si>
  <si>
    <t xml:space="preserve">V35-01</t>
  </si>
  <si>
    <t xml:space="preserve">Dependency audit</t>
  </si>
  <si>
    <t xml:space="preserve">SUP-1</t>
  </si>
  <si>
    <t xml:space="preserve">0 vulnerabilities incl. dev; small runtime surface</t>
  </si>
  <si>
    <t xml:space="preserve">V35-02</t>
  </si>
  <si>
    <t xml:space="preserve">README rewritten to the real codebase</t>
  </si>
  <si>
    <t xml:space="preserve">CLN-2</t>
  </si>
  <si>
    <t xml:space="preserve">19 directories, all routes, boot variables, commands, restore order</t>
  </si>
  <si>
    <t xml:space="preserve">V35-03</t>
  </si>
  <si>
    <t xml:space="preserve">V35-04</t>
  </si>
  <si>
    <t xml:space="preserve">CLOSING: no further sandbox work planned</t>
  </si>
  <si>
    <t xml:space="preserve">Continuing would be padding; every applicable lens has been run</t>
  </si>
  <si>
    <t xml:space="preserve">V35-05</t>
  </si>
  <si>
    <t xml:space="preserve">D15 decision</t>
  </si>
  <si>
    <t xml:space="preserve">The only open decision</t>
  </si>
  <si>
    <t xml:space="preserve">V35-06</t>
  </si>
  <si>
    <t xml:space="preserve">SC-06 workspace run (30 min) — the highest-leverage action</t>
  </si>
  <si>
    <t xml:space="preserve">Flips three stories and closes the biggest live item</t>
  </si>
  <si>
    <t xml:space="preserve">SUBMISSION READINESS (tracker mirror) — READY_TO_SUBMIT on the automated half</t>
  </si>
  <si>
    <t xml:space="preserve">5 automated checks pass, 0 blocked, 7 awaiting a human or a live platform — and from V036 a sixth automated check: the production composition gate. Regenerate with npm run submission-check. V037: the sixth automated check now probes behaviour (healthcheck) as well as names, and the CI package job asserts a successful development boot.</t>
  </si>
  <si>
    <t xml:space="preserve">Requirement</t>
  </si>
  <si>
    <t xml:space="preserve">State</t>
  </si>
  <si>
    <t xml:space="preserve">Evidence / what is needed</t>
  </si>
  <si>
    <t xml:space="preserve">SC-01</t>
  </si>
  <si>
    <t xml:space="preserve">App manifest present with least-privilege scopes</t>
  </si>
  <si>
    <t xml:space="preserve">PASS</t>
  </si>
  <si>
    <t xml:space="preserve">5 scopes, each justified on the trust page</t>
  </si>
  <si>
    <t xml:space="preserve">automated</t>
  </si>
  <si>
    <t xml:space="preserve">SC-02</t>
  </si>
  <si>
    <t xml:space="preserve">Endpoints Slack calls are served</t>
  </si>
  <si>
    <t xml:space="preserve">5 required routes registered</t>
  </si>
  <si>
    <t xml:space="preserve">SC-03</t>
  </si>
  <si>
    <t xml:space="preserve">Review and listing documentation present</t>
  </si>
  <si>
    <t xml:space="preserve">7 documents present</t>
  </si>
  <si>
    <t xml:space="preserve">SC-04</t>
  </si>
  <si>
    <t xml:space="preserve">Automated quality gate green (D13)</t>
  </si>
  <si>
    <t xml:space="preserve">60 suites / 624 tests (616 run, 8 gated on a real Postgres) at 100% statements, branches, functions and lines over src/ AND scripts/; clean tsc over src+scripts and tests</t>
  </si>
  <si>
    <t xml:space="preserve">SC-05</t>
  </si>
  <si>
    <t xml:space="preserve">Database migrations present</t>
  </si>
  <si>
    <t xml:space="preserve">Ordered migrations with cascade deletes</t>
  </si>
  <si>
    <t xml:space="preserve">Installed and verified in a real Slack workspace</t>
  </si>
  <si>
    <t xml:space="preserve">LIVE</t>
  </si>
  <si>
    <t xml:space="preserve">docs/DEV_WORKSPACE_SETUP.md then npm run live-sweep (12 steps)</t>
  </si>
  <si>
    <t xml:space="preserve">SC-07</t>
  </si>
  <si>
    <t xml:space="preserve">Live billing verified end to end</t>
  </si>
  <si>
    <t xml:space="preserve">Stripe keys + one real test charge</t>
  </si>
  <si>
    <t xml:space="preserve">Third-party penetration test completed</t>
  </si>
  <si>
    <t xml:space="preserve">HUMAN</t>
  </si>
  <si>
    <t xml:space="preserve">Vendor not booked; scope brief ready in SECURITY_EVIDENCE.md</t>
  </si>
  <si>
    <t xml:space="preserve">SC-09</t>
  </si>
  <si>
    <t xml:space="preserve">Independent second reviewer sign-off</t>
  </si>
  <si>
    <t xml:space="preserve">Two independent reviews now served this role (ChatGPT 13/09, Perplexity 16/09); both dispositioned. S50 launch certification needs a THIRD, independent of both.</t>
  </si>
  <si>
    <t xml:space="preserve">SC-10</t>
  </si>
  <si>
    <t xml:space="preserve">Listing assets captured (icon, screenshots, video)</t>
  </si>
  <si>
    <t xml:space="preserve">Copy drafted; capture needs the running product</t>
  </si>
  <si>
    <t xml:space="preserve">SC-11</t>
  </si>
  <si>
    <t xml:space="preserve">Listing copy variant chosen (A or B)</t>
  </si>
  <si>
    <t xml:space="preserve">Both drafted; the pick is a product decision</t>
  </si>
  <si>
    <t xml:space="preserve">Accessibility audit on the rendered product</t>
  </si>
  <si>
    <t xml:space="preserve">Axe passes on shells; rendered pass depends on V17-08</t>
  </si>
  <si>
    <t xml:space="preserve">SC-13</t>
  </si>
  <si>
    <t xml:space="preserve">Production composition contains no stub or in-memory adapter</t>
  </si>
  <si>
    <t xml:space="preserve">BLOCKED</t>
  </si>
  <si>
    <t xml:space="preserve">The boot gate refuses today and names all TEN providers with their probe results — correct until S38-S41 wire them. It is also proven to PERMIT a healthy composition. GET /ops/composition reports inventory + probes.</t>
  </si>
  <si>
    <t xml:space="preserve">REVIEW FINDINGS (tracker mirror) — pass 1 (11 Sep), pass 2 + verification sweep (13 Sep)</t>
  </si>
  <si>
    <t xml:space="preserve">F-005/006/007 dispositioned 13/09. From V036 the register continues in Review_CF_Findings, which holds the twenty findings from the first independent external review — nine of them fixed in this release.</t>
  </si>
  <si>
    <t xml:space="preserve">Module</t>
  </si>
  <si>
    <t xml:space="preserve">Action</t>
  </si>
  <si>
    <t xml:space="preserve">High</t>
  </si>
  <si>
    <t xml:space="preserve">install/compliance</t>
  </si>
  <si>
    <t xml:space="preserve">30-day retention published in the trust page, but uninstall only SET a deletedAt date — no sweep ever deleted incident/timeline/audit records. Published deletion policy breached (same class as VoiceBridge F-V01, TestPulse F-TP01)</t>
  </si>
  <si>
    <t xml:space="preserve">FIXED — PurgeableStore registry + runRetentionSweep(); 2 regressions incl. active-install safety and idempotency</t>
  </si>
  <si>
    <t xml:space="preserve">Fixed v013</t>
  </si>
  <si>
    <t xml:space="preserve">Medium</t>
  </si>
  <si>
    <t xml:space="preserve">telemetry</t>
  </si>
  <si>
    <t xml:space="preserve">Error ledger append-only, never trimmed — unbounded growth on a long-running process though only a 60s window is ever read</t>
  </si>
  <si>
    <t xml:space="preserve">FIXED — bounded 5k tail; regression proves spike detection still fires</t>
  </si>
  <si>
    <t xml:space="preserve">paging</t>
  </si>
  <si>
    <t xml:space="preserve">Fan-out threw on the first failed page, discarding the record of who HAD been paged — any retry double-paged them and nobody knew who still needed manual escalation</t>
  </si>
  <si>
    <t xml:space="preserve">FIXED — PagingOutcome reports paged/failed per responder + retryFailed() targets only failures; 4 regressions</t>
  </si>
  <si>
    <t xml:space="preserve">postmortem</t>
  </si>
  <si>
    <t xml:space="preserve">draft() accepted any timeline array — a caller passing the wrong incident silently produced a postmortem describing a different outage</t>
  </si>
  <si>
    <t xml:space="preserve">FIXED — foreign-incident events rejected with a count; 2 regressions</t>
  </si>
  <si>
    <t xml:space="preserve">featureCore/csv</t>
  </si>
  <si>
    <t xml:space="preserve">CSV import split on raw commas — every quoted field containing a comma or newline mis-counted and the row was silently skipped (competitor exports are full of them; same class as ShiftDesk F-010)</t>
  </si>
  <si>
    <t xml:space="preserve">FIXED — new RFC-4180 parseCsv/toCsv + wiring; 3 regressions incl. round-trip</t>
  </si>
  <si>
    <t xml:space="preserve">LIVE-BLOCKING</t>
  </si>
  <si>
    <t xml:space="preserve">incidents</t>
  </si>
  <si>
    <t xml:space="preserve">VERIFIED vs Slack docs: slash commands must be acknowledged within 3 seconds or the user sees a timeout AND Slack retries up to 3 more times. declare() did channel-create + post synchronously in that path — on a slow day this produced timeouts and DUPLICATE incident channels. Invisible to the suite (FlowCast VER-001 class)</t>
  </si>
  <si>
    <t xml:space="preserve">FIXED — SlashCommandAck: instant ephemeral ack, work deferred and delivered via response_url, failures surfaced not dropped; 5 regressions</t>
  </si>
  <si>
    <t xml:space="preserve">VERIFIED vs conversations.create docs: names must be lowercase/numbers/hyphen/underscore, &lt;=80 chars, and name_taken is returned for archived channels too. Our inc-&lt;n&gt; scheme would collide after any counter reset and never sanitised titles</t>
  </si>
  <si>
    <t xml:space="preserve">FIXED — toChannelName slugifier + nextAvailableName deterministic suffixing within the 80-char cap; 4 regressions</t>
  </si>
  <si>
    <t xml:space="preserve">install</t>
  </si>
  <si>
    <t xml:space="preserve">VERIFIED vs token-rotation docs: with rotation enabled an access token expires in exactly 43,200s (12h) and the refresh token is single-use. We tracked no expiry and never refreshed proactively — first 401 would land mid-incident</t>
  </si>
  <si>
    <t xml:space="preserve">FIXED — expiresAt on install/rotate + refreshIfNeeded() with a 2h margin (matches Slack SDK default); 2 regressions</t>
  </si>
  <si>
    <t xml:space="preserve">VER-OC4</t>
  </si>
  <si>
    <t xml:space="preserve">Info</t>
  </si>
  <si>
    <t xml:space="preserve">events</t>
  </si>
  <si>
    <t xml:space="preserve">VERIFIED correct: Slack retries a failed event up to 3 more times at ~1-minute intervals — our FIFO-capped event_id dedupe + dead-letter handles this as designed. No change</t>
  </si>
  <si>
    <t xml:space="preserve">Pinned by existing receiver regressions</t>
  </si>
  <si>
    <t xml:space="preserve">Verified correct</t>
  </si>
  <si>
    <t xml:space="preserve">CRITICAL</t>
  </si>
  <si>
    <t xml:space="preserve">http</t>
  </si>
  <si>
    <t xml:space="preserve">The manifest, the 30-minute setup guide and the k6 script all pointed at /slack/events, /slack/commands, /slack/interactive, /oauth/callback and /health — but NO HTTP APP EXISTED. Step 4 of the setup guide ("run the app, tunnel with ngrok") was impossible; the live sweep would have died at SW-09. Same class as FlowCast GAP-1/2 and VoiceBridge F-V10</t>
  </si>
  <si>
    <t xml:space="preserve">FIXED — src/http/router.ts + app.ts wiring the real modules, all five routes with signature verification and the VER-OC1 ack contract; scripts/serve.ts shell + npm start; 12 regressions</t>
  </si>
  <si>
    <t xml:space="preserve">Fixed v014</t>
  </si>
  <si>
    <t xml:space="preserve">db</t>
  </si>
  <si>
    <t xml:space="preserve">backup-restore-drill.sh queried incidents/installations/invoices and config demanded DATABASE_URL, but no schema, migrations or table definitions existed anywhere — the drill could never have run and the retention sweep had nothing to delete from</t>
  </si>
  <si>
    <t xml:space="preserve">FIXED — src/db/schema.ts: 5 ordered migrations, cascade deletes from installations so uninstall cannot orphan rows, TENANT_TABLES as the single source for drill + sweep; npm run migrate; 4 regressions incl. drill-vs-schema parity</t>
  </si>
  <si>
    <t xml:space="preserve">loadtest</t>
  </si>
  <si>
    <t xml:space="preserve">k6 script read SIGNED_BODY/SIG/TS from the environment with nothing able to produce them — ST-088 was undeliverable even with a staging URL</t>
  </si>
  <si>
    <t xml:space="preserve">FIXED — src/live/loadSigner.ts generates verified signed fixtures with distinct event_ids (so dedupe does not void the run) + env export block; 3 regressions</t>
  </si>
  <si>
    <t xml:space="preserve">repo</t>
  </si>
  <si>
    <t xml:space="preserve">manifest.json existed only as a fenced code block inside a markdown file — nothing to upload to Slack, and its slash-command URL was missing entirely</t>
  </si>
  <si>
    <t xml:space="preserve">FIXED — manifest.json at repo root with the /slack/commands request URL, scopes matching the ST-064 map; setup guide points at the file</t>
  </si>
  <si>
    <t xml:space="preserve">billing/docs</t>
  </si>
  <si>
    <t xml:space="preserve">PRICING_FAQ.md carried hand-written prices and limits that could drift silently from the engine that actually charges</t>
  </si>
  <si>
    <t xml:space="preserve">FIXED — src/billing/pricingDoc.ts generates the matrix from billing.ts + a gate test that fails the build if the published doc disagrees (separators normalised, values compared); 3 regressions</t>
  </si>
  <si>
    <t xml:space="preserve">http/tenancy</t>
  </si>
  <si>
    <t xml:space="preserve">MULTI-TENANCY ABSENT: every service was instantiated once per process — one IncidentService, one FeatureManager, one incident-id counter serving EVERY installed workspace. Workspace B could read workspace A incidents and ids collided across tenants. Matches MeetSync M-F04; the v014 HTTP layer made it reachable</t>
  </si>
  <si>
    <t xml:space="preserve">FIXED — TenantRegistry resolves an isolated bundle per teamId, refuses unscoped access, evict() clears state for purged workspaces; 3 regressions incl. cross-tenant isolation and independent id sequences</t>
  </si>
  <si>
    <t xml:space="preserve">Fixed v015</t>
  </si>
  <si>
    <t xml:space="preserve">http/oauth</t>
  </si>
  <si>
    <t xml:space="preserve">OAUTH CSRF: /oauth/callback accepted any code with no state parameter, so a third party could drive an install against our callback. Matches MeetSync M-F15</t>
  </si>
  <si>
    <t xml:space="preserve">FIXED — OAuthStateStore issues HMAC-signed, TTL-bounded, single-use state; new /oauth/start entry point; callback refuses with a named reason (malformed/bad_signature/expired/replayed); 4 regressions</t>
  </si>
  <si>
    <t xml:space="preserve">http/commands</t>
  </si>
  <si>
    <t xml:space="preserve">A valid Slack signature proves the request came from Slack, NOT that the workspace still has an installation — uninstalled or unknown workspaces could still drive /slack/commands</t>
  </si>
  <si>
    <t xml:space="preserve">FIXED — installation guard returns a reinstall prompt and queues nothing; teamId now mandatory on the command path; 3 regressions</t>
  </si>
  <si>
    <t xml:space="preserve">http/health</t>
  </si>
  <si>
    <t xml:space="preserve">/health exposed version and internal queue depth to any unauthenticated caller. Matches MeetSync M-F12 (unauthenticated operational endpoints)</t>
  </si>
  <si>
    <t xml:space="preserve">FIXED — public callers get liveness only; detailed payload behind an operator bearer token; OPERATOR_TOKEN now required at boot; 2 regressions</t>
  </si>
  <si>
    <t xml:space="preserve">http/router</t>
  </si>
  <si>
    <t xml:space="preserve">CHECKED for MeetSync M-F21 (Express ignores rejected promises from async handlers, hanging the request): not applicable — our router is synchronous and wraps every handler in try/catch returning a contained 500. Pinned by existing regressions</t>
  </si>
  <si>
    <t xml:space="preserve">No change</t>
  </si>
  <si>
    <t xml:space="preserve">core/http</t>
  </si>
  <si>
    <t xml:space="preserve">ROLE MATRIX WAS DECORATIVE IN PRODUCTION: ST-054 enforced owner/admin/member everywhere, but nothing ever ASSIGNED a role — every slash command ran as a hardcoded member and the OAuth callback as a hardcoded owner. Owner/admin capabilities were unreachable on the only live surface. Found by the as-built audit, not by any test (all 213 passed)</t>
  </si>
  <si>
    <t xml:space="preserve">FIXED — RoleResolver: installer seeded as owner from the signed user_id, roles scoped per workspace, promotion rules enforced, last-owner demotion blocked, purge on retention; wired into /slack/commands and /oauth/callback; 9 regressions</t>
  </si>
  <si>
    <t xml:space="preserve">Fixed v016</t>
  </si>
  <si>
    <t xml:space="preserve">As-built</t>
  </si>
  <si>
    <t xml:space="preserve">Screens_Wireframes</t>
  </si>
  <si>
    <t xml:space="preserve">Sheet claimed 9 designed screens with wireframe links. Reality: 6 accessible HTML shells exist (dashboard, incidents, timeline, settings, billing, help), NONE wired to data — there are no dashboard API routes at all. Onboarding first-run, paging builder and analytics screens have logic but no surface</t>
  </si>
  <si>
    <t xml:space="preserve">Sheet rewritten to as-built with a Reality column; no story flipped</t>
  </si>
  <si>
    <t xml:space="preserve">Documented v016</t>
  </si>
  <si>
    <t xml:space="preserve">Product_Spec</t>
  </si>
  <si>
    <t xml:space="preserve">Non-functional claims audited: rate-limit safety genuinely met (backoff+breaker+dead-letter, tested); p95 budgets DEFINED but never measured end to end; 99.5% uptime not measurable (no deploy); WCAG AA automated on shells only, never on a rendered product; SOC2-track = controls exist, no process started</t>
  </si>
  <si>
    <t xml:space="preserve">Sheet rewritten with an honest Status column per requirement</t>
  </si>
  <si>
    <t xml:space="preserve">Metrics_Targets</t>
  </si>
  <si>
    <t xml:space="preserve">None of the six metric targets is measurable end to end today: the telemetry funnel is in-process only with no persistence and no dashboard, so activation/trial-to-paid/rating/MRR/churn cannot be reported even after launch without the Postgres adapter</t>
  </si>
  <si>
    <t xml:space="preserve">Measurability column added; flagged as a launch prerequisite, not a story</t>
  </si>
  <si>
    <t xml:space="preserve">http/db</t>
  </si>
  <si>
    <t xml:space="preserve">CLOSED (code half): the six shells had no data source because no dashboard API existed</t>
  </si>
  <si>
    <t xml:space="preserve">Dashboard read API built — /api/incidents, /api/incident, /api/analytics, /api/team, /api/billing; tenant scope taken from the session never the query string, role-gated through the real matrix (member refused billing with 403); 8 regressions</t>
  </si>
  <si>
    <t xml:space="preserve">Closed v017</t>
  </si>
  <si>
    <t xml:space="preserve">db/telemetry</t>
  </si>
  <si>
    <t xml:space="preserve">CLOSED (code half): no metric was reportable because telemetry was process-local</t>
  </si>
  <si>
    <t xml:space="preserve">Persistence layer built — IncidentRepository + MetricsRepository with in-memory AND Postgres adapters verified by ONE shared contract suite (14 assertions x2), funnel_events migration added, activation now computed from stored stages per tenant</t>
  </si>
  <si>
    <t xml:space="preserve">db/incidents/telemetry</t>
  </si>
  <si>
    <t xml:space="preserve">READ AND WRITE SIDES WERE DIFFERENT STORES — the repositories and dashboard API shipped in v017 (one hour earlier), but NO write path ever populated them: incidents lived in an in-process Map while /api/incidents read from the repository, and the funnel never reached MetricsRepository. In production /api/incidents would have been permanently empty and activation permanently 0, with every test green. Same class as EngageOS F-009/F-010 (module built, nothing calls it)</t>
  </si>
  <si>
    <t xml:space="preserve">FIXED — write-through sinks as REQUIRED collaborators on IncidentService and Telemetry (not optional, so it cannot silently recur); buffered, bounded, failures retained for retry with drops counted; async retention sweep added so purge covers repositories too; serve.ts wires sinks + dashboard API and flushes on a timer; 9 regressions that fail if read and write are ever re-disconnected</t>
  </si>
  <si>
    <t xml:space="preserve">Fixed v018</t>
  </si>
  <si>
    <t xml:space="preserve">app/http</t>
  </si>
  <si>
    <t xml:space="preserve">NO FEATURE WAS REACHABLE FROM THE PRODUCT SURFACE. A caller audit of every module found 12 with no importer outside tests — including paging, statuspage, postmortem, onboarding, tenancy and degradation. The live slash-command handler was a stub returning a string, so F2-F5 were fully-tested code nothing could invoke; worse, the F-014 isolation fix (TenantRegistry) and the ST-091 degradation claim rested on classes no request path used</t>
  </si>
  <si>
    <t xml:space="preserve">FIXED — src/app/workflow.ts composition root: declare wires channel + timeline + paging + SEV1 status publish + funnel + onboarding, resolve wires timeline + postmortem + status clear, every external call routed through the circuit breaker; workflowRegistry puts per-workspace isolation ON the request path; serve.ts now calls it with adapters that fail loudly rather than pretending. 15 regressions</t>
  </si>
  <si>
    <t xml:space="preserve">Fixed v019</t>
  </si>
  <si>
    <t xml:space="preserve">OBS-OC1</t>
  </si>
  <si>
    <t xml:space="preserve">Observation</t>
  </si>
  <si>
    <t xml:space="preserve">multiple</t>
  </si>
  <si>
    <t xml:space="preserve">Remaining modules with no caller are genuine libraries awaiting a surface, not defects: pricingDoc + loadSigner (build-time tools), shells (front-end, pending V17-08), chatSla (needs a support surface), scheduler (needs a process runner), latency (measured at deploy). Recorded rather than wired, so the list stays honest</t>
  </si>
  <si>
    <t xml:space="preserve">No action; revisit when V17-08 and the live deploy land</t>
  </si>
  <si>
    <t xml:space="preserve">Open — informational</t>
  </si>
  <si>
    <t xml:space="preserve">http/admin</t>
  </si>
  <si>
    <t xml:space="preserve">29 USER-FACING CAPABILITIES HAD NO SURFACE — feature rules, pause/resume, CSV import, notification preferences, usage metrics, timeline export, onboarding checklist and empty states, export/delete-my-data, plan change, cancellation, support chat and the operational sweeps were all module-only. Stories reading "the user can X" were true of the module, not the product</t>
  </si>
  <si>
    <t xml:space="preserve">FIXED — src/http/adminApi.ts: 15 routes covering all of the above, session-scoped and matrix-gated (members refused data rights and billing), operational routes behind the operator token only; repeated fallbacks and error extraction collapsed into two tested helpers rather than duplicated defensive branches; 18 regressions</t>
  </si>
  <si>
    <t xml:space="preserve">Fixed v020</t>
  </si>
  <si>
    <t xml:space="preserve">Full_Backlog</t>
  </si>
  <si>
    <t xml:space="preserve">STATUS TRUTH PASS: 7 stories remained unreachable after the API work and were reclassified Done -&gt; Module-only (weekly email, health score, heatmap, telemetry CSV, alert thresholds, error-spike alerting, p95 measurement). Each is real tested code with no surface or no live traffic behind it</t>
  </si>
  <si>
    <t xml:space="preserve">Done count corrected 77 -&gt; 70; new Module-only status defined in ReadMe_Scope; Sprint_Board Done formula unchanged so the board now reads the corrected number</t>
  </si>
  <si>
    <t xml:space="preserve">Corrected v020</t>
  </si>
  <si>
    <t xml:space="preserve">Closed</t>
  </si>
  <si>
    <t xml:space="preserve">telemetry/http</t>
  </si>
  <si>
    <t xml:space="preserve">The 7 Module-only stories from 11:17 are closed by building what they lacked rather than by re-labelling: ST-072 spike alerts now leave the process through a Notifier (webhook sink retains and retries failures), ST-073/075 heatmap and health score served at /api/analytics/detail, ST-076 CSV export owner-gated, ST-077 thresholds readable and writable with validation, ST-074 weekly email wired to a Scheduler runner in serve.ts, ST-087 p95 MEASURED per route by router instrumentation and graded at /ops/latency</t>
  </si>
  <si>
    <t xml:space="preserve">Done count restored 70 -&gt; 77 on evidence, not assertion — each story has a regression naming its surface; a redundant always-true ternary found while covering the latency report was deleted rather than tested</t>
  </si>
  <si>
    <t xml:space="preserve">Closed v021</t>
  </si>
  <si>
    <t xml:space="preserve">RESOLVED</t>
  </si>
  <si>
    <t xml:space="preserve">Re-resolve overwrote resolvedAt and reopening silently reverted to open, so MTTR and every postmortem duration drifted</t>
  </si>
  <si>
    <t xml:space="preserve">IMPLEMENTED Option A — explicit transition map (illegal moves refused, not applied); resolvedAt records the FIRST resolution and is immutable; resolutions[] keeps every instant; reopened is a first-class state with a reopen counter; timeToFirstResolutionMs() is the defensible MTTR input; reopen wired into the workflow with timeline + status-page effects; state machine documented in DATA_FLOW.md. 7 regressions</t>
  </si>
  <si>
    <t xml:space="preserve">Closed v023</t>
  </si>
  <si>
    <t xml:space="preserve">compliance</t>
  </si>
  <si>
    <t xml:space="preserve">After cooldown the breaker resumed FULL traffic against a possibly-sick provider</t>
  </si>
  <si>
    <t xml:space="preserve">IMPLEMENTED Option A — explicit closed/open/half_open states; exactly one probe admitted after cooldown while all other callers wait; a successful probe closes, a failed probe re-opens for another full cooldown. 5 regressions. Same fix is the answer to FlowCast OBS-002, VoiceBridge OBS-V2 and MeetSync OBS-M1</t>
  </si>
  <si>
    <t xml:space="preserve">degradation</t>
  </si>
  <si>
    <t xml:space="preserve">Replay queue grew without limit during an extended outage</t>
  </si>
  <si>
    <t xml:space="preserve">IMPLEMENTED Option A — bounded at 5,000, drop-oldest, with droppedCount() so losses are surfaced rather than silent; matches the FIFO pattern already used for the dedupe and error ledgers. 3 regressions</t>
  </si>
  <si>
    <t xml:space="preserve">D-OC5</t>
  </si>
  <si>
    <t xml:space="preserve">DECISION</t>
  </si>
  <si>
    <t xml:space="preserve">product</t>
  </si>
  <si>
    <t xml:space="preserve">V17-08 RATIFIED — Option A, Slack-first. No rendered web front-end for launch; the dashboard and admin APIs remain for support and analytics. Reversible: the API layer is built, so a client can be added later without rework</t>
  </si>
  <si>
    <t xml:space="preserve">Implemented: the Block Kit layer that a Slack-first product actually needs was built (it did not exist — declareModalBlocks() returned three field names, which under Slack-first WAS the entire UI)</t>
  </si>
  <si>
    <t xml:space="preserve">Ratified v024</t>
  </si>
  <si>
    <t xml:space="preserve">blockkit</t>
  </si>
  <si>
    <t xml:space="preserve">The product surface barely existed. The declare "modal" was a list of three strings; there was no incident message, no resolve/reopen controls and no App Home. Under V17-08 Option A this is not a gap in a secondary surface — it is the gap in the ONLY surface</t>
  </si>
  <si>
    <t xml:space="preserve">FIXED — real declare modal (typed inputs, plain-language severity options), incident message with status in words and resolve/mitigate/reopen actions, App Home dashboard that pages rather than breaching the 100-block cap; all wired into the workflow behind a single validation guard; 21 regressions</t>
  </si>
  <si>
    <t xml:space="preserve">Fixed v024</t>
  </si>
  <si>
    <t xml:space="preserve">Slack SILENTLY TRUNCATES an over-limit payload — a partial modal with no API error. Nothing checked our views against Slack published limits</t>
  </si>
  <si>
    <t xml:space="preserve">FIXED — limits module verified against Slack reference docs (24-char titles, 100 modal / 50 message blocks, 3000-char sections, 10 fields, 75-char buttons) with a validator refusing an over-limit view at build time; caught a genuine bug in my own builder where a :warning: prefix pushed a truncated note back over the section cap</t>
  </si>
  <si>
    <t xml:space="preserve">Recategorised</t>
  </si>
  <si>
    <t xml:space="preserve">accessibility</t>
  </si>
  <si>
    <t xml:space="preserve">Previously framed as a rendered-UI audit that depended on V17-08</t>
  </si>
  <si>
    <t xml:space="preserve">With Slack-first ratified, this is Block Kit conformance (automated: text alternatives, not-colour-alone, labelled inputs, named buttons, alt text) plus a live screen-reader pass. Automated half now enforced on every view; scope statement published in TRUST_SECURITY.md</t>
  </si>
  <si>
    <t xml:space="preserve">Partly closed v024</t>
  </si>
  <si>
    <t xml:space="preserve">http/incidents</t>
  </si>
  <si>
    <t xml:space="preserve">EVERY CONTROL ON THE NEW SURFACE WAS DEAD. v024 shipped a declare modal and mitigate/resolve/reopen buttons seven minutes earlier; /slack/interactive verified the signature, returned an empty 200 and discarded the payload. A user could click Resolve and nothing whatsoever would happen — no error, no state change. Fourth appearance of the orphan class in this build, and this one was mine from the previous sprint</t>
  </si>
  <si>
    <t xml:space="preserve">FIXED — src/incidents/interactions.ts: block_actions routed to real transitions, view_submission validated and declaring, per-workspace role resolution, installation guard. Two Slack constraints honoured: the declare modal opens on the ACK path because trigger_id expires in ~3s, and view_submission answers with an empty 200 to close or a response_action payload to show field errors. Rejected transitions become user-facing warnings rather than crashes. 24 regressions</t>
  </si>
  <si>
    <t xml:space="preserve">Fixed v025</t>
  </si>
  <si>
    <t xml:space="preserve">ENCRYPTION AT REST WAS CLAIMED BUT NEVER APPLIED. ST-066 has been marked Code-complete since 11 Sep on the strength of a FieldCrypto module — and nothing ever called it. Slack access and refresh tokens were stored in plaintext on the installation record, and the trust page said otherwise. The caller audit found it; no test could, because crypto.ts was fully covered by its own tests</t>
  </si>
  <si>
    <t xml:space="preserve">FIXED — tokens stored only as AES-256-GCM ciphertext with a key id; FieldCrypto is a REQUIRED constructor collaborator on InstallService; plaintext decrypted only at the point of an API call via accessTokenFor(); uninstall clears ciphertext; rotation re-encrypts; ENCRYPTION_KEY now required at boot; trust page corrected to describe what the code actually does. 4 regressions incl. a check that no plaintext appears anywhere on the serialised record</t>
  </si>
  <si>
    <t xml:space="preserve">Fixed v026</t>
  </si>
  <si>
    <t xml:space="preserve">Cleanup</t>
  </si>
  <si>
    <t xml:space="preserve">screens</t>
  </si>
  <si>
    <t xml:space="preserve">src/screens/shells.ts and its jest-axe suite tested HTML for a web client that V17-08 ratified out of existence — obsolete code carrying apparent test evidence for ST-089</t>
  </si>
  <si>
    <t xml:space="preserve">REMOVED. ST-089 evidence is now the Block Kit accessibility auditor, which audits views the product actually ships</t>
  </si>
  <si>
    <t xml:space="preserve">Closed v026</t>
  </si>
  <si>
    <t xml:space="preserve">billing/app</t>
  </si>
  <si>
    <t xml:space="preserve">THE READ-ONLY STATE WE PROMISE CUSTOMERS WAS NEVER APPLIED. The help centre and dunning emails say "7-day grace, then read-only — nothing is deleted"; the account flag was set correctly and enforced nowhere, so an account in arrears could declare incidents exactly as before. A cancelled subscription was equally unenforced</t>
  </si>
  <si>
    <t xml:space="preserve">FIXED — Entitlements gate as a REQUIRED collaborator on the workflow, checked before every mutating action (declare, reopen) with the reason carried for the Slack surface; reads deliberately stay open so history remains visible and exportable; payment recovery lifts the block. 11 regressions</t>
  </si>
  <si>
    <t xml:space="preserve">Fixed v027</t>
  </si>
  <si>
    <t xml:space="preserve">THE PLAN LIMIT WE CHARGE FOR DID NOT EXIST. Pricing sells tiers by incidents/month (25/200/2000) and nothing counted incidents against the plan or refused at the cap — the meter was never connected to incident creation</t>
  </si>
  <si>
    <t xml:space="preserve">FIXED — every declare is metered against the plan and refused at the cap with an upgrade prompt; 80%/100% warnings fire on the way up; a new cycle restores the allowance and an upgrade raises the cap without a reset</t>
  </si>
  <si>
    <t xml:space="preserve">install/scheduler</t>
  </si>
  <si>
    <t xml:space="preserve">The 30-day deletion policy ran ONLY if an operator called the ops endpoint by hand — a published retention promise with no timer behind it</t>
  </si>
  <si>
    <t xml:space="preserve">FIXED — registered as a daily scheduled job in serve.ts, so the policy executes whether or not anyone remembers; regression proves the sweep purges without the endpoint being called</t>
  </si>
  <si>
    <t xml:space="preserve">incidents/db</t>
  </si>
  <si>
    <t xml:space="preserve">DEPLOYS WOULD HAVE CORRUPTED DATA. The incident counter was process-local, so after any restart the next declare produced INC-0001 — and the repository upserts BY ID, meaning it would silently OVERWRITE an older, unrelated incident. Every blue/green switch was a data-loss event waiting to happen</t>
  </si>
  <si>
    <t xml:space="preserve">FIXED — highestSequence() added to the repository contract (both adapters, in the shared suite) and numbering reseeded from stored state at boot; seeding never lowers a live sequence; regression proves a restarted process issues INC-0003 and leaves INC-0001 intact</t>
  </si>
  <si>
    <t xml:space="preserve">Fixed v028</t>
  </si>
  <si>
    <t xml:space="preserve">roleResolver</t>
  </si>
  <si>
    <t xml:space="preserve">Roles lived only in memory, so after a restart every caller resolved to member — owner-only actions (billing, data rights, uninstall) became unreachable until someone reinstalled the app</t>
  </si>
  <si>
    <t xml:space="preserve">FIXED — snapshot/restore so a persistent adapter rehydrates roles at boot; regression demonstrates the unrestored failure and the restored recovery</t>
  </si>
  <si>
    <t xml:space="preserve">events/receiver</t>
  </si>
  <si>
    <t xml:space="preserve">The dedupe ledger was process-local, so Slack retries arriving after a deploy (up to 3, ~1 minute apart) looked like new events and created DUPLICATE incident channels — which also falsified the runbook claim that rollback is safe because replays are deduped</t>
  </si>
  <si>
    <t xml:space="preserve">FIXED — snapshot/restore for the ledger, cap-respecting on restore; regression proves a retry after restart is still deduped and no second channel is created</t>
  </si>
  <si>
    <t xml:space="preserve">writeThrough/lifecycle</t>
  </si>
  <si>
    <t xml:space="preserve">Buffered sink rows flushed on a 1-second timer with NOTHING running at shutdown, so every deploy silently dropped whatever had not yet flushed — incidents and funnel events alike</t>
  </si>
  <si>
    <t xml:space="preserve">FIXED — Lifecycle drains every registered buffer on SIGTERM/SIGINT, retries while making progress, stops when storage is unreachable and REPORTS the loss rather than hiding it; exit code reflects whether anything was lost</t>
  </si>
  <si>
    <t xml:space="preserve">CLOSED</t>
  </si>
  <si>
    <t xml:space="preserve">db/core</t>
  </si>
  <si>
    <t xml:space="preserve">Restart safety was designed but not operational: roles and the dedupe ledger had snapshot/restore hooks with no store behind them, so F-030 and F-031 would have returned on the first blue/green deploy</t>
  </si>
  <si>
    <t xml:space="preserve">CLOSED — RoleRepository and DedupeRepository added with in-memory AND Postgres adapters in the shared contract suite, plus migrations 0007/0008. Roles write through on every grant (failures surfaced, not swallowed, and now fail /health). Dedupe uses INSERT ... ON CONFLICT DO NOTHING RETURNING, so the check is atomic across replicas rather than merely persistent. serve.ts rehydrates roles, ledger and incident numbering BEFORE serving traffic, and both tables are registered with the retention sweep. 12 regressions</t>
  </si>
  <si>
    <t xml:space="preserve">Closed v029</t>
  </si>
  <si>
    <t xml:space="preserve">THE v028 ID FIX ONLY COVERED RESTARTS, NOT CONCURRENCY. Seeding the counter from the stored maximum is correct for one process; under blue/green TWO instances run at once, both seed from the same maximum and both mint the same next id, which the id-based upsert then collapses into a single row. The data-corruption risk I reported as fixed was still live in precisely the scenario the deploy creates</t>
  </si>
  <si>
    <t xml:space="preserve">FIXED — allocation moved into the store: SequenceAllocator with in-memory and Postgres adapters (INSERT ... ON CONFLICT DO UPDATE ... RETURNING, so the row lock serialises replicas), seeded from stored data at boot, wired through the service. A genuine off-by-one in my first attempt was caught by its own regression (the counter skipped an id after an allocation). 12 regressions</t>
  </si>
  <si>
    <t xml:space="preserve">Fixed v030</t>
  </si>
  <si>
    <t xml:space="preserve">scheduler</t>
  </si>
  <si>
    <t xml:space="preserve">EVERY REPLICA RAN EVERY SCHEDULED JOB. A two-instance deploy would send each workspace its weekly metrics email twice and run concurrent retention sweeps against the same tenants</t>
  </si>
  <si>
    <t xml:space="preserve">FIXED — LeaseStore (both adapters) with lease-gated jobs: exactly one holder runs a leased job, leases expire so a crashed replica cannot stall the job forever, a non-holder cannot release, and skipped jobs are recorded rather than silently dropped. A leased job with no lease store configured is a hard error, not a silent double-run</t>
  </si>
  <si>
    <t xml:space="preserve">billing</t>
  </si>
  <si>
    <t xml:space="preserve">SINGLE-WRITER GAP REMAINING, STATED PLAINLY: entitlement usage lives in the in-memory billing account store, so two replicas each count separately and a workspace could exceed its plan limit by up to one cap per replica. Not fixed this sprint — moving the billing store behind a repository is a larger change than the time available, and half-doing it is the failure mode I have criticised all day</t>
  </si>
  <si>
    <t xml:space="preserve">OPEN — deliberately not started rather than partially built. Fix is the same shape as the others: a BillingRepository with both adapters in the shared contract suite. Until then, run ONE replica, or accept the over-count</t>
  </si>
  <si>
    <t xml:space="preserve">Open — needs a sprint</t>
  </si>
  <si>
    <t xml:space="preserve">billing/db</t>
  </si>
  <si>
    <t xml:space="preserve">Logged open last sprint: entitlement usage lived in memory, so two replicas each counted to the cap (a workspace could exceed its plan by one cap per instance) and — found while fixing it — a restart reset readOnly to FALSE, silently unblocking a delinquent account</t>
  </si>
  <si>
    <t xml:space="preserve">CLOSED — BillingRepository with in-memory and Postgres adapters in the shared contract suite plus migration 0011; claimUsage does the cap check and the increment in ONE statement (UPDATE ... WHERE usage &lt; limit RETURNING), so a second replica at the cap updates zero rows and is told so; BillingService writes through on every state change and rehydrates at boot, with write failures surfaced through /health; a refused gate spends no allowance. 19 regressions</t>
  </si>
  <si>
    <t xml:space="preserve">Closed v031</t>
  </si>
  <si>
    <t xml:space="preserve">deployment</t>
  </si>
  <si>
    <t xml:space="preserve">Mitigation "run a single replica" is withdrawn — the reason for it is gone</t>
  </si>
  <si>
    <t xml:space="preserve">Entitlement usage is now shared and atomic; arrears survive a restart</t>
  </si>
  <si>
    <t xml:space="preserve">install/db</t>
  </si>
  <si>
    <t xml:space="preserve">INSTALLATIONS WERE NEVER PERSISTED, SO EVERY INCIDENT WRITE WOULD HAVE FAILED. incidents.team_id is a foreign key to installations(team_id) and nothing ever wrote an installations row — installs lived only in memory. Worse than a visible error: the write-through sink RETAINS failed rows, so the symptom in production would have been a silently growing backlog, not an alert</t>
  </si>
  <si>
    <t xml:space="preserve">FIXED — InstallationRepository with both adapters; InstallService writes through on install, rotation and uninstall, rehydrates at boot before any child write, deletes the row in the retention sweep, and surfaces write failures through /health. 8 regressions</t>
  </si>
  <si>
    <t xml:space="preserve">Fixed v032</t>
  </si>
  <si>
    <t xml:space="preserve">db/schema</t>
  </si>
  <si>
    <t xml:space="preserve">SCHEMA CONTRADICTED THE CODE: installations.access_token and refresh_token were NOT NULL, but uninstall deliberately clears them while the row survives the retention window — that write would have failed against a real database</t>
  </si>
  <si>
    <t xml:space="preserve">FIXED — both columns made nullable with the reason recorded in the migration; round-trip regression covers a revoked install</t>
  </si>
  <si>
    <t xml:space="preserve">db/repository</t>
  </si>
  <si>
    <t xml:space="preserve">highestSequence used the Postgres-specific regex operator (id ~ pattern) where a portable LIKE does the same job on ids we generate ourselves</t>
  </si>
  <si>
    <t xml:space="preserve">FIXED — LIKE 'INC-%'; fewer exotic operators, same result</t>
  </si>
  <si>
    <t xml:space="preserve">tests</t>
  </si>
  <si>
    <t xml:space="preserve">pg-mem deviates from Postgres on ON CONFLICT DO NOTHING ... RETURNING (returns the conflicting row where Postgres returns none) and on a conditional DO UPDATE whose WHERE fails. Verified directly and recorded rather than worked around; the dedupe and lease adapters depend on the real behaviour, so those semantics are asserted against the in-memory adapters and the contract suite while the SQL itself is still executed for syntax</t>
  </si>
  <si>
    <t xml:space="preserve">No change — documented in the integration suite</t>
  </si>
  <si>
    <t xml:space="preserve">db/tests</t>
  </si>
  <si>
    <t xml:space="preserve">pg-mem could not confirm the ON CONFLICT semantics our dedupe and lease logic depends on, and I had left the SQL unchanged on the strength of a direct check rather than the suite</t>
  </si>
  <si>
    <t xml:space="preserve">CLOSED — a real PostgreSQL 16 was provisioned in the container and the adapters run against it: ON CONFLICT DO NOTHING ... RETURNING returns no row and the conditional DO UPDATE holds the lease, exactly as the code assumed. Leaving that SQL alone was correct</t>
  </si>
  <si>
    <t xml:space="preserve">Closed v033</t>
  </si>
  <si>
    <t xml:space="preserve">db/ci</t>
  </si>
  <si>
    <t xml:space="preserve">The real-Postgres run was carried as an item for Senthil</t>
  </si>
  <si>
    <t xml:space="preserve">CLOSED — done here instead: 8 integration tests against PostgreSQL 16 covering FK enforcement, NULL tokens on revoked installs, ON CONFLICT semantics, cascade delete, the portable LIKE, and REAL concurrency — 20 parallel id claims yield 20 distinct ids, and 30 parallel usage claims against a cap of 10 admit exactly 10. Added as a CI job with a postgres:16 service plus npm run test:pg; the suite skips cleanly when no server is configured</t>
  </si>
  <si>
    <t xml:space="preserve">A malformed request body answered 500 instead of 400. That is the wrong status AND an alerting problem: the error-spike detector now pages on 500s, so junk input could raise an incident about our own parser</t>
  </si>
  <si>
    <t xml:space="preserve">FIXED — unparseable or non-object bodies return 400 "malformed payload"; regressions cover junk text and valid-JSON-but-not-an-object. Found by the adversarial suite, not by review</t>
  </si>
  <si>
    <t xml:space="preserve">Fixed v034</t>
  </si>
  <si>
    <t xml:space="preserve">In progress</t>
  </si>
  <si>
    <t xml:space="preserve">security</t>
  </si>
  <si>
    <t xml:space="preserve">Pen test was carried wholly as a Senthil item; the sandbox half was a document</t>
  </si>
  <si>
    <t xml:space="preserve">ADVANCED — 18-case adversarial suite now runs in CI: forged/replayed/truncated signatures, tenant escape by supplied team id, cross-workspace role bleed, self-granted roles, admin-minted owners, member access to billing and deletion, operator endpoints with session/wrong-token/malformed header, OAuth CSRF with absent, forged and replayed state, SQL- and script-shaped input, oversized and junk bodies, stack-trace and connection-string leakage, and plaintext-token leakage. It found F-039. NOT a substitute for the third-party engagement — it can only test attacks we thought of</t>
  </si>
  <si>
    <t xml:space="preserve">In progress v034</t>
  </si>
  <si>
    <t xml:space="preserve">Code-complete</t>
  </si>
  <si>
    <t xml:space="preserve">The load run was blocked on a staging URL, which was only true for the network half</t>
  </si>
  <si>
    <t xml:space="preserve">MEASURED — npm run loadtest drives the real router in-process at 20 rps for 30s (10x launch estimate): 600 requests, 0 errors, p95 0ms against 3000ms and 500ms budgets, now gating CI. Stated honestly: this measures OUR application overhead with platform adapters mocked, so it proves the code is not the bottleneck and says nothing about network, database or Slack latency. The staging run is still required</t>
  </si>
  <si>
    <t xml:space="preserve">Code-complete v034</t>
  </si>
  <si>
    <t xml:space="preserve">README still described the v0.8 codebase: 8 directories where there are now 19, omitting the entire HTTP surface, persistence layer, Block Kit views, scheduler and live tooling, and still naming a module deleted three sprints ago. It is the first artifact a marketplace reviewer or a new engineer reads</t>
  </si>
  <si>
    <t xml:space="preserve">FIXED — rewritten to the real layout, every route, the five boot-required environment variables, the six commands, the adapter-swap list with the boot restore ORDER (installations first as the FK parent), and the three conventions this codebase depends on</t>
  </si>
  <si>
    <t xml:space="preserve">Fixed v035</t>
  </si>
  <si>
    <t xml:space="preserve">Supply chain</t>
  </si>
  <si>
    <t xml:space="preserve">deps</t>
  </si>
  <si>
    <t xml:space="preserve">No dependency audit had been run at any point</t>
  </si>
  <si>
    <t xml:space="preserve">CLEAN — npm audit reports 0 vulnerabilities with and without dev dependencies. Runtime surface is deliberately small (framework-free router, pg only at deploy); pg-mem, jest-axe and ts-node are dev-only</t>
  </si>
  <si>
    <t xml:space="preserve">Verified v035</t>
  </si>
  <si>
    <t xml:space="preserve">Blocker</t>
  </si>
  <si>
    <t xml:space="preserve">composition root</t>
  </si>
  <si>
    <t xml:space="preserve">scripts/serve.ts constructed Entitlements from bindings declared eleven lines later, so npm start could never have run. The CI type-check passed because tsconfig covered src/** only.</t>
  </si>
  <si>
    <t xml:space="preserve">FIXED — composition moved into src/composition/production.ts, scripts/ added to the type-check, build runs before the coverage gate in CI</t>
  </si>
  <si>
    <t xml:space="preserve">Fixed v036</t>
  </si>
  <si>
    <t xml:space="preserve">db/composition</t>
  </si>
  <si>
    <t xml:space="preserve">The runtime required DATABASE_URL and then built eight in-memory repositories, so nothing survived a restart in the deployed product.</t>
  </si>
  <si>
    <t xml:space="preserve">FIXED — Pg adapters for staging/production, in-memory only in development, production refuses to boot without a connection</t>
  </si>
  <si>
    <t xml:space="preserve">install/http</t>
  </si>
  <si>
    <t xml:space="preserve">isInstalled consulted a Set that nothing ever added to, so every valid workspace would have been refused at /slack/commands.</t>
  </si>
  <si>
    <t xml:space="preserve">FIXED — the installation repository is the authority; restore() seeds numbering and weekly jobs from it</t>
  </si>
  <si>
    <t xml:space="preserve">http/session</t>
  </si>
  <si>
    <t xml:space="preserve">Both API registrations passed session: () =&gt; undefined, so the whole administration and analytics plane answered 401 to everyone.</t>
  </si>
  <si>
    <t xml:space="preserve">FIXED — signed, expiring, tenant-bound session cookie issued at the OAuth callback, with double-submit CSRF</t>
  </si>
  <si>
    <t xml:space="preserve">Async handlers were collapsed to an empty 202 by the host, so every dashboard read returned nothing in production. One security test asserted the 202 as correct behaviour.</t>
  </si>
  <si>
    <t xml:space="preserve">FIXED — real async routes; the offending test now asserts a real payload and a 404 cross-tenant read</t>
  </si>
  <si>
    <t xml:space="preserve">DataRights was constructed over an empty Map, so export and delete reported success over none of the tenant data.</t>
  </si>
  <si>
    <t xml:space="preserve">FIXED — coordinator over six real stores, cannot be constructed empty, inventory published at /api/data/inventory</t>
  </si>
  <si>
    <t xml:space="preserve">install/retention</t>
  </si>
  <si>
    <t xml:space="preserve">The retention sweep registered roles, billing and dedupe only, leaving incidents and metrics behind the published 30-day policy.</t>
  </si>
  <si>
    <t xml:space="preserve">FIXED — retention and export derive from one inventory, so they cannot drift apart</t>
  </si>
  <si>
    <t xml:space="preserve">packaging</t>
  </si>
  <si>
    <t xml:space="preserve">No runtime dependencies at all: pg and ts-node were dev-only, so npm ci --omit=dev could not start the service.</t>
  </si>
  <si>
    <t xml:space="preserve">FIXED — pg as a dependency, dist build, node dist/scripts/serve.js, engines/files, non-root Dockerfile, CI package job</t>
  </si>
  <si>
    <t xml:space="preserve">L-OC16</t>
  </si>
  <si>
    <t xml:space="preserve">Lesson</t>
  </si>
  <si>
    <t xml:space="preserve">gates</t>
  </si>
  <si>
    <t xml:space="preserve">The gate did not cover the file that decides what ships. Every one of the ten BLOCKERs lived in, or downstream of, a composition root that tsconfig excluded and no test imported.</t>
  </si>
  <si>
    <t xml:space="preserve">APPLIED — scripts/ is inside the type-check and the build runs first. Every sibling product built from this template has the same tsconfig shape and needs the same one-line check.</t>
  </si>
  <si>
    <t xml:space="preserve">Closed v036</t>
  </si>
  <si>
    <t xml:space="preserve">L-OC17</t>
  </si>
  <si>
    <t xml:space="preserve">A test can encode the defect. expect(status).toBe(202) documented the swallow as expected behaviour, which is why 473 passing tests were compatible with an unreachable dashboard.</t>
  </si>
  <si>
    <t xml:space="preserve">APPLIED — when a test asserts a shape rather than a value, ask what value it should have asserted.</t>
  </si>
  <si>
    <t xml:space="preserve">TRACEABILITY MATRIX — 100 stories: module -&gt; epic -&gt; story -&gt; verification -&gt; status -&gt; evidence</t>
  </si>
  <si>
    <t xml:space="preserve">Source: v007 Full_Backlog (single source of truth) + ST-101..ST-130 added at v030 for the Perplexity review sprints PX-S0..PX-S3 and A12 items. Statuses as of codebase v0.37.0. Every original story is retained; none re-labelled.</t>
  </si>
  <si>
    <t xml:space="preserve">Story ID</t>
  </si>
  <si>
    <t xml:space="preserve">Epic</t>
  </si>
  <si>
    <t xml:space="preserve">Module / feature</t>
  </si>
  <si>
    <t xml:space="preserve">Primary screen</t>
  </si>
  <si>
    <t xml:space="preserve">Verification</t>
  </si>
  <si>
    <t xml:space="preserve">Evidence</t>
  </si>
  <si>
    <t xml:space="preserve">Runtime reachable? (V037)</t>
  </si>
  <si>
    <t xml:space="preserve">ST-001</t>
  </si>
  <si>
    <t xml:space="preserve">F1</t>
  </si>
  <si>
    <t xml:space="preserve">/incident declare flow</t>
  </si>
  <si>
    <t xml:space="preserve">As a SRE lead, I can set up /incident declare flow with sensible defaults in one screen</t>
  </si>
  <si>
    <t xml:space="preserve">S2</t>
  </si>
  <si>
    <t xml:space="preserve">SCR-3 Declare workspace</t>
  </si>
  <si>
    <t xml:space="preserve">Automated tests (100% cov) + E2E smoke</t>
  </si>
  <si>
    <t xml:space="preserve">src/core/featureCore.ts + tests/featureCore.test.ts</t>
  </si>
  <si>
    <t xml:space="preserve">Yes — configuration is reachable at /api/features/* (dev/staging composition)</t>
  </si>
  <si>
    <t xml:space="preserve">ST-002</t>
  </si>
  <si>
    <t xml:space="preserve">As a SRE lead, the /incident declare flow happy path completes without documentation</t>
  </si>
  <si>
    <t xml:space="preserve">src/incidents/declare.ts</t>
  </si>
  <si>
    <t xml:space="preserve">No — declare reaches Slack conversations.create/chat.postMessage, which are unwired stubs (CF-002, S38)</t>
  </si>
  <si>
    <t xml:space="preserve">ST-003</t>
  </si>
  <si>
    <t xml:space="preserve">As a Eng director, I can customise /incident declare flow rules/conditions for my workflow</t>
  </si>
  <si>
    <t xml:space="preserve">ST-004</t>
  </si>
  <si>
    <t xml:space="preserve">As a user, /incident declare flow shows clear errors and retry paths on platform API failures</t>
  </si>
  <si>
    <t xml:space="preserve">ST-005</t>
  </si>
  <si>
    <t xml:space="preserve">As a Responder, /incident declare flow works on the Slack slash-commands + Block Kit modals surface end-to-end</t>
  </si>
  <si>
    <t xml:space="preserve">S3</t>
  </si>
  <si>
    <t xml:space="preserve">ST-006</t>
  </si>
  <si>
    <t xml:space="preserve">As a Eng director, I can see /incident declare flow performance metrics and trends</t>
  </si>
  <si>
    <t xml:space="preserve">ST-007</t>
  </si>
  <si>
    <t xml:space="preserve">As a user, /incident declare flow respects role permissions and audit logging</t>
  </si>
  <si>
    <t xml:space="preserve">ST-008</t>
  </si>
  <si>
    <t xml:space="preserve">As a SRE lead, I can pause/disable /incident declare flow without data loss</t>
  </si>
  <si>
    <t xml:space="preserve">P2</t>
  </si>
  <si>
    <t xml:space="preserve">ST-009</t>
  </si>
  <si>
    <t xml:space="preserve">As a Eng director, I can import/migrate existing data into /incident declare flow (CSV + competitor importer)</t>
  </si>
  <si>
    <t xml:space="preserve">ST-010</t>
  </si>
  <si>
    <t xml:space="preserve">As a user, I get notifications (in-app + email) for key /incident declare flow events with per-type mute</t>
  </si>
  <si>
    <t xml:space="preserve">ST-011</t>
  </si>
  <si>
    <t xml:space="preserve">F2</t>
  </si>
  <si>
    <t xml:space="preserve">Responder paging (PD/Opsgenie sync)</t>
  </si>
  <si>
    <t xml:space="preserve">As a SRE lead, I can set up Responder paging (PD/Opsgenie sync) with sensible defaults in one screen</t>
  </si>
  <si>
    <t xml:space="preserve">SCR-4 Paging builder</t>
  </si>
  <si>
    <t xml:space="preserve">ST-012</t>
  </si>
  <si>
    <t xml:space="preserve">As a SRE lead, the Responder paging (PD/Opsgenie sync) happy path completes without documentation</t>
  </si>
  <si>
    <t xml:space="preserve">src/paging/paging.ts</t>
  </si>
  <si>
    <t xml:space="preserve">No — paging reaches the PagerDuty adapter, which is an unwired stub (CF-002/CF-019, S41)</t>
  </si>
  <si>
    <t xml:space="preserve">ST-013</t>
  </si>
  <si>
    <t xml:space="preserve">As a Eng director, I can customise Responder paging (PD/Opsgenie sync) rules/conditions for my workflow</t>
  </si>
  <si>
    <t xml:space="preserve">ST-014</t>
  </si>
  <si>
    <t xml:space="preserve">As a user, Responder paging (PD/Opsgenie sync) shows clear errors and retry paths on platform API failures</t>
  </si>
  <si>
    <t xml:space="preserve">src/paging/paging.ts | V037: PagingProviderId covers pagerduty/opsgenie/jsm/compass/webhook (PX-007)</t>
  </si>
  <si>
    <t xml:space="preserve">ST-015</t>
  </si>
  <si>
    <t xml:space="preserve">As a Responder, Responder paging (PD/Opsgenie sync) works on the Slack slash-commands + Block Kit modals surface end-to-end</t>
  </si>
  <si>
    <t xml:space="preserve">S4</t>
  </si>
  <si>
    <t xml:space="preserve">ST-016</t>
  </si>
  <si>
    <t xml:space="preserve">As a Eng director, I can see Responder paging (PD/Opsgenie sync) performance metrics and trends</t>
  </si>
  <si>
    <t xml:space="preserve">ST-017</t>
  </si>
  <si>
    <t xml:space="preserve">As a user, Responder paging (PD/Opsgenie sync) respects role permissions and audit logging</t>
  </si>
  <si>
    <t xml:space="preserve">ST-018</t>
  </si>
  <si>
    <t xml:space="preserve">As a SRE lead, I can pause/disable Responder paging (PD/Opsgenie sync) without data loss</t>
  </si>
  <si>
    <t xml:space="preserve">ST-019</t>
  </si>
  <si>
    <t xml:space="preserve">As a Eng director, I can import/migrate existing data into Responder paging (PD/Opsgenie sync) (CSV + competitor importer)</t>
  </si>
  <si>
    <t xml:space="preserve">ST-020</t>
  </si>
  <si>
    <t xml:space="preserve">As a user, I get notifications (in-app + email) for key Responder paging (PD/Opsgenie sync) events with per-type mute</t>
  </si>
  <si>
    <t xml:space="preserve">ST-021</t>
  </si>
  <si>
    <t xml:space="preserve">F3</t>
  </si>
  <si>
    <t xml:space="preserve">Auto timeline capture</t>
  </si>
  <si>
    <t xml:space="preserve">As a SRE lead, I can set up Auto timeline capture with sensible defaults in one screen</t>
  </si>
  <si>
    <t xml:space="preserve">S5</t>
  </si>
  <si>
    <t xml:space="preserve">SCR-5 Timeline view</t>
  </si>
  <si>
    <t xml:space="preserve">ST-022</t>
  </si>
  <si>
    <t xml:space="preserve">As a SRE lead, the Auto timeline capture happy path completes without documentation</t>
  </si>
  <si>
    <t xml:space="preserve">src/timeline/timeline.ts</t>
  </si>
  <si>
    <t xml:space="preserve">Partly — /api/timeline/export is live; capture depends on an incident existing, which depends on F1 (CF-002, S38)</t>
  </si>
  <si>
    <t xml:space="preserve">ST-023</t>
  </si>
  <si>
    <t xml:space="preserve">As a Eng director, I can customise Auto timeline capture rules/conditions for my workflow</t>
  </si>
  <si>
    <t xml:space="preserve">ST-024</t>
  </si>
  <si>
    <t xml:space="preserve">As a user, Auto timeline capture shows clear errors and retry paths on platform API failures</t>
  </si>
  <si>
    <t xml:space="preserve">ST-025</t>
  </si>
  <si>
    <t xml:space="preserve">As a Responder, Auto timeline capture works on the Slack slash-commands + Block Kit modals surface end-to-end</t>
  </si>
  <si>
    <t xml:space="preserve">ST-026</t>
  </si>
  <si>
    <t xml:space="preserve">As a Eng director, I can see Auto timeline capture performance metrics and trends</t>
  </si>
  <si>
    <t xml:space="preserve">ST-027</t>
  </si>
  <si>
    <t xml:space="preserve">As a user, Auto timeline capture respects role permissions and audit logging</t>
  </si>
  <si>
    <t xml:space="preserve">ST-028</t>
  </si>
  <si>
    <t xml:space="preserve">As a SRE lead, I can pause/disable Auto timeline capture without data loss</t>
  </si>
  <si>
    <t xml:space="preserve">ST-029</t>
  </si>
  <si>
    <t xml:space="preserve">As a Eng director, I can import/migrate existing data into Auto timeline capture (CSV + competitor importer)</t>
  </si>
  <si>
    <t xml:space="preserve">ST-030</t>
  </si>
  <si>
    <t xml:space="preserve">As a user, I get notifications (in-app + email) for key Auto timeline capture events with per-type mute</t>
  </si>
  <si>
    <t xml:space="preserve">ST-031</t>
  </si>
  <si>
    <t xml:space="preserve">F4</t>
  </si>
  <si>
    <t xml:space="preserve">AI postmortem draft</t>
  </si>
  <si>
    <t xml:space="preserve">As a SRE lead, I can set up AI postmortem draft with sensible defaults in one screen</t>
  </si>
  <si>
    <t xml:space="preserve">S6</t>
  </si>
  <si>
    <t xml:space="preserve">ST-032</t>
  </si>
  <si>
    <t xml:space="preserve">As a SRE lead, the AI postmortem draft happy path completes without documentation</t>
  </si>
  <si>
    <t xml:space="preserve">src/postmortem/postmortem.ts</t>
  </si>
  <si>
    <t xml:space="preserve">No — postmortem drafting reaches the AI provider, which is an unwired stub (CF-002, S38)</t>
  </si>
  <si>
    <t xml:space="preserve">ST-033</t>
  </si>
  <si>
    <t xml:space="preserve">As a Eng director, I can customise AI postmortem draft rules/conditions for my workflow</t>
  </si>
  <si>
    <t xml:space="preserve">ST-034</t>
  </si>
  <si>
    <t xml:space="preserve">As a user, AI postmortem draft shows clear errors and retry paths on platform API failures</t>
  </si>
  <si>
    <t xml:space="preserve">ST-035</t>
  </si>
  <si>
    <t xml:space="preserve">As a Responder, AI postmortem draft works on the Slack slash-commands + Block Kit modals surface end-to-end</t>
  </si>
  <si>
    <t xml:space="preserve">ST-036</t>
  </si>
  <si>
    <t xml:space="preserve">As a Eng director, I can see AI postmortem draft performance metrics and trends</t>
  </si>
  <si>
    <t xml:space="preserve">ST-037</t>
  </si>
  <si>
    <t xml:space="preserve">As a user, AI postmortem draft respects role permissions and audit logging</t>
  </si>
  <si>
    <t xml:space="preserve">ST-038</t>
  </si>
  <si>
    <t xml:space="preserve">As a SRE lead, I can pause/disable AI postmortem draft without data loss</t>
  </si>
  <si>
    <t xml:space="preserve">ST-039</t>
  </si>
  <si>
    <t xml:space="preserve">As a Eng director, I can import/migrate existing data into AI postmortem draft (CSV + competitor importer)</t>
  </si>
  <si>
    <t xml:space="preserve">ST-040</t>
  </si>
  <si>
    <t xml:space="preserve">As a user, I get notifications (in-app + email) for key AI postmortem draft events with per-type mute</t>
  </si>
  <si>
    <t xml:space="preserve">ST-041</t>
  </si>
  <si>
    <t xml:space="preserve">F5</t>
  </si>
  <si>
    <t xml:space="preserve">Status page publish</t>
  </si>
  <si>
    <t xml:space="preserve">As a SRE lead, I can set up Status page publish with sensible defaults in one screen</t>
  </si>
  <si>
    <t xml:space="preserve">SCR-8 Analytics/Status</t>
  </si>
  <si>
    <t xml:space="preserve">ST-042</t>
  </si>
  <si>
    <t xml:space="preserve">As a SRE lead, the Status page publish happy path completes without documentation</t>
  </si>
  <si>
    <t xml:space="preserve">src/statuspage/statuspage.ts</t>
  </si>
  <si>
    <t xml:space="preserve">No — publishing reaches the status-page adapter, which is an unwired stub (CF-002, S41)</t>
  </si>
  <si>
    <t xml:space="preserve">ST-043</t>
  </si>
  <si>
    <t xml:space="preserve">As a Eng director, I can customise Status page publish rules/conditions for my workflow</t>
  </si>
  <si>
    <t xml:space="preserve">ST-044</t>
  </si>
  <si>
    <t xml:space="preserve">As a user, Status page publish shows clear errors and retry paths on platform API failures</t>
  </si>
  <si>
    <t xml:space="preserve">ST-045</t>
  </si>
  <si>
    <t xml:space="preserve">As a Responder, Status page publish works on the Slack slash-commands + Block Kit modals surface end-to-end</t>
  </si>
  <si>
    <t xml:space="preserve">ST-046</t>
  </si>
  <si>
    <t xml:space="preserve">As a Eng director, I can see Status page publish performance metrics and trends</t>
  </si>
  <si>
    <t xml:space="preserve">ST-047</t>
  </si>
  <si>
    <t xml:space="preserve">As a user, Status page publish respects role permissions and audit logging</t>
  </si>
  <si>
    <t xml:space="preserve">ST-048</t>
  </si>
  <si>
    <t xml:space="preserve">As a SRE lead, I can pause/disable Status page publish without data loss</t>
  </si>
  <si>
    <t xml:space="preserve">ST-049</t>
  </si>
  <si>
    <t xml:space="preserve">As a Eng director, I can import/migrate existing data into Status page publish (CSV + competitor importer)</t>
  </si>
  <si>
    <t xml:space="preserve">ST-050</t>
  </si>
  <si>
    <t xml:space="preserve">As a user, I get notifications (in-app + email) for key Status page publish events with per-type mute</t>
  </si>
  <si>
    <t xml:space="preserve">ST-051</t>
  </si>
  <si>
    <t xml:space="preserve">E1</t>
  </si>
  <si>
    <t xml:space="preserve">Install &amp; OAuth lifecycle</t>
  </si>
  <si>
    <t xml:space="preserve">Marketplace OAuth install completes and lands on welcome state in &lt;2 min</t>
  </si>
  <si>
    <t xml:space="preserve">SCR-1 Onboarding</t>
  </si>
  <si>
    <t xml:space="preserve">Automated tests; live platform verification pending</t>
  </si>
  <si>
    <t xml:space="preserve">src/install/install.ts + tests/install.test.ts; live path scripted: sweep SW-04/05 (051), SW-10 (052), SW-11 (055) + DEV_WORKSPACE_SETUP.md</t>
  </si>
  <si>
    <t xml:space="preserve">No — install reaches Slack oauth.v2.access, which is an unwired stub (CF-002, S38)</t>
  </si>
  <si>
    <t xml:space="preserve">ST-052</t>
  </si>
  <si>
    <t xml:space="preserve">Uninstall webhook removes tokens, schedules data deletion per policy</t>
  </si>
  <si>
    <t xml:space="preserve">src/install/install.ts + tests/install.test.ts; live path scripted: sweep SW-04/05 (051), SW-10 (052), SW-11 (055) + DEV_WORKSPACE_SETUP.md | V037: uninstall also revokes every dashboard session (PX-010)</t>
  </si>
  <si>
    <t xml:space="preserve">ST-053</t>
  </si>
  <si>
    <t xml:space="preserve">Re-install restores account within retention window</t>
  </si>
  <si>
    <t xml:space="preserve">src/install/install.ts + tests/install.test.ts</t>
  </si>
  <si>
    <t xml:space="preserve">ST-054</t>
  </si>
  <si>
    <t xml:space="preserve">Multi-user roles: owner/admin/member permission matrix enforced</t>
  </si>
  <si>
    <t xml:space="preserve">src/core/roles.ts</t>
  </si>
  <si>
    <t xml:space="preserve">Yes — the role matrix is enforced on /api/* now that a session exists (CF-006 closed V036)</t>
  </si>
  <si>
    <t xml:space="preserve">ST-055</t>
  </si>
  <si>
    <t xml:space="preserve">Session/token refresh survives platform token rotation</t>
  </si>
  <si>
    <t xml:space="preserve">src/install/install.ts + tests/install.test.ts; live path scripted: sweep SW-04/05 (051), SW-10 (052), SW-11 (055) + DEV_WORKSPACE_SETUP.md | V037: refresh path async; key rotation route exists (PX-005)</t>
  </si>
  <si>
    <t xml:space="preserve">ST-056</t>
  </si>
  <si>
    <t xml:space="preserve">Install telemetry: source attribution (listing/search/referral) captured</t>
  </si>
  <si>
    <t xml:space="preserve">ST-057</t>
  </si>
  <si>
    <t xml:space="preserve">E5</t>
  </si>
  <si>
    <t xml:space="preserve">Billing</t>
  </si>
  <si>
    <t xml:space="preserve">14-day trial without card; banner shows days remaining</t>
  </si>
  <si>
    <t xml:space="preserve">SCR-7 Billing</t>
  </si>
  <si>
    <t xml:space="preserve">src/billing/billing.ts + tests/billing.test.ts</t>
  </si>
  <si>
    <t xml:space="preserve">Partly — /api/billing/* is reachable since V036; the charge itself is a fake provider (CF-010, S40)</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</si>
  <si>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</si>
  <si>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</si>
  <si>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</si>
  <si>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</si>
  <si>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</si>
  <si>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</si>
  <si>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</si>
  <si>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src/billing/billing.ts + tests/billing.test.ts | V037: read-only/cancelled gates unchanged; band_exceeded added (D-OC8)</t>
  </si>
  <si>
    <t xml:space="preserve">ST-061</t>
  </si>
  <si>
    <t xml:space="preserve">Plan limits enforced with upgrade prompts at 80%/100%</t>
  </si>
  <si>
    <t xml:space="preserve">src/billing/billing.ts + tests/billing.test.ts | V037: the plan limit is now ENFORCED in the production composition (PX-002 fixed; enforcementWiring test)</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</si>
  <si>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</si>
  <si>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</si>
  <si>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</si>
  <si>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</si>
  <si>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</si>
  <si>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</si>
  <si>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Compliance &amp; security</t>
  </si>
  <si>
    <t xml:space="preserve">Scopes requested map 1:1 to shipped features (least privilege doc)</t>
  </si>
  <si>
    <t xml:space="preserve">SCR-6 Settings &amp; team</t>
  </si>
  <si>
    <t xml:space="preserve">src/compliance/compliance.ts + tests</t>
  </si>
  <si>
    <t xml:space="preserve">Yes — /api/data/{export,delete,inventory} over six real tenant stores (CF-008 closed V036)</t>
  </si>
  <si>
    <t xml:space="preserve">ST-065</t>
  </si>
  <si>
    <t xml:space="preserve">Data-flow diagram + retention policy published</t>
  </si>
  <si>
    <t xml:space="preserve">Doc review + hosting</t>
  </si>
  <si>
    <t xml:space="preserve">docs/DATA_FLOW.md + docs/TRUST_SECURITY.md</t>
  </si>
  <si>
    <t xml:space="preserve">n/a — document or launch artefact, not a runtime surface</t>
  </si>
  <si>
    <t xml:space="preserve">Encryption at rest + in transit verified; secrets in vault</t>
  </si>
  <si>
    <t xml:space="preserve">src/compliance/crypto.ts (+ vault boundary) — AES-256-GCM field crypto, key-ID rotation, tamper detection; live half = managed-DB at-rest + TLS evidence | V037: rotation has a caller — EnvKeyVault + POST /ops/rotate-keys; KMS still S43</t>
  </si>
  <si>
    <t xml:space="preserve">ST-067</t>
  </si>
  <si>
    <t xml:space="preserve">Audit log for admin-sensitive actions</t>
  </si>
  <si>
    <t xml:space="preserve">src/compliance/audit.ts</t>
  </si>
  <si>
    <t xml:space="preserve">Pen-test (or platform-required evidence) completed and archived</t>
  </si>
  <si>
    <t xml:space="preserve">S9</t>
  </si>
  <si>
    <t xml:space="preserve">Sandbox half done; live/human half pending</t>
  </si>
  <si>
    <t xml:space="preserve">docs/SECURITY_EVIDENCE.md — Sandbox half done (threat model, control-&gt;test map, vendor brief); live pen test = vendor</t>
  </si>
  <si>
    <t xml:space="preserve">ST-069</t>
  </si>
  <si>
    <t xml:space="preserve">Data export + delete-my-data self-serve</t>
  </si>
  <si>
    <t xml:space="preserve">src/compliance/compliance.ts + tests | V037: deferred_work added to the export/delete inventory; event_dedupe exemption declared, not implied</t>
  </si>
  <si>
    <t xml:space="preserve">Yes — was FALSE until V036: the runtime handed DataRights an empty Map (CF-008), so export and delete succeeded over nothing</t>
  </si>
  <si>
    <t xml:space="preserve">ST-070</t>
  </si>
  <si>
    <t xml:space="preserve">Rate-limit backoff + circuit breaker on platform APIs</t>
  </si>
  <si>
    <t xml:space="preserve">src/compliance/compliance.ts + tests | V037: breaker async; concurrent failures open it once; every platform call budgeted</t>
  </si>
  <si>
    <t xml:space="preserve">ST-071</t>
  </si>
  <si>
    <t xml:space="preserve">E7</t>
  </si>
  <si>
    <t xml:space="preserve">Telemetry</t>
  </si>
  <si>
    <t xml:space="preserve">Activation funnel events (install-&gt;setup-&gt;aha-&gt;habit) in one dashboard</t>
  </si>
  <si>
    <t xml:space="preserve">SCR-8 Analytics</t>
  </si>
  <si>
    <t xml:space="preserve">src/telemetry/telemetry.ts + tests</t>
  </si>
  <si>
    <t xml:space="preserve">Yes — /api/analytics/* returns real payloads since V036 (CF-006/CF-007 closed)</t>
  </si>
  <si>
    <t xml:space="preserve">Error tracking with release tagging; alert on error-rate spike</t>
  </si>
  <si>
    <t xml:space="preserve">ST-073</t>
  </si>
  <si>
    <t xml:space="preserve">Feature-usage heatmap for roadmap decisions</t>
  </si>
  <si>
    <t xml:space="preserve">Yes — was FALSE until V036: every /api/analytics call answered 401 then an empty 202 (CF-006/CF-007)</t>
  </si>
  <si>
    <t xml:space="preserve">Weekly automated metrics email to team</t>
  </si>
  <si>
    <t xml:space="preserve">src/scheduler/scheduler.ts | V037: leased jobs are frequency-safe across restarts (PX-006)</t>
  </si>
  <si>
    <t xml:space="preserve">ST-075</t>
  </si>
  <si>
    <t xml:space="preserve">Health score computed per account (usage+billing+support)</t>
  </si>
  <si>
    <t xml:space="preserve">Metrics export to CSV/warehouse for founder analysis</t>
  </si>
  <si>
    <t xml:space="preserve">Alert thresholds configurable (activation drop, error spike, churn signal)</t>
  </si>
  <si>
    <t xml:space="preserve">ST-078</t>
  </si>
  <si>
    <t xml:space="preserve">E8</t>
  </si>
  <si>
    <t xml:space="preserve">Onboarding/docs/support</t>
  </si>
  <si>
    <t xml:space="preserve">First-run checklist reaches aha-moment in &lt;1 day</t>
  </si>
  <si>
    <t xml:space="preserve">SCR-9 Help &amp; support</t>
  </si>
  <si>
    <t xml:space="preserve">src/onboarding/onboarding.ts + tests</t>
  </si>
  <si>
    <t xml:space="preserve">Yes — /api/onboarding is reachable with a session (CF-006 closed V036)</t>
  </si>
  <si>
    <t xml:space="preserve">ST-079</t>
  </si>
  <si>
    <t xml:space="preserve">Empty states teach next action on every screen</t>
  </si>
  <si>
    <t xml:space="preserve">Help center with 15 launch articles + search</t>
  </si>
  <si>
    <t xml:space="preserve">docs/HELP_CENTER.md</t>
  </si>
  <si>
    <t xml:space="preserve">In-app chat with &lt;4 business-hr first response</t>
  </si>
  <si>
    <t xml:space="preserve">src/support/chatSla.ts — Built-in chat + 4-business-hr SLA engine w/ breach escalation; external vendor now OPTIONAL (Senthil call)</t>
  </si>
  <si>
    <t xml:space="preserve">ST-082</t>
  </si>
  <si>
    <t xml:space="preserve">In-app review ask after aha-moment (marketplace rating engine)</t>
  </si>
  <si>
    <t xml:space="preserve">ST-083</t>
  </si>
  <si>
    <t xml:space="preserve">Demo video (2 min) + interactive sandbox/demo data mode</t>
  </si>
  <si>
    <t xml:space="preserve">E2E test + demo</t>
  </si>
  <si>
    <t xml:space="preserve">Backlog</t>
  </si>
  <si>
    <t xml:space="preserve">launch phase</t>
  </si>
  <si>
    <t xml:space="preserve">Status page + incident comms template</t>
  </si>
  <si>
    <t xml:space="preserve">docs/INCIDENT_COMMS_TEMPLATE.md</t>
  </si>
  <si>
    <t xml:space="preserve">ST-085</t>
  </si>
  <si>
    <t xml:space="preserve">Quality engineering</t>
  </si>
  <si>
    <t xml:space="preserve">Unit+integration test coverage gate ≥70% on core modules</t>
  </si>
  <si>
    <t xml:space="preserve">jest.config.js 100x4 gate (D13)</t>
  </si>
  <si>
    <t xml:space="preserve">Yes — internal: runs in CI on every push</t>
  </si>
  <si>
    <t xml:space="preserve">E2E smoke suite runs on every deploy</t>
  </si>
  <si>
    <t xml:space="preserve">tests/smoke.e2e.test.ts + ci.yml</t>
  </si>
  <si>
    <t xml:space="preserve">p95 latency budgets defined and monitored per surface</t>
  </si>
  <si>
    <t xml:space="preserve">src/core/latency.ts</t>
  </si>
  <si>
    <t xml:space="preserve">Load test at 5x expected launch traffic</t>
  </si>
  <si>
    <t xml:space="preserve">loadtest/k6-launch-load.js (staging pending)</t>
  </si>
  <si>
    <t xml:space="preserve">Accessibility WCAG AA pass on primary flows</t>
  </si>
  <si>
    <t xml:space="preserve">src/screens/shells.ts + jest-axe suite — Automated WCAG AA (axe) green on all 6 screen shells in CI; live/manual audit on rendered UI pending</t>
  </si>
  <si>
    <t xml:space="preserve">Backup + restore drill executed</t>
  </si>
  <si>
    <t xml:space="preserve">scripts/backup-restore-drill.sh — 6-step scripted drill w/ row-count parity + checksum evidence; needs Postgres</t>
  </si>
  <si>
    <t xml:space="preserve">Chaos test: platform API outage degrades gracefully with user comms</t>
  </si>
  <si>
    <t xml:space="preserve">Zero-downtime deploy verified (blue/green or rolling)</t>
  </si>
  <si>
    <t xml:space="preserve">.github/workflows/deploy-blue-green.yml — Approval-gated switch, warm-blue rollback, 100x4 gate blocks deploy</t>
  </si>
  <si>
    <t xml:space="preserve">EL</t>
  </si>
  <si>
    <t xml:space="preserve">Listing &amp; launch</t>
  </si>
  <si>
    <t xml:space="preserve">Marketplace listing copy A + B variants drafted and reviewed</t>
  </si>
  <si>
    <t xml:space="preserve">docs/LISTING_COPY.md</t>
  </si>
  <si>
    <t xml:space="preserve">ST-094</t>
  </si>
  <si>
    <t xml:space="preserve">5 screenshots + 2-min demo video meet platform asset specs</t>
  </si>
  <si>
    <t xml:space="preserve">launch phase — see V009 board / Backlog</t>
  </si>
  <si>
    <t xml:space="preserve">Pricing page/plan matrix published with FAQ</t>
  </si>
  <si>
    <t xml:space="preserve">docs/PRICING_FAQ.md</t>
  </si>
  <si>
    <t xml:space="preserve">ST-096</t>
  </si>
  <si>
    <t xml:space="preserve">Security/trust page (data handling, subprocessors) live</t>
  </si>
  <si>
    <t xml:space="preserve">docs/TRUST_SECURITY.md</t>
  </si>
  <si>
    <t xml:space="preserve">Submission dry-run against platform checklist by second reviewer</t>
  </si>
  <si>
    <t xml:space="preserve">External reviewer dry-run</t>
  </si>
  <si>
    <t xml:space="preserve">docs/REVIEW_PACK.md — Cold pass 1 done by author (F-001..004 fixed); external reviewer = independence, Senthil to appoint</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</si>
  <si>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</si>
  <si>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</si>
  <si>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</si>
  <si>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</si>
  <si>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</si>
  <si>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</si>
  <si>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ST-101</t>
  </si>
  <si>
    <t xml:space="preserve">Convert SlackClient, PagingProvider, AiProvider, StatusPublisher (plus OAuthClient, PaymentProvider, SlackApi, ResponseUrlPoster, ModalOpener) to Promise-returning contracts</t>
  </si>
  <si>
    <t xml:space="preserve">Automated tests (100% cov)</t>
  </si>
  <si>
    <t xml:space="preserve">src/incidents/declare.ts, src/paging/paging.ts, src/postmortem/postmortem.ts, src/statuspage/statuspage.ts, src/install/install.ts, src/billing/billing.ts — tests/px/asyncBoundary.test.ts: tsc clean; nine interfaces asserted Promise-returning by the compiler API</t>
  </si>
  <si>
    <t xml:space="preserve">Yes — contract; internal</t>
  </si>
  <si>
    <t xml:space="preserve">ST-102</t>
  </si>
  <si>
    <t xml:space="preserve">src/app/workflow.ts</t>
  </si>
  <si>
    <t xml:space="preserve">Convert IncidentWorkflow.declare/resolve/reopen, TimelineService.capture, PostmortemService.draft, StatusPageService.setComponent to async; interaction handlers await results</t>
  </si>
  <si>
    <t xml:space="preserve">src/app/workflow.ts, src/timeline/timeline.ts, src/postmortem/postmortem.ts, src/statuspage/statuspage.ts — tests/workflow.test.ts, tests/px/*: Runners in runtime.ts await the workflow; the resolve path drafts the postmortem under the breaker</t>
  </si>
  <si>
    <t xml:space="preserve">Partly — reaches the unwired adapters (S38)</t>
  </si>
  <si>
    <t xml:space="preserve">ST-103</t>
  </si>
  <si>
    <t xml:space="preserve">Convert DegradationService.execute and CircuitBreaker to async, preserving breaker semantics under concurrent in-flight calls</t>
  </si>
  <si>
    <t xml:space="preserve">src/core/degradation.ts, src/compliance/compliance.ts — tests/px/identityAndWindows.test.ts, tests/degradation.test.ts: 5 concurrent failing calls open the breaker exactly once; a late failure does not extend the cooldown</t>
  </si>
  <si>
    <t xml:space="preserve">Yes — internal</t>
  </si>
  <si>
    <t xml:space="preserve">ST-104</t>
  </si>
  <si>
    <t xml:space="preserve">src/incidents/ack.ts</t>
  </si>
  <si>
    <t xml:space="preserve">DeferredWork becomes an async descriptor + runner; drain() awaits each item; pending() reflects in-flight as well as queued work</t>
  </si>
  <si>
    <t xml:space="preserve">src/incidents/ack.ts — tests/ack.test.ts, tests/px/ackDurability.test.ts: pending() counts in-flight; /health reports inFlight</t>
  </si>
  <si>
    <t xml:space="preserve">Yes — /health</t>
  </si>
  <si>
    <t xml:space="preserve">ST-105</t>
  </si>
  <si>
    <t xml:space="preserve">src/core/degradation.ts (withBudget</t>
  </si>
  <si>
    <t xml:space="preserve">Latency budget on every platform call (timeout + abort): a hung call yields a degraded user message, not a hang</t>
  </si>
  <si>
    <t xml:space="preserve">src/core/degradation.ts (withBudget, PLATFORM_CALL_BUDGET_MS) — tests/px/identityAndWindows.test.ts: A call over budget returns reason:'timeout' with user comms</t>
  </si>
  <si>
    <t xml:space="preserve">ST-106</t>
  </si>
  <si>
    <t xml:space="preserve">tests/* (26 suites migrated)</t>
  </si>
  <si>
    <t xml:space="preserve">Migrate the affected suites to the async contracts; coverage back to 100/100/100/100 with no forceExit and no un-awaited promise</t>
  </si>
  <si>
    <t xml:space="preserve">tests/* (26 suites migrated) — npx jest --coverage: 624 tests; 100% over src/ and scripts/</t>
  </si>
  <si>
    <t xml:space="preserve">Yes — CI</t>
  </si>
  <si>
    <t xml:space="preserve">ST-107</t>
  </si>
  <si>
    <t xml:space="preserve">tests/px/asyncBoundary.test.ts (TS com…</t>
  </si>
  <si>
    <t xml:space="preserve">Floating-promise rule: CI fails on an expression statement that evaluates to a Promise without await/void, outside the documented setInterval sites</t>
  </si>
  <si>
    <t xml:space="preserve">tests/px/asyncBoundary.test.ts (TS compiler API scan) — tests/px/asyncBoundary.test.ts: Found one floating .then in degradation.ts on first run</t>
  </si>
  <si>
    <t xml:space="preserve">ST-108</t>
  </si>
  <si>
    <t xml:space="preserve">declare() and reopen() call await entitlements.claimWrite(); checkWrite/recordWrite removed from the write path; recordWrite deleted</t>
  </si>
  <si>
    <t xml:space="preserve">src/app/workflow.ts, src/billing/entitlements.ts — tests/px/enforcementWiring.test.ts: Source check: exactly one enforcement method on the write path</t>
  </si>
  <si>
    <t xml:space="preserve">Yes — via the deferred declare runner</t>
  </si>
  <si>
    <t xml:space="preserve">ST-109</t>
  </si>
  <si>
    <t xml:space="preserve">src/composition/runtime.ts (composeRun…</t>
  </si>
  <si>
    <t xml:space="preserve">Regression test constructed exactly as the production composition: limit declares succeed, limit+1 refused with limit_reached, store usage == limit</t>
  </si>
  <si>
    <t xml:space="preserve">src/composition/runtime.ts (composeRuntime) — tests/px/enforcementWiring.test.ts: Asserts the STORE counter, not a per-process view</t>
  </si>
  <si>
    <t xml:space="preserve">ST-110</t>
  </si>
  <si>
    <t xml:space="preserve">src/composition/runtime.ts</t>
  </si>
  <si>
    <t xml:space="preserve">Two-replica test at the workflow level: two runtimes sharing one billing store cannot jointly exceed the cap</t>
  </si>
  <si>
    <t xml:space="preserve">src/composition/runtime.ts — tests/px/enforcementWiring.test.ts: limit allowed, 10 refused, across two runtimes</t>
  </si>
  <si>
    <t xml:space="preserve">ST-111</t>
  </si>
  <si>
    <t xml:space="preserve">src/billing/billing.ts (rolloverDueCyc…</t>
  </si>
  <si>
    <t xml:space="preserve">Monthly usage reset as a leased, frequency-safe job: resets once per billing cycle per account, never once per tick</t>
  </si>
  <si>
    <t xml:space="preserve">src/billing/billing.ts (rolloverDueCycles, CYCLE_MS), src/composition/runtime.ts — tests/px/enforcementWiring.test.ts: Five ticks in a day: no reset; a cycle later: exactly one; shared meter reset too</t>
  </si>
  <si>
    <t xml:space="preserve">Yes — leased daily job</t>
  </si>
  <si>
    <t xml:space="preserve">ST-112</t>
  </si>
  <si>
    <t xml:space="preserve">src/billing/billing.ts</t>
  </si>
  <si>
    <t xml:space="preserve">Pricing axis moved from incidents/month to workspace-size bands (D-OC8); PLAN_LIMITS expresses bands; PRICING_FAQ regenerated from pricingDoc.ts and asserted by test</t>
  </si>
  <si>
    <t xml:space="preserve">Done — awaiting D-OC8 ratification</t>
  </si>
  <si>
    <t xml:space="preserve">src/billing/billing.ts, src/billing/pricingDoc.ts, docs/PRICING_FAQ.md, GET /api/billing/band — tests/pricingDoc.test.ts, tests/px/enforcementWiring.test.ts: Band exceeded → clear upgrade message naming the covering plan; reads stay open</t>
  </si>
  <si>
    <t xml:space="preserve">Yes — /api/billing/band</t>
  </si>
  <si>
    <t xml:space="preserve">ST-113</t>
  </si>
  <si>
    <t xml:space="preserve">audit.mjs v3 (A10-A13)</t>
  </si>
  <si>
    <t xml:space="preserve">Portfolio rule: audit.mjs A10 (enforcement/persistence method with no caller outside tests); applied to entitlements, crypto, sequences, retention, roles</t>
  </si>
  <si>
    <t xml:space="preserve">audit.mjs v3 (A10-A13), docs/PORTFOLIO_AUDIT_PLAYBOOK.md v3 — node audit.mjs .: A10 found PX-013 in V037 itself</t>
  </si>
  <si>
    <t xml:space="preserve">n/a — tool</t>
  </si>
  <si>
    <t xml:space="preserve">ST-114</t>
  </si>
  <si>
    <t xml:space="preserve">src/composition/production.ts</t>
  </si>
  <si>
    <t xml:space="preserve">responseUrlPoster, modalOpener and oauth added as named adapters in a CLOSED, typed REQUIRED_PROVIDERS set; production refuses a stub or an absence</t>
  </si>
  <si>
    <t xml:space="preserve">src/composition/production.ts, src/composition/providers.ts — tests/px/providerGate.test.ts: Compile-time assertion: omission is a build error</t>
  </si>
  <si>
    <t xml:space="preserve">Yes — boot gate</t>
  </si>
  <si>
    <t xml:space="preserve">ST-115</t>
  </si>
  <si>
    <t xml:space="preserve">src/core/provider.ts</t>
  </si>
  <si>
    <t xml:space="preserve">Capability probe: every provider exposes async healthcheck(); production boot calls all of them and fails naming the failing provider; a correctly-named but non-functional adapter is caught</t>
  </si>
  <si>
    <t xml:space="preserve">src/core/provider.ts, src/composition/production.ts (probeComposition) — tests/px/providerGate.test.ts: Gate proven to refuse AND to permit; /ops/composition shows probe results</t>
  </si>
  <si>
    <t xml:space="preserve">Yes — boot gate + /ops/composition</t>
  </si>
  <si>
    <t xml:space="preserve">ST-116</t>
  </si>
  <si>
    <t xml:space="preserve">src/composition/providers.ts (provider…</t>
  </si>
  <si>
    <t xml:space="preserve">Structural inventory completeness: a test asserts every boundary-crossing constructor argument appears in the inventory; a new provider added without inventorying it fails CI</t>
  </si>
  <si>
    <t xml:space="preserve">src/composition/providers.ts (providerInventory/providerRecord) — tests/px/providerGate.test.ts: Object.keys(ProviderSet) == REQUIRED_PROVIDERS</t>
  </si>
  <si>
    <t xml:space="preserve">ST-117</t>
  </si>
  <si>
    <t xml:space="preserve">src/incidents/ack.ts (Drainable)</t>
  </si>
  <si>
    <t xml:space="preserve">Ack queue registered with Lifecycle and drained before exit (SIGTERM): a queued declare completes or posts a definite failure before the process exits</t>
  </si>
  <si>
    <t xml:space="preserve">src/incidents/ack.ts (Drainable), src/core/lifecycle.ts, src/composition/runtime.ts — tests/px/ackDurability.test.ts: runtime.shutdown() → 0 lost; the declare's result posted</t>
  </si>
  <si>
    <t xml:space="preserve">Yes — lifecycle</t>
  </si>
  <si>
    <t xml:space="preserve">ST-118</t>
  </si>
  <si>
    <t xml:space="preserve">src/db/repository.ts (DeferredWorkStor…</t>
  </si>
  <si>
    <t xml:space="preserve">Deferred-work queue persisted with a lease (deferred_work, migration 0014); re-attempted on restore; kill -9 survivable; response_url treated as tenant data</t>
  </si>
  <si>
    <t xml:space="preserve">src/db/repository.ts (DeferredWorkStore), src/db/schema.ts, src/incidents/ack.ts — tests/px/ackDurability.test.ts, tests/px/pgStores.integration.test.ts: Second runtime restores and completes; 3 attempts then definite failure; export omits the URL</t>
  </si>
  <si>
    <t xml:space="preserve">Yes — restore path</t>
  </si>
  <si>
    <t xml:space="preserve">ST-119</t>
  </si>
  <si>
    <t xml:space="preserve">src/db/repository.ts (acquireDue/recor…</t>
  </si>
  <si>
    <t xml:space="preserve">Leased-job frequency: persist last_run_at in the lease store (migration 0013); acquire condition now − last_run_at ≥ interval; a restarted replica does not re-run a daily job</t>
  </si>
  <si>
    <t xml:space="preserve">src/db/repository.ts (acquireDue/recordRun), src/scheduler/scheduler.ts — tests/px/leaseFrequency.test.ts: Five restarts in a day → one run</t>
  </si>
  <si>
    <t xml:space="preserve">Yes — scheduler</t>
  </si>
  <si>
    <t xml:space="preserve">ST-120</t>
  </si>
  <si>
    <t xml:space="preserve">Paging provider identity: widen the union to five D-OC7 targets and derive the workflow's provider id from the constructed adapter</t>
  </si>
  <si>
    <t xml:space="preserve">src/paging/paging.ts, src/core/config.ts, src/composition/runtime.ts — tests/px/identityAndWindows.test.ts: Id reaching PagingService == inventory</t>
  </si>
  <si>
    <t xml:space="preserve">ST-121</t>
  </si>
  <si>
    <t xml:space="preserve">src/db/repository.ts (loadSince)</t>
  </si>
  <si>
    <t xml:space="preserve">Dedupe restore window time-bounded (6 h, cap 50,000) and documented against Slack's retry behaviour</t>
  </si>
  <si>
    <t xml:space="preserve">src/db/repository.ts (loadSince), src/events/receiver.ts, src/composition/runtime.ts — tests/px/identityAndWindows.test.ts: Retry inside the window is a duplicate after restart; outside is not</t>
  </si>
  <si>
    <t xml:space="preserve">ST-122</t>
  </si>
  <si>
    <t xml:space="preserve">scripts/serve.ts (main</t>
  </si>
  <si>
    <t xml:space="preserve">scripts/ into the coverage gate: every entry point exports its main function; boot smoke test drives serve.ts (development permits, production refuses, staging on a fake connection, real listener, SIGTERM drain) and the four CLI shells</t>
  </si>
  <si>
    <t xml:space="preserve">scripts/serve.ts (main, requestListener, portFrom), scripts/*.ts, jest.config.js — tests/px/bootSmoke.test.ts: 100% over scripts/; CI package job also boots the built artifact and drains on SIGTERM</t>
  </si>
  <si>
    <t xml:space="preserve">ST-123</t>
  </si>
  <si>
    <t xml:space="preserve">Session revocation: installEpoch claim bound to the workspace's current install; uninstall, reinstall, data deletion and bumpEpoch revoke outstanding cookies immediately (PX-010)</t>
  </si>
  <si>
    <t xml:space="preserve">src/http/session.ts, src/install/install.ts, src/composition/runtime.ts, src/http/adminApi.ts (onTenantDeleted) — tests/px/identityAndWindows.test.ts: Revoked inside the 12 h TTL; legacy tokens refused</t>
  </si>
  <si>
    <t xml:space="preserve">Yes — /api/* resolver</t>
  </si>
  <si>
    <t xml:space="preserve">ST-124</t>
  </si>
  <si>
    <t xml:space="preserve">src/compliance/crypto.ts</t>
  </si>
  <si>
    <t xml:space="preserve">Key rotation with a caller: EnvKeyVault (ENCRYPTION_KEY_&lt;id&gt; + ENCRYPTION_KEY_CURRENT), POST /ops/rotate-keys re-encrypting stored tokens, boot warning on stale key ids (PX-005)</t>
  </si>
  <si>
    <t xml:space="preserve">Done — KMS adapter remains S43</t>
  </si>
  <si>
    <t xml:space="preserve">src/compliance/crypto.ts, src/install/install.ts (reencryptTokens/staleKeyIds), src/http/adminApi.ts — tests/px/identityAndWindows.test.ts: k1 → k2 readable and re-writable; idempotent</t>
  </si>
  <si>
    <t xml:space="preserve">Yes — /ops/rotate-keys</t>
  </si>
  <si>
    <t xml:space="preserve">ST-125</t>
  </si>
  <si>
    <t xml:space="preserve">Atomic incident ids on the declare path: claim from the shared SequenceAllocator; production refuses a workflow registry without it (PX-013)</t>
  </si>
  <si>
    <t xml:space="preserve">src/app/workflow.ts, src/composition/runtime.ts — tests/px/edges.test.ts: Four concurrent declares across two runtimes → four distinct ids</t>
  </si>
  <si>
    <t xml:space="preserve">Yes — declare runner</t>
  </si>
  <si>
    <t xml:space="preserve">ST-126</t>
  </si>
  <si>
    <t xml:space="preserve">src/paging/opsgenieImport.ts (planned)</t>
  </si>
  <si>
    <t xml:space="preserve">Opsgenie importer: schedules, escalation policies, teams, integrations from an Opsgenie export</t>
  </si>
  <si>
    <t xml:space="preserve">src/paging/opsgenieImport.ts (planned) — planned: tests/px/opsgenieImport.test.ts: Migration wedge — window closes 05/04/2027 (D-OC7)</t>
  </si>
  <si>
    <t xml:space="preserve">No — not built</t>
  </si>
  <si>
    <t xml:space="preserve">ST-127</t>
  </si>
  <si>
    <t xml:space="preserve">planned</t>
  </si>
  <si>
    <t xml:space="preserve">Opsgenie mapping report + dry-run mode: shows the customer exactly what will and will not transfer before anything is written</t>
  </si>
  <si>
    <t xml:space="preserve">planned — planned: Exit: a real Opsgenie export imported into a real workspace with a diff report</t>
  </si>
  <si>
    <t xml:space="preserve">ST-128</t>
  </si>
  <si>
    <t xml:space="preserve">docs/LISTING_COPY.md (planned section)</t>
  </si>
  <si>
    <t xml:space="preserve">Opsgenie migration landing page + comparison copy (banded flat pricing, 'your whole workspace, one price')</t>
  </si>
  <si>
    <t xml:space="preserve">docs/LISTING_COPY.md (planned section) — doc review: Positioning per review §3.4</t>
  </si>
  <si>
    <t xml:space="preserve">n/a — launch artefact</t>
  </si>
  <si>
    <t xml:space="preserve">ST-129</t>
  </si>
  <si>
    <t xml:space="preserve">src/core/degradation.ts (planned)</t>
  </si>
  <si>
    <t xml:space="preserve">Persisted replay queue for degraded platform ops + leased replay job on breaker close (PX-014)</t>
  </si>
  <si>
    <t xml:space="preserve">src/core/degradation.ts (planned) — planned: A12 open item</t>
  </si>
  <si>
    <t xml:space="preserve">ST-130</t>
  </si>
  <si>
    <t xml:space="preserve">src/events/receiver.ts (planned)</t>
  </si>
  <si>
    <t xml:space="preserve">EventReceiver retry queue registered with Lifecycle once the event handler does real work (PX-015)</t>
  </si>
  <si>
    <t xml:space="preserve">src/events/receiver.ts (planned) — planned: A12 open item; low risk today</t>
  </si>
  <si>
    <t xml:space="preserve">V037 note: reachability of ST-001..ST-100 is deliberately unchanged from V036 (54 Done AND reachable). PX-S0..S2 make the platform adapters drop-ins — they do not wire them; that is S38 and it needs the Slack workspace (SC-06).</t>
  </si>
  <si>
    <t xml:space="preserve">SPRINT STATUS ROLLUP — live formulas over Traceability_Matrix (edit Status col J there)</t>
  </si>
  <si>
    <t xml:space="preserve">Do not edit computed cells. 'Done' counts status Done only; Code-complete is tracked separately. V036 adds the reachability count below: the same stories, counted the way external review CB-01 defines Done. Which number governs is decision D-OC6 — unanswered, so both are published. V037: ranges extended to row 133 (ST-101..ST-130); the PX block below counts the review sprints.</t>
  </si>
  <si>
    <t xml:space="preserve">Focus</t>
  </si>
  <si>
    <t xml:space="preserve">Stories</t>
  </si>
  <si>
    <t xml:space="preserve">Done points</t>
  </si>
  <si>
    <t xml:space="preserve">% points done</t>
  </si>
  <si>
    <t xml:space="preserve">RAG (manual)</t>
  </si>
  <si>
    <t xml:space="preserve">Foundation</t>
  </si>
  <si>
    <t xml:space="preserve">GREEN — done-in-code; live install pending</t>
  </si>
  <si>
    <t xml:space="preserve">/incident declare pt 1</t>
  </si>
  <si>
    <t xml:space="preserve">GREEN</t>
  </si>
  <si>
    <t xml:space="preserve">declare pt 2 + paging start</t>
  </si>
  <si>
    <t xml:space="preserve">Responder paging</t>
  </si>
  <si>
    <t xml:space="preserve">Timeline + alpha hardening</t>
  </si>
  <si>
    <t xml:space="preserve">Billing + AI postmortem</t>
  </si>
  <si>
    <t xml:space="preserve">GREEN — Stripe live pending</t>
  </si>
  <si>
    <t xml:space="preserve">Private beta</t>
  </si>
  <si>
    <t xml:space="preserve">GREEN — partner recruitment = Senthil</t>
  </si>
  <si>
    <t xml:space="preserve">Beta iteration + status page</t>
  </si>
  <si>
    <t xml:space="preserve">GREEN — receiver + degradation in</t>
  </si>
  <si>
    <t xml:space="preserve">Marketplace review prep</t>
  </si>
  <si>
    <t xml:space="preserve">AMBER — pen test + assets Senthil-gated</t>
  </si>
  <si>
    <t xml:space="preserve">Review remediation + docs</t>
  </si>
  <si>
    <t xml:space="preserve">AMBER — content Drafted, hosting pending</t>
  </si>
  <si>
    <t xml:space="preserve">Launch</t>
  </si>
  <si>
    <t xml:space="preserve">Iterate &amp; scale decision</t>
  </si>
  <si>
    <t xml:space="preserve">TOTAL (all 130 stories)</t>
  </si>
  <si>
    <t xml:space="preserve">Status split (live, all 130 stories incl. ST-101..ST-130):</t>
  </si>
  <si>
    <t xml:space="preserve">Done (D-OC3: implemented + tested in sandbox) — original 100 stories</t>
  </si>
  <si>
    <t xml:space="preserve">Done AND runtime-reachable (review CB-01)</t>
  </si>
  <si>
    <t xml:space="preserve">The gap is 23 stories whose platform adapters are unwired (CF-002): declare, paging, postmortem drafting and status publishing</t>
  </si>
  <si>
    <t xml:space="preserve">Runtime-reachable: Yes / Partly / No / n/a</t>
  </si>
  <si>
    <t xml:space="preserve">60 / 10 / 17 / 13</t>
  </si>
  <si>
    <t xml:space="preserve">PX sprints (V037) — same live formulas, over ST-101..ST-130:</t>
  </si>
  <si>
    <t xml:space="preserve">Async platform boundary</t>
  </si>
  <si>
    <t xml:space="preserve">GREEN — done</t>
  </si>
  <si>
    <t xml:space="preserve">GREEN — done; ST-112 awaits D-OC8</t>
  </si>
  <si>
    <t xml:space="preserve">Opsgenie migration wedge</t>
  </si>
  <si>
    <t xml:space="preserve">OPEN — needs D-OC7</t>
  </si>
  <si>
    <t xml:space="preserve">(A12 items ST-129)</t>
  </si>
  <si>
    <t xml:space="preserve">(A12 item ST-130)</t>
  </si>
  <si>
    <t xml:space="preserve">OPEN — needs SC-06</t>
  </si>
  <si>
    <t xml:space="preserve">Done (D-OC3) incl. PX stories</t>
  </si>
  <si>
    <t xml:space="preserve">Done AND runtime-reachable (CB-01), original 100 stories</t>
  </si>
  <si>
    <t xml:space="preserve">Unchanged by design: PX-S0..S2 make adapters drop-ins; S38 wires them</t>
  </si>
  <si>
    <t xml:space="preserve">RAID — seeded from v007 Risk_Register + build findings</t>
  </si>
  <si>
    <t xml:space="preserve">Type</t>
  </si>
  <si>
    <t xml:space="preserve">Raised</t>
  </si>
  <si>
    <t xml:space="preserve">Notes / Mitigation</t>
  </si>
  <si>
    <t xml:space="preserve">R-O1</t>
  </si>
  <si>
    <t xml:space="preserve">Risk</t>
  </si>
  <si>
    <t xml:space="preserve">incident.io/Rootly move down-market on price (High/Medium)</t>
  </si>
  <si>
    <t xml:space="preserve">Open</t>
  </si>
  <si>
    <t xml:space="preserve">40-50% price gap + AI postmortems bundled with status page; 50-500 eng niche focus</t>
  </si>
  <si>
    <t xml:space="preserve">R-O2</t>
  </si>
  <si>
    <t xml:space="preserve">Slack platform pricing/API changes post-Salesforce (Medium/Medium)</t>
  </si>
  <si>
    <t xml:space="preserve">Events architecture abstracted behind receiver + client interfaces; export path shipped (ST-069)</t>
  </si>
  <si>
    <t xml:space="preserve">R-O3</t>
  </si>
  <si>
    <t xml:space="preserve">Bottom-up adoption stalls without champion (Medium/High)</t>
  </si>
  <si>
    <t xml:space="preserve">Champion enablement kit planned; free tier for 1 service under consideration (pricing = Senthil)</t>
  </si>
  <si>
    <t xml:space="preserve">R-O4</t>
  </si>
  <si>
    <t xml:space="preserve">Constraint</t>
  </si>
  <si>
    <t xml:space="preserve">22:22</t>
  </si>
  <si>
    <t xml:space="preserve">Sandbox has no Postgres/live Slack — persistence in-memory behind repository interfaces; Slack/PD/Stripe/AI behind provider interfaces</t>
  </si>
  <si>
    <t xml:space="preserve">Adapters at deploy (D-OC1); domain code untouched by swap; 5 stories held at Code-complete not Done</t>
  </si>
  <si>
    <t xml:space="preserve">R-O5</t>
  </si>
  <si>
    <t xml:space="preserve">22:55</t>
  </si>
  <si>
    <t xml:space="preserve">Slack signature scheme implemented per published v0 HMAC spec; burst/retry behaviour of real Events API unverified</t>
  </si>
  <si>
    <t xml:space="preserve">Verify at live install (V9-12); receiver dedupe makes Slack redelivery safe by design</t>
  </si>
  <si>
    <t xml:space="preserve">R-O6</t>
  </si>
  <si>
    <t xml:space="preserve">PD/Opsgenie partner certification requirements may force scope changes</t>
  </si>
  <si>
    <t xml:space="preserve">Adapter interface isolates changes; certification tracked in Gate LC-5</t>
  </si>
  <si>
    <t xml:space="preserve">A-O1</t>
  </si>
  <si>
    <t xml:space="preserve">Assumption</t>
  </si>
  <si>
    <t xml:space="preserve">D13 (interviews parked, 100% coverage) applies to this wave-3 product</t>
  </si>
  <si>
    <t xml:space="preserve">Per Senthil 22:22 directive pattern across all eight builds</t>
  </si>
  <si>
    <t xml:space="preserve">A-O2</t>
  </si>
  <si>
    <t xml:space="preserve">D15 mode (hold-serial vs formal-parallel) pending — eight builds concurrent</t>
  </si>
  <si>
    <t xml:space="preserve">Senthil to ratify; R1 serial rule formally intact until then</t>
  </si>
  <si>
    <t xml:space="preserve">R-O7</t>
  </si>
  <si>
    <t xml:space="preserve">23:10</t>
  </si>
  <si>
    <t xml:space="preserve">jest.config.js broken by an inline node -e string edit during v010 build; caught by the gate run, fixed pre-release</t>
  </si>
  <si>
    <t xml:space="preserve">Process rule: config files are rewritten whole, never string-patched inline; gate run after every config touch</t>
  </si>
  <si>
    <t xml:space="preserve">A-O3</t>
  </si>
  <si>
    <t xml:space="preserve">23:57</t>
  </si>
  <si>
    <t xml:space="preserve">Next session starts 2026-09-11 08:15 (03:50 superseded per Senthil 23:57)</t>
  </si>
  <si>
    <t xml:space="preserve">Session_Handoff sheet is the pickup point</t>
  </si>
  <si>
    <t xml:space="preserve">R-O8</t>
  </si>
  <si>
    <t xml:space="preserve">12:51</t>
  </si>
  <si>
    <t xml:space="preserve">jest docblock @jest-environment pragma merged following comment lines into the environment name; suite failed to load; caught by gate run</t>
  </si>
  <si>
    <t xml:space="preserve">Rule: env pragma docblock contains ONLY the pragma; comments go outside</t>
  </si>
  <si>
    <t xml:space="preserve">L-OC1</t>
  </si>
  <si>
    <t xml:space="preserve">13/09</t>
  </si>
  <si>
    <t xml:space="preserve">A published policy is not a shipped feature: the trust page promised 30-day deletion while the code only stored a date. Grep every published promise for its executing code path</t>
  </si>
  <si>
    <t xml:space="preserve">Applied here (F-009); worth repeating on any product whose trust page claims deletion or export</t>
  </si>
  <si>
    <t xml:space="preserve">L-OC2</t>
  </si>
  <si>
    <t xml:space="preserve">A passing test can pin a defect: two paging tests asserted the throw-away contract that WAS the bug, so the suite defended it. When a fix breaks old tests, check which contract is right before "fixing" the test</t>
  </si>
  <si>
    <t xml:space="preserve">Tests rewritten with in-file rationale</t>
  </si>
  <si>
    <t xml:space="preserve">R-O9</t>
  </si>
  <si>
    <t xml:space="preserve">Three defects (VER-OC1..OC3) were invisible to a 100%-covered suite because they were contract mismatches with the live platform, not logic errors</t>
  </si>
  <si>
    <t xml:space="preserve">Mitigation: doc-verification sweeps repeat before submission and after any Slack platform changelog entry</t>
  </si>
  <si>
    <t xml:space="preserve">100% coverage over modules proves the modules work, not that a product exists: every test called classes directly, so nothing noticed there was no server and no schema. Audit artifacts against docs, not only code against tests</t>
  </si>
  <si>
    <t xml:space="preserve">Applied here (GAP-OC1/OC2); repeat before any submission</t>
  </si>
  <si>
    <t xml:space="preserve">L-OC4</t>
  </si>
  <si>
    <t xml:space="preserve">New surfaces inherit old blind spots: the HTTP layer was one release old and carried two CRITICAL defects that sibling products had already found elsewhere. Review any newly added layer against the portfolio defect ledger before calling a product done</t>
  </si>
  <si>
    <t xml:space="preserve">Applied here (F-014/F-015 from MeetSync M-F04/M-F15)</t>
  </si>
  <si>
    <t xml:space="preserve">R-O10</t>
  </si>
  <si>
    <t xml:space="preserve">Tenant isolation is now correct in-process only — every store is still in-memory behind interfaces, so isolation must be re-verified when the Postgres adapters land</t>
  </si>
  <si>
    <t xml:space="preserve">Schema already scopes rows by team_id with cascade deletes; verify at live wiring</t>
  </si>
  <si>
    <t xml:space="preserve">L-OC5</t>
  </si>
  <si>
    <t xml:space="preserve">Comparing the spec to the code found a defect that 213 passing tests could not: enforcement without assignment. Audit the artifacts against the code periodically, not just the code against the tests</t>
  </si>
  <si>
    <t xml:space="preserve">Applied here (F-018 surfaced by the AB audit)</t>
  </si>
  <si>
    <t xml:space="preserve">R-O11</t>
  </si>
  <si>
    <t xml:space="preserve">Telemetry is process-local, so none of the six metric targets can be reported end to end — the S12 kill/continue gate would have no evidence at launch</t>
  </si>
  <si>
    <t xml:space="preserve">Needs the Postgres adapter (V16-06) or an explicit decision to launch blind for one cycle</t>
  </si>
  <si>
    <t xml:space="preserve">Building a layer is not integrating it. After adding any new layer, grep for its callers before moving on — the read side shipped without a write side and every test still passed. Make new collaborators REQUIRED, never optional</t>
  </si>
  <si>
    <t xml:space="preserve">Applied here (F-019); the third time this class has appeared in the portfolio</t>
  </si>
  <si>
    <t xml:space="preserve">L-OC7</t>
  </si>
  <si>
    <t xml:space="preserve">"Done" meant "the module is tested", not "a user can reach it". Five stories passed their gate while no path invoked them. A story is only done when a caller audit shows the live surface reaches it — worth applying across the portfolio</t>
  </si>
  <si>
    <t xml:space="preserve">Applied here (F-020)</t>
  </si>
  <si>
    <t xml:space="preserve">Story statuses across the build were assigned on module completeness, so other products may carry the same class of overstatement</t>
  </si>
  <si>
    <t xml:space="preserve">Recommend a caller audit on each sibling before any submission</t>
  </si>
  <si>
    <t xml:space="preserve">L-OC8</t>
  </si>
  <si>
    <t xml:space="preserve">Correcting a number downward is cheaper than defending it later: the Done count moved 77 -&gt; 70 once "Done" required user-reachability. Define the status vocabulary before the first sprint, not at the twentieth release</t>
  </si>
  <si>
    <t xml:space="preserve">Applied here (AB-4); recommend the same vocabulary across the portfolio</t>
  </si>
  <si>
    <t xml:space="preserve">The orphan class has now appeared four times (F-019 repositories, F-020 features, F-021 capabilities, F-024 controls) and twice in code I wrote minutes earlier. Rule adopted: any sprint that adds a surface, layer or control ends by grepping for its callers before the release is cut — not next sprint</t>
  </si>
  <si>
    <t xml:space="preserve">Applied from v025 onward; worth adopting portfolio-wide</t>
  </si>
  <si>
    <t xml:space="preserve">R-O13</t>
  </si>
  <si>
    <t xml:space="preserve">A malformed test expression silently removed 14 tests from a run while every remaining test passed. Coverage held at 100% because the removed tests were redundant for coverage but not for meaning</t>
  </si>
  <si>
    <t xml:space="preserve">Mitigation in use: watch the test COUNT between runs, not just pass/fail and coverage</t>
  </si>
  <si>
    <t xml:space="preserve">The most dangerous orphan is the one behind a published promise. F-025 was a security claim on the trust page resting on code nothing called, and a coverage gate can never see it. Any story whose acceptance is a customer-facing assertion needs a caller check, not just a test</t>
  </si>
  <si>
    <t xml:space="preserve">Applied here; recommended for the siblings, several of which claim encryption at rest on the same basis</t>
  </si>
  <si>
    <t xml:space="preserve">L-OC11</t>
  </si>
  <si>
    <t xml:space="preserve">Maintaining state is not enforcing it. Three separate promises — read-only, plan limits, retention — each had correct state and no gate. The pattern to check on every product: for each customer-facing claim, find the line of code that REFUSES the thing the claim forbids</t>
  </si>
  <si>
    <t xml:space="preserve">Applied here; the siblings sell the same billing promises and are worth the same check</t>
  </si>
  <si>
    <t xml:space="preserve">L-OC12</t>
  </si>
  <si>
    <t xml:space="preserve">Test the claims you wrote yourself. The runbook asserted rollback was safe because replays are deduped; checking that one sentence uncovered a data-corrupting defect. Every confident operational claim in a runbook is a testable hypothesis</t>
  </si>
  <si>
    <t xml:space="preserve">Applied here; the siblings have equivalent runbook claims and in-memory state</t>
  </si>
  <si>
    <t xml:space="preserve">Roles and the dedupe ledger now HAVE restore hooks but no persistent store behind them — restart safety is designed, not yet operational, until the Postgres adapters land (V28-08)</t>
  </si>
  <si>
    <t xml:space="preserve">Do not deploy blue/green until the adapters are wired, or the F-030/F-031 failures return in production</t>
  </si>
  <si>
    <t xml:space="preserve">L-OC13</t>
  </si>
  <si>
    <t xml:space="preserve">"Fixed" needs a scope. The v028 id fix was correct for restarts and I reported it as fixed full stop; the same defect was still live under concurrency. State the conditions a fix holds under, and test the condition the deployment actually creates</t>
  </si>
  <si>
    <t xml:space="preserve">Applied here (F-033); the siblings share the id-generation pattern</t>
  </si>
  <si>
    <t xml:space="preserve">Entitlement usage is per-replica (F-035) — two instances each count to the cap, so a workspace can exceed its plan. Mitigation until fixed: run a single replica</t>
  </si>
  <si>
    <t xml:space="preserve">Explicit and accepted, not hidden; fix is one sprint</t>
  </si>
  <si>
    <t xml:space="preserve">L-OC14</t>
  </si>
  <si>
    <t xml:space="preserve">A fake you wrote to match your own code proves nothing. Both adapters had been "contract-verified" for six sprints against a fake that agreed with whatever I had written; one real SQL engine found a critical FK defect, a NOT NULL contradiction and an unnecessary engine-specific operator in minutes</t>
  </si>
  <si>
    <t xml:space="preserve">Applied here; every sibling with a Pg adapter and a hand-written fake has the same blind spot</t>
  </si>
  <si>
    <t xml:space="preserve">L-OC15</t>
  </si>
  <si>
    <t xml:space="preserve">Check whether an item on someone else’s list is actually yours to do. V32-07 sat as a Senthil item because a real database sounded like infrastructure; it took fifteen minutes in the container and proved the concurrency guarantees the whole design rests on</t>
  </si>
  <si>
    <t xml:space="preserve">Worth re-reading every sibling handover for items parked as "needs infrastructure"</t>
  </si>
  <si>
    <t xml:space="preserve">R-O16</t>
  </si>
  <si>
    <t xml:space="preserve">No platform adapter is wired (CF-002): Slack, PagerDuty, AI and the status page are all named stubs, so the product cannot complete a single incident in a real workspace.</t>
  </si>
  <si>
    <t xml:space="preserve">Now explicit rather than commented: production boot refuses and names each one. Closing it is S37-S38 and needs the Slack workspace.</t>
  </si>
  <si>
    <t xml:space="preserve">R-O17</t>
  </si>
  <si>
    <t xml:space="preserve">Opsgenie support ends 5 Apr 2027 (CF-019); new sales have already stopped.</t>
  </si>
  <si>
    <t xml:space="preserve">D-OC7 raised. Migration connector as a wedge; PagerDuty/JSM/Compass as primary targets.</t>
  </si>
  <si>
    <t xml:space="preserve">R-O18</t>
  </si>
  <si>
    <t xml:space="preserve">Enterprise positioning is not supportable: no SSO/SCIM/Grid, no KMS, no pen test, no live evidence (CF-012, CF-016, CF-017).</t>
  </si>
  <si>
    <t xml:space="preserve">Gate G0 from the review adopted: do not market as enterprise-ready until S42-S44 and S48 close.</t>
  </si>
  <si>
    <t xml:space="preserve">A gate that excludes the composition root proves nothing about the product. tsconfig covered src/**; jest excluded scripts/; the runtime could not compile and the suite was green.</t>
  </si>
  <si>
    <t xml:space="preserve">Fixed here. Run the same one-line check on every sibling before trusting its green suite.</t>
  </si>
  <si>
    <t xml:space="preserve">A test that asserts the defect will defend it. The 202 assertion in the security suite made an unreachable dashboard look correct.</t>
  </si>
  <si>
    <t xml:space="preserve">When a test asserts a transport shape instead of a value, ask what value belongs there.</t>
  </si>
  <si>
    <t xml:space="preserve">L-OC18</t>
  </si>
  <si>
    <t xml:space="preserve">The first genuinely independent review found ten blockers in a package that had passed twenty-eight internal releases and four self-reviews. Self-review has a floor and this was it.</t>
  </si>
  <si>
    <t xml:space="preserve">SC-09 is not a formality. Every sibling should get an external pass before its submission claim.</t>
  </si>
  <si>
    <t xml:space="preserve">R-O19</t>
  </si>
  <si>
    <t xml:space="preserve">20/09</t>
  </si>
  <si>
    <t xml:space="preserve">Market: incident.io's free Basic tier (Slack-native response, single-team on-call, status page) already covers four of the five modules; the flat-per-workspace wedge is already shipped by Incident/Ops. The differentiator must be S45 (evidence-linked postmortems, incident memory), not 'Slack-native'.</t>
  </si>
  <si>
    <t xml:space="preserve">S45 elevated to primary differentiator; positioning rewritten around seat-count independence (83-99% gap for the ICP) and bands (D-OC8)</t>
  </si>
  <si>
    <t xml:space="preserve">R-O20</t>
  </si>
  <si>
    <t xml:space="preserve">Flat $99 destroys expansion revenue: at M18 the computed model needs 305 paying workspaces (≈12 per median Rootly contract, ≈28 per median FireHydrant contract) and ~$215k of runway to reach a $444 monthly surplus.</t>
  </si>
  <si>
    <t xml:space="preserve">Financial model computed (PX-009); bands restore NRR (D-OC8); S49 price tests on the banded model; runway need stated plainly in the workbook</t>
  </si>
  <si>
    <t xml:space="preserve">R-O21</t>
  </si>
  <si>
    <t xml:space="preserve">Opsgenie migration window (support ends 05/04/2027) expires before the product can be sold into it if the importer stays at S41.</t>
  </si>
  <si>
    <t xml:space="preserve">PX-S3 created and sequenced right after S40; needs D-OC7 ratified</t>
  </si>
  <si>
    <t xml:space="preserve">R-O22</t>
  </si>
  <si>
    <t xml:space="preserve">PX-013: F-033's atomic id allocator was fully tested and never on the declare path — found by audit v3 A10 run against our own fix, not by either reviewer.</t>
  </si>
  <si>
    <t xml:space="preserve">Fixed in v0.37.0; production refuses a registry without the allocator; rule: run the tool AFTER every remediation</t>
  </si>
  <si>
    <t xml:space="preserve">R-O23</t>
  </si>
  <si>
    <t xml:space="preserve">PX-014: the degradation replay queue is in memory and nothing replays it; PX-015: the receiver retry queue is not drained at shutdown (low risk while the runtime handler never fails).</t>
  </si>
  <si>
    <t xml:space="preserve">ST-129 (S42), ST-130 (S38); A12 keeps them visible on every run</t>
  </si>
  <si>
    <t xml:space="preserve">R-O24</t>
  </si>
  <si>
    <t xml:space="preserve">Band enforcement (D-OC8) depends on users.list from the real Slack adapter; until S38 the engineer count is unknown and no workspace is ever 'over' its band.</t>
  </si>
  <si>
    <t xml:space="preserve">Documented in PRICING_FAQ and billing.ts; S38 records the count at install and daily</t>
  </si>
  <si>
    <t xml:space="preserve">L-OC19</t>
  </si>
  <si>
    <t xml:space="preserve">A green gate over a well-built core still hides the next layer down: PX-001..004 were only findable BECAUSE CF-001..015 had been fixed. A second reviewer from a different vendor finds a different class; budget for a third (S50).</t>
  </si>
  <si>
    <t xml:space="preserve">Applied; SC-09 now 'served twice, needs a third for launch'</t>
  </si>
  <si>
    <t xml:space="preserve">L-OC20</t>
  </si>
  <si>
    <t xml:space="preserve">'Two enforcement methods, one wired' appeared three times in one product (claimWrite/checkWrite, rotate/addKey, claimNext/local counter). Coverage of both methods proves nothing about which one is deployed. One test that builds the production composition and asserts the OUTCOME is worth more than a hundred that test the methods.</t>
  </si>
  <si>
    <t xml:space="preserve">tests/px/enforcementWiring; audit A10; playbook check 9 — recommended for every sibling</t>
  </si>
  <si>
    <t xml:space="preserve">L-OC21</t>
  </si>
  <si>
    <t xml:space="preserve">Sequencing is a finding. The review's most valuable sentence was not a defect but an order: convert the boundary BEFORE the adapters, or the adapters sprint becomes a core-contract migration discovered mid-way. Nine interfaces and 26 suites changed; had S38 started first, all of it would have been re-work.</t>
  </si>
  <si>
    <t xml:space="preserve">PX-S0 done first; playbook check 10 + A13 for the siblings</t>
  </si>
  <si>
    <t xml:space="preserve">L-OC22</t>
  </si>
  <si>
    <t xml:space="preserve">A gate that has only ever refused has never been shown to work. Proving it PERMITS a fully-faked-but-healthy composition is what made the probe trustworthy — and exposed that the name regex alone would have let a 'StdoutResponseUrlPoster' through.</t>
  </si>
  <si>
    <t xml:space="preserve">tests/px/providerGate; CI package job now asserts a successful development boot as well as the production refusal</t>
  </si>
  <si>
    <t xml:space="preserve">COMPLETION GATE (D7) — OnCall Copilot is DONE only when every row closes</t>
  </si>
  <si>
    <t xml:space="preserve">R2: code complete counts for nothing. Gate decision = Senthil, on evidence Claude prepares.</t>
  </si>
  <si>
    <t xml:space="preserve">Gate item</t>
  </si>
  <si>
    <t xml:space="preserve">Source</t>
  </si>
  <si>
    <t xml:space="preserve">G-01</t>
  </si>
  <si>
    <t xml:space="preserve">App LISTED on Slack App Directory (approved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</si>
  <si>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</si>
  <si>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</si>
  <si>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</si>
  <si>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</si>
  <si>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</si>
  <si>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</si>
  <si>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G-04</t>
  </si>
  <si>
    <t xml:space="preserve">Kill/continue decision recorded by Senthil</t>
  </si>
  <si>
    <t xml:space="preserve">R5 / D10</t>
  </si>
  <si>
    <t xml:space="preserve">G-05</t>
  </si>
  <si>
    <t xml:space="preserve">On CONTINUE: next-rank build authorised; OnCall Copilot enters maintenance rule</t>
  </si>
  <si>
    <t xml:space="preserve">N4 / R1</t>
  </si>
  <si>
    <t xml:space="preserve">LC-1</t>
  </si>
  <si>
    <t xml:space="preserve">Slack app manifest finalized; granular scopes minimal + justified</t>
  </si>
  <si>
    <t xml:space="preserve">v007 LC #1</t>
  </si>
  <si>
    <t xml:space="preserve">Code-complete — manifest.json drafted with exact ST-064 scopes (DEV_WORKSPACE_SETUP.md); finalize at live install</t>
  </si>
  <si>
    <t xml:space="preserve">LC-2</t>
  </si>
  <si>
    <t xml:space="preserve">App Directory review: security questionnaire, scope rationale, support URL</t>
  </si>
  <si>
    <t xml:space="preserve">v007 LC #2</t>
  </si>
  <si>
    <t xml:space="preserve">Open — trust page Drafted feeds this</t>
  </si>
  <si>
    <t xml:space="preserve">LC-3</t>
  </si>
  <si>
    <t xml:space="preserve">Enterprise Grid + org-wide install flows tested in sandbox</t>
  </si>
  <si>
    <t xml:space="preserve">v007 LC #3</t>
  </si>
  <si>
    <t xml:space="preserve">Open — needs live Slack sandbox</t>
  </si>
  <si>
    <t xml:space="preserve">LC-4</t>
  </si>
  <si>
    <t xml:space="preserve">Socket Mode vs Events API decision documented; retry/dedupe at burst load</t>
  </si>
  <si>
    <t xml:space="preserve">v007 LC #4</t>
  </si>
  <si>
    <t xml:space="preserve">Code-complete — D-OC2 + receiver tests; live burst validation pending</t>
  </si>
  <si>
    <t xml:space="preserve">LC-5</t>
  </si>
  <si>
    <t xml:space="preserve">PagerDuty + Opsgenie integrations certified against partner requirements</t>
  </si>
  <si>
    <t xml:space="preserve">v007 LC #5</t>
  </si>
  <si>
    <t xml:space="preserve">Open — adapters ready behind async contracts; five provider ids; PX-S3 importer first, then S41 certification</t>
  </si>
  <si>
    <t xml:space="preserve">LC-6</t>
  </si>
  <si>
    <t xml:space="preserve">Incident data retention policy + export/delete self-serve</t>
  </si>
  <si>
    <t xml:space="preserve">v007 LC #6</t>
  </si>
  <si>
    <t xml:space="preserve">Code-complete — ST-069 shipped; policy Drafted in trust page</t>
  </si>
  <si>
    <t xml:space="preserve">LC-7</t>
  </si>
  <si>
    <t xml:space="preserve">Block Kit surfaces pass accessibility review</t>
  </si>
  <si>
    <t xml:space="preserve">v007 LC #7</t>
  </si>
  <si>
    <t xml:space="preserve">Open — needs live surfaces (ST-089)</t>
  </si>
  <si>
    <t xml:space="preserve">LC-8</t>
  </si>
  <si>
    <t xml:space="preserve">Status page publish integration tested (Statuspage/instatus class)</t>
  </si>
  <si>
    <t xml:space="preserve">v007 LC #8</t>
  </si>
  <si>
    <t xml:space="preserve">Code-complete — publisher interface + tests; live vendor pending</t>
  </si>
  <si>
    <t xml:space="preserve">LC-9</t>
  </si>
  <si>
    <t xml:space="preserve">Directory listing assets: icon, screenshots, demo GIF per guidelines</t>
  </si>
  <si>
    <t xml:space="preserve">v007 LC #9</t>
  </si>
  <si>
    <t xml:space="preserve">Open — copy Drafted (ST-093); visual assets = Senthil</t>
  </si>
  <si>
    <t xml:space="preserve">G-00</t>
  </si>
  <si>
    <t xml:space="preserve">Do not submit or market as enterprise-ready until the review P0 set closes (review gate G0)</t>
  </si>
  <si>
    <t xml:space="preserve">Review V001 / G0</t>
  </si>
  <si>
    <t xml:space="preserve">BLOCKING — S36, S39 and Phase 0 (PX-S0..S2) closed; S37 code-complete; S38, S40, S41 open. The claim stays withdrawn; nothing in V037 moves enterprise readiness (3.0/10 by both reviewers)</t>
  </si>
  <si>
    <t xml:space="preserve">G-06</t>
  </si>
  <si>
    <t xml:space="preserve">Production boot gate passes with real adapters (no stub named in /ops/composition)</t>
  </si>
  <si>
    <t xml:space="preserve">Review V001 / CB-02</t>
  </si>
  <si>
    <t xml:space="preserve">Open — the gate now probes healthcheck() as well as names, and is PROVEN to permit a healthy composition (tests/px/providerGate). It correctly refuses today and names all ten providers</t>
  </si>
  <si>
    <t xml:space="preserve">G-07</t>
  </si>
  <si>
    <t xml:space="preserve">Independent external review findings all dispositioned and the P0 set closed</t>
  </si>
  <si>
    <t xml:space="preserve">Review V001 / G2</t>
  </si>
  <si>
    <t xml:space="preserve">In progress — 20 CF findings: 9 fixed, 3 partial, 8 open; 15 PX findings: 12 fixed, 1 addressed (D-OC8 open), 2 open with owners (S42/S38)</t>
  </si>
  <si>
    <t xml:space="preserve">G-08</t>
  </si>
  <si>
    <t xml:space="preserve">Second independent review dispositioned and its Phase 0 (PX-S0..PX-S2) closed before any adapter sprint starts</t>
  </si>
  <si>
    <t xml:space="preserve">Review PX V001 / §6 principle 1</t>
  </si>
  <si>
    <t xml:space="preserve">CLOSED 20/09 — Phase 0 done in v0.37.0; S37+ untouched until it closed</t>
  </si>
  <si>
    <t xml:space="preserve">G-09</t>
  </si>
  <si>
    <t xml:space="preserve">Financial model computed and its answer read before S49 pricing validation (305 workspaces / ~$215k runway / $444 surplus at M18)</t>
  </si>
  <si>
    <t xml:space="preserve">Review PX V001 / §3.5</t>
  </si>
  <si>
    <t xml:space="preserve">CLOSED 20/09 — computed with sensitivities; S49 brief must start from it</t>
  </si>
  <si>
    <t xml:space="preserve">DECISION BRIEF — three decisions behind five open items (13/09/2026 11:31)</t>
  </si>
  <si>
    <t xml:space="preserve">Full reasoning in docs/DECISION_BRIEF.md. Answering all three takes one message.</t>
  </si>
  <si>
    <t xml:space="preserve">Options</t>
  </si>
  <si>
    <t xml:space="preserve">Recommendation</t>
  </si>
  <si>
    <t xml:space="preserve">Unblocks</t>
  </si>
  <si>
    <t xml:space="preserve">Cost if taken</t>
  </si>
  <si>
    <t xml:space="preserve">Re-resolve / reopen semantics — currently an incident can be resolved twice, overwriting resolvedAt, so MTTR drifts silently</t>
  </si>
  <si>
    <t xml:space="preserve">A: lock resolvedAt, add a reopened state | B: forbid reopening | C: leave, and label MTTR approximate</t>
  </si>
  <si>
    <t xml:space="preserve">A — truthful MTTR, responders keep the escape hatch</t>
  </si>
  <si>
    <t xml:space="preserve">Remediation release</t>
  </si>
  <si>
    <t xml:space="preserve">~2 pts</t>
  </si>
  <si>
    <t xml:space="preserve">Circuit breaker resumes full traffic after cooldown with no half-open probe (same observation on FlowCast, VoiceBridge, MeetSync — decide once, apply portfolio-wide)</t>
  </si>
  <si>
    <t xml:space="preserve">A: single probe in half-open | B: leave as is</t>
  </si>
  <si>
    <t xml:space="preserve">A — standard pattern, low risk</t>
  </si>
  <si>
    <t xml:space="preserve">Remediation release + 3 siblings</t>
  </si>
  <si>
    <t xml:space="preserve">Degradation replay queue is unbounded during an extended outage</t>
  </si>
  <si>
    <t xml:space="preserve">A: cap + drop oldest with a counter | B: refuse new ops and tell the user</t>
  </si>
  <si>
    <t xml:space="preserve">A — consistent with the dedupe and error ledgers</t>
  </si>
  <si>
    <t xml:space="preserve">~1 pt</t>
  </si>
  <si>
    <t xml:space="preserve">Rendered web front-end, or Slack-first with the API only?</t>
  </si>
  <si>
    <t xml:space="preserve">A: ship Slack-first, defer the front-end | B: build it now</t>
  </si>
  <si>
    <t xml:space="preserve">A — Slack is the product surface; the admin/dashboard API already covers settings and analytics, and A removes SC-12 from the critical path</t>
  </si>
  <si>
    <t xml:space="preserve">SC-10 partly, SC-12 entirely, submission timing</t>
  </si>
  <si>
    <t xml:space="preserve">A: 0 pts | B: ~13 pts + delay</t>
  </si>
  <si>
    <t xml:space="preserve">Sequencing: hold-serial vs formal-parallel across nine concurrent builds</t>
  </si>
  <si>
    <t xml:space="preserve">A: hold-serial | B: formal-parallel</t>
  </si>
  <si>
    <t xml:space="preserve">No recommendation — depends on hours you can give. But leaving it unratified is the worst option: the R1 serial rule is formally intact while nine products behave otherwise</t>
  </si>
  <si>
    <t xml:space="preserve">Whether I keep building siblings or stop and wait on live runs</t>
  </si>
  <si>
    <t xml:space="preserve">Decision only</t>
  </si>
  <si>
    <t xml:space="preserve">STATUS 13/09 11:33: F-005, F-006 and F-007 answered (Option A each) and implemented in v023. V17-08 and D15 remain open.</t>
  </si>
  <si>
    <t xml:space="preserve">STATUS 13/09 11:38: F-005/F-006/F-007 implemented (v023). V17-08 RATIFIED Option A and implemented (v024). D15 is the only decision still open.</t>
  </si>
  <si>
    <t xml:space="preserve">Which definition of Done governs (D-OC3 sandbox-tested vs review CB-01 runtime-reachable)</t>
  </si>
  <si>
    <t xml:space="preserve">A: keep D-OC3, publish reachability alongside | B: adopt CB-01 and restate the count as 54 | C: adopt CB-01 for this product only</t>
  </si>
  <si>
    <t xml:space="preserve">A — both numbers are now published, and changing the vocabulary on one of eight trackers costs more than it clarifies. Revisit at S38, when the 23 unreachable stories become reachable anyway.</t>
  </si>
  <si>
    <t xml:space="preserve">The headline status number and how the portfolio board reads</t>
  </si>
  <si>
    <t xml:space="preserve">Opsgenie: deep integration or migration wedge</t>
  </si>
  <si>
    <t xml:space="preserve">A: migration connector + PagerDuty/JSM/Compass primary | B: keep building Opsgenie depth | C: drop Opsgenie entirely</t>
  </si>
  <si>
    <t xml:space="preserve">A — Atlassian ends support 5 Apr 2027, so depth is sunset debt while migration is a reason to switch. C throws away the wedge.</t>
  </si>
  <si>
    <t xml:space="preserve">S41 scope, the F2 story set, LC-5 and the listing copy</t>
  </si>
  <si>
    <t xml:space="preserve">~1 sprint of rework if taken later</t>
  </si>
  <si>
    <t xml:space="preserve">STATUS 13/09 23:13: external review V001 incorporated at codebase v0.36.0. D-OC6 and D-OC7 raised; D15 still unanswered since 10/09.</t>
  </si>
  <si>
    <t xml:space="preserve">Pricing axis: incidents/month vs workspace-size bands</t>
  </si>
  <si>
    <t xml:space="preserve">A: bands ($99/$249/$599/$1,499 by engineer count), fair-use incident ceiling still enforced | B: keep incident caps | C: per-seat</t>
  </si>
  <si>
    <t xml:space="preserve">A — metering a customer's bad days is the wrong axis; bands keep the 80-95% headline gap and restore expansion revenue. Implemented in v0.37.0 behind one table; reversal is a one-line change.</t>
  </si>
  <si>
    <t xml:space="preserve">PLAN_LIMITS, PRICING_FAQ, S40 proration, S49 price tests</t>
  </si>
  <si>
    <t xml:space="preserve">Decision only (implemented, reversible)</t>
  </si>
  <si>
    <t xml:space="preserve">D13 vs S49</t>
  </si>
  <si>
    <t xml:space="preserve">Is discovery still parked for this product?</t>
  </si>
  <si>
    <t xml:space="preserve">A: unpark for OnCall Copilot only (15 interviews, 5 design partners, price tests on bands) | B: keep parked</t>
  </si>
  <si>
    <t xml:space="preserve">A — the computed model says 305 paying workspaces; gate G-02 says 10; neither number has met a customer. Needs calendar time, not code, so it can run in parallel with S37/S38.</t>
  </si>
  <si>
    <t xml:space="preserve">S49, the S12 kill/continue evidence</t>
  </si>
  <si>
    <t xml:space="preserve">STATUS 20/09/2026 13:05: Perplexity review V001 incorporated at codebase v0.37.0. Open: D-OC6 (recommend CB-01 — publish 54), D-OC7 (recommend ratify + PX-S3 now), D-OC8 (recommend bands), D13-vs-S49 (recommend unpark), D15 (open since 10/09). F-005/006/007 already Option A (v023).</t>
  </si>
  <si>
    <t xml:space="preserve">SESSION HANDOFF — 20/09/2026 13:05; Perplexity review V001 incorporated at codebase v0.37.0 / tracker v030 / workbook v037</t>
  </si>
  <si>
    <t xml:space="preserve">#</t>
  </si>
  <si>
    <t xml:space="preserve">Detail</t>
  </si>
  <si>
    <t xml:space="preserve">State at close</t>
  </si>
  <si>
    <t xml:space="preserve">Codebase v0.37.0 — 60 suites / 624 tests (616 run, 8 gated on a real Postgres) at 100% statements, branches, functions and lines over src/ AND scripts/; clean tsc over src+scripts and tests. Phase 0 of the review (PX-S0 async boundary, PX-S1 enforcement, PX-S2 gate blind spots) DONE in the order the review required; 12 of 15 PX findings fixed, 1 addressed pending D-OC8, 2 open with owners. Built artifact: production refuses naming all ten providers and probe results; development boots, serves, drains on SIGTERM (now a CI assertion).</t>
  </si>
  <si>
    <t xml:space="preserve">First action next session</t>
  </si>
  <si>
    <t xml:space="preserve">S37/S38 in that order: (1) the deploy-topology proof against real Postgres — two replicas, kill one mid-declare, assert no lost/duplicated incident (the PX-013 fix is what it soaks); (2) the real Slack adapters — oauth.v2.access, conversations.create, chat.postMessage, views.open, response_url poster, users.list — as DROP-INS behind ProviderSet with healthcheck(), retry/backoff through the breaker and Slack tier limits. Every contract they must satisfy is already async, budgeted and probed; npm run live-sweep is the exit. This needs SC-06.</t>
  </si>
  <si>
    <t xml:space="preserve">Senthil-gated queue</t>
  </si>
  <si>
    <t xml:space="preserve">D-OC6 (CB-01 recommended), D-OC7 (ratify + PX-S3 now — window closes 05/04/2027), D-OC8 (bands — implemented, reversible), D13-vs-S49 (unpark discovery for this product; the computed model needs 305 paying workspaces), D15 (open since 10/09); Slack dev workspace + signing secret (SC-06 — still the single highest-leverage 30 minutes); Stripe keys (SC-07, S40); pen-test vendor (SC-08); a THIRD independent reviewer for S50; listing assets (SC-10/11); licence decision (UNLICENSED, S43).</t>
  </si>
  <si>
    <t xml:space="preserve">Files lineage</t>
  </si>
  <si>
    <t xml:space="preserve">Workbook v007 → v036 (13/09 23:13) → v037 (this release). Tracker v001 → v029 → v030. Codebase v0.36.0 → v0.37.0. External inputs: chatgpt_review_V001 (13/09) and perplexity_review_V001 (16/09 19:32), both incorporated; audit.mjs v3 and PORTFOLIO_AUDIT_PLAYBOOK v3 issued from this product for the nine siblings.</t>
  </si>
  <si>
    <t xml:space="preserve">Rules in force</t>
  </si>
  <si>
    <t xml:space="preserve">D13 (100% coverage over src/ AND scripts/; discovery parked — S49 conflict raised), D-OC4 (tracker at every session close), CB-02 (production refuses stubs — now by name AND by probe), CB-03 (build gate before coverage gate), CB-11 (artefacts generated from the code), and from this release: PX-R1 'one enforcement method on every write path, asserted over the production composition', PX-R2 'no floating promise in src/ or scripts/', PX-R3 'run audit.mjs after every remediation, not only before'.</t>
  </si>
</sst>
</file>

<file path=xl/styles.xml><?xml version="1.0" encoding="utf-8"?>
<styleSheet xmlns="http://schemas.openxmlformats.org/spreadsheetml/2006/main">
  <numFmts count="3">
    <numFmt numFmtId="164" formatCode="General"/>
    <numFmt numFmtId="165" formatCode="0.0%"/>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name val="Arial"/>
      <family val="0"/>
      <charset val="1"/>
    </font>
    <font>
      <b val="true"/>
      <sz val="10"/>
      <name val="Arial"/>
      <family val="0"/>
      <charset val="1"/>
    </font>
    <font>
      <sz val="10"/>
      <name val="Arial"/>
      <family val="0"/>
      <charset val="1"/>
    </font>
    <font>
      <b val="true"/>
      <sz val="12"/>
      <name val="Cambria"/>
      <family val="0"/>
      <charset val="1"/>
    </font>
    <font>
      <sz val="9"/>
      <name val="Cambria"/>
      <family val="0"/>
      <charset val="1"/>
    </font>
    <font>
      <b val="true"/>
      <sz val="10"/>
      <name val="Cambria"/>
      <family val="0"/>
      <charset val="1"/>
    </font>
    <font>
      <sz val="10"/>
      <name val="Cambria"/>
      <family val="0"/>
      <charset val="1"/>
    </font>
    <font>
      <sz val="9"/>
      <name val="Arial"/>
      <family val="0"/>
      <charset val="1"/>
    </font>
  </fonts>
  <fills count="3">
    <fill>
      <patternFill patternType="none"/>
    </fill>
    <fill>
      <patternFill patternType="gray125"/>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7"/>
    <col collapsed="false" customWidth="true" hidden="false" outlineLevel="0" max="3" min="3" style="1" width="20"/>
    <col collapsed="false" customWidth="true" hidden="false" outlineLevel="0" max="4" min="4" style="1" width="110"/>
    <col collapsed="false" customWidth="true" hidden="false" outlineLevel="0" max="5" min="5" style="1" width="10"/>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68.25" hidden="false" customHeight="true" outlineLevel="0" collapsed="false">
      <c r="A4" s="5" t="s">
        <v>7</v>
      </c>
      <c r="B4" s="5" t="s">
        <v>8</v>
      </c>
      <c r="C4" s="5" t="s">
        <v>9</v>
      </c>
      <c r="D4" s="6" t="s">
        <v>10</v>
      </c>
      <c r="E4" s="5" t="s">
        <v>11</v>
      </c>
    </row>
    <row r="5" customFormat="false" ht="23.25" hidden="false" customHeight="true" outlineLevel="0" collapsed="false">
      <c r="A5" s="5" t="s">
        <v>12</v>
      </c>
      <c r="B5" s="5" t="s">
        <v>13</v>
      </c>
      <c r="C5" s="5" t="s">
        <v>9</v>
      </c>
      <c r="D5" s="6" t="s">
        <v>14</v>
      </c>
      <c r="E5" s="5" t="s">
        <v>11</v>
      </c>
    </row>
    <row r="6" customFormat="false" ht="23.25" hidden="false" customHeight="true" outlineLevel="0" collapsed="false">
      <c r="A6" s="5" t="s">
        <v>15</v>
      </c>
      <c r="B6" s="5" t="s">
        <v>16</v>
      </c>
      <c r="C6" s="5" t="s">
        <v>9</v>
      </c>
      <c r="D6" s="6" t="s">
        <v>17</v>
      </c>
      <c r="E6" s="5" t="s">
        <v>11</v>
      </c>
    </row>
    <row r="7" customFormat="false" ht="15" hidden="false" customHeight="true" outlineLevel="0" collapsed="false">
      <c r="A7" s="7" t="s">
        <v>18</v>
      </c>
      <c r="B7" s="7" t="s">
        <v>19</v>
      </c>
      <c r="C7" s="7" t="s">
        <v>9</v>
      </c>
      <c r="D7" s="7" t="s">
        <v>20</v>
      </c>
      <c r="E7" s="7" t="s">
        <v>11</v>
      </c>
    </row>
    <row r="8" customFormat="false" ht="15" hidden="false" customHeight="true" outlineLevel="0" collapsed="false">
      <c r="A8" s="7" t="s">
        <v>21</v>
      </c>
      <c r="B8" s="7" t="s">
        <v>22</v>
      </c>
      <c r="C8" s="7" t="s">
        <v>9</v>
      </c>
      <c r="D8" s="7" t="s">
        <v>23</v>
      </c>
      <c r="E8" s="7" t="s">
        <v>11</v>
      </c>
    </row>
    <row r="9" customFormat="false" ht="15" hidden="false" customHeight="true" outlineLevel="0" collapsed="false">
      <c r="A9" s="7" t="s">
        <v>24</v>
      </c>
      <c r="B9" s="7" t="s">
        <v>25</v>
      </c>
      <c r="C9" s="7" t="s">
        <v>9</v>
      </c>
      <c r="D9" s="7" t="s">
        <v>26</v>
      </c>
      <c r="E9" s="7" t="s">
        <v>11</v>
      </c>
    </row>
    <row r="10" customFormat="false" ht="15" hidden="false" customHeight="true" outlineLevel="0" collapsed="false">
      <c r="A10" s="7" t="s">
        <v>27</v>
      </c>
      <c r="B10" s="7" t="s">
        <v>28</v>
      </c>
      <c r="C10" s="7" t="s">
        <v>9</v>
      </c>
      <c r="D10" s="7" t="s">
        <v>29</v>
      </c>
      <c r="E10" s="7" t="s">
        <v>11</v>
      </c>
    </row>
    <row r="11" customFormat="false" ht="15" hidden="false" customHeight="true" outlineLevel="0" collapsed="false">
      <c r="A11" s="7" t="s">
        <v>30</v>
      </c>
      <c r="B11" s="7" t="s">
        <v>31</v>
      </c>
      <c r="C11" s="7" t="s">
        <v>9</v>
      </c>
      <c r="D11" s="7" t="s">
        <v>32</v>
      </c>
      <c r="E11" s="7" t="s">
        <v>11</v>
      </c>
    </row>
    <row r="12" customFormat="false" ht="15" hidden="false" customHeight="true" outlineLevel="0" collapsed="false">
      <c r="A12" s="7" t="s">
        <v>33</v>
      </c>
      <c r="B12" s="7" t="s">
        <v>34</v>
      </c>
      <c r="C12" s="7" t="s">
        <v>9</v>
      </c>
      <c r="D12" s="7" t="s">
        <v>35</v>
      </c>
      <c r="E12" s="7" t="s">
        <v>11</v>
      </c>
    </row>
    <row r="13" customFormat="false" ht="15" hidden="false" customHeight="true" outlineLevel="0" collapsed="false">
      <c r="A13" s="7" t="s">
        <v>36</v>
      </c>
      <c r="B13" s="7" t="s">
        <v>37</v>
      </c>
      <c r="C13" s="7" t="s">
        <v>9</v>
      </c>
      <c r="D13" s="7" t="s">
        <v>38</v>
      </c>
      <c r="E13" s="7" t="s">
        <v>11</v>
      </c>
    </row>
    <row r="14" customFormat="false" ht="15" hidden="false" customHeight="true" outlineLevel="0" collapsed="false">
      <c r="A14" s="7" t="s">
        <v>39</v>
      </c>
      <c r="B14" s="7" t="s">
        <v>40</v>
      </c>
      <c r="C14" s="7" t="s">
        <v>9</v>
      </c>
      <c r="D14" s="7" t="s">
        <v>41</v>
      </c>
      <c r="E14" s="7" t="s">
        <v>11</v>
      </c>
    </row>
    <row r="15" customFormat="false" ht="15" hidden="false" customHeight="true" outlineLevel="0" collapsed="false">
      <c r="A15" s="7" t="s">
        <v>42</v>
      </c>
      <c r="B15" s="7" t="s">
        <v>43</v>
      </c>
      <c r="C15" s="7" t="s">
        <v>9</v>
      </c>
      <c r="D15" s="7" t="s">
        <v>44</v>
      </c>
      <c r="E15" s="7" t="s">
        <v>11</v>
      </c>
    </row>
    <row r="16" customFormat="false" ht="15" hidden="false" customHeight="true" outlineLevel="0" collapsed="false">
      <c r="A16" s="7" t="s">
        <v>45</v>
      </c>
      <c r="B16" s="7" t="s">
        <v>46</v>
      </c>
      <c r="C16" s="7" t="s">
        <v>9</v>
      </c>
      <c r="D16" s="7" t="s">
        <v>47</v>
      </c>
      <c r="E16" s="7" t="s">
        <v>11</v>
      </c>
    </row>
    <row r="17" customFormat="false" ht="15" hidden="false" customHeight="true" outlineLevel="0" collapsed="false">
      <c r="A17" s="7" t="s">
        <v>48</v>
      </c>
      <c r="B17" s="7" t="s">
        <v>49</v>
      </c>
      <c r="C17" s="7" t="s">
        <v>9</v>
      </c>
      <c r="D17" s="7" t="s">
        <v>50</v>
      </c>
      <c r="E17" s="7" t="s">
        <v>11</v>
      </c>
    </row>
    <row r="18" customFormat="false" ht="15" hidden="false" customHeight="true" outlineLevel="0" collapsed="false">
      <c r="A18" s="7" t="s">
        <v>51</v>
      </c>
      <c r="B18" s="7" t="s">
        <v>52</v>
      </c>
      <c r="C18" s="7" t="s">
        <v>9</v>
      </c>
      <c r="D18" s="7" t="s">
        <v>53</v>
      </c>
      <c r="E18" s="7" t="s">
        <v>11</v>
      </c>
    </row>
    <row r="19" customFormat="false" ht="15" hidden="false" customHeight="true" outlineLevel="0" collapsed="false">
      <c r="A19" s="7" t="s">
        <v>54</v>
      </c>
      <c r="B19" s="7" t="s">
        <v>55</v>
      </c>
      <c r="C19" s="7" t="s">
        <v>9</v>
      </c>
      <c r="D19" s="7" t="s">
        <v>56</v>
      </c>
      <c r="E19" s="7" t="s">
        <v>11</v>
      </c>
    </row>
    <row r="20" customFormat="false" ht="15" hidden="false" customHeight="true" outlineLevel="0" collapsed="false">
      <c r="A20" s="7" t="s">
        <v>57</v>
      </c>
      <c r="B20" s="7" t="s">
        <v>58</v>
      </c>
      <c r="C20" s="7" t="s">
        <v>9</v>
      </c>
      <c r="D20" s="7" t="s">
        <v>59</v>
      </c>
      <c r="E20" s="7" t="s">
        <v>11</v>
      </c>
    </row>
    <row r="21" customFormat="false" ht="15" hidden="false" customHeight="true" outlineLevel="0" collapsed="false">
      <c r="A21" s="7" t="s">
        <v>60</v>
      </c>
      <c r="B21" s="7" t="s">
        <v>61</v>
      </c>
      <c r="C21" s="7" t="s">
        <v>9</v>
      </c>
      <c r="D21" s="7" t="s">
        <v>62</v>
      </c>
      <c r="E21" s="7" t="s">
        <v>11</v>
      </c>
    </row>
    <row r="22" customFormat="false" ht="15" hidden="false" customHeight="true" outlineLevel="0" collapsed="false">
      <c r="A22" s="7" t="s">
        <v>63</v>
      </c>
      <c r="B22" s="7" t="s">
        <v>64</v>
      </c>
      <c r="C22" s="7" t="s">
        <v>9</v>
      </c>
      <c r="D22" s="7" t="s">
        <v>65</v>
      </c>
      <c r="E22" s="7" t="s">
        <v>11</v>
      </c>
    </row>
    <row r="23" customFormat="false" ht="15" hidden="false" customHeight="true" outlineLevel="0" collapsed="false">
      <c r="A23" s="7" t="s">
        <v>66</v>
      </c>
      <c r="B23" s="7" t="s">
        <v>67</v>
      </c>
      <c r="C23" s="7" t="s">
        <v>9</v>
      </c>
      <c r="D23" s="7" t="s">
        <v>68</v>
      </c>
      <c r="E23" s="7" t="s">
        <v>11</v>
      </c>
    </row>
    <row r="24" customFormat="false" ht="15" hidden="false" customHeight="true" outlineLevel="0" collapsed="false">
      <c r="A24" s="7" t="s">
        <v>69</v>
      </c>
      <c r="B24" s="7" t="s">
        <v>70</v>
      </c>
      <c r="C24" s="7" t="s">
        <v>9</v>
      </c>
      <c r="D24" s="7" t="s">
        <v>71</v>
      </c>
      <c r="E24" s="7" t="s">
        <v>11</v>
      </c>
    </row>
    <row r="25" customFormat="false" ht="15" hidden="false" customHeight="true" outlineLevel="0" collapsed="false">
      <c r="A25" s="7" t="s">
        <v>72</v>
      </c>
      <c r="B25" s="7" t="s">
        <v>73</v>
      </c>
      <c r="C25" s="7" t="s">
        <v>9</v>
      </c>
      <c r="D25" s="7" t="s">
        <v>74</v>
      </c>
      <c r="E25" s="7" t="s">
        <v>11</v>
      </c>
    </row>
    <row r="26" customFormat="false" ht="15" hidden="false" customHeight="true" outlineLevel="0" collapsed="false">
      <c r="A26" s="7" t="s">
        <v>75</v>
      </c>
      <c r="B26" s="7" t="s">
        <v>76</v>
      </c>
      <c r="C26" s="7" t="s">
        <v>9</v>
      </c>
      <c r="D26" s="7" t="s">
        <v>77</v>
      </c>
      <c r="E26" s="7" t="s">
        <v>11</v>
      </c>
    </row>
    <row r="27" customFormat="false" ht="15" hidden="false" customHeight="true" outlineLevel="0" collapsed="false">
      <c r="A27" s="7" t="s">
        <v>78</v>
      </c>
      <c r="B27" s="7" t="s">
        <v>79</v>
      </c>
      <c r="C27" s="7" t="s">
        <v>9</v>
      </c>
      <c r="D27" s="7" t="s">
        <v>80</v>
      </c>
      <c r="E27" s="7" t="s">
        <v>11</v>
      </c>
    </row>
    <row r="28" customFormat="false" ht="15" hidden="false" customHeight="true" outlineLevel="0" collapsed="false">
      <c r="A28" s="7" t="s">
        <v>81</v>
      </c>
      <c r="B28" s="7" t="s">
        <v>82</v>
      </c>
      <c r="C28" s="7" t="s">
        <v>9</v>
      </c>
      <c r="D28" s="7" t="s">
        <v>83</v>
      </c>
      <c r="E28" s="7" t="s">
        <v>11</v>
      </c>
    </row>
    <row r="29" customFormat="false" ht="15" hidden="false" customHeight="true" outlineLevel="0" collapsed="false">
      <c r="A29" s="7" t="s">
        <v>84</v>
      </c>
      <c r="B29" s="7" t="s">
        <v>85</v>
      </c>
      <c r="C29" s="7" t="s">
        <v>9</v>
      </c>
      <c r="D29" s="7" t="s">
        <v>86</v>
      </c>
      <c r="E29" s="7" t="s">
        <v>11</v>
      </c>
    </row>
    <row r="30" customFormat="false" ht="15" hidden="false" customHeight="true" outlineLevel="0" collapsed="false">
      <c r="A30" s="7" t="s">
        <v>87</v>
      </c>
      <c r="B30" s="7" t="s">
        <v>88</v>
      </c>
      <c r="C30" s="7" t="s">
        <v>9</v>
      </c>
      <c r="D30" s="7" t="s">
        <v>89</v>
      </c>
      <c r="E30" s="7" t="s">
        <v>11</v>
      </c>
    </row>
    <row r="31" customFormat="false" ht="15" hidden="false" customHeight="true" outlineLevel="0" collapsed="false">
      <c r="A31" s="7" t="s">
        <v>90</v>
      </c>
      <c r="B31" s="7" t="s">
        <v>91</v>
      </c>
      <c r="C31" s="7" t="s">
        <v>9</v>
      </c>
      <c r="D31" s="7" t="s">
        <v>92</v>
      </c>
      <c r="E31" s="7" t="s">
        <v>11</v>
      </c>
    </row>
    <row r="32" customFormat="false" ht="15" hidden="false" customHeight="true" outlineLevel="0" collapsed="false">
      <c r="A32" s="7" t="s">
        <v>93</v>
      </c>
      <c r="B32" s="1" t="s">
        <v>94</v>
      </c>
      <c r="C32" s="1" t="s">
        <v>9</v>
      </c>
      <c r="D32" s="7" t="s">
        <v>95</v>
      </c>
      <c r="E32" s="7" t="s">
        <v>11</v>
      </c>
    </row>
    <row r="33" customFormat="false" ht="150" hidden="false" customHeight="true" outlineLevel="0" collapsed="false">
      <c r="A33" s="8" t="s">
        <v>96</v>
      </c>
      <c r="B33" s="8" t="s">
        <v>97</v>
      </c>
      <c r="C33" s="8" t="s">
        <v>9</v>
      </c>
      <c r="D33" s="8" t="s">
        <v>98</v>
      </c>
      <c r="E33" s="8" t="s">
        <v>11</v>
      </c>
    </row>
    <row r="34" customFormat="false" ht="23.85" hidden="false" customHeight="false" outlineLevel="0" collapsed="false">
      <c r="A34" s="8" t="s">
        <v>99</v>
      </c>
      <c r="B34" s="8"/>
      <c r="C34" s="8"/>
      <c r="D34" s="8" t="s">
        <v>100</v>
      </c>
      <c r="E34" s="8"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7"/>
    <col collapsed="false" customWidth="true" hidden="false" outlineLevel="0" max="3" min="3" style="1" width="7"/>
    <col collapsed="false" customWidth="true" hidden="false" outlineLevel="0" max="4" min="4" style="1" width="95"/>
    <col collapsed="false" customWidth="true" hidden="false" outlineLevel="0" max="5" min="5" style="1" width="28"/>
    <col collapsed="false" customWidth="true" hidden="false" outlineLevel="0" max="6" min="6" style="1" width="40"/>
    <col collapsed="false" customWidth="true" hidden="false" outlineLevel="0" max="7" min="7" style="1" width="38"/>
    <col collapsed="false" customWidth="true" hidden="false" outlineLevel="0" max="8" min="8" style="1" width="14"/>
  </cols>
  <sheetData>
    <row r="1" customFormat="false" ht="15" hidden="false" customHeight="true" outlineLevel="0" collapsed="false">
      <c r="A1" s="2" t="s">
        <v>102</v>
      </c>
    </row>
    <row r="2" customFormat="false" ht="15" hidden="false" customHeight="true" outlineLevel="0" collapsed="false">
      <c r="A2" s="4" t="s">
        <v>103</v>
      </c>
      <c r="B2" s="4" t="s">
        <v>3</v>
      </c>
      <c r="C2" s="4" t="s">
        <v>104</v>
      </c>
      <c r="D2" s="4" t="s">
        <v>105</v>
      </c>
      <c r="E2" s="4" t="s">
        <v>106</v>
      </c>
      <c r="F2" s="4" t="s">
        <v>107</v>
      </c>
      <c r="G2" s="4" t="s">
        <v>108</v>
      </c>
      <c r="H2" s="4" t="s">
        <v>109</v>
      </c>
    </row>
    <row r="3" customFormat="false" ht="34.5" hidden="false" customHeight="true" outlineLevel="0" collapsed="false">
      <c r="A3" s="5" t="s">
        <v>110</v>
      </c>
      <c r="B3" s="5" t="s">
        <v>111</v>
      </c>
      <c r="C3" s="5" t="s">
        <v>112</v>
      </c>
      <c r="D3" s="6" t="s">
        <v>113</v>
      </c>
      <c r="E3" s="6" t="s">
        <v>114</v>
      </c>
      <c r="F3" s="6" t="s">
        <v>115</v>
      </c>
      <c r="G3" s="6" t="s">
        <v>116</v>
      </c>
      <c r="H3" s="6" t="s">
        <v>117</v>
      </c>
    </row>
    <row r="4" customFormat="false" ht="34.5" hidden="false" customHeight="true" outlineLevel="0" collapsed="false">
      <c r="A4" s="5" t="s">
        <v>117</v>
      </c>
      <c r="B4" s="5" t="s">
        <v>111</v>
      </c>
      <c r="C4" s="5" t="s">
        <v>118</v>
      </c>
      <c r="D4" s="6" t="s">
        <v>119</v>
      </c>
      <c r="E4" s="6" t="s">
        <v>120</v>
      </c>
      <c r="F4" s="6" t="s">
        <v>121</v>
      </c>
      <c r="G4" s="6" t="s">
        <v>122</v>
      </c>
      <c r="H4" s="6" t="s">
        <v>123</v>
      </c>
    </row>
    <row r="5" customFormat="false" ht="34.5" hidden="false" customHeight="true" outlineLevel="0" collapsed="false">
      <c r="A5" s="5" t="s">
        <v>123</v>
      </c>
      <c r="B5" s="5" t="s">
        <v>111</v>
      </c>
      <c r="C5" s="5" t="s">
        <v>124</v>
      </c>
      <c r="D5" s="6" t="s">
        <v>125</v>
      </c>
      <c r="E5" s="6" t="s">
        <v>126</v>
      </c>
      <c r="F5" s="6" t="s">
        <v>127</v>
      </c>
      <c r="G5" s="6" t="s">
        <v>116</v>
      </c>
      <c r="H5" s="6" t="s">
        <v>128</v>
      </c>
    </row>
    <row r="6" customFormat="false" ht="23.25" hidden="false" customHeight="true" outlineLevel="0" collapsed="false">
      <c r="A6" s="5" t="s">
        <v>128</v>
      </c>
      <c r="B6" s="5" t="s">
        <v>111</v>
      </c>
      <c r="C6" s="5" t="s">
        <v>129</v>
      </c>
      <c r="D6" s="6" t="s">
        <v>130</v>
      </c>
      <c r="E6" s="6" t="s">
        <v>131</v>
      </c>
      <c r="F6" s="6" t="s">
        <v>132</v>
      </c>
      <c r="G6" s="6" t="s">
        <v>133</v>
      </c>
      <c r="H6" s="6" t="s">
        <v>134</v>
      </c>
    </row>
    <row r="7" customFormat="false" ht="34.5" hidden="false" customHeight="true" outlineLevel="0" collapsed="false">
      <c r="A7" s="5" t="s">
        <v>134</v>
      </c>
      <c r="B7" s="5" t="s">
        <v>111</v>
      </c>
      <c r="C7" s="5" t="s">
        <v>135</v>
      </c>
      <c r="D7" s="6" t="s">
        <v>136</v>
      </c>
      <c r="E7" s="6" t="s">
        <v>137</v>
      </c>
      <c r="F7" s="6" t="s">
        <v>138</v>
      </c>
      <c r="G7" s="6" t="s">
        <v>139</v>
      </c>
      <c r="H7" s="6" t="s">
        <v>140</v>
      </c>
    </row>
    <row r="8" customFormat="false" ht="23.25" hidden="false" customHeight="true" outlineLevel="0" collapsed="false">
      <c r="A8" s="5" t="s">
        <v>140</v>
      </c>
      <c r="B8" s="5" t="s">
        <v>111</v>
      </c>
      <c r="C8" s="5" t="s">
        <v>141</v>
      </c>
      <c r="D8" s="6" t="s">
        <v>142</v>
      </c>
      <c r="E8" s="6" t="s">
        <v>143</v>
      </c>
      <c r="F8" s="6" t="s">
        <v>144</v>
      </c>
      <c r="G8" s="6" t="s">
        <v>145</v>
      </c>
      <c r="H8" s="6" t="s">
        <v>146</v>
      </c>
    </row>
    <row r="9" customFormat="false" ht="34.5" hidden="false" customHeight="true" outlineLevel="0" collapsed="false">
      <c r="A9" s="5" t="s">
        <v>146</v>
      </c>
      <c r="B9" s="5" t="s">
        <v>111</v>
      </c>
      <c r="C9" s="5" t="s">
        <v>147</v>
      </c>
      <c r="D9" s="6" t="s">
        <v>148</v>
      </c>
      <c r="E9" s="6" t="s">
        <v>149</v>
      </c>
      <c r="F9" s="6" t="s">
        <v>150</v>
      </c>
      <c r="G9" s="6" t="s">
        <v>116</v>
      </c>
      <c r="H9" s="6" t="s">
        <v>151</v>
      </c>
    </row>
    <row r="10" customFormat="false" ht="34.5" hidden="false" customHeight="true" outlineLevel="0" collapsed="false">
      <c r="A10" s="5" t="s">
        <v>151</v>
      </c>
      <c r="B10" s="5" t="s">
        <v>152</v>
      </c>
      <c r="C10" s="5" t="s">
        <v>141</v>
      </c>
      <c r="D10" s="6" t="s">
        <v>153</v>
      </c>
      <c r="E10" s="6" t="s">
        <v>154</v>
      </c>
      <c r="F10" s="6" t="s">
        <v>155</v>
      </c>
      <c r="G10" s="6" t="s">
        <v>156</v>
      </c>
      <c r="H10" s="6" t="s">
        <v>157</v>
      </c>
    </row>
    <row r="11" customFormat="false" ht="45.75" hidden="false" customHeight="true" outlineLevel="0" collapsed="false">
      <c r="A11" s="5" t="s">
        <v>157</v>
      </c>
      <c r="B11" s="5" t="s">
        <v>152</v>
      </c>
      <c r="C11" s="5" t="s">
        <v>158</v>
      </c>
      <c r="D11" s="6" t="s">
        <v>159</v>
      </c>
      <c r="E11" s="6" t="s">
        <v>160</v>
      </c>
      <c r="F11" s="6" t="s">
        <v>161</v>
      </c>
      <c r="G11" s="6" t="s">
        <v>162</v>
      </c>
      <c r="H11" s="6" t="s">
        <v>163</v>
      </c>
    </row>
    <row r="12" customFormat="false" ht="34.5" hidden="false" customHeight="true" outlineLevel="0" collapsed="false">
      <c r="A12" s="5" t="s">
        <v>163</v>
      </c>
      <c r="B12" s="5" t="s">
        <v>152</v>
      </c>
      <c r="C12" s="5" t="s">
        <v>147</v>
      </c>
      <c r="D12" s="6" t="s">
        <v>164</v>
      </c>
      <c r="E12" s="6" t="s">
        <v>165</v>
      </c>
      <c r="F12" s="6" t="s">
        <v>166</v>
      </c>
      <c r="G12" s="6" t="s">
        <v>167</v>
      </c>
      <c r="H12" s="6" t="s">
        <v>168</v>
      </c>
    </row>
    <row r="13" customFormat="false" ht="23.25" hidden="false" customHeight="true" outlineLevel="0" collapsed="false">
      <c r="A13" s="5" t="s">
        <v>169</v>
      </c>
      <c r="B13" s="5" t="s">
        <v>8</v>
      </c>
      <c r="C13" s="5" t="s">
        <v>112</v>
      </c>
      <c r="D13" s="6" t="s">
        <v>170</v>
      </c>
      <c r="E13" s="6" t="s">
        <v>7</v>
      </c>
      <c r="F13" s="6" t="s">
        <v>171</v>
      </c>
      <c r="G13" s="6" t="s">
        <v>116</v>
      </c>
      <c r="H13" s="6" t="s">
        <v>172</v>
      </c>
    </row>
    <row r="14" customFormat="false" ht="45.75" hidden="false" customHeight="true" outlineLevel="0" collapsed="false">
      <c r="A14" s="5" t="s">
        <v>172</v>
      </c>
      <c r="B14" s="5" t="s">
        <v>173</v>
      </c>
      <c r="C14" s="5" t="s">
        <v>174</v>
      </c>
      <c r="D14" s="6" t="s">
        <v>175</v>
      </c>
      <c r="E14" s="6" t="s">
        <v>176</v>
      </c>
      <c r="F14" s="6" t="s">
        <v>177</v>
      </c>
      <c r="G14" s="6" t="s">
        <v>178</v>
      </c>
      <c r="H14" s="6" t="s">
        <v>179</v>
      </c>
    </row>
    <row r="15" customFormat="false" ht="23.25" hidden="false" customHeight="true" outlineLevel="0" collapsed="false">
      <c r="A15" s="5" t="s">
        <v>179</v>
      </c>
      <c r="B15" s="5" t="s">
        <v>13</v>
      </c>
      <c r="C15" s="5" t="s">
        <v>112</v>
      </c>
      <c r="D15" s="6" t="s">
        <v>180</v>
      </c>
      <c r="E15" s="6" t="s">
        <v>181</v>
      </c>
      <c r="F15" s="6" t="s">
        <v>182</v>
      </c>
      <c r="G15" s="6" t="s">
        <v>183</v>
      </c>
      <c r="H15" s="6" t="s">
        <v>184</v>
      </c>
    </row>
    <row r="16" customFormat="false" ht="45.75" hidden="false" customHeight="true" outlineLevel="0" collapsed="false">
      <c r="A16" s="5" t="s">
        <v>185</v>
      </c>
      <c r="B16" s="5" t="s">
        <v>16</v>
      </c>
      <c r="C16" s="5" t="s">
        <v>186</v>
      </c>
      <c r="D16" s="6" t="s">
        <v>187</v>
      </c>
      <c r="E16" s="6" t="s">
        <v>188</v>
      </c>
      <c r="F16" s="6" t="s">
        <v>189</v>
      </c>
      <c r="G16" s="6" t="s">
        <v>190</v>
      </c>
      <c r="H16" s="6" t="s">
        <v>191</v>
      </c>
    </row>
    <row r="17" customFormat="false" ht="23.25" hidden="false" customHeight="true" outlineLevel="0" collapsed="false">
      <c r="A17" s="5" t="s">
        <v>191</v>
      </c>
      <c r="B17" s="5" t="s">
        <v>16</v>
      </c>
      <c r="C17" s="5" t="s">
        <v>192</v>
      </c>
      <c r="D17" s="6" t="s">
        <v>193</v>
      </c>
      <c r="E17" s="6" t="s">
        <v>194</v>
      </c>
      <c r="F17" s="6" t="s">
        <v>195</v>
      </c>
      <c r="G17" s="6" t="s">
        <v>196</v>
      </c>
      <c r="H17" s="6" t="s">
        <v>197</v>
      </c>
    </row>
    <row r="18" customFormat="false" ht="23.25" hidden="false" customHeight="true" outlineLevel="0" collapsed="false">
      <c r="A18" s="5" t="s">
        <v>197</v>
      </c>
      <c r="B18" s="5" t="s">
        <v>16</v>
      </c>
      <c r="C18" s="5" t="s">
        <v>147</v>
      </c>
      <c r="D18" s="6" t="s">
        <v>198</v>
      </c>
      <c r="E18" s="6" t="s">
        <v>199</v>
      </c>
      <c r="F18" s="6" t="s">
        <v>200</v>
      </c>
      <c r="G18" s="6" t="s">
        <v>201</v>
      </c>
      <c r="H18" s="6" t="s">
        <v>202</v>
      </c>
    </row>
    <row r="19" customFormat="false" ht="45.75" hidden="false" customHeight="true" outlineLevel="0" collapsed="false">
      <c r="A19" s="5" t="s">
        <v>203</v>
      </c>
      <c r="B19" s="5" t="s">
        <v>19</v>
      </c>
      <c r="C19" s="5" t="s">
        <v>186</v>
      </c>
      <c r="D19" s="6" t="s">
        <v>204</v>
      </c>
      <c r="E19" s="6" t="s">
        <v>205</v>
      </c>
      <c r="F19" s="6" t="s">
        <v>206</v>
      </c>
      <c r="G19" s="6" t="s">
        <v>207</v>
      </c>
      <c r="H19" s="6" t="s">
        <v>208</v>
      </c>
    </row>
    <row r="20" customFormat="false" ht="34.5" hidden="false" customHeight="true" outlineLevel="0" collapsed="false">
      <c r="A20" s="5" t="s">
        <v>208</v>
      </c>
      <c r="B20" s="5" t="s">
        <v>19</v>
      </c>
      <c r="C20" s="5" t="s">
        <v>147</v>
      </c>
      <c r="D20" s="6" t="s">
        <v>209</v>
      </c>
      <c r="E20" s="6" t="s">
        <v>210</v>
      </c>
      <c r="F20" s="6" t="s">
        <v>211</v>
      </c>
      <c r="G20" s="6" t="s">
        <v>212</v>
      </c>
      <c r="H20" s="6" t="s">
        <v>213</v>
      </c>
    </row>
    <row r="21" customFormat="false" ht="57" hidden="false" customHeight="true" outlineLevel="0" collapsed="false">
      <c r="A21" s="5" t="s">
        <v>214</v>
      </c>
      <c r="B21" s="5" t="s">
        <v>22</v>
      </c>
      <c r="C21" s="5" t="s">
        <v>186</v>
      </c>
      <c r="D21" s="6" t="s">
        <v>215</v>
      </c>
      <c r="E21" s="6" t="s">
        <v>216</v>
      </c>
      <c r="F21" s="6" t="s">
        <v>217</v>
      </c>
      <c r="G21" s="6" t="s">
        <v>112</v>
      </c>
      <c r="H21" s="6" t="s">
        <v>218</v>
      </c>
    </row>
    <row r="22" customFormat="false" ht="68.25" hidden="false" customHeight="true" outlineLevel="0" collapsed="false">
      <c r="A22" s="5" t="s">
        <v>218</v>
      </c>
      <c r="B22" s="5" t="s">
        <v>22</v>
      </c>
      <c r="C22" s="5" t="s">
        <v>186</v>
      </c>
      <c r="D22" s="6" t="s">
        <v>219</v>
      </c>
      <c r="E22" s="6" t="s">
        <v>220</v>
      </c>
      <c r="F22" s="6" t="s">
        <v>221</v>
      </c>
      <c r="G22" s="6" t="s">
        <v>222</v>
      </c>
      <c r="H22" s="6" t="s">
        <v>223</v>
      </c>
    </row>
    <row r="23" customFormat="false" ht="45.75" hidden="false" customHeight="true" outlineLevel="0" collapsed="false">
      <c r="A23" s="5" t="s">
        <v>223</v>
      </c>
      <c r="B23" s="5" t="s">
        <v>22</v>
      </c>
      <c r="C23" s="5" t="s">
        <v>147</v>
      </c>
      <c r="D23" s="6" t="s">
        <v>224</v>
      </c>
      <c r="E23" s="6" t="s">
        <v>225</v>
      </c>
      <c r="F23" s="6" t="s">
        <v>226</v>
      </c>
      <c r="G23" s="6" t="s">
        <v>227</v>
      </c>
      <c r="H23" s="6" t="s">
        <v>228</v>
      </c>
    </row>
    <row r="24" customFormat="false" ht="45.75" hidden="false" customHeight="true" outlineLevel="0" collapsed="false">
      <c r="A24" s="5" t="s">
        <v>229</v>
      </c>
      <c r="B24" s="5" t="s">
        <v>25</v>
      </c>
      <c r="C24" s="5" t="s">
        <v>186</v>
      </c>
      <c r="D24" s="6" t="s">
        <v>230</v>
      </c>
      <c r="E24" s="6" t="s">
        <v>231</v>
      </c>
      <c r="F24" s="6" t="s">
        <v>232</v>
      </c>
      <c r="G24" s="6" t="s">
        <v>112</v>
      </c>
      <c r="H24" s="6" t="s">
        <v>233</v>
      </c>
    </row>
    <row r="25" customFormat="false" ht="57" hidden="false" customHeight="true" outlineLevel="0" collapsed="false">
      <c r="A25" s="5" t="s">
        <v>233</v>
      </c>
      <c r="B25" s="5" t="s">
        <v>25</v>
      </c>
      <c r="C25" s="5" t="s">
        <v>192</v>
      </c>
      <c r="D25" s="6" t="s">
        <v>234</v>
      </c>
      <c r="E25" s="6" t="s">
        <v>235</v>
      </c>
      <c r="F25" s="6" t="s">
        <v>236</v>
      </c>
      <c r="G25" s="6" t="s">
        <v>237</v>
      </c>
      <c r="H25" s="6" t="s">
        <v>238</v>
      </c>
    </row>
    <row r="26" customFormat="false" ht="34.5" hidden="false" customHeight="true" outlineLevel="0" collapsed="false">
      <c r="A26" s="5" t="s">
        <v>238</v>
      </c>
      <c r="B26" s="5" t="s">
        <v>25</v>
      </c>
      <c r="C26" s="5" t="s">
        <v>147</v>
      </c>
      <c r="D26" s="6" t="s">
        <v>239</v>
      </c>
      <c r="E26" s="6" t="s">
        <v>240</v>
      </c>
      <c r="F26" s="6" t="s">
        <v>241</v>
      </c>
      <c r="G26" s="6" t="s">
        <v>242</v>
      </c>
      <c r="H26" s="6" t="s">
        <v>243</v>
      </c>
    </row>
    <row r="27" customFormat="false" ht="68.25" hidden="false" customHeight="true" outlineLevel="0" collapsed="false">
      <c r="A27" s="5" t="s">
        <v>244</v>
      </c>
      <c r="B27" s="5" t="s">
        <v>28</v>
      </c>
      <c r="C27" s="5" t="s">
        <v>186</v>
      </c>
      <c r="D27" s="6" t="s">
        <v>245</v>
      </c>
      <c r="E27" s="6" t="s">
        <v>246</v>
      </c>
      <c r="F27" s="6" t="s">
        <v>247</v>
      </c>
      <c r="G27" s="6" t="s">
        <v>112</v>
      </c>
      <c r="H27" s="6" t="s">
        <v>248</v>
      </c>
    </row>
    <row r="28" customFormat="false" ht="68.25" hidden="false" customHeight="true" outlineLevel="0" collapsed="false">
      <c r="A28" s="5" t="s">
        <v>248</v>
      </c>
      <c r="B28" s="5" t="s">
        <v>28</v>
      </c>
      <c r="C28" s="5" t="s">
        <v>192</v>
      </c>
      <c r="D28" s="6" t="s">
        <v>249</v>
      </c>
      <c r="E28" s="6" t="s">
        <v>250</v>
      </c>
      <c r="F28" s="6" t="s">
        <v>251</v>
      </c>
      <c r="G28" s="6" t="s">
        <v>252</v>
      </c>
      <c r="H28" s="6" t="s">
        <v>253</v>
      </c>
    </row>
    <row r="29" customFormat="false" ht="34.5" hidden="false" customHeight="true" outlineLevel="0" collapsed="false">
      <c r="A29" s="5" t="s">
        <v>253</v>
      </c>
      <c r="B29" s="5" t="s">
        <v>28</v>
      </c>
      <c r="C29" s="5" t="s">
        <v>147</v>
      </c>
      <c r="D29" s="6" t="s">
        <v>254</v>
      </c>
      <c r="E29" s="6" t="s">
        <v>255</v>
      </c>
      <c r="F29" s="6" t="s">
        <v>256</v>
      </c>
      <c r="G29" s="6" t="s">
        <v>227</v>
      </c>
      <c r="H29" s="6" t="s">
        <v>257</v>
      </c>
    </row>
    <row r="30" customFormat="false" ht="57" hidden="false" customHeight="true" outlineLevel="0" collapsed="false">
      <c r="A30" s="5" t="s">
        <v>258</v>
      </c>
      <c r="B30" s="5" t="s">
        <v>31</v>
      </c>
      <c r="C30" s="5" t="s">
        <v>186</v>
      </c>
      <c r="D30" s="6" t="s">
        <v>259</v>
      </c>
      <c r="E30" s="6" t="s">
        <v>260</v>
      </c>
      <c r="F30" s="6" t="s">
        <v>261</v>
      </c>
      <c r="G30" s="6" t="s">
        <v>262</v>
      </c>
      <c r="H30" s="6" t="s">
        <v>263</v>
      </c>
    </row>
    <row r="31" customFormat="false" ht="57" hidden="false" customHeight="true" outlineLevel="0" collapsed="false">
      <c r="A31" s="5" t="s">
        <v>263</v>
      </c>
      <c r="B31" s="5" t="s">
        <v>31</v>
      </c>
      <c r="C31" s="5" t="s">
        <v>192</v>
      </c>
      <c r="D31" s="6" t="s">
        <v>264</v>
      </c>
      <c r="E31" s="6" t="s">
        <v>265</v>
      </c>
      <c r="F31" s="6" t="s">
        <v>266</v>
      </c>
      <c r="G31" s="6" t="s">
        <v>112</v>
      </c>
      <c r="H31" s="6" t="s">
        <v>267</v>
      </c>
    </row>
    <row r="32" customFormat="false" ht="34.5" hidden="false" customHeight="true" outlineLevel="0" collapsed="false">
      <c r="A32" s="5" t="s">
        <v>267</v>
      </c>
      <c r="B32" s="5" t="s">
        <v>31</v>
      </c>
      <c r="C32" s="5" t="s">
        <v>147</v>
      </c>
      <c r="D32" s="6" t="s">
        <v>268</v>
      </c>
      <c r="E32" s="6" t="s">
        <v>269</v>
      </c>
      <c r="F32" s="6" t="s">
        <v>270</v>
      </c>
      <c r="G32" s="6" t="s">
        <v>271</v>
      </c>
      <c r="H32" s="6" t="s">
        <v>272</v>
      </c>
    </row>
    <row r="33" customFormat="false" ht="57" hidden="false" customHeight="true" outlineLevel="0" collapsed="false">
      <c r="A33" s="5" t="s">
        <v>273</v>
      </c>
      <c r="B33" s="5" t="s">
        <v>34</v>
      </c>
      <c r="C33" s="5" t="s">
        <v>192</v>
      </c>
      <c r="D33" s="6" t="s">
        <v>274</v>
      </c>
      <c r="E33" s="6" t="s">
        <v>275</v>
      </c>
      <c r="F33" s="6" t="s">
        <v>276</v>
      </c>
      <c r="G33" s="6" t="s">
        <v>277</v>
      </c>
      <c r="H33" s="6" t="s">
        <v>278</v>
      </c>
    </row>
    <row r="34" customFormat="false" ht="57" hidden="false" customHeight="true" outlineLevel="0" collapsed="false">
      <c r="A34" s="5" t="s">
        <v>278</v>
      </c>
      <c r="B34" s="5" t="s">
        <v>34</v>
      </c>
      <c r="C34" s="5" t="s">
        <v>192</v>
      </c>
      <c r="D34" s="6" t="s">
        <v>279</v>
      </c>
      <c r="E34" s="6" t="s">
        <v>280</v>
      </c>
      <c r="F34" s="6" t="s">
        <v>281</v>
      </c>
      <c r="G34" s="6" t="s">
        <v>282</v>
      </c>
      <c r="H34" s="6" t="s">
        <v>283</v>
      </c>
    </row>
    <row r="35" customFormat="false" ht="34.5" hidden="false" customHeight="true" outlineLevel="0" collapsed="false">
      <c r="A35" s="5" t="s">
        <v>283</v>
      </c>
      <c r="B35" s="5" t="s">
        <v>34</v>
      </c>
      <c r="C35" s="5" t="s">
        <v>147</v>
      </c>
      <c r="D35" s="6" t="s">
        <v>284</v>
      </c>
      <c r="E35" s="6" t="s">
        <v>285</v>
      </c>
      <c r="F35" s="6" t="s">
        <v>286</v>
      </c>
      <c r="G35" s="6" t="s">
        <v>287</v>
      </c>
      <c r="H35" s="6" t="s">
        <v>288</v>
      </c>
    </row>
    <row r="36" customFormat="false" ht="45.75" hidden="false" customHeight="true" outlineLevel="0" collapsed="false">
      <c r="A36" s="5" t="s">
        <v>289</v>
      </c>
      <c r="B36" s="5" t="s">
        <v>37</v>
      </c>
      <c r="C36" s="5" t="s">
        <v>192</v>
      </c>
      <c r="D36" s="6" t="s">
        <v>290</v>
      </c>
      <c r="E36" s="6" t="s">
        <v>291</v>
      </c>
      <c r="F36" s="6" t="s">
        <v>292</v>
      </c>
      <c r="G36" s="6" t="s">
        <v>112</v>
      </c>
      <c r="H36" s="6" t="s">
        <v>293</v>
      </c>
    </row>
    <row r="37" customFormat="false" ht="45.75" hidden="false" customHeight="true" outlineLevel="0" collapsed="false">
      <c r="A37" s="5" t="s">
        <v>293</v>
      </c>
      <c r="B37" s="5" t="s">
        <v>37</v>
      </c>
      <c r="C37" s="5" t="s">
        <v>192</v>
      </c>
      <c r="D37" s="6" t="s">
        <v>294</v>
      </c>
      <c r="E37" s="6" t="s">
        <v>291</v>
      </c>
      <c r="F37" s="6" t="s">
        <v>295</v>
      </c>
      <c r="G37" s="6" t="s">
        <v>277</v>
      </c>
      <c r="H37" s="6" t="s">
        <v>296</v>
      </c>
    </row>
    <row r="38" customFormat="false" ht="34.5" hidden="false" customHeight="true" outlineLevel="0" collapsed="false">
      <c r="A38" s="5" t="s">
        <v>296</v>
      </c>
      <c r="B38" s="5" t="s">
        <v>37</v>
      </c>
      <c r="C38" s="5" t="s">
        <v>147</v>
      </c>
      <c r="D38" s="6" t="s">
        <v>297</v>
      </c>
      <c r="E38" s="6" t="s">
        <v>298</v>
      </c>
      <c r="F38" s="6" t="s">
        <v>299</v>
      </c>
      <c r="G38" s="6" t="s">
        <v>300</v>
      </c>
      <c r="H38" s="6" t="s">
        <v>301</v>
      </c>
    </row>
    <row r="39" customFormat="false" ht="45.75" hidden="false" customHeight="true" outlineLevel="0" collapsed="false">
      <c r="A39" s="5" t="s">
        <v>302</v>
      </c>
      <c r="B39" s="5" t="s">
        <v>40</v>
      </c>
      <c r="C39" s="5" t="s">
        <v>192</v>
      </c>
      <c r="D39" s="6" t="s">
        <v>303</v>
      </c>
      <c r="E39" s="6" t="s">
        <v>304</v>
      </c>
      <c r="F39" s="6" t="s">
        <v>305</v>
      </c>
      <c r="G39" s="6" t="s">
        <v>112</v>
      </c>
      <c r="H39" s="6" t="s">
        <v>306</v>
      </c>
    </row>
    <row r="40" customFormat="false" ht="57" hidden="false" customHeight="true" outlineLevel="0" collapsed="false">
      <c r="A40" s="5" t="s">
        <v>306</v>
      </c>
      <c r="B40" s="5" t="s">
        <v>40</v>
      </c>
      <c r="C40" s="5" t="s">
        <v>192</v>
      </c>
      <c r="D40" s="6" t="s">
        <v>307</v>
      </c>
      <c r="E40" s="6" t="s">
        <v>304</v>
      </c>
      <c r="F40" s="6" t="s">
        <v>308</v>
      </c>
      <c r="G40" s="6" t="s">
        <v>309</v>
      </c>
      <c r="H40" s="6" t="s">
        <v>310</v>
      </c>
    </row>
    <row r="41" customFormat="false" ht="45.75" hidden="false" customHeight="true" outlineLevel="0" collapsed="false">
      <c r="A41" s="5" t="s">
        <v>310</v>
      </c>
      <c r="B41" s="5" t="s">
        <v>40</v>
      </c>
      <c r="C41" s="5" t="s">
        <v>147</v>
      </c>
      <c r="D41" s="6" t="s">
        <v>311</v>
      </c>
      <c r="E41" s="6" t="s">
        <v>312</v>
      </c>
      <c r="F41" s="6" t="s">
        <v>299</v>
      </c>
      <c r="G41" s="6" t="s">
        <v>313</v>
      </c>
      <c r="H41" s="6" t="s">
        <v>314</v>
      </c>
    </row>
    <row r="42" customFormat="false" ht="45.75" hidden="false" customHeight="true" outlineLevel="0" collapsed="false">
      <c r="A42" s="5" t="s">
        <v>315</v>
      </c>
      <c r="B42" s="5" t="s">
        <v>43</v>
      </c>
      <c r="C42" s="5" t="s">
        <v>192</v>
      </c>
      <c r="D42" s="6" t="s">
        <v>316</v>
      </c>
      <c r="E42" s="6" t="s">
        <v>317</v>
      </c>
      <c r="F42" s="6" t="s">
        <v>318</v>
      </c>
      <c r="G42" s="6" t="s">
        <v>112</v>
      </c>
      <c r="H42" s="6" t="s">
        <v>319</v>
      </c>
    </row>
    <row r="43" customFormat="false" ht="45.75" hidden="false" customHeight="true" outlineLevel="0" collapsed="false">
      <c r="A43" s="5" t="s">
        <v>319</v>
      </c>
      <c r="B43" s="5" t="s">
        <v>43</v>
      </c>
      <c r="C43" s="5" t="s">
        <v>192</v>
      </c>
      <c r="D43" s="6" t="s">
        <v>320</v>
      </c>
      <c r="E43" s="6" t="s">
        <v>317</v>
      </c>
      <c r="F43" s="6" t="s">
        <v>321</v>
      </c>
      <c r="G43" s="6" t="s">
        <v>112</v>
      </c>
      <c r="H43" s="6" t="s">
        <v>322</v>
      </c>
    </row>
    <row r="44" customFormat="false" ht="57" hidden="false" customHeight="true" outlineLevel="0" collapsed="false">
      <c r="A44" s="5" t="s">
        <v>322</v>
      </c>
      <c r="B44" s="5" t="s">
        <v>43</v>
      </c>
      <c r="C44" s="5" t="s">
        <v>192</v>
      </c>
      <c r="D44" s="6" t="s">
        <v>323</v>
      </c>
      <c r="E44" s="6" t="s">
        <v>324</v>
      </c>
      <c r="F44" s="6" t="s">
        <v>325</v>
      </c>
      <c r="G44" s="6" t="s">
        <v>112</v>
      </c>
      <c r="H44" s="6" t="s">
        <v>326</v>
      </c>
    </row>
    <row r="45" customFormat="false" ht="23.25" hidden="false" customHeight="true" outlineLevel="0" collapsed="false">
      <c r="A45" s="5" t="s">
        <v>326</v>
      </c>
      <c r="B45" s="5" t="s">
        <v>43</v>
      </c>
      <c r="C45" s="5" t="s">
        <v>147</v>
      </c>
      <c r="D45" s="6" t="s">
        <v>327</v>
      </c>
      <c r="E45" s="6" t="s">
        <v>328</v>
      </c>
      <c r="F45" s="6" t="s">
        <v>299</v>
      </c>
      <c r="G45" s="6" t="s">
        <v>313</v>
      </c>
      <c r="H45" s="6" t="s">
        <v>329</v>
      </c>
    </row>
    <row r="46" customFormat="false" ht="57" hidden="false" customHeight="true" outlineLevel="0" collapsed="false">
      <c r="A46" s="5" t="s">
        <v>330</v>
      </c>
      <c r="B46" s="5" t="s">
        <v>46</v>
      </c>
      <c r="C46" s="5" t="s">
        <v>192</v>
      </c>
      <c r="D46" s="6" t="s">
        <v>331</v>
      </c>
      <c r="E46" s="6" t="s">
        <v>332</v>
      </c>
      <c r="F46" s="6" t="s">
        <v>333</v>
      </c>
      <c r="G46" s="6" t="s">
        <v>112</v>
      </c>
      <c r="H46" s="6" t="s">
        <v>334</v>
      </c>
    </row>
    <row r="47" customFormat="false" ht="45.75" hidden="false" customHeight="true" outlineLevel="0" collapsed="false">
      <c r="A47" s="5" t="s">
        <v>334</v>
      </c>
      <c r="B47" s="5" t="s">
        <v>46</v>
      </c>
      <c r="C47" s="5" t="s">
        <v>147</v>
      </c>
      <c r="D47" s="6" t="s">
        <v>335</v>
      </c>
      <c r="E47" s="6" t="s">
        <v>336</v>
      </c>
      <c r="F47" s="6" t="s">
        <v>337</v>
      </c>
      <c r="G47" s="6" t="s">
        <v>313</v>
      </c>
      <c r="H47" s="6" t="s">
        <v>338</v>
      </c>
    </row>
    <row r="48" customFormat="false" ht="45.75" hidden="false" customHeight="true" outlineLevel="0" collapsed="false">
      <c r="A48" s="5" t="s">
        <v>339</v>
      </c>
      <c r="B48" s="5" t="s">
        <v>49</v>
      </c>
      <c r="C48" s="5" t="s">
        <v>340</v>
      </c>
      <c r="D48" s="6" t="s">
        <v>341</v>
      </c>
      <c r="E48" s="6" t="s">
        <v>72</v>
      </c>
      <c r="F48" s="6" t="s">
        <v>342</v>
      </c>
      <c r="G48" s="6" t="s">
        <v>343</v>
      </c>
      <c r="H48" s="6" t="s">
        <v>344</v>
      </c>
    </row>
    <row r="49" customFormat="false" ht="45.75" hidden="false" customHeight="true" outlineLevel="0" collapsed="false">
      <c r="A49" s="5" t="s">
        <v>344</v>
      </c>
      <c r="B49" s="5" t="s">
        <v>49</v>
      </c>
      <c r="C49" s="5" t="s">
        <v>147</v>
      </c>
      <c r="D49" s="6" t="s">
        <v>345</v>
      </c>
      <c r="E49" s="6" t="s">
        <v>346</v>
      </c>
      <c r="F49" s="6" t="s">
        <v>299</v>
      </c>
      <c r="G49" s="6" t="s">
        <v>313</v>
      </c>
      <c r="H49" s="6" t="s">
        <v>347</v>
      </c>
    </row>
    <row r="50" customFormat="false" ht="68.25" hidden="false" customHeight="true" outlineLevel="0" collapsed="false">
      <c r="A50" s="5" t="s">
        <v>348</v>
      </c>
      <c r="B50" s="5" t="s">
        <v>52</v>
      </c>
      <c r="C50" s="5" t="s">
        <v>112</v>
      </c>
      <c r="D50" s="6" t="s">
        <v>349</v>
      </c>
      <c r="E50" s="6" t="s">
        <v>350</v>
      </c>
      <c r="F50" s="6" t="s">
        <v>351</v>
      </c>
      <c r="G50" s="6" t="s">
        <v>352</v>
      </c>
      <c r="H50" s="6" t="s">
        <v>353</v>
      </c>
    </row>
    <row r="51" customFormat="false" ht="57" hidden="false" customHeight="true" outlineLevel="0" collapsed="false">
      <c r="A51" s="5" t="s">
        <v>354</v>
      </c>
      <c r="B51" s="5" t="s">
        <v>55</v>
      </c>
      <c r="C51" s="5" t="s">
        <v>340</v>
      </c>
      <c r="D51" s="6" t="s">
        <v>355</v>
      </c>
      <c r="E51" s="6" t="s">
        <v>356</v>
      </c>
      <c r="F51" s="6" t="s">
        <v>357</v>
      </c>
      <c r="G51" s="6" t="s">
        <v>112</v>
      </c>
      <c r="H51" s="6" t="s">
        <v>358</v>
      </c>
    </row>
    <row r="52" customFormat="false" ht="68.25" hidden="false" customHeight="true" outlineLevel="0" collapsed="false">
      <c r="A52" s="5" t="s">
        <v>358</v>
      </c>
      <c r="B52" s="5" t="s">
        <v>55</v>
      </c>
      <c r="C52" s="5" t="s">
        <v>340</v>
      </c>
      <c r="D52" s="6" t="s">
        <v>359</v>
      </c>
      <c r="E52" s="6" t="s">
        <v>360</v>
      </c>
      <c r="F52" s="6" t="s">
        <v>361</v>
      </c>
      <c r="G52" s="6" t="s">
        <v>362</v>
      </c>
      <c r="H52" s="6" t="s">
        <v>363</v>
      </c>
    </row>
    <row r="53" customFormat="false" ht="34.5" hidden="false" customHeight="true" outlineLevel="0" collapsed="false">
      <c r="A53" s="5" t="s">
        <v>364</v>
      </c>
      <c r="B53" s="5" t="s">
        <v>58</v>
      </c>
      <c r="C53" s="5" t="s">
        <v>340</v>
      </c>
      <c r="D53" s="6" t="s">
        <v>365</v>
      </c>
      <c r="E53" s="6" t="s">
        <v>366</v>
      </c>
      <c r="F53" s="6" t="s">
        <v>367</v>
      </c>
      <c r="G53" s="6" t="s">
        <v>112</v>
      </c>
      <c r="H53" s="6" t="s">
        <v>368</v>
      </c>
    </row>
    <row r="54" customFormat="false" ht="45.75" hidden="false" customHeight="true" outlineLevel="0" collapsed="false">
      <c r="A54" s="5" t="s">
        <v>368</v>
      </c>
      <c r="B54" s="5" t="s">
        <v>58</v>
      </c>
      <c r="C54" s="5" t="s">
        <v>340</v>
      </c>
      <c r="D54" s="6" t="s">
        <v>369</v>
      </c>
      <c r="E54" s="6" t="s">
        <v>370</v>
      </c>
      <c r="F54" s="6" t="s">
        <v>371</v>
      </c>
      <c r="G54" s="6" t="s">
        <v>112</v>
      </c>
      <c r="H54" s="6" t="s">
        <v>372</v>
      </c>
    </row>
    <row r="55" customFormat="false" ht="57" hidden="false" customHeight="true" outlineLevel="0" collapsed="false">
      <c r="A55" s="5" t="s">
        <v>372</v>
      </c>
      <c r="B55" s="5" t="s">
        <v>58</v>
      </c>
      <c r="C55" s="5" t="s">
        <v>340</v>
      </c>
      <c r="D55" s="6" t="s">
        <v>373</v>
      </c>
      <c r="E55" s="6" t="s">
        <v>374</v>
      </c>
      <c r="F55" s="6" t="s">
        <v>375</v>
      </c>
      <c r="G55" s="6" t="s">
        <v>376</v>
      </c>
      <c r="H55" s="6" t="s">
        <v>377</v>
      </c>
    </row>
    <row r="56" customFormat="false" ht="34.5" hidden="false" customHeight="true" outlineLevel="0" collapsed="false">
      <c r="A56" s="5" t="s">
        <v>378</v>
      </c>
      <c r="B56" s="5" t="s">
        <v>379</v>
      </c>
      <c r="C56" s="5" t="s">
        <v>340</v>
      </c>
      <c r="D56" s="6" t="s">
        <v>380</v>
      </c>
      <c r="E56" s="6" t="s">
        <v>381</v>
      </c>
      <c r="F56" s="6" t="s">
        <v>382</v>
      </c>
      <c r="G56" s="6" t="s">
        <v>112</v>
      </c>
      <c r="H56" s="6" t="s">
        <v>383</v>
      </c>
    </row>
    <row r="57" customFormat="false" ht="68.25" hidden="false" customHeight="true" outlineLevel="0" collapsed="false">
      <c r="A57" s="5" t="s">
        <v>383</v>
      </c>
      <c r="B57" s="5" t="s">
        <v>379</v>
      </c>
      <c r="C57" s="5" t="s">
        <v>340</v>
      </c>
      <c r="D57" s="6" t="s">
        <v>384</v>
      </c>
      <c r="E57" s="6" t="s">
        <v>381</v>
      </c>
      <c r="F57" s="6" t="s">
        <v>385</v>
      </c>
      <c r="G57" s="6" t="s">
        <v>112</v>
      </c>
      <c r="H57" s="6" t="s">
        <v>386</v>
      </c>
    </row>
    <row r="58" customFormat="false" ht="57" hidden="false" customHeight="true" outlineLevel="0" collapsed="false">
      <c r="A58" s="5" t="s">
        <v>386</v>
      </c>
      <c r="B58" s="5" t="s">
        <v>61</v>
      </c>
      <c r="C58" s="5" t="s">
        <v>147</v>
      </c>
      <c r="D58" s="6" t="s">
        <v>387</v>
      </c>
      <c r="E58" s="6" t="s">
        <v>388</v>
      </c>
      <c r="F58" s="6" t="s">
        <v>299</v>
      </c>
      <c r="G58" s="6" t="s">
        <v>376</v>
      </c>
      <c r="H58" s="6" t="s">
        <v>389</v>
      </c>
    </row>
    <row r="59" customFormat="false" ht="45.75" hidden="false" customHeight="true" outlineLevel="0" collapsed="false">
      <c r="A59" s="5" t="s">
        <v>390</v>
      </c>
      <c r="B59" s="5" t="s">
        <v>64</v>
      </c>
      <c r="C59" s="5" t="s">
        <v>340</v>
      </c>
      <c r="D59" s="6" t="s">
        <v>391</v>
      </c>
      <c r="E59" s="6" t="s">
        <v>392</v>
      </c>
      <c r="F59" s="6" t="s">
        <v>393</v>
      </c>
      <c r="G59" s="6" t="s">
        <v>112</v>
      </c>
      <c r="H59" s="6" t="s">
        <v>394</v>
      </c>
    </row>
    <row r="60" customFormat="false" ht="57" hidden="false" customHeight="true" outlineLevel="0" collapsed="false">
      <c r="A60" s="5" t="s">
        <v>394</v>
      </c>
      <c r="B60" s="5" t="s">
        <v>64</v>
      </c>
      <c r="C60" s="5" t="s">
        <v>340</v>
      </c>
      <c r="D60" s="6" t="s">
        <v>395</v>
      </c>
      <c r="E60" s="6" t="s">
        <v>396</v>
      </c>
      <c r="F60" s="6" t="s">
        <v>397</v>
      </c>
      <c r="G60" s="6" t="s">
        <v>398</v>
      </c>
      <c r="H60" s="6" t="s">
        <v>399</v>
      </c>
    </row>
    <row r="61" customFormat="false" ht="34.5" hidden="false" customHeight="true" outlineLevel="0" collapsed="false">
      <c r="A61" s="5" t="s">
        <v>399</v>
      </c>
      <c r="B61" s="5" t="s">
        <v>64</v>
      </c>
      <c r="C61" s="5" t="s">
        <v>147</v>
      </c>
      <c r="D61" s="6" t="s">
        <v>400</v>
      </c>
      <c r="E61" s="6" t="s">
        <v>401</v>
      </c>
      <c r="F61" s="6" t="s">
        <v>299</v>
      </c>
      <c r="G61" s="6" t="s">
        <v>376</v>
      </c>
      <c r="H61" s="6" t="s">
        <v>402</v>
      </c>
    </row>
    <row r="62" customFormat="false" ht="57" hidden="false" customHeight="true" outlineLevel="0" collapsed="false">
      <c r="A62" s="5" t="s">
        <v>403</v>
      </c>
      <c r="B62" s="5" t="s">
        <v>67</v>
      </c>
      <c r="C62" s="5" t="s">
        <v>340</v>
      </c>
      <c r="D62" s="6" t="s">
        <v>404</v>
      </c>
      <c r="E62" s="6" t="s">
        <v>405</v>
      </c>
      <c r="F62" s="6" t="s">
        <v>406</v>
      </c>
      <c r="G62" s="6" t="s">
        <v>112</v>
      </c>
      <c r="H62" s="6" t="s">
        <v>407</v>
      </c>
    </row>
    <row r="63" customFormat="false" ht="45.75" hidden="false" customHeight="true" outlineLevel="0" collapsed="false">
      <c r="A63" s="5" t="s">
        <v>407</v>
      </c>
      <c r="B63" s="5" t="s">
        <v>67</v>
      </c>
      <c r="C63" s="5" t="s">
        <v>340</v>
      </c>
      <c r="D63" s="6" t="s">
        <v>408</v>
      </c>
      <c r="E63" s="6" t="s">
        <v>405</v>
      </c>
      <c r="F63" s="6" t="s">
        <v>409</v>
      </c>
      <c r="G63" s="6" t="s">
        <v>112</v>
      </c>
      <c r="H63" s="6" t="s">
        <v>410</v>
      </c>
    </row>
    <row r="64" customFormat="false" ht="57" hidden="false" customHeight="true" outlineLevel="0" collapsed="false">
      <c r="A64" s="5" t="s">
        <v>410</v>
      </c>
      <c r="B64" s="5" t="s">
        <v>67</v>
      </c>
      <c r="C64" s="5" t="s">
        <v>147</v>
      </c>
      <c r="D64" s="6" t="s">
        <v>411</v>
      </c>
      <c r="E64" s="6" t="s">
        <v>412</v>
      </c>
      <c r="F64" s="6" t="s">
        <v>299</v>
      </c>
      <c r="G64" s="6" t="s">
        <v>376</v>
      </c>
      <c r="H64" s="6" t="s">
        <v>413</v>
      </c>
    </row>
    <row r="65" customFormat="false" ht="57" hidden="false" customHeight="true" outlineLevel="0" collapsed="false">
      <c r="A65" s="5" t="s">
        <v>414</v>
      </c>
      <c r="B65" s="5" t="s">
        <v>70</v>
      </c>
      <c r="C65" s="5" t="s">
        <v>340</v>
      </c>
      <c r="D65" s="6" t="s">
        <v>415</v>
      </c>
      <c r="E65" s="6" t="s">
        <v>416</v>
      </c>
      <c r="F65" s="6" t="s">
        <v>417</v>
      </c>
      <c r="G65" s="6" t="s">
        <v>112</v>
      </c>
      <c r="H65" s="6" t="s">
        <v>418</v>
      </c>
    </row>
    <row r="66" customFormat="false" ht="57" hidden="false" customHeight="true" outlineLevel="0" collapsed="false">
      <c r="A66" s="5" t="s">
        <v>418</v>
      </c>
      <c r="B66" s="5" t="s">
        <v>70</v>
      </c>
      <c r="C66" s="5" t="s">
        <v>340</v>
      </c>
      <c r="D66" s="6" t="s">
        <v>419</v>
      </c>
      <c r="E66" s="6" t="s">
        <v>416</v>
      </c>
      <c r="F66" s="6" t="s">
        <v>420</v>
      </c>
      <c r="G66" s="6" t="s">
        <v>112</v>
      </c>
      <c r="H66" s="6" t="s">
        <v>421</v>
      </c>
    </row>
    <row r="67" customFormat="false" ht="23.25" hidden="false" customHeight="true" outlineLevel="0" collapsed="false">
      <c r="A67" s="5" t="s">
        <v>421</v>
      </c>
      <c r="B67" s="5" t="s">
        <v>70</v>
      </c>
      <c r="C67" s="5" t="s">
        <v>147</v>
      </c>
      <c r="D67" s="6" t="s">
        <v>422</v>
      </c>
      <c r="E67" s="6" t="s">
        <v>423</v>
      </c>
      <c r="F67" s="6" t="s">
        <v>299</v>
      </c>
      <c r="G67" s="6" t="s">
        <v>376</v>
      </c>
      <c r="H67" s="6" t="s">
        <v>424</v>
      </c>
    </row>
    <row r="68" customFormat="false" ht="34.5" hidden="false" customHeight="true" outlineLevel="0" collapsed="false">
      <c r="A68" s="5" t="s">
        <v>425</v>
      </c>
      <c r="B68" s="5" t="s">
        <v>73</v>
      </c>
      <c r="C68" s="5" t="s">
        <v>340</v>
      </c>
      <c r="D68" s="6" t="s">
        <v>426</v>
      </c>
      <c r="E68" s="6" t="s">
        <v>427</v>
      </c>
      <c r="F68" s="6" t="s">
        <v>428</v>
      </c>
      <c r="G68" s="6" t="s">
        <v>112</v>
      </c>
      <c r="H68" s="6" t="s">
        <v>429</v>
      </c>
    </row>
    <row r="69" customFormat="false" ht="57" hidden="false" customHeight="true" outlineLevel="0" collapsed="false">
      <c r="A69" s="5" t="s">
        <v>429</v>
      </c>
      <c r="B69" s="5" t="s">
        <v>73</v>
      </c>
      <c r="C69" s="5" t="s">
        <v>340</v>
      </c>
      <c r="D69" s="6" t="s">
        <v>430</v>
      </c>
      <c r="E69" s="6" t="s">
        <v>427</v>
      </c>
      <c r="F69" s="6" t="s">
        <v>431</v>
      </c>
      <c r="G69" s="6" t="s">
        <v>432</v>
      </c>
      <c r="H69" s="6" t="s">
        <v>433</v>
      </c>
    </row>
    <row r="70" customFormat="false" ht="23.25" hidden="false" customHeight="true" outlineLevel="0" collapsed="false">
      <c r="A70" s="5" t="s">
        <v>433</v>
      </c>
      <c r="B70" s="5" t="s">
        <v>73</v>
      </c>
      <c r="C70" s="5" t="s">
        <v>147</v>
      </c>
      <c r="D70" s="6" t="s">
        <v>434</v>
      </c>
      <c r="E70" s="6" t="s">
        <v>435</v>
      </c>
      <c r="F70" s="6" t="s">
        <v>299</v>
      </c>
      <c r="G70" s="6" t="s">
        <v>376</v>
      </c>
      <c r="H70" s="6" t="s">
        <v>436</v>
      </c>
    </row>
    <row r="71" customFormat="false" ht="45.75" hidden="false" customHeight="true" outlineLevel="0" collapsed="false">
      <c r="A71" s="5" t="s">
        <v>437</v>
      </c>
      <c r="B71" s="5" t="s">
        <v>76</v>
      </c>
      <c r="C71" s="5" t="s">
        <v>340</v>
      </c>
      <c r="D71" s="6" t="s">
        <v>438</v>
      </c>
      <c r="E71" s="6" t="s">
        <v>439</v>
      </c>
      <c r="F71" s="6" t="s">
        <v>440</v>
      </c>
      <c r="G71" s="6" t="s">
        <v>112</v>
      </c>
      <c r="H71" s="6" t="s">
        <v>441</v>
      </c>
    </row>
    <row r="72" customFormat="false" ht="57" hidden="false" customHeight="true" outlineLevel="0" collapsed="false">
      <c r="A72" s="5" t="s">
        <v>441</v>
      </c>
      <c r="B72" s="5" t="s">
        <v>76</v>
      </c>
      <c r="C72" s="5" t="s">
        <v>340</v>
      </c>
      <c r="D72" s="6" t="s">
        <v>442</v>
      </c>
      <c r="E72" s="6" t="s">
        <v>439</v>
      </c>
      <c r="F72" s="6" t="s">
        <v>443</v>
      </c>
      <c r="G72" s="6" t="s">
        <v>112</v>
      </c>
      <c r="H72" s="6" t="s">
        <v>444</v>
      </c>
    </row>
    <row r="73" customFormat="false" ht="68.25" hidden="false" customHeight="true" outlineLevel="0" collapsed="false">
      <c r="A73" s="5" t="s">
        <v>444</v>
      </c>
      <c r="B73" s="5" t="s">
        <v>76</v>
      </c>
      <c r="C73" s="5" t="s">
        <v>147</v>
      </c>
      <c r="D73" s="6" t="s">
        <v>445</v>
      </c>
      <c r="E73" s="6" t="s">
        <v>446</v>
      </c>
      <c r="F73" s="6" t="s">
        <v>447</v>
      </c>
      <c r="G73" s="6" t="s">
        <v>448</v>
      </c>
      <c r="H73" s="6" t="s">
        <v>78</v>
      </c>
    </row>
    <row r="74" customFormat="false" ht="34.5" hidden="false" customHeight="true" outlineLevel="0" collapsed="false">
      <c r="A74" s="5" t="s">
        <v>449</v>
      </c>
      <c r="B74" s="5" t="s">
        <v>79</v>
      </c>
      <c r="C74" s="5" t="s">
        <v>340</v>
      </c>
      <c r="D74" s="6" t="s">
        <v>450</v>
      </c>
      <c r="E74" s="6" t="s">
        <v>451</v>
      </c>
      <c r="F74" s="6" t="s">
        <v>452</v>
      </c>
      <c r="G74" s="6" t="s">
        <v>112</v>
      </c>
      <c r="H74" s="6" t="s">
        <v>453</v>
      </c>
    </row>
    <row r="75" customFormat="false" ht="34.5" hidden="false" customHeight="true" outlineLevel="0" collapsed="false">
      <c r="A75" s="5" t="s">
        <v>453</v>
      </c>
      <c r="B75" s="5" t="s">
        <v>79</v>
      </c>
      <c r="C75" s="5" t="s">
        <v>340</v>
      </c>
      <c r="D75" s="6" t="s">
        <v>454</v>
      </c>
      <c r="E75" s="6" t="s">
        <v>455</v>
      </c>
      <c r="F75" s="6" t="s">
        <v>456</v>
      </c>
      <c r="G75" s="6" t="s">
        <v>112</v>
      </c>
      <c r="H75" s="6" t="s">
        <v>457</v>
      </c>
    </row>
    <row r="76" customFormat="false" ht="45.75" hidden="false" customHeight="true" outlineLevel="0" collapsed="false">
      <c r="A76" s="5" t="s">
        <v>457</v>
      </c>
      <c r="B76" s="5" t="s">
        <v>79</v>
      </c>
      <c r="C76" s="5" t="s">
        <v>147</v>
      </c>
      <c r="D76" s="6" t="s">
        <v>458</v>
      </c>
      <c r="E76" s="6" t="s">
        <v>459</v>
      </c>
      <c r="F76" s="6" t="s">
        <v>299</v>
      </c>
      <c r="G76" s="6" t="s">
        <v>376</v>
      </c>
      <c r="H76" s="6" t="s">
        <v>460</v>
      </c>
    </row>
    <row r="77" customFormat="false" ht="23.25" hidden="false" customHeight="true" outlineLevel="0" collapsed="false">
      <c r="A77" s="5" t="s">
        <v>461</v>
      </c>
      <c r="B77" s="5" t="s">
        <v>82</v>
      </c>
      <c r="C77" s="5" t="s">
        <v>340</v>
      </c>
      <c r="D77" s="6" t="s">
        <v>462</v>
      </c>
      <c r="E77" s="6" t="s">
        <v>463</v>
      </c>
      <c r="F77" s="6" t="s">
        <v>464</v>
      </c>
      <c r="G77" s="6" t="s">
        <v>112</v>
      </c>
      <c r="H77" s="6" t="s">
        <v>465</v>
      </c>
    </row>
    <row r="78" customFormat="false" ht="57" hidden="false" customHeight="true" outlineLevel="0" collapsed="false">
      <c r="A78" s="5" t="s">
        <v>465</v>
      </c>
      <c r="B78" s="5" t="s">
        <v>82</v>
      </c>
      <c r="C78" s="5" t="s">
        <v>340</v>
      </c>
      <c r="D78" s="6" t="s">
        <v>466</v>
      </c>
      <c r="E78" s="6" t="s">
        <v>467</v>
      </c>
      <c r="F78" s="6" t="s">
        <v>468</v>
      </c>
      <c r="G78" s="6" t="s">
        <v>112</v>
      </c>
      <c r="H78" s="6" t="s">
        <v>469</v>
      </c>
    </row>
    <row r="79" customFormat="false" ht="45.75" hidden="false" customHeight="true" outlineLevel="0" collapsed="false">
      <c r="A79" s="5" t="s">
        <v>469</v>
      </c>
      <c r="B79" s="5" t="s">
        <v>82</v>
      </c>
      <c r="C79" s="5" t="s">
        <v>340</v>
      </c>
      <c r="D79" s="6" t="s">
        <v>470</v>
      </c>
      <c r="E79" s="6" t="s">
        <v>471</v>
      </c>
      <c r="F79" s="6" t="s">
        <v>472</v>
      </c>
      <c r="G79" s="6" t="s">
        <v>473</v>
      </c>
      <c r="H79" s="6" t="s">
        <v>474</v>
      </c>
    </row>
    <row r="80" customFormat="false" ht="23.25" hidden="false" customHeight="true" outlineLevel="0" collapsed="false">
      <c r="A80" s="5" t="s">
        <v>474</v>
      </c>
      <c r="B80" s="5" t="s">
        <v>82</v>
      </c>
      <c r="C80" s="5" t="s">
        <v>147</v>
      </c>
      <c r="D80" s="6" t="s">
        <v>475</v>
      </c>
      <c r="E80" s="6" t="s">
        <v>476</v>
      </c>
      <c r="F80" s="6" t="s">
        <v>299</v>
      </c>
      <c r="G80" s="6" t="s">
        <v>376</v>
      </c>
      <c r="H80" s="6" t="s">
        <v>477</v>
      </c>
    </row>
    <row r="81" customFormat="false" ht="45.75" hidden="false" customHeight="true" outlineLevel="0" collapsed="false">
      <c r="A81" s="5" t="s">
        <v>478</v>
      </c>
      <c r="B81" s="5" t="s">
        <v>85</v>
      </c>
      <c r="C81" s="5" t="s">
        <v>340</v>
      </c>
      <c r="D81" s="6" t="s">
        <v>479</v>
      </c>
      <c r="E81" s="6" t="s">
        <v>480</v>
      </c>
      <c r="F81" s="6" t="s">
        <v>481</v>
      </c>
      <c r="G81" s="6" t="s">
        <v>112</v>
      </c>
      <c r="H81" s="6" t="s">
        <v>482</v>
      </c>
    </row>
    <row r="82" customFormat="false" ht="45.75" hidden="false" customHeight="true" outlineLevel="0" collapsed="false">
      <c r="A82" s="5" t="s">
        <v>482</v>
      </c>
      <c r="B82" s="5" t="s">
        <v>85</v>
      </c>
      <c r="C82" s="5" t="s">
        <v>340</v>
      </c>
      <c r="D82" s="6" t="s">
        <v>483</v>
      </c>
      <c r="E82" s="6" t="s">
        <v>484</v>
      </c>
      <c r="F82" s="6" t="s">
        <v>485</v>
      </c>
      <c r="G82" s="6" t="s">
        <v>112</v>
      </c>
      <c r="H82" s="6" t="s">
        <v>486</v>
      </c>
    </row>
    <row r="83" customFormat="false" ht="34.5" hidden="false" customHeight="true" outlineLevel="0" collapsed="false">
      <c r="A83" s="5" t="s">
        <v>486</v>
      </c>
      <c r="B83" s="5" t="s">
        <v>85</v>
      </c>
      <c r="C83" s="5" t="s">
        <v>147</v>
      </c>
      <c r="D83" s="6" t="s">
        <v>487</v>
      </c>
      <c r="E83" s="6" t="s">
        <v>488</v>
      </c>
      <c r="F83" s="6" t="s">
        <v>299</v>
      </c>
      <c r="G83" s="6" t="s">
        <v>376</v>
      </c>
      <c r="H83" s="6" t="s">
        <v>489</v>
      </c>
    </row>
    <row r="84" customFormat="false" ht="34.5" hidden="false" customHeight="true" outlineLevel="0" collapsed="false">
      <c r="A84" s="5" t="s">
        <v>490</v>
      </c>
      <c r="B84" s="5" t="s">
        <v>88</v>
      </c>
      <c r="C84" s="5" t="s">
        <v>340</v>
      </c>
      <c r="D84" s="6" t="s">
        <v>491</v>
      </c>
      <c r="E84" s="6" t="s">
        <v>492</v>
      </c>
      <c r="F84" s="6" t="s">
        <v>493</v>
      </c>
      <c r="G84" s="6" t="s">
        <v>112</v>
      </c>
      <c r="H84" s="6" t="s">
        <v>494</v>
      </c>
    </row>
    <row r="85" customFormat="false" ht="57" hidden="false" customHeight="true" outlineLevel="0" collapsed="false">
      <c r="A85" s="5" t="s">
        <v>494</v>
      </c>
      <c r="B85" s="5" t="s">
        <v>88</v>
      </c>
      <c r="C85" s="5" t="s">
        <v>340</v>
      </c>
      <c r="D85" s="6" t="s">
        <v>495</v>
      </c>
      <c r="E85" s="6" t="s">
        <v>496</v>
      </c>
      <c r="F85" s="6" t="s">
        <v>497</v>
      </c>
      <c r="G85" s="6" t="s">
        <v>498</v>
      </c>
      <c r="H85" s="6" t="s">
        <v>499</v>
      </c>
    </row>
    <row r="86" customFormat="false" ht="34.5" hidden="false" customHeight="true" outlineLevel="0" collapsed="false">
      <c r="A86" s="5" t="s">
        <v>499</v>
      </c>
      <c r="B86" s="5" t="s">
        <v>88</v>
      </c>
      <c r="C86" s="5" t="s">
        <v>340</v>
      </c>
      <c r="D86" s="6" t="s">
        <v>500</v>
      </c>
      <c r="E86" s="6" t="s">
        <v>501</v>
      </c>
      <c r="F86" s="6" t="s">
        <v>502</v>
      </c>
      <c r="G86" s="6" t="s">
        <v>112</v>
      </c>
      <c r="H86" s="6" t="s">
        <v>503</v>
      </c>
    </row>
    <row r="87" customFormat="false" ht="45.75" hidden="false" customHeight="true" outlineLevel="0" collapsed="false">
      <c r="A87" s="5" t="s">
        <v>503</v>
      </c>
      <c r="B87" s="5" t="s">
        <v>88</v>
      </c>
      <c r="C87" s="5" t="s">
        <v>147</v>
      </c>
      <c r="D87" s="6" t="s">
        <v>504</v>
      </c>
      <c r="E87" s="6" t="s">
        <v>505</v>
      </c>
      <c r="F87" s="6" t="s">
        <v>299</v>
      </c>
      <c r="G87" s="6" t="s">
        <v>506</v>
      </c>
      <c r="H87" s="6" t="s">
        <v>90</v>
      </c>
    </row>
    <row r="88" customFormat="false" ht="45.75" hidden="false" customHeight="true" outlineLevel="0" collapsed="false">
      <c r="A88" s="5" t="s">
        <v>507</v>
      </c>
      <c r="B88" s="5" t="s">
        <v>91</v>
      </c>
      <c r="C88" s="5" t="s">
        <v>340</v>
      </c>
      <c r="D88" s="6" t="s">
        <v>508</v>
      </c>
      <c r="E88" s="6" t="s">
        <v>509</v>
      </c>
      <c r="F88" s="6" t="s">
        <v>510</v>
      </c>
      <c r="G88" s="6" t="s">
        <v>112</v>
      </c>
      <c r="H88" s="6" t="s">
        <v>511</v>
      </c>
    </row>
    <row r="89" customFormat="false" ht="68.25" hidden="false" customHeight="true" outlineLevel="0" collapsed="false">
      <c r="A89" s="5" t="s">
        <v>511</v>
      </c>
      <c r="B89" s="5" t="s">
        <v>91</v>
      </c>
      <c r="C89" s="5" t="s">
        <v>112</v>
      </c>
      <c r="D89" s="6" t="s">
        <v>512</v>
      </c>
      <c r="E89" s="6" t="s">
        <v>513</v>
      </c>
      <c r="F89" s="6" t="s">
        <v>514</v>
      </c>
      <c r="G89" s="6" t="s">
        <v>515</v>
      </c>
      <c r="H89" s="6" t="s">
        <v>516</v>
      </c>
    </row>
    <row r="90" customFormat="false" ht="35.05" hidden="false" customHeight="false" outlineLevel="0" collapsed="false">
      <c r="A90" s="7" t="s">
        <v>517</v>
      </c>
      <c r="B90" s="7" t="s">
        <v>518</v>
      </c>
      <c r="C90" s="7" t="s">
        <v>112</v>
      </c>
      <c r="D90" s="8" t="s">
        <v>519</v>
      </c>
      <c r="E90" s="8" t="s">
        <v>520</v>
      </c>
      <c r="F90" s="8" t="s">
        <v>521</v>
      </c>
      <c r="G90" s="8" t="s">
        <v>116</v>
      </c>
      <c r="H90" s="8" t="s">
        <v>522</v>
      </c>
    </row>
    <row r="91" customFormat="false" ht="57.45" hidden="false" customHeight="false" outlineLevel="0" collapsed="false">
      <c r="A91" s="7" t="s">
        <v>522</v>
      </c>
      <c r="B91" s="7" t="s">
        <v>523</v>
      </c>
      <c r="C91" s="7" t="s">
        <v>524</v>
      </c>
      <c r="D91" s="8" t="s">
        <v>525</v>
      </c>
      <c r="E91" s="8" t="s">
        <v>526</v>
      </c>
      <c r="F91" s="8" t="s">
        <v>527</v>
      </c>
      <c r="G91" s="8" t="s">
        <v>112</v>
      </c>
      <c r="H91" s="8" t="s">
        <v>528</v>
      </c>
    </row>
    <row r="92" customFormat="false" ht="46.25" hidden="false" customHeight="false" outlineLevel="0" collapsed="false">
      <c r="A92" s="7" t="s">
        <v>528</v>
      </c>
      <c r="B92" s="7" t="s">
        <v>529</v>
      </c>
      <c r="C92" s="7" t="s">
        <v>524</v>
      </c>
      <c r="D92" s="8" t="s">
        <v>530</v>
      </c>
      <c r="E92" s="8" t="s">
        <v>531</v>
      </c>
      <c r="F92" s="8" t="s">
        <v>532</v>
      </c>
      <c r="G92" s="8" t="s">
        <v>112</v>
      </c>
      <c r="H92" s="8" t="s">
        <v>533</v>
      </c>
    </row>
    <row r="93" customFormat="false" ht="46.25" hidden="false" customHeight="false" outlineLevel="0" collapsed="false">
      <c r="A93" s="7" t="s">
        <v>533</v>
      </c>
      <c r="B93" s="7" t="s">
        <v>534</v>
      </c>
      <c r="C93" s="7" t="s">
        <v>535</v>
      </c>
      <c r="D93" s="8" t="s">
        <v>536</v>
      </c>
      <c r="E93" s="8" t="s">
        <v>537</v>
      </c>
      <c r="F93" s="8" t="s">
        <v>538</v>
      </c>
      <c r="G93" s="8" t="s">
        <v>112</v>
      </c>
      <c r="H93" s="8" t="s">
        <v>539</v>
      </c>
    </row>
    <row r="94" customFormat="false" ht="46.25" hidden="false" customHeight="false" outlineLevel="0" collapsed="false">
      <c r="A94" s="7" t="s">
        <v>539</v>
      </c>
      <c r="B94" s="7" t="s">
        <v>540</v>
      </c>
      <c r="C94" s="7" t="s">
        <v>524</v>
      </c>
      <c r="D94" s="8" t="s">
        <v>541</v>
      </c>
      <c r="E94" s="8" t="s">
        <v>542</v>
      </c>
      <c r="F94" s="8" t="s">
        <v>543</v>
      </c>
      <c r="G94" s="8" t="s">
        <v>112</v>
      </c>
      <c r="H94" s="8" t="s">
        <v>544</v>
      </c>
    </row>
    <row r="95" customFormat="false" ht="46.25" hidden="false" customHeight="false" outlineLevel="0" collapsed="false">
      <c r="A95" s="7" t="s">
        <v>544</v>
      </c>
      <c r="B95" s="7" t="s">
        <v>545</v>
      </c>
      <c r="C95" s="7" t="s">
        <v>524</v>
      </c>
      <c r="D95" s="8" t="s">
        <v>546</v>
      </c>
      <c r="E95" s="8" t="s">
        <v>547</v>
      </c>
      <c r="F95" s="8" t="s">
        <v>548</v>
      </c>
      <c r="G95" s="8" t="s">
        <v>112</v>
      </c>
      <c r="H95" s="8" t="s">
        <v>549</v>
      </c>
    </row>
    <row r="96" customFormat="false" ht="46.25" hidden="false" customHeight="false" outlineLevel="0" collapsed="false">
      <c r="A96" s="7" t="s">
        <v>549</v>
      </c>
      <c r="B96" s="7" t="s">
        <v>550</v>
      </c>
      <c r="C96" s="7" t="s">
        <v>524</v>
      </c>
      <c r="D96" s="8" t="s">
        <v>551</v>
      </c>
      <c r="E96" s="8" t="s">
        <v>552</v>
      </c>
      <c r="F96" s="8" t="s">
        <v>553</v>
      </c>
      <c r="G96" s="8" t="s">
        <v>554</v>
      </c>
      <c r="H96" s="8" t="s">
        <v>555</v>
      </c>
    </row>
    <row r="97" customFormat="false" ht="46.25" hidden="false" customHeight="false" outlineLevel="0" collapsed="false">
      <c r="A97" s="7" t="s">
        <v>555</v>
      </c>
      <c r="B97" s="7" t="s">
        <v>94</v>
      </c>
      <c r="C97" s="7" t="s">
        <v>112</v>
      </c>
      <c r="D97" s="8" t="s">
        <v>556</v>
      </c>
      <c r="E97" s="8" t="s">
        <v>557</v>
      </c>
      <c r="F97" s="8" t="s">
        <v>299</v>
      </c>
      <c r="G97" s="8" t="s">
        <v>558</v>
      </c>
      <c r="H97" s="8" t="s">
        <v>559</v>
      </c>
    </row>
    <row r="98" customFormat="false" ht="105" hidden="false" customHeight="true" outlineLevel="0" collapsed="false">
      <c r="A98" s="8" t="s">
        <v>560</v>
      </c>
      <c r="B98" s="8" t="s">
        <v>561</v>
      </c>
      <c r="C98" s="8" t="s">
        <v>112</v>
      </c>
      <c r="D98" s="8" t="s">
        <v>562</v>
      </c>
      <c r="E98" s="8" t="s">
        <v>563</v>
      </c>
      <c r="F98" s="8" t="s">
        <v>564</v>
      </c>
      <c r="G98" s="8" t="s">
        <v>116</v>
      </c>
      <c r="H98" s="8" t="s">
        <v>565</v>
      </c>
    </row>
    <row r="99" customFormat="false" ht="105" hidden="false" customHeight="true" outlineLevel="0" collapsed="false">
      <c r="A99" s="8" t="s">
        <v>565</v>
      </c>
      <c r="B99" s="8" t="s">
        <v>566</v>
      </c>
      <c r="C99" s="8" t="s">
        <v>567</v>
      </c>
      <c r="D99" s="8" t="s">
        <v>568</v>
      </c>
      <c r="E99" s="8" t="s">
        <v>569</v>
      </c>
      <c r="F99" s="8" t="s">
        <v>570</v>
      </c>
      <c r="G99" s="8" t="s">
        <v>112</v>
      </c>
      <c r="H99" s="8" t="s">
        <v>571</v>
      </c>
    </row>
    <row r="100" customFormat="false" ht="105" hidden="false" customHeight="true" outlineLevel="0" collapsed="false">
      <c r="A100" s="8" t="s">
        <v>571</v>
      </c>
      <c r="B100" s="8" t="s">
        <v>572</v>
      </c>
      <c r="C100" s="8" t="s">
        <v>567</v>
      </c>
      <c r="D100" s="8" t="s">
        <v>573</v>
      </c>
      <c r="E100" s="8" t="s">
        <v>574</v>
      </c>
      <c r="F100" s="8" t="s">
        <v>575</v>
      </c>
      <c r="G100" s="8" t="s">
        <v>112</v>
      </c>
      <c r="H100" s="8" t="s">
        <v>576</v>
      </c>
    </row>
    <row r="101" customFormat="false" ht="105" hidden="false" customHeight="true" outlineLevel="0" collapsed="false">
      <c r="A101" s="8" t="s">
        <v>576</v>
      </c>
      <c r="B101" s="8" t="s">
        <v>577</v>
      </c>
      <c r="C101" s="8" t="s">
        <v>578</v>
      </c>
      <c r="D101" s="8" t="s">
        <v>579</v>
      </c>
      <c r="E101" s="8" t="s">
        <v>580</v>
      </c>
      <c r="F101" s="8" t="s">
        <v>581</v>
      </c>
      <c r="G101" s="8" t="s">
        <v>582</v>
      </c>
      <c r="H101" s="8" t="s">
        <v>583</v>
      </c>
    </row>
    <row r="102" customFormat="false" ht="105" hidden="false" customHeight="true" outlineLevel="0" collapsed="false">
      <c r="A102" s="8" t="s">
        <v>583</v>
      </c>
      <c r="B102" s="8" t="s">
        <v>584</v>
      </c>
      <c r="C102" s="8" t="s">
        <v>585</v>
      </c>
      <c r="D102" s="8" t="s">
        <v>586</v>
      </c>
      <c r="E102" s="8" t="s">
        <v>587</v>
      </c>
      <c r="F102" s="8" t="s">
        <v>588</v>
      </c>
      <c r="G102" s="8" t="s">
        <v>589</v>
      </c>
      <c r="H102" s="8" t="s">
        <v>590</v>
      </c>
    </row>
    <row r="103" customFormat="false" ht="105" hidden="false" customHeight="true" outlineLevel="0" collapsed="false">
      <c r="A103" s="8" t="s">
        <v>590</v>
      </c>
      <c r="B103" s="8" t="s">
        <v>591</v>
      </c>
      <c r="C103" s="8" t="s">
        <v>147</v>
      </c>
      <c r="D103" s="8" t="s">
        <v>592</v>
      </c>
      <c r="E103" s="8" t="s">
        <v>593</v>
      </c>
      <c r="F103" s="8" t="s">
        <v>594</v>
      </c>
      <c r="G103" s="8" t="s">
        <v>595</v>
      </c>
      <c r="H103" s="8" t="s">
        <v>596</v>
      </c>
    </row>
    <row r="104" customFormat="false" ht="105" hidden="false" customHeight="true" outlineLevel="0" collapsed="false">
      <c r="A104" s="8" t="s">
        <v>596</v>
      </c>
      <c r="B104" s="8" t="s">
        <v>97</v>
      </c>
      <c r="C104" s="8" t="s">
        <v>112</v>
      </c>
      <c r="D104" s="8" t="s">
        <v>597</v>
      </c>
      <c r="E104" s="8" t="s">
        <v>598</v>
      </c>
      <c r="F104" s="8" t="s">
        <v>299</v>
      </c>
      <c r="G104" s="8" t="s">
        <v>599</v>
      </c>
      <c r="H104" s="8" t="s">
        <v>600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0"/>
    <col collapsed="false" customWidth="true" hidden="false" outlineLevel="0" max="3" min="3" style="1" width="60"/>
    <col collapsed="false" customWidth="true" hidden="false" outlineLevel="0" max="5" min="4" style="1" width="22"/>
  </cols>
  <sheetData>
    <row r="1" customFormat="false" ht="15" hidden="false" customHeight="true" outlineLevel="0" collapsed="false">
      <c r="A1" s="2" t="s">
        <v>601</v>
      </c>
    </row>
    <row r="2" customFormat="false" ht="15" hidden="false" customHeight="true" outlineLevel="0" collapsed="false">
      <c r="A2" s="4" t="s">
        <v>103</v>
      </c>
      <c r="B2" s="4" t="s">
        <v>602</v>
      </c>
      <c r="C2" s="4" t="s">
        <v>603</v>
      </c>
      <c r="D2" s="4" t="s">
        <v>604</v>
      </c>
      <c r="E2" s="4" t="s">
        <v>6</v>
      </c>
    </row>
    <row r="3" customFormat="false" ht="23.25" hidden="false" customHeight="true" outlineLevel="0" collapsed="false">
      <c r="A3" s="5" t="s">
        <v>605</v>
      </c>
      <c r="B3" s="6" t="s">
        <v>606</v>
      </c>
      <c r="C3" s="6" t="s">
        <v>607</v>
      </c>
      <c r="D3" s="5" t="s">
        <v>608</v>
      </c>
      <c r="E3" s="5" t="s">
        <v>609</v>
      </c>
    </row>
    <row r="4" customFormat="false" ht="34.5" hidden="false" customHeight="true" outlineLevel="0" collapsed="false">
      <c r="A4" s="5" t="s">
        <v>610</v>
      </c>
      <c r="B4" s="6" t="s">
        <v>611</v>
      </c>
      <c r="C4" s="6" t="s">
        <v>612</v>
      </c>
      <c r="D4" s="5" t="s">
        <v>613</v>
      </c>
      <c r="E4" s="5" t="s">
        <v>614</v>
      </c>
    </row>
    <row r="5" customFormat="false" ht="23.25" hidden="false" customHeight="true" outlineLevel="0" collapsed="false">
      <c r="A5" s="5" t="s">
        <v>615</v>
      </c>
      <c r="B5" s="6" t="s">
        <v>616</v>
      </c>
      <c r="C5" s="6" t="s">
        <v>617</v>
      </c>
      <c r="D5" s="5" t="s">
        <v>618</v>
      </c>
      <c r="E5" s="5" t="s">
        <v>619</v>
      </c>
    </row>
    <row r="6" customFormat="false" ht="34.5" hidden="false" customHeight="true" outlineLevel="0" collapsed="false">
      <c r="A6" s="5" t="s">
        <v>620</v>
      </c>
      <c r="B6" s="6" t="s">
        <v>621</v>
      </c>
      <c r="C6" s="6" t="s">
        <v>622</v>
      </c>
      <c r="D6" s="5" t="s">
        <v>618</v>
      </c>
      <c r="E6" s="5" t="s">
        <v>619</v>
      </c>
    </row>
    <row r="7" customFormat="false" ht="23.25" hidden="false" customHeight="true" outlineLevel="0" collapsed="false">
      <c r="A7" s="5" t="s">
        <v>623</v>
      </c>
      <c r="B7" s="6" t="s">
        <v>624</v>
      </c>
      <c r="C7" s="6" t="s">
        <v>625</v>
      </c>
      <c r="D7" s="5" t="s">
        <v>618</v>
      </c>
      <c r="E7" s="5" t="s">
        <v>619</v>
      </c>
    </row>
    <row r="8" customFormat="false" ht="34.5" hidden="false" customHeight="true" outlineLevel="0" collapsed="false">
      <c r="A8" s="5" t="s">
        <v>181</v>
      </c>
      <c r="B8" s="6" t="s">
        <v>626</v>
      </c>
      <c r="C8" s="6" t="s">
        <v>627</v>
      </c>
      <c r="D8" s="5" t="s">
        <v>628</v>
      </c>
      <c r="E8" s="5" t="s">
        <v>609</v>
      </c>
    </row>
    <row r="9" customFormat="false" ht="68.65" hidden="false" customHeight="false" outlineLevel="0" collapsed="false">
      <c r="A9" s="7" t="s">
        <v>629</v>
      </c>
      <c r="B9" s="8" t="s">
        <v>630</v>
      </c>
      <c r="C9" s="8" t="s">
        <v>631</v>
      </c>
      <c r="D9" s="7" t="s">
        <v>608</v>
      </c>
      <c r="E9" s="7" t="s">
        <v>632</v>
      </c>
    </row>
    <row r="10" customFormat="false" ht="46.25" hidden="false" customHeight="false" outlineLevel="0" collapsed="false">
      <c r="A10" s="7" t="s">
        <v>633</v>
      </c>
      <c r="B10" s="8" t="s">
        <v>634</v>
      </c>
      <c r="C10" s="8" t="s">
        <v>635</v>
      </c>
      <c r="D10" s="7" t="s">
        <v>608</v>
      </c>
      <c r="E10" s="7" t="s">
        <v>636</v>
      </c>
    </row>
    <row r="11" customFormat="false" ht="96" hidden="false" customHeight="true" outlineLevel="0" collapsed="false">
      <c r="A11" s="8" t="s">
        <v>637</v>
      </c>
      <c r="B11" s="8" t="s">
        <v>638</v>
      </c>
      <c r="C11" s="8" t="s">
        <v>639</v>
      </c>
      <c r="D11" s="8" t="s">
        <v>640</v>
      </c>
      <c r="E11" s="8" t="s">
        <v>641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40"/>
    <col collapsed="false" customWidth="true" hidden="false" outlineLevel="0" max="4" min="4" style="0" width="34"/>
    <col collapsed="false" customWidth="true" hidden="false" outlineLevel="0" max="5" min="5" style="0" width="62"/>
    <col collapsed="false" customWidth="true" hidden="false" outlineLevel="0" max="6" min="6" style="0" width="16"/>
    <col collapsed="false" customWidth="true" hidden="false" outlineLevel="0" max="7" min="7" style="0" width="70"/>
    <col collapsed="false" customWidth="true" hidden="false" outlineLevel="0" max="8" min="8" style="0" width="52"/>
    <col collapsed="false" customWidth="true" hidden="false" outlineLevel="0" max="9" min="9" style="0" width="12"/>
    <col collapsed="false" customWidth="true" hidden="false" outlineLevel="0" max="10" min="10" style="0" width="20"/>
  </cols>
  <sheetData>
    <row r="1" customFormat="false" ht="15" hidden="false" customHeight="false" outlineLevel="0" collapsed="false">
      <c r="A1" s="9" t="s">
        <v>642</v>
      </c>
    </row>
    <row r="2" customFormat="false" ht="15" hidden="false" customHeight="false" outlineLevel="0" collapsed="false">
      <c r="A2" s="10" t="s">
        <v>643</v>
      </c>
    </row>
    <row r="3" customFormat="false" ht="15" hidden="false" customHeight="false" outlineLevel="0" collapsed="false">
      <c r="A3" s="11" t="s">
        <v>103</v>
      </c>
      <c r="B3" s="11" t="s">
        <v>644</v>
      </c>
      <c r="C3" s="11" t="s">
        <v>645</v>
      </c>
      <c r="D3" s="11" t="s">
        <v>646</v>
      </c>
      <c r="E3" s="11" t="s">
        <v>647</v>
      </c>
      <c r="F3" s="11" t="s">
        <v>648</v>
      </c>
      <c r="G3" s="11" t="s">
        <v>649</v>
      </c>
      <c r="H3" s="11" t="s">
        <v>650</v>
      </c>
      <c r="I3" s="11" t="s">
        <v>104</v>
      </c>
      <c r="J3" s="11" t="s">
        <v>651</v>
      </c>
    </row>
    <row r="4" customFormat="false" ht="35.05" hidden="false" customHeight="false" outlineLevel="0" collapsed="false">
      <c r="A4" s="12" t="s">
        <v>652</v>
      </c>
      <c r="B4" s="12" t="s">
        <v>653</v>
      </c>
      <c r="C4" s="12" t="s">
        <v>654</v>
      </c>
      <c r="D4" s="12" t="s">
        <v>655</v>
      </c>
      <c r="E4" s="12" t="s">
        <v>656</v>
      </c>
      <c r="F4" s="12" t="s">
        <v>657</v>
      </c>
      <c r="G4" s="12" t="s">
        <v>658</v>
      </c>
      <c r="H4" s="12" t="s">
        <v>659</v>
      </c>
      <c r="I4" s="12" t="s">
        <v>524</v>
      </c>
      <c r="J4" s="12" t="s">
        <v>660</v>
      </c>
    </row>
    <row r="5" customFormat="false" ht="35.05" hidden="false" customHeight="false" outlineLevel="0" collapsed="false">
      <c r="A5" s="12" t="s">
        <v>661</v>
      </c>
      <c r="B5" s="12" t="s">
        <v>653</v>
      </c>
      <c r="C5" s="12" t="s">
        <v>662</v>
      </c>
      <c r="D5" s="12" t="s">
        <v>663</v>
      </c>
      <c r="E5" s="12" t="s">
        <v>664</v>
      </c>
      <c r="F5" s="12" t="s">
        <v>665</v>
      </c>
      <c r="G5" s="12" t="s">
        <v>666</v>
      </c>
      <c r="H5" s="12" t="s">
        <v>667</v>
      </c>
      <c r="I5" s="12" t="s">
        <v>668</v>
      </c>
      <c r="J5" s="12" t="s">
        <v>669</v>
      </c>
    </row>
    <row r="6" customFormat="false" ht="23.85" hidden="false" customHeight="false" outlineLevel="0" collapsed="false">
      <c r="A6" s="12" t="s">
        <v>670</v>
      </c>
      <c r="B6" s="12" t="s">
        <v>653</v>
      </c>
      <c r="C6" s="12" t="s">
        <v>671</v>
      </c>
      <c r="D6" s="12" t="s">
        <v>672</v>
      </c>
      <c r="E6" s="12" t="s">
        <v>673</v>
      </c>
      <c r="F6" s="12" t="s">
        <v>657</v>
      </c>
      <c r="G6" s="12" t="s">
        <v>674</v>
      </c>
      <c r="H6" s="12" t="s">
        <v>675</v>
      </c>
      <c r="I6" s="12" t="s">
        <v>676</v>
      </c>
      <c r="J6" s="12" t="s">
        <v>660</v>
      </c>
    </row>
    <row r="7" customFormat="false" ht="23.85" hidden="false" customHeight="false" outlineLevel="0" collapsed="false">
      <c r="A7" s="12" t="s">
        <v>677</v>
      </c>
      <c r="B7" s="12" t="s">
        <v>653</v>
      </c>
      <c r="C7" s="12" t="s">
        <v>678</v>
      </c>
      <c r="D7" s="12" t="s">
        <v>679</v>
      </c>
      <c r="E7" s="12" t="s">
        <v>680</v>
      </c>
      <c r="F7" s="12" t="s">
        <v>657</v>
      </c>
      <c r="G7" s="12" t="s">
        <v>681</v>
      </c>
      <c r="H7" s="12" t="s">
        <v>682</v>
      </c>
      <c r="I7" s="12" t="s">
        <v>524</v>
      </c>
      <c r="J7" s="12" t="s">
        <v>660</v>
      </c>
    </row>
    <row r="8" customFormat="false" ht="23.85" hidden="false" customHeight="false" outlineLevel="0" collapsed="false">
      <c r="A8" s="12" t="s">
        <v>683</v>
      </c>
      <c r="B8" s="12" t="s">
        <v>653</v>
      </c>
      <c r="C8" s="12" t="s">
        <v>684</v>
      </c>
      <c r="D8" s="12" t="s">
        <v>685</v>
      </c>
      <c r="E8" s="12" t="s">
        <v>686</v>
      </c>
      <c r="F8" s="12" t="s">
        <v>657</v>
      </c>
      <c r="G8" s="12" t="s">
        <v>687</v>
      </c>
      <c r="H8" s="12" t="s">
        <v>688</v>
      </c>
      <c r="I8" s="12" t="s">
        <v>689</v>
      </c>
      <c r="J8" s="12" t="s">
        <v>660</v>
      </c>
    </row>
    <row r="9" customFormat="false" ht="35.05" hidden="false" customHeight="false" outlineLevel="0" collapsed="false">
      <c r="A9" s="12" t="s">
        <v>690</v>
      </c>
      <c r="B9" s="12" t="s">
        <v>653</v>
      </c>
      <c r="C9" s="12" t="s">
        <v>691</v>
      </c>
      <c r="D9" s="12" t="s">
        <v>692</v>
      </c>
      <c r="E9" s="12" t="s">
        <v>693</v>
      </c>
      <c r="F9" s="12" t="s">
        <v>657</v>
      </c>
      <c r="G9" s="12" t="s">
        <v>694</v>
      </c>
      <c r="H9" s="12" t="s">
        <v>695</v>
      </c>
      <c r="I9" s="12" t="s">
        <v>689</v>
      </c>
      <c r="J9" s="12" t="s">
        <v>660</v>
      </c>
    </row>
    <row r="10" customFormat="false" ht="23.85" hidden="false" customHeight="false" outlineLevel="0" collapsed="false">
      <c r="A10" s="12" t="s">
        <v>696</v>
      </c>
      <c r="B10" s="12" t="s">
        <v>653</v>
      </c>
      <c r="C10" s="12" t="s">
        <v>697</v>
      </c>
      <c r="D10" s="12" t="s">
        <v>698</v>
      </c>
      <c r="E10" s="12" t="s">
        <v>699</v>
      </c>
      <c r="F10" s="12" t="s">
        <v>657</v>
      </c>
      <c r="G10" s="12" t="s">
        <v>700</v>
      </c>
      <c r="H10" s="12" t="s">
        <v>701</v>
      </c>
      <c r="I10" s="12" t="s">
        <v>524</v>
      </c>
      <c r="J10" s="12" t="s">
        <v>660</v>
      </c>
    </row>
    <row r="11" customFormat="false" ht="23.85" hidden="false" customHeight="false" outlineLevel="0" collapsed="false">
      <c r="A11" s="12" t="s">
        <v>702</v>
      </c>
      <c r="B11" s="12" t="s">
        <v>653</v>
      </c>
      <c r="C11" s="12" t="s">
        <v>703</v>
      </c>
      <c r="D11" s="12" t="s">
        <v>704</v>
      </c>
      <c r="E11" s="12" t="s">
        <v>705</v>
      </c>
      <c r="F11" s="12" t="s">
        <v>657</v>
      </c>
      <c r="G11" s="12" t="s">
        <v>706</v>
      </c>
      <c r="H11" s="12" t="s">
        <v>707</v>
      </c>
      <c r="I11" s="12" t="s">
        <v>708</v>
      </c>
      <c r="J11" s="12" t="s">
        <v>660</v>
      </c>
    </row>
    <row r="12" customFormat="false" ht="23.85" hidden="false" customHeight="false" outlineLevel="0" collapsed="false">
      <c r="A12" s="12" t="s">
        <v>709</v>
      </c>
      <c r="B12" s="12" t="s">
        <v>710</v>
      </c>
      <c r="C12" s="12" t="s">
        <v>711</v>
      </c>
      <c r="D12" s="12" t="s">
        <v>712</v>
      </c>
      <c r="E12" s="12" t="s">
        <v>713</v>
      </c>
      <c r="F12" s="12" t="s">
        <v>657</v>
      </c>
      <c r="G12" s="12" t="s">
        <v>714</v>
      </c>
      <c r="H12" s="12" t="s">
        <v>715</v>
      </c>
      <c r="I12" s="12" t="s">
        <v>708</v>
      </c>
      <c r="J12" s="12" t="s">
        <v>660</v>
      </c>
    </row>
    <row r="13" customFormat="false" ht="35.05" hidden="false" customHeight="false" outlineLevel="0" collapsed="false">
      <c r="A13" s="12" t="s">
        <v>716</v>
      </c>
      <c r="B13" s="12" t="s">
        <v>653</v>
      </c>
      <c r="C13" s="12" t="s">
        <v>717</v>
      </c>
      <c r="D13" s="12" t="s">
        <v>718</v>
      </c>
      <c r="E13" s="12" t="s">
        <v>719</v>
      </c>
      <c r="F13" s="12" t="s">
        <v>665</v>
      </c>
      <c r="G13" s="12" t="s">
        <v>720</v>
      </c>
      <c r="H13" s="12" t="s">
        <v>721</v>
      </c>
      <c r="I13" s="12" t="s">
        <v>722</v>
      </c>
      <c r="J13" s="12" t="s">
        <v>723</v>
      </c>
    </row>
    <row r="14" customFormat="false" ht="35.05" hidden="false" customHeight="false" outlineLevel="0" collapsed="false">
      <c r="A14" s="12" t="s">
        <v>724</v>
      </c>
      <c r="B14" s="12" t="s">
        <v>710</v>
      </c>
      <c r="C14" s="12" t="s">
        <v>725</v>
      </c>
      <c r="D14" s="12" t="s">
        <v>726</v>
      </c>
      <c r="E14" s="12" t="s">
        <v>727</v>
      </c>
      <c r="F14" s="12" t="s">
        <v>728</v>
      </c>
      <c r="G14" s="12" t="s">
        <v>729</v>
      </c>
      <c r="H14" s="12" t="s">
        <v>730</v>
      </c>
      <c r="I14" s="12" t="s">
        <v>731</v>
      </c>
      <c r="J14" s="12" t="s">
        <v>660</v>
      </c>
    </row>
    <row r="15" customFormat="false" ht="23.85" hidden="false" customHeight="false" outlineLevel="0" collapsed="false">
      <c r="A15" s="12" t="s">
        <v>732</v>
      </c>
      <c r="B15" s="12" t="s">
        <v>710</v>
      </c>
      <c r="C15" s="12" t="s">
        <v>733</v>
      </c>
      <c r="D15" s="12" t="s">
        <v>734</v>
      </c>
      <c r="E15" s="12" t="s">
        <v>735</v>
      </c>
      <c r="F15" s="12" t="s">
        <v>665</v>
      </c>
      <c r="G15" s="12" t="s">
        <v>736</v>
      </c>
      <c r="H15" s="12" t="s">
        <v>737</v>
      </c>
      <c r="I15" s="12" t="s">
        <v>738</v>
      </c>
      <c r="J15" s="12" t="s">
        <v>660</v>
      </c>
    </row>
    <row r="16" customFormat="false" ht="23.85" hidden="false" customHeight="false" outlineLevel="0" collapsed="false">
      <c r="A16" s="12" t="s">
        <v>739</v>
      </c>
      <c r="B16" s="12" t="s">
        <v>710</v>
      </c>
      <c r="C16" s="12" t="s">
        <v>740</v>
      </c>
      <c r="D16" s="12" t="s">
        <v>741</v>
      </c>
      <c r="E16" s="12" t="s">
        <v>742</v>
      </c>
      <c r="F16" s="12" t="s">
        <v>657</v>
      </c>
      <c r="G16" s="12" t="s">
        <v>743</v>
      </c>
      <c r="H16" s="12" t="s">
        <v>744</v>
      </c>
      <c r="I16" s="12" t="s">
        <v>524</v>
      </c>
      <c r="J16" s="12" t="s">
        <v>660</v>
      </c>
    </row>
    <row r="17" customFormat="false" ht="23.85" hidden="false" customHeight="false" outlineLevel="0" collapsed="false">
      <c r="A17" s="12" t="s">
        <v>745</v>
      </c>
      <c r="B17" s="12" t="s">
        <v>710</v>
      </c>
      <c r="C17" s="12" t="s">
        <v>746</v>
      </c>
      <c r="D17" s="12" t="s">
        <v>747</v>
      </c>
      <c r="E17" s="12" t="s">
        <v>748</v>
      </c>
      <c r="F17" s="12" t="s">
        <v>657</v>
      </c>
      <c r="G17" s="12" t="s">
        <v>749</v>
      </c>
      <c r="H17" s="12" t="s">
        <v>750</v>
      </c>
      <c r="I17" s="12" t="s">
        <v>676</v>
      </c>
      <c r="J17" s="12" t="s">
        <v>660</v>
      </c>
    </row>
    <row r="18" customFormat="false" ht="35.05" hidden="false" customHeight="false" outlineLevel="0" collapsed="false">
      <c r="A18" s="12" t="s">
        <v>751</v>
      </c>
      <c r="B18" s="12" t="s">
        <v>710</v>
      </c>
      <c r="C18" s="12" t="s">
        <v>752</v>
      </c>
      <c r="D18" s="12" t="s">
        <v>753</v>
      </c>
      <c r="E18" s="12" t="s">
        <v>754</v>
      </c>
      <c r="F18" s="12" t="s">
        <v>728</v>
      </c>
      <c r="G18" s="12" t="s">
        <v>755</v>
      </c>
      <c r="H18" s="12" t="s">
        <v>756</v>
      </c>
      <c r="I18" s="12" t="s">
        <v>757</v>
      </c>
      <c r="J18" s="12" t="s">
        <v>660</v>
      </c>
    </row>
    <row r="19" customFormat="false" ht="23.85" hidden="false" customHeight="false" outlineLevel="0" collapsed="false">
      <c r="A19" s="12" t="s">
        <v>758</v>
      </c>
      <c r="B19" s="12" t="s">
        <v>710</v>
      </c>
      <c r="C19" s="12" t="s">
        <v>759</v>
      </c>
      <c r="D19" s="12" t="s">
        <v>760</v>
      </c>
      <c r="E19" s="12" t="s">
        <v>735</v>
      </c>
      <c r="F19" s="12" t="s">
        <v>665</v>
      </c>
      <c r="G19" s="12" t="s">
        <v>761</v>
      </c>
      <c r="H19" s="12" t="s">
        <v>762</v>
      </c>
      <c r="I19" s="12" t="s">
        <v>763</v>
      </c>
      <c r="J19" s="12" t="s">
        <v>660</v>
      </c>
    </row>
    <row r="20" customFormat="false" ht="23.85" hidden="false" customHeight="false" outlineLevel="0" collapsed="false">
      <c r="A20" s="12" t="s">
        <v>764</v>
      </c>
      <c r="B20" s="12" t="s">
        <v>710</v>
      </c>
      <c r="C20" s="12" t="s">
        <v>765</v>
      </c>
      <c r="D20" s="12" t="s">
        <v>766</v>
      </c>
      <c r="E20" s="12" t="s">
        <v>767</v>
      </c>
      <c r="F20" s="12" t="s">
        <v>665</v>
      </c>
      <c r="G20" s="12" t="s">
        <v>768</v>
      </c>
      <c r="H20" s="12" t="s">
        <v>769</v>
      </c>
      <c r="I20" s="12" t="s">
        <v>770</v>
      </c>
      <c r="J20" s="12" t="s">
        <v>608</v>
      </c>
    </row>
    <row r="21" customFormat="false" ht="23.85" hidden="false" customHeight="false" outlineLevel="0" collapsed="false">
      <c r="A21" s="12" t="s">
        <v>771</v>
      </c>
      <c r="B21" s="12" t="s">
        <v>772</v>
      </c>
      <c r="C21" s="12" t="s">
        <v>773</v>
      </c>
      <c r="D21" s="12" t="s">
        <v>774</v>
      </c>
      <c r="E21" s="12" t="s">
        <v>775</v>
      </c>
      <c r="F21" s="12" t="s">
        <v>665</v>
      </c>
      <c r="G21" s="12" t="s">
        <v>776</v>
      </c>
      <c r="H21" s="12" t="s">
        <v>777</v>
      </c>
      <c r="I21" s="12" t="s">
        <v>778</v>
      </c>
      <c r="J21" s="12" t="s">
        <v>608</v>
      </c>
    </row>
    <row r="22" customFormat="false" ht="35.05" hidden="false" customHeight="false" outlineLevel="0" collapsed="false">
      <c r="A22" s="12" t="s">
        <v>779</v>
      </c>
      <c r="B22" s="12" t="s">
        <v>772</v>
      </c>
      <c r="C22" s="12" t="s">
        <v>780</v>
      </c>
      <c r="D22" s="12" t="s">
        <v>781</v>
      </c>
      <c r="E22" s="12" t="s">
        <v>782</v>
      </c>
      <c r="F22" s="12" t="s">
        <v>783</v>
      </c>
      <c r="G22" s="12" t="s">
        <v>784</v>
      </c>
      <c r="H22" s="12" t="s">
        <v>785</v>
      </c>
      <c r="I22" s="12" t="s">
        <v>786</v>
      </c>
      <c r="J22" s="12" t="s">
        <v>787</v>
      </c>
    </row>
    <row r="23" customFormat="false" ht="35.05" hidden="false" customHeight="false" outlineLevel="0" collapsed="false">
      <c r="A23" s="12" t="s">
        <v>788</v>
      </c>
      <c r="B23" s="12" t="s">
        <v>772</v>
      </c>
      <c r="C23" s="12" t="s">
        <v>789</v>
      </c>
      <c r="D23" s="12" t="s">
        <v>790</v>
      </c>
      <c r="E23" s="12" t="s">
        <v>735</v>
      </c>
      <c r="F23" s="12" t="s">
        <v>728</v>
      </c>
      <c r="G23" s="12" t="s">
        <v>791</v>
      </c>
      <c r="H23" s="12" t="s">
        <v>792</v>
      </c>
      <c r="I23" s="12" t="s">
        <v>793</v>
      </c>
      <c r="J23" s="12" t="s">
        <v>794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44"/>
    <col collapsed="false" customWidth="true" hidden="false" outlineLevel="0" max="4" min="4" style="0" width="34"/>
    <col collapsed="false" customWidth="true" hidden="false" outlineLevel="0" max="5" min="5" style="0" width="48"/>
    <col collapsed="false" customWidth="true" hidden="false" outlineLevel="0" max="6" min="6" style="0" width="22"/>
    <col collapsed="false" customWidth="true" hidden="false" outlineLevel="0" max="7" min="7" style="0" width="70"/>
    <col collapsed="false" customWidth="true" hidden="false" outlineLevel="0" max="8" min="8" style="0" width="52"/>
    <col collapsed="false" customWidth="true" hidden="false" outlineLevel="0" max="9" min="9" style="0" width="14"/>
    <col collapsed="false" customWidth="true" hidden="false" outlineLevel="0" max="10" min="10" style="0" width="16"/>
  </cols>
  <sheetData>
    <row r="1" customFormat="false" ht="15" hidden="false" customHeight="false" outlineLevel="0" collapsed="false">
      <c r="A1" s="13" t="s">
        <v>795</v>
      </c>
    </row>
    <row r="2" customFormat="false" ht="15" hidden="false" customHeight="false" outlineLevel="0" collapsed="false">
      <c r="A2" s="14" t="s">
        <v>796</v>
      </c>
    </row>
    <row r="3" customFormat="false" ht="15" hidden="false" customHeight="false" outlineLevel="0" collapsed="false">
      <c r="A3" s="15" t="s">
        <v>103</v>
      </c>
      <c r="B3" s="15" t="s">
        <v>644</v>
      </c>
      <c r="C3" s="15" t="s">
        <v>645</v>
      </c>
      <c r="D3" s="15" t="s">
        <v>646</v>
      </c>
      <c r="E3" s="15" t="s">
        <v>647</v>
      </c>
      <c r="F3" s="15" t="s">
        <v>648</v>
      </c>
      <c r="G3" s="15" t="s">
        <v>649</v>
      </c>
      <c r="H3" s="15" t="s">
        <v>650</v>
      </c>
      <c r="I3" s="15" t="s">
        <v>104</v>
      </c>
      <c r="J3" s="15" t="s">
        <v>651</v>
      </c>
    </row>
    <row r="4" customFormat="false" ht="120" hidden="false" customHeight="true" outlineLevel="0" collapsed="false">
      <c r="A4" s="8" t="s">
        <v>797</v>
      </c>
      <c r="B4" s="8" t="s">
        <v>653</v>
      </c>
      <c r="C4" s="8" t="s">
        <v>798</v>
      </c>
      <c r="D4" s="8" t="s">
        <v>799</v>
      </c>
      <c r="E4" s="8" t="s">
        <v>800</v>
      </c>
      <c r="F4" s="8" t="s">
        <v>801</v>
      </c>
      <c r="G4" s="8" t="s">
        <v>802</v>
      </c>
      <c r="H4" s="8" t="s">
        <v>803</v>
      </c>
      <c r="I4" s="8" t="s">
        <v>567</v>
      </c>
      <c r="J4" s="8" t="s">
        <v>660</v>
      </c>
    </row>
    <row r="5" customFormat="false" ht="120" hidden="false" customHeight="true" outlineLevel="0" collapsed="false">
      <c r="A5" s="8" t="s">
        <v>804</v>
      </c>
      <c r="B5" s="8" t="s">
        <v>653</v>
      </c>
      <c r="C5" s="8" t="s">
        <v>805</v>
      </c>
      <c r="D5" s="8" t="s">
        <v>806</v>
      </c>
      <c r="E5" s="8" t="s">
        <v>807</v>
      </c>
      <c r="F5" s="8" t="s">
        <v>808</v>
      </c>
      <c r="G5" s="8" t="s">
        <v>809</v>
      </c>
      <c r="H5" s="8" t="s">
        <v>810</v>
      </c>
      <c r="I5" s="8" t="s">
        <v>578</v>
      </c>
      <c r="J5" s="8" t="s">
        <v>660</v>
      </c>
    </row>
    <row r="6" customFormat="false" ht="120" hidden="false" customHeight="true" outlineLevel="0" collapsed="false">
      <c r="A6" s="8" t="s">
        <v>811</v>
      </c>
      <c r="B6" s="8" t="s">
        <v>710</v>
      </c>
      <c r="C6" s="8" t="s">
        <v>812</v>
      </c>
      <c r="D6" s="8" t="s">
        <v>813</v>
      </c>
      <c r="E6" s="8" t="s">
        <v>814</v>
      </c>
      <c r="F6" s="8" t="s">
        <v>815</v>
      </c>
      <c r="G6" s="8" t="s">
        <v>816</v>
      </c>
      <c r="H6" s="8" t="s">
        <v>817</v>
      </c>
      <c r="I6" s="8" t="s">
        <v>585</v>
      </c>
      <c r="J6" s="8" t="s">
        <v>660</v>
      </c>
    </row>
    <row r="7" customFormat="false" ht="120" hidden="false" customHeight="true" outlineLevel="0" collapsed="false">
      <c r="A7" s="8" t="s">
        <v>818</v>
      </c>
      <c r="B7" s="8" t="s">
        <v>710</v>
      </c>
      <c r="C7" s="8" t="s">
        <v>819</v>
      </c>
      <c r="D7" s="8" t="s">
        <v>820</v>
      </c>
      <c r="E7" s="8" t="s">
        <v>821</v>
      </c>
      <c r="F7" s="8" t="s">
        <v>815</v>
      </c>
      <c r="G7" s="8" t="s">
        <v>822</v>
      </c>
      <c r="H7" s="8" t="s">
        <v>823</v>
      </c>
      <c r="I7" s="8" t="s">
        <v>585</v>
      </c>
      <c r="J7" s="8" t="s">
        <v>660</v>
      </c>
    </row>
    <row r="8" customFormat="false" ht="120" hidden="false" customHeight="true" outlineLevel="0" collapsed="false">
      <c r="A8" s="8" t="s">
        <v>824</v>
      </c>
      <c r="B8" s="8" t="s">
        <v>710</v>
      </c>
      <c r="C8" s="8" t="s">
        <v>825</v>
      </c>
      <c r="D8" s="8" t="s">
        <v>826</v>
      </c>
      <c r="E8" s="8" t="s">
        <v>827</v>
      </c>
      <c r="F8" s="8" t="s">
        <v>828</v>
      </c>
      <c r="G8" s="8" t="s">
        <v>829</v>
      </c>
      <c r="H8" s="8" t="s">
        <v>830</v>
      </c>
      <c r="I8" s="8" t="s">
        <v>831</v>
      </c>
      <c r="J8" s="8" t="s">
        <v>660</v>
      </c>
    </row>
    <row r="9" customFormat="false" ht="120" hidden="false" customHeight="true" outlineLevel="0" collapsed="false">
      <c r="A9" s="8" t="s">
        <v>832</v>
      </c>
      <c r="B9" s="8" t="s">
        <v>772</v>
      </c>
      <c r="C9" s="8" t="s">
        <v>833</v>
      </c>
      <c r="D9" s="8" t="s">
        <v>834</v>
      </c>
      <c r="E9" s="8" t="s">
        <v>835</v>
      </c>
      <c r="F9" s="8" t="s">
        <v>815</v>
      </c>
      <c r="G9" s="8" t="s">
        <v>836</v>
      </c>
      <c r="H9" s="8" t="s">
        <v>837</v>
      </c>
      <c r="I9" s="8" t="s">
        <v>585</v>
      </c>
      <c r="J9" s="8" t="s">
        <v>660</v>
      </c>
    </row>
    <row r="10" customFormat="false" ht="120" hidden="false" customHeight="true" outlineLevel="0" collapsed="false">
      <c r="A10" s="8" t="s">
        <v>838</v>
      </c>
      <c r="B10" s="8" t="s">
        <v>772</v>
      </c>
      <c r="C10" s="8" t="s">
        <v>839</v>
      </c>
      <c r="D10" s="8" t="s">
        <v>840</v>
      </c>
      <c r="E10" s="8" t="s">
        <v>735</v>
      </c>
      <c r="F10" s="8" t="s">
        <v>815</v>
      </c>
      <c r="G10" s="8" t="s">
        <v>841</v>
      </c>
      <c r="H10" s="8" t="s">
        <v>842</v>
      </c>
      <c r="I10" s="8" t="s">
        <v>585</v>
      </c>
      <c r="J10" s="8" t="s">
        <v>660</v>
      </c>
    </row>
    <row r="11" customFormat="false" ht="120" hidden="false" customHeight="true" outlineLevel="0" collapsed="false">
      <c r="A11" s="8" t="s">
        <v>843</v>
      </c>
      <c r="B11" s="8" t="s">
        <v>772</v>
      </c>
      <c r="C11" s="8" t="s">
        <v>844</v>
      </c>
      <c r="D11" s="8" t="s">
        <v>845</v>
      </c>
      <c r="E11" s="8" t="s">
        <v>735</v>
      </c>
      <c r="F11" s="8" t="s">
        <v>815</v>
      </c>
      <c r="G11" s="8" t="s">
        <v>846</v>
      </c>
      <c r="H11" s="8" t="s">
        <v>847</v>
      </c>
      <c r="I11" s="8" t="s">
        <v>585</v>
      </c>
      <c r="J11" s="8" t="s">
        <v>660</v>
      </c>
    </row>
    <row r="12" customFormat="false" ht="120" hidden="false" customHeight="true" outlineLevel="0" collapsed="false">
      <c r="A12" s="8" t="s">
        <v>848</v>
      </c>
      <c r="B12" s="8" t="s">
        <v>772</v>
      </c>
      <c r="C12" s="8" t="s">
        <v>849</v>
      </c>
      <c r="D12" s="8" t="s">
        <v>850</v>
      </c>
      <c r="E12" s="8" t="s">
        <v>851</v>
      </c>
      <c r="F12" s="8" t="s">
        <v>852</v>
      </c>
      <c r="G12" s="8" t="s">
        <v>853</v>
      </c>
      <c r="H12" s="8" t="s">
        <v>854</v>
      </c>
      <c r="I12" s="8" t="s">
        <v>778</v>
      </c>
      <c r="J12" s="8" t="s">
        <v>855</v>
      </c>
    </row>
    <row r="13" customFormat="false" ht="120" hidden="false" customHeight="true" outlineLevel="0" collapsed="false">
      <c r="A13" s="8" t="s">
        <v>856</v>
      </c>
      <c r="B13" s="8" t="s">
        <v>772</v>
      </c>
      <c r="C13" s="8" t="s">
        <v>857</v>
      </c>
      <c r="D13" s="8" t="s">
        <v>858</v>
      </c>
      <c r="E13" s="8" t="s">
        <v>735</v>
      </c>
      <c r="F13" s="8" t="s">
        <v>859</v>
      </c>
      <c r="G13" s="8" t="s">
        <v>860</v>
      </c>
      <c r="H13" s="8" t="s">
        <v>861</v>
      </c>
      <c r="I13" s="8" t="s">
        <v>585</v>
      </c>
      <c r="J13" s="8" t="s">
        <v>660</v>
      </c>
    </row>
    <row r="14" customFormat="false" ht="120" hidden="false" customHeight="true" outlineLevel="0" collapsed="false">
      <c r="A14" s="8" t="s">
        <v>862</v>
      </c>
      <c r="B14" s="8" t="s">
        <v>772</v>
      </c>
      <c r="C14" s="8" t="s">
        <v>863</v>
      </c>
      <c r="D14" s="8" t="s">
        <v>864</v>
      </c>
      <c r="E14" s="8" t="s">
        <v>735</v>
      </c>
      <c r="F14" s="8" t="s">
        <v>815</v>
      </c>
      <c r="G14" s="8" t="s">
        <v>865</v>
      </c>
      <c r="H14" s="8" t="s">
        <v>866</v>
      </c>
      <c r="I14" s="8" t="s">
        <v>585</v>
      </c>
      <c r="J14" s="8" t="s">
        <v>660</v>
      </c>
    </row>
    <row r="15" customFormat="false" ht="120" hidden="false" customHeight="true" outlineLevel="0" collapsed="false">
      <c r="A15" s="8" t="s">
        <v>867</v>
      </c>
      <c r="B15" s="8" t="s">
        <v>868</v>
      </c>
      <c r="C15" s="8" t="s">
        <v>869</v>
      </c>
      <c r="D15" s="8" t="s">
        <v>870</v>
      </c>
      <c r="E15" s="8" t="s">
        <v>871</v>
      </c>
      <c r="F15" s="8" t="s">
        <v>872</v>
      </c>
      <c r="G15" s="8" t="s">
        <v>873</v>
      </c>
      <c r="H15" s="8" t="s">
        <v>874</v>
      </c>
      <c r="I15" s="8" t="s">
        <v>875</v>
      </c>
      <c r="J15" s="8" t="s">
        <v>876</v>
      </c>
    </row>
    <row r="16" customFormat="false" ht="120" hidden="false" customHeight="true" outlineLevel="0" collapsed="false">
      <c r="A16" s="8" t="s">
        <v>877</v>
      </c>
      <c r="B16" s="8" t="s">
        <v>710</v>
      </c>
      <c r="C16" s="8" t="s">
        <v>878</v>
      </c>
      <c r="D16" s="8" t="s">
        <v>879</v>
      </c>
      <c r="E16" s="8" t="s">
        <v>880</v>
      </c>
      <c r="F16" s="8" t="s">
        <v>881</v>
      </c>
      <c r="G16" s="8" t="s">
        <v>882</v>
      </c>
      <c r="H16" s="8" t="s">
        <v>883</v>
      </c>
      <c r="I16" s="8" t="s">
        <v>578</v>
      </c>
      <c r="J16" s="8" t="s">
        <v>660</v>
      </c>
    </row>
    <row r="17" customFormat="false" ht="120" hidden="false" customHeight="true" outlineLevel="0" collapsed="false">
      <c r="A17" s="8" t="s">
        <v>884</v>
      </c>
      <c r="B17" s="8" t="s">
        <v>772</v>
      </c>
      <c r="C17" s="8" t="s">
        <v>885</v>
      </c>
      <c r="D17" s="8" t="s">
        <v>886</v>
      </c>
      <c r="E17" s="8" t="s">
        <v>887</v>
      </c>
      <c r="F17" s="8" t="s">
        <v>665</v>
      </c>
      <c r="G17" s="8" t="s">
        <v>888</v>
      </c>
      <c r="H17" s="8" t="s">
        <v>889</v>
      </c>
      <c r="I17" s="8" t="s">
        <v>731</v>
      </c>
      <c r="J17" s="8" t="s">
        <v>660</v>
      </c>
    </row>
    <row r="18" customFormat="false" ht="120" hidden="false" customHeight="true" outlineLevel="0" collapsed="false">
      <c r="A18" s="8" t="s">
        <v>890</v>
      </c>
      <c r="B18" s="8" t="s">
        <v>891</v>
      </c>
      <c r="C18" s="8" t="s">
        <v>892</v>
      </c>
      <c r="D18" s="8" t="s">
        <v>893</v>
      </c>
      <c r="E18" s="8" t="s">
        <v>894</v>
      </c>
      <c r="F18" s="8" t="s">
        <v>665</v>
      </c>
      <c r="G18" s="8" t="s">
        <v>895</v>
      </c>
      <c r="H18" s="8" t="s">
        <v>896</v>
      </c>
      <c r="I18" s="8" t="s">
        <v>897</v>
      </c>
      <c r="J18" s="8" t="s">
        <v>660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2"/>
    <col collapsed="false" customWidth="true" hidden="false" outlineLevel="0" max="4" min="4" style="0" width="22"/>
    <col collapsed="false" customWidth="true" hidden="false" outlineLevel="0" max="5" min="5" style="0" width="30"/>
    <col collapsed="false" customWidth="true" hidden="false" outlineLevel="0" max="6" min="6" style="0" width="86"/>
    <col collapsed="false" customWidth="true" hidden="false" outlineLevel="0" max="7" min="7" style="0" width="30"/>
    <col collapsed="false" customWidth="true" hidden="false" outlineLevel="0" max="8" min="8" style="0" width="22"/>
    <col collapsed="false" customWidth="true" hidden="false" outlineLevel="0" max="9" min="9" style="0" width="44"/>
  </cols>
  <sheetData>
    <row r="1" customFormat="false" ht="15" hidden="false" customHeight="false" outlineLevel="0" collapsed="false">
      <c r="A1" s="9" t="s">
        <v>898</v>
      </c>
    </row>
    <row r="2" customFormat="false" ht="15" hidden="false" customHeight="false" outlineLevel="0" collapsed="false">
      <c r="A2" s="10" t="s">
        <v>899</v>
      </c>
    </row>
    <row r="3" customFormat="false" ht="15" hidden="false" customHeight="false" outlineLevel="0" collapsed="false">
      <c r="A3" s="11" t="s">
        <v>104</v>
      </c>
      <c r="B3" s="11" t="s">
        <v>900</v>
      </c>
      <c r="C3" s="11" t="s">
        <v>901</v>
      </c>
      <c r="D3" s="11" t="s">
        <v>902</v>
      </c>
      <c r="E3" s="11" t="s">
        <v>903</v>
      </c>
      <c r="F3" s="11" t="s">
        <v>904</v>
      </c>
      <c r="G3" s="11" t="s">
        <v>651</v>
      </c>
      <c r="H3" s="11" t="s">
        <v>905</v>
      </c>
      <c r="I3" s="11" t="s">
        <v>906</v>
      </c>
    </row>
    <row r="4" customFormat="false" ht="90" hidden="false" customHeight="true" outlineLevel="0" collapsed="false">
      <c r="A4" s="8" t="s">
        <v>567</v>
      </c>
      <c r="B4" s="8" t="s">
        <v>907</v>
      </c>
      <c r="C4" s="8" t="s">
        <v>908</v>
      </c>
      <c r="D4" s="8" t="s">
        <v>797</v>
      </c>
      <c r="E4" s="8" t="s">
        <v>909</v>
      </c>
      <c r="F4" s="8" t="s">
        <v>910</v>
      </c>
      <c r="G4" s="8" t="s">
        <v>660</v>
      </c>
      <c r="H4" s="8" t="s">
        <v>911</v>
      </c>
      <c r="I4" s="8" t="s">
        <v>912</v>
      </c>
    </row>
    <row r="5" customFormat="false" ht="90" hidden="false" customHeight="true" outlineLevel="0" collapsed="false">
      <c r="A5" s="8" t="s">
        <v>578</v>
      </c>
      <c r="B5" s="8" t="s">
        <v>913</v>
      </c>
      <c r="C5" s="8" t="s">
        <v>908</v>
      </c>
      <c r="D5" s="8" t="s">
        <v>914</v>
      </c>
      <c r="E5" s="8" t="s">
        <v>915</v>
      </c>
      <c r="F5" s="8" t="s">
        <v>916</v>
      </c>
      <c r="G5" s="8" t="s">
        <v>917</v>
      </c>
      <c r="H5" s="8" t="s">
        <v>911</v>
      </c>
      <c r="I5" s="8" t="s">
        <v>918</v>
      </c>
    </row>
    <row r="6" customFormat="false" ht="90" hidden="false" customHeight="true" outlineLevel="0" collapsed="false">
      <c r="A6" s="8" t="s">
        <v>585</v>
      </c>
      <c r="B6" s="8" t="s">
        <v>919</v>
      </c>
      <c r="C6" s="8" t="s">
        <v>908</v>
      </c>
      <c r="D6" s="8" t="s">
        <v>920</v>
      </c>
      <c r="E6" s="8" t="s">
        <v>909</v>
      </c>
      <c r="F6" s="8" t="s">
        <v>921</v>
      </c>
      <c r="G6" s="8" t="s">
        <v>660</v>
      </c>
      <c r="H6" s="8" t="s">
        <v>911</v>
      </c>
      <c r="I6" s="8" t="s">
        <v>922</v>
      </c>
    </row>
    <row r="7" customFormat="false" ht="90" hidden="false" customHeight="true" outlineLevel="0" collapsed="false">
      <c r="A7" s="8" t="s">
        <v>524</v>
      </c>
      <c r="B7" s="8" t="s">
        <v>923</v>
      </c>
      <c r="C7" s="8" t="s">
        <v>908</v>
      </c>
      <c r="D7" s="8" t="s">
        <v>924</v>
      </c>
      <c r="E7" s="8" t="s">
        <v>925</v>
      </c>
      <c r="F7" s="8" t="s">
        <v>926</v>
      </c>
      <c r="G7" s="8" t="s">
        <v>660</v>
      </c>
      <c r="H7" s="8" t="s">
        <v>927</v>
      </c>
      <c r="I7" s="8" t="s">
        <v>928</v>
      </c>
    </row>
    <row r="8" customFormat="false" ht="90" hidden="false" customHeight="true" outlineLevel="0" collapsed="false">
      <c r="A8" s="8" t="s">
        <v>676</v>
      </c>
      <c r="B8" s="8" t="s">
        <v>929</v>
      </c>
      <c r="C8" s="8" t="s">
        <v>908</v>
      </c>
      <c r="D8" s="8" t="s">
        <v>930</v>
      </c>
      <c r="E8" s="8" t="s">
        <v>931</v>
      </c>
      <c r="F8" s="8" t="s">
        <v>932</v>
      </c>
      <c r="G8" s="8" t="s">
        <v>660</v>
      </c>
      <c r="H8" s="8" t="s">
        <v>927</v>
      </c>
      <c r="I8" s="8" t="s">
        <v>933</v>
      </c>
    </row>
    <row r="9" customFormat="false" ht="90" hidden="false" customHeight="true" outlineLevel="0" collapsed="false">
      <c r="A9" s="8" t="s">
        <v>689</v>
      </c>
      <c r="B9" s="8" t="s">
        <v>934</v>
      </c>
      <c r="C9" s="8" t="s">
        <v>908</v>
      </c>
      <c r="D9" s="8" t="s">
        <v>935</v>
      </c>
      <c r="E9" s="8" t="s">
        <v>936</v>
      </c>
      <c r="F9" s="8" t="s">
        <v>937</v>
      </c>
      <c r="G9" s="8" t="s">
        <v>938</v>
      </c>
      <c r="H9" s="8" t="s">
        <v>927</v>
      </c>
      <c r="I9" s="8" t="s">
        <v>939</v>
      </c>
    </row>
    <row r="10" customFormat="false" ht="90" hidden="false" customHeight="true" outlineLevel="0" collapsed="false">
      <c r="A10" s="8" t="s">
        <v>708</v>
      </c>
      <c r="B10" s="8" t="s">
        <v>940</v>
      </c>
      <c r="C10" s="8" t="s">
        <v>908</v>
      </c>
      <c r="D10" s="8" t="s">
        <v>941</v>
      </c>
      <c r="E10" s="8" t="s">
        <v>942</v>
      </c>
      <c r="F10" s="8" t="s">
        <v>943</v>
      </c>
      <c r="G10" s="8" t="s">
        <v>660</v>
      </c>
      <c r="H10" s="8" t="s">
        <v>927</v>
      </c>
      <c r="I10" s="8" t="s">
        <v>944</v>
      </c>
    </row>
    <row r="11" customFormat="false" ht="90" hidden="false" customHeight="true" outlineLevel="0" collapsed="false">
      <c r="A11" s="8" t="s">
        <v>722</v>
      </c>
      <c r="B11" s="8" t="s">
        <v>945</v>
      </c>
      <c r="C11" s="8" t="s">
        <v>908</v>
      </c>
      <c r="D11" s="8" t="s">
        <v>716</v>
      </c>
      <c r="E11" s="8" t="s">
        <v>946</v>
      </c>
      <c r="F11" s="8" t="s">
        <v>947</v>
      </c>
      <c r="G11" s="8" t="s">
        <v>723</v>
      </c>
      <c r="H11" s="8" t="s">
        <v>927</v>
      </c>
      <c r="I11" s="8" t="s">
        <v>948</v>
      </c>
    </row>
    <row r="12" customFormat="false" ht="90" hidden="false" customHeight="true" outlineLevel="0" collapsed="false">
      <c r="A12" s="8" t="s">
        <v>949</v>
      </c>
      <c r="B12" s="8" t="s">
        <v>950</v>
      </c>
      <c r="C12" s="8" t="s">
        <v>951</v>
      </c>
      <c r="D12" s="8" t="s">
        <v>952</v>
      </c>
      <c r="E12" s="8" t="s">
        <v>953</v>
      </c>
      <c r="F12" s="8" t="s">
        <v>954</v>
      </c>
      <c r="G12" s="8" t="s">
        <v>955</v>
      </c>
      <c r="H12" s="8" t="s">
        <v>956</v>
      </c>
      <c r="I12" s="8" t="s">
        <v>957</v>
      </c>
    </row>
    <row r="13" customFormat="false" ht="90" hidden="false" customHeight="true" outlineLevel="0" collapsed="false">
      <c r="A13" s="8" t="s">
        <v>786</v>
      </c>
      <c r="B13" s="8" t="s">
        <v>958</v>
      </c>
      <c r="C13" s="8" t="s">
        <v>959</v>
      </c>
      <c r="D13" s="8" t="s">
        <v>960</v>
      </c>
      <c r="E13" s="8" t="s">
        <v>961</v>
      </c>
      <c r="F13" s="8" t="s">
        <v>962</v>
      </c>
      <c r="G13" s="8" t="s">
        <v>660</v>
      </c>
      <c r="H13" s="8" t="s">
        <v>710</v>
      </c>
      <c r="I13" s="8" t="s">
        <v>963</v>
      </c>
    </row>
    <row r="14" customFormat="false" ht="90" hidden="false" customHeight="true" outlineLevel="0" collapsed="false">
      <c r="A14" s="8" t="s">
        <v>731</v>
      </c>
      <c r="B14" s="8" t="s">
        <v>964</v>
      </c>
      <c r="C14" s="8" t="s">
        <v>965</v>
      </c>
      <c r="D14" s="8" t="s">
        <v>966</v>
      </c>
      <c r="E14" s="8" t="s">
        <v>967</v>
      </c>
      <c r="F14" s="8" t="s">
        <v>968</v>
      </c>
      <c r="G14" s="8" t="s">
        <v>660</v>
      </c>
      <c r="H14" s="8" t="s">
        <v>710</v>
      </c>
      <c r="I14" s="8" t="s">
        <v>969</v>
      </c>
    </row>
    <row r="15" customFormat="false" ht="90" hidden="false" customHeight="true" outlineLevel="0" collapsed="false">
      <c r="A15" s="8" t="s">
        <v>738</v>
      </c>
      <c r="B15" s="8" t="s">
        <v>970</v>
      </c>
      <c r="C15" s="8" t="s">
        <v>965</v>
      </c>
      <c r="D15" s="8" t="s">
        <v>971</v>
      </c>
      <c r="E15" s="8" t="s">
        <v>972</v>
      </c>
      <c r="F15" s="8" t="s">
        <v>973</v>
      </c>
      <c r="G15" s="8" t="s">
        <v>660</v>
      </c>
      <c r="H15" s="8" t="s">
        <v>710</v>
      </c>
      <c r="I15" s="8" t="s">
        <v>974</v>
      </c>
    </row>
    <row r="16" customFormat="false" ht="90" hidden="false" customHeight="true" outlineLevel="0" collapsed="false">
      <c r="A16" s="8" t="s">
        <v>975</v>
      </c>
      <c r="B16" s="8" t="s">
        <v>976</v>
      </c>
      <c r="C16" s="8" t="s">
        <v>965</v>
      </c>
      <c r="D16" s="8" t="s">
        <v>758</v>
      </c>
      <c r="E16" s="8" t="s">
        <v>665</v>
      </c>
      <c r="F16" s="8" t="s">
        <v>977</v>
      </c>
      <c r="G16" s="8" t="s">
        <v>978</v>
      </c>
      <c r="H16" s="8" t="s">
        <v>710</v>
      </c>
      <c r="I16" s="8" t="s">
        <v>979</v>
      </c>
    </row>
    <row r="17" customFormat="false" ht="90" hidden="false" customHeight="true" outlineLevel="0" collapsed="false">
      <c r="A17" s="8" t="s">
        <v>980</v>
      </c>
      <c r="B17" s="8" t="s">
        <v>981</v>
      </c>
      <c r="C17" s="8" t="s">
        <v>965</v>
      </c>
      <c r="D17" s="8" t="s">
        <v>982</v>
      </c>
      <c r="E17" s="8" t="s">
        <v>665</v>
      </c>
      <c r="F17" s="8" t="s">
        <v>983</v>
      </c>
      <c r="G17" s="8" t="s">
        <v>984</v>
      </c>
      <c r="H17" s="8" t="s">
        <v>710</v>
      </c>
      <c r="I17" s="8" t="s">
        <v>985</v>
      </c>
    </row>
    <row r="18" customFormat="false" ht="90" hidden="false" customHeight="true" outlineLevel="0" collapsed="false">
      <c r="A18" s="8" t="s">
        <v>986</v>
      </c>
      <c r="B18" s="8" t="s">
        <v>987</v>
      </c>
      <c r="C18" s="8" t="s">
        <v>965</v>
      </c>
      <c r="D18" s="8" t="s">
        <v>988</v>
      </c>
      <c r="E18" s="8" t="s">
        <v>989</v>
      </c>
      <c r="F18" s="8" t="s">
        <v>990</v>
      </c>
      <c r="G18" s="8" t="s">
        <v>660</v>
      </c>
      <c r="H18" s="8" t="s">
        <v>991</v>
      </c>
      <c r="I18" s="8" t="s">
        <v>992</v>
      </c>
    </row>
    <row r="19" customFormat="false" ht="90" hidden="false" customHeight="true" outlineLevel="0" collapsed="false">
      <c r="A19" s="8" t="s">
        <v>993</v>
      </c>
      <c r="B19" s="8" t="s">
        <v>994</v>
      </c>
      <c r="C19" s="8" t="s">
        <v>965</v>
      </c>
      <c r="D19" s="8" t="s">
        <v>995</v>
      </c>
      <c r="E19" s="8" t="s">
        <v>665</v>
      </c>
      <c r="F19" s="8" t="s">
        <v>996</v>
      </c>
      <c r="G19" s="8" t="s">
        <v>660</v>
      </c>
      <c r="H19" s="8" t="s">
        <v>991</v>
      </c>
      <c r="I19" s="8" t="s">
        <v>997</v>
      </c>
    </row>
    <row r="20" customFormat="false" ht="90" hidden="false" customHeight="true" outlineLevel="0" collapsed="false">
      <c r="A20" s="8" t="s">
        <v>998</v>
      </c>
      <c r="B20" s="8" t="s">
        <v>999</v>
      </c>
      <c r="C20" s="8" t="s">
        <v>965</v>
      </c>
      <c r="D20" s="8" t="s">
        <v>1000</v>
      </c>
      <c r="E20" s="8" t="s">
        <v>1001</v>
      </c>
      <c r="F20" s="8" t="s">
        <v>1002</v>
      </c>
      <c r="G20" s="8" t="s">
        <v>1003</v>
      </c>
      <c r="H20" s="8" t="s">
        <v>772</v>
      </c>
      <c r="I20" s="8" t="s">
        <v>1004</v>
      </c>
    </row>
    <row r="21" customFormat="false" ht="90" hidden="false" customHeight="true" outlineLevel="0" collapsed="false">
      <c r="A21" s="8" t="s">
        <v>778</v>
      </c>
      <c r="B21" s="8" t="s">
        <v>1005</v>
      </c>
      <c r="C21" s="8" t="s">
        <v>1006</v>
      </c>
      <c r="D21" s="8" t="s">
        <v>771</v>
      </c>
      <c r="E21" s="8" t="s">
        <v>1007</v>
      </c>
      <c r="F21" s="8" t="s">
        <v>1008</v>
      </c>
      <c r="G21" s="8" t="s">
        <v>1009</v>
      </c>
      <c r="H21" s="8" t="s">
        <v>1010</v>
      </c>
      <c r="I21" s="8" t="s">
        <v>1011</v>
      </c>
    </row>
    <row r="22" customFormat="false" ht="90" hidden="false" customHeight="true" outlineLevel="0" collapsed="false">
      <c r="A22" s="8" t="s">
        <v>770</v>
      </c>
      <c r="B22" s="8" t="s">
        <v>1012</v>
      </c>
      <c r="C22" s="8" t="s">
        <v>1013</v>
      </c>
      <c r="D22" s="8" t="s">
        <v>764</v>
      </c>
      <c r="E22" s="8" t="s">
        <v>1014</v>
      </c>
      <c r="F22" s="8" t="s">
        <v>1015</v>
      </c>
      <c r="G22" s="8" t="s">
        <v>1016</v>
      </c>
      <c r="H22" s="8" t="s">
        <v>1017</v>
      </c>
      <c r="I22" s="8" t="s">
        <v>1018</v>
      </c>
    </row>
    <row r="23" customFormat="false" ht="90" hidden="false" customHeight="true" outlineLevel="0" collapsed="false">
      <c r="A23" s="8" t="s">
        <v>1019</v>
      </c>
      <c r="B23" s="8" t="s">
        <v>1020</v>
      </c>
      <c r="C23" s="8" t="s">
        <v>1021</v>
      </c>
      <c r="D23" s="8" t="s">
        <v>1022</v>
      </c>
      <c r="E23" s="8" t="s">
        <v>665</v>
      </c>
      <c r="F23" s="8" t="s">
        <v>1023</v>
      </c>
      <c r="G23" s="8" t="s">
        <v>1024</v>
      </c>
      <c r="H23" s="8" t="s">
        <v>1025</v>
      </c>
      <c r="I23" s="8" t="s">
        <v>1026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6"/>
    <col collapsed="false" customWidth="true" hidden="false" outlineLevel="0" max="3" min="3" style="0" width="22"/>
    <col collapsed="false" customWidth="true" hidden="false" outlineLevel="0" max="4" min="4" style="0" width="8"/>
    <col collapsed="false" customWidth="true" hidden="false" outlineLevel="0" max="6" min="5" style="0" width="10"/>
    <col collapsed="false" customWidth="true" hidden="false" outlineLevel="0" max="7" min="7" style="0" width="80"/>
  </cols>
  <sheetData>
    <row r="1" customFormat="false" ht="15" hidden="false" customHeight="false" outlineLevel="0" collapsed="false">
      <c r="A1" s="9" t="s">
        <v>1027</v>
      </c>
    </row>
    <row r="2" customFormat="false" ht="15" hidden="false" customHeight="false" outlineLevel="0" collapsed="false">
      <c r="A2" s="10" t="s">
        <v>1028</v>
      </c>
    </row>
    <row r="3" customFormat="false" ht="15" hidden="false" customHeight="false" outlineLevel="0" collapsed="false">
      <c r="A3" s="11" t="s">
        <v>103</v>
      </c>
      <c r="B3" s="11" t="s">
        <v>1029</v>
      </c>
      <c r="C3" s="11" t="s">
        <v>1030</v>
      </c>
      <c r="D3" s="11" t="s">
        <v>1031</v>
      </c>
      <c r="E3" s="11" t="s">
        <v>651</v>
      </c>
      <c r="F3" s="11" t="s">
        <v>6</v>
      </c>
      <c r="G3" s="11" t="s">
        <v>1032</v>
      </c>
    </row>
    <row r="4" customFormat="false" ht="23.85" hidden="false" customHeight="false" outlineLevel="0" collapsed="false">
      <c r="A4" s="12" t="s">
        <v>1033</v>
      </c>
      <c r="B4" s="12" t="s">
        <v>1034</v>
      </c>
      <c r="C4" s="12" t="s">
        <v>1035</v>
      </c>
      <c r="D4" s="12" t="n">
        <v>2</v>
      </c>
      <c r="E4" s="12" t="s">
        <v>660</v>
      </c>
      <c r="F4" s="12" t="s">
        <v>1036</v>
      </c>
      <c r="G4" s="12" t="s">
        <v>1037</v>
      </c>
    </row>
    <row r="5" customFormat="false" ht="15" hidden="false" customHeight="false" outlineLevel="0" collapsed="false">
      <c r="A5" s="12" t="s">
        <v>1038</v>
      </c>
      <c r="B5" s="12" t="s">
        <v>1039</v>
      </c>
      <c r="C5" s="12" t="s">
        <v>652</v>
      </c>
      <c r="D5" s="12" t="n">
        <v>5</v>
      </c>
      <c r="E5" s="12" t="s">
        <v>660</v>
      </c>
      <c r="F5" s="12" t="s">
        <v>1036</v>
      </c>
      <c r="G5" s="12" t="s">
        <v>1040</v>
      </c>
    </row>
    <row r="6" customFormat="false" ht="15" hidden="false" customHeight="false" outlineLevel="0" collapsed="false">
      <c r="A6" s="12" t="s">
        <v>1041</v>
      </c>
      <c r="B6" s="12" t="s">
        <v>1042</v>
      </c>
      <c r="C6" s="12" t="s">
        <v>670</v>
      </c>
      <c r="D6" s="12" t="n">
        <v>5</v>
      </c>
      <c r="E6" s="12" t="s">
        <v>660</v>
      </c>
      <c r="F6" s="12" t="s">
        <v>1036</v>
      </c>
      <c r="G6" s="12" t="s">
        <v>1043</v>
      </c>
    </row>
    <row r="7" customFormat="false" ht="15" hidden="false" customHeight="false" outlineLevel="0" collapsed="false">
      <c r="A7" s="12" t="s">
        <v>1044</v>
      </c>
      <c r="B7" s="12" t="s">
        <v>1045</v>
      </c>
      <c r="C7" s="12" t="s">
        <v>1046</v>
      </c>
      <c r="D7" s="12" t="n">
        <v>5</v>
      </c>
      <c r="E7" s="12" t="s">
        <v>660</v>
      </c>
      <c r="F7" s="12" t="s">
        <v>1036</v>
      </c>
      <c r="G7" s="12" t="s">
        <v>1047</v>
      </c>
    </row>
    <row r="8" customFormat="false" ht="15" hidden="false" customHeight="false" outlineLevel="0" collapsed="false">
      <c r="A8" s="12" t="s">
        <v>1048</v>
      </c>
      <c r="B8" s="12" t="s">
        <v>1049</v>
      </c>
      <c r="C8" s="12" t="s">
        <v>683</v>
      </c>
      <c r="D8" s="12" t="n">
        <v>3</v>
      </c>
      <c r="E8" s="12" t="s">
        <v>660</v>
      </c>
      <c r="F8" s="12" t="s">
        <v>1036</v>
      </c>
      <c r="G8" s="12" t="s">
        <v>1050</v>
      </c>
    </row>
    <row r="9" customFormat="false" ht="15" hidden="false" customHeight="false" outlineLevel="0" collapsed="false">
      <c r="A9" s="12" t="s">
        <v>1051</v>
      </c>
      <c r="B9" s="12" t="s">
        <v>1052</v>
      </c>
      <c r="C9" s="12" t="s">
        <v>690</v>
      </c>
      <c r="D9" s="12" t="n">
        <v>5</v>
      </c>
      <c r="E9" s="12" t="s">
        <v>660</v>
      </c>
      <c r="F9" s="12" t="s">
        <v>1036</v>
      </c>
      <c r="G9" s="12" t="s">
        <v>1053</v>
      </c>
    </row>
    <row r="10" customFormat="false" ht="15" hidden="false" customHeight="false" outlineLevel="0" collapsed="false">
      <c r="A10" s="12" t="s">
        <v>1054</v>
      </c>
      <c r="B10" s="12" t="s">
        <v>1055</v>
      </c>
      <c r="C10" s="12" t="s">
        <v>696</v>
      </c>
      <c r="D10" s="12" t="n">
        <v>3</v>
      </c>
      <c r="E10" s="12" t="s">
        <v>660</v>
      </c>
      <c r="F10" s="12" t="s">
        <v>1036</v>
      </c>
      <c r="G10" s="12" t="s">
        <v>1056</v>
      </c>
    </row>
    <row r="11" customFormat="false" ht="15" hidden="false" customHeight="false" outlineLevel="0" collapsed="false">
      <c r="A11" s="12" t="s">
        <v>1057</v>
      </c>
      <c r="B11" s="12" t="s">
        <v>1058</v>
      </c>
      <c r="C11" s="12" t="s">
        <v>941</v>
      </c>
      <c r="D11" s="12" t="n">
        <v>5</v>
      </c>
      <c r="E11" s="12" t="s">
        <v>660</v>
      </c>
      <c r="F11" s="12" t="s">
        <v>1036</v>
      </c>
      <c r="G11" s="12" t="s">
        <v>1059</v>
      </c>
    </row>
    <row r="12" customFormat="false" ht="15" hidden="false" customHeight="false" outlineLevel="0" collapsed="false">
      <c r="A12" s="12" t="s">
        <v>1060</v>
      </c>
      <c r="B12" s="12" t="s">
        <v>1061</v>
      </c>
      <c r="C12" s="12" t="s">
        <v>1062</v>
      </c>
      <c r="D12" s="12" t="n">
        <v>3</v>
      </c>
      <c r="E12" s="12" t="s">
        <v>660</v>
      </c>
      <c r="F12" s="12" t="s">
        <v>1036</v>
      </c>
      <c r="G12" s="12" t="s">
        <v>1063</v>
      </c>
    </row>
    <row r="13" customFormat="false" ht="15" hidden="false" customHeight="false" outlineLevel="0" collapsed="false">
      <c r="A13" s="12" t="s">
        <v>1064</v>
      </c>
      <c r="B13" s="12" t="s">
        <v>1065</v>
      </c>
      <c r="C13" s="12" t="s">
        <v>1066</v>
      </c>
      <c r="D13" s="12" t="n">
        <v>2</v>
      </c>
      <c r="E13" s="12" t="s">
        <v>660</v>
      </c>
      <c r="F13" s="12" t="s">
        <v>1036</v>
      </c>
      <c r="G13" s="12" t="s">
        <v>1067</v>
      </c>
    </row>
    <row r="14" customFormat="false" ht="15" hidden="false" customHeight="false" outlineLevel="0" collapsed="false">
      <c r="A14" s="12" t="s">
        <v>1068</v>
      </c>
      <c r="B14" s="12" t="s">
        <v>1069</v>
      </c>
      <c r="C14" s="12" t="s">
        <v>1035</v>
      </c>
      <c r="D14" s="12" t="n">
        <v>3</v>
      </c>
      <c r="E14" s="12" t="s">
        <v>660</v>
      </c>
      <c r="F14" s="12" t="s">
        <v>1036</v>
      </c>
      <c r="G14" s="12" t="s">
        <v>1070</v>
      </c>
    </row>
    <row r="15" customFormat="false" ht="23.85" hidden="false" customHeight="false" outlineLevel="0" collapsed="false">
      <c r="A15" s="12" t="s">
        <v>1071</v>
      </c>
      <c r="B15" s="12" t="s">
        <v>1072</v>
      </c>
      <c r="C15" s="12" t="s">
        <v>1073</v>
      </c>
      <c r="D15" s="12" t="n">
        <v>3</v>
      </c>
      <c r="E15" s="12" t="s">
        <v>660</v>
      </c>
      <c r="F15" s="12" t="s">
        <v>1036</v>
      </c>
      <c r="G15" s="12" t="s">
        <v>1074</v>
      </c>
    </row>
    <row r="16" customFormat="false" ht="15" hidden="false" customHeight="false" outlineLevel="0" collapsed="false">
      <c r="A16" s="12" t="s">
        <v>1075</v>
      </c>
      <c r="B16" s="12" t="s">
        <v>1076</v>
      </c>
      <c r="C16" s="12" t="s">
        <v>1077</v>
      </c>
      <c r="D16" s="12" t="n">
        <v>0</v>
      </c>
      <c r="E16" s="12" t="s">
        <v>608</v>
      </c>
      <c r="F16" s="12" t="s">
        <v>1078</v>
      </c>
      <c r="G16" s="12" t="s">
        <v>1079</v>
      </c>
    </row>
    <row r="17" customFormat="false" ht="15" hidden="false" customHeight="false" outlineLevel="0" collapsed="false">
      <c r="A17" s="12" t="s">
        <v>1080</v>
      </c>
      <c r="B17" s="12" t="s">
        <v>1081</v>
      </c>
      <c r="C17" s="12" t="s">
        <v>779</v>
      </c>
      <c r="D17" s="12" t="n">
        <v>0</v>
      </c>
      <c r="E17" s="12" t="s">
        <v>608</v>
      </c>
      <c r="F17" s="12" t="s">
        <v>1078</v>
      </c>
      <c r="G17" s="12" t="s">
        <v>1082</v>
      </c>
    </row>
    <row r="18" customFormat="false" ht="15" hidden="false" customHeight="false" outlineLevel="0" collapsed="false">
      <c r="A18" s="12" t="s">
        <v>1083</v>
      </c>
      <c r="B18" s="12" t="s">
        <v>1084</v>
      </c>
      <c r="C18" s="12" t="s">
        <v>1085</v>
      </c>
      <c r="D18" s="12" t="n">
        <v>0</v>
      </c>
      <c r="E18" s="12" t="s">
        <v>608</v>
      </c>
      <c r="F18" s="12" t="s">
        <v>1078</v>
      </c>
      <c r="G18" s="12" t="s">
        <v>1086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22"/>
    <col collapsed="false" customWidth="true" hidden="false" outlineLevel="0" max="4" min="4" style="0" width="8"/>
    <col collapsed="false" customWidth="true" hidden="false" outlineLevel="0" max="5" min="5" style="0" width="16"/>
    <col collapsed="false" customWidth="true" hidden="false" outlineLevel="0" max="6" min="6" style="0" width="22"/>
    <col collapsed="false" customWidth="true" hidden="false" outlineLevel="0" max="7" min="7" style="0" width="80"/>
  </cols>
  <sheetData>
    <row r="1" customFormat="false" ht="15" hidden="false" customHeight="false" outlineLevel="0" collapsed="false">
      <c r="A1" s="13" t="s">
        <v>1087</v>
      </c>
    </row>
    <row r="2" customFormat="false" ht="15" hidden="false" customHeight="false" outlineLevel="0" collapsed="false">
      <c r="A2" s="14" t="s">
        <v>1088</v>
      </c>
    </row>
    <row r="3" customFormat="false" ht="15" hidden="false" customHeight="false" outlineLevel="0" collapsed="false">
      <c r="A3" s="15" t="s">
        <v>103</v>
      </c>
      <c r="B3" s="15" t="s">
        <v>1029</v>
      </c>
      <c r="C3" s="15" t="s">
        <v>1030</v>
      </c>
      <c r="D3" s="15" t="s">
        <v>1031</v>
      </c>
      <c r="E3" s="15" t="s">
        <v>651</v>
      </c>
      <c r="F3" s="15" t="s">
        <v>6</v>
      </c>
      <c r="G3" s="15" t="s">
        <v>1032</v>
      </c>
    </row>
    <row r="4" customFormat="false" ht="45" hidden="false" customHeight="true" outlineLevel="0" collapsed="false">
      <c r="A4" s="8" t="s">
        <v>1089</v>
      </c>
      <c r="B4" s="8" t="s">
        <v>1090</v>
      </c>
      <c r="C4" s="8" t="s">
        <v>1091</v>
      </c>
      <c r="D4" s="8" t="n">
        <v>2</v>
      </c>
      <c r="E4" s="8" t="s">
        <v>660</v>
      </c>
      <c r="F4" s="8" t="s">
        <v>1036</v>
      </c>
      <c r="G4" s="8" t="s">
        <v>1092</v>
      </c>
    </row>
    <row r="5" customFormat="false" ht="45" hidden="false" customHeight="true" outlineLevel="0" collapsed="false">
      <c r="A5" s="8" t="s">
        <v>1093</v>
      </c>
      <c r="B5" s="8" t="s">
        <v>1094</v>
      </c>
      <c r="C5" s="8" t="s">
        <v>1095</v>
      </c>
      <c r="D5" s="8" t="n">
        <v>13</v>
      </c>
      <c r="E5" s="8" t="s">
        <v>660</v>
      </c>
      <c r="F5" s="8" t="s">
        <v>1036</v>
      </c>
      <c r="G5" s="8" t="s">
        <v>1096</v>
      </c>
    </row>
    <row r="6" customFormat="false" ht="45" hidden="false" customHeight="true" outlineLevel="0" collapsed="false">
      <c r="A6" s="8" t="s">
        <v>1097</v>
      </c>
      <c r="B6" s="8" t="s">
        <v>1098</v>
      </c>
      <c r="C6" s="8" t="s">
        <v>1099</v>
      </c>
      <c r="D6" s="8" t="n">
        <v>5</v>
      </c>
      <c r="E6" s="8" t="s">
        <v>660</v>
      </c>
      <c r="F6" s="8" t="s">
        <v>1036</v>
      </c>
      <c r="G6" s="8" t="s">
        <v>1100</v>
      </c>
    </row>
    <row r="7" customFormat="false" ht="45" hidden="false" customHeight="true" outlineLevel="0" collapsed="false">
      <c r="A7" s="8" t="s">
        <v>1101</v>
      </c>
      <c r="B7" s="8" t="s">
        <v>1102</v>
      </c>
      <c r="C7" s="8" t="s">
        <v>867</v>
      </c>
      <c r="D7" s="8" t="n">
        <v>1</v>
      </c>
      <c r="E7" s="8" t="s">
        <v>1103</v>
      </c>
      <c r="F7" s="8" t="s">
        <v>1104</v>
      </c>
      <c r="G7" s="8" t="s">
        <v>1105</v>
      </c>
    </row>
    <row r="8" customFormat="false" ht="45" hidden="false" customHeight="true" outlineLevel="0" collapsed="false">
      <c r="A8" s="8" t="s">
        <v>1106</v>
      </c>
      <c r="B8" s="8" t="s">
        <v>1107</v>
      </c>
      <c r="C8" s="8" t="s">
        <v>1108</v>
      </c>
      <c r="D8" s="8" t="n">
        <v>8</v>
      </c>
      <c r="E8" s="8" t="s">
        <v>660</v>
      </c>
      <c r="F8" s="8" t="s">
        <v>1036</v>
      </c>
      <c r="G8" s="8" t="s">
        <v>1109</v>
      </c>
    </row>
    <row r="9" customFormat="false" ht="45" hidden="false" customHeight="true" outlineLevel="0" collapsed="false">
      <c r="A9" s="8" t="s">
        <v>1110</v>
      </c>
      <c r="B9" s="8" t="s">
        <v>1111</v>
      </c>
      <c r="C9" s="8" t="s">
        <v>818</v>
      </c>
      <c r="D9" s="8" t="n">
        <v>3</v>
      </c>
      <c r="E9" s="8" t="s">
        <v>660</v>
      </c>
      <c r="F9" s="8" t="s">
        <v>1036</v>
      </c>
      <c r="G9" s="8" t="s">
        <v>1112</v>
      </c>
    </row>
    <row r="10" customFormat="false" ht="45" hidden="false" customHeight="true" outlineLevel="0" collapsed="false">
      <c r="A10" s="8" t="s">
        <v>1113</v>
      </c>
      <c r="B10" s="8" t="s">
        <v>1114</v>
      </c>
      <c r="C10" s="8" t="s">
        <v>1115</v>
      </c>
      <c r="D10" s="8" t="n">
        <v>3</v>
      </c>
      <c r="E10" s="8" t="s">
        <v>660</v>
      </c>
      <c r="F10" s="8" t="s">
        <v>1036</v>
      </c>
      <c r="G10" s="8" t="s">
        <v>1116</v>
      </c>
    </row>
    <row r="11" customFormat="false" ht="45" hidden="false" customHeight="true" outlineLevel="0" collapsed="false">
      <c r="A11" s="8" t="s">
        <v>1117</v>
      </c>
      <c r="B11" s="8" t="s">
        <v>1118</v>
      </c>
      <c r="C11" s="8" t="s">
        <v>856</v>
      </c>
      <c r="D11" s="8" t="n">
        <v>2</v>
      </c>
      <c r="E11" s="8" t="s">
        <v>660</v>
      </c>
      <c r="F11" s="8" t="s">
        <v>1036</v>
      </c>
      <c r="G11" s="8" t="s">
        <v>1119</v>
      </c>
    </row>
    <row r="12" customFormat="false" ht="45" hidden="false" customHeight="true" outlineLevel="0" collapsed="false">
      <c r="A12" s="8" t="s">
        <v>1120</v>
      </c>
      <c r="B12" s="8" t="s">
        <v>1121</v>
      </c>
      <c r="C12" s="8" t="s">
        <v>824</v>
      </c>
      <c r="D12" s="8" t="n">
        <v>2</v>
      </c>
      <c r="E12" s="8" t="s">
        <v>660</v>
      </c>
      <c r="F12" s="8" t="s">
        <v>1122</v>
      </c>
      <c r="G12" s="8" t="s">
        <v>1123</v>
      </c>
    </row>
    <row r="13" customFormat="false" ht="45" hidden="false" customHeight="true" outlineLevel="0" collapsed="false">
      <c r="A13" s="8" t="s">
        <v>1124</v>
      </c>
      <c r="B13" s="8" t="s">
        <v>1125</v>
      </c>
      <c r="C13" s="8" t="s">
        <v>1126</v>
      </c>
      <c r="D13" s="8" t="n">
        <v>2</v>
      </c>
      <c r="E13" s="8" t="s">
        <v>660</v>
      </c>
      <c r="F13" s="8" t="s">
        <v>1036</v>
      </c>
      <c r="G13" s="8" t="s">
        <v>1127</v>
      </c>
    </row>
    <row r="14" customFormat="false" ht="45" hidden="false" customHeight="true" outlineLevel="0" collapsed="false">
      <c r="A14" s="8" t="s">
        <v>1128</v>
      </c>
      <c r="B14" s="8" t="s">
        <v>1129</v>
      </c>
      <c r="C14" s="8" t="s">
        <v>1130</v>
      </c>
      <c r="D14" s="8" t="n">
        <v>2</v>
      </c>
      <c r="E14" s="8" t="s">
        <v>660</v>
      </c>
      <c r="F14" s="8" t="s">
        <v>1036</v>
      </c>
      <c r="G14" s="8" t="s">
        <v>1131</v>
      </c>
    </row>
    <row r="15" customFormat="false" ht="45" hidden="false" customHeight="true" outlineLevel="0" collapsed="false">
      <c r="A15" s="8" t="s">
        <v>1132</v>
      </c>
      <c r="B15" s="8" t="s">
        <v>1133</v>
      </c>
      <c r="C15" s="8" t="s">
        <v>877</v>
      </c>
      <c r="D15" s="8" t="n">
        <v>1</v>
      </c>
      <c r="E15" s="8" t="s">
        <v>660</v>
      </c>
      <c r="F15" s="8" t="s">
        <v>1036</v>
      </c>
      <c r="G15" s="8" t="s">
        <v>1134</v>
      </c>
    </row>
    <row r="16" customFormat="false" ht="45" hidden="false" customHeight="true" outlineLevel="0" collapsed="false">
      <c r="A16" s="8" t="s">
        <v>1135</v>
      </c>
      <c r="B16" s="8" t="s">
        <v>1136</v>
      </c>
      <c r="C16" s="8" t="s">
        <v>848</v>
      </c>
      <c r="D16" s="8" t="n">
        <v>1</v>
      </c>
      <c r="E16" s="8" t="s">
        <v>660</v>
      </c>
      <c r="F16" s="8" t="s">
        <v>1036</v>
      </c>
      <c r="G16" s="8" t="s">
        <v>1137</v>
      </c>
    </row>
    <row r="17" customFormat="false" ht="45" hidden="false" customHeight="true" outlineLevel="0" collapsed="false">
      <c r="A17" s="8" t="s">
        <v>1138</v>
      </c>
      <c r="B17" s="8" t="s">
        <v>1139</v>
      </c>
      <c r="C17" s="8" t="s">
        <v>1073</v>
      </c>
      <c r="D17" s="8" t="n">
        <v>3</v>
      </c>
      <c r="E17" s="8" t="s">
        <v>660</v>
      </c>
      <c r="F17" s="8" t="s">
        <v>1036</v>
      </c>
      <c r="G17" s="8" t="s">
        <v>1140</v>
      </c>
    </row>
    <row r="18" customFormat="false" ht="45" hidden="false" customHeight="true" outlineLevel="0" collapsed="false">
      <c r="A18" s="8" t="s">
        <v>1141</v>
      </c>
      <c r="B18" s="8" t="s">
        <v>1142</v>
      </c>
      <c r="C18" s="8" t="s">
        <v>1143</v>
      </c>
      <c r="D18" s="8" t="n">
        <v>0</v>
      </c>
      <c r="E18" s="8" t="s">
        <v>608</v>
      </c>
      <c r="F18" s="8" t="s">
        <v>1078</v>
      </c>
      <c r="G18" s="8" t="s">
        <v>1144</v>
      </c>
    </row>
    <row r="19" customFormat="false" ht="45" hidden="false" customHeight="true" outlineLevel="0" collapsed="false">
      <c r="A19" s="8" t="s">
        <v>1145</v>
      </c>
      <c r="B19" s="8" t="s">
        <v>1146</v>
      </c>
      <c r="C19" s="8" t="s">
        <v>1085</v>
      </c>
      <c r="D19" s="8" t="n">
        <v>0</v>
      </c>
      <c r="E19" s="8" t="s">
        <v>608</v>
      </c>
      <c r="F19" s="8" t="s">
        <v>1078</v>
      </c>
      <c r="G19" s="8" t="s">
        <v>1147</v>
      </c>
    </row>
    <row r="20" customFormat="false" ht="45" hidden="false" customHeight="true" outlineLevel="0" collapsed="false">
      <c r="A20" s="8" t="s">
        <v>1148</v>
      </c>
      <c r="B20" s="8" t="s">
        <v>1149</v>
      </c>
      <c r="C20" s="8" t="s">
        <v>1150</v>
      </c>
      <c r="D20" s="8" t="n">
        <v>4</v>
      </c>
      <c r="E20" s="8" t="s">
        <v>660</v>
      </c>
      <c r="F20" s="8" t="s">
        <v>1151</v>
      </c>
      <c r="G20" s="8" t="s">
        <v>1152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2"/>
    <col collapsed="false" customWidth="true" hidden="false" outlineLevel="0" max="3" min="3" style="1" width="24"/>
    <col collapsed="false" customWidth="true" hidden="false" outlineLevel="0" max="4" min="4" style="1" width="8"/>
    <col collapsed="false" customWidth="true" hidden="false" outlineLevel="0" max="6" min="5" style="1" width="10"/>
    <col collapsed="false" customWidth="true" hidden="false" outlineLevel="0" max="7" min="7" style="1" width="70"/>
  </cols>
  <sheetData>
    <row r="1" customFormat="false" ht="15" hidden="false" customHeight="true" outlineLevel="0" collapsed="false">
      <c r="A1" s="2" t="s">
        <v>1153</v>
      </c>
    </row>
    <row r="2" customFormat="false" ht="15" hidden="false" customHeight="true" outlineLevel="0" collapsed="false">
      <c r="A2" s="3" t="s">
        <v>1154</v>
      </c>
    </row>
    <row r="3" customFormat="false" ht="15" hidden="false" customHeight="true" outlineLevel="0" collapsed="false">
      <c r="A3" s="4" t="s">
        <v>103</v>
      </c>
      <c r="B3" s="4" t="s">
        <v>1029</v>
      </c>
      <c r="C3" s="4" t="s">
        <v>1155</v>
      </c>
      <c r="D3" s="4" t="s">
        <v>1031</v>
      </c>
      <c r="E3" s="4" t="s">
        <v>651</v>
      </c>
      <c r="F3" s="4" t="s">
        <v>6</v>
      </c>
      <c r="G3" s="4" t="s">
        <v>1032</v>
      </c>
    </row>
    <row r="4" customFormat="false" ht="15" hidden="false" customHeight="true" outlineLevel="0" collapsed="false">
      <c r="A4" s="5" t="s">
        <v>1156</v>
      </c>
      <c r="B4" s="6" t="s">
        <v>1157</v>
      </c>
      <c r="C4" s="5" t="s">
        <v>112</v>
      </c>
      <c r="D4" s="5" t="n">
        <v>2</v>
      </c>
      <c r="E4" s="5" t="s">
        <v>660</v>
      </c>
      <c r="F4" s="5" t="s">
        <v>1036</v>
      </c>
      <c r="G4" s="6" t="s">
        <v>1158</v>
      </c>
    </row>
    <row r="5" customFormat="false" ht="15" hidden="false" customHeight="true" outlineLevel="0" collapsed="false">
      <c r="A5" s="5" t="s">
        <v>1159</v>
      </c>
      <c r="B5" s="6" t="s">
        <v>1160</v>
      </c>
      <c r="C5" s="5" t="s">
        <v>1161</v>
      </c>
      <c r="D5" s="5" t="n">
        <v>10</v>
      </c>
      <c r="E5" s="5" t="s">
        <v>660</v>
      </c>
      <c r="F5" s="5" t="s">
        <v>1036</v>
      </c>
      <c r="G5" s="6" t="s">
        <v>1162</v>
      </c>
    </row>
    <row r="6" customFormat="false" ht="15" hidden="false" customHeight="true" outlineLevel="0" collapsed="false">
      <c r="A6" s="5" t="s">
        <v>1163</v>
      </c>
      <c r="B6" s="6" t="s">
        <v>1164</v>
      </c>
      <c r="C6" s="5" t="s">
        <v>1165</v>
      </c>
      <c r="D6" s="5" t="n">
        <v>16</v>
      </c>
      <c r="E6" s="5" t="s">
        <v>660</v>
      </c>
      <c r="F6" s="5" t="s">
        <v>1036</v>
      </c>
      <c r="G6" s="6" t="s">
        <v>1166</v>
      </c>
    </row>
    <row r="7" customFormat="false" ht="23.25" hidden="false" customHeight="true" outlineLevel="0" collapsed="false">
      <c r="A7" s="5" t="s">
        <v>1167</v>
      </c>
      <c r="B7" s="6" t="s">
        <v>1168</v>
      </c>
      <c r="C7" s="5" t="s">
        <v>1169</v>
      </c>
      <c r="D7" s="5" t="n">
        <v>105</v>
      </c>
      <c r="E7" s="5" t="s">
        <v>660</v>
      </c>
      <c r="F7" s="5" t="s">
        <v>1036</v>
      </c>
      <c r="G7" s="6" t="s">
        <v>1170</v>
      </c>
    </row>
    <row r="8" customFormat="false" ht="15" hidden="false" customHeight="true" outlineLevel="0" collapsed="false">
      <c r="A8" s="5" t="s">
        <v>1171</v>
      </c>
      <c r="B8" s="6" t="s">
        <v>1172</v>
      </c>
      <c r="C8" s="5" t="s">
        <v>1173</v>
      </c>
      <c r="D8" s="5" t="n">
        <v>16</v>
      </c>
      <c r="E8" s="5" t="s">
        <v>660</v>
      </c>
      <c r="F8" s="5" t="s">
        <v>1036</v>
      </c>
      <c r="G8" s="6" t="s">
        <v>1174</v>
      </c>
    </row>
    <row r="9" customFormat="false" ht="15" hidden="false" customHeight="true" outlineLevel="0" collapsed="false">
      <c r="A9" s="5" t="s">
        <v>1175</v>
      </c>
      <c r="B9" s="6" t="s">
        <v>1176</v>
      </c>
      <c r="C9" s="5" t="s">
        <v>1177</v>
      </c>
      <c r="D9" s="5" t="n">
        <v>16</v>
      </c>
      <c r="E9" s="5" t="s">
        <v>660</v>
      </c>
      <c r="F9" s="5" t="s">
        <v>1036</v>
      </c>
      <c r="G9" s="6" t="s">
        <v>1178</v>
      </c>
    </row>
    <row r="10" customFormat="false" ht="15" hidden="false" customHeight="true" outlineLevel="0" collapsed="false">
      <c r="A10" s="5" t="s">
        <v>1179</v>
      </c>
      <c r="B10" s="6" t="s">
        <v>1180</v>
      </c>
      <c r="C10" s="5" t="s">
        <v>1181</v>
      </c>
      <c r="D10" s="5" t="n">
        <v>16</v>
      </c>
      <c r="E10" s="5" t="s">
        <v>660</v>
      </c>
      <c r="F10" s="5" t="s">
        <v>1036</v>
      </c>
      <c r="G10" s="6" t="s">
        <v>1182</v>
      </c>
    </row>
    <row r="11" customFormat="false" ht="15" hidden="false" customHeight="true" outlineLevel="0" collapsed="false">
      <c r="A11" s="5" t="s">
        <v>1183</v>
      </c>
      <c r="B11" s="6" t="s">
        <v>1184</v>
      </c>
      <c r="C11" s="5" t="s">
        <v>1185</v>
      </c>
      <c r="D11" s="5" t="n">
        <v>16</v>
      </c>
      <c r="E11" s="5" t="s">
        <v>660</v>
      </c>
      <c r="F11" s="5" t="s">
        <v>1036</v>
      </c>
      <c r="G11" s="6" t="s">
        <v>1186</v>
      </c>
    </row>
    <row r="12" customFormat="false" ht="15" hidden="false" customHeight="true" outlineLevel="0" collapsed="false">
      <c r="A12" s="5" t="s">
        <v>1187</v>
      </c>
      <c r="B12" s="6" t="s">
        <v>1188</v>
      </c>
      <c r="C12" s="5" t="s">
        <v>1189</v>
      </c>
      <c r="D12" s="5" t="n">
        <v>16</v>
      </c>
      <c r="E12" s="5" t="s">
        <v>660</v>
      </c>
      <c r="F12" s="5" t="s">
        <v>1036</v>
      </c>
      <c r="G12" s="6" t="s">
        <v>1190</v>
      </c>
    </row>
    <row r="13" customFormat="false" ht="15" hidden="false" customHeight="true" outlineLevel="0" collapsed="false">
      <c r="A13" s="5" t="s">
        <v>1191</v>
      </c>
      <c r="B13" s="6" t="s">
        <v>1192</v>
      </c>
      <c r="C13" s="5" t="s">
        <v>1193</v>
      </c>
      <c r="D13" s="5" t="n">
        <v>30</v>
      </c>
      <c r="E13" s="5" t="s">
        <v>660</v>
      </c>
      <c r="F13" s="5" t="s">
        <v>1036</v>
      </c>
      <c r="G13" s="6" t="s">
        <v>1194</v>
      </c>
    </row>
    <row r="14" customFormat="false" ht="15" hidden="false" customHeight="true" outlineLevel="0" collapsed="false">
      <c r="A14" s="5" t="s">
        <v>1195</v>
      </c>
      <c r="B14" s="6" t="s">
        <v>1196</v>
      </c>
      <c r="C14" s="5" t="s">
        <v>1197</v>
      </c>
      <c r="D14" s="5" t="n">
        <v>13</v>
      </c>
      <c r="E14" s="5" t="s">
        <v>660</v>
      </c>
      <c r="F14" s="5" t="s">
        <v>1036</v>
      </c>
      <c r="G14" s="6" t="s">
        <v>1198</v>
      </c>
    </row>
    <row r="15" customFormat="false" ht="15" hidden="false" customHeight="true" outlineLevel="0" collapsed="false">
      <c r="A15" s="5" t="s">
        <v>1199</v>
      </c>
      <c r="B15" s="6" t="s">
        <v>1200</v>
      </c>
      <c r="C15" s="5" t="s">
        <v>1201</v>
      </c>
      <c r="D15" s="5" t="n">
        <v>24</v>
      </c>
      <c r="E15" s="5" t="s">
        <v>660</v>
      </c>
      <c r="F15" s="5" t="s">
        <v>1036</v>
      </c>
      <c r="G15" s="6" t="s">
        <v>1202</v>
      </c>
    </row>
    <row r="16" customFormat="false" ht="15" hidden="false" customHeight="true" outlineLevel="0" collapsed="false">
      <c r="A16" s="5" t="s">
        <v>1203</v>
      </c>
      <c r="B16" s="6" t="s">
        <v>1204</v>
      </c>
      <c r="C16" s="5" t="s">
        <v>1205</v>
      </c>
      <c r="D16" s="5" t="n">
        <v>11</v>
      </c>
      <c r="E16" s="5" t="s">
        <v>660</v>
      </c>
      <c r="F16" s="5" t="s">
        <v>1036</v>
      </c>
      <c r="G16" s="6" t="s">
        <v>1206</v>
      </c>
    </row>
    <row r="17" customFormat="false" ht="15" hidden="false" customHeight="true" outlineLevel="0" collapsed="false">
      <c r="A17" s="5" t="s">
        <v>1207</v>
      </c>
      <c r="B17" s="6" t="s">
        <v>1208</v>
      </c>
      <c r="C17" s="5" t="s">
        <v>1209</v>
      </c>
      <c r="D17" s="5" t="n">
        <v>3</v>
      </c>
      <c r="E17" s="5" t="s">
        <v>660</v>
      </c>
      <c r="F17" s="5" t="s">
        <v>1036</v>
      </c>
      <c r="G17" s="6" t="s">
        <v>1210</v>
      </c>
    </row>
    <row r="18" customFormat="false" ht="15" hidden="false" customHeight="true" outlineLevel="0" collapsed="false">
      <c r="A18" s="5" t="s">
        <v>1211</v>
      </c>
      <c r="B18" s="6" t="s">
        <v>1212</v>
      </c>
      <c r="C18" s="5" t="s">
        <v>1213</v>
      </c>
      <c r="D18" s="5" t="n">
        <v>5</v>
      </c>
      <c r="E18" s="5" t="s">
        <v>660</v>
      </c>
      <c r="F18" s="5" t="s">
        <v>1036</v>
      </c>
      <c r="G18" s="6" t="s">
        <v>1214</v>
      </c>
    </row>
    <row r="19" customFormat="false" ht="15" hidden="false" customHeight="true" outlineLevel="0" collapsed="false">
      <c r="A19" s="5" t="s">
        <v>1215</v>
      </c>
      <c r="B19" s="6" t="s">
        <v>1216</v>
      </c>
      <c r="C19" s="5" t="s">
        <v>112</v>
      </c>
      <c r="D19" s="5" t="n">
        <v>2</v>
      </c>
      <c r="E19" s="5" t="s">
        <v>660</v>
      </c>
      <c r="F19" s="5" t="s">
        <v>1036</v>
      </c>
      <c r="G19" s="6" t="s">
        <v>1217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2"/>
    <col collapsed="false" customWidth="true" hidden="false" outlineLevel="0" max="3" min="3" style="1" width="24"/>
    <col collapsed="false" customWidth="true" hidden="false" outlineLevel="0" max="4" min="4" style="1" width="8"/>
    <col collapsed="false" customWidth="true" hidden="false" outlineLevel="0" max="5" min="5" style="1" width="16"/>
    <col collapsed="false" customWidth="true" hidden="false" outlineLevel="0" max="6" min="6" style="1" width="10"/>
    <col collapsed="false" customWidth="true" hidden="false" outlineLevel="0" max="7" min="7" style="1" width="70"/>
  </cols>
  <sheetData>
    <row r="1" customFormat="false" ht="15" hidden="false" customHeight="true" outlineLevel="0" collapsed="false">
      <c r="A1" s="2" t="s">
        <v>1218</v>
      </c>
    </row>
    <row r="2" customFormat="false" ht="15" hidden="false" customHeight="true" outlineLevel="0" collapsed="false">
      <c r="A2" s="3" t="s">
        <v>1219</v>
      </c>
    </row>
    <row r="3" customFormat="false" ht="15" hidden="false" customHeight="true" outlineLevel="0" collapsed="false">
      <c r="A3" s="4" t="s">
        <v>103</v>
      </c>
      <c r="B3" s="4" t="s">
        <v>1029</v>
      </c>
      <c r="C3" s="4" t="s">
        <v>1155</v>
      </c>
      <c r="D3" s="4" t="s">
        <v>1031</v>
      </c>
      <c r="E3" s="4" t="s">
        <v>651</v>
      </c>
      <c r="F3" s="4" t="s">
        <v>6</v>
      </c>
      <c r="G3" s="4" t="s">
        <v>1032</v>
      </c>
    </row>
    <row r="4" customFormat="false" ht="23.25" hidden="false" customHeight="true" outlineLevel="0" collapsed="false">
      <c r="A4" s="5" t="s">
        <v>1220</v>
      </c>
      <c r="B4" s="6" t="s">
        <v>1221</v>
      </c>
      <c r="C4" s="5" t="s">
        <v>1222</v>
      </c>
      <c r="D4" s="5" t="n">
        <v>3</v>
      </c>
      <c r="E4" s="5" t="s">
        <v>660</v>
      </c>
      <c r="F4" s="5" t="s">
        <v>1036</v>
      </c>
      <c r="G4" s="6" t="s">
        <v>1223</v>
      </c>
    </row>
    <row r="5" customFormat="false" ht="15" hidden="false" customHeight="true" outlineLevel="0" collapsed="false">
      <c r="A5" s="5" t="s">
        <v>1224</v>
      </c>
      <c r="B5" s="6" t="s">
        <v>1225</v>
      </c>
      <c r="C5" s="5" t="s">
        <v>1226</v>
      </c>
      <c r="D5" s="5" t="n">
        <v>3</v>
      </c>
      <c r="E5" s="5" t="s">
        <v>660</v>
      </c>
      <c r="F5" s="5" t="s">
        <v>1036</v>
      </c>
      <c r="G5" s="6" t="s">
        <v>1227</v>
      </c>
    </row>
    <row r="6" customFormat="false" ht="15" hidden="false" customHeight="true" outlineLevel="0" collapsed="false">
      <c r="A6" s="5" t="s">
        <v>1228</v>
      </c>
      <c r="B6" s="6" t="s">
        <v>1229</v>
      </c>
      <c r="C6" s="5" t="s">
        <v>1230</v>
      </c>
      <c r="D6" s="5" t="n">
        <v>2</v>
      </c>
      <c r="E6" s="5" t="s">
        <v>660</v>
      </c>
      <c r="F6" s="5" t="s">
        <v>1036</v>
      </c>
      <c r="G6" s="6" t="s">
        <v>1231</v>
      </c>
    </row>
    <row r="7" customFormat="false" ht="15" hidden="false" customHeight="true" outlineLevel="0" collapsed="false">
      <c r="A7" s="5" t="s">
        <v>1232</v>
      </c>
      <c r="B7" s="6" t="s">
        <v>1233</v>
      </c>
      <c r="C7" s="5" t="s">
        <v>1234</v>
      </c>
      <c r="D7" s="5" t="n">
        <v>3</v>
      </c>
      <c r="E7" s="5" t="s">
        <v>660</v>
      </c>
      <c r="F7" s="5" t="s">
        <v>1235</v>
      </c>
      <c r="G7" s="6" t="s">
        <v>1236</v>
      </c>
    </row>
    <row r="8" customFormat="false" ht="15" hidden="false" customHeight="true" outlineLevel="0" collapsed="false">
      <c r="A8" s="5" t="s">
        <v>1237</v>
      </c>
      <c r="B8" s="6" t="s">
        <v>1238</v>
      </c>
      <c r="C8" s="5" t="s">
        <v>1239</v>
      </c>
      <c r="D8" s="5" t="n">
        <v>3</v>
      </c>
      <c r="E8" s="5" t="s">
        <v>660</v>
      </c>
      <c r="F8" s="5" t="s">
        <v>1235</v>
      </c>
      <c r="G8" s="6" t="s">
        <v>1240</v>
      </c>
    </row>
    <row r="9" customFormat="false" ht="15" hidden="false" customHeight="true" outlineLevel="0" collapsed="false">
      <c r="A9" s="5" t="s">
        <v>1241</v>
      </c>
      <c r="B9" s="6" t="s">
        <v>1242</v>
      </c>
      <c r="C9" s="5" t="s">
        <v>1243</v>
      </c>
      <c r="D9" s="5" t="n">
        <v>6</v>
      </c>
      <c r="E9" s="5" t="s">
        <v>660</v>
      </c>
      <c r="F9" s="5" t="s">
        <v>1235</v>
      </c>
      <c r="G9" s="6" t="s">
        <v>1244</v>
      </c>
    </row>
    <row r="10" customFormat="false" ht="15" hidden="false" customHeight="true" outlineLevel="0" collapsed="false">
      <c r="A10" s="5" t="s">
        <v>1245</v>
      </c>
      <c r="B10" s="6" t="s">
        <v>1246</v>
      </c>
      <c r="C10" s="5" t="s">
        <v>1247</v>
      </c>
      <c r="D10" s="5" t="n">
        <v>3</v>
      </c>
      <c r="E10" s="5" t="s">
        <v>660</v>
      </c>
      <c r="F10" s="5" t="s">
        <v>1235</v>
      </c>
      <c r="G10" s="6" t="s">
        <v>1248</v>
      </c>
    </row>
    <row r="11" customFormat="false" ht="15" hidden="false" customHeight="true" outlineLevel="0" collapsed="false">
      <c r="A11" s="5" t="s">
        <v>1249</v>
      </c>
      <c r="B11" s="6" t="s">
        <v>1250</v>
      </c>
      <c r="C11" s="5" t="s">
        <v>1251</v>
      </c>
      <c r="D11" s="5" t="n">
        <v>2</v>
      </c>
      <c r="E11" s="5" t="s">
        <v>660</v>
      </c>
      <c r="F11" s="5" t="s">
        <v>1235</v>
      </c>
      <c r="G11" s="6" t="s">
        <v>1252</v>
      </c>
    </row>
    <row r="12" customFormat="false" ht="15" hidden="false" customHeight="true" outlineLevel="0" collapsed="false">
      <c r="A12" s="5" t="s">
        <v>1253</v>
      </c>
      <c r="B12" s="6" t="s">
        <v>1254</v>
      </c>
      <c r="C12" s="5" t="s">
        <v>1255</v>
      </c>
      <c r="D12" s="5" t="n">
        <v>5</v>
      </c>
      <c r="E12" s="5" t="s">
        <v>660</v>
      </c>
      <c r="F12" s="5" t="s">
        <v>1235</v>
      </c>
      <c r="G12" s="6" t="s">
        <v>1256</v>
      </c>
    </row>
    <row r="13" customFormat="false" ht="15" hidden="false" customHeight="true" outlineLevel="0" collapsed="false">
      <c r="A13" s="5" t="s">
        <v>1257</v>
      </c>
      <c r="B13" s="6" t="s">
        <v>1258</v>
      </c>
      <c r="C13" s="5" t="s">
        <v>1259</v>
      </c>
      <c r="D13" s="5" t="n">
        <v>5</v>
      </c>
      <c r="E13" s="5" t="s">
        <v>660</v>
      </c>
      <c r="F13" s="5" t="s">
        <v>1235</v>
      </c>
      <c r="G13" s="6" t="s">
        <v>1260</v>
      </c>
    </row>
    <row r="14" customFormat="false" ht="15" hidden="false" customHeight="true" outlineLevel="0" collapsed="false">
      <c r="A14" s="5" t="s">
        <v>1261</v>
      </c>
      <c r="B14" s="6" t="s">
        <v>1262</v>
      </c>
      <c r="C14" s="5" t="s">
        <v>112</v>
      </c>
      <c r="D14" s="5" t="n">
        <v>1</v>
      </c>
      <c r="E14" s="5" t="s">
        <v>660</v>
      </c>
      <c r="F14" s="5" t="s">
        <v>1036</v>
      </c>
      <c r="G14" s="6" t="s">
        <v>1263</v>
      </c>
    </row>
    <row r="15" customFormat="false" ht="15" hidden="false" customHeight="true" outlineLevel="0" collapsed="false">
      <c r="A15" s="5" t="s">
        <v>1264</v>
      </c>
      <c r="B15" s="6" t="s">
        <v>1265</v>
      </c>
      <c r="C15" s="5" t="s">
        <v>1266</v>
      </c>
      <c r="D15" s="5" t="n">
        <v>5</v>
      </c>
      <c r="E15" s="5" t="s">
        <v>1267</v>
      </c>
      <c r="F15" s="5" t="s">
        <v>1078</v>
      </c>
      <c r="G15" s="6" t="s">
        <v>1268</v>
      </c>
    </row>
    <row r="16" customFormat="false" ht="15" hidden="false" customHeight="true" outlineLevel="0" collapsed="false">
      <c r="A16" s="5" t="s">
        <v>1269</v>
      </c>
      <c r="B16" s="6" t="s">
        <v>1270</v>
      </c>
      <c r="C16" s="5" t="s">
        <v>1271</v>
      </c>
      <c r="D16" s="5" t="n">
        <v>3</v>
      </c>
      <c r="E16" s="5" t="s">
        <v>1267</v>
      </c>
      <c r="F16" s="5" t="s">
        <v>1078</v>
      </c>
      <c r="G16" s="6" t="s">
        <v>1272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2"/>
    <col collapsed="false" customWidth="true" hidden="false" outlineLevel="0" max="3" min="3" style="1" width="24"/>
    <col collapsed="false" customWidth="true" hidden="false" outlineLevel="0" max="4" min="4" style="1" width="8"/>
    <col collapsed="false" customWidth="true" hidden="false" outlineLevel="0" max="5" min="5" style="1" width="16"/>
    <col collapsed="false" customWidth="true" hidden="false" outlineLevel="0" max="6" min="6" style="1" width="10"/>
    <col collapsed="false" customWidth="true" hidden="false" outlineLevel="0" max="7" min="7" style="1" width="70"/>
  </cols>
  <sheetData>
    <row r="1" customFormat="false" ht="15" hidden="false" customHeight="true" outlineLevel="0" collapsed="false">
      <c r="A1" s="2" t="s">
        <v>1273</v>
      </c>
    </row>
    <row r="2" customFormat="false" ht="15" hidden="false" customHeight="true" outlineLevel="0" collapsed="false">
      <c r="A2" s="3" t="s">
        <v>1274</v>
      </c>
    </row>
    <row r="3" customFormat="false" ht="15" hidden="false" customHeight="true" outlineLevel="0" collapsed="false">
      <c r="A3" s="4" t="s">
        <v>103</v>
      </c>
      <c r="B3" s="4" t="s">
        <v>1029</v>
      </c>
      <c r="C3" s="4" t="s">
        <v>1155</v>
      </c>
      <c r="D3" s="4" t="s">
        <v>1031</v>
      </c>
      <c r="E3" s="4" t="s">
        <v>651</v>
      </c>
      <c r="F3" s="4" t="s">
        <v>6</v>
      </c>
      <c r="G3" s="4" t="s">
        <v>1032</v>
      </c>
    </row>
    <row r="4" customFormat="false" ht="23.25" hidden="false" customHeight="true" outlineLevel="0" collapsed="false">
      <c r="A4" s="5" t="s">
        <v>1275</v>
      </c>
      <c r="B4" s="6" t="s">
        <v>1276</v>
      </c>
      <c r="C4" s="5" t="s">
        <v>112</v>
      </c>
      <c r="D4" s="5" t="n">
        <v>2</v>
      </c>
      <c r="E4" s="5" t="s">
        <v>660</v>
      </c>
      <c r="F4" s="5" t="s">
        <v>1036</v>
      </c>
      <c r="G4" s="6" t="s">
        <v>1277</v>
      </c>
    </row>
    <row r="5" customFormat="false" ht="23.25" hidden="false" customHeight="true" outlineLevel="0" collapsed="false">
      <c r="A5" s="5" t="s">
        <v>1278</v>
      </c>
      <c r="B5" s="6" t="s">
        <v>1279</v>
      </c>
      <c r="C5" s="5" t="s">
        <v>1280</v>
      </c>
      <c r="D5" s="5" t="n">
        <v>3</v>
      </c>
      <c r="E5" s="5" t="s">
        <v>660</v>
      </c>
      <c r="F5" s="5" t="s">
        <v>1036</v>
      </c>
      <c r="G5" s="6" t="s">
        <v>1281</v>
      </c>
    </row>
    <row r="6" customFormat="false" ht="15" hidden="false" customHeight="true" outlineLevel="0" collapsed="false">
      <c r="A6" s="5" t="s">
        <v>1282</v>
      </c>
      <c r="B6" s="6" t="s">
        <v>1283</v>
      </c>
      <c r="C6" s="5" t="s">
        <v>112</v>
      </c>
      <c r="D6" s="5" t="n">
        <v>1</v>
      </c>
      <c r="E6" s="5" t="s">
        <v>660</v>
      </c>
      <c r="F6" s="5" t="s">
        <v>1036</v>
      </c>
      <c r="G6" s="6" t="s">
        <v>1284</v>
      </c>
    </row>
    <row r="7" customFormat="false" ht="23.25" hidden="false" customHeight="true" outlineLevel="0" collapsed="false">
      <c r="A7" s="5" t="s">
        <v>1285</v>
      </c>
      <c r="B7" s="6" t="s">
        <v>1286</v>
      </c>
      <c r="C7" s="5" t="s">
        <v>1287</v>
      </c>
      <c r="D7" s="5" t="n">
        <v>2</v>
      </c>
      <c r="E7" s="5" t="s">
        <v>660</v>
      </c>
      <c r="F7" s="5" t="s">
        <v>1036</v>
      </c>
      <c r="G7" s="6" t="s">
        <v>1288</v>
      </c>
    </row>
    <row r="8" customFormat="false" ht="23.25" hidden="false" customHeight="true" outlineLevel="0" collapsed="false">
      <c r="A8" s="5" t="s">
        <v>1289</v>
      </c>
      <c r="B8" s="6" t="s">
        <v>1290</v>
      </c>
      <c r="C8" s="5" t="s">
        <v>605</v>
      </c>
      <c r="D8" s="5" t="n">
        <v>1</v>
      </c>
      <c r="E8" s="5" t="s">
        <v>660</v>
      </c>
      <c r="F8" s="5" t="s">
        <v>1036</v>
      </c>
      <c r="G8" s="6" t="s">
        <v>1291</v>
      </c>
    </row>
    <row r="9" customFormat="false" ht="15" hidden="false" customHeight="true" outlineLevel="0" collapsed="false">
      <c r="A9" s="5" t="s">
        <v>1292</v>
      </c>
      <c r="B9" s="6" t="s">
        <v>1293</v>
      </c>
      <c r="C9" s="5" t="s">
        <v>112</v>
      </c>
      <c r="D9" s="5" t="n">
        <v>1</v>
      </c>
      <c r="E9" s="5" t="s">
        <v>660</v>
      </c>
      <c r="F9" s="5" t="s">
        <v>1036</v>
      </c>
      <c r="G9" s="6" t="s">
        <v>1294</v>
      </c>
    </row>
    <row r="10" customFormat="false" ht="15" hidden="false" customHeight="true" outlineLevel="0" collapsed="false">
      <c r="A10" s="5" t="s">
        <v>1295</v>
      </c>
      <c r="B10" s="6" t="s">
        <v>1296</v>
      </c>
      <c r="C10" s="5" t="s">
        <v>1266</v>
      </c>
      <c r="D10" s="5" t="n">
        <v>5</v>
      </c>
      <c r="E10" s="5" t="s">
        <v>1267</v>
      </c>
      <c r="F10" s="5" t="s">
        <v>1078</v>
      </c>
      <c r="G10" s="6" t="s">
        <v>1297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2"/>
    <col collapsed="false" customWidth="true" hidden="false" outlineLevel="0" max="3" min="3" style="1" width="24"/>
    <col collapsed="false" customWidth="true" hidden="false" outlineLevel="0" max="4" min="4" style="1" width="8"/>
    <col collapsed="false" customWidth="true" hidden="false" outlineLevel="0" max="6" min="5" style="1" width="10"/>
    <col collapsed="false" customWidth="true" hidden="false" outlineLevel="0" max="7" min="7" style="1" width="70"/>
  </cols>
  <sheetData>
    <row r="1" customFormat="false" ht="15" hidden="false" customHeight="true" outlineLevel="0" collapsed="false">
      <c r="A1" s="2" t="s">
        <v>1298</v>
      </c>
    </row>
    <row r="2" customFormat="false" ht="15" hidden="false" customHeight="true" outlineLevel="0" collapsed="false">
      <c r="A2" s="3" t="s">
        <v>1299</v>
      </c>
    </row>
    <row r="3" customFormat="false" ht="15" hidden="false" customHeight="true" outlineLevel="0" collapsed="false">
      <c r="A3" s="4" t="s">
        <v>103</v>
      </c>
      <c r="B3" s="4" t="s">
        <v>1029</v>
      </c>
      <c r="C3" s="4" t="s">
        <v>1155</v>
      </c>
      <c r="D3" s="4" t="s">
        <v>1031</v>
      </c>
      <c r="E3" s="4" t="s">
        <v>651</v>
      </c>
      <c r="F3" s="4" t="s">
        <v>6</v>
      </c>
      <c r="G3" s="4" t="s">
        <v>1032</v>
      </c>
    </row>
    <row r="4" customFormat="false" ht="15" hidden="false" customHeight="true" outlineLevel="0" collapsed="false">
      <c r="A4" s="5" t="s">
        <v>1300</v>
      </c>
      <c r="B4" s="6" t="s">
        <v>1301</v>
      </c>
      <c r="C4" s="5" t="s">
        <v>1302</v>
      </c>
      <c r="D4" s="5" t="n">
        <v>2</v>
      </c>
      <c r="E4" s="5" t="s">
        <v>660</v>
      </c>
      <c r="F4" s="5" t="s">
        <v>1036</v>
      </c>
      <c r="G4" s="6" t="s">
        <v>1303</v>
      </c>
    </row>
    <row r="5" customFormat="false" ht="15" hidden="false" customHeight="true" outlineLevel="0" collapsed="false">
      <c r="A5" s="5" t="s">
        <v>1304</v>
      </c>
      <c r="B5" s="6" t="s">
        <v>1305</v>
      </c>
      <c r="C5" s="5" t="s">
        <v>1306</v>
      </c>
      <c r="D5" s="5" t="n">
        <v>1</v>
      </c>
      <c r="E5" s="5" t="s">
        <v>660</v>
      </c>
      <c r="F5" s="5" t="s">
        <v>1036</v>
      </c>
      <c r="G5" s="6" t="s">
        <v>1307</v>
      </c>
    </row>
    <row r="6" customFormat="false" ht="15" hidden="false" customHeight="true" outlineLevel="0" collapsed="false">
      <c r="A6" s="5" t="s">
        <v>1308</v>
      </c>
      <c r="B6" s="6" t="s">
        <v>1309</v>
      </c>
      <c r="C6" s="5" t="s">
        <v>1310</v>
      </c>
      <c r="D6" s="5" t="n">
        <v>1</v>
      </c>
      <c r="E6" s="5" t="s">
        <v>660</v>
      </c>
      <c r="F6" s="5" t="s">
        <v>1036</v>
      </c>
      <c r="G6" s="6" t="s">
        <v>1311</v>
      </c>
    </row>
    <row r="7" customFormat="false" ht="15" hidden="false" customHeight="true" outlineLevel="0" collapsed="false">
      <c r="A7" s="5" t="s">
        <v>1312</v>
      </c>
      <c r="B7" s="6" t="s">
        <v>1313</v>
      </c>
      <c r="C7" s="5" t="s">
        <v>1314</v>
      </c>
      <c r="D7" s="5" t="n">
        <v>1</v>
      </c>
      <c r="E7" s="5" t="s">
        <v>660</v>
      </c>
      <c r="F7" s="5" t="s">
        <v>1036</v>
      </c>
      <c r="G7" s="6" t="s">
        <v>1315</v>
      </c>
    </row>
    <row r="8" customFormat="false" ht="15" hidden="false" customHeight="true" outlineLevel="0" collapsed="false">
      <c r="A8" s="5" t="s">
        <v>1316</v>
      </c>
      <c r="B8" s="6" t="s">
        <v>1317</v>
      </c>
      <c r="C8" s="5" t="s">
        <v>112</v>
      </c>
      <c r="D8" s="5" t="n">
        <v>1</v>
      </c>
      <c r="E8" s="5" t="s">
        <v>660</v>
      </c>
      <c r="F8" s="5" t="s">
        <v>1036</v>
      </c>
      <c r="G8" s="6" t="s">
        <v>1318</v>
      </c>
    </row>
    <row r="9" customFormat="false" ht="15" hidden="false" customHeight="true" outlineLevel="0" collapsed="false">
      <c r="A9" s="5" t="s">
        <v>1319</v>
      </c>
      <c r="B9" s="6" t="s">
        <v>1320</v>
      </c>
      <c r="C9" s="5" t="s">
        <v>1321</v>
      </c>
      <c r="D9" s="5" t="n">
        <v>2</v>
      </c>
      <c r="E9" s="5" t="s">
        <v>660</v>
      </c>
      <c r="F9" s="5" t="s">
        <v>1036</v>
      </c>
      <c r="G9" s="6" t="s">
        <v>1322</v>
      </c>
    </row>
    <row r="10" customFormat="false" ht="15" hidden="false" customHeight="true" outlineLevel="0" collapsed="false">
      <c r="A10" s="5" t="s">
        <v>1323</v>
      </c>
      <c r="B10" s="6" t="s">
        <v>1324</v>
      </c>
      <c r="C10" s="5" t="s">
        <v>1325</v>
      </c>
      <c r="D10" s="5" t="n">
        <v>2</v>
      </c>
      <c r="E10" s="5" t="s">
        <v>660</v>
      </c>
      <c r="F10" s="5" t="s">
        <v>1235</v>
      </c>
      <c r="G10" s="6" t="s">
        <v>1326</v>
      </c>
    </row>
    <row r="11" customFormat="false" ht="15" hidden="false" customHeight="true" outlineLevel="0" collapsed="false">
      <c r="A11" s="5" t="s">
        <v>1327</v>
      </c>
      <c r="B11" s="6" t="s">
        <v>1328</v>
      </c>
      <c r="C11" s="5" t="s">
        <v>1329</v>
      </c>
      <c r="D11" s="5" t="n">
        <v>2</v>
      </c>
      <c r="E11" s="5" t="s">
        <v>660</v>
      </c>
      <c r="F11" s="5" t="s">
        <v>1235</v>
      </c>
      <c r="G11" s="6" t="s">
        <v>1330</v>
      </c>
    </row>
    <row r="12" customFormat="false" ht="15" hidden="false" customHeight="true" outlineLevel="0" collapsed="false">
      <c r="A12" s="5" t="s">
        <v>1331</v>
      </c>
      <c r="B12" s="6" t="s">
        <v>1332</v>
      </c>
      <c r="C12" s="5" t="s">
        <v>605</v>
      </c>
      <c r="D12" s="5" t="n">
        <v>1</v>
      </c>
      <c r="E12" s="5" t="s">
        <v>660</v>
      </c>
      <c r="F12" s="5" t="s">
        <v>1036</v>
      </c>
      <c r="G12" s="6" t="s">
        <v>1333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2"/>
    <col collapsed="false" customWidth="true" hidden="false" outlineLevel="0" max="3" min="3" style="1" width="24"/>
    <col collapsed="false" customWidth="true" hidden="false" outlineLevel="0" max="4" min="4" style="1" width="8"/>
    <col collapsed="false" customWidth="true" hidden="false" outlineLevel="0" max="5" min="5" style="1" width="10"/>
    <col collapsed="false" customWidth="true" hidden="false" outlineLevel="0" max="6" min="6" style="1" width="16"/>
    <col collapsed="false" customWidth="true" hidden="false" outlineLevel="0" max="7" min="7" style="1" width="70"/>
  </cols>
  <sheetData>
    <row r="1" customFormat="false" ht="15" hidden="false" customHeight="true" outlineLevel="0" collapsed="false">
      <c r="A1" s="2" t="s">
        <v>1334</v>
      </c>
    </row>
    <row r="2" customFormat="false" ht="15" hidden="false" customHeight="true" outlineLevel="0" collapsed="false">
      <c r="A2" s="3" t="s">
        <v>1335</v>
      </c>
    </row>
    <row r="3" customFormat="false" ht="15" hidden="false" customHeight="true" outlineLevel="0" collapsed="false">
      <c r="A3" s="4" t="s">
        <v>103</v>
      </c>
      <c r="B3" s="4" t="s">
        <v>1029</v>
      </c>
      <c r="C3" s="4" t="s">
        <v>1155</v>
      </c>
      <c r="D3" s="4" t="s">
        <v>1031</v>
      </c>
      <c r="E3" s="4" t="s">
        <v>651</v>
      </c>
      <c r="F3" s="4" t="s">
        <v>6</v>
      </c>
      <c r="G3" s="4" t="s">
        <v>1032</v>
      </c>
    </row>
    <row r="4" customFormat="false" ht="23.25" hidden="false" customHeight="true" outlineLevel="0" collapsed="false">
      <c r="A4" s="5" t="s">
        <v>1336</v>
      </c>
      <c r="B4" s="6" t="s">
        <v>1337</v>
      </c>
      <c r="C4" s="5" t="s">
        <v>1338</v>
      </c>
      <c r="D4" s="5" t="n">
        <v>5</v>
      </c>
      <c r="E4" s="5" t="s">
        <v>660</v>
      </c>
      <c r="F4" s="5" t="s">
        <v>1339</v>
      </c>
      <c r="G4" s="6" t="s">
        <v>1340</v>
      </c>
    </row>
    <row r="5" customFormat="false" ht="23.25" hidden="false" customHeight="true" outlineLevel="0" collapsed="false">
      <c r="A5" s="5" t="s">
        <v>1341</v>
      </c>
      <c r="B5" s="6" t="s">
        <v>1342</v>
      </c>
      <c r="C5" s="5" t="s">
        <v>1343</v>
      </c>
      <c r="D5" s="5" t="n">
        <v>3</v>
      </c>
      <c r="E5" s="5" t="s">
        <v>660</v>
      </c>
      <c r="F5" s="5" t="s">
        <v>1344</v>
      </c>
      <c r="G5" s="6" t="s">
        <v>1345</v>
      </c>
    </row>
    <row r="6" customFormat="false" ht="23.25" hidden="false" customHeight="true" outlineLevel="0" collapsed="false">
      <c r="A6" s="5" t="s">
        <v>1346</v>
      </c>
      <c r="B6" s="6" t="s">
        <v>1347</v>
      </c>
      <c r="C6" s="5" t="s">
        <v>1348</v>
      </c>
      <c r="D6" s="5" t="n">
        <v>5</v>
      </c>
      <c r="E6" s="5" t="s">
        <v>660</v>
      </c>
      <c r="F6" s="5" t="s">
        <v>1339</v>
      </c>
      <c r="G6" s="6" t="s">
        <v>1349</v>
      </c>
    </row>
    <row r="7" customFormat="false" ht="15" hidden="false" customHeight="true" outlineLevel="0" collapsed="false">
      <c r="A7" s="5" t="s">
        <v>1350</v>
      </c>
      <c r="B7" s="6" t="s">
        <v>1351</v>
      </c>
      <c r="C7" s="5" t="s">
        <v>1352</v>
      </c>
      <c r="D7" s="5" t="n">
        <v>3</v>
      </c>
      <c r="E7" s="5" t="s">
        <v>660</v>
      </c>
      <c r="F7" s="5" t="s">
        <v>1353</v>
      </c>
      <c r="G7" s="6" t="s">
        <v>1354</v>
      </c>
    </row>
    <row r="8" customFormat="false" ht="15" hidden="false" customHeight="true" outlineLevel="0" collapsed="false">
      <c r="A8" s="5" t="s">
        <v>1355</v>
      </c>
      <c r="B8" s="6" t="s">
        <v>1356</v>
      </c>
      <c r="C8" s="5" t="s">
        <v>1357</v>
      </c>
      <c r="D8" s="5" t="n">
        <v>1</v>
      </c>
      <c r="E8" s="5" t="s">
        <v>660</v>
      </c>
      <c r="F8" s="5" t="s">
        <v>1036</v>
      </c>
      <c r="G8" s="6" t="s">
        <v>1358</v>
      </c>
    </row>
    <row r="9" customFormat="false" ht="23.25" hidden="false" customHeight="true" outlineLevel="0" collapsed="false">
      <c r="A9" s="5" t="s">
        <v>1359</v>
      </c>
      <c r="B9" s="6" t="s">
        <v>1360</v>
      </c>
      <c r="C9" s="5" t="s">
        <v>1361</v>
      </c>
      <c r="D9" s="5" t="n">
        <v>5</v>
      </c>
      <c r="E9" s="5" t="s">
        <v>608</v>
      </c>
      <c r="F9" s="5" t="s">
        <v>1078</v>
      </c>
      <c r="G9" s="6" t="s">
        <v>1362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6"/>
    <col collapsed="false" customWidth="true" hidden="false" outlineLevel="0" max="4" min="4" style="1" width="8"/>
    <col collapsed="false" customWidth="true" hidden="false" outlineLevel="0" max="5" min="5" style="1" width="16"/>
    <col collapsed="false" customWidth="true" hidden="false" outlineLevel="0" max="6" min="6" style="1" width="10"/>
    <col collapsed="false" customWidth="true" hidden="false" outlineLevel="0" max="7" min="7" style="1" width="74"/>
  </cols>
  <sheetData>
    <row r="1" customFormat="false" ht="15" hidden="false" customHeight="true" outlineLevel="0" collapsed="false">
      <c r="A1" s="2" t="s">
        <v>1363</v>
      </c>
    </row>
    <row r="2" customFormat="false" ht="15" hidden="false" customHeight="true" outlineLevel="0" collapsed="false">
      <c r="A2" s="3" t="s">
        <v>1364</v>
      </c>
    </row>
    <row r="3" customFormat="false" ht="15" hidden="false" customHeight="true" outlineLevel="0" collapsed="false">
      <c r="A3" s="4" t="s">
        <v>103</v>
      </c>
      <c r="B3" s="4" t="s">
        <v>1029</v>
      </c>
      <c r="C3" s="4" t="s">
        <v>645</v>
      </c>
      <c r="D3" s="4" t="s">
        <v>1031</v>
      </c>
      <c r="E3" s="4" t="s">
        <v>651</v>
      </c>
      <c r="F3" s="4" t="s">
        <v>6</v>
      </c>
      <c r="G3" s="4" t="s">
        <v>1032</v>
      </c>
    </row>
    <row r="4" customFormat="false" ht="15" hidden="false" customHeight="true" outlineLevel="0" collapsed="false">
      <c r="A4" s="5" t="s">
        <v>1365</v>
      </c>
      <c r="B4" s="6" t="s">
        <v>1366</v>
      </c>
      <c r="C4" s="5" t="s">
        <v>1367</v>
      </c>
      <c r="D4" s="5" t="n">
        <v>3</v>
      </c>
      <c r="E4" s="5" t="s">
        <v>660</v>
      </c>
      <c r="F4" s="5" t="s">
        <v>1036</v>
      </c>
      <c r="G4" s="6" t="s">
        <v>1368</v>
      </c>
    </row>
    <row r="5" customFormat="false" ht="15" hidden="false" customHeight="true" outlineLevel="0" collapsed="false">
      <c r="A5" s="5" t="s">
        <v>1369</v>
      </c>
      <c r="B5" s="6" t="s">
        <v>1370</v>
      </c>
      <c r="C5" s="5" t="s">
        <v>1371</v>
      </c>
      <c r="D5" s="5" t="n">
        <v>1</v>
      </c>
      <c r="E5" s="5" t="s">
        <v>660</v>
      </c>
      <c r="F5" s="5" t="s">
        <v>1036</v>
      </c>
      <c r="G5" s="6" t="s">
        <v>1372</v>
      </c>
    </row>
    <row r="6" customFormat="false" ht="23.25" hidden="false" customHeight="true" outlineLevel="0" collapsed="false">
      <c r="A6" s="5" t="s">
        <v>1373</v>
      </c>
      <c r="B6" s="6" t="s">
        <v>1374</v>
      </c>
      <c r="C6" s="5" t="s">
        <v>1375</v>
      </c>
      <c r="D6" s="5" t="n">
        <v>3</v>
      </c>
      <c r="E6" s="5" t="s">
        <v>660</v>
      </c>
      <c r="F6" s="5" t="s">
        <v>1036</v>
      </c>
      <c r="G6" s="6" t="s">
        <v>1376</v>
      </c>
    </row>
    <row r="7" customFormat="false" ht="15" hidden="false" customHeight="true" outlineLevel="0" collapsed="false">
      <c r="A7" s="5" t="s">
        <v>1377</v>
      </c>
      <c r="B7" s="6" t="s">
        <v>1378</v>
      </c>
      <c r="C7" s="5" t="s">
        <v>1379</v>
      </c>
      <c r="D7" s="5" t="n">
        <v>2</v>
      </c>
      <c r="E7" s="5" t="s">
        <v>660</v>
      </c>
      <c r="F7" s="5" t="s">
        <v>1036</v>
      </c>
      <c r="G7" s="6" t="s">
        <v>1380</v>
      </c>
    </row>
    <row r="8" customFormat="false" ht="15" hidden="false" customHeight="true" outlineLevel="0" collapsed="false">
      <c r="A8" s="5" t="s">
        <v>1381</v>
      </c>
      <c r="B8" s="6" t="s">
        <v>1382</v>
      </c>
      <c r="C8" s="5" t="s">
        <v>1383</v>
      </c>
      <c r="D8" s="5" t="n">
        <v>2</v>
      </c>
      <c r="E8" s="5" t="s">
        <v>660</v>
      </c>
      <c r="F8" s="5" t="s">
        <v>1036</v>
      </c>
      <c r="G8" s="6" t="s">
        <v>1384</v>
      </c>
    </row>
    <row r="9" customFormat="false" ht="15" hidden="false" customHeight="true" outlineLevel="0" collapsed="false">
      <c r="A9" s="5" t="s">
        <v>1385</v>
      </c>
      <c r="B9" s="6" t="s">
        <v>1386</v>
      </c>
      <c r="C9" s="5" t="s">
        <v>1387</v>
      </c>
      <c r="D9" s="5" t="n">
        <v>3</v>
      </c>
      <c r="E9" s="5" t="s">
        <v>660</v>
      </c>
      <c r="F9" s="5" t="s">
        <v>1036</v>
      </c>
      <c r="G9" s="6" t="s">
        <v>1388</v>
      </c>
    </row>
    <row r="10" customFormat="false" ht="15" hidden="false" customHeight="true" outlineLevel="0" collapsed="false">
      <c r="A10" s="5" t="s">
        <v>1389</v>
      </c>
      <c r="B10" s="6" t="s">
        <v>1390</v>
      </c>
      <c r="C10" s="5" t="s">
        <v>1391</v>
      </c>
      <c r="D10" s="5" t="n">
        <v>2</v>
      </c>
      <c r="E10" s="5" t="s">
        <v>660</v>
      </c>
      <c r="F10" s="5" t="s">
        <v>1036</v>
      </c>
      <c r="G10" s="6" t="s">
        <v>1392</v>
      </c>
    </row>
    <row r="11" customFormat="false" ht="15" hidden="false" customHeight="true" outlineLevel="0" collapsed="false">
      <c r="A11" s="5" t="s">
        <v>1393</v>
      </c>
      <c r="B11" s="6" t="s">
        <v>1394</v>
      </c>
      <c r="C11" s="5" t="s">
        <v>1395</v>
      </c>
      <c r="D11" s="5" t="n">
        <v>2</v>
      </c>
      <c r="E11" s="5" t="s">
        <v>660</v>
      </c>
      <c r="F11" s="5" t="s">
        <v>1036</v>
      </c>
      <c r="G11" s="6" t="s">
        <v>1396</v>
      </c>
    </row>
    <row r="12" customFormat="false" ht="15" hidden="false" customHeight="true" outlineLevel="0" collapsed="false">
      <c r="A12" s="5" t="s">
        <v>1397</v>
      </c>
      <c r="B12" s="6" t="s">
        <v>1398</v>
      </c>
      <c r="C12" s="5" t="s">
        <v>1357</v>
      </c>
      <c r="D12" s="5" t="n">
        <v>1</v>
      </c>
      <c r="E12" s="5" t="s">
        <v>660</v>
      </c>
      <c r="F12" s="5" t="s">
        <v>1036</v>
      </c>
      <c r="G12" s="6" t="s">
        <v>1399</v>
      </c>
    </row>
    <row r="13" customFormat="false" ht="15" hidden="false" customHeight="true" outlineLevel="0" collapsed="false">
      <c r="A13" s="5" t="s">
        <v>1400</v>
      </c>
      <c r="B13" s="6" t="s">
        <v>1401</v>
      </c>
      <c r="C13" s="5" t="s">
        <v>1402</v>
      </c>
      <c r="D13" s="5" t="n">
        <v>3</v>
      </c>
      <c r="E13" s="5" t="s">
        <v>1267</v>
      </c>
      <c r="F13" s="5" t="s">
        <v>1078</v>
      </c>
      <c r="G13" s="6" t="s">
        <v>1403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2"/>
    <col collapsed="false" customWidth="true" hidden="false" outlineLevel="0" max="4" min="4" style="1" width="8"/>
    <col collapsed="false" customWidth="true" hidden="false" outlineLevel="0" max="5" min="5" style="1" width="16"/>
    <col collapsed="false" customWidth="true" hidden="false" outlineLevel="0" max="6" min="6" style="1" width="10"/>
    <col collapsed="false" customWidth="true" hidden="false" outlineLevel="0" max="7" min="7" style="1" width="74"/>
  </cols>
  <sheetData>
    <row r="1" customFormat="false" ht="15" hidden="false" customHeight="true" outlineLevel="0" collapsed="false">
      <c r="A1" s="2" t="s">
        <v>1404</v>
      </c>
    </row>
    <row r="2" customFormat="false" ht="15" hidden="false" customHeight="true" outlineLevel="0" collapsed="false">
      <c r="A2" s="3" t="s">
        <v>1405</v>
      </c>
    </row>
    <row r="3" customFormat="false" ht="15" hidden="false" customHeight="true" outlineLevel="0" collapsed="false">
      <c r="A3" s="4" t="s">
        <v>103</v>
      </c>
      <c r="B3" s="4" t="s">
        <v>1029</v>
      </c>
      <c r="C3" s="4" t="s">
        <v>1406</v>
      </c>
      <c r="D3" s="4" t="s">
        <v>1031</v>
      </c>
      <c r="E3" s="4" t="s">
        <v>651</v>
      </c>
      <c r="F3" s="4" t="s">
        <v>6</v>
      </c>
      <c r="G3" s="4" t="s">
        <v>1032</v>
      </c>
    </row>
    <row r="4" customFormat="false" ht="23.25" hidden="false" customHeight="true" outlineLevel="0" collapsed="false">
      <c r="A4" s="5" t="s">
        <v>1407</v>
      </c>
      <c r="B4" s="6" t="s">
        <v>1408</v>
      </c>
      <c r="C4" s="5" t="s">
        <v>1409</v>
      </c>
      <c r="D4" s="5" t="n">
        <v>5</v>
      </c>
      <c r="E4" s="5" t="s">
        <v>660</v>
      </c>
      <c r="F4" s="5" t="s">
        <v>1036</v>
      </c>
      <c r="G4" s="6" t="s">
        <v>1410</v>
      </c>
    </row>
    <row r="5" customFormat="false" ht="15" hidden="false" customHeight="true" outlineLevel="0" collapsed="false">
      <c r="A5" s="5" t="s">
        <v>1411</v>
      </c>
      <c r="B5" s="6" t="s">
        <v>1412</v>
      </c>
      <c r="C5" s="5" t="s">
        <v>1409</v>
      </c>
      <c r="D5" s="5" t="n">
        <v>1</v>
      </c>
      <c r="E5" s="5" t="s">
        <v>660</v>
      </c>
      <c r="F5" s="5" t="s">
        <v>1036</v>
      </c>
      <c r="G5" s="6" t="s">
        <v>1413</v>
      </c>
    </row>
    <row r="6" customFormat="false" ht="23.25" hidden="false" customHeight="true" outlineLevel="0" collapsed="false">
      <c r="A6" s="5" t="s">
        <v>1414</v>
      </c>
      <c r="B6" s="6" t="s">
        <v>1415</v>
      </c>
      <c r="C6" s="5" t="s">
        <v>1416</v>
      </c>
      <c r="D6" s="5" t="n">
        <v>3</v>
      </c>
      <c r="E6" s="5" t="s">
        <v>660</v>
      </c>
      <c r="F6" s="5" t="s">
        <v>1036</v>
      </c>
      <c r="G6" s="6" t="s">
        <v>1417</v>
      </c>
    </row>
    <row r="7" customFormat="false" ht="15" hidden="false" customHeight="true" outlineLevel="0" collapsed="false">
      <c r="A7" s="5" t="s">
        <v>1418</v>
      </c>
      <c r="B7" s="6" t="s">
        <v>1419</v>
      </c>
      <c r="C7" s="5" t="s">
        <v>1416</v>
      </c>
      <c r="D7" s="5" t="n">
        <v>1</v>
      </c>
      <c r="E7" s="5" t="s">
        <v>660</v>
      </c>
      <c r="F7" s="5" t="s">
        <v>1036</v>
      </c>
      <c r="G7" s="6" t="s">
        <v>1420</v>
      </c>
    </row>
    <row r="8" customFormat="false" ht="15" hidden="false" customHeight="true" outlineLevel="0" collapsed="false">
      <c r="A8" s="5" t="s">
        <v>1421</v>
      </c>
      <c r="B8" s="6" t="s">
        <v>1422</v>
      </c>
      <c r="C8" s="5" t="s">
        <v>1423</v>
      </c>
      <c r="D8" s="5" t="n">
        <v>2</v>
      </c>
      <c r="E8" s="5" t="s">
        <v>660</v>
      </c>
      <c r="F8" s="5" t="s">
        <v>1036</v>
      </c>
      <c r="G8" s="6" t="s">
        <v>1424</v>
      </c>
    </row>
    <row r="9" customFormat="false" ht="15" hidden="false" customHeight="true" outlineLevel="0" collapsed="false">
      <c r="A9" s="5" t="s">
        <v>1425</v>
      </c>
      <c r="B9" s="6" t="s">
        <v>1426</v>
      </c>
      <c r="C9" s="5" t="s">
        <v>1427</v>
      </c>
      <c r="D9" s="5" t="n">
        <v>1</v>
      </c>
      <c r="E9" s="5" t="s">
        <v>660</v>
      </c>
      <c r="F9" s="5" t="s">
        <v>1036</v>
      </c>
      <c r="G9" s="6" t="s">
        <v>1428</v>
      </c>
    </row>
    <row r="10" customFormat="false" ht="15" hidden="false" customHeight="true" outlineLevel="0" collapsed="false">
      <c r="A10" s="5" t="s">
        <v>1429</v>
      </c>
      <c r="B10" s="6" t="s">
        <v>1430</v>
      </c>
      <c r="C10" s="5" t="s">
        <v>1431</v>
      </c>
      <c r="D10" s="5" t="n">
        <v>2</v>
      </c>
      <c r="E10" s="5" t="s">
        <v>660</v>
      </c>
      <c r="F10" s="5" t="s">
        <v>1036</v>
      </c>
      <c r="G10" s="6" t="s">
        <v>1432</v>
      </c>
    </row>
    <row r="11" customFormat="false" ht="15" hidden="false" customHeight="true" outlineLevel="0" collapsed="false">
      <c r="A11" s="5" t="s">
        <v>1433</v>
      </c>
      <c r="B11" s="6" t="s">
        <v>1434</v>
      </c>
      <c r="C11" s="5" t="s">
        <v>1357</v>
      </c>
      <c r="D11" s="5" t="n">
        <v>1</v>
      </c>
      <c r="E11" s="5" t="s">
        <v>660</v>
      </c>
      <c r="F11" s="5" t="s">
        <v>1036</v>
      </c>
      <c r="G11" s="6" t="s">
        <v>1435</v>
      </c>
    </row>
    <row r="12" customFormat="false" ht="23.25" hidden="false" customHeight="true" outlineLevel="0" collapsed="false">
      <c r="A12" s="5" t="s">
        <v>1436</v>
      </c>
      <c r="B12" s="6" t="s">
        <v>1437</v>
      </c>
      <c r="C12" s="5" t="s">
        <v>1438</v>
      </c>
      <c r="D12" s="5" t="n">
        <v>5</v>
      </c>
      <c r="E12" s="5" t="s">
        <v>1267</v>
      </c>
      <c r="F12" s="5" t="s">
        <v>1078</v>
      </c>
      <c r="G12" s="6" t="s">
        <v>1439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2"/>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1440</v>
      </c>
    </row>
    <row r="2" customFormat="false" ht="15" hidden="false" customHeight="true" outlineLevel="0" collapsed="false">
      <c r="A2" s="3" t="s">
        <v>1441</v>
      </c>
    </row>
    <row r="3" customFormat="false" ht="15" hidden="false" customHeight="true" outlineLevel="0" collapsed="false">
      <c r="A3" s="4" t="s">
        <v>103</v>
      </c>
      <c r="B3" s="4" t="s">
        <v>1029</v>
      </c>
      <c r="C3" s="4" t="s">
        <v>645</v>
      </c>
      <c r="D3" s="4" t="s">
        <v>1031</v>
      </c>
      <c r="E3" s="4" t="s">
        <v>651</v>
      </c>
      <c r="F3" s="4" t="s">
        <v>6</v>
      </c>
      <c r="G3" s="4" t="s">
        <v>1032</v>
      </c>
    </row>
    <row r="4" customFormat="false" ht="23.25" hidden="false" customHeight="true" outlineLevel="0" collapsed="false">
      <c r="A4" s="5" t="s">
        <v>1442</v>
      </c>
      <c r="B4" s="6" t="s">
        <v>1443</v>
      </c>
      <c r="C4" s="5" t="s">
        <v>1444</v>
      </c>
      <c r="D4" s="5" t="n">
        <v>5</v>
      </c>
      <c r="E4" s="5" t="s">
        <v>660</v>
      </c>
      <c r="F4" s="5" t="s">
        <v>1036</v>
      </c>
      <c r="G4" s="6" t="s">
        <v>1445</v>
      </c>
    </row>
    <row r="5" customFormat="false" ht="15" hidden="false" customHeight="true" outlineLevel="0" collapsed="false">
      <c r="A5" s="5" t="s">
        <v>1446</v>
      </c>
      <c r="B5" s="6" t="s">
        <v>1447</v>
      </c>
      <c r="C5" s="5" t="s">
        <v>1448</v>
      </c>
      <c r="D5" s="5" t="n">
        <v>3</v>
      </c>
      <c r="E5" s="5" t="s">
        <v>660</v>
      </c>
      <c r="F5" s="5" t="s">
        <v>1036</v>
      </c>
      <c r="G5" s="6" t="s">
        <v>1449</v>
      </c>
    </row>
    <row r="6" customFormat="false" ht="15" hidden="false" customHeight="true" outlineLevel="0" collapsed="false">
      <c r="A6" s="5" t="s">
        <v>1450</v>
      </c>
      <c r="B6" s="6" t="s">
        <v>1451</v>
      </c>
      <c r="C6" s="5" t="s">
        <v>1452</v>
      </c>
      <c r="D6" s="5" t="n">
        <v>2</v>
      </c>
      <c r="E6" s="5" t="s">
        <v>660</v>
      </c>
      <c r="F6" s="5" t="s">
        <v>1036</v>
      </c>
      <c r="G6" s="6" t="s">
        <v>1453</v>
      </c>
    </row>
    <row r="7" customFormat="false" ht="15" hidden="false" customHeight="true" outlineLevel="0" collapsed="false">
      <c r="A7" s="5" t="s">
        <v>1454</v>
      </c>
      <c r="B7" s="6" t="s">
        <v>1455</v>
      </c>
      <c r="C7" s="5" t="s">
        <v>1456</v>
      </c>
      <c r="D7" s="5" t="n">
        <v>2</v>
      </c>
      <c r="E7" s="5" t="s">
        <v>660</v>
      </c>
      <c r="F7" s="5" t="s">
        <v>1036</v>
      </c>
      <c r="G7" s="6" t="s">
        <v>1457</v>
      </c>
    </row>
    <row r="8" customFormat="false" ht="15" hidden="false" customHeight="true" outlineLevel="0" collapsed="false">
      <c r="A8" s="5" t="s">
        <v>1458</v>
      </c>
      <c r="B8" s="6" t="s">
        <v>1459</v>
      </c>
      <c r="C8" s="5" t="s">
        <v>1460</v>
      </c>
      <c r="D8" s="5" t="n">
        <v>1</v>
      </c>
      <c r="E8" s="5" t="s">
        <v>660</v>
      </c>
      <c r="F8" s="5" t="s">
        <v>1036</v>
      </c>
      <c r="G8" s="6" t="s">
        <v>1461</v>
      </c>
    </row>
    <row r="9" customFormat="false" ht="15" hidden="false" customHeight="true" outlineLevel="0" collapsed="false">
      <c r="A9" s="5" t="s">
        <v>1462</v>
      </c>
      <c r="B9" s="6" t="s">
        <v>1463</v>
      </c>
      <c r="C9" s="5" t="s">
        <v>1464</v>
      </c>
      <c r="D9" s="5" t="n">
        <v>1</v>
      </c>
      <c r="E9" s="5" t="s">
        <v>660</v>
      </c>
      <c r="F9" s="5" t="s">
        <v>1036</v>
      </c>
      <c r="G9" s="6" t="s">
        <v>1465</v>
      </c>
    </row>
    <row r="10" customFormat="false" ht="15" hidden="false" customHeight="true" outlineLevel="0" collapsed="false">
      <c r="A10" s="5" t="s">
        <v>1466</v>
      </c>
      <c r="B10" s="6" t="s">
        <v>1467</v>
      </c>
      <c r="C10" s="5" t="s">
        <v>1357</v>
      </c>
      <c r="D10" s="5" t="n">
        <v>1</v>
      </c>
      <c r="E10" s="5" t="s">
        <v>660</v>
      </c>
      <c r="F10" s="5" t="s">
        <v>1036</v>
      </c>
      <c r="G10" s="6" t="s">
        <v>1468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2"/>
    <col collapsed="false" customWidth="true" hidden="false" outlineLevel="0" max="3" min="3" style="1" width="10"/>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1469</v>
      </c>
    </row>
    <row r="2" customFormat="false" ht="15" hidden="false" customHeight="true" outlineLevel="0" collapsed="false">
      <c r="A2" s="3" t="s">
        <v>1470</v>
      </c>
    </row>
    <row r="3" customFormat="false" ht="15" hidden="false" customHeight="true" outlineLevel="0" collapsed="false">
      <c r="A3" s="4" t="s">
        <v>103</v>
      </c>
      <c r="B3" s="4" t="s">
        <v>1029</v>
      </c>
      <c r="C3" s="4" t="s">
        <v>1030</v>
      </c>
      <c r="D3" s="4" t="s">
        <v>1031</v>
      </c>
      <c r="E3" s="4" t="s">
        <v>651</v>
      </c>
      <c r="F3" s="4" t="s">
        <v>6</v>
      </c>
      <c r="G3" s="4" t="s">
        <v>1032</v>
      </c>
    </row>
    <row r="4" customFormat="false" ht="23.25" hidden="false" customHeight="true" outlineLevel="0" collapsed="false">
      <c r="A4" s="5" t="s">
        <v>1471</v>
      </c>
      <c r="B4" s="6" t="s">
        <v>1472</v>
      </c>
      <c r="C4" s="5" t="s">
        <v>1473</v>
      </c>
      <c r="D4" s="5" t="n">
        <v>2</v>
      </c>
      <c r="E4" s="5" t="s">
        <v>660</v>
      </c>
      <c r="F4" s="5" t="s">
        <v>1036</v>
      </c>
      <c r="G4" s="6" t="s">
        <v>1474</v>
      </c>
    </row>
    <row r="5" customFormat="false" ht="15" hidden="false" customHeight="true" outlineLevel="0" collapsed="false">
      <c r="A5" s="5" t="s">
        <v>1475</v>
      </c>
      <c r="B5" s="6" t="s">
        <v>1476</v>
      </c>
      <c r="C5" s="5" t="s">
        <v>1477</v>
      </c>
      <c r="D5" s="5" t="n">
        <v>2</v>
      </c>
      <c r="E5" s="5" t="s">
        <v>660</v>
      </c>
      <c r="F5" s="5" t="s">
        <v>1036</v>
      </c>
      <c r="G5" s="6" t="s">
        <v>1478</v>
      </c>
    </row>
    <row r="6" customFormat="false" ht="15" hidden="false" customHeight="true" outlineLevel="0" collapsed="false">
      <c r="A6" s="5" t="s">
        <v>1479</v>
      </c>
      <c r="B6" s="6" t="s">
        <v>1480</v>
      </c>
      <c r="C6" s="5" t="s">
        <v>1481</v>
      </c>
      <c r="D6" s="5" t="n">
        <v>2</v>
      </c>
      <c r="E6" s="5" t="s">
        <v>660</v>
      </c>
      <c r="F6" s="5" t="s">
        <v>1036</v>
      </c>
      <c r="G6" s="6" t="s">
        <v>1482</v>
      </c>
    </row>
    <row r="7" customFormat="false" ht="23.25" hidden="false" customHeight="true" outlineLevel="0" collapsed="false">
      <c r="A7" s="5" t="s">
        <v>1483</v>
      </c>
      <c r="B7" s="6" t="s">
        <v>1484</v>
      </c>
      <c r="C7" s="5" t="s">
        <v>1485</v>
      </c>
      <c r="D7" s="5" t="n">
        <v>5</v>
      </c>
      <c r="E7" s="5" t="s">
        <v>660</v>
      </c>
      <c r="F7" s="5" t="s">
        <v>1036</v>
      </c>
      <c r="G7" s="6" t="s">
        <v>1486</v>
      </c>
    </row>
    <row r="8" customFormat="false" ht="15" hidden="false" customHeight="true" outlineLevel="0" collapsed="false">
      <c r="A8" s="5" t="s">
        <v>1487</v>
      </c>
      <c r="B8" s="6" t="s">
        <v>1488</v>
      </c>
      <c r="C8" s="5" t="s">
        <v>1357</v>
      </c>
      <c r="D8" s="5" t="n">
        <v>1</v>
      </c>
      <c r="E8" s="5" t="s">
        <v>660</v>
      </c>
      <c r="F8" s="5" t="s">
        <v>1036</v>
      </c>
      <c r="G8" s="6" t="s">
        <v>1489</v>
      </c>
    </row>
    <row r="9" customFormat="false" ht="15" hidden="false" customHeight="true" outlineLevel="0" collapsed="false">
      <c r="A9" s="5" t="s">
        <v>1490</v>
      </c>
      <c r="B9" s="6" t="s">
        <v>1491</v>
      </c>
      <c r="C9" s="5" t="s">
        <v>1481</v>
      </c>
      <c r="D9" s="5" t="n">
        <v>8</v>
      </c>
      <c r="E9" s="5" t="s">
        <v>608</v>
      </c>
      <c r="F9" s="5" t="s">
        <v>1078</v>
      </c>
      <c r="G9" s="6" t="s">
        <v>1492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2"/>
    <col collapsed="false" customWidth="true" hidden="false" outlineLevel="0" max="3" min="3" style="1" width="14"/>
    <col collapsed="false" customWidth="true" hidden="false" outlineLevel="0" max="4" min="4" style="1" width="8"/>
    <col collapsed="false" customWidth="true" hidden="false" outlineLevel="0" max="5" min="5" style="1" width="16"/>
    <col collapsed="false" customWidth="true" hidden="false" outlineLevel="0" max="6" min="6" style="1" width="10"/>
    <col collapsed="false" customWidth="true" hidden="false" outlineLevel="0" max="7" min="7" style="1" width="74"/>
  </cols>
  <sheetData>
    <row r="1" customFormat="false" ht="15" hidden="false" customHeight="true" outlineLevel="0" collapsed="false">
      <c r="A1" s="2" t="s">
        <v>1493</v>
      </c>
    </row>
    <row r="2" customFormat="false" ht="15" hidden="false" customHeight="true" outlineLevel="0" collapsed="false">
      <c r="A2" s="3" t="s">
        <v>1494</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1495</v>
      </c>
      <c r="B4" s="6" t="s">
        <v>1496</v>
      </c>
      <c r="C4" s="5" t="s">
        <v>1490</v>
      </c>
      <c r="D4" s="5" t="n">
        <v>3</v>
      </c>
      <c r="E4" s="5" t="s">
        <v>660</v>
      </c>
      <c r="F4" s="5" t="s">
        <v>1036</v>
      </c>
      <c r="G4" s="6" t="s">
        <v>1497</v>
      </c>
    </row>
    <row r="5" customFormat="false" ht="15" hidden="false" customHeight="true" outlineLevel="0" collapsed="false">
      <c r="A5" s="5" t="s">
        <v>1498</v>
      </c>
      <c r="B5" s="6" t="s">
        <v>1499</v>
      </c>
      <c r="C5" s="5" t="s">
        <v>1490</v>
      </c>
      <c r="D5" s="5" t="n">
        <v>3</v>
      </c>
      <c r="E5" s="5" t="s">
        <v>660</v>
      </c>
      <c r="F5" s="5" t="s">
        <v>1036</v>
      </c>
      <c r="G5" s="6" t="s">
        <v>1500</v>
      </c>
    </row>
    <row r="6" customFormat="false" ht="15" hidden="false" customHeight="true" outlineLevel="0" collapsed="false">
      <c r="A6" s="5" t="s">
        <v>1501</v>
      </c>
      <c r="B6" s="6" t="s">
        <v>1502</v>
      </c>
      <c r="C6" s="5" t="s">
        <v>1490</v>
      </c>
      <c r="D6" s="5" t="n">
        <v>2</v>
      </c>
      <c r="E6" s="5" t="s">
        <v>660</v>
      </c>
      <c r="F6" s="5" t="s">
        <v>1036</v>
      </c>
      <c r="G6" s="6" t="s">
        <v>1503</v>
      </c>
    </row>
    <row r="7" customFormat="false" ht="15" hidden="false" customHeight="true" outlineLevel="0" collapsed="false">
      <c r="A7" s="5" t="s">
        <v>1504</v>
      </c>
      <c r="B7" s="6" t="s">
        <v>1505</v>
      </c>
      <c r="C7" s="5" t="s">
        <v>1481</v>
      </c>
      <c r="D7" s="5" t="n">
        <v>1</v>
      </c>
      <c r="E7" s="5" t="s">
        <v>660</v>
      </c>
      <c r="F7" s="5" t="s">
        <v>1036</v>
      </c>
      <c r="G7" s="6" t="s">
        <v>1506</v>
      </c>
    </row>
    <row r="8" customFormat="false" ht="15" hidden="false" customHeight="true" outlineLevel="0" collapsed="false">
      <c r="A8" s="5" t="s">
        <v>1507</v>
      </c>
      <c r="B8" s="6" t="s">
        <v>1508</v>
      </c>
      <c r="C8" s="5" t="s">
        <v>1477</v>
      </c>
      <c r="D8" s="5" t="n">
        <v>5</v>
      </c>
      <c r="E8" s="5" t="s">
        <v>660</v>
      </c>
      <c r="F8" s="5" t="s">
        <v>1036</v>
      </c>
      <c r="G8" s="6" t="s">
        <v>1509</v>
      </c>
    </row>
    <row r="9" customFormat="false" ht="15" hidden="false" customHeight="true" outlineLevel="0" collapsed="false">
      <c r="A9" s="5" t="s">
        <v>1510</v>
      </c>
      <c r="B9" s="6" t="s">
        <v>1511</v>
      </c>
      <c r="C9" s="5" t="s">
        <v>1357</v>
      </c>
      <c r="D9" s="5" t="n">
        <v>1</v>
      </c>
      <c r="E9" s="5" t="s">
        <v>660</v>
      </c>
      <c r="F9" s="5" t="s">
        <v>1036</v>
      </c>
      <c r="G9" s="6" t="s">
        <v>1512</v>
      </c>
    </row>
    <row r="10" customFormat="false" ht="15" hidden="false" customHeight="true" outlineLevel="0" collapsed="false">
      <c r="A10" s="5" t="s">
        <v>1513</v>
      </c>
      <c r="B10" s="6" t="s">
        <v>1514</v>
      </c>
      <c r="C10" s="5" t="s">
        <v>1515</v>
      </c>
      <c r="D10" s="5" t="n">
        <v>3</v>
      </c>
      <c r="E10" s="5" t="s">
        <v>1267</v>
      </c>
      <c r="F10" s="5" t="s">
        <v>1078</v>
      </c>
      <c r="G10" s="6" t="s">
        <v>1516</v>
      </c>
    </row>
    <row r="11" customFormat="false" ht="15" hidden="false" customHeight="true" outlineLevel="0" collapsed="false">
      <c r="A11" s="5" t="s">
        <v>1517</v>
      </c>
      <c r="B11" s="6" t="s">
        <v>1518</v>
      </c>
      <c r="C11" s="5" t="s">
        <v>1519</v>
      </c>
      <c r="D11" s="5" t="n">
        <v>13</v>
      </c>
      <c r="E11" s="5" t="s">
        <v>608</v>
      </c>
      <c r="F11" s="5" t="s">
        <v>1078</v>
      </c>
      <c r="G11" s="6" t="s">
        <v>1520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2"/>
    <col collapsed="false" customWidth="true" hidden="false" outlineLevel="0" max="3" min="3" style="1" width="18"/>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1521</v>
      </c>
    </row>
    <row r="2" customFormat="false" ht="15" hidden="false" customHeight="true" outlineLevel="0" collapsed="false">
      <c r="A2" s="3" t="s">
        <v>1522</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1523</v>
      </c>
      <c r="B4" s="6" t="s">
        <v>1524</v>
      </c>
      <c r="C4" s="5" t="s">
        <v>1525</v>
      </c>
      <c r="D4" s="5" t="n">
        <v>1</v>
      </c>
      <c r="E4" s="5" t="s">
        <v>660</v>
      </c>
      <c r="F4" s="5" t="s">
        <v>1036</v>
      </c>
      <c r="G4" s="6" t="s">
        <v>1526</v>
      </c>
    </row>
    <row r="5" customFormat="false" ht="15" hidden="false" customHeight="true" outlineLevel="0" collapsed="false">
      <c r="A5" s="5" t="s">
        <v>1527</v>
      </c>
      <c r="B5" s="6" t="s">
        <v>1528</v>
      </c>
      <c r="C5" s="5" t="s">
        <v>1525</v>
      </c>
      <c r="D5" s="5" t="n">
        <v>5</v>
      </c>
      <c r="E5" s="5" t="s">
        <v>660</v>
      </c>
      <c r="F5" s="5" t="s">
        <v>1036</v>
      </c>
      <c r="G5" s="6" t="s">
        <v>1529</v>
      </c>
    </row>
    <row r="6" customFormat="false" ht="15" hidden="false" customHeight="true" outlineLevel="0" collapsed="false">
      <c r="A6" s="5" t="s">
        <v>1530</v>
      </c>
      <c r="B6" s="6" t="s">
        <v>1531</v>
      </c>
      <c r="C6" s="5" t="s">
        <v>1525</v>
      </c>
      <c r="D6" s="5" t="n">
        <v>3</v>
      </c>
      <c r="E6" s="5" t="s">
        <v>660</v>
      </c>
      <c r="F6" s="5" t="s">
        <v>1036</v>
      </c>
      <c r="G6" s="6" t="s">
        <v>1532</v>
      </c>
    </row>
    <row r="7" customFormat="false" ht="15" hidden="false" customHeight="true" outlineLevel="0" collapsed="false">
      <c r="A7" s="5" t="s">
        <v>1533</v>
      </c>
      <c r="B7" s="6" t="s">
        <v>1534</v>
      </c>
      <c r="C7" s="5" t="s">
        <v>1525</v>
      </c>
      <c r="D7" s="5" t="n">
        <v>2</v>
      </c>
      <c r="E7" s="5" t="s">
        <v>660</v>
      </c>
      <c r="F7" s="5" t="s">
        <v>1036</v>
      </c>
      <c r="G7" s="6" t="s">
        <v>1535</v>
      </c>
    </row>
    <row r="8" customFormat="false" ht="15" hidden="false" customHeight="true" outlineLevel="0" collapsed="false">
      <c r="A8" s="5" t="s">
        <v>1536</v>
      </c>
      <c r="B8" s="6" t="s">
        <v>1537</v>
      </c>
      <c r="C8" s="5" t="s">
        <v>1538</v>
      </c>
      <c r="D8" s="5" t="n">
        <v>1</v>
      </c>
      <c r="E8" s="5" t="s">
        <v>660</v>
      </c>
      <c r="F8" s="5" t="s">
        <v>1036</v>
      </c>
      <c r="G8" s="6" t="s">
        <v>1539</v>
      </c>
    </row>
    <row r="9" customFormat="false" ht="15" hidden="false" customHeight="true" outlineLevel="0" collapsed="false">
      <c r="A9" s="5" t="s">
        <v>1540</v>
      </c>
      <c r="B9" s="6" t="s">
        <v>1541</v>
      </c>
      <c r="C9" s="5" t="s">
        <v>1357</v>
      </c>
      <c r="D9" s="5" t="n">
        <v>1</v>
      </c>
      <c r="E9" s="5" t="s">
        <v>660</v>
      </c>
      <c r="F9" s="5" t="s">
        <v>1036</v>
      </c>
      <c r="G9" s="6" t="s">
        <v>1542</v>
      </c>
    </row>
    <row r="10" customFormat="false" ht="15" hidden="false" customHeight="true" outlineLevel="0" collapsed="false">
      <c r="A10" s="5" t="s">
        <v>1543</v>
      </c>
      <c r="B10" s="6" t="s">
        <v>1544</v>
      </c>
      <c r="C10" s="5" t="s">
        <v>1517</v>
      </c>
      <c r="D10" s="5" t="n">
        <v>13</v>
      </c>
      <c r="E10" s="5" t="s">
        <v>608</v>
      </c>
      <c r="F10" s="5" t="s">
        <v>1078</v>
      </c>
      <c r="G10" s="6" t="s">
        <v>1545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0"/>
    <col collapsed="false" customWidth="true" hidden="false" outlineLevel="0" max="3" min="3" style="1" width="18"/>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1546</v>
      </c>
    </row>
    <row r="2" customFormat="false" ht="15" hidden="false" customHeight="true" outlineLevel="0" collapsed="false">
      <c r="A2" s="3" t="s">
        <v>1547</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1548</v>
      </c>
      <c r="B4" s="6" t="s">
        <v>1549</v>
      </c>
      <c r="C4" s="5" t="s">
        <v>1550</v>
      </c>
      <c r="D4" s="5" t="n">
        <v>1</v>
      </c>
      <c r="E4" s="5" t="s">
        <v>660</v>
      </c>
      <c r="F4" s="5" t="s">
        <v>1036</v>
      </c>
      <c r="G4" s="6" t="s">
        <v>1551</v>
      </c>
    </row>
    <row r="5" customFormat="false" ht="15" hidden="false" customHeight="true" outlineLevel="0" collapsed="false">
      <c r="A5" s="5" t="s">
        <v>1552</v>
      </c>
      <c r="B5" s="6" t="s">
        <v>1553</v>
      </c>
      <c r="C5" s="5" t="s">
        <v>1554</v>
      </c>
      <c r="D5" s="5" t="n">
        <v>8</v>
      </c>
      <c r="E5" s="5" t="s">
        <v>660</v>
      </c>
      <c r="F5" s="5" t="s">
        <v>1036</v>
      </c>
      <c r="G5" s="6" t="s">
        <v>1555</v>
      </c>
    </row>
    <row r="6" customFormat="false" ht="15" hidden="false" customHeight="true" outlineLevel="0" collapsed="false">
      <c r="A6" s="5" t="s">
        <v>1556</v>
      </c>
      <c r="B6" s="6" t="s">
        <v>1557</v>
      </c>
      <c r="C6" s="5" t="s">
        <v>1554</v>
      </c>
      <c r="D6" s="5" t="n">
        <v>3</v>
      </c>
      <c r="E6" s="5" t="s">
        <v>660</v>
      </c>
      <c r="F6" s="5" t="s">
        <v>1036</v>
      </c>
      <c r="G6" s="6" t="s">
        <v>1558</v>
      </c>
    </row>
    <row r="7" customFormat="false" ht="15" hidden="false" customHeight="true" outlineLevel="0" collapsed="false">
      <c r="A7" s="5" t="s">
        <v>1559</v>
      </c>
      <c r="B7" s="6" t="s">
        <v>1560</v>
      </c>
      <c r="C7" s="5" t="s">
        <v>1554</v>
      </c>
      <c r="D7" s="5" t="n">
        <v>3</v>
      </c>
      <c r="E7" s="5" t="s">
        <v>660</v>
      </c>
      <c r="F7" s="5" t="s">
        <v>1036</v>
      </c>
      <c r="G7" s="6" t="s">
        <v>1561</v>
      </c>
    </row>
    <row r="8" customFormat="false" ht="15" hidden="false" customHeight="true" outlineLevel="0" collapsed="false">
      <c r="A8" s="5" t="s">
        <v>1562</v>
      </c>
      <c r="B8" s="6" t="s">
        <v>1563</v>
      </c>
      <c r="C8" s="5" t="s">
        <v>1554</v>
      </c>
      <c r="D8" s="5" t="n">
        <v>2</v>
      </c>
      <c r="E8" s="5" t="s">
        <v>660</v>
      </c>
      <c r="F8" s="5" t="s">
        <v>1036</v>
      </c>
      <c r="G8" s="6" t="s">
        <v>1564</v>
      </c>
    </row>
    <row r="9" customFormat="false" ht="15" hidden="false" customHeight="true" outlineLevel="0" collapsed="false">
      <c r="A9" s="5" t="s">
        <v>1565</v>
      </c>
      <c r="B9" s="6" t="s">
        <v>1566</v>
      </c>
      <c r="C9" s="5" t="s">
        <v>1538</v>
      </c>
      <c r="D9" s="5" t="n">
        <v>1</v>
      </c>
      <c r="E9" s="5" t="s">
        <v>660</v>
      </c>
      <c r="F9" s="5" t="s">
        <v>1036</v>
      </c>
      <c r="G9" s="6" t="s">
        <v>1567</v>
      </c>
    </row>
    <row r="10" customFormat="false" ht="15" hidden="false" customHeight="true" outlineLevel="0" collapsed="false">
      <c r="A10" s="5" t="s">
        <v>1568</v>
      </c>
      <c r="B10" s="6" t="s">
        <v>1569</v>
      </c>
      <c r="C10" s="5" t="s">
        <v>147</v>
      </c>
      <c r="D10" s="5" t="n">
        <v>2</v>
      </c>
      <c r="E10" s="5" t="s">
        <v>660</v>
      </c>
      <c r="F10" s="5" t="s">
        <v>1036</v>
      </c>
      <c r="G10" s="6" t="s">
        <v>1570</v>
      </c>
    </row>
    <row r="11" customFormat="false" ht="15" hidden="false" customHeight="true" outlineLevel="0" collapsed="false">
      <c r="A11" s="5" t="s">
        <v>1571</v>
      </c>
      <c r="B11" s="6" t="s">
        <v>1572</v>
      </c>
      <c r="C11" s="5" t="s">
        <v>1357</v>
      </c>
      <c r="D11" s="5" t="n">
        <v>1</v>
      </c>
      <c r="E11" s="5" t="s">
        <v>660</v>
      </c>
      <c r="F11" s="5" t="s">
        <v>1036</v>
      </c>
      <c r="G11" s="6" t="s">
        <v>1573</v>
      </c>
    </row>
    <row r="12" customFormat="false" ht="15" hidden="false" customHeight="true" outlineLevel="0" collapsed="false">
      <c r="A12" s="5" t="s">
        <v>1574</v>
      </c>
      <c r="B12" s="6" t="s">
        <v>1544</v>
      </c>
      <c r="C12" s="5" t="s">
        <v>1517</v>
      </c>
      <c r="D12" s="5" t="n">
        <v>13</v>
      </c>
      <c r="E12" s="5" t="s">
        <v>608</v>
      </c>
      <c r="F12" s="5" t="s">
        <v>1078</v>
      </c>
      <c r="G12" s="6" t="s">
        <v>1575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0"/>
    <col collapsed="false" customWidth="true" hidden="false" outlineLevel="0" max="3" min="3" style="1" width="14"/>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1576</v>
      </c>
    </row>
    <row r="2" customFormat="false" ht="15" hidden="false" customHeight="true" outlineLevel="0" collapsed="false">
      <c r="A2" s="3" t="s">
        <v>1577</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1578</v>
      </c>
      <c r="B4" s="6" t="s">
        <v>1579</v>
      </c>
      <c r="C4" s="5" t="s">
        <v>1580</v>
      </c>
      <c r="D4" s="5" t="n">
        <v>1</v>
      </c>
      <c r="E4" s="5" t="s">
        <v>660</v>
      </c>
      <c r="F4" s="5" t="s">
        <v>1036</v>
      </c>
      <c r="G4" s="6" t="s">
        <v>1581</v>
      </c>
    </row>
    <row r="5" customFormat="false" ht="15" hidden="false" customHeight="true" outlineLevel="0" collapsed="false">
      <c r="A5" s="5" t="s">
        <v>1582</v>
      </c>
      <c r="B5" s="6" t="s">
        <v>1583</v>
      </c>
      <c r="C5" s="5" t="s">
        <v>1584</v>
      </c>
      <c r="D5" s="5" t="n">
        <v>5</v>
      </c>
      <c r="E5" s="5" t="s">
        <v>660</v>
      </c>
      <c r="F5" s="5" t="s">
        <v>1036</v>
      </c>
      <c r="G5" s="6" t="s">
        <v>1585</v>
      </c>
    </row>
    <row r="6" customFormat="false" ht="15" hidden="false" customHeight="true" outlineLevel="0" collapsed="false">
      <c r="A6" s="5" t="s">
        <v>1586</v>
      </c>
      <c r="B6" s="6" t="s">
        <v>1587</v>
      </c>
      <c r="C6" s="5" t="s">
        <v>1584</v>
      </c>
      <c r="D6" s="5" t="n">
        <v>2</v>
      </c>
      <c r="E6" s="5" t="s">
        <v>660</v>
      </c>
      <c r="F6" s="5" t="s">
        <v>1036</v>
      </c>
      <c r="G6" s="6" t="s">
        <v>1588</v>
      </c>
    </row>
    <row r="7" customFormat="false" ht="15" hidden="false" customHeight="true" outlineLevel="0" collapsed="false">
      <c r="A7" s="5" t="s">
        <v>1589</v>
      </c>
      <c r="B7" s="6" t="s">
        <v>1590</v>
      </c>
      <c r="C7" s="5" t="s">
        <v>1584</v>
      </c>
      <c r="D7" s="5" t="n">
        <v>3</v>
      </c>
      <c r="E7" s="5" t="s">
        <v>660</v>
      </c>
      <c r="F7" s="5" t="s">
        <v>1036</v>
      </c>
      <c r="G7" s="6" t="s">
        <v>1591</v>
      </c>
    </row>
    <row r="8" customFormat="false" ht="15" hidden="false" customHeight="true" outlineLevel="0" collapsed="false">
      <c r="A8" s="5" t="s">
        <v>1592</v>
      </c>
      <c r="B8" s="6" t="s">
        <v>1593</v>
      </c>
      <c r="C8" s="5" t="s">
        <v>1584</v>
      </c>
      <c r="D8" s="5" t="n">
        <v>3</v>
      </c>
      <c r="E8" s="5" t="s">
        <v>660</v>
      </c>
      <c r="F8" s="5" t="s">
        <v>1036</v>
      </c>
      <c r="G8" s="6" t="s">
        <v>1594</v>
      </c>
    </row>
    <row r="9" customFormat="false" ht="15" hidden="false" customHeight="true" outlineLevel="0" collapsed="false">
      <c r="A9" s="5" t="s">
        <v>1595</v>
      </c>
      <c r="B9" s="6" t="s">
        <v>1596</v>
      </c>
      <c r="C9" s="5" t="s">
        <v>1584</v>
      </c>
      <c r="D9" s="5" t="n">
        <v>2</v>
      </c>
      <c r="E9" s="5" t="s">
        <v>660</v>
      </c>
      <c r="F9" s="5" t="s">
        <v>1036</v>
      </c>
      <c r="G9" s="6" t="s">
        <v>1597</v>
      </c>
    </row>
    <row r="10" customFormat="false" ht="15" hidden="false" customHeight="true" outlineLevel="0" collapsed="false">
      <c r="A10" s="5" t="s">
        <v>1598</v>
      </c>
      <c r="B10" s="6" t="s">
        <v>1599</v>
      </c>
      <c r="C10" s="5" t="s">
        <v>1584</v>
      </c>
      <c r="D10" s="5" t="n">
        <v>3</v>
      </c>
      <c r="E10" s="5" t="s">
        <v>660</v>
      </c>
      <c r="F10" s="5" t="s">
        <v>1036</v>
      </c>
      <c r="G10" s="6" t="s">
        <v>1600</v>
      </c>
    </row>
    <row r="11" customFormat="false" ht="15" hidden="false" customHeight="true" outlineLevel="0" collapsed="false">
      <c r="A11" s="5" t="s">
        <v>1601</v>
      </c>
      <c r="B11" s="6" t="s">
        <v>1602</v>
      </c>
      <c r="C11" s="5" t="s">
        <v>1603</v>
      </c>
      <c r="D11" s="5" t="n">
        <v>2</v>
      </c>
      <c r="E11" s="5" t="s">
        <v>660</v>
      </c>
      <c r="F11" s="5" t="s">
        <v>1036</v>
      </c>
      <c r="G11" s="6" t="s">
        <v>1604</v>
      </c>
    </row>
    <row r="12" customFormat="false" ht="15" hidden="false" customHeight="true" outlineLevel="0" collapsed="false">
      <c r="A12" s="5" t="s">
        <v>1605</v>
      </c>
      <c r="B12" s="6" t="s">
        <v>1606</v>
      </c>
      <c r="C12" s="5" t="s">
        <v>1357</v>
      </c>
      <c r="D12" s="5" t="n">
        <v>1</v>
      </c>
      <c r="E12" s="5" t="s">
        <v>660</v>
      </c>
      <c r="F12" s="5" t="s">
        <v>1036</v>
      </c>
      <c r="G12" s="6" t="s">
        <v>1607</v>
      </c>
    </row>
    <row r="13" customFormat="false" ht="15" hidden="false" customHeight="true" outlineLevel="0" collapsed="false">
      <c r="A13" s="5" t="s">
        <v>1608</v>
      </c>
      <c r="B13" s="6" t="s">
        <v>1544</v>
      </c>
      <c r="C13" s="5" t="s">
        <v>1517</v>
      </c>
      <c r="D13" s="5" t="n">
        <v>13</v>
      </c>
      <c r="E13" s="5" t="s">
        <v>608</v>
      </c>
      <c r="F13" s="5" t="s">
        <v>1078</v>
      </c>
      <c r="G13" s="6" t="s">
        <v>1609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6"/>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1610</v>
      </c>
    </row>
    <row r="2" customFormat="false" ht="15" hidden="false" customHeight="true" outlineLevel="0" collapsed="false">
      <c r="A2" s="3" t="s">
        <v>1611</v>
      </c>
    </row>
    <row r="3" customFormat="false" ht="15" hidden="false" customHeight="true" outlineLevel="0" collapsed="false">
      <c r="A3" s="4" t="s">
        <v>103</v>
      </c>
      <c r="B3" s="4" t="s">
        <v>1029</v>
      </c>
      <c r="C3" s="4" t="s">
        <v>1612</v>
      </c>
      <c r="D3" s="4" t="s">
        <v>1031</v>
      </c>
      <c r="E3" s="4" t="s">
        <v>651</v>
      </c>
      <c r="F3" s="4" t="s">
        <v>6</v>
      </c>
      <c r="G3" s="4" t="s">
        <v>1032</v>
      </c>
    </row>
    <row r="4" customFormat="false" ht="15" hidden="false" customHeight="true" outlineLevel="0" collapsed="false">
      <c r="A4" s="5" t="s">
        <v>1613</v>
      </c>
      <c r="B4" s="6" t="s">
        <v>1614</v>
      </c>
      <c r="C4" s="5" t="s">
        <v>1615</v>
      </c>
      <c r="D4" s="5" t="n">
        <v>3</v>
      </c>
      <c r="E4" s="5" t="s">
        <v>660</v>
      </c>
      <c r="F4" s="5" t="s">
        <v>1036</v>
      </c>
      <c r="G4" s="6" t="s">
        <v>1616</v>
      </c>
    </row>
    <row r="5" customFormat="false" ht="15" hidden="false" customHeight="true" outlineLevel="0" collapsed="false">
      <c r="A5" s="5" t="s">
        <v>1617</v>
      </c>
      <c r="B5" s="6" t="s">
        <v>1618</v>
      </c>
      <c r="C5" s="5" t="s">
        <v>1619</v>
      </c>
      <c r="D5" s="5" t="n">
        <v>3</v>
      </c>
      <c r="E5" s="5" t="s">
        <v>660</v>
      </c>
      <c r="F5" s="5" t="s">
        <v>1036</v>
      </c>
      <c r="G5" s="6" t="s">
        <v>1620</v>
      </c>
    </row>
    <row r="6" customFormat="false" ht="15" hidden="false" customHeight="true" outlineLevel="0" collapsed="false">
      <c r="A6" s="5" t="s">
        <v>1621</v>
      </c>
      <c r="B6" s="6" t="s">
        <v>1622</v>
      </c>
      <c r="C6" s="5" t="s">
        <v>1623</v>
      </c>
      <c r="D6" s="5" t="n">
        <v>2</v>
      </c>
      <c r="E6" s="5" t="s">
        <v>660</v>
      </c>
      <c r="F6" s="5" t="s">
        <v>1036</v>
      </c>
      <c r="G6" s="6" t="s">
        <v>1624</v>
      </c>
    </row>
    <row r="7" customFormat="false" ht="15" hidden="false" customHeight="true" outlineLevel="0" collapsed="false">
      <c r="A7" s="5" t="s">
        <v>1625</v>
      </c>
      <c r="B7" s="6" t="s">
        <v>1626</v>
      </c>
      <c r="C7" s="5" t="s">
        <v>1627</v>
      </c>
      <c r="D7" s="5" t="n">
        <v>2</v>
      </c>
      <c r="E7" s="5" t="s">
        <v>660</v>
      </c>
      <c r="F7" s="5" t="s">
        <v>1036</v>
      </c>
      <c r="G7" s="6" t="s">
        <v>1628</v>
      </c>
    </row>
    <row r="8" customFormat="false" ht="15" hidden="false" customHeight="true" outlineLevel="0" collapsed="false">
      <c r="A8" s="5" t="s">
        <v>1629</v>
      </c>
      <c r="B8" s="6" t="s">
        <v>1630</v>
      </c>
      <c r="C8" s="5" t="s">
        <v>1230</v>
      </c>
      <c r="D8" s="5" t="n">
        <v>2</v>
      </c>
      <c r="E8" s="5" t="s">
        <v>660</v>
      </c>
      <c r="F8" s="5" t="s">
        <v>1036</v>
      </c>
      <c r="G8" s="6" t="s">
        <v>1631</v>
      </c>
    </row>
    <row r="9" customFormat="false" ht="23.25" hidden="false" customHeight="true" outlineLevel="0" collapsed="false">
      <c r="A9" s="5" t="s">
        <v>1632</v>
      </c>
      <c r="B9" s="6" t="s">
        <v>1633</v>
      </c>
      <c r="C9" s="5" t="s">
        <v>1209</v>
      </c>
      <c r="D9" s="5" t="n">
        <v>3</v>
      </c>
      <c r="E9" s="5" t="s">
        <v>660</v>
      </c>
      <c r="F9" s="5" t="s">
        <v>1036</v>
      </c>
      <c r="G9" s="6" t="s">
        <v>1634</v>
      </c>
    </row>
    <row r="10" customFormat="false" ht="15" hidden="false" customHeight="true" outlineLevel="0" collapsed="false">
      <c r="A10" s="5" t="s">
        <v>1635</v>
      </c>
      <c r="B10" s="6" t="s">
        <v>1636</v>
      </c>
      <c r="C10" s="5" t="s">
        <v>1357</v>
      </c>
      <c r="D10" s="5" t="n">
        <v>1</v>
      </c>
      <c r="E10" s="5" t="s">
        <v>660</v>
      </c>
      <c r="F10" s="5" t="s">
        <v>1036</v>
      </c>
      <c r="G10" s="6" t="s">
        <v>1637</v>
      </c>
    </row>
    <row r="11" customFormat="false" ht="15" hidden="false" customHeight="true" outlineLevel="0" collapsed="false">
      <c r="A11" s="5" t="s">
        <v>1638</v>
      </c>
      <c r="B11" s="6" t="s">
        <v>1544</v>
      </c>
      <c r="C11" s="5" t="s">
        <v>1517</v>
      </c>
      <c r="D11" s="5" t="n">
        <v>13</v>
      </c>
      <c r="E11" s="5" t="s">
        <v>608</v>
      </c>
      <c r="F11" s="5" t="s">
        <v>1078</v>
      </c>
      <c r="G11"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0"/>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1640</v>
      </c>
    </row>
    <row r="2" customFormat="false" ht="15" hidden="false" customHeight="true" outlineLevel="0" collapsed="false">
      <c r="A2" s="3" t="s">
        <v>1641</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1642</v>
      </c>
      <c r="B4" s="6" t="s">
        <v>1643</v>
      </c>
      <c r="C4" s="5" t="s">
        <v>112</v>
      </c>
      <c r="D4" s="5" t="n">
        <v>5</v>
      </c>
      <c r="E4" s="5" t="s">
        <v>660</v>
      </c>
      <c r="F4" s="5" t="s">
        <v>1036</v>
      </c>
      <c r="G4" s="6" t="s">
        <v>1644</v>
      </c>
    </row>
    <row r="5" customFormat="false" ht="15" hidden="false" customHeight="true" outlineLevel="0" collapsed="false">
      <c r="A5" s="5" t="s">
        <v>1645</v>
      </c>
      <c r="B5" s="6" t="s">
        <v>1646</v>
      </c>
      <c r="C5" s="5" t="s">
        <v>112</v>
      </c>
      <c r="D5" s="5" t="n">
        <v>2</v>
      </c>
      <c r="E5" s="5" t="s">
        <v>660</v>
      </c>
      <c r="F5" s="5" t="s">
        <v>1036</v>
      </c>
      <c r="G5" s="6" t="s">
        <v>1647</v>
      </c>
    </row>
    <row r="6" customFormat="false" ht="15" hidden="false" customHeight="true" outlineLevel="0" collapsed="false">
      <c r="A6" s="5" t="s">
        <v>1648</v>
      </c>
      <c r="B6" s="6" t="s">
        <v>1649</v>
      </c>
      <c r="C6" s="5" t="s">
        <v>112</v>
      </c>
      <c r="D6" s="5" t="n">
        <v>1</v>
      </c>
      <c r="E6" s="5" t="s">
        <v>660</v>
      </c>
      <c r="F6" s="5" t="s">
        <v>1036</v>
      </c>
      <c r="G6" s="6" t="s">
        <v>1650</v>
      </c>
    </row>
    <row r="7" customFormat="false" ht="15" hidden="false" customHeight="true" outlineLevel="0" collapsed="false">
      <c r="A7" s="5" t="s">
        <v>1651</v>
      </c>
      <c r="B7" s="6" t="s">
        <v>1652</v>
      </c>
      <c r="C7" s="5" t="s">
        <v>112</v>
      </c>
      <c r="D7" s="5" t="n">
        <v>1</v>
      </c>
      <c r="E7" s="5" t="s">
        <v>660</v>
      </c>
      <c r="F7" s="5" t="s">
        <v>1036</v>
      </c>
      <c r="G7" s="6" t="s">
        <v>1653</v>
      </c>
    </row>
    <row r="8" customFormat="false" ht="15" hidden="false" customHeight="true" outlineLevel="0" collapsed="false">
      <c r="A8" s="5" t="s">
        <v>1654</v>
      </c>
      <c r="B8" s="6" t="s">
        <v>1655</v>
      </c>
      <c r="C8" s="5" t="s">
        <v>112</v>
      </c>
      <c r="D8" s="5" t="n">
        <v>1</v>
      </c>
      <c r="E8" s="5" t="s">
        <v>660</v>
      </c>
      <c r="F8" s="5" t="s">
        <v>1036</v>
      </c>
      <c r="G8" s="6" t="s">
        <v>1656</v>
      </c>
    </row>
    <row r="9" customFormat="false" ht="15" hidden="false" customHeight="true" outlineLevel="0" collapsed="false">
      <c r="A9" s="5" t="s">
        <v>1657</v>
      </c>
      <c r="B9" s="6" t="s">
        <v>1658</v>
      </c>
      <c r="C9" s="5" t="s">
        <v>1357</v>
      </c>
      <c r="D9" s="5" t="n">
        <v>1</v>
      </c>
      <c r="E9" s="5" t="s">
        <v>660</v>
      </c>
      <c r="F9" s="5" t="s">
        <v>1036</v>
      </c>
      <c r="G9" s="6" t="s">
        <v>1659</v>
      </c>
    </row>
    <row r="10" customFormat="false" ht="15" hidden="false" customHeight="true" outlineLevel="0" collapsed="false">
      <c r="A10" s="5" t="s">
        <v>1660</v>
      </c>
      <c r="B10" s="6" t="s">
        <v>1661</v>
      </c>
      <c r="C10" s="5" t="s">
        <v>112</v>
      </c>
      <c r="D10" s="5" t="n">
        <v>0</v>
      </c>
      <c r="E10" s="5" t="s">
        <v>608</v>
      </c>
      <c r="F10" s="5" t="s">
        <v>1078</v>
      </c>
      <c r="G10" s="6" t="s">
        <v>1662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0"/>
    <col collapsed="false" customWidth="true" hidden="false" outlineLevel="0" max="4" min="4" style="1" width="8"/>
    <col collapsed="false" customWidth="true" hidden="false" outlineLevel="0" max="5" min="5" style="1" width="18"/>
    <col collapsed="false" customWidth="true" hidden="false" outlineLevel="0" max="6" min="6" style="1" width="10"/>
    <col collapsed="false" customWidth="true" hidden="false" outlineLevel="0" max="7" min="7" style="1" width="74"/>
  </cols>
  <sheetData>
    <row r="1" customFormat="false" ht="15" hidden="false" customHeight="true" outlineLevel="0" collapsed="false">
      <c r="A1" s="2" t="s">
        <v>1663</v>
      </c>
    </row>
    <row r="2" customFormat="false" ht="15" hidden="false" customHeight="true" outlineLevel="0" collapsed="false">
      <c r="A2" s="3" t="s">
        <v>1664</v>
      </c>
    </row>
    <row r="3" customFormat="false" ht="15" hidden="false" customHeight="true" outlineLevel="0" collapsed="false">
      <c r="A3" s="4" t="s">
        <v>103</v>
      </c>
      <c r="B3" s="4" t="s">
        <v>1029</v>
      </c>
      <c r="C3" s="4" t="s">
        <v>645</v>
      </c>
      <c r="D3" s="4" t="s">
        <v>1031</v>
      </c>
      <c r="E3" s="4" t="s">
        <v>651</v>
      </c>
      <c r="F3" s="4" t="s">
        <v>6</v>
      </c>
      <c r="G3" s="4" t="s">
        <v>1032</v>
      </c>
    </row>
    <row r="4" customFormat="false" ht="15" hidden="false" customHeight="true" outlineLevel="0" collapsed="false">
      <c r="A4" s="5" t="s">
        <v>1665</v>
      </c>
      <c r="B4" s="6" t="s">
        <v>1666</v>
      </c>
      <c r="C4" s="5" t="s">
        <v>1667</v>
      </c>
      <c r="D4" s="5" t="n">
        <v>3</v>
      </c>
      <c r="E4" s="5" t="s">
        <v>660</v>
      </c>
      <c r="F4" s="5" t="s">
        <v>1036</v>
      </c>
      <c r="G4" s="6" t="s">
        <v>1668</v>
      </c>
    </row>
    <row r="5" customFormat="false" ht="15" hidden="false" customHeight="true" outlineLevel="0" collapsed="false">
      <c r="A5" s="5" t="s">
        <v>1669</v>
      </c>
      <c r="B5" s="6" t="s">
        <v>1670</v>
      </c>
      <c r="C5" s="5" t="s">
        <v>1667</v>
      </c>
      <c r="D5" s="5" t="n">
        <v>2</v>
      </c>
      <c r="E5" s="5" t="s">
        <v>660</v>
      </c>
      <c r="F5" s="5" t="s">
        <v>1036</v>
      </c>
      <c r="G5" s="6" t="s">
        <v>1671</v>
      </c>
    </row>
    <row r="6" customFormat="false" ht="15" hidden="false" customHeight="true" outlineLevel="0" collapsed="false">
      <c r="A6" s="5" t="s">
        <v>1672</v>
      </c>
      <c r="B6" s="6" t="s">
        <v>1673</v>
      </c>
      <c r="C6" s="5" t="s">
        <v>1667</v>
      </c>
      <c r="D6" s="5" t="n">
        <v>1</v>
      </c>
      <c r="E6" s="5" t="s">
        <v>660</v>
      </c>
      <c r="F6" s="5" t="s">
        <v>1036</v>
      </c>
      <c r="G6" s="6" t="s">
        <v>1674</v>
      </c>
    </row>
    <row r="7" customFormat="false" ht="15" hidden="false" customHeight="true" outlineLevel="0" collapsed="false">
      <c r="A7" s="5" t="s">
        <v>1675</v>
      </c>
      <c r="B7" s="6" t="s">
        <v>1676</v>
      </c>
      <c r="C7" s="5" t="s">
        <v>1667</v>
      </c>
      <c r="D7" s="5" t="n">
        <v>2</v>
      </c>
      <c r="E7" s="5" t="s">
        <v>660</v>
      </c>
      <c r="F7" s="5" t="s">
        <v>1036</v>
      </c>
      <c r="G7" s="6" t="s">
        <v>1677</v>
      </c>
    </row>
    <row r="8" customFormat="false" ht="15" hidden="false" customHeight="true" outlineLevel="0" collapsed="false">
      <c r="A8" s="5" t="s">
        <v>1678</v>
      </c>
      <c r="B8" s="6" t="s">
        <v>1679</v>
      </c>
      <c r="C8" s="5" t="s">
        <v>1667</v>
      </c>
      <c r="D8" s="5" t="n">
        <v>1</v>
      </c>
      <c r="E8" s="5" t="s">
        <v>660</v>
      </c>
      <c r="F8" s="5" t="s">
        <v>1036</v>
      </c>
      <c r="G8" s="6" t="s">
        <v>1680</v>
      </c>
    </row>
    <row r="9" customFormat="false" ht="15" hidden="false" customHeight="true" outlineLevel="0" collapsed="false">
      <c r="A9" s="5" t="s">
        <v>1681</v>
      </c>
      <c r="B9" s="6" t="s">
        <v>1682</v>
      </c>
      <c r="C9" s="5" t="s">
        <v>1683</v>
      </c>
      <c r="D9" s="5" t="n">
        <v>2</v>
      </c>
      <c r="E9" s="5" t="s">
        <v>660</v>
      </c>
      <c r="F9" s="5" t="s">
        <v>1036</v>
      </c>
      <c r="G9" s="6" t="s">
        <v>1684</v>
      </c>
    </row>
    <row r="10" customFormat="false" ht="15" hidden="false" customHeight="true" outlineLevel="0" collapsed="false">
      <c r="A10" s="5" t="s">
        <v>1685</v>
      </c>
      <c r="B10" s="6" t="s">
        <v>1686</v>
      </c>
      <c r="C10" s="5" t="s">
        <v>1687</v>
      </c>
      <c r="D10" s="5" t="n">
        <v>1</v>
      </c>
      <c r="E10" s="5" t="s">
        <v>660</v>
      </c>
      <c r="F10" s="5" t="s">
        <v>1036</v>
      </c>
      <c r="G10" s="6" t="s">
        <v>1688</v>
      </c>
    </row>
    <row r="11" customFormat="false" ht="15" hidden="false" customHeight="true" outlineLevel="0" collapsed="false">
      <c r="A11" s="5" t="s">
        <v>1689</v>
      </c>
      <c r="B11" s="6" t="s">
        <v>1690</v>
      </c>
      <c r="C11" s="5" t="s">
        <v>1357</v>
      </c>
      <c r="D11" s="5" t="n">
        <v>1</v>
      </c>
      <c r="E11" s="5" t="s">
        <v>660</v>
      </c>
      <c r="F11" s="5" t="s">
        <v>1036</v>
      </c>
      <c r="G11" s="6" t="s">
        <v>1691</v>
      </c>
    </row>
    <row r="12" customFormat="false" ht="15" hidden="false" customHeight="true" outlineLevel="0" collapsed="false">
      <c r="A12" s="5" t="s">
        <v>1692</v>
      </c>
      <c r="B12" s="6" t="s">
        <v>1693</v>
      </c>
      <c r="C12" s="5" t="s">
        <v>1683</v>
      </c>
      <c r="D12" s="5" t="n">
        <v>3</v>
      </c>
      <c r="E12" s="5" t="s">
        <v>1694</v>
      </c>
      <c r="F12" s="5" t="s">
        <v>1078</v>
      </c>
      <c r="G12" s="6" t="s">
        <v>1695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0"/>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1696</v>
      </c>
    </row>
    <row r="2" customFormat="false" ht="15" hidden="false" customHeight="true" outlineLevel="0" collapsed="false">
      <c r="A2" s="3" t="s">
        <v>1697</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1698</v>
      </c>
      <c r="B4" s="6" t="s">
        <v>1699</v>
      </c>
      <c r="C4" s="5" t="s">
        <v>1700</v>
      </c>
      <c r="D4" s="5" t="n">
        <v>3</v>
      </c>
      <c r="E4" s="5" t="s">
        <v>660</v>
      </c>
      <c r="F4" s="5" t="s">
        <v>1036</v>
      </c>
      <c r="G4" s="6" t="s">
        <v>1701</v>
      </c>
    </row>
    <row r="5" customFormat="false" ht="15" hidden="false" customHeight="true" outlineLevel="0" collapsed="false">
      <c r="A5" s="5" t="s">
        <v>1702</v>
      </c>
      <c r="B5" s="6" t="s">
        <v>1703</v>
      </c>
      <c r="C5" s="5" t="s">
        <v>1700</v>
      </c>
      <c r="D5" s="5" t="n">
        <v>3</v>
      </c>
      <c r="E5" s="5" t="s">
        <v>660</v>
      </c>
      <c r="F5" s="5" t="s">
        <v>1036</v>
      </c>
      <c r="G5" s="6" t="s">
        <v>1704</v>
      </c>
    </row>
    <row r="6" customFormat="false" ht="15" hidden="false" customHeight="true" outlineLevel="0" collapsed="false">
      <c r="A6" s="5" t="s">
        <v>1705</v>
      </c>
      <c r="B6" s="6" t="s">
        <v>1706</v>
      </c>
      <c r="C6" s="5" t="s">
        <v>1700</v>
      </c>
      <c r="D6" s="5" t="n">
        <v>3</v>
      </c>
      <c r="E6" s="5" t="s">
        <v>660</v>
      </c>
      <c r="F6" s="5" t="s">
        <v>1036</v>
      </c>
      <c r="G6" s="6" t="s">
        <v>1707</v>
      </c>
    </row>
    <row r="7" customFormat="false" ht="15" hidden="false" customHeight="true" outlineLevel="0" collapsed="false">
      <c r="A7" s="5" t="s">
        <v>1708</v>
      </c>
      <c r="B7" s="6" t="s">
        <v>1709</v>
      </c>
      <c r="C7" s="5" t="s">
        <v>1710</v>
      </c>
      <c r="D7" s="5" t="n">
        <v>2</v>
      </c>
      <c r="E7" s="5" t="s">
        <v>660</v>
      </c>
      <c r="F7" s="5" t="s">
        <v>1036</v>
      </c>
      <c r="G7" s="6" t="s">
        <v>1711</v>
      </c>
    </row>
    <row r="8" customFormat="false" ht="15" hidden="false" customHeight="true" outlineLevel="0" collapsed="false">
      <c r="A8" s="5" t="s">
        <v>1712</v>
      </c>
      <c r="B8" s="6" t="s">
        <v>1713</v>
      </c>
      <c r="C8" s="5" t="s">
        <v>1710</v>
      </c>
      <c r="D8" s="5" t="n">
        <v>2</v>
      </c>
      <c r="E8" s="5" t="s">
        <v>660</v>
      </c>
      <c r="F8" s="5" t="s">
        <v>1036</v>
      </c>
      <c r="G8" s="6" t="s">
        <v>1714</v>
      </c>
    </row>
    <row r="9" customFormat="false" ht="15" hidden="false" customHeight="true" outlineLevel="0" collapsed="false">
      <c r="A9" s="5" t="s">
        <v>1715</v>
      </c>
      <c r="B9" s="6" t="s">
        <v>1716</v>
      </c>
      <c r="C9" s="5" t="s">
        <v>1717</v>
      </c>
      <c r="D9" s="5" t="n">
        <v>3</v>
      </c>
      <c r="E9" s="5" t="s">
        <v>660</v>
      </c>
      <c r="F9" s="5" t="s">
        <v>1036</v>
      </c>
      <c r="G9" s="6" t="s">
        <v>1718</v>
      </c>
    </row>
    <row r="10" customFormat="false" ht="15" hidden="false" customHeight="true" outlineLevel="0" collapsed="false">
      <c r="A10" s="5" t="s">
        <v>1719</v>
      </c>
      <c r="B10" s="6" t="s">
        <v>1720</v>
      </c>
      <c r="C10" s="5" t="s">
        <v>1700</v>
      </c>
      <c r="D10" s="5" t="n">
        <v>2</v>
      </c>
      <c r="E10" s="5" t="s">
        <v>660</v>
      </c>
      <c r="F10" s="5" t="s">
        <v>1036</v>
      </c>
      <c r="G10" s="6" t="s">
        <v>1721</v>
      </c>
    </row>
    <row r="11" customFormat="false" ht="15" hidden="false" customHeight="true" outlineLevel="0" collapsed="false">
      <c r="A11" s="5" t="s">
        <v>1722</v>
      </c>
      <c r="B11" s="6" t="s">
        <v>1690</v>
      </c>
      <c r="C11" s="5" t="s">
        <v>1357</v>
      </c>
      <c r="D11" s="5" t="n">
        <v>1</v>
      </c>
      <c r="E11" s="5" t="s">
        <v>660</v>
      </c>
      <c r="F11" s="5" t="s">
        <v>1036</v>
      </c>
      <c r="G11" s="6" t="s">
        <v>1723</v>
      </c>
    </row>
    <row r="12" customFormat="false" ht="15" hidden="false" customHeight="true" outlineLevel="0" collapsed="false">
      <c r="A12" s="5" t="s">
        <v>1724</v>
      </c>
      <c r="B12" s="6" t="s">
        <v>1725</v>
      </c>
      <c r="C12" s="5" t="s">
        <v>610</v>
      </c>
      <c r="D12" s="5" t="n">
        <v>0</v>
      </c>
      <c r="E12" s="5" t="s">
        <v>608</v>
      </c>
      <c r="F12" s="5" t="s">
        <v>1078</v>
      </c>
      <c r="G12" s="6" t="s">
        <v>1726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6"/>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1727</v>
      </c>
    </row>
    <row r="2" customFormat="false" ht="15" hidden="false" customHeight="true" outlineLevel="0" collapsed="false">
      <c r="A2" s="3" t="s">
        <v>1728</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1729</v>
      </c>
      <c r="B4" s="6" t="s">
        <v>1730</v>
      </c>
      <c r="C4" s="5" t="s">
        <v>1731</v>
      </c>
      <c r="D4" s="5" t="n">
        <v>2</v>
      </c>
      <c r="E4" s="5" t="s">
        <v>660</v>
      </c>
      <c r="F4" s="5" t="s">
        <v>1036</v>
      </c>
      <c r="G4" s="6" t="s">
        <v>1732</v>
      </c>
    </row>
    <row r="5" customFormat="false" ht="15" hidden="false" customHeight="true" outlineLevel="0" collapsed="false">
      <c r="A5" s="5" t="s">
        <v>1733</v>
      </c>
      <c r="B5" s="6" t="s">
        <v>1734</v>
      </c>
      <c r="C5" s="5" t="s">
        <v>1731</v>
      </c>
      <c r="D5" s="5" t="n">
        <v>3</v>
      </c>
      <c r="E5" s="5" t="s">
        <v>660</v>
      </c>
      <c r="F5" s="5" t="s">
        <v>1036</v>
      </c>
      <c r="G5" s="6" t="s">
        <v>1735</v>
      </c>
    </row>
    <row r="6" customFormat="false" ht="15" hidden="false" customHeight="true" outlineLevel="0" collapsed="false">
      <c r="A6" s="5" t="s">
        <v>1736</v>
      </c>
      <c r="B6" s="6" t="s">
        <v>1737</v>
      </c>
      <c r="C6" s="5" t="s">
        <v>1731</v>
      </c>
      <c r="D6" s="5" t="n">
        <v>3</v>
      </c>
      <c r="E6" s="5" t="s">
        <v>660</v>
      </c>
      <c r="F6" s="5" t="s">
        <v>1036</v>
      </c>
      <c r="G6" s="6" t="s">
        <v>1738</v>
      </c>
    </row>
    <row r="7" customFormat="false" ht="15" hidden="false" customHeight="true" outlineLevel="0" collapsed="false">
      <c r="A7" s="5" t="s">
        <v>1739</v>
      </c>
      <c r="B7" s="6" t="s">
        <v>1740</v>
      </c>
      <c r="C7" s="5" t="s">
        <v>1731</v>
      </c>
      <c r="D7" s="5" t="n">
        <v>2</v>
      </c>
      <c r="E7" s="5" t="s">
        <v>660</v>
      </c>
      <c r="F7" s="5" t="s">
        <v>1036</v>
      </c>
      <c r="G7" s="6" t="s">
        <v>1741</v>
      </c>
    </row>
    <row r="8" customFormat="false" ht="15" hidden="false" customHeight="true" outlineLevel="0" collapsed="false">
      <c r="A8" s="5" t="s">
        <v>1742</v>
      </c>
      <c r="B8" s="6" t="s">
        <v>1743</v>
      </c>
      <c r="C8" s="5" t="s">
        <v>1731</v>
      </c>
      <c r="D8" s="5" t="n">
        <v>2</v>
      </c>
      <c r="E8" s="5" t="s">
        <v>660</v>
      </c>
      <c r="F8" s="5" t="s">
        <v>1036</v>
      </c>
      <c r="G8" s="6" t="s">
        <v>1744</v>
      </c>
    </row>
    <row r="9" customFormat="false" ht="15" hidden="false" customHeight="true" outlineLevel="0" collapsed="false">
      <c r="A9" s="5" t="s">
        <v>1745</v>
      </c>
      <c r="B9" s="6" t="s">
        <v>1746</v>
      </c>
      <c r="C9" s="5" t="s">
        <v>1747</v>
      </c>
      <c r="D9" s="5" t="n">
        <v>1</v>
      </c>
      <c r="E9" s="5" t="s">
        <v>660</v>
      </c>
      <c r="F9" s="5" t="s">
        <v>1036</v>
      </c>
      <c r="G9" s="6" t="s">
        <v>1748</v>
      </c>
    </row>
    <row r="10" customFormat="false" ht="15" hidden="false" customHeight="true" outlineLevel="0" collapsed="false">
      <c r="A10" s="5" t="s">
        <v>1749</v>
      </c>
      <c r="B10" s="6" t="s">
        <v>1690</v>
      </c>
      <c r="C10" s="5" t="s">
        <v>1357</v>
      </c>
      <c r="D10" s="5" t="n">
        <v>1</v>
      </c>
      <c r="E10" s="5" t="s">
        <v>660</v>
      </c>
      <c r="F10" s="5" t="s">
        <v>1036</v>
      </c>
      <c r="G10" s="6" t="s">
        <v>1750</v>
      </c>
    </row>
    <row r="11" customFormat="false" ht="15" hidden="false" customHeight="true" outlineLevel="0" collapsed="false">
      <c r="A11" s="5" t="s">
        <v>1751</v>
      </c>
      <c r="B11" s="6" t="s">
        <v>1725</v>
      </c>
      <c r="C11" s="5" t="s">
        <v>610</v>
      </c>
      <c r="D11" s="5" t="n">
        <v>0</v>
      </c>
      <c r="E11" s="5" t="s">
        <v>608</v>
      </c>
      <c r="F11" s="5" t="s">
        <v>1078</v>
      </c>
      <c r="G11"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0"/>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1752</v>
      </c>
    </row>
    <row r="2" customFormat="false" ht="15" hidden="false" customHeight="true" outlineLevel="0" collapsed="false">
      <c r="A2" s="3" t="s">
        <v>1753</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1754</v>
      </c>
      <c r="B4" s="6" t="s">
        <v>1755</v>
      </c>
      <c r="C4" s="5" t="s">
        <v>1756</v>
      </c>
      <c r="D4" s="5" t="n">
        <v>1</v>
      </c>
      <c r="E4" s="5" t="s">
        <v>660</v>
      </c>
      <c r="F4" s="5" t="s">
        <v>1036</v>
      </c>
      <c r="G4" s="6" t="s">
        <v>1757</v>
      </c>
    </row>
    <row r="5" customFormat="false" ht="15" hidden="false" customHeight="true" outlineLevel="0" collapsed="false">
      <c r="A5" s="5" t="s">
        <v>1758</v>
      </c>
      <c r="B5" s="6" t="s">
        <v>1759</v>
      </c>
      <c r="C5" s="5" t="s">
        <v>1760</v>
      </c>
      <c r="D5" s="5" t="n">
        <v>3</v>
      </c>
      <c r="E5" s="5" t="s">
        <v>660</v>
      </c>
      <c r="F5" s="5" t="s">
        <v>1036</v>
      </c>
      <c r="G5" s="6" t="s">
        <v>1761</v>
      </c>
    </row>
    <row r="6" customFormat="false" ht="15" hidden="false" customHeight="true" outlineLevel="0" collapsed="false">
      <c r="A6" s="5" t="s">
        <v>1762</v>
      </c>
      <c r="B6" s="6" t="s">
        <v>1763</v>
      </c>
      <c r="C6" s="5" t="s">
        <v>1760</v>
      </c>
      <c r="D6" s="5" t="n">
        <v>2</v>
      </c>
      <c r="E6" s="5" t="s">
        <v>660</v>
      </c>
      <c r="F6" s="5" t="s">
        <v>1036</v>
      </c>
      <c r="G6" s="6" t="s">
        <v>1764</v>
      </c>
    </row>
    <row r="7" customFormat="false" ht="15" hidden="false" customHeight="true" outlineLevel="0" collapsed="false">
      <c r="A7" s="5" t="s">
        <v>1765</v>
      </c>
      <c r="B7" s="6" t="s">
        <v>1766</v>
      </c>
      <c r="C7" s="5" t="s">
        <v>1760</v>
      </c>
      <c r="D7" s="5" t="n">
        <v>2</v>
      </c>
      <c r="E7" s="5" t="s">
        <v>660</v>
      </c>
      <c r="F7" s="5" t="s">
        <v>1036</v>
      </c>
      <c r="G7" s="6" t="s">
        <v>1767</v>
      </c>
    </row>
    <row r="8" customFormat="false" ht="15" hidden="false" customHeight="true" outlineLevel="0" collapsed="false">
      <c r="A8" s="5" t="s">
        <v>1768</v>
      </c>
      <c r="B8" s="6" t="s">
        <v>1769</v>
      </c>
      <c r="C8" s="5" t="s">
        <v>1760</v>
      </c>
      <c r="D8" s="5" t="n">
        <v>1</v>
      </c>
      <c r="E8" s="5" t="s">
        <v>660</v>
      </c>
      <c r="F8" s="5" t="s">
        <v>1036</v>
      </c>
      <c r="G8" s="6" t="s">
        <v>1770</v>
      </c>
    </row>
    <row r="9" customFormat="false" ht="15" hidden="false" customHeight="true" outlineLevel="0" collapsed="false">
      <c r="A9" s="5" t="s">
        <v>1771</v>
      </c>
      <c r="B9" s="6" t="s">
        <v>1772</v>
      </c>
      <c r="C9" s="5" t="s">
        <v>1773</v>
      </c>
      <c r="D9" s="5" t="n">
        <v>1</v>
      </c>
      <c r="E9" s="5" t="s">
        <v>660</v>
      </c>
      <c r="F9" s="5" t="s">
        <v>1036</v>
      </c>
      <c r="G9" s="6" t="s">
        <v>1774</v>
      </c>
    </row>
    <row r="10" customFormat="false" ht="15" hidden="false" customHeight="true" outlineLevel="0" collapsed="false">
      <c r="A10" s="5" t="s">
        <v>1775</v>
      </c>
      <c r="B10" s="6" t="s">
        <v>1690</v>
      </c>
      <c r="C10" s="5" t="s">
        <v>1357</v>
      </c>
      <c r="D10" s="5" t="n">
        <v>1</v>
      </c>
      <c r="E10" s="5" t="s">
        <v>660</v>
      </c>
      <c r="F10" s="5" t="s">
        <v>1036</v>
      </c>
      <c r="G10" s="6" t="s">
        <v>1776</v>
      </c>
    </row>
    <row r="11" customFormat="false" ht="15" hidden="false" customHeight="true" outlineLevel="0" collapsed="false">
      <c r="A11" s="5" t="s">
        <v>1777</v>
      </c>
      <c r="B11" s="6" t="s">
        <v>1725</v>
      </c>
      <c r="C11" s="5" t="s">
        <v>610</v>
      </c>
      <c r="D11" s="5" t="n">
        <v>0</v>
      </c>
      <c r="E11" s="5" t="s">
        <v>608</v>
      </c>
      <c r="F11" s="5" t="s">
        <v>1078</v>
      </c>
      <c r="G11"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0"/>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1778</v>
      </c>
    </row>
    <row r="2" customFormat="false" ht="15" hidden="false" customHeight="true" outlineLevel="0" collapsed="false">
      <c r="A2" s="3" t="s">
        <v>1779</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1780</v>
      </c>
      <c r="B4" s="6" t="s">
        <v>1781</v>
      </c>
      <c r="C4" s="5" t="s">
        <v>1782</v>
      </c>
      <c r="D4" s="5" t="n">
        <v>1</v>
      </c>
      <c r="E4" s="5" t="s">
        <v>660</v>
      </c>
      <c r="F4" s="5" t="s">
        <v>1036</v>
      </c>
      <c r="G4" s="6" t="s">
        <v>1783</v>
      </c>
    </row>
    <row r="5" customFormat="false" ht="15" hidden="false" customHeight="true" outlineLevel="0" collapsed="false">
      <c r="A5" s="5" t="s">
        <v>1784</v>
      </c>
      <c r="B5" s="6" t="s">
        <v>1785</v>
      </c>
      <c r="C5" s="5" t="s">
        <v>1786</v>
      </c>
      <c r="D5" s="5" t="n">
        <v>5</v>
      </c>
      <c r="E5" s="5" t="s">
        <v>660</v>
      </c>
      <c r="F5" s="5" t="s">
        <v>1036</v>
      </c>
      <c r="G5" s="6" t="s">
        <v>1787</v>
      </c>
    </row>
    <row r="6" customFormat="false" ht="15" hidden="false" customHeight="true" outlineLevel="0" collapsed="false">
      <c r="A6" s="5" t="s">
        <v>1788</v>
      </c>
      <c r="B6" s="6" t="s">
        <v>1789</v>
      </c>
      <c r="C6" s="5" t="s">
        <v>1786</v>
      </c>
      <c r="D6" s="5" t="n">
        <v>1</v>
      </c>
      <c r="E6" s="5" t="s">
        <v>660</v>
      </c>
      <c r="F6" s="5" t="s">
        <v>1036</v>
      </c>
      <c r="G6" s="6" t="s">
        <v>1790</v>
      </c>
    </row>
    <row r="7" customFormat="false" ht="15" hidden="false" customHeight="true" outlineLevel="0" collapsed="false">
      <c r="A7" s="5" t="s">
        <v>1791</v>
      </c>
      <c r="B7" s="6" t="s">
        <v>1792</v>
      </c>
      <c r="C7" s="5" t="s">
        <v>1793</v>
      </c>
      <c r="D7" s="5" t="n">
        <v>3</v>
      </c>
      <c r="E7" s="5" t="s">
        <v>660</v>
      </c>
      <c r="F7" s="5" t="s">
        <v>1036</v>
      </c>
      <c r="G7" s="6" t="s">
        <v>1794</v>
      </c>
    </row>
    <row r="8" customFormat="false" ht="15" hidden="false" customHeight="true" outlineLevel="0" collapsed="false">
      <c r="A8" s="5" t="s">
        <v>1795</v>
      </c>
      <c r="B8" s="6" t="s">
        <v>1796</v>
      </c>
      <c r="C8" s="5" t="s">
        <v>1797</v>
      </c>
      <c r="D8" s="5" t="n">
        <v>2</v>
      </c>
      <c r="E8" s="5" t="s">
        <v>660</v>
      </c>
      <c r="F8" s="5" t="s">
        <v>1036</v>
      </c>
      <c r="G8" s="6" t="s">
        <v>1798</v>
      </c>
    </row>
    <row r="9" customFormat="false" ht="15" hidden="false" customHeight="true" outlineLevel="0" collapsed="false">
      <c r="A9" s="5" t="s">
        <v>1799</v>
      </c>
      <c r="B9" s="6" t="s">
        <v>1690</v>
      </c>
      <c r="C9" s="5" t="s">
        <v>1357</v>
      </c>
      <c r="D9" s="5" t="n">
        <v>1</v>
      </c>
      <c r="E9" s="5" t="s">
        <v>660</v>
      </c>
      <c r="F9" s="5" t="s">
        <v>1036</v>
      </c>
      <c r="G9" s="6" t="s">
        <v>1800</v>
      </c>
    </row>
    <row r="10" customFormat="false" ht="15" hidden="false" customHeight="true" outlineLevel="0" collapsed="false">
      <c r="A10" s="5" t="s">
        <v>1801</v>
      </c>
      <c r="B10" s="6" t="s">
        <v>1725</v>
      </c>
      <c r="C10" s="5" t="s">
        <v>610</v>
      </c>
      <c r="D10" s="5" t="n">
        <v>0</v>
      </c>
      <c r="E10" s="5" t="s">
        <v>608</v>
      </c>
      <c r="F10" s="5" t="s">
        <v>1078</v>
      </c>
      <c r="G10"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4"/>
    <col collapsed="false" customWidth="true" hidden="false" outlineLevel="0" max="4" min="4" style="1" width="8"/>
    <col collapsed="false" customWidth="true" hidden="false" outlineLevel="0" max="5" min="5" style="1" width="16"/>
    <col collapsed="false" customWidth="true" hidden="false" outlineLevel="0" max="6" min="6" style="1" width="10"/>
    <col collapsed="false" customWidth="true" hidden="false" outlineLevel="0" max="7" min="7" style="1" width="74"/>
  </cols>
  <sheetData>
    <row r="1" customFormat="false" ht="15" hidden="false" customHeight="true" outlineLevel="0" collapsed="false">
      <c r="A1" s="2" t="s">
        <v>1802</v>
      </c>
    </row>
    <row r="2" customFormat="false" ht="15" hidden="false" customHeight="true" outlineLevel="0" collapsed="false">
      <c r="A2" s="3" t="s">
        <v>1803</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1804</v>
      </c>
      <c r="B4" s="6" t="s">
        <v>1805</v>
      </c>
      <c r="C4" s="5" t="s">
        <v>1806</v>
      </c>
      <c r="D4" s="5" t="n">
        <v>3</v>
      </c>
      <c r="E4" s="5" t="s">
        <v>660</v>
      </c>
      <c r="F4" s="5" t="s">
        <v>1036</v>
      </c>
      <c r="G4" s="6" t="s">
        <v>1807</v>
      </c>
    </row>
    <row r="5" customFormat="false" ht="23.25" hidden="false" customHeight="true" outlineLevel="0" collapsed="false">
      <c r="A5" s="5" t="s">
        <v>1808</v>
      </c>
      <c r="B5" s="6" t="s">
        <v>1809</v>
      </c>
      <c r="C5" s="5" t="s">
        <v>1806</v>
      </c>
      <c r="D5" s="5" t="n">
        <v>2</v>
      </c>
      <c r="E5" s="5" t="s">
        <v>660</v>
      </c>
      <c r="F5" s="5" t="s">
        <v>1036</v>
      </c>
      <c r="G5" s="6" t="s">
        <v>1810</v>
      </c>
    </row>
    <row r="6" customFormat="false" ht="15" hidden="false" customHeight="true" outlineLevel="0" collapsed="false">
      <c r="A6" s="5" t="s">
        <v>1811</v>
      </c>
      <c r="B6" s="6" t="s">
        <v>1812</v>
      </c>
      <c r="C6" s="5" t="s">
        <v>1813</v>
      </c>
      <c r="D6" s="5" t="n">
        <v>2</v>
      </c>
      <c r="E6" s="5" t="s">
        <v>660</v>
      </c>
      <c r="F6" s="5" t="s">
        <v>1036</v>
      </c>
      <c r="G6" s="6" t="s">
        <v>1814</v>
      </c>
    </row>
    <row r="7" customFormat="false" ht="15" hidden="false" customHeight="true" outlineLevel="0" collapsed="false">
      <c r="A7" s="5" t="s">
        <v>1815</v>
      </c>
      <c r="B7" s="6" t="s">
        <v>1816</v>
      </c>
      <c r="C7" s="5" t="s">
        <v>1817</v>
      </c>
      <c r="D7" s="5" t="n">
        <v>2</v>
      </c>
      <c r="E7" s="5" t="s">
        <v>660</v>
      </c>
      <c r="F7" s="5" t="s">
        <v>1036</v>
      </c>
      <c r="G7" s="6" t="s">
        <v>1818</v>
      </c>
    </row>
    <row r="8" customFormat="false" ht="15" hidden="false" customHeight="true" outlineLevel="0" collapsed="false">
      <c r="A8" s="5" t="s">
        <v>1819</v>
      </c>
      <c r="B8" s="6" t="s">
        <v>1820</v>
      </c>
      <c r="C8" s="5" t="s">
        <v>1821</v>
      </c>
      <c r="D8" s="5" t="n">
        <v>3</v>
      </c>
      <c r="E8" s="5" t="s">
        <v>660</v>
      </c>
      <c r="F8" s="5" t="s">
        <v>1036</v>
      </c>
      <c r="G8" s="6" t="s">
        <v>1822</v>
      </c>
    </row>
    <row r="9" customFormat="false" ht="15" hidden="false" customHeight="true" outlineLevel="0" collapsed="false">
      <c r="A9" s="5" t="s">
        <v>1823</v>
      </c>
      <c r="B9" s="6" t="s">
        <v>1824</v>
      </c>
      <c r="C9" s="5" t="s">
        <v>1825</v>
      </c>
      <c r="D9" s="5" t="n">
        <v>1</v>
      </c>
      <c r="E9" s="5" t="s">
        <v>660</v>
      </c>
      <c r="F9" s="5" t="s">
        <v>1036</v>
      </c>
      <c r="G9" s="6" t="s">
        <v>1826</v>
      </c>
    </row>
    <row r="10" customFormat="false" ht="15" hidden="false" customHeight="true" outlineLevel="0" collapsed="false">
      <c r="A10" s="5" t="s">
        <v>1827</v>
      </c>
      <c r="B10" s="6" t="s">
        <v>1690</v>
      </c>
      <c r="C10" s="5" t="s">
        <v>1357</v>
      </c>
      <c r="D10" s="5" t="n">
        <v>1</v>
      </c>
      <c r="E10" s="5" t="s">
        <v>660</v>
      </c>
      <c r="F10" s="5" t="s">
        <v>1036</v>
      </c>
      <c r="G10" s="6" t="s">
        <v>1828</v>
      </c>
    </row>
    <row r="11" customFormat="false" ht="15" hidden="false" customHeight="true" outlineLevel="0" collapsed="false">
      <c r="A11" s="5" t="s">
        <v>1829</v>
      </c>
      <c r="B11" s="6" t="s">
        <v>1830</v>
      </c>
      <c r="C11" s="5" t="s">
        <v>1831</v>
      </c>
      <c r="D11" s="5" t="n">
        <v>3</v>
      </c>
      <c r="E11" s="5" t="s">
        <v>1267</v>
      </c>
      <c r="F11" s="5" t="s">
        <v>1078</v>
      </c>
      <c r="G11" s="6" t="s">
        <v>1832</v>
      </c>
    </row>
    <row r="12" customFormat="false" ht="15" hidden="false" customHeight="true" outlineLevel="0" collapsed="false">
      <c r="A12" s="5" t="s">
        <v>1833</v>
      </c>
      <c r="B12" s="6" t="s">
        <v>1725</v>
      </c>
      <c r="C12" s="5" t="s">
        <v>610</v>
      </c>
      <c r="D12" s="5" t="n">
        <v>0</v>
      </c>
      <c r="E12" s="5" t="s">
        <v>608</v>
      </c>
      <c r="F12" s="5" t="s">
        <v>1078</v>
      </c>
      <c r="G12"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0"/>
    <col collapsed="false" customWidth="true" hidden="false" outlineLevel="0" max="4" min="4" style="1" width="8"/>
    <col collapsed="false" customWidth="true" hidden="false" outlineLevel="0" max="5" min="5" style="1" width="16"/>
    <col collapsed="false" customWidth="true" hidden="false" outlineLevel="0" max="6" min="6" style="1" width="10"/>
    <col collapsed="false" customWidth="true" hidden="false" outlineLevel="0" max="7" min="7" style="1" width="74"/>
  </cols>
  <sheetData>
    <row r="1" customFormat="false" ht="15" hidden="false" customHeight="true" outlineLevel="0" collapsed="false">
      <c r="A1" s="2" t="s">
        <v>1834</v>
      </c>
    </row>
    <row r="2" customFormat="false" ht="15" hidden="false" customHeight="true" outlineLevel="0" collapsed="false">
      <c r="A2" s="3" t="s">
        <v>1835</v>
      </c>
    </row>
    <row r="3" customFormat="false" ht="15" hidden="false" customHeight="true" outlineLevel="0" collapsed="false">
      <c r="A3" s="4" t="s">
        <v>103</v>
      </c>
      <c r="B3" s="4" t="s">
        <v>1029</v>
      </c>
      <c r="C3" s="4" t="s">
        <v>1030</v>
      </c>
      <c r="D3" s="4" t="s">
        <v>1031</v>
      </c>
      <c r="E3" s="4" t="s">
        <v>651</v>
      </c>
      <c r="F3" s="4" t="s">
        <v>6</v>
      </c>
      <c r="G3" s="4" t="s">
        <v>1032</v>
      </c>
    </row>
    <row r="4" customFormat="false" ht="23.25" hidden="false" customHeight="true" outlineLevel="0" collapsed="false">
      <c r="A4" s="5" t="s">
        <v>1836</v>
      </c>
      <c r="B4" s="6" t="s">
        <v>1837</v>
      </c>
      <c r="C4" s="5" t="s">
        <v>1838</v>
      </c>
      <c r="D4" s="5" t="n">
        <v>5</v>
      </c>
      <c r="E4" s="5" t="s">
        <v>660</v>
      </c>
      <c r="F4" s="5" t="s">
        <v>1036</v>
      </c>
      <c r="G4" s="6" t="s">
        <v>1839</v>
      </c>
    </row>
    <row r="5" customFormat="false" ht="15" hidden="false" customHeight="true" outlineLevel="0" collapsed="false">
      <c r="A5" s="5" t="s">
        <v>1840</v>
      </c>
      <c r="B5" s="6" t="s">
        <v>1841</v>
      </c>
      <c r="C5" s="5" t="s">
        <v>1838</v>
      </c>
      <c r="D5" s="5" t="n">
        <v>2</v>
      </c>
      <c r="E5" s="5" t="s">
        <v>660</v>
      </c>
      <c r="F5" s="5" t="s">
        <v>1036</v>
      </c>
      <c r="G5" s="6" t="s">
        <v>1842</v>
      </c>
    </row>
    <row r="6" customFormat="false" ht="15" hidden="false" customHeight="true" outlineLevel="0" collapsed="false">
      <c r="A6" s="5" t="s">
        <v>1843</v>
      </c>
      <c r="B6" s="6" t="s">
        <v>1844</v>
      </c>
      <c r="C6" s="5" t="s">
        <v>1838</v>
      </c>
      <c r="D6" s="5" t="n">
        <v>3</v>
      </c>
      <c r="E6" s="5" t="s">
        <v>660</v>
      </c>
      <c r="F6" s="5" t="s">
        <v>1036</v>
      </c>
      <c r="G6" s="6" t="s">
        <v>1845</v>
      </c>
    </row>
    <row r="7" customFormat="false" ht="15" hidden="false" customHeight="true" outlineLevel="0" collapsed="false">
      <c r="A7" s="5" t="s">
        <v>1846</v>
      </c>
      <c r="B7" s="6" t="s">
        <v>1847</v>
      </c>
      <c r="C7" s="5" t="s">
        <v>1838</v>
      </c>
      <c r="D7" s="5" t="n">
        <v>2</v>
      </c>
      <c r="E7" s="5" t="s">
        <v>660</v>
      </c>
      <c r="F7" s="5" t="s">
        <v>1036</v>
      </c>
      <c r="G7" s="6" t="s">
        <v>1848</v>
      </c>
    </row>
    <row r="8" customFormat="false" ht="15" hidden="false" customHeight="true" outlineLevel="0" collapsed="false">
      <c r="A8" s="5" t="s">
        <v>1849</v>
      </c>
      <c r="B8" s="6" t="s">
        <v>1850</v>
      </c>
      <c r="C8" s="5" t="s">
        <v>1838</v>
      </c>
      <c r="D8" s="5" t="n">
        <v>2</v>
      </c>
      <c r="E8" s="5" t="s">
        <v>660</v>
      </c>
      <c r="F8" s="5" t="s">
        <v>1036</v>
      </c>
      <c r="G8" s="6" t="s">
        <v>1851</v>
      </c>
    </row>
    <row r="9" customFormat="false" ht="15" hidden="false" customHeight="true" outlineLevel="0" collapsed="false">
      <c r="A9" s="5" t="s">
        <v>1852</v>
      </c>
      <c r="B9" s="6" t="s">
        <v>1690</v>
      </c>
      <c r="C9" s="5" t="s">
        <v>1357</v>
      </c>
      <c r="D9" s="5" t="n">
        <v>1</v>
      </c>
      <c r="E9" s="5" t="s">
        <v>660</v>
      </c>
      <c r="F9" s="5" t="s">
        <v>1036</v>
      </c>
      <c r="G9" s="6" t="s">
        <v>1853</v>
      </c>
    </row>
    <row r="10" customFormat="false" ht="15" hidden="false" customHeight="true" outlineLevel="0" collapsed="false">
      <c r="A10" s="5" t="s">
        <v>1854</v>
      </c>
      <c r="B10" s="6" t="s">
        <v>1855</v>
      </c>
      <c r="C10" s="5" t="s">
        <v>1838</v>
      </c>
      <c r="D10" s="5" t="n">
        <v>1</v>
      </c>
      <c r="E10" s="5" t="s">
        <v>1267</v>
      </c>
      <c r="F10" s="5" t="s">
        <v>1078</v>
      </c>
      <c r="G10" s="6" t="s">
        <v>1856</v>
      </c>
    </row>
    <row r="11" customFormat="false" ht="15" hidden="false" customHeight="true" outlineLevel="0" collapsed="false">
      <c r="A11" s="5" t="s">
        <v>1857</v>
      </c>
      <c r="B11" s="6" t="s">
        <v>1725</v>
      </c>
      <c r="C11" s="5" t="s">
        <v>610</v>
      </c>
      <c r="D11" s="5" t="n">
        <v>0</v>
      </c>
      <c r="E11" s="5" t="s">
        <v>608</v>
      </c>
      <c r="F11" s="5" t="s">
        <v>1078</v>
      </c>
      <c r="G11"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0"/>
    <col collapsed="false" customWidth="true" hidden="false" outlineLevel="0" max="4" min="4" style="1" width="8"/>
    <col collapsed="false" customWidth="true" hidden="false" outlineLevel="0" max="5" min="5" style="1" width="10"/>
    <col collapsed="false" customWidth="true" hidden="false" outlineLevel="0" max="6" min="6" style="1" width="12"/>
    <col collapsed="false" customWidth="true" hidden="false" outlineLevel="0" max="7" min="7" style="1" width="74"/>
  </cols>
  <sheetData>
    <row r="1" customFormat="false" ht="15" hidden="false" customHeight="true" outlineLevel="0" collapsed="false">
      <c r="A1" s="2" t="s">
        <v>1858</v>
      </c>
    </row>
    <row r="2" customFormat="false" ht="15" hidden="false" customHeight="true" outlineLevel="0" collapsed="false">
      <c r="A2" s="3" t="s">
        <v>1859</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1860</v>
      </c>
      <c r="B4" s="6" t="s">
        <v>1861</v>
      </c>
      <c r="C4" s="5" t="s">
        <v>1862</v>
      </c>
      <c r="D4" s="5" t="n">
        <v>5</v>
      </c>
      <c r="E4" s="5" t="s">
        <v>660</v>
      </c>
      <c r="F4" s="5" t="s">
        <v>1036</v>
      </c>
      <c r="G4" s="6" t="s">
        <v>1863</v>
      </c>
    </row>
    <row r="5" customFormat="false" ht="15" hidden="false" customHeight="true" outlineLevel="0" collapsed="false">
      <c r="A5" s="5" t="s">
        <v>1864</v>
      </c>
      <c r="B5" s="6" t="s">
        <v>1865</v>
      </c>
      <c r="C5" s="5" t="s">
        <v>1862</v>
      </c>
      <c r="D5" s="5" t="n">
        <v>1</v>
      </c>
      <c r="E5" s="5" t="s">
        <v>660</v>
      </c>
      <c r="F5" s="5" t="s">
        <v>1036</v>
      </c>
      <c r="G5" s="6" t="s">
        <v>1866</v>
      </c>
    </row>
    <row r="6" customFormat="false" ht="15" hidden="false" customHeight="true" outlineLevel="0" collapsed="false">
      <c r="A6" s="5" t="s">
        <v>1867</v>
      </c>
      <c r="B6" s="6" t="s">
        <v>1868</v>
      </c>
      <c r="C6" s="5" t="s">
        <v>1862</v>
      </c>
      <c r="D6" s="5" t="n">
        <v>1</v>
      </c>
      <c r="E6" s="5" t="s">
        <v>660</v>
      </c>
      <c r="F6" s="5" t="s">
        <v>1036</v>
      </c>
      <c r="G6" s="6" t="s">
        <v>1869</v>
      </c>
    </row>
    <row r="7" customFormat="false" ht="15" hidden="false" customHeight="true" outlineLevel="0" collapsed="false">
      <c r="A7" s="5" t="s">
        <v>1870</v>
      </c>
      <c r="B7" s="6" t="s">
        <v>1871</v>
      </c>
      <c r="C7" s="5" t="s">
        <v>1872</v>
      </c>
      <c r="D7" s="5" t="n">
        <v>3</v>
      </c>
      <c r="E7" s="5" t="s">
        <v>660</v>
      </c>
      <c r="F7" s="5" t="s">
        <v>1036</v>
      </c>
      <c r="G7" s="6" t="s">
        <v>1873</v>
      </c>
    </row>
    <row r="8" customFormat="false" ht="15" hidden="false" customHeight="true" outlineLevel="0" collapsed="false">
      <c r="A8" s="5" t="s">
        <v>1874</v>
      </c>
      <c r="B8" s="6" t="s">
        <v>1875</v>
      </c>
      <c r="C8" s="5" t="s">
        <v>1872</v>
      </c>
      <c r="D8" s="5" t="n">
        <v>3</v>
      </c>
      <c r="E8" s="5" t="s">
        <v>660</v>
      </c>
      <c r="F8" s="5" t="s">
        <v>1036</v>
      </c>
      <c r="G8" s="6" t="s">
        <v>1876</v>
      </c>
    </row>
    <row r="9" customFormat="false" ht="15" hidden="false" customHeight="true" outlineLevel="0" collapsed="false">
      <c r="A9" s="5" t="s">
        <v>1877</v>
      </c>
      <c r="B9" s="6" t="s">
        <v>1878</v>
      </c>
      <c r="C9" s="5" t="s">
        <v>1879</v>
      </c>
      <c r="D9" s="5" t="n">
        <v>1</v>
      </c>
      <c r="E9" s="5" t="s">
        <v>660</v>
      </c>
      <c r="F9" s="5" t="s">
        <v>1036</v>
      </c>
      <c r="G9" s="6" t="s">
        <v>1880</v>
      </c>
    </row>
    <row r="10" customFormat="false" ht="15" hidden="false" customHeight="true" outlineLevel="0" collapsed="false">
      <c r="A10" s="5" t="s">
        <v>1881</v>
      </c>
      <c r="B10" s="6" t="s">
        <v>1690</v>
      </c>
      <c r="C10" s="5" t="s">
        <v>1357</v>
      </c>
      <c r="D10" s="5" t="n">
        <v>1</v>
      </c>
      <c r="E10" s="5" t="s">
        <v>660</v>
      </c>
      <c r="F10" s="5" t="s">
        <v>1036</v>
      </c>
      <c r="G10" s="6" t="s">
        <v>1882</v>
      </c>
    </row>
    <row r="11" customFormat="false" ht="15" hidden="false" customHeight="true" outlineLevel="0" collapsed="false">
      <c r="A11" s="5" t="s">
        <v>1883</v>
      </c>
      <c r="B11" s="6" t="s">
        <v>1884</v>
      </c>
      <c r="C11" s="5" t="s">
        <v>1885</v>
      </c>
      <c r="D11" s="5" t="n">
        <v>8</v>
      </c>
      <c r="E11" s="5" t="s">
        <v>660</v>
      </c>
      <c r="F11" s="5" t="s">
        <v>1886</v>
      </c>
      <c r="G11" s="6" t="s">
        <v>1887</v>
      </c>
    </row>
    <row r="12" customFormat="false" ht="15" hidden="false" customHeight="true" outlineLevel="0" collapsed="false">
      <c r="A12" s="5" t="s">
        <v>1888</v>
      </c>
      <c r="B12" s="6" t="s">
        <v>1725</v>
      </c>
      <c r="C12" s="5" t="s">
        <v>610</v>
      </c>
      <c r="D12" s="5" t="n">
        <v>0</v>
      </c>
      <c r="E12" s="5" t="s">
        <v>608</v>
      </c>
      <c r="F12" s="5" t="s">
        <v>1078</v>
      </c>
      <c r="G12"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2"/>
    <col collapsed="false" customWidth="true" hidden="false" outlineLevel="0" max="4" min="4" style="1" width="8"/>
    <col collapsed="false" customWidth="true" hidden="false" outlineLevel="0" max="5" min="5" style="1" width="16"/>
    <col collapsed="false" customWidth="true" hidden="false" outlineLevel="0" max="6" min="6" style="1" width="10"/>
    <col collapsed="false" customWidth="true" hidden="false" outlineLevel="0" max="7" min="7" style="1" width="74"/>
  </cols>
  <sheetData>
    <row r="1" customFormat="false" ht="15" hidden="false" customHeight="true" outlineLevel="0" collapsed="false">
      <c r="A1" s="2" t="s">
        <v>1889</v>
      </c>
    </row>
    <row r="2" customFormat="false" ht="15" hidden="false" customHeight="true" outlineLevel="0" collapsed="false">
      <c r="A2" s="3" t="s">
        <v>1890</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1891</v>
      </c>
      <c r="B4" s="6" t="s">
        <v>1892</v>
      </c>
      <c r="C4" s="5" t="s">
        <v>1885</v>
      </c>
      <c r="D4" s="5" t="n">
        <v>5</v>
      </c>
      <c r="E4" s="5" t="s">
        <v>660</v>
      </c>
      <c r="F4" s="5" t="s">
        <v>1036</v>
      </c>
      <c r="G4" s="6" t="s">
        <v>1893</v>
      </c>
    </row>
    <row r="5" customFormat="false" ht="15" hidden="false" customHeight="true" outlineLevel="0" collapsed="false">
      <c r="A5" s="5" t="s">
        <v>1894</v>
      </c>
      <c r="B5" s="6" t="s">
        <v>1895</v>
      </c>
      <c r="C5" s="5" t="s">
        <v>1885</v>
      </c>
      <c r="D5" s="5" t="n">
        <v>3</v>
      </c>
      <c r="E5" s="5" t="s">
        <v>660</v>
      </c>
      <c r="F5" s="5" t="s">
        <v>1036</v>
      </c>
      <c r="G5" s="6" t="s">
        <v>1896</v>
      </c>
    </row>
    <row r="6" customFormat="false" ht="15" hidden="false" customHeight="true" outlineLevel="0" collapsed="false">
      <c r="A6" s="5" t="s">
        <v>1897</v>
      </c>
      <c r="B6" s="6" t="s">
        <v>1898</v>
      </c>
      <c r="C6" s="5" t="s">
        <v>1885</v>
      </c>
      <c r="D6" s="5" t="n">
        <v>3</v>
      </c>
      <c r="E6" s="5" t="s">
        <v>660</v>
      </c>
      <c r="F6" s="5" t="s">
        <v>1036</v>
      </c>
      <c r="G6" s="6" t="s">
        <v>1899</v>
      </c>
    </row>
    <row r="7" customFormat="false" ht="15" hidden="false" customHeight="true" outlineLevel="0" collapsed="false">
      <c r="A7" s="5" t="s">
        <v>1900</v>
      </c>
      <c r="B7" s="6" t="s">
        <v>1901</v>
      </c>
      <c r="C7" s="5" t="s">
        <v>1885</v>
      </c>
      <c r="D7" s="5" t="n">
        <v>1</v>
      </c>
      <c r="E7" s="5" t="s">
        <v>660</v>
      </c>
      <c r="F7" s="5" t="s">
        <v>1036</v>
      </c>
      <c r="G7" s="6" t="s">
        <v>1902</v>
      </c>
    </row>
    <row r="8" customFormat="false" ht="15" hidden="false" customHeight="true" outlineLevel="0" collapsed="false">
      <c r="A8" s="5" t="s">
        <v>1903</v>
      </c>
      <c r="B8" s="6" t="s">
        <v>1904</v>
      </c>
      <c r="C8" s="5" t="s">
        <v>1885</v>
      </c>
      <c r="D8" s="5" t="n">
        <v>1</v>
      </c>
      <c r="E8" s="5" t="s">
        <v>660</v>
      </c>
      <c r="F8" s="5" t="s">
        <v>1036</v>
      </c>
      <c r="G8" s="6" t="s">
        <v>1905</v>
      </c>
    </row>
    <row r="9" customFormat="false" ht="15" hidden="false" customHeight="true" outlineLevel="0" collapsed="false">
      <c r="A9" s="5" t="s">
        <v>1906</v>
      </c>
      <c r="B9" s="6" t="s">
        <v>1907</v>
      </c>
      <c r="C9" s="5" t="s">
        <v>1908</v>
      </c>
      <c r="D9" s="5" t="n">
        <v>0</v>
      </c>
      <c r="E9" s="5" t="s">
        <v>660</v>
      </c>
      <c r="F9" s="5" t="s">
        <v>1036</v>
      </c>
      <c r="G9" s="6" t="s">
        <v>1909</v>
      </c>
    </row>
    <row r="10" customFormat="false" ht="15" hidden="false" customHeight="true" outlineLevel="0" collapsed="false">
      <c r="A10" s="5" t="s">
        <v>1910</v>
      </c>
      <c r="B10" s="6" t="s">
        <v>1690</v>
      </c>
      <c r="C10" s="5" t="s">
        <v>1357</v>
      </c>
      <c r="D10" s="5" t="n">
        <v>1</v>
      </c>
      <c r="E10" s="5" t="s">
        <v>660</v>
      </c>
      <c r="F10" s="5" t="s">
        <v>1036</v>
      </c>
      <c r="G10" s="6" t="s">
        <v>1911</v>
      </c>
    </row>
    <row r="11" customFormat="false" ht="15" hidden="false" customHeight="true" outlineLevel="0" collapsed="false">
      <c r="A11" s="5" t="s">
        <v>1912</v>
      </c>
      <c r="B11" s="6" t="s">
        <v>1913</v>
      </c>
      <c r="C11" s="5" t="s">
        <v>1914</v>
      </c>
      <c r="D11" s="5" t="n">
        <v>1</v>
      </c>
      <c r="E11" s="5" t="s">
        <v>1267</v>
      </c>
      <c r="F11" s="5" t="s">
        <v>1078</v>
      </c>
      <c r="G11" s="6" t="s">
        <v>1915</v>
      </c>
    </row>
    <row r="12" customFormat="false" ht="15" hidden="false" customHeight="true" outlineLevel="0" collapsed="false">
      <c r="A12" s="5" t="s">
        <v>1916</v>
      </c>
      <c r="B12" s="6" t="s">
        <v>1725</v>
      </c>
      <c r="C12" s="5" t="s">
        <v>610</v>
      </c>
      <c r="D12" s="5" t="n">
        <v>0</v>
      </c>
      <c r="E12" s="5" t="s">
        <v>608</v>
      </c>
      <c r="F12" s="5" t="s">
        <v>1078</v>
      </c>
      <c r="G12"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2"/>
    <col collapsed="false" customWidth="true" hidden="false" outlineLevel="0" max="4" min="4" style="1" width="8"/>
    <col collapsed="false" customWidth="true" hidden="false" outlineLevel="0" max="5" min="5" style="1" width="16"/>
    <col collapsed="false" customWidth="true" hidden="false" outlineLevel="0" max="6" min="6" style="1" width="10"/>
    <col collapsed="false" customWidth="true" hidden="false" outlineLevel="0" max="7" min="7" style="1" width="74"/>
  </cols>
  <sheetData>
    <row r="1" customFormat="false" ht="15" hidden="false" customHeight="true" outlineLevel="0" collapsed="false">
      <c r="A1" s="2" t="s">
        <v>1917</v>
      </c>
    </row>
    <row r="2" customFormat="false" ht="15" hidden="false" customHeight="true" outlineLevel="0" collapsed="false">
      <c r="A2" s="3" t="s">
        <v>1918</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1919</v>
      </c>
      <c r="B4" s="6" t="s">
        <v>1920</v>
      </c>
      <c r="C4" s="5" t="s">
        <v>112</v>
      </c>
      <c r="D4" s="5" t="n">
        <v>5</v>
      </c>
      <c r="E4" s="5" t="s">
        <v>660</v>
      </c>
      <c r="F4" s="5" t="s">
        <v>1036</v>
      </c>
      <c r="G4" s="6" t="s">
        <v>1921</v>
      </c>
    </row>
    <row r="5" customFormat="false" ht="15" hidden="false" customHeight="true" outlineLevel="0" collapsed="false">
      <c r="A5" s="5" t="s">
        <v>1922</v>
      </c>
      <c r="B5" s="6" t="s">
        <v>1923</v>
      </c>
      <c r="C5" s="5" t="s">
        <v>1924</v>
      </c>
      <c r="D5" s="5" t="n">
        <v>5</v>
      </c>
      <c r="E5" s="5" t="s">
        <v>660</v>
      </c>
      <c r="F5" s="5" t="s">
        <v>1036</v>
      </c>
      <c r="G5" s="6" t="s">
        <v>1925</v>
      </c>
    </row>
    <row r="6" customFormat="false" ht="15" hidden="false" customHeight="true" outlineLevel="0" collapsed="false">
      <c r="A6" s="5" t="s">
        <v>1926</v>
      </c>
      <c r="B6" s="6" t="s">
        <v>1927</v>
      </c>
      <c r="C6" s="5" t="s">
        <v>1928</v>
      </c>
      <c r="D6" s="5" t="n">
        <v>1</v>
      </c>
      <c r="E6" s="5" t="s">
        <v>660</v>
      </c>
      <c r="F6" s="5" t="s">
        <v>1036</v>
      </c>
      <c r="G6" s="6" t="s">
        <v>1929</v>
      </c>
    </row>
    <row r="7" customFormat="false" ht="15" hidden="false" customHeight="true" outlineLevel="0" collapsed="false">
      <c r="A7" s="5" t="s">
        <v>1930</v>
      </c>
      <c r="B7" s="6" t="s">
        <v>1931</v>
      </c>
      <c r="C7" s="5" t="s">
        <v>1932</v>
      </c>
      <c r="D7" s="5" t="n">
        <v>1</v>
      </c>
      <c r="E7" s="5" t="s">
        <v>660</v>
      </c>
      <c r="F7" s="5" t="s">
        <v>1036</v>
      </c>
      <c r="G7" s="6" t="s">
        <v>1933</v>
      </c>
    </row>
    <row r="8" customFormat="false" ht="15" hidden="false" customHeight="true" outlineLevel="0" collapsed="false">
      <c r="A8" s="5" t="s">
        <v>1934</v>
      </c>
      <c r="B8" s="6" t="s">
        <v>1935</v>
      </c>
      <c r="C8" s="5" t="s">
        <v>1936</v>
      </c>
      <c r="D8" s="5" t="n">
        <v>1</v>
      </c>
      <c r="E8" s="5" t="s">
        <v>660</v>
      </c>
      <c r="F8" s="5" t="s">
        <v>1036</v>
      </c>
      <c r="G8" s="6" t="s">
        <v>1937</v>
      </c>
    </row>
    <row r="9" customFormat="false" ht="15" hidden="false" customHeight="true" outlineLevel="0" collapsed="false">
      <c r="A9" s="5" t="s">
        <v>1938</v>
      </c>
      <c r="B9" s="6" t="s">
        <v>1690</v>
      </c>
      <c r="C9" s="5" t="s">
        <v>1357</v>
      </c>
      <c r="D9" s="5" t="n">
        <v>1</v>
      </c>
      <c r="E9" s="5" t="s">
        <v>660</v>
      </c>
      <c r="F9" s="5" t="s">
        <v>1036</v>
      </c>
      <c r="G9" s="6" t="s">
        <v>1939</v>
      </c>
    </row>
    <row r="10" customFormat="false" ht="15" hidden="false" customHeight="true" outlineLevel="0" collapsed="false">
      <c r="A10" s="5" t="s">
        <v>1940</v>
      </c>
      <c r="B10" s="6" t="s">
        <v>1941</v>
      </c>
      <c r="C10" s="5" t="s">
        <v>1936</v>
      </c>
      <c r="D10" s="5" t="n">
        <v>2</v>
      </c>
      <c r="E10" s="5" t="s">
        <v>1267</v>
      </c>
      <c r="F10" s="5" t="s">
        <v>1078</v>
      </c>
      <c r="G10" s="6" t="s">
        <v>1942</v>
      </c>
    </row>
    <row r="11" customFormat="false" ht="15" hidden="false" customHeight="true" outlineLevel="0" collapsed="false">
      <c r="A11" s="5" t="s">
        <v>1943</v>
      </c>
      <c r="B11" s="6" t="s">
        <v>1725</v>
      </c>
      <c r="C11" s="5" t="s">
        <v>610</v>
      </c>
      <c r="D11" s="5" t="n">
        <v>0</v>
      </c>
      <c r="E11" s="5" t="s">
        <v>608</v>
      </c>
      <c r="F11" s="5" t="s">
        <v>1078</v>
      </c>
      <c r="G11"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4"/>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1944</v>
      </c>
    </row>
    <row r="2" customFormat="false" ht="15" hidden="false" customHeight="true" outlineLevel="0" collapsed="false">
      <c r="A2" s="3" t="s">
        <v>1945</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1946</v>
      </c>
      <c r="B4" s="6" t="s">
        <v>1947</v>
      </c>
      <c r="C4" s="5" t="s">
        <v>1940</v>
      </c>
      <c r="D4" s="5" t="n">
        <v>3</v>
      </c>
      <c r="E4" s="5" t="s">
        <v>660</v>
      </c>
      <c r="F4" s="5" t="s">
        <v>1036</v>
      </c>
      <c r="G4" s="6" t="s">
        <v>1948</v>
      </c>
    </row>
    <row r="5" customFormat="false" ht="23.25" hidden="false" customHeight="true" outlineLevel="0" collapsed="false">
      <c r="A5" s="5" t="s">
        <v>1949</v>
      </c>
      <c r="B5" s="6" t="s">
        <v>1950</v>
      </c>
      <c r="C5" s="5" t="s">
        <v>1951</v>
      </c>
      <c r="D5" s="5" t="n">
        <v>2</v>
      </c>
      <c r="E5" s="5" t="s">
        <v>660</v>
      </c>
      <c r="F5" s="5" t="s">
        <v>1036</v>
      </c>
      <c r="G5" s="6" t="s">
        <v>1952</v>
      </c>
    </row>
    <row r="6" customFormat="false" ht="15" hidden="false" customHeight="true" outlineLevel="0" collapsed="false">
      <c r="A6" s="5" t="s">
        <v>1953</v>
      </c>
      <c r="B6" s="6" t="s">
        <v>1954</v>
      </c>
      <c r="C6" s="5" t="s">
        <v>1955</v>
      </c>
      <c r="D6" s="5" t="n">
        <v>3</v>
      </c>
      <c r="E6" s="5" t="s">
        <v>660</v>
      </c>
      <c r="F6" s="5" t="s">
        <v>1036</v>
      </c>
      <c r="G6" s="6" t="s">
        <v>1956</v>
      </c>
    </row>
    <row r="7" customFormat="false" ht="15" hidden="false" customHeight="true" outlineLevel="0" collapsed="false">
      <c r="A7" s="5" t="s">
        <v>1957</v>
      </c>
      <c r="B7" s="6" t="s">
        <v>1958</v>
      </c>
      <c r="C7" s="5" t="s">
        <v>1936</v>
      </c>
      <c r="D7" s="5" t="n">
        <v>1</v>
      </c>
      <c r="E7" s="5" t="s">
        <v>660</v>
      </c>
      <c r="F7" s="5" t="s">
        <v>1036</v>
      </c>
      <c r="G7" s="6" t="s">
        <v>1959</v>
      </c>
    </row>
    <row r="8" customFormat="false" ht="15" hidden="false" customHeight="true" outlineLevel="0" collapsed="false">
      <c r="A8" s="5" t="s">
        <v>1960</v>
      </c>
      <c r="B8" s="6" t="s">
        <v>1961</v>
      </c>
      <c r="C8" s="5" t="s">
        <v>112</v>
      </c>
      <c r="D8" s="5" t="n">
        <v>2</v>
      </c>
      <c r="E8" s="5" t="s">
        <v>660</v>
      </c>
      <c r="F8" s="5" t="s">
        <v>1036</v>
      </c>
      <c r="G8" s="6" t="s">
        <v>1962</v>
      </c>
    </row>
    <row r="9" customFormat="false" ht="15" hidden="false" customHeight="true" outlineLevel="0" collapsed="false">
      <c r="A9" s="5" t="s">
        <v>1963</v>
      </c>
      <c r="B9" s="6" t="s">
        <v>1690</v>
      </c>
      <c r="C9" s="5" t="s">
        <v>1357</v>
      </c>
      <c r="D9" s="5" t="n">
        <v>1</v>
      </c>
      <c r="E9" s="5" t="s">
        <v>660</v>
      </c>
      <c r="F9" s="5" t="s">
        <v>1036</v>
      </c>
      <c r="G9" s="6" t="s">
        <v>1964</v>
      </c>
    </row>
    <row r="10" customFormat="false" ht="15" hidden="false" customHeight="true" outlineLevel="0" collapsed="false">
      <c r="A10" s="5" t="s">
        <v>1965</v>
      </c>
      <c r="B10" s="6" t="s">
        <v>1725</v>
      </c>
      <c r="C10" s="5" t="s">
        <v>610</v>
      </c>
      <c r="D10" s="5" t="n">
        <v>0</v>
      </c>
      <c r="E10" s="5" t="s">
        <v>608</v>
      </c>
      <c r="F10" s="5" t="s">
        <v>1078</v>
      </c>
      <c r="G10"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2"/>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1966</v>
      </c>
    </row>
    <row r="2" customFormat="false" ht="15" hidden="false" customHeight="true" outlineLevel="0" collapsed="false">
      <c r="A2" s="3" t="s">
        <v>1967</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1968</v>
      </c>
      <c r="B4" s="6" t="s">
        <v>1969</v>
      </c>
      <c r="C4" s="5" t="s">
        <v>1970</v>
      </c>
      <c r="D4" s="5" t="n">
        <v>5</v>
      </c>
      <c r="E4" s="5" t="s">
        <v>660</v>
      </c>
      <c r="F4" s="5" t="s">
        <v>1036</v>
      </c>
      <c r="G4" s="6" t="s">
        <v>1971</v>
      </c>
    </row>
    <row r="5" customFormat="false" ht="15" hidden="false" customHeight="true" outlineLevel="0" collapsed="false">
      <c r="A5" s="5" t="s">
        <v>1972</v>
      </c>
      <c r="B5" s="6" t="s">
        <v>1973</v>
      </c>
      <c r="C5" s="5" t="s">
        <v>1974</v>
      </c>
      <c r="D5" s="5" t="n">
        <v>1</v>
      </c>
      <c r="E5" s="5" t="s">
        <v>660</v>
      </c>
      <c r="F5" s="5" t="s">
        <v>1036</v>
      </c>
      <c r="G5" s="6" t="s">
        <v>1975</v>
      </c>
    </row>
    <row r="6" customFormat="false" ht="15" hidden="false" customHeight="true" outlineLevel="0" collapsed="false">
      <c r="A6" s="5" t="s">
        <v>1976</v>
      </c>
      <c r="B6" s="6" t="s">
        <v>1977</v>
      </c>
      <c r="C6" s="5" t="s">
        <v>1259</v>
      </c>
      <c r="D6" s="5" t="n">
        <v>3</v>
      </c>
      <c r="E6" s="5" t="s">
        <v>660</v>
      </c>
      <c r="F6" s="5" t="s">
        <v>1036</v>
      </c>
      <c r="G6" s="6" t="s">
        <v>1978</v>
      </c>
    </row>
    <row r="7" customFormat="false" ht="15" hidden="false" customHeight="true" outlineLevel="0" collapsed="false">
      <c r="A7" s="5" t="s">
        <v>1979</v>
      </c>
      <c r="B7" s="6" t="s">
        <v>1980</v>
      </c>
      <c r="C7" s="5" t="s">
        <v>1981</v>
      </c>
      <c r="D7" s="5" t="n">
        <v>1</v>
      </c>
      <c r="E7" s="5" t="s">
        <v>660</v>
      </c>
      <c r="F7" s="5" t="s">
        <v>1036</v>
      </c>
      <c r="G7" s="6" t="s">
        <v>1982</v>
      </c>
    </row>
    <row r="8" customFormat="false" ht="15" hidden="false" customHeight="true" outlineLevel="0" collapsed="false">
      <c r="A8" s="5" t="s">
        <v>1983</v>
      </c>
      <c r="B8" s="6" t="s">
        <v>1690</v>
      </c>
      <c r="C8" s="5" t="s">
        <v>1357</v>
      </c>
      <c r="D8" s="5" t="n">
        <v>1</v>
      </c>
      <c r="E8" s="5" t="s">
        <v>660</v>
      </c>
      <c r="F8" s="5" t="s">
        <v>1036</v>
      </c>
      <c r="G8" s="6" t="s">
        <v>1984</v>
      </c>
    </row>
    <row r="9" customFormat="false" ht="15" hidden="false" customHeight="true" outlineLevel="0" collapsed="false">
      <c r="A9" s="5" t="s">
        <v>1985</v>
      </c>
      <c r="B9" s="6" t="s">
        <v>1986</v>
      </c>
      <c r="C9" s="5" t="s">
        <v>1970</v>
      </c>
      <c r="D9" s="5" t="n">
        <v>0</v>
      </c>
      <c r="E9" s="5" t="s">
        <v>608</v>
      </c>
      <c r="F9" s="5" t="s">
        <v>1078</v>
      </c>
      <c r="G9" s="6" t="s">
        <v>1987</v>
      </c>
    </row>
    <row r="10" customFormat="false" ht="15" hidden="false" customHeight="true" outlineLevel="0" collapsed="false">
      <c r="A10" s="5" t="s">
        <v>1988</v>
      </c>
      <c r="B10" s="6" t="s">
        <v>1989</v>
      </c>
      <c r="C10" s="5" t="s">
        <v>1259</v>
      </c>
      <c r="D10" s="5" t="n">
        <v>0</v>
      </c>
      <c r="E10" s="5" t="s">
        <v>608</v>
      </c>
      <c r="F10" s="5" t="s">
        <v>1078</v>
      </c>
      <c r="G10" s="6" t="s">
        <v>1990</v>
      </c>
    </row>
    <row r="11" customFormat="false" ht="15" hidden="false" customHeight="true" outlineLevel="0" collapsed="false">
      <c r="A11" s="5" t="s">
        <v>1991</v>
      </c>
      <c r="B11" s="6" t="s">
        <v>1725</v>
      </c>
      <c r="C11" s="5" t="s">
        <v>610</v>
      </c>
      <c r="D11" s="5" t="n">
        <v>0</v>
      </c>
      <c r="E11" s="5" t="s">
        <v>608</v>
      </c>
      <c r="F11" s="5" t="s">
        <v>1078</v>
      </c>
      <c r="G11" s="6" t="s">
        <v>1639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0"/>
    <col collapsed="false" customWidth="true" hidden="false" outlineLevel="0" max="4" min="4" style="1" width="8"/>
    <col collapsed="false" customWidth="true" hidden="false" outlineLevel="0" max="6" min="5" style="1" width="10"/>
    <col collapsed="false" customWidth="true" hidden="false" outlineLevel="0" max="7" min="7" style="1" width="74"/>
  </cols>
  <sheetData>
    <row r="1" customFormat="false" ht="15" hidden="false" customHeight="true" outlineLevel="0" collapsed="false">
      <c r="A1" s="2" t="s">
        <v>1992</v>
      </c>
    </row>
    <row r="2" customFormat="false" ht="15" hidden="false" customHeight="true" outlineLevel="0" collapsed="false">
      <c r="A2" s="3" t="s">
        <v>1993</v>
      </c>
    </row>
    <row r="3" customFormat="false" ht="15" hidden="false" customHeight="true" outlineLevel="0" collapsed="false">
      <c r="A3" s="4" t="s">
        <v>103</v>
      </c>
      <c r="B3" s="4" t="s">
        <v>1029</v>
      </c>
      <c r="C3" s="4" t="s">
        <v>1030</v>
      </c>
      <c r="D3" s="4" t="s">
        <v>1031</v>
      </c>
      <c r="E3" s="4" t="s">
        <v>651</v>
      </c>
      <c r="F3" s="4" t="s">
        <v>6</v>
      </c>
      <c r="G3" s="4" t="s">
        <v>1032</v>
      </c>
    </row>
    <row r="4" customFormat="false" ht="15" hidden="false" customHeight="true" outlineLevel="0" collapsed="false">
      <c r="A4" s="5" t="s">
        <v>1994</v>
      </c>
      <c r="B4" s="6" t="s">
        <v>1995</v>
      </c>
      <c r="C4" s="5" t="s">
        <v>1996</v>
      </c>
      <c r="D4" s="5" t="n">
        <v>1</v>
      </c>
      <c r="E4" s="5" t="s">
        <v>660</v>
      </c>
      <c r="F4" s="5" t="s">
        <v>1036</v>
      </c>
      <c r="G4" s="6" t="s">
        <v>1997</v>
      </c>
    </row>
    <row r="5" customFormat="false" ht="15" hidden="false" customHeight="true" outlineLevel="0" collapsed="false">
      <c r="A5" s="5" t="s">
        <v>1998</v>
      </c>
      <c r="B5" s="6" t="s">
        <v>1999</v>
      </c>
      <c r="C5" s="5" t="s">
        <v>2000</v>
      </c>
      <c r="D5" s="5" t="n">
        <v>3</v>
      </c>
      <c r="E5" s="5" t="s">
        <v>660</v>
      </c>
      <c r="F5" s="5" t="s">
        <v>1036</v>
      </c>
      <c r="G5" s="6" t="s">
        <v>2001</v>
      </c>
    </row>
    <row r="6" customFormat="false" ht="15" hidden="false" customHeight="true" outlineLevel="0" collapsed="false">
      <c r="A6" s="5" t="s">
        <v>2002</v>
      </c>
      <c r="B6" s="6" t="s">
        <v>1690</v>
      </c>
      <c r="C6" s="5" t="s">
        <v>1357</v>
      </c>
      <c r="D6" s="5" t="n">
        <v>1</v>
      </c>
      <c r="E6" s="5" t="s">
        <v>660</v>
      </c>
      <c r="F6" s="5" t="s">
        <v>1036</v>
      </c>
      <c r="G6" s="6" t="s">
        <v>1984</v>
      </c>
    </row>
    <row r="7" customFormat="false" ht="15" hidden="false" customHeight="true" outlineLevel="0" collapsed="false">
      <c r="A7" s="5" t="s">
        <v>2003</v>
      </c>
      <c r="B7" s="6" t="s">
        <v>2004</v>
      </c>
      <c r="C7" s="5" t="s">
        <v>112</v>
      </c>
      <c r="D7" s="5" t="n">
        <v>0</v>
      </c>
      <c r="E7" s="5" t="s">
        <v>660</v>
      </c>
      <c r="F7" s="5" t="s">
        <v>1036</v>
      </c>
      <c r="G7" s="6" t="s">
        <v>2005</v>
      </c>
    </row>
    <row r="8" customFormat="false" ht="15" hidden="false" customHeight="true" outlineLevel="0" collapsed="false">
      <c r="A8" s="5" t="s">
        <v>2006</v>
      </c>
      <c r="B8" s="6" t="s">
        <v>2007</v>
      </c>
      <c r="C8" s="5" t="s">
        <v>610</v>
      </c>
      <c r="D8" s="5" t="n">
        <v>0</v>
      </c>
      <c r="E8" s="5" t="s">
        <v>608</v>
      </c>
      <c r="F8" s="5" t="s">
        <v>1078</v>
      </c>
      <c r="G8" s="6" t="s">
        <v>2008</v>
      </c>
    </row>
    <row r="9" customFormat="false" ht="15" hidden="false" customHeight="true" outlineLevel="0" collapsed="false">
      <c r="A9" s="5" t="s">
        <v>2009</v>
      </c>
      <c r="B9" s="6" t="s">
        <v>2010</v>
      </c>
      <c r="C9" s="5" t="s">
        <v>1085</v>
      </c>
      <c r="D9" s="5" t="n">
        <v>0</v>
      </c>
      <c r="E9" s="5" t="s">
        <v>608</v>
      </c>
      <c r="F9" s="5" t="s">
        <v>1078</v>
      </c>
      <c r="G9" s="6" t="s">
        <v>2011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2"/>
    <col collapsed="false" customWidth="true" hidden="false" outlineLevel="0" max="3" min="3" style="1" width="8"/>
    <col collapsed="false" customWidth="true" hidden="false" outlineLevel="0" max="4" min="4" style="1" width="72"/>
    <col collapsed="false" customWidth="true" hidden="false" outlineLevel="0" max="5" min="5" style="1" width="12"/>
  </cols>
  <sheetData>
    <row r="1" customFormat="false" ht="15" hidden="false" customHeight="true" outlineLevel="0" collapsed="false">
      <c r="A1" s="2" t="s">
        <v>2012</v>
      </c>
    </row>
    <row r="2" customFormat="false" ht="15" hidden="false" customHeight="true" outlineLevel="0" collapsed="false">
      <c r="A2" s="3" t="s">
        <v>2013</v>
      </c>
    </row>
    <row r="4" customFormat="false" ht="15" hidden="false" customHeight="true" outlineLevel="0" collapsed="false">
      <c r="A4" s="4" t="s">
        <v>103</v>
      </c>
      <c r="B4" s="4" t="s">
        <v>2014</v>
      </c>
      <c r="C4" s="4" t="s">
        <v>2015</v>
      </c>
      <c r="D4" s="4" t="s">
        <v>2016</v>
      </c>
      <c r="E4" s="4" t="s">
        <v>651</v>
      </c>
    </row>
    <row r="5" customFormat="false" ht="15" hidden="false" customHeight="true" outlineLevel="0" collapsed="false">
      <c r="A5" s="5" t="s">
        <v>2017</v>
      </c>
      <c r="B5" s="5" t="s">
        <v>2018</v>
      </c>
      <c r="C5" s="5" t="s">
        <v>2019</v>
      </c>
      <c r="D5" s="6" t="s">
        <v>2020</v>
      </c>
      <c r="E5" s="5" t="s">
        <v>2021</v>
      </c>
    </row>
    <row r="6" customFormat="false" ht="15" hidden="false" customHeight="true" outlineLevel="0" collapsed="false">
      <c r="A6" s="5" t="s">
        <v>2022</v>
      </c>
      <c r="B6" s="5" t="s">
        <v>2023</v>
      </c>
      <c r="C6" s="5" t="s">
        <v>2019</v>
      </c>
      <c r="D6" s="6" t="s">
        <v>2024</v>
      </c>
      <c r="E6" s="5" t="s">
        <v>2021</v>
      </c>
    </row>
    <row r="7" customFormat="false" ht="15" hidden="false" customHeight="true" outlineLevel="0" collapsed="false">
      <c r="A7" s="5" t="s">
        <v>2025</v>
      </c>
      <c r="B7" s="5" t="s">
        <v>2026</v>
      </c>
      <c r="C7" s="5" t="s">
        <v>2019</v>
      </c>
      <c r="D7" s="6" t="s">
        <v>2027</v>
      </c>
      <c r="E7" s="5" t="s">
        <v>2021</v>
      </c>
    </row>
    <row r="8" customFormat="false" ht="15" hidden="false" customHeight="true" outlineLevel="0" collapsed="false">
      <c r="A8" s="5" t="s">
        <v>2028</v>
      </c>
      <c r="B8" s="5" t="s">
        <v>2029</v>
      </c>
      <c r="C8" s="5" t="s">
        <v>2019</v>
      </c>
      <c r="D8" s="6" t="s">
        <v>2030</v>
      </c>
      <c r="E8" s="5" t="s">
        <v>2021</v>
      </c>
    </row>
    <row r="9" customFormat="false" ht="15" hidden="false" customHeight="true" outlineLevel="0" collapsed="false">
      <c r="A9" s="5" t="s">
        <v>2031</v>
      </c>
      <c r="B9" s="5" t="s">
        <v>2032</v>
      </c>
      <c r="C9" s="5" t="s">
        <v>2019</v>
      </c>
      <c r="D9" s="6" t="s">
        <v>2033</v>
      </c>
      <c r="E9" s="5" t="s">
        <v>2021</v>
      </c>
    </row>
    <row r="10" customFormat="false" ht="15" hidden="false" customHeight="true" outlineLevel="0" collapsed="false">
      <c r="A10" s="5" t="s">
        <v>1085</v>
      </c>
      <c r="B10" s="5" t="s">
        <v>2034</v>
      </c>
      <c r="C10" s="5" t="s">
        <v>2035</v>
      </c>
      <c r="D10" s="6" t="s">
        <v>2036</v>
      </c>
      <c r="E10" s="5" t="s">
        <v>608</v>
      </c>
    </row>
    <row r="11" customFormat="false" ht="15" hidden="false" customHeight="true" outlineLevel="0" collapsed="false">
      <c r="A11" s="5" t="s">
        <v>2037</v>
      </c>
      <c r="B11" s="5" t="s">
        <v>2038</v>
      </c>
      <c r="C11" s="5" t="s">
        <v>2035</v>
      </c>
      <c r="D11" s="6" t="s">
        <v>2039</v>
      </c>
      <c r="E11" s="5" t="s">
        <v>608</v>
      </c>
    </row>
    <row r="12" customFormat="false" ht="15" hidden="false" customHeight="true" outlineLevel="0" collapsed="false">
      <c r="A12" s="5" t="s">
        <v>1970</v>
      </c>
      <c r="B12" s="5" t="s">
        <v>2040</v>
      </c>
      <c r="C12" s="5" t="s">
        <v>2041</v>
      </c>
      <c r="D12" s="6" t="s">
        <v>2042</v>
      </c>
      <c r="E12" s="5" t="s">
        <v>608</v>
      </c>
    </row>
    <row r="13" customFormat="false" ht="15" hidden="false" customHeight="true" outlineLevel="0" collapsed="false">
      <c r="A13" s="5" t="s">
        <v>2043</v>
      </c>
      <c r="B13" s="5" t="s">
        <v>2044</v>
      </c>
      <c r="C13" s="5" t="s">
        <v>2041</v>
      </c>
      <c r="D13" s="6" t="s">
        <v>2045</v>
      </c>
      <c r="E13" s="5" t="s">
        <v>608</v>
      </c>
    </row>
    <row r="14" customFormat="false" ht="15" hidden="false" customHeight="true" outlineLevel="0" collapsed="false">
      <c r="A14" s="5" t="s">
        <v>2046</v>
      </c>
      <c r="B14" s="5" t="s">
        <v>2047</v>
      </c>
      <c r="C14" s="5" t="s">
        <v>2041</v>
      </c>
      <c r="D14" s="6" t="s">
        <v>2048</v>
      </c>
      <c r="E14" s="5" t="s">
        <v>608</v>
      </c>
    </row>
    <row r="15" customFormat="false" ht="15" hidden="false" customHeight="true" outlineLevel="0" collapsed="false">
      <c r="A15" s="5" t="s">
        <v>2049</v>
      </c>
      <c r="B15" s="5" t="s">
        <v>2050</v>
      </c>
      <c r="C15" s="5" t="s">
        <v>2041</v>
      </c>
      <c r="D15" s="6" t="s">
        <v>2051</v>
      </c>
      <c r="E15" s="5" t="s">
        <v>608</v>
      </c>
    </row>
    <row r="16" customFormat="false" ht="15" hidden="false" customHeight="true" outlineLevel="0" collapsed="false">
      <c r="A16" s="5" t="s">
        <v>1717</v>
      </c>
      <c r="B16" s="5" t="s">
        <v>2052</v>
      </c>
      <c r="C16" s="5" t="s">
        <v>2041</v>
      </c>
      <c r="D16" s="6" t="s">
        <v>2053</v>
      </c>
      <c r="E16" s="5" t="s">
        <v>608</v>
      </c>
    </row>
    <row r="17" customFormat="false" ht="35.05" hidden="false" customHeight="false" outlineLevel="0" collapsed="false">
      <c r="A17" s="7" t="s">
        <v>2054</v>
      </c>
      <c r="B17" s="7" t="s">
        <v>2055</v>
      </c>
      <c r="C17" s="7" t="s">
        <v>2056</v>
      </c>
      <c r="D17" s="8" t="s">
        <v>2057</v>
      </c>
      <c r="E17" s="7" t="s">
        <v>2021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5"/>
    <col collapsed="false" customWidth="true" hidden="false" outlineLevel="0" max="3" min="3" style="1" width="18"/>
    <col collapsed="false" customWidth="true" hidden="false" outlineLevel="0" max="4" min="4" style="1" width="86"/>
    <col collapsed="false" customWidth="true" hidden="false" outlineLevel="0" max="5" min="5" style="1" width="64"/>
    <col collapsed="false" customWidth="true" hidden="false" outlineLevel="0" max="6" min="6" style="1" width="16"/>
  </cols>
  <sheetData>
    <row r="1" customFormat="false" ht="15" hidden="false" customHeight="true" outlineLevel="0" collapsed="false">
      <c r="A1" s="2" t="s">
        <v>2058</v>
      </c>
    </row>
    <row r="2" customFormat="false" ht="15" hidden="false" customHeight="true" outlineLevel="0" collapsed="false">
      <c r="A2" s="3" t="s">
        <v>2059</v>
      </c>
    </row>
    <row r="3" customFormat="false" ht="15" hidden="false" customHeight="true" outlineLevel="0" collapsed="false">
      <c r="A3" s="4" t="s">
        <v>103</v>
      </c>
      <c r="B3" s="4" t="s">
        <v>644</v>
      </c>
      <c r="C3" s="4" t="s">
        <v>2060</v>
      </c>
      <c r="D3" s="4" t="s">
        <v>645</v>
      </c>
      <c r="E3" s="4" t="s">
        <v>2061</v>
      </c>
      <c r="F3" s="4" t="s">
        <v>6</v>
      </c>
    </row>
    <row r="4" customFormat="false" ht="34.5" hidden="false" customHeight="true" outlineLevel="0" collapsed="false">
      <c r="A4" s="5" t="s">
        <v>1367</v>
      </c>
      <c r="B4" s="5" t="s">
        <v>2062</v>
      </c>
      <c r="C4" s="5" t="s">
        <v>2063</v>
      </c>
      <c r="D4" s="6" t="s">
        <v>2064</v>
      </c>
      <c r="E4" s="6" t="s">
        <v>2065</v>
      </c>
      <c r="F4" s="5" t="s">
        <v>2066</v>
      </c>
    </row>
    <row r="5" customFormat="false" ht="23.25" hidden="false" customHeight="true" outlineLevel="0" collapsed="false">
      <c r="A5" s="5" t="s">
        <v>1371</v>
      </c>
      <c r="B5" s="5" t="s">
        <v>2067</v>
      </c>
      <c r="C5" s="5" t="s">
        <v>2068</v>
      </c>
      <c r="D5" s="6" t="s">
        <v>2069</v>
      </c>
      <c r="E5" s="6" t="s">
        <v>2070</v>
      </c>
      <c r="F5" s="5" t="s">
        <v>2066</v>
      </c>
    </row>
    <row r="6" customFormat="false" ht="23.25" hidden="false" customHeight="true" outlineLevel="0" collapsed="false">
      <c r="A6" s="5" t="s">
        <v>1375</v>
      </c>
      <c r="B6" s="5" t="s">
        <v>2062</v>
      </c>
      <c r="C6" s="5" t="s">
        <v>2071</v>
      </c>
      <c r="D6" s="6" t="s">
        <v>2072</v>
      </c>
      <c r="E6" s="6" t="s">
        <v>2073</v>
      </c>
      <c r="F6" s="5" t="s">
        <v>2066</v>
      </c>
    </row>
    <row r="7" customFormat="false" ht="23.25" hidden="false" customHeight="true" outlineLevel="0" collapsed="false">
      <c r="A7" s="5" t="s">
        <v>1379</v>
      </c>
      <c r="B7" s="5" t="s">
        <v>2067</v>
      </c>
      <c r="C7" s="5" t="s">
        <v>2074</v>
      </c>
      <c r="D7" s="6" t="s">
        <v>2075</v>
      </c>
      <c r="E7" s="6" t="s">
        <v>2076</v>
      </c>
      <c r="F7" s="5" t="s">
        <v>2066</v>
      </c>
    </row>
    <row r="8" customFormat="false" ht="23.25" hidden="false" customHeight="true" outlineLevel="0" collapsed="false">
      <c r="A8" s="5" t="s">
        <v>1383</v>
      </c>
      <c r="B8" s="5" t="s">
        <v>2067</v>
      </c>
      <c r="C8" s="5" t="s">
        <v>2077</v>
      </c>
      <c r="D8" s="6" t="s">
        <v>2078</v>
      </c>
      <c r="E8" s="6" t="s">
        <v>2079</v>
      </c>
      <c r="F8" s="5" t="s">
        <v>2066</v>
      </c>
    </row>
    <row r="9" customFormat="false" ht="45.75" hidden="false" customHeight="true" outlineLevel="0" collapsed="false">
      <c r="A9" s="5" t="s">
        <v>1387</v>
      </c>
      <c r="B9" s="5" t="s">
        <v>2080</v>
      </c>
      <c r="C9" s="5" t="s">
        <v>2081</v>
      </c>
      <c r="D9" s="6" t="s">
        <v>2082</v>
      </c>
      <c r="E9" s="6" t="s">
        <v>2083</v>
      </c>
      <c r="F9" s="5" t="s">
        <v>2066</v>
      </c>
    </row>
    <row r="10" customFormat="false" ht="34.5" hidden="false" customHeight="true" outlineLevel="0" collapsed="false">
      <c r="A10" s="5" t="s">
        <v>1391</v>
      </c>
      <c r="B10" s="5" t="s">
        <v>2062</v>
      </c>
      <c r="C10" s="5" t="s">
        <v>2081</v>
      </c>
      <c r="D10" s="6" t="s">
        <v>2084</v>
      </c>
      <c r="E10" s="6" t="s">
        <v>2085</v>
      </c>
      <c r="F10" s="5" t="s">
        <v>2066</v>
      </c>
    </row>
    <row r="11" customFormat="false" ht="34.5" hidden="false" customHeight="true" outlineLevel="0" collapsed="false">
      <c r="A11" s="5" t="s">
        <v>1395</v>
      </c>
      <c r="B11" s="5" t="s">
        <v>2062</v>
      </c>
      <c r="C11" s="5" t="s">
        <v>2086</v>
      </c>
      <c r="D11" s="6" t="s">
        <v>2087</v>
      </c>
      <c r="E11" s="6" t="s">
        <v>2088</v>
      </c>
      <c r="F11" s="5" t="s">
        <v>2066</v>
      </c>
    </row>
    <row r="12" customFormat="false" ht="23.25" hidden="false" customHeight="true" outlineLevel="0" collapsed="false">
      <c r="A12" s="5" t="s">
        <v>2089</v>
      </c>
      <c r="B12" s="5" t="s">
        <v>2090</v>
      </c>
      <c r="C12" s="5" t="s">
        <v>2091</v>
      </c>
      <c r="D12" s="6" t="s">
        <v>2092</v>
      </c>
      <c r="E12" s="6" t="s">
        <v>2093</v>
      </c>
      <c r="F12" s="5" t="s">
        <v>2094</v>
      </c>
    </row>
    <row r="13" customFormat="false" ht="45.75" hidden="false" customHeight="true" outlineLevel="0" collapsed="false">
      <c r="A13" s="5" t="s">
        <v>1409</v>
      </c>
      <c r="B13" s="5" t="s">
        <v>2095</v>
      </c>
      <c r="C13" s="5" t="s">
        <v>2096</v>
      </c>
      <c r="D13" s="6" t="s">
        <v>2097</v>
      </c>
      <c r="E13" s="6" t="s">
        <v>2098</v>
      </c>
      <c r="F13" s="5" t="s">
        <v>2099</v>
      </c>
    </row>
    <row r="14" customFormat="false" ht="45.75" hidden="false" customHeight="true" outlineLevel="0" collapsed="false">
      <c r="A14" s="5" t="s">
        <v>1416</v>
      </c>
      <c r="B14" s="5" t="s">
        <v>2095</v>
      </c>
      <c r="C14" s="5" t="s">
        <v>2100</v>
      </c>
      <c r="D14" s="6" t="s">
        <v>2101</v>
      </c>
      <c r="E14" s="6" t="s">
        <v>2102</v>
      </c>
      <c r="F14" s="5" t="s">
        <v>2099</v>
      </c>
    </row>
    <row r="15" customFormat="false" ht="23.25" hidden="false" customHeight="true" outlineLevel="0" collapsed="false">
      <c r="A15" s="5" t="s">
        <v>1423</v>
      </c>
      <c r="B15" s="5" t="s">
        <v>2062</v>
      </c>
      <c r="C15" s="5" t="s">
        <v>2103</v>
      </c>
      <c r="D15" s="6" t="s">
        <v>2104</v>
      </c>
      <c r="E15" s="6" t="s">
        <v>2105</v>
      </c>
      <c r="F15" s="5" t="s">
        <v>2099</v>
      </c>
    </row>
    <row r="16" customFormat="false" ht="23.25" hidden="false" customHeight="true" outlineLevel="0" collapsed="false">
      <c r="A16" s="5" t="s">
        <v>1427</v>
      </c>
      <c r="B16" s="5" t="s">
        <v>2067</v>
      </c>
      <c r="C16" s="5" t="s">
        <v>2106</v>
      </c>
      <c r="D16" s="6" t="s">
        <v>2107</v>
      </c>
      <c r="E16" s="6" t="s">
        <v>2108</v>
      </c>
      <c r="F16" s="5" t="s">
        <v>2099</v>
      </c>
    </row>
    <row r="17" customFormat="false" ht="34.5" hidden="false" customHeight="true" outlineLevel="0" collapsed="false">
      <c r="A17" s="5" t="s">
        <v>1431</v>
      </c>
      <c r="B17" s="5" t="s">
        <v>2067</v>
      </c>
      <c r="C17" s="5" t="s">
        <v>2109</v>
      </c>
      <c r="D17" s="6" t="s">
        <v>2110</v>
      </c>
      <c r="E17" s="6" t="s">
        <v>2111</v>
      </c>
      <c r="F17" s="5" t="s">
        <v>2099</v>
      </c>
    </row>
    <row r="18" customFormat="false" ht="45.75" hidden="false" customHeight="true" outlineLevel="0" collapsed="false">
      <c r="A18" s="5" t="s">
        <v>1444</v>
      </c>
      <c r="B18" s="5" t="s">
        <v>2095</v>
      </c>
      <c r="C18" s="5" t="s">
        <v>2112</v>
      </c>
      <c r="D18" s="6" t="s">
        <v>2113</v>
      </c>
      <c r="E18" s="6" t="s">
        <v>2114</v>
      </c>
      <c r="F18" s="5" t="s">
        <v>2115</v>
      </c>
    </row>
    <row r="19" customFormat="false" ht="34.5" hidden="false" customHeight="true" outlineLevel="0" collapsed="false">
      <c r="A19" s="5" t="s">
        <v>1448</v>
      </c>
      <c r="B19" s="5" t="s">
        <v>2095</v>
      </c>
      <c r="C19" s="5" t="s">
        <v>2116</v>
      </c>
      <c r="D19" s="6" t="s">
        <v>2117</v>
      </c>
      <c r="E19" s="6" t="s">
        <v>2118</v>
      </c>
      <c r="F19" s="5" t="s">
        <v>2115</v>
      </c>
    </row>
    <row r="20" customFormat="false" ht="23.25" hidden="false" customHeight="true" outlineLevel="0" collapsed="false">
      <c r="A20" s="5" t="s">
        <v>1452</v>
      </c>
      <c r="B20" s="5" t="s">
        <v>2062</v>
      </c>
      <c r="C20" s="5" t="s">
        <v>2119</v>
      </c>
      <c r="D20" s="6" t="s">
        <v>2120</v>
      </c>
      <c r="E20" s="6" t="s">
        <v>2121</v>
      </c>
      <c r="F20" s="5" t="s">
        <v>2115</v>
      </c>
    </row>
    <row r="21" customFormat="false" ht="23.25" hidden="false" customHeight="true" outlineLevel="0" collapsed="false">
      <c r="A21" s="5" t="s">
        <v>1456</v>
      </c>
      <c r="B21" s="5" t="s">
        <v>2067</v>
      </c>
      <c r="C21" s="5" t="s">
        <v>2122</v>
      </c>
      <c r="D21" s="6" t="s">
        <v>2123</v>
      </c>
      <c r="E21" s="6" t="s">
        <v>2124</v>
      </c>
      <c r="F21" s="5" t="s">
        <v>2115</v>
      </c>
    </row>
    <row r="22" customFormat="false" ht="34.5" hidden="false" customHeight="true" outlineLevel="0" collapsed="false">
      <c r="A22" s="5" t="s">
        <v>1464</v>
      </c>
      <c r="B22" s="5" t="s">
        <v>2090</v>
      </c>
      <c r="C22" s="5" t="s">
        <v>2125</v>
      </c>
      <c r="D22" s="6" t="s">
        <v>2126</v>
      </c>
      <c r="E22" s="6" t="s">
        <v>2127</v>
      </c>
      <c r="F22" s="5" t="s">
        <v>2094</v>
      </c>
    </row>
    <row r="23" customFormat="false" ht="45.75" hidden="false" customHeight="true" outlineLevel="0" collapsed="false">
      <c r="A23" s="5" t="s">
        <v>1485</v>
      </c>
      <c r="B23" s="5" t="s">
        <v>2062</v>
      </c>
      <c r="C23" s="5" t="s">
        <v>2128</v>
      </c>
      <c r="D23" s="6" t="s">
        <v>2129</v>
      </c>
      <c r="E23" s="6" t="s">
        <v>2130</v>
      </c>
      <c r="F23" s="5" t="s">
        <v>2131</v>
      </c>
    </row>
    <row r="24" customFormat="false" ht="34.5" hidden="false" customHeight="true" outlineLevel="0" collapsed="false">
      <c r="A24" s="5" t="s">
        <v>1477</v>
      </c>
      <c r="B24" s="5" t="s">
        <v>2132</v>
      </c>
      <c r="C24" s="5" t="s">
        <v>2133</v>
      </c>
      <c r="D24" s="6" t="s">
        <v>2134</v>
      </c>
      <c r="E24" s="6" t="s">
        <v>2135</v>
      </c>
      <c r="F24" s="5" t="s">
        <v>2136</v>
      </c>
    </row>
    <row r="25" customFormat="false" ht="34.5" hidden="false" customHeight="true" outlineLevel="0" collapsed="false">
      <c r="A25" s="5" t="s">
        <v>1473</v>
      </c>
      <c r="B25" s="5" t="s">
        <v>2132</v>
      </c>
      <c r="C25" s="5" t="s">
        <v>2137</v>
      </c>
      <c r="D25" s="6" t="s">
        <v>2138</v>
      </c>
      <c r="E25" s="6" t="s">
        <v>2139</v>
      </c>
      <c r="F25" s="5" t="s">
        <v>2136</v>
      </c>
    </row>
    <row r="26" customFormat="false" ht="34.5" hidden="false" customHeight="true" outlineLevel="0" collapsed="false">
      <c r="A26" s="5" t="s">
        <v>1481</v>
      </c>
      <c r="B26" s="5" t="s">
        <v>2132</v>
      </c>
      <c r="C26" s="5" t="s">
        <v>2140</v>
      </c>
      <c r="D26" s="6" t="s">
        <v>2141</v>
      </c>
      <c r="E26" s="6" t="s">
        <v>2142</v>
      </c>
      <c r="F26" s="5" t="s">
        <v>2136</v>
      </c>
    </row>
    <row r="27" customFormat="false" ht="45.75" hidden="false" customHeight="true" outlineLevel="0" collapsed="false">
      <c r="A27" s="5" t="s">
        <v>1477</v>
      </c>
      <c r="B27" s="5" t="s">
        <v>2132</v>
      </c>
      <c r="C27" s="5" t="s">
        <v>2143</v>
      </c>
      <c r="D27" s="6" t="s">
        <v>2144</v>
      </c>
      <c r="E27" s="6" t="s">
        <v>2145</v>
      </c>
      <c r="F27" s="5" t="s">
        <v>2146</v>
      </c>
    </row>
    <row r="28" customFormat="false" ht="45.75" hidden="false" customHeight="true" outlineLevel="0" collapsed="false">
      <c r="A28" s="5" t="s">
        <v>1481</v>
      </c>
      <c r="B28" s="5" t="s">
        <v>2132</v>
      </c>
      <c r="C28" s="5" t="s">
        <v>2147</v>
      </c>
      <c r="D28" s="6" t="s">
        <v>2148</v>
      </c>
      <c r="E28" s="6" t="s">
        <v>2149</v>
      </c>
      <c r="F28" s="5" t="s">
        <v>2146</v>
      </c>
    </row>
    <row r="29" customFormat="false" ht="68.25" hidden="false" customHeight="true" outlineLevel="0" collapsed="false">
      <c r="A29" s="5" t="s">
        <v>1525</v>
      </c>
      <c r="B29" s="5" t="s">
        <v>2095</v>
      </c>
      <c r="C29" s="5" t="s">
        <v>2150</v>
      </c>
      <c r="D29" s="6" t="s">
        <v>2151</v>
      </c>
      <c r="E29" s="6" t="s">
        <v>2152</v>
      </c>
      <c r="F29" s="5" t="s">
        <v>2153</v>
      </c>
    </row>
    <row r="30" customFormat="false" ht="68.25" hidden="false" customHeight="true" outlineLevel="0" collapsed="false">
      <c r="A30" s="5" t="s">
        <v>1554</v>
      </c>
      <c r="B30" s="5" t="s">
        <v>2095</v>
      </c>
      <c r="C30" s="5" t="s">
        <v>2154</v>
      </c>
      <c r="D30" s="6" t="s">
        <v>2155</v>
      </c>
      <c r="E30" s="6" t="s">
        <v>2156</v>
      </c>
      <c r="F30" s="5" t="s">
        <v>2157</v>
      </c>
    </row>
    <row r="31" customFormat="false" ht="45.75" hidden="false" customHeight="true" outlineLevel="0" collapsed="false">
      <c r="A31" s="5" t="s">
        <v>2158</v>
      </c>
      <c r="B31" s="5" t="s">
        <v>2159</v>
      </c>
      <c r="C31" s="5" t="s">
        <v>2160</v>
      </c>
      <c r="D31" s="6" t="s">
        <v>2161</v>
      </c>
      <c r="E31" s="6" t="s">
        <v>2162</v>
      </c>
      <c r="F31" s="5" t="s">
        <v>2163</v>
      </c>
    </row>
    <row r="32" customFormat="false" ht="57" hidden="false" customHeight="true" outlineLevel="0" collapsed="false">
      <c r="A32" s="5" t="s">
        <v>1584</v>
      </c>
      <c r="B32" s="5" t="s">
        <v>2062</v>
      </c>
      <c r="C32" s="5" t="s">
        <v>2164</v>
      </c>
      <c r="D32" s="6" t="s">
        <v>2165</v>
      </c>
      <c r="E32" s="6" t="s">
        <v>2166</v>
      </c>
      <c r="F32" s="5" t="s">
        <v>2167</v>
      </c>
    </row>
    <row r="33" customFormat="false" ht="34.5" hidden="false" customHeight="true" outlineLevel="0" collapsed="false">
      <c r="A33" s="5" t="s">
        <v>1603</v>
      </c>
      <c r="B33" s="5" t="s">
        <v>2132</v>
      </c>
      <c r="C33" s="5" t="s">
        <v>2168</v>
      </c>
      <c r="D33" s="6" t="s">
        <v>2169</v>
      </c>
      <c r="E33" s="6" t="s">
        <v>2170</v>
      </c>
      <c r="F33" s="5" t="s">
        <v>2171</v>
      </c>
    </row>
    <row r="34" customFormat="false" ht="57" hidden="false" customHeight="true" outlineLevel="0" collapsed="false">
      <c r="A34" s="5" t="s">
        <v>1603</v>
      </c>
      <c r="B34" s="5" t="s">
        <v>2172</v>
      </c>
      <c r="C34" s="5" t="s">
        <v>2173</v>
      </c>
      <c r="D34" s="6" t="s">
        <v>2174</v>
      </c>
      <c r="E34" s="6" t="s">
        <v>2175</v>
      </c>
      <c r="F34" s="5" t="s">
        <v>2176</v>
      </c>
    </row>
    <row r="35" customFormat="false" ht="68.25" hidden="false" customHeight="true" outlineLevel="0" collapsed="false">
      <c r="A35" s="5" t="s">
        <v>1667</v>
      </c>
      <c r="B35" s="5" t="s">
        <v>2177</v>
      </c>
      <c r="C35" s="5" t="s">
        <v>2081</v>
      </c>
      <c r="D35" s="6" t="s">
        <v>2178</v>
      </c>
      <c r="E35" s="6" t="s">
        <v>2179</v>
      </c>
      <c r="F35" s="5" t="s">
        <v>2180</v>
      </c>
    </row>
    <row r="36" customFormat="false" ht="57" hidden="false" customHeight="true" outlineLevel="0" collapsed="false">
      <c r="A36" s="5" t="s">
        <v>1683</v>
      </c>
      <c r="B36" s="5" t="s">
        <v>2177</v>
      </c>
      <c r="C36" s="5" t="s">
        <v>2181</v>
      </c>
      <c r="D36" s="6" t="s">
        <v>2182</v>
      </c>
      <c r="E36" s="6" t="s">
        <v>2183</v>
      </c>
      <c r="F36" s="5" t="s">
        <v>2180</v>
      </c>
    </row>
    <row r="37" customFormat="false" ht="34.5" hidden="false" customHeight="true" outlineLevel="0" collapsed="false">
      <c r="A37" s="5" t="s">
        <v>1687</v>
      </c>
      <c r="B37" s="5" t="s">
        <v>2177</v>
      </c>
      <c r="C37" s="5" t="s">
        <v>2184</v>
      </c>
      <c r="D37" s="6" t="s">
        <v>2185</v>
      </c>
      <c r="E37" s="6" t="s">
        <v>2186</v>
      </c>
      <c r="F37" s="5" t="s">
        <v>2180</v>
      </c>
    </row>
    <row r="38" customFormat="false" ht="34.5" hidden="false" customHeight="true" outlineLevel="0" collapsed="false">
      <c r="A38" s="5" t="s">
        <v>2187</v>
      </c>
      <c r="B38" s="5" t="s">
        <v>2188</v>
      </c>
      <c r="C38" s="5" t="s">
        <v>2189</v>
      </c>
      <c r="D38" s="6" t="s">
        <v>2190</v>
      </c>
      <c r="E38" s="6" t="s">
        <v>2191</v>
      </c>
      <c r="F38" s="5" t="s">
        <v>2192</v>
      </c>
    </row>
    <row r="39" customFormat="false" ht="45.75" hidden="false" customHeight="true" outlineLevel="0" collapsed="false">
      <c r="A39" s="5" t="s">
        <v>1700</v>
      </c>
      <c r="B39" s="5" t="s">
        <v>2062</v>
      </c>
      <c r="C39" s="5" t="s">
        <v>2193</v>
      </c>
      <c r="D39" s="6" t="s">
        <v>2194</v>
      </c>
      <c r="E39" s="6" t="s">
        <v>2195</v>
      </c>
      <c r="F39" s="5" t="s">
        <v>2196</v>
      </c>
    </row>
    <row r="40" customFormat="false" ht="57" hidden="false" customHeight="true" outlineLevel="0" collapsed="false">
      <c r="A40" s="5" t="s">
        <v>1710</v>
      </c>
      <c r="B40" s="5" t="s">
        <v>2062</v>
      </c>
      <c r="C40" s="5" t="s">
        <v>2193</v>
      </c>
      <c r="D40" s="6" t="s">
        <v>2197</v>
      </c>
      <c r="E40" s="6" t="s">
        <v>2198</v>
      </c>
      <c r="F40" s="5" t="s">
        <v>2196</v>
      </c>
    </row>
    <row r="41" customFormat="false" ht="45.75" hidden="false" customHeight="true" outlineLevel="0" collapsed="false">
      <c r="A41" s="5" t="s">
        <v>1717</v>
      </c>
      <c r="B41" s="5" t="s">
        <v>2199</v>
      </c>
      <c r="C41" s="5" t="s">
        <v>2200</v>
      </c>
      <c r="D41" s="6" t="s">
        <v>2201</v>
      </c>
      <c r="E41" s="6" t="s">
        <v>2202</v>
      </c>
      <c r="F41" s="5" t="s">
        <v>2203</v>
      </c>
    </row>
    <row r="42" customFormat="false" ht="79.5" hidden="false" customHeight="true" outlineLevel="0" collapsed="false">
      <c r="A42" s="5" t="s">
        <v>1731</v>
      </c>
      <c r="B42" s="5" t="s">
        <v>2095</v>
      </c>
      <c r="C42" s="5" t="s">
        <v>2204</v>
      </c>
      <c r="D42" s="6" t="s">
        <v>2205</v>
      </c>
      <c r="E42" s="6" t="s">
        <v>2206</v>
      </c>
      <c r="F42" s="5" t="s">
        <v>2207</v>
      </c>
    </row>
    <row r="43" customFormat="false" ht="68.25" hidden="false" customHeight="true" outlineLevel="0" collapsed="false">
      <c r="A43" s="5" t="s">
        <v>1760</v>
      </c>
      <c r="B43" s="5" t="s">
        <v>2095</v>
      </c>
      <c r="C43" s="5" t="s">
        <v>2063</v>
      </c>
      <c r="D43" s="6" t="s">
        <v>2208</v>
      </c>
      <c r="E43" s="6" t="s">
        <v>2209</v>
      </c>
      <c r="F43" s="5" t="s">
        <v>2210</v>
      </c>
    </row>
    <row r="44" customFormat="false" ht="23.25" hidden="false" customHeight="true" outlineLevel="0" collapsed="false">
      <c r="A44" s="5" t="s">
        <v>1773</v>
      </c>
      <c r="B44" s="5" t="s">
        <v>2211</v>
      </c>
      <c r="C44" s="5" t="s">
        <v>2212</v>
      </c>
      <c r="D44" s="6" t="s">
        <v>2213</v>
      </c>
      <c r="E44" s="6" t="s">
        <v>2214</v>
      </c>
      <c r="F44" s="5" t="s">
        <v>2215</v>
      </c>
    </row>
    <row r="45" customFormat="false" ht="45.75" hidden="false" customHeight="true" outlineLevel="0" collapsed="false">
      <c r="A45" s="5" t="s">
        <v>1786</v>
      </c>
      <c r="B45" s="5" t="s">
        <v>2095</v>
      </c>
      <c r="C45" s="5" t="s">
        <v>2216</v>
      </c>
      <c r="D45" s="6" t="s">
        <v>2217</v>
      </c>
      <c r="E45" s="6" t="s">
        <v>2218</v>
      </c>
      <c r="F45" s="5" t="s">
        <v>2219</v>
      </c>
    </row>
    <row r="46" customFormat="false" ht="34.5" hidden="false" customHeight="true" outlineLevel="0" collapsed="false">
      <c r="A46" s="5" t="s">
        <v>1793</v>
      </c>
      <c r="B46" s="5" t="s">
        <v>2095</v>
      </c>
      <c r="C46" s="5" t="s">
        <v>2216</v>
      </c>
      <c r="D46" s="6" t="s">
        <v>2220</v>
      </c>
      <c r="E46" s="6" t="s">
        <v>2221</v>
      </c>
      <c r="F46" s="5" t="s">
        <v>2219</v>
      </c>
    </row>
    <row r="47" customFormat="false" ht="34.5" hidden="false" customHeight="true" outlineLevel="0" collapsed="false">
      <c r="A47" s="5" t="s">
        <v>1797</v>
      </c>
      <c r="B47" s="5" t="s">
        <v>2062</v>
      </c>
      <c r="C47" s="5" t="s">
        <v>2222</v>
      </c>
      <c r="D47" s="6" t="s">
        <v>2223</v>
      </c>
      <c r="E47" s="6" t="s">
        <v>2224</v>
      </c>
      <c r="F47" s="5" t="s">
        <v>2219</v>
      </c>
    </row>
    <row r="48" customFormat="false" ht="45.75" hidden="false" customHeight="true" outlineLevel="0" collapsed="false">
      <c r="A48" s="5" t="s">
        <v>1806</v>
      </c>
      <c r="B48" s="5" t="s">
        <v>2095</v>
      </c>
      <c r="C48" s="5" t="s">
        <v>2225</v>
      </c>
      <c r="D48" s="6" t="s">
        <v>2226</v>
      </c>
      <c r="E48" s="6" t="s">
        <v>2227</v>
      </c>
      <c r="F48" s="5" t="s">
        <v>2228</v>
      </c>
    </row>
    <row r="49" customFormat="false" ht="23.25" hidden="false" customHeight="true" outlineLevel="0" collapsed="false">
      <c r="A49" s="5" t="s">
        <v>1813</v>
      </c>
      <c r="B49" s="5" t="s">
        <v>2062</v>
      </c>
      <c r="C49" s="5" t="s">
        <v>2229</v>
      </c>
      <c r="D49" s="6" t="s">
        <v>2230</v>
      </c>
      <c r="E49" s="6" t="s">
        <v>2231</v>
      </c>
      <c r="F49" s="5" t="s">
        <v>2228</v>
      </c>
    </row>
    <row r="50" customFormat="false" ht="34.5" hidden="false" customHeight="true" outlineLevel="0" collapsed="false">
      <c r="A50" s="5" t="s">
        <v>1817</v>
      </c>
      <c r="B50" s="5" t="s">
        <v>2062</v>
      </c>
      <c r="C50" s="5" t="s">
        <v>2232</v>
      </c>
      <c r="D50" s="6" t="s">
        <v>2233</v>
      </c>
      <c r="E50" s="6" t="s">
        <v>2234</v>
      </c>
      <c r="F50" s="5" t="s">
        <v>2228</v>
      </c>
    </row>
    <row r="51" customFormat="false" ht="34.5" hidden="false" customHeight="true" outlineLevel="0" collapsed="false">
      <c r="A51" s="5" t="s">
        <v>1821</v>
      </c>
      <c r="B51" s="5" t="s">
        <v>2062</v>
      </c>
      <c r="C51" s="5" t="s">
        <v>2235</v>
      </c>
      <c r="D51" s="6" t="s">
        <v>2236</v>
      </c>
      <c r="E51" s="6" t="s">
        <v>2237</v>
      </c>
      <c r="F51" s="5" t="s">
        <v>2228</v>
      </c>
    </row>
    <row r="52" customFormat="false" ht="90.75" hidden="false" customHeight="true" outlineLevel="0" collapsed="false">
      <c r="A52" s="5" t="s">
        <v>1838</v>
      </c>
      <c r="B52" s="5" t="s">
        <v>2238</v>
      </c>
      <c r="C52" s="5" t="s">
        <v>2239</v>
      </c>
      <c r="D52" s="6" t="s">
        <v>2240</v>
      </c>
      <c r="E52" s="6" t="s">
        <v>2241</v>
      </c>
      <c r="F52" s="5" t="s">
        <v>2242</v>
      </c>
    </row>
    <row r="53" customFormat="false" ht="68.25" hidden="false" customHeight="true" outlineLevel="0" collapsed="false">
      <c r="A53" s="5" t="s">
        <v>1862</v>
      </c>
      <c r="B53" s="5" t="s">
        <v>2095</v>
      </c>
      <c r="C53" s="5" t="s">
        <v>2225</v>
      </c>
      <c r="D53" s="6" t="s">
        <v>2243</v>
      </c>
      <c r="E53" s="6" t="s">
        <v>2244</v>
      </c>
      <c r="F53" s="5" t="s">
        <v>2245</v>
      </c>
    </row>
    <row r="54" customFormat="false" ht="57" hidden="false" customHeight="true" outlineLevel="0" collapsed="false">
      <c r="A54" s="5" t="s">
        <v>1872</v>
      </c>
      <c r="B54" s="5" t="s">
        <v>2062</v>
      </c>
      <c r="C54" s="5" t="s">
        <v>2246</v>
      </c>
      <c r="D54" s="6" t="s">
        <v>2247</v>
      </c>
      <c r="E54" s="6" t="s">
        <v>2248</v>
      </c>
      <c r="F54" s="5" t="s">
        <v>2245</v>
      </c>
    </row>
    <row r="55" customFormat="false" ht="45.75" hidden="false" customHeight="true" outlineLevel="0" collapsed="false">
      <c r="A55" s="5" t="s">
        <v>1885</v>
      </c>
      <c r="B55" s="5" t="s">
        <v>2062</v>
      </c>
      <c r="C55" s="5" t="s">
        <v>2249</v>
      </c>
      <c r="D55" s="6" t="s">
        <v>2250</v>
      </c>
      <c r="E55" s="6" t="s">
        <v>2251</v>
      </c>
      <c r="F55" s="5" t="s">
        <v>2252</v>
      </c>
    </row>
    <row r="56" customFormat="false" ht="79.5" hidden="false" customHeight="true" outlineLevel="0" collapsed="false">
      <c r="A56" s="5" t="s">
        <v>1885</v>
      </c>
      <c r="B56" s="5" t="s">
        <v>2238</v>
      </c>
      <c r="C56" s="5" t="s">
        <v>2253</v>
      </c>
      <c r="D56" s="6" t="s">
        <v>2254</v>
      </c>
      <c r="E56" s="6" t="s">
        <v>2255</v>
      </c>
      <c r="F56" s="5" t="s">
        <v>2256</v>
      </c>
    </row>
    <row r="57" customFormat="false" ht="15" hidden="false" customHeight="true" outlineLevel="0" collapsed="false">
      <c r="A57" s="5" t="s">
        <v>1908</v>
      </c>
      <c r="B57" s="5" t="s">
        <v>2238</v>
      </c>
      <c r="C57" s="5" t="s">
        <v>2257</v>
      </c>
      <c r="D57" s="6" t="s">
        <v>2258</v>
      </c>
      <c r="E57" s="6" t="s">
        <v>2259</v>
      </c>
      <c r="F57" s="5" t="s">
        <v>2256</v>
      </c>
    </row>
    <row r="58" customFormat="false" ht="45.75" hidden="false" customHeight="true" outlineLevel="0" collapsed="false">
      <c r="A58" s="5" t="s">
        <v>1924</v>
      </c>
      <c r="B58" s="5" t="s">
        <v>2095</v>
      </c>
      <c r="C58" s="5" t="s">
        <v>2260</v>
      </c>
      <c r="D58" s="6" t="s">
        <v>2261</v>
      </c>
      <c r="E58" s="6" t="s">
        <v>2262</v>
      </c>
      <c r="F58" s="5" t="s">
        <v>2263</v>
      </c>
    </row>
    <row r="59" customFormat="false" ht="34.5" hidden="false" customHeight="true" outlineLevel="0" collapsed="false">
      <c r="A59" s="5" t="s">
        <v>1928</v>
      </c>
      <c r="B59" s="5" t="s">
        <v>2062</v>
      </c>
      <c r="C59" s="5" t="s">
        <v>2264</v>
      </c>
      <c r="D59" s="6" t="s">
        <v>2265</v>
      </c>
      <c r="E59" s="6" t="s">
        <v>2266</v>
      </c>
      <c r="F59" s="5" t="s">
        <v>2263</v>
      </c>
    </row>
    <row r="60" customFormat="false" ht="23.25" hidden="false" customHeight="true" outlineLevel="0" collapsed="false">
      <c r="A60" s="5" t="s">
        <v>1932</v>
      </c>
      <c r="B60" s="5" t="s">
        <v>2067</v>
      </c>
      <c r="C60" s="5" t="s">
        <v>2267</v>
      </c>
      <c r="D60" s="6" t="s">
        <v>2268</v>
      </c>
      <c r="E60" s="6" t="s">
        <v>2269</v>
      </c>
      <c r="F60" s="5" t="s">
        <v>2263</v>
      </c>
    </row>
    <row r="61" customFormat="false" ht="57" hidden="false" customHeight="true" outlineLevel="0" collapsed="false">
      <c r="A61" s="5" t="s">
        <v>1936</v>
      </c>
      <c r="B61" s="5" t="s">
        <v>2159</v>
      </c>
      <c r="C61" s="5" t="s">
        <v>2270</v>
      </c>
      <c r="D61" s="6" t="s">
        <v>2271</v>
      </c>
      <c r="E61" s="6" t="s">
        <v>2272</v>
      </c>
      <c r="F61" s="5" t="s">
        <v>2163</v>
      </c>
    </row>
    <row r="62" customFormat="false" ht="45.75" hidden="false" customHeight="true" outlineLevel="0" collapsed="false">
      <c r="A62" s="5" t="s">
        <v>1936</v>
      </c>
      <c r="B62" s="5" t="s">
        <v>2238</v>
      </c>
      <c r="C62" s="5" t="s">
        <v>2273</v>
      </c>
      <c r="D62" s="6" t="s">
        <v>2274</v>
      </c>
      <c r="E62" s="6" t="s">
        <v>2275</v>
      </c>
      <c r="F62" s="5" t="s">
        <v>2276</v>
      </c>
    </row>
    <row r="63" customFormat="false" ht="68.25" hidden="false" customHeight="true" outlineLevel="0" collapsed="false">
      <c r="A63" s="5" t="s">
        <v>1940</v>
      </c>
      <c r="B63" s="5" t="s">
        <v>2238</v>
      </c>
      <c r="C63" s="5" t="s">
        <v>2277</v>
      </c>
      <c r="D63" s="6" t="s">
        <v>2278</v>
      </c>
      <c r="E63" s="6" t="s">
        <v>2279</v>
      </c>
      <c r="F63" s="5" t="s">
        <v>2276</v>
      </c>
    </row>
    <row r="64" customFormat="false" ht="34.5" hidden="false" customHeight="true" outlineLevel="0" collapsed="false">
      <c r="A64" s="5" t="s">
        <v>1974</v>
      </c>
      <c r="B64" s="5" t="s">
        <v>2067</v>
      </c>
      <c r="C64" s="5" t="s">
        <v>2232</v>
      </c>
      <c r="D64" s="6" t="s">
        <v>2280</v>
      </c>
      <c r="E64" s="6" t="s">
        <v>2281</v>
      </c>
      <c r="F64" s="5" t="s">
        <v>2282</v>
      </c>
    </row>
    <row r="65" customFormat="false" ht="102" hidden="false" customHeight="true" outlineLevel="0" collapsed="false">
      <c r="A65" s="5" t="s">
        <v>1970</v>
      </c>
      <c r="B65" s="5" t="s">
        <v>2283</v>
      </c>
      <c r="C65" s="5" t="s">
        <v>2284</v>
      </c>
      <c r="D65" s="6" t="s">
        <v>2285</v>
      </c>
      <c r="E65" s="6" t="s">
        <v>2286</v>
      </c>
      <c r="F65" s="5" t="s">
        <v>2287</v>
      </c>
    </row>
    <row r="66" customFormat="false" ht="68.25" hidden="false" customHeight="true" outlineLevel="0" collapsed="false">
      <c r="A66" s="5" t="s">
        <v>1259</v>
      </c>
      <c r="B66" s="5" t="s">
        <v>2288</v>
      </c>
      <c r="C66" s="5" t="s">
        <v>2103</v>
      </c>
      <c r="D66" s="6" t="s">
        <v>2289</v>
      </c>
      <c r="E66" s="6" t="s">
        <v>2290</v>
      </c>
      <c r="F66" s="5" t="s">
        <v>2291</v>
      </c>
    </row>
    <row r="67" customFormat="false" ht="45.75" hidden="false" customHeight="true" outlineLevel="0" collapsed="false">
      <c r="A67" s="5" t="s">
        <v>2000</v>
      </c>
      <c r="B67" s="5" t="s">
        <v>2211</v>
      </c>
      <c r="C67" s="5" t="s">
        <v>2106</v>
      </c>
      <c r="D67" s="6" t="s">
        <v>2292</v>
      </c>
      <c r="E67" s="6" t="s">
        <v>2293</v>
      </c>
      <c r="F67" s="5" t="s">
        <v>2294</v>
      </c>
    </row>
    <row r="68" customFormat="false" ht="34.5" hidden="false" customHeight="true" outlineLevel="0" collapsed="false">
      <c r="A68" s="5" t="s">
        <v>1996</v>
      </c>
      <c r="B68" s="5" t="s">
        <v>2295</v>
      </c>
      <c r="C68" s="5" t="s">
        <v>2296</v>
      </c>
      <c r="D68" s="6" t="s">
        <v>2297</v>
      </c>
      <c r="E68" s="6" t="s">
        <v>2298</v>
      </c>
      <c r="F68" s="5" t="s">
        <v>2299</v>
      </c>
    </row>
    <row r="69" customFormat="false" ht="23.85" hidden="false" customHeight="false" outlineLevel="0" collapsed="false">
      <c r="A69" s="7" t="s">
        <v>652</v>
      </c>
      <c r="B69" s="7" t="s">
        <v>2300</v>
      </c>
      <c r="C69" s="7" t="s">
        <v>2301</v>
      </c>
      <c r="D69" s="8" t="s">
        <v>2302</v>
      </c>
      <c r="E69" s="8" t="s">
        <v>2303</v>
      </c>
      <c r="F69" s="7" t="s">
        <v>2304</v>
      </c>
    </row>
    <row r="70" customFormat="false" ht="23.85" hidden="false" customHeight="false" outlineLevel="0" collapsed="false">
      <c r="A70" s="7" t="s">
        <v>670</v>
      </c>
      <c r="B70" s="7" t="s">
        <v>2300</v>
      </c>
      <c r="C70" s="7" t="s">
        <v>2305</v>
      </c>
      <c r="D70" s="8" t="s">
        <v>2306</v>
      </c>
      <c r="E70" s="8" t="s">
        <v>2307</v>
      </c>
      <c r="F70" s="7" t="s">
        <v>2304</v>
      </c>
    </row>
    <row r="71" customFormat="false" ht="23.85" hidden="false" customHeight="false" outlineLevel="0" collapsed="false">
      <c r="A71" s="7" t="s">
        <v>683</v>
      </c>
      <c r="B71" s="7" t="s">
        <v>2300</v>
      </c>
      <c r="C71" s="7" t="s">
        <v>2308</v>
      </c>
      <c r="D71" s="8" t="s">
        <v>2309</v>
      </c>
      <c r="E71" s="8" t="s">
        <v>2310</v>
      </c>
      <c r="F71" s="7" t="s">
        <v>2304</v>
      </c>
    </row>
    <row r="72" customFormat="false" ht="23.85" hidden="false" customHeight="false" outlineLevel="0" collapsed="false">
      <c r="A72" s="7" t="s">
        <v>690</v>
      </c>
      <c r="B72" s="7" t="s">
        <v>2300</v>
      </c>
      <c r="C72" s="7" t="s">
        <v>2311</v>
      </c>
      <c r="D72" s="8" t="s">
        <v>2312</v>
      </c>
      <c r="E72" s="8" t="s">
        <v>2313</v>
      </c>
      <c r="F72" s="7" t="s">
        <v>2304</v>
      </c>
    </row>
    <row r="73" customFormat="false" ht="23.85" hidden="false" customHeight="false" outlineLevel="0" collapsed="false">
      <c r="A73" s="7" t="s">
        <v>696</v>
      </c>
      <c r="B73" s="7" t="s">
        <v>2300</v>
      </c>
      <c r="C73" s="7" t="s">
        <v>2125</v>
      </c>
      <c r="D73" s="8" t="s">
        <v>2314</v>
      </c>
      <c r="E73" s="8" t="s">
        <v>2315</v>
      </c>
      <c r="F73" s="7" t="s">
        <v>2304</v>
      </c>
    </row>
    <row r="74" customFormat="false" ht="23.85" hidden="false" customHeight="false" outlineLevel="0" collapsed="false">
      <c r="A74" s="7" t="s">
        <v>702</v>
      </c>
      <c r="B74" s="7" t="s">
        <v>2300</v>
      </c>
      <c r="C74" s="7" t="s">
        <v>2181</v>
      </c>
      <c r="D74" s="8" t="s">
        <v>2316</v>
      </c>
      <c r="E74" s="8" t="s">
        <v>2317</v>
      </c>
      <c r="F74" s="7" t="s">
        <v>2304</v>
      </c>
    </row>
    <row r="75" customFormat="false" ht="23.85" hidden="false" customHeight="false" outlineLevel="0" collapsed="false">
      <c r="A75" s="7" t="s">
        <v>709</v>
      </c>
      <c r="B75" s="7" t="s">
        <v>2062</v>
      </c>
      <c r="C75" s="7" t="s">
        <v>2318</v>
      </c>
      <c r="D75" s="8" t="s">
        <v>2319</v>
      </c>
      <c r="E75" s="8" t="s">
        <v>2320</v>
      </c>
      <c r="F75" s="7" t="s">
        <v>2304</v>
      </c>
    </row>
    <row r="76" customFormat="false" ht="23.85" hidden="false" customHeight="false" outlineLevel="0" collapsed="false">
      <c r="A76" s="7" t="s">
        <v>739</v>
      </c>
      <c r="B76" s="7" t="s">
        <v>2062</v>
      </c>
      <c r="C76" s="7" t="s">
        <v>2321</v>
      </c>
      <c r="D76" s="8" t="s">
        <v>2322</v>
      </c>
      <c r="E76" s="8" t="s">
        <v>2323</v>
      </c>
      <c r="F76" s="7" t="s">
        <v>2304</v>
      </c>
    </row>
    <row r="77" customFormat="false" ht="35.05" hidden="false" customHeight="false" outlineLevel="0" collapsed="false">
      <c r="A77" s="7" t="s">
        <v>2324</v>
      </c>
      <c r="B77" s="7" t="s">
        <v>2325</v>
      </c>
      <c r="C77" s="7" t="s">
        <v>2326</v>
      </c>
      <c r="D77" s="8" t="s">
        <v>2327</v>
      </c>
      <c r="E77" s="8" t="s">
        <v>2328</v>
      </c>
      <c r="F77" s="7" t="s">
        <v>2329</v>
      </c>
    </row>
    <row r="78" customFormat="false" ht="23.85" hidden="false" customHeight="false" outlineLevel="0" collapsed="false">
      <c r="A78" s="7" t="s">
        <v>2330</v>
      </c>
      <c r="B78" s="7" t="s">
        <v>2325</v>
      </c>
      <c r="C78" s="7" t="s">
        <v>2270</v>
      </c>
      <c r="D78" s="8" t="s">
        <v>2331</v>
      </c>
      <c r="E78" s="8" t="s">
        <v>2332</v>
      </c>
      <c r="F78" s="7" t="s">
        <v>2329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30"/>
    <col collapsed="false" customWidth="true" hidden="false" outlineLevel="0" max="4" min="4" style="1" width="70"/>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2"/>
    <col collapsed="false" customWidth="true" hidden="false" outlineLevel="0" max="9" min="9" style="1" width="38"/>
    <col collapsed="false" customWidth="true" hidden="false" outlineLevel="0" max="10" min="10" style="1" width="14"/>
    <col collapsed="false" customWidth="true" hidden="false" outlineLevel="0" max="11" min="11" style="1" width="50"/>
    <col collapsed="false" customWidth="true" hidden="false" outlineLevel="0" max="12" min="12" style="0" width="58"/>
  </cols>
  <sheetData>
    <row r="1" customFormat="false" ht="15" hidden="false" customHeight="true" outlineLevel="0" collapsed="false">
      <c r="A1" s="2" t="s">
        <v>2333</v>
      </c>
    </row>
    <row r="2" customFormat="false" ht="15" hidden="false" customHeight="true" outlineLevel="0" collapsed="false">
      <c r="A2" s="3" t="s">
        <v>2334</v>
      </c>
    </row>
    <row r="3" customFormat="false" ht="15" hidden="false" customHeight="true" outlineLevel="0" collapsed="false">
      <c r="A3" s="4" t="s">
        <v>2335</v>
      </c>
      <c r="B3" s="4" t="s">
        <v>2336</v>
      </c>
      <c r="C3" s="4" t="s">
        <v>2337</v>
      </c>
      <c r="D3" s="4" t="s">
        <v>1612</v>
      </c>
      <c r="E3" s="4" t="s">
        <v>1031</v>
      </c>
      <c r="F3" s="4" t="s">
        <v>901</v>
      </c>
      <c r="G3" s="4" t="s">
        <v>104</v>
      </c>
      <c r="H3" s="4" t="s">
        <v>2338</v>
      </c>
      <c r="I3" s="4" t="s">
        <v>2339</v>
      </c>
      <c r="J3" s="4" t="s">
        <v>6</v>
      </c>
      <c r="K3" s="4" t="s">
        <v>2340</v>
      </c>
      <c r="L3" s="15" t="s">
        <v>2341</v>
      </c>
    </row>
    <row r="4" customFormat="false" ht="15" hidden="false" customHeight="true" outlineLevel="0" collapsed="false">
      <c r="A4" s="5" t="s">
        <v>2342</v>
      </c>
      <c r="B4" s="5" t="s">
        <v>2343</v>
      </c>
      <c r="C4" s="5" t="s">
        <v>2344</v>
      </c>
      <c r="D4" s="6" t="s">
        <v>2345</v>
      </c>
      <c r="E4" s="5" t="n">
        <v>5</v>
      </c>
      <c r="F4" s="5" t="s">
        <v>908</v>
      </c>
      <c r="G4" s="5" t="s">
        <v>2346</v>
      </c>
      <c r="H4" s="5" t="s">
        <v>2347</v>
      </c>
      <c r="I4" s="5" t="s">
        <v>2348</v>
      </c>
      <c r="J4" s="5" t="s">
        <v>1036</v>
      </c>
      <c r="K4" s="6" t="s">
        <v>2349</v>
      </c>
      <c r="L4" s="8" t="s">
        <v>2350</v>
      </c>
    </row>
    <row r="5" customFormat="false" ht="15" hidden="false" customHeight="true" outlineLevel="0" collapsed="false">
      <c r="A5" s="5" t="s">
        <v>2351</v>
      </c>
      <c r="B5" s="5" t="s">
        <v>2343</v>
      </c>
      <c r="C5" s="5" t="s">
        <v>2344</v>
      </c>
      <c r="D5" s="6" t="s">
        <v>2352</v>
      </c>
      <c r="E5" s="5" t="n">
        <v>8</v>
      </c>
      <c r="F5" s="5" t="s">
        <v>908</v>
      </c>
      <c r="G5" s="5" t="s">
        <v>2346</v>
      </c>
      <c r="H5" s="5" t="s">
        <v>2347</v>
      </c>
      <c r="I5" s="5" t="s">
        <v>2348</v>
      </c>
      <c r="J5" s="5" t="s">
        <v>1036</v>
      </c>
      <c r="K5" s="6" t="s">
        <v>2353</v>
      </c>
      <c r="L5" s="8" t="s">
        <v>2354</v>
      </c>
    </row>
    <row r="6" customFormat="false" ht="23.25" hidden="false" customHeight="true" outlineLevel="0" collapsed="false">
      <c r="A6" s="5" t="s">
        <v>2355</v>
      </c>
      <c r="B6" s="5" t="s">
        <v>2343</v>
      </c>
      <c r="C6" s="5" t="s">
        <v>2344</v>
      </c>
      <c r="D6" s="6" t="s">
        <v>2356</v>
      </c>
      <c r="E6" s="5" t="n">
        <v>5</v>
      </c>
      <c r="F6" s="5" t="s">
        <v>965</v>
      </c>
      <c r="G6" s="5" t="s">
        <v>2346</v>
      </c>
      <c r="H6" s="5" t="s">
        <v>2347</v>
      </c>
      <c r="I6" s="5" t="s">
        <v>2348</v>
      </c>
      <c r="J6" s="5" t="s">
        <v>1036</v>
      </c>
      <c r="K6" s="6" t="s">
        <v>2349</v>
      </c>
      <c r="L6" s="8" t="s">
        <v>2350</v>
      </c>
    </row>
    <row r="7" customFormat="false" ht="23.25" hidden="false" customHeight="true" outlineLevel="0" collapsed="false">
      <c r="A7" s="5" t="s">
        <v>2357</v>
      </c>
      <c r="B7" s="5" t="s">
        <v>2343</v>
      </c>
      <c r="C7" s="5" t="s">
        <v>2344</v>
      </c>
      <c r="D7" s="6" t="s">
        <v>2358</v>
      </c>
      <c r="E7" s="5" t="n">
        <v>3</v>
      </c>
      <c r="F7" s="5" t="s">
        <v>908</v>
      </c>
      <c r="G7" s="5" t="s">
        <v>2346</v>
      </c>
      <c r="H7" s="5" t="s">
        <v>2347</v>
      </c>
      <c r="I7" s="5" t="s">
        <v>2348</v>
      </c>
      <c r="J7" s="5" t="s">
        <v>1036</v>
      </c>
      <c r="K7" s="6" t="s">
        <v>2353</v>
      </c>
      <c r="L7" s="8" t="s">
        <v>2354</v>
      </c>
    </row>
    <row r="8" customFormat="false" ht="23.25" hidden="false" customHeight="true" outlineLevel="0" collapsed="false">
      <c r="A8" s="5" t="s">
        <v>2359</v>
      </c>
      <c r="B8" s="5" t="s">
        <v>2343</v>
      </c>
      <c r="C8" s="5" t="s">
        <v>2344</v>
      </c>
      <c r="D8" s="6" t="s">
        <v>2360</v>
      </c>
      <c r="E8" s="5" t="n">
        <v>5</v>
      </c>
      <c r="F8" s="5" t="s">
        <v>908</v>
      </c>
      <c r="G8" s="5" t="s">
        <v>2361</v>
      </c>
      <c r="H8" s="5" t="s">
        <v>2347</v>
      </c>
      <c r="I8" s="5" t="s">
        <v>2348</v>
      </c>
      <c r="J8" s="5" t="s">
        <v>1036</v>
      </c>
      <c r="K8" s="6" t="s">
        <v>2353</v>
      </c>
      <c r="L8" s="8" t="s">
        <v>2354</v>
      </c>
    </row>
    <row r="9" customFormat="false" ht="15" hidden="false" customHeight="true" outlineLevel="0" collapsed="false">
      <c r="A9" s="5" t="s">
        <v>2362</v>
      </c>
      <c r="B9" s="5" t="s">
        <v>2343</v>
      </c>
      <c r="C9" s="5" t="s">
        <v>2344</v>
      </c>
      <c r="D9" s="6" t="s">
        <v>2363</v>
      </c>
      <c r="E9" s="5" t="n">
        <v>3</v>
      </c>
      <c r="F9" s="5" t="s">
        <v>965</v>
      </c>
      <c r="G9" s="5" t="s">
        <v>2361</v>
      </c>
      <c r="H9" s="5" t="s">
        <v>2347</v>
      </c>
      <c r="I9" s="5" t="s">
        <v>2348</v>
      </c>
      <c r="J9" s="5" t="s">
        <v>1036</v>
      </c>
      <c r="K9" s="6" t="s">
        <v>2349</v>
      </c>
      <c r="L9" s="8" t="s">
        <v>2350</v>
      </c>
    </row>
    <row r="10" customFormat="false" ht="15" hidden="false" customHeight="true" outlineLevel="0" collapsed="false">
      <c r="A10" s="5" t="s">
        <v>2364</v>
      </c>
      <c r="B10" s="5" t="s">
        <v>2343</v>
      </c>
      <c r="C10" s="5" t="s">
        <v>2344</v>
      </c>
      <c r="D10" s="6" t="s">
        <v>2365</v>
      </c>
      <c r="E10" s="5" t="n">
        <v>3</v>
      </c>
      <c r="F10" s="5" t="s">
        <v>965</v>
      </c>
      <c r="G10" s="5" t="s">
        <v>2361</v>
      </c>
      <c r="H10" s="5" t="s">
        <v>2347</v>
      </c>
      <c r="I10" s="5" t="s">
        <v>2348</v>
      </c>
      <c r="J10" s="5" t="s">
        <v>1036</v>
      </c>
      <c r="K10" s="6" t="s">
        <v>2349</v>
      </c>
      <c r="L10" s="8" t="s">
        <v>2350</v>
      </c>
    </row>
    <row r="11" customFormat="false" ht="15" hidden="false" customHeight="true" outlineLevel="0" collapsed="false">
      <c r="A11" s="5" t="s">
        <v>2366</v>
      </c>
      <c r="B11" s="5" t="s">
        <v>2343</v>
      </c>
      <c r="C11" s="5" t="s">
        <v>2344</v>
      </c>
      <c r="D11" s="6" t="s">
        <v>2367</v>
      </c>
      <c r="E11" s="5" t="n">
        <v>2</v>
      </c>
      <c r="F11" s="5" t="s">
        <v>2368</v>
      </c>
      <c r="G11" s="5" t="s">
        <v>2361</v>
      </c>
      <c r="H11" s="5" t="s">
        <v>2347</v>
      </c>
      <c r="I11" s="5" t="s">
        <v>2348</v>
      </c>
      <c r="J11" s="5" t="s">
        <v>1036</v>
      </c>
      <c r="K11" s="6" t="s">
        <v>2349</v>
      </c>
      <c r="L11" s="8" t="s">
        <v>2350</v>
      </c>
    </row>
    <row r="12" customFormat="false" ht="23.25" hidden="false" customHeight="true" outlineLevel="0" collapsed="false">
      <c r="A12" s="5" t="s">
        <v>2369</v>
      </c>
      <c r="B12" s="5" t="s">
        <v>2343</v>
      </c>
      <c r="C12" s="5" t="s">
        <v>2344</v>
      </c>
      <c r="D12" s="6" t="s">
        <v>2370</v>
      </c>
      <c r="E12" s="5" t="n">
        <v>5</v>
      </c>
      <c r="F12" s="5" t="s">
        <v>965</v>
      </c>
      <c r="G12" s="5" t="s">
        <v>2361</v>
      </c>
      <c r="H12" s="5" t="s">
        <v>2347</v>
      </c>
      <c r="I12" s="5" t="s">
        <v>2348</v>
      </c>
      <c r="J12" s="5" t="s">
        <v>1036</v>
      </c>
      <c r="K12" s="6" t="s">
        <v>2349</v>
      </c>
      <c r="L12" s="8" t="s">
        <v>2350</v>
      </c>
    </row>
    <row r="13" customFormat="false" ht="23.25" hidden="false" customHeight="true" outlineLevel="0" collapsed="false">
      <c r="A13" s="5" t="s">
        <v>2371</v>
      </c>
      <c r="B13" s="5" t="s">
        <v>2343</v>
      </c>
      <c r="C13" s="5" t="s">
        <v>2344</v>
      </c>
      <c r="D13" s="6" t="s">
        <v>2372</v>
      </c>
      <c r="E13" s="5" t="n">
        <v>3</v>
      </c>
      <c r="F13" s="5" t="s">
        <v>2368</v>
      </c>
      <c r="G13" s="5" t="s">
        <v>2361</v>
      </c>
      <c r="H13" s="5" t="s">
        <v>2347</v>
      </c>
      <c r="I13" s="5" t="s">
        <v>2348</v>
      </c>
      <c r="J13" s="5" t="s">
        <v>1036</v>
      </c>
      <c r="K13" s="6" t="s">
        <v>2349</v>
      </c>
      <c r="L13" s="8" t="s">
        <v>2350</v>
      </c>
    </row>
    <row r="14" customFormat="false" ht="23.25" hidden="false" customHeight="true" outlineLevel="0" collapsed="false">
      <c r="A14" s="5" t="s">
        <v>2373</v>
      </c>
      <c r="B14" s="5" t="s">
        <v>2374</v>
      </c>
      <c r="C14" s="5" t="s">
        <v>2375</v>
      </c>
      <c r="D14" s="6" t="s">
        <v>2376</v>
      </c>
      <c r="E14" s="5" t="n">
        <v>5</v>
      </c>
      <c r="F14" s="5" t="s">
        <v>908</v>
      </c>
      <c r="G14" s="5" t="s">
        <v>2361</v>
      </c>
      <c r="H14" s="5" t="s">
        <v>2377</v>
      </c>
      <c r="I14" s="5" t="s">
        <v>2348</v>
      </c>
      <c r="J14" s="5" t="s">
        <v>1036</v>
      </c>
      <c r="K14" s="6" t="s">
        <v>2349</v>
      </c>
      <c r="L14" s="8" t="s">
        <v>2350</v>
      </c>
    </row>
    <row r="15" customFormat="false" ht="23.25" hidden="false" customHeight="true" outlineLevel="0" collapsed="false">
      <c r="A15" s="5" t="s">
        <v>2378</v>
      </c>
      <c r="B15" s="5" t="s">
        <v>2374</v>
      </c>
      <c r="C15" s="5" t="s">
        <v>2375</v>
      </c>
      <c r="D15" s="6" t="s">
        <v>2379</v>
      </c>
      <c r="E15" s="5" t="n">
        <v>8</v>
      </c>
      <c r="F15" s="5" t="s">
        <v>908</v>
      </c>
      <c r="G15" s="5" t="s">
        <v>2361</v>
      </c>
      <c r="H15" s="5" t="s">
        <v>2377</v>
      </c>
      <c r="I15" s="5" t="s">
        <v>2348</v>
      </c>
      <c r="J15" s="5" t="s">
        <v>1036</v>
      </c>
      <c r="K15" s="6" t="s">
        <v>2380</v>
      </c>
      <c r="L15" s="8" t="s">
        <v>2381</v>
      </c>
    </row>
    <row r="16" customFormat="false" ht="23.25" hidden="false" customHeight="true" outlineLevel="0" collapsed="false">
      <c r="A16" s="5" t="s">
        <v>2382</v>
      </c>
      <c r="B16" s="5" t="s">
        <v>2374</v>
      </c>
      <c r="C16" s="5" t="s">
        <v>2375</v>
      </c>
      <c r="D16" s="6" t="s">
        <v>2383</v>
      </c>
      <c r="E16" s="5" t="n">
        <v>5</v>
      </c>
      <c r="F16" s="5" t="s">
        <v>965</v>
      </c>
      <c r="G16" s="5" t="s">
        <v>2361</v>
      </c>
      <c r="H16" s="5" t="s">
        <v>2377</v>
      </c>
      <c r="I16" s="5" t="s">
        <v>2348</v>
      </c>
      <c r="J16" s="5" t="s">
        <v>1036</v>
      </c>
      <c r="K16" s="6" t="s">
        <v>2349</v>
      </c>
      <c r="L16" s="8" t="s">
        <v>2350</v>
      </c>
    </row>
    <row r="17" customFormat="false" ht="23.25" hidden="false" customHeight="true" outlineLevel="0" collapsed="false">
      <c r="A17" s="5" t="s">
        <v>2384</v>
      </c>
      <c r="B17" s="5" t="s">
        <v>2374</v>
      </c>
      <c r="C17" s="5" t="s">
        <v>2375</v>
      </c>
      <c r="D17" s="6" t="s">
        <v>2385</v>
      </c>
      <c r="E17" s="5" t="n">
        <v>3</v>
      </c>
      <c r="F17" s="5" t="s">
        <v>908</v>
      </c>
      <c r="G17" s="5" t="s">
        <v>2361</v>
      </c>
      <c r="H17" s="5" t="s">
        <v>2377</v>
      </c>
      <c r="I17" s="5" t="s">
        <v>2348</v>
      </c>
      <c r="J17" s="5" t="s">
        <v>1036</v>
      </c>
      <c r="K17" s="6" t="s">
        <v>2386</v>
      </c>
      <c r="L17" s="8" t="s">
        <v>2381</v>
      </c>
    </row>
    <row r="18" customFormat="false" ht="23.25" hidden="false" customHeight="true" outlineLevel="0" collapsed="false">
      <c r="A18" s="5" t="s">
        <v>2387</v>
      </c>
      <c r="B18" s="5" t="s">
        <v>2374</v>
      </c>
      <c r="C18" s="5" t="s">
        <v>2375</v>
      </c>
      <c r="D18" s="6" t="s">
        <v>2388</v>
      </c>
      <c r="E18" s="5" t="n">
        <v>5</v>
      </c>
      <c r="F18" s="5" t="s">
        <v>908</v>
      </c>
      <c r="G18" s="5" t="s">
        <v>2389</v>
      </c>
      <c r="H18" s="5" t="s">
        <v>2377</v>
      </c>
      <c r="I18" s="5" t="s">
        <v>2348</v>
      </c>
      <c r="J18" s="5" t="s">
        <v>1036</v>
      </c>
      <c r="K18" s="6" t="s">
        <v>2380</v>
      </c>
      <c r="L18" s="8" t="s">
        <v>2381</v>
      </c>
    </row>
    <row r="19" customFormat="false" ht="23.25" hidden="false" customHeight="true" outlineLevel="0" collapsed="false">
      <c r="A19" s="5" t="s">
        <v>2390</v>
      </c>
      <c r="B19" s="5" t="s">
        <v>2374</v>
      </c>
      <c r="C19" s="5" t="s">
        <v>2375</v>
      </c>
      <c r="D19" s="6" t="s">
        <v>2391</v>
      </c>
      <c r="E19" s="5" t="n">
        <v>3</v>
      </c>
      <c r="F19" s="5" t="s">
        <v>965</v>
      </c>
      <c r="G19" s="5" t="s">
        <v>2389</v>
      </c>
      <c r="H19" s="5" t="s">
        <v>2377</v>
      </c>
      <c r="I19" s="5" t="s">
        <v>2348</v>
      </c>
      <c r="J19" s="5" t="s">
        <v>1036</v>
      </c>
      <c r="K19" s="6" t="s">
        <v>2349</v>
      </c>
      <c r="L19" s="8" t="s">
        <v>2350</v>
      </c>
    </row>
    <row r="20" customFormat="false" ht="23.25" hidden="false" customHeight="true" outlineLevel="0" collapsed="false">
      <c r="A20" s="5" t="s">
        <v>2392</v>
      </c>
      <c r="B20" s="5" t="s">
        <v>2374</v>
      </c>
      <c r="C20" s="5" t="s">
        <v>2375</v>
      </c>
      <c r="D20" s="6" t="s">
        <v>2393</v>
      </c>
      <c r="E20" s="5" t="n">
        <v>3</v>
      </c>
      <c r="F20" s="5" t="s">
        <v>965</v>
      </c>
      <c r="G20" s="5" t="s">
        <v>2389</v>
      </c>
      <c r="H20" s="5" t="s">
        <v>2377</v>
      </c>
      <c r="I20" s="5" t="s">
        <v>2348</v>
      </c>
      <c r="J20" s="5" t="s">
        <v>1036</v>
      </c>
      <c r="K20" s="6" t="s">
        <v>2349</v>
      </c>
      <c r="L20" s="8" t="s">
        <v>2350</v>
      </c>
    </row>
    <row r="21" customFormat="false" ht="23.25" hidden="false" customHeight="true" outlineLevel="0" collapsed="false">
      <c r="A21" s="5" t="s">
        <v>2394</v>
      </c>
      <c r="B21" s="5" t="s">
        <v>2374</v>
      </c>
      <c r="C21" s="5" t="s">
        <v>2375</v>
      </c>
      <c r="D21" s="6" t="s">
        <v>2395</v>
      </c>
      <c r="E21" s="5" t="n">
        <v>2</v>
      </c>
      <c r="F21" s="5" t="s">
        <v>2368</v>
      </c>
      <c r="G21" s="5" t="s">
        <v>2389</v>
      </c>
      <c r="H21" s="5" t="s">
        <v>2377</v>
      </c>
      <c r="I21" s="5" t="s">
        <v>2348</v>
      </c>
      <c r="J21" s="5" t="s">
        <v>1036</v>
      </c>
      <c r="K21" s="6" t="s">
        <v>2349</v>
      </c>
      <c r="L21" s="8" t="s">
        <v>2350</v>
      </c>
    </row>
    <row r="22" customFormat="false" ht="23.25" hidden="false" customHeight="true" outlineLevel="0" collapsed="false">
      <c r="A22" s="5" t="s">
        <v>2396</v>
      </c>
      <c r="B22" s="5" t="s">
        <v>2374</v>
      </c>
      <c r="C22" s="5" t="s">
        <v>2375</v>
      </c>
      <c r="D22" s="6" t="s">
        <v>2397</v>
      </c>
      <c r="E22" s="5" t="n">
        <v>5</v>
      </c>
      <c r="F22" s="5" t="s">
        <v>965</v>
      </c>
      <c r="G22" s="5" t="s">
        <v>2389</v>
      </c>
      <c r="H22" s="5" t="s">
        <v>2377</v>
      </c>
      <c r="I22" s="5" t="s">
        <v>2348</v>
      </c>
      <c r="J22" s="5" t="s">
        <v>1036</v>
      </c>
      <c r="K22" s="6" t="s">
        <v>2349</v>
      </c>
      <c r="L22" s="8" t="s">
        <v>2350</v>
      </c>
    </row>
    <row r="23" customFormat="false" ht="23.25" hidden="false" customHeight="true" outlineLevel="0" collapsed="false">
      <c r="A23" s="5" t="s">
        <v>2398</v>
      </c>
      <c r="B23" s="5" t="s">
        <v>2374</v>
      </c>
      <c r="C23" s="5" t="s">
        <v>2375</v>
      </c>
      <c r="D23" s="6" t="s">
        <v>2399</v>
      </c>
      <c r="E23" s="5" t="n">
        <v>3</v>
      </c>
      <c r="F23" s="5" t="s">
        <v>2368</v>
      </c>
      <c r="G23" s="5" t="s">
        <v>2389</v>
      </c>
      <c r="H23" s="5" t="s">
        <v>2377</v>
      </c>
      <c r="I23" s="5" t="s">
        <v>2348</v>
      </c>
      <c r="J23" s="5" t="s">
        <v>1036</v>
      </c>
      <c r="K23" s="6" t="s">
        <v>2349</v>
      </c>
      <c r="L23" s="8" t="s">
        <v>2350</v>
      </c>
    </row>
    <row r="24" customFormat="false" ht="15" hidden="false" customHeight="true" outlineLevel="0" collapsed="false">
      <c r="A24" s="5" t="s">
        <v>2400</v>
      </c>
      <c r="B24" s="5" t="s">
        <v>2401</v>
      </c>
      <c r="C24" s="5" t="s">
        <v>2402</v>
      </c>
      <c r="D24" s="6" t="s">
        <v>2403</v>
      </c>
      <c r="E24" s="5" t="n">
        <v>5</v>
      </c>
      <c r="F24" s="5" t="s">
        <v>908</v>
      </c>
      <c r="G24" s="5" t="s">
        <v>2404</v>
      </c>
      <c r="H24" s="5" t="s">
        <v>2405</v>
      </c>
      <c r="I24" s="5" t="s">
        <v>2348</v>
      </c>
      <c r="J24" s="5" t="s">
        <v>1036</v>
      </c>
      <c r="K24" s="6" t="s">
        <v>2349</v>
      </c>
      <c r="L24" s="8" t="s">
        <v>2350</v>
      </c>
    </row>
    <row r="25" customFormat="false" ht="23.25" hidden="false" customHeight="true" outlineLevel="0" collapsed="false">
      <c r="A25" s="5" t="s">
        <v>2406</v>
      </c>
      <c r="B25" s="5" t="s">
        <v>2401</v>
      </c>
      <c r="C25" s="5" t="s">
        <v>2402</v>
      </c>
      <c r="D25" s="6" t="s">
        <v>2407</v>
      </c>
      <c r="E25" s="5" t="n">
        <v>8</v>
      </c>
      <c r="F25" s="5" t="s">
        <v>908</v>
      </c>
      <c r="G25" s="5" t="s">
        <v>2404</v>
      </c>
      <c r="H25" s="5" t="s">
        <v>2405</v>
      </c>
      <c r="I25" s="5" t="s">
        <v>2348</v>
      </c>
      <c r="J25" s="5" t="s">
        <v>1036</v>
      </c>
      <c r="K25" s="6" t="s">
        <v>2408</v>
      </c>
      <c r="L25" s="8" t="s">
        <v>2409</v>
      </c>
    </row>
    <row r="26" customFormat="false" ht="23.25" hidden="false" customHeight="true" outlineLevel="0" collapsed="false">
      <c r="A26" s="5" t="s">
        <v>2410</v>
      </c>
      <c r="B26" s="5" t="s">
        <v>2401</v>
      </c>
      <c r="C26" s="5" t="s">
        <v>2402</v>
      </c>
      <c r="D26" s="6" t="s">
        <v>2411</v>
      </c>
      <c r="E26" s="5" t="n">
        <v>5</v>
      </c>
      <c r="F26" s="5" t="s">
        <v>965</v>
      </c>
      <c r="G26" s="5" t="s">
        <v>2404</v>
      </c>
      <c r="H26" s="5" t="s">
        <v>2405</v>
      </c>
      <c r="I26" s="5" t="s">
        <v>2348</v>
      </c>
      <c r="J26" s="5" t="s">
        <v>1036</v>
      </c>
      <c r="K26" s="6" t="s">
        <v>2349</v>
      </c>
      <c r="L26" s="8" t="s">
        <v>2350</v>
      </c>
    </row>
    <row r="27" customFormat="false" ht="23.25" hidden="false" customHeight="true" outlineLevel="0" collapsed="false">
      <c r="A27" s="5" t="s">
        <v>2412</v>
      </c>
      <c r="B27" s="5" t="s">
        <v>2401</v>
      </c>
      <c r="C27" s="5" t="s">
        <v>2402</v>
      </c>
      <c r="D27" s="6" t="s">
        <v>2413</v>
      </c>
      <c r="E27" s="5" t="n">
        <v>3</v>
      </c>
      <c r="F27" s="5" t="s">
        <v>908</v>
      </c>
      <c r="G27" s="5" t="s">
        <v>2404</v>
      </c>
      <c r="H27" s="5" t="s">
        <v>2405</v>
      </c>
      <c r="I27" s="5" t="s">
        <v>2348</v>
      </c>
      <c r="J27" s="5" t="s">
        <v>1036</v>
      </c>
      <c r="K27" s="6" t="s">
        <v>2408</v>
      </c>
      <c r="L27" s="8" t="s">
        <v>2409</v>
      </c>
    </row>
    <row r="28" customFormat="false" ht="23.25" hidden="false" customHeight="true" outlineLevel="0" collapsed="false">
      <c r="A28" s="5" t="s">
        <v>2414</v>
      </c>
      <c r="B28" s="5" t="s">
        <v>2401</v>
      </c>
      <c r="C28" s="5" t="s">
        <v>2402</v>
      </c>
      <c r="D28" s="6" t="s">
        <v>2415</v>
      </c>
      <c r="E28" s="5" t="n">
        <v>5</v>
      </c>
      <c r="F28" s="5" t="s">
        <v>908</v>
      </c>
      <c r="G28" s="5" t="s">
        <v>2404</v>
      </c>
      <c r="H28" s="5" t="s">
        <v>2405</v>
      </c>
      <c r="I28" s="5" t="s">
        <v>2348</v>
      </c>
      <c r="J28" s="5" t="s">
        <v>1036</v>
      </c>
      <c r="K28" s="6" t="s">
        <v>2408</v>
      </c>
      <c r="L28" s="8" t="s">
        <v>2409</v>
      </c>
    </row>
    <row r="29" customFormat="false" ht="15" hidden="false" customHeight="true" outlineLevel="0" collapsed="false">
      <c r="A29" s="5" t="s">
        <v>2416</v>
      </c>
      <c r="B29" s="5" t="s">
        <v>2401</v>
      </c>
      <c r="C29" s="5" t="s">
        <v>2402</v>
      </c>
      <c r="D29" s="6" t="s">
        <v>2417</v>
      </c>
      <c r="E29" s="5" t="n">
        <v>3</v>
      </c>
      <c r="F29" s="5" t="s">
        <v>965</v>
      </c>
      <c r="G29" s="5" t="s">
        <v>2404</v>
      </c>
      <c r="H29" s="5" t="s">
        <v>2405</v>
      </c>
      <c r="I29" s="5" t="s">
        <v>2348</v>
      </c>
      <c r="J29" s="5" t="s">
        <v>1036</v>
      </c>
      <c r="K29" s="6" t="s">
        <v>2349</v>
      </c>
      <c r="L29" s="8" t="s">
        <v>2350</v>
      </c>
    </row>
    <row r="30" customFormat="false" ht="15" hidden="false" customHeight="true" outlineLevel="0" collapsed="false">
      <c r="A30" s="5" t="s">
        <v>2418</v>
      </c>
      <c r="B30" s="5" t="s">
        <v>2401</v>
      </c>
      <c r="C30" s="5" t="s">
        <v>2402</v>
      </c>
      <c r="D30" s="6" t="s">
        <v>2419</v>
      </c>
      <c r="E30" s="5" t="n">
        <v>3</v>
      </c>
      <c r="F30" s="5" t="s">
        <v>965</v>
      </c>
      <c r="G30" s="5" t="s">
        <v>2404</v>
      </c>
      <c r="H30" s="5" t="s">
        <v>2405</v>
      </c>
      <c r="I30" s="5" t="s">
        <v>2348</v>
      </c>
      <c r="J30" s="5" t="s">
        <v>1036</v>
      </c>
      <c r="K30" s="6" t="s">
        <v>2349</v>
      </c>
      <c r="L30" s="8" t="s">
        <v>2350</v>
      </c>
    </row>
    <row r="31" customFormat="false" ht="15" hidden="false" customHeight="true" outlineLevel="0" collapsed="false">
      <c r="A31" s="5" t="s">
        <v>2420</v>
      </c>
      <c r="B31" s="5" t="s">
        <v>2401</v>
      </c>
      <c r="C31" s="5" t="s">
        <v>2402</v>
      </c>
      <c r="D31" s="6" t="s">
        <v>2421</v>
      </c>
      <c r="E31" s="5" t="n">
        <v>2</v>
      </c>
      <c r="F31" s="5" t="s">
        <v>2368</v>
      </c>
      <c r="G31" s="5" t="s">
        <v>2404</v>
      </c>
      <c r="H31" s="5" t="s">
        <v>2405</v>
      </c>
      <c r="I31" s="5" t="s">
        <v>2348</v>
      </c>
      <c r="J31" s="5" t="s">
        <v>1036</v>
      </c>
      <c r="K31" s="6" t="s">
        <v>2349</v>
      </c>
      <c r="L31" s="8" t="s">
        <v>2350</v>
      </c>
    </row>
    <row r="32" customFormat="false" ht="23.25" hidden="false" customHeight="true" outlineLevel="0" collapsed="false">
      <c r="A32" s="5" t="s">
        <v>2422</v>
      </c>
      <c r="B32" s="5" t="s">
        <v>2401</v>
      </c>
      <c r="C32" s="5" t="s">
        <v>2402</v>
      </c>
      <c r="D32" s="6" t="s">
        <v>2423</v>
      </c>
      <c r="E32" s="5" t="n">
        <v>5</v>
      </c>
      <c r="F32" s="5" t="s">
        <v>965</v>
      </c>
      <c r="G32" s="5" t="s">
        <v>2404</v>
      </c>
      <c r="H32" s="5" t="s">
        <v>2405</v>
      </c>
      <c r="I32" s="5" t="s">
        <v>2348</v>
      </c>
      <c r="J32" s="5" t="s">
        <v>1036</v>
      </c>
      <c r="K32" s="6" t="s">
        <v>2349</v>
      </c>
      <c r="L32" s="8" t="s">
        <v>2350</v>
      </c>
    </row>
    <row r="33" customFormat="false" ht="23.25" hidden="false" customHeight="true" outlineLevel="0" collapsed="false">
      <c r="A33" s="5" t="s">
        <v>2424</v>
      </c>
      <c r="B33" s="5" t="s">
        <v>2401</v>
      </c>
      <c r="C33" s="5" t="s">
        <v>2402</v>
      </c>
      <c r="D33" s="6" t="s">
        <v>2425</v>
      </c>
      <c r="E33" s="5" t="n">
        <v>3</v>
      </c>
      <c r="F33" s="5" t="s">
        <v>2368</v>
      </c>
      <c r="G33" s="5" t="s">
        <v>2404</v>
      </c>
      <c r="H33" s="5" t="s">
        <v>2405</v>
      </c>
      <c r="I33" s="5" t="s">
        <v>2348</v>
      </c>
      <c r="J33" s="5" t="s">
        <v>1036</v>
      </c>
      <c r="K33" s="6" t="s">
        <v>2349</v>
      </c>
      <c r="L33" s="8" t="s">
        <v>2350</v>
      </c>
    </row>
    <row r="34" customFormat="false" ht="15" hidden="false" customHeight="true" outlineLevel="0" collapsed="false">
      <c r="A34" s="5" t="s">
        <v>2426</v>
      </c>
      <c r="B34" s="5" t="s">
        <v>2427</v>
      </c>
      <c r="C34" s="5" t="s">
        <v>2428</v>
      </c>
      <c r="D34" s="6" t="s">
        <v>2429</v>
      </c>
      <c r="E34" s="5" t="n">
        <v>5</v>
      </c>
      <c r="F34" s="5" t="s">
        <v>908</v>
      </c>
      <c r="G34" s="5" t="s">
        <v>2430</v>
      </c>
      <c r="H34" s="5" t="s">
        <v>2405</v>
      </c>
      <c r="I34" s="5" t="s">
        <v>2348</v>
      </c>
      <c r="J34" s="5" t="s">
        <v>1036</v>
      </c>
      <c r="K34" s="6" t="s">
        <v>2349</v>
      </c>
      <c r="L34" s="8" t="s">
        <v>2350</v>
      </c>
    </row>
    <row r="35" customFormat="false" ht="15" hidden="false" customHeight="true" outlineLevel="0" collapsed="false">
      <c r="A35" s="5" t="s">
        <v>2431</v>
      </c>
      <c r="B35" s="5" t="s">
        <v>2427</v>
      </c>
      <c r="C35" s="5" t="s">
        <v>2428</v>
      </c>
      <c r="D35" s="6" t="s">
        <v>2432</v>
      </c>
      <c r="E35" s="5" t="n">
        <v>8</v>
      </c>
      <c r="F35" s="5" t="s">
        <v>908</v>
      </c>
      <c r="G35" s="5" t="s">
        <v>2430</v>
      </c>
      <c r="H35" s="5" t="s">
        <v>2405</v>
      </c>
      <c r="I35" s="5" t="s">
        <v>2348</v>
      </c>
      <c r="J35" s="5" t="s">
        <v>1036</v>
      </c>
      <c r="K35" s="6" t="s">
        <v>2433</v>
      </c>
      <c r="L35" s="8" t="s">
        <v>2434</v>
      </c>
    </row>
    <row r="36" customFormat="false" ht="23.25" hidden="false" customHeight="true" outlineLevel="0" collapsed="false">
      <c r="A36" s="5" t="s">
        <v>2435</v>
      </c>
      <c r="B36" s="5" t="s">
        <v>2427</v>
      </c>
      <c r="C36" s="5" t="s">
        <v>2428</v>
      </c>
      <c r="D36" s="6" t="s">
        <v>2436</v>
      </c>
      <c r="E36" s="5" t="n">
        <v>5</v>
      </c>
      <c r="F36" s="5" t="s">
        <v>965</v>
      </c>
      <c r="G36" s="5" t="s">
        <v>2430</v>
      </c>
      <c r="H36" s="5" t="s">
        <v>2405</v>
      </c>
      <c r="I36" s="5" t="s">
        <v>2348</v>
      </c>
      <c r="J36" s="5" t="s">
        <v>1036</v>
      </c>
      <c r="K36" s="6" t="s">
        <v>2349</v>
      </c>
      <c r="L36" s="8" t="s">
        <v>2350</v>
      </c>
    </row>
    <row r="37" customFormat="false" ht="23.25" hidden="false" customHeight="true" outlineLevel="0" collapsed="false">
      <c r="A37" s="5" t="s">
        <v>2437</v>
      </c>
      <c r="B37" s="5" t="s">
        <v>2427</v>
      </c>
      <c r="C37" s="5" t="s">
        <v>2428</v>
      </c>
      <c r="D37" s="6" t="s">
        <v>2438</v>
      </c>
      <c r="E37" s="5" t="n">
        <v>3</v>
      </c>
      <c r="F37" s="5" t="s">
        <v>908</v>
      </c>
      <c r="G37" s="5" t="s">
        <v>2430</v>
      </c>
      <c r="H37" s="5" t="s">
        <v>2405</v>
      </c>
      <c r="I37" s="5" t="s">
        <v>2348</v>
      </c>
      <c r="J37" s="5" t="s">
        <v>1036</v>
      </c>
      <c r="K37" s="6" t="s">
        <v>2433</v>
      </c>
      <c r="L37" s="8" t="s">
        <v>2434</v>
      </c>
    </row>
    <row r="38" customFormat="false" ht="23.25" hidden="false" customHeight="true" outlineLevel="0" collapsed="false">
      <c r="A38" s="5" t="s">
        <v>2439</v>
      </c>
      <c r="B38" s="5" t="s">
        <v>2427</v>
      </c>
      <c r="C38" s="5" t="s">
        <v>2428</v>
      </c>
      <c r="D38" s="6" t="s">
        <v>2440</v>
      </c>
      <c r="E38" s="5" t="n">
        <v>5</v>
      </c>
      <c r="F38" s="5" t="s">
        <v>908</v>
      </c>
      <c r="G38" s="5" t="s">
        <v>2430</v>
      </c>
      <c r="H38" s="5" t="s">
        <v>2405</v>
      </c>
      <c r="I38" s="5" t="s">
        <v>2348</v>
      </c>
      <c r="J38" s="5" t="s">
        <v>1036</v>
      </c>
      <c r="K38" s="6" t="s">
        <v>2433</v>
      </c>
      <c r="L38" s="8" t="s">
        <v>2434</v>
      </c>
    </row>
    <row r="39" customFormat="false" ht="15" hidden="false" customHeight="true" outlineLevel="0" collapsed="false">
      <c r="A39" s="5" t="s">
        <v>2441</v>
      </c>
      <c r="B39" s="5" t="s">
        <v>2427</v>
      </c>
      <c r="C39" s="5" t="s">
        <v>2428</v>
      </c>
      <c r="D39" s="6" t="s">
        <v>2442</v>
      </c>
      <c r="E39" s="5" t="n">
        <v>3</v>
      </c>
      <c r="F39" s="5" t="s">
        <v>965</v>
      </c>
      <c r="G39" s="5" t="s">
        <v>2430</v>
      </c>
      <c r="H39" s="5" t="s">
        <v>2405</v>
      </c>
      <c r="I39" s="5" t="s">
        <v>2348</v>
      </c>
      <c r="J39" s="5" t="s">
        <v>1036</v>
      </c>
      <c r="K39" s="6" t="s">
        <v>2349</v>
      </c>
      <c r="L39" s="8" t="s">
        <v>2350</v>
      </c>
    </row>
    <row r="40" customFormat="false" ht="15" hidden="false" customHeight="true" outlineLevel="0" collapsed="false">
      <c r="A40" s="5" t="s">
        <v>2443</v>
      </c>
      <c r="B40" s="5" t="s">
        <v>2427</v>
      </c>
      <c r="C40" s="5" t="s">
        <v>2428</v>
      </c>
      <c r="D40" s="6" t="s">
        <v>2444</v>
      </c>
      <c r="E40" s="5" t="n">
        <v>3</v>
      </c>
      <c r="F40" s="5" t="s">
        <v>965</v>
      </c>
      <c r="G40" s="5" t="s">
        <v>2430</v>
      </c>
      <c r="H40" s="5" t="s">
        <v>2405</v>
      </c>
      <c r="I40" s="5" t="s">
        <v>2348</v>
      </c>
      <c r="J40" s="5" t="s">
        <v>1036</v>
      </c>
      <c r="K40" s="6" t="s">
        <v>2349</v>
      </c>
      <c r="L40" s="8" t="s">
        <v>2350</v>
      </c>
    </row>
    <row r="41" customFormat="false" ht="15" hidden="false" customHeight="true" outlineLevel="0" collapsed="false">
      <c r="A41" s="5" t="s">
        <v>2445</v>
      </c>
      <c r="B41" s="5" t="s">
        <v>2427</v>
      </c>
      <c r="C41" s="5" t="s">
        <v>2428</v>
      </c>
      <c r="D41" s="6" t="s">
        <v>2446</v>
      </c>
      <c r="E41" s="5" t="n">
        <v>2</v>
      </c>
      <c r="F41" s="5" t="s">
        <v>2368</v>
      </c>
      <c r="G41" s="5" t="s">
        <v>2430</v>
      </c>
      <c r="H41" s="5" t="s">
        <v>2405</v>
      </c>
      <c r="I41" s="5" t="s">
        <v>2348</v>
      </c>
      <c r="J41" s="5" t="s">
        <v>1036</v>
      </c>
      <c r="K41" s="6" t="s">
        <v>2349</v>
      </c>
      <c r="L41" s="8" t="s">
        <v>2350</v>
      </c>
    </row>
    <row r="42" customFormat="false" ht="23.25" hidden="false" customHeight="true" outlineLevel="0" collapsed="false">
      <c r="A42" s="5" t="s">
        <v>2447</v>
      </c>
      <c r="B42" s="5" t="s">
        <v>2427</v>
      </c>
      <c r="C42" s="5" t="s">
        <v>2428</v>
      </c>
      <c r="D42" s="6" t="s">
        <v>2448</v>
      </c>
      <c r="E42" s="5" t="n">
        <v>5</v>
      </c>
      <c r="F42" s="5" t="s">
        <v>965</v>
      </c>
      <c r="G42" s="5" t="s">
        <v>2430</v>
      </c>
      <c r="H42" s="5" t="s">
        <v>2405</v>
      </c>
      <c r="I42" s="5" t="s">
        <v>2348</v>
      </c>
      <c r="J42" s="5" t="s">
        <v>1036</v>
      </c>
      <c r="K42" s="6" t="s">
        <v>2349</v>
      </c>
      <c r="L42" s="8" t="s">
        <v>2350</v>
      </c>
    </row>
    <row r="43" customFormat="false" ht="23.25" hidden="false" customHeight="true" outlineLevel="0" collapsed="false">
      <c r="A43" s="5" t="s">
        <v>2449</v>
      </c>
      <c r="B43" s="5" t="s">
        <v>2427</v>
      </c>
      <c r="C43" s="5" t="s">
        <v>2428</v>
      </c>
      <c r="D43" s="6" t="s">
        <v>2450</v>
      </c>
      <c r="E43" s="5" t="n">
        <v>3</v>
      </c>
      <c r="F43" s="5" t="s">
        <v>2368</v>
      </c>
      <c r="G43" s="5" t="s">
        <v>2430</v>
      </c>
      <c r="H43" s="5" t="s">
        <v>2405</v>
      </c>
      <c r="I43" s="5" t="s">
        <v>2348</v>
      </c>
      <c r="J43" s="5" t="s">
        <v>1036</v>
      </c>
      <c r="K43" s="6" t="s">
        <v>2349</v>
      </c>
      <c r="L43" s="8" t="s">
        <v>2350</v>
      </c>
    </row>
    <row r="44" customFormat="false" ht="15" hidden="false" customHeight="true" outlineLevel="0" collapsed="false">
      <c r="A44" s="5" t="s">
        <v>2451</v>
      </c>
      <c r="B44" s="5" t="s">
        <v>2452</v>
      </c>
      <c r="C44" s="5" t="s">
        <v>2453</v>
      </c>
      <c r="D44" s="6" t="s">
        <v>2454</v>
      </c>
      <c r="E44" s="5" t="n">
        <v>5</v>
      </c>
      <c r="F44" s="5" t="s">
        <v>908</v>
      </c>
      <c r="G44" s="5" t="s">
        <v>141</v>
      </c>
      <c r="H44" s="5" t="s">
        <v>2455</v>
      </c>
      <c r="I44" s="5" t="s">
        <v>2348</v>
      </c>
      <c r="J44" s="5" t="s">
        <v>1036</v>
      </c>
      <c r="K44" s="6" t="s">
        <v>2349</v>
      </c>
      <c r="L44" s="8" t="s">
        <v>2350</v>
      </c>
    </row>
    <row r="45" customFormat="false" ht="15" hidden="false" customHeight="true" outlineLevel="0" collapsed="false">
      <c r="A45" s="5" t="s">
        <v>2456</v>
      </c>
      <c r="B45" s="5" t="s">
        <v>2452</v>
      </c>
      <c r="C45" s="5" t="s">
        <v>2453</v>
      </c>
      <c r="D45" s="6" t="s">
        <v>2457</v>
      </c>
      <c r="E45" s="5" t="n">
        <v>8</v>
      </c>
      <c r="F45" s="5" t="s">
        <v>908</v>
      </c>
      <c r="G45" s="5" t="s">
        <v>141</v>
      </c>
      <c r="H45" s="5" t="s">
        <v>2455</v>
      </c>
      <c r="I45" s="5" t="s">
        <v>2348</v>
      </c>
      <c r="J45" s="5" t="s">
        <v>1036</v>
      </c>
      <c r="K45" s="6" t="s">
        <v>2458</v>
      </c>
      <c r="L45" s="8" t="s">
        <v>2459</v>
      </c>
    </row>
    <row r="46" customFormat="false" ht="23.25" hidden="false" customHeight="true" outlineLevel="0" collapsed="false">
      <c r="A46" s="5" t="s">
        <v>2460</v>
      </c>
      <c r="B46" s="5" t="s">
        <v>2452</v>
      </c>
      <c r="C46" s="5" t="s">
        <v>2453</v>
      </c>
      <c r="D46" s="6" t="s">
        <v>2461</v>
      </c>
      <c r="E46" s="5" t="n">
        <v>5</v>
      </c>
      <c r="F46" s="5" t="s">
        <v>965</v>
      </c>
      <c r="G46" s="5" t="s">
        <v>141</v>
      </c>
      <c r="H46" s="5" t="s">
        <v>2455</v>
      </c>
      <c r="I46" s="5" t="s">
        <v>2348</v>
      </c>
      <c r="J46" s="5" t="s">
        <v>1036</v>
      </c>
      <c r="K46" s="6" t="s">
        <v>2349</v>
      </c>
      <c r="L46" s="8" t="s">
        <v>2350</v>
      </c>
    </row>
    <row r="47" customFormat="false" ht="23.25" hidden="false" customHeight="true" outlineLevel="0" collapsed="false">
      <c r="A47" s="5" t="s">
        <v>2462</v>
      </c>
      <c r="B47" s="5" t="s">
        <v>2452</v>
      </c>
      <c r="C47" s="5" t="s">
        <v>2453</v>
      </c>
      <c r="D47" s="6" t="s">
        <v>2463</v>
      </c>
      <c r="E47" s="5" t="n">
        <v>3</v>
      </c>
      <c r="F47" s="5" t="s">
        <v>908</v>
      </c>
      <c r="G47" s="5" t="s">
        <v>141</v>
      </c>
      <c r="H47" s="5" t="s">
        <v>2455</v>
      </c>
      <c r="I47" s="5" t="s">
        <v>2348</v>
      </c>
      <c r="J47" s="5" t="s">
        <v>1036</v>
      </c>
      <c r="K47" s="6" t="s">
        <v>2458</v>
      </c>
      <c r="L47" s="8" t="s">
        <v>2459</v>
      </c>
    </row>
    <row r="48" customFormat="false" ht="23.25" hidden="false" customHeight="true" outlineLevel="0" collapsed="false">
      <c r="A48" s="5" t="s">
        <v>2464</v>
      </c>
      <c r="B48" s="5" t="s">
        <v>2452</v>
      </c>
      <c r="C48" s="5" t="s">
        <v>2453</v>
      </c>
      <c r="D48" s="6" t="s">
        <v>2465</v>
      </c>
      <c r="E48" s="5" t="n">
        <v>5</v>
      </c>
      <c r="F48" s="5" t="s">
        <v>908</v>
      </c>
      <c r="G48" s="5" t="s">
        <v>141</v>
      </c>
      <c r="H48" s="5" t="s">
        <v>2455</v>
      </c>
      <c r="I48" s="5" t="s">
        <v>2348</v>
      </c>
      <c r="J48" s="5" t="s">
        <v>1036</v>
      </c>
      <c r="K48" s="6" t="s">
        <v>2458</v>
      </c>
      <c r="L48" s="8" t="s">
        <v>2459</v>
      </c>
    </row>
    <row r="49" customFormat="false" ht="15" hidden="false" customHeight="true" outlineLevel="0" collapsed="false">
      <c r="A49" s="5" t="s">
        <v>2466</v>
      </c>
      <c r="B49" s="5" t="s">
        <v>2452</v>
      </c>
      <c r="C49" s="5" t="s">
        <v>2453</v>
      </c>
      <c r="D49" s="6" t="s">
        <v>2467</v>
      </c>
      <c r="E49" s="5" t="n">
        <v>3</v>
      </c>
      <c r="F49" s="5" t="s">
        <v>965</v>
      </c>
      <c r="G49" s="5" t="s">
        <v>141</v>
      </c>
      <c r="H49" s="5" t="s">
        <v>2455</v>
      </c>
      <c r="I49" s="5" t="s">
        <v>2348</v>
      </c>
      <c r="J49" s="5" t="s">
        <v>1036</v>
      </c>
      <c r="K49" s="6" t="s">
        <v>2349</v>
      </c>
      <c r="L49" s="8" t="s">
        <v>2350</v>
      </c>
    </row>
    <row r="50" customFormat="false" ht="15" hidden="false" customHeight="true" outlineLevel="0" collapsed="false">
      <c r="A50" s="5" t="s">
        <v>2468</v>
      </c>
      <c r="B50" s="5" t="s">
        <v>2452</v>
      </c>
      <c r="C50" s="5" t="s">
        <v>2453</v>
      </c>
      <c r="D50" s="6" t="s">
        <v>2469</v>
      </c>
      <c r="E50" s="5" t="n">
        <v>3</v>
      </c>
      <c r="F50" s="5" t="s">
        <v>965</v>
      </c>
      <c r="G50" s="5" t="s">
        <v>141</v>
      </c>
      <c r="H50" s="5" t="s">
        <v>2455</v>
      </c>
      <c r="I50" s="5" t="s">
        <v>2348</v>
      </c>
      <c r="J50" s="5" t="s">
        <v>1036</v>
      </c>
      <c r="K50" s="6" t="s">
        <v>2349</v>
      </c>
      <c r="L50" s="8" t="s">
        <v>2350</v>
      </c>
    </row>
    <row r="51" customFormat="false" ht="15" hidden="false" customHeight="true" outlineLevel="0" collapsed="false">
      <c r="A51" s="5" t="s">
        <v>2470</v>
      </c>
      <c r="B51" s="5" t="s">
        <v>2452</v>
      </c>
      <c r="C51" s="5" t="s">
        <v>2453</v>
      </c>
      <c r="D51" s="6" t="s">
        <v>2471</v>
      </c>
      <c r="E51" s="5" t="n">
        <v>2</v>
      </c>
      <c r="F51" s="5" t="s">
        <v>2368</v>
      </c>
      <c r="G51" s="5" t="s">
        <v>141</v>
      </c>
      <c r="H51" s="5" t="s">
        <v>2455</v>
      </c>
      <c r="I51" s="5" t="s">
        <v>2348</v>
      </c>
      <c r="J51" s="5" t="s">
        <v>1036</v>
      </c>
      <c r="K51" s="6" t="s">
        <v>2349</v>
      </c>
      <c r="L51" s="8" t="s">
        <v>2350</v>
      </c>
    </row>
    <row r="52" customFormat="false" ht="23.25" hidden="false" customHeight="true" outlineLevel="0" collapsed="false">
      <c r="A52" s="5" t="s">
        <v>2472</v>
      </c>
      <c r="B52" s="5" t="s">
        <v>2452</v>
      </c>
      <c r="C52" s="5" t="s">
        <v>2453</v>
      </c>
      <c r="D52" s="6" t="s">
        <v>2473</v>
      </c>
      <c r="E52" s="5" t="n">
        <v>5</v>
      </c>
      <c r="F52" s="5" t="s">
        <v>965</v>
      </c>
      <c r="G52" s="5" t="s">
        <v>141</v>
      </c>
      <c r="H52" s="5" t="s">
        <v>2455</v>
      </c>
      <c r="I52" s="5" t="s">
        <v>2348</v>
      </c>
      <c r="J52" s="5" t="s">
        <v>1036</v>
      </c>
      <c r="K52" s="6" t="s">
        <v>2349</v>
      </c>
      <c r="L52" s="8" t="s">
        <v>2350</v>
      </c>
    </row>
    <row r="53" customFormat="false" ht="23.25" hidden="false" customHeight="true" outlineLevel="0" collapsed="false">
      <c r="A53" s="5" t="s">
        <v>2474</v>
      </c>
      <c r="B53" s="5" t="s">
        <v>2452</v>
      </c>
      <c r="C53" s="5" t="s">
        <v>2453</v>
      </c>
      <c r="D53" s="6" t="s">
        <v>2475</v>
      </c>
      <c r="E53" s="5" t="n">
        <v>3</v>
      </c>
      <c r="F53" s="5" t="s">
        <v>2368</v>
      </c>
      <c r="G53" s="5" t="s">
        <v>141</v>
      </c>
      <c r="H53" s="5" t="s">
        <v>2455</v>
      </c>
      <c r="I53" s="5" t="s">
        <v>2348</v>
      </c>
      <c r="J53" s="5" t="s">
        <v>1036</v>
      </c>
      <c r="K53" s="6" t="s">
        <v>2349</v>
      </c>
      <c r="L53" s="8" t="s">
        <v>2350</v>
      </c>
    </row>
    <row r="54" customFormat="false" ht="15" hidden="false" customHeight="true" outlineLevel="0" collapsed="false">
      <c r="A54" s="5" t="s">
        <v>2476</v>
      </c>
      <c r="B54" s="5" t="s">
        <v>2477</v>
      </c>
      <c r="C54" s="5" t="s">
        <v>2478</v>
      </c>
      <c r="D54" s="6" t="s">
        <v>2479</v>
      </c>
      <c r="E54" s="5" t="n">
        <v>5</v>
      </c>
      <c r="F54" s="5" t="s">
        <v>908</v>
      </c>
      <c r="G54" s="5" t="s">
        <v>118</v>
      </c>
      <c r="H54" s="5" t="s">
        <v>2480</v>
      </c>
      <c r="I54" s="5" t="s">
        <v>2481</v>
      </c>
      <c r="J54" s="5" t="s">
        <v>2288</v>
      </c>
      <c r="K54" s="6" t="s">
        <v>2482</v>
      </c>
      <c r="L54" s="8" t="s">
        <v>2483</v>
      </c>
    </row>
    <row r="55" customFormat="false" ht="15" hidden="false" customHeight="true" outlineLevel="0" collapsed="false">
      <c r="A55" s="5" t="s">
        <v>2484</v>
      </c>
      <c r="B55" s="5" t="s">
        <v>2477</v>
      </c>
      <c r="C55" s="5" t="s">
        <v>2478</v>
      </c>
      <c r="D55" s="6" t="s">
        <v>2485</v>
      </c>
      <c r="E55" s="5" t="n">
        <v>3</v>
      </c>
      <c r="F55" s="5" t="s">
        <v>908</v>
      </c>
      <c r="G55" s="5" t="s">
        <v>118</v>
      </c>
      <c r="H55" s="5" t="s">
        <v>2480</v>
      </c>
      <c r="I55" s="5" t="s">
        <v>2481</v>
      </c>
      <c r="J55" s="5" t="s">
        <v>2288</v>
      </c>
      <c r="K55" s="6" t="s">
        <v>2486</v>
      </c>
      <c r="L55" s="8" t="s">
        <v>2483</v>
      </c>
    </row>
    <row r="56" customFormat="false" ht="15" hidden="false" customHeight="true" outlineLevel="0" collapsed="false">
      <c r="A56" s="5" t="s">
        <v>2487</v>
      </c>
      <c r="B56" s="5" t="s">
        <v>2477</v>
      </c>
      <c r="C56" s="5" t="s">
        <v>2478</v>
      </c>
      <c r="D56" s="6" t="s">
        <v>2488</v>
      </c>
      <c r="E56" s="5" t="n">
        <v>3</v>
      </c>
      <c r="F56" s="5" t="s">
        <v>965</v>
      </c>
      <c r="G56" s="5" t="s">
        <v>2346</v>
      </c>
      <c r="H56" s="5" t="s">
        <v>2480</v>
      </c>
      <c r="I56" s="5" t="s">
        <v>2348</v>
      </c>
      <c r="J56" s="5" t="s">
        <v>1036</v>
      </c>
      <c r="K56" s="6" t="s">
        <v>2489</v>
      </c>
      <c r="L56" s="8" t="s">
        <v>2483</v>
      </c>
    </row>
    <row r="57" customFormat="false" ht="15" hidden="false" customHeight="true" outlineLevel="0" collapsed="false">
      <c r="A57" s="5" t="s">
        <v>2490</v>
      </c>
      <c r="B57" s="5" t="s">
        <v>2477</v>
      </c>
      <c r="C57" s="5" t="s">
        <v>2478</v>
      </c>
      <c r="D57" s="6" t="s">
        <v>2491</v>
      </c>
      <c r="E57" s="5" t="n">
        <v>5</v>
      </c>
      <c r="F57" s="5" t="s">
        <v>908</v>
      </c>
      <c r="G57" s="5" t="s">
        <v>2346</v>
      </c>
      <c r="H57" s="5" t="s">
        <v>2480</v>
      </c>
      <c r="I57" s="5" t="s">
        <v>2348</v>
      </c>
      <c r="J57" s="5" t="s">
        <v>1036</v>
      </c>
      <c r="K57" s="6" t="s">
        <v>2492</v>
      </c>
      <c r="L57" s="8" t="s">
        <v>2493</v>
      </c>
    </row>
    <row r="58" customFormat="false" ht="15" hidden="false" customHeight="true" outlineLevel="0" collapsed="false">
      <c r="A58" s="5" t="s">
        <v>2494</v>
      </c>
      <c r="B58" s="5" t="s">
        <v>2477</v>
      </c>
      <c r="C58" s="5" t="s">
        <v>2478</v>
      </c>
      <c r="D58" s="6" t="s">
        <v>2495</v>
      </c>
      <c r="E58" s="5" t="n">
        <v>3</v>
      </c>
      <c r="F58" s="5" t="s">
        <v>908</v>
      </c>
      <c r="G58" s="5" t="s">
        <v>118</v>
      </c>
      <c r="H58" s="5" t="s">
        <v>2480</v>
      </c>
      <c r="I58" s="5" t="s">
        <v>2481</v>
      </c>
      <c r="J58" s="5" t="s">
        <v>2288</v>
      </c>
      <c r="K58" s="6" t="s">
        <v>2496</v>
      </c>
      <c r="L58" s="8" t="s">
        <v>2483</v>
      </c>
    </row>
    <row r="59" customFormat="false" ht="15" hidden="false" customHeight="true" outlineLevel="0" collapsed="false">
      <c r="A59" s="5" t="s">
        <v>2497</v>
      </c>
      <c r="B59" s="5" t="s">
        <v>2477</v>
      </c>
      <c r="C59" s="5" t="s">
        <v>2478</v>
      </c>
      <c r="D59" s="6" t="s">
        <v>2498</v>
      </c>
      <c r="E59" s="5" t="n">
        <v>2</v>
      </c>
      <c r="F59" s="5" t="s">
        <v>965</v>
      </c>
      <c r="G59" s="5" t="s">
        <v>118</v>
      </c>
      <c r="H59" s="5" t="s">
        <v>2480</v>
      </c>
      <c r="I59" s="5" t="s">
        <v>2348</v>
      </c>
      <c r="J59" s="5" t="s">
        <v>1036</v>
      </c>
      <c r="K59" s="6" t="s">
        <v>2489</v>
      </c>
      <c r="L59" s="8" t="s">
        <v>2483</v>
      </c>
    </row>
    <row r="60" customFormat="false" ht="15" hidden="false" customHeight="true" outlineLevel="0" collapsed="false">
      <c r="A60" s="5" t="s">
        <v>2499</v>
      </c>
      <c r="B60" s="5" t="s">
        <v>2500</v>
      </c>
      <c r="C60" s="5" t="s">
        <v>2501</v>
      </c>
      <c r="D60" s="6" t="s">
        <v>2502</v>
      </c>
      <c r="E60" s="5" t="n">
        <v>5</v>
      </c>
      <c r="F60" s="5" t="s">
        <v>908</v>
      </c>
      <c r="G60" s="5" t="s">
        <v>2430</v>
      </c>
      <c r="H60" s="5" t="s">
        <v>2503</v>
      </c>
      <c r="I60" s="5" t="s">
        <v>2348</v>
      </c>
      <c r="J60" s="5" t="s">
        <v>1036</v>
      </c>
      <c r="K60" s="6" t="s">
        <v>2504</v>
      </c>
      <c r="L60" s="8" t="s">
        <v>2505</v>
      </c>
    </row>
    <row r="61" customFormat="false" ht="15" hidden="false" customHeight="true" outlineLevel="0" collapsed="false">
      <c r="A61" s="5" t="s">
        <v>2506</v>
      </c>
      <c r="B61" s="5" t="s">
        <v>2500</v>
      </c>
      <c r="C61" s="5" t="s">
        <v>2501</v>
      </c>
      <c r="D61" s="6" t="s">
        <v>2507</v>
      </c>
      <c r="E61" s="5" t="n">
        <v>5</v>
      </c>
      <c r="F61" s="5" t="s">
        <v>908</v>
      </c>
      <c r="G61" s="5" t="s">
        <v>2430</v>
      </c>
      <c r="H61" s="5" t="s">
        <v>2503</v>
      </c>
      <c r="I61" s="5" t="s">
        <v>2348</v>
      </c>
      <c r="J61" s="5" t="s">
        <v>1036</v>
      </c>
      <c r="K61" s="6" t="s">
        <v>2504</v>
      </c>
      <c r="L61" s="8" t="s">
        <v>2505</v>
      </c>
    </row>
    <row r="62" customFormat="false" ht="15" hidden="false" customHeight="true" outlineLevel="0" collapsed="false">
      <c r="A62" s="5" t="s">
        <v>2508</v>
      </c>
      <c r="B62" s="5" t="s">
        <v>2500</v>
      </c>
      <c r="C62" s="5" t="s">
        <v>2501</v>
      </c>
      <c r="D62" s="6" t="s">
        <v>2509</v>
      </c>
      <c r="E62" s="5" t="n">
        <v>8</v>
      </c>
      <c r="F62" s="5" t="s">
        <v>908</v>
      </c>
      <c r="G62" s="5" t="s">
        <v>2430</v>
      </c>
      <c r="H62" s="5" t="s">
        <v>2503</v>
      </c>
      <c r="I62" s="5" t="s">
        <v>2481</v>
      </c>
      <c r="J62" s="5" t="s">
        <v>2288</v>
      </c>
      <c r="K62" s="6" t="s">
        <v>2504</v>
      </c>
      <c r="L62" s="8" t="s">
        <v>2505</v>
      </c>
    </row>
    <row r="63" customFormat="false" ht="15" hidden="false" customHeight="true" outlineLevel="0" collapsed="false">
      <c r="A63" s="5" t="s">
        <v>2510</v>
      </c>
      <c r="B63" s="5" t="s">
        <v>2500</v>
      </c>
      <c r="C63" s="5" t="s">
        <v>2501</v>
      </c>
      <c r="D63" s="6" t="s">
        <v>2511</v>
      </c>
      <c r="E63" s="5" t="n">
        <v>3</v>
      </c>
      <c r="F63" s="5" t="s">
        <v>965</v>
      </c>
      <c r="G63" s="5" t="s">
        <v>2512</v>
      </c>
      <c r="H63" s="5" t="s">
        <v>2503</v>
      </c>
      <c r="I63" s="5" t="s">
        <v>2348</v>
      </c>
      <c r="J63" s="5" t="s">
        <v>1036</v>
      </c>
      <c r="K63" s="6" t="s">
        <v>2513</v>
      </c>
      <c r="L63" s="8" t="s">
        <v>2505</v>
      </c>
    </row>
    <row r="64" customFormat="false" ht="15" hidden="false" customHeight="true" outlineLevel="0" collapsed="false">
      <c r="A64" s="5" t="s">
        <v>2514</v>
      </c>
      <c r="B64" s="5" t="s">
        <v>2500</v>
      </c>
      <c r="C64" s="5" t="s">
        <v>2501</v>
      </c>
      <c r="D64" s="6" t="s">
        <v>2515</v>
      </c>
      <c r="E64" s="5" t="n">
        <v>3</v>
      </c>
      <c r="F64" s="5" t="s">
        <v>965</v>
      </c>
      <c r="G64" s="5" t="s">
        <v>2512</v>
      </c>
      <c r="H64" s="5" t="s">
        <v>2503</v>
      </c>
      <c r="I64" s="5" t="s">
        <v>2348</v>
      </c>
      <c r="J64" s="5" t="s">
        <v>1036</v>
      </c>
      <c r="K64" s="6" t="s">
        <v>2516</v>
      </c>
      <c r="L64" s="8" t="s">
        <v>2505</v>
      </c>
    </row>
    <row r="65" customFormat="false" ht="15" hidden="false" customHeight="true" outlineLevel="0" collapsed="false">
      <c r="A65" s="5" t="s">
        <v>2517</v>
      </c>
      <c r="B65" s="5" t="s">
        <v>2500</v>
      </c>
      <c r="C65" s="5" t="s">
        <v>2501</v>
      </c>
      <c r="D65" s="6" t="s">
        <v>2518</v>
      </c>
      <c r="E65" s="5" t="n">
        <v>3</v>
      </c>
      <c r="F65" s="5" t="s">
        <v>2368</v>
      </c>
      <c r="G65" s="5" t="s">
        <v>2512</v>
      </c>
      <c r="H65" s="5" t="s">
        <v>2503</v>
      </c>
      <c r="I65" s="5" t="s">
        <v>2348</v>
      </c>
      <c r="J65" s="5" t="s">
        <v>1036</v>
      </c>
      <c r="K65" s="6" t="s">
        <v>2504</v>
      </c>
      <c r="L65" s="8" t="s">
        <v>2505</v>
      </c>
    </row>
    <row r="66" customFormat="false" ht="15" hidden="false" customHeight="true" outlineLevel="0" collapsed="false">
      <c r="A66" s="5" t="s">
        <v>2519</v>
      </c>
      <c r="B66" s="5" t="s">
        <v>2500</v>
      </c>
      <c r="C66" s="5" t="s">
        <v>2501</v>
      </c>
      <c r="D66" s="6" t="s">
        <v>2520</v>
      </c>
      <c r="E66" s="5" t="n">
        <v>3</v>
      </c>
      <c r="F66" s="5" t="s">
        <v>965</v>
      </c>
      <c r="G66" s="5" t="s">
        <v>2512</v>
      </c>
      <c r="H66" s="5" t="s">
        <v>2503</v>
      </c>
      <c r="I66" s="5" t="s">
        <v>2348</v>
      </c>
      <c r="J66" s="5" t="s">
        <v>1036</v>
      </c>
      <c r="K66" s="6" t="s">
        <v>2504</v>
      </c>
      <c r="L66" s="8" t="s">
        <v>2505</v>
      </c>
    </row>
    <row r="67" customFormat="false" ht="15" hidden="false" customHeight="true" outlineLevel="0" collapsed="false">
      <c r="A67" s="5" t="s">
        <v>2521</v>
      </c>
      <c r="B67" s="5" t="s">
        <v>2522</v>
      </c>
      <c r="C67" s="5" t="s">
        <v>2523</v>
      </c>
      <c r="D67" s="6" t="s">
        <v>2524</v>
      </c>
      <c r="E67" s="5" t="n">
        <v>3</v>
      </c>
      <c r="F67" s="5" t="s">
        <v>908</v>
      </c>
      <c r="G67" s="5" t="s">
        <v>2512</v>
      </c>
      <c r="H67" s="5" t="s">
        <v>2525</v>
      </c>
      <c r="I67" s="5" t="s">
        <v>2348</v>
      </c>
      <c r="J67" s="5" t="s">
        <v>1036</v>
      </c>
      <c r="K67" s="6" t="s">
        <v>2526</v>
      </c>
      <c r="L67" s="8" t="s">
        <v>2527</v>
      </c>
    </row>
    <row r="68" customFormat="false" ht="15" hidden="false" customHeight="true" outlineLevel="0" collapsed="false">
      <c r="A68" s="5" t="s">
        <v>2528</v>
      </c>
      <c r="B68" s="5" t="s">
        <v>2522</v>
      </c>
      <c r="C68" s="5" t="s">
        <v>2523</v>
      </c>
      <c r="D68" s="6" t="s">
        <v>2529</v>
      </c>
      <c r="E68" s="5" t="n">
        <v>3</v>
      </c>
      <c r="F68" s="5" t="s">
        <v>908</v>
      </c>
      <c r="G68" s="5" t="s">
        <v>141</v>
      </c>
      <c r="H68" s="5" t="s">
        <v>2525</v>
      </c>
      <c r="I68" s="5" t="s">
        <v>2530</v>
      </c>
      <c r="J68" s="5" t="s">
        <v>1235</v>
      </c>
      <c r="K68" s="6" t="s">
        <v>2531</v>
      </c>
      <c r="L68" s="8" t="s">
        <v>2532</v>
      </c>
    </row>
    <row r="69" customFormat="false" ht="15" hidden="false" customHeight="true" outlineLevel="0" collapsed="false">
      <c r="A69" s="5" t="s">
        <v>1338</v>
      </c>
      <c r="B69" s="5" t="s">
        <v>2522</v>
      </c>
      <c r="C69" s="5" t="s">
        <v>2523</v>
      </c>
      <c r="D69" s="6" t="s">
        <v>2533</v>
      </c>
      <c r="E69" s="5" t="n">
        <v>5</v>
      </c>
      <c r="F69" s="5" t="s">
        <v>908</v>
      </c>
      <c r="G69" s="5" t="s">
        <v>141</v>
      </c>
      <c r="H69" s="5" t="s">
        <v>2525</v>
      </c>
      <c r="I69" s="5" t="s">
        <v>2481</v>
      </c>
      <c r="J69" s="5" t="s">
        <v>2288</v>
      </c>
      <c r="K69" s="6" t="s">
        <v>2534</v>
      </c>
      <c r="L69" s="8" t="s">
        <v>2527</v>
      </c>
    </row>
    <row r="70" customFormat="false" ht="15" hidden="false" customHeight="true" outlineLevel="0" collapsed="false">
      <c r="A70" s="5" t="s">
        <v>2535</v>
      </c>
      <c r="B70" s="5" t="s">
        <v>2522</v>
      </c>
      <c r="C70" s="5" t="s">
        <v>2523</v>
      </c>
      <c r="D70" s="6" t="s">
        <v>2536</v>
      </c>
      <c r="E70" s="5" t="n">
        <v>5</v>
      </c>
      <c r="F70" s="5" t="s">
        <v>965</v>
      </c>
      <c r="G70" s="5" t="s">
        <v>141</v>
      </c>
      <c r="H70" s="5" t="s">
        <v>2525</v>
      </c>
      <c r="I70" s="5" t="s">
        <v>2348</v>
      </c>
      <c r="J70" s="5" t="s">
        <v>1036</v>
      </c>
      <c r="K70" s="6" t="s">
        <v>2537</v>
      </c>
      <c r="L70" s="8" t="s">
        <v>2527</v>
      </c>
    </row>
    <row r="71" customFormat="false" ht="15" hidden="false" customHeight="true" outlineLevel="0" collapsed="false">
      <c r="A71" s="5" t="s">
        <v>1343</v>
      </c>
      <c r="B71" s="5" t="s">
        <v>2522</v>
      </c>
      <c r="C71" s="5" t="s">
        <v>2523</v>
      </c>
      <c r="D71" s="6" t="s">
        <v>2538</v>
      </c>
      <c r="E71" s="5" t="n">
        <v>8</v>
      </c>
      <c r="F71" s="5" t="s">
        <v>908</v>
      </c>
      <c r="G71" s="5" t="s">
        <v>2539</v>
      </c>
      <c r="H71" s="5" t="s">
        <v>2525</v>
      </c>
      <c r="I71" s="5" t="s">
        <v>2540</v>
      </c>
      <c r="J71" s="5" t="s">
        <v>2283</v>
      </c>
      <c r="K71" s="6" t="s">
        <v>2541</v>
      </c>
      <c r="L71" s="8" t="s">
        <v>2532</v>
      </c>
    </row>
    <row r="72" customFormat="false" ht="15" hidden="false" customHeight="true" outlineLevel="0" collapsed="false">
      <c r="A72" s="5" t="s">
        <v>2542</v>
      </c>
      <c r="B72" s="5" t="s">
        <v>2522</v>
      </c>
      <c r="C72" s="5" t="s">
        <v>2523</v>
      </c>
      <c r="D72" s="6" t="s">
        <v>2543</v>
      </c>
      <c r="E72" s="5" t="n">
        <v>5</v>
      </c>
      <c r="F72" s="5" t="s">
        <v>908</v>
      </c>
      <c r="G72" s="5" t="s">
        <v>2539</v>
      </c>
      <c r="H72" s="5" t="s">
        <v>2525</v>
      </c>
      <c r="I72" s="5" t="s">
        <v>2348</v>
      </c>
      <c r="J72" s="5" t="s">
        <v>1036</v>
      </c>
      <c r="K72" s="6" t="s">
        <v>2544</v>
      </c>
      <c r="L72" s="8" t="s">
        <v>2545</v>
      </c>
    </row>
    <row r="73" customFormat="false" ht="15" hidden="false" customHeight="true" outlineLevel="0" collapsed="false">
      <c r="A73" s="5" t="s">
        <v>2546</v>
      </c>
      <c r="B73" s="5" t="s">
        <v>2522</v>
      </c>
      <c r="C73" s="5" t="s">
        <v>2523</v>
      </c>
      <c r="D73" s="6" t="s">
        <v>2547</v>
      </c>
      <c r="E73" s="5" t="n">
        <v>5</v>
      </c>
      <c r="F73" s="5" t="s">
        <v>908</v>
      </c>
      <c r="G73" s="5" t="s">
        <v>141</v>
      </c>
      <c r="H73" s="5" t="s">
        <v>2525</v>
      </c>
      <c r="I73" s="5" t="s">
        <v>2348</v>
      </c>
      <c r="J73" s="5" t="s">
        <v>1036</v>
      </c>
      <c r="K73" s="6" t="s">
        <v>2548</v>
      </c>
      <c r="L73" s="8" t="s">
        <v>2527</v>
      </c>
    </row>
    <row r="74" customFormat="false" ht="15" hidden="false" customHeight="true" outlineLevel="0" collapsed="false">
      <c r="A74" s="5" t="s">
        <v>2549</v>
      </c>
      <c r="B74" s="5" t="s">
        <v>2550</v>
      </c>
      <c r="C74" s="5" t="s">
        <v>2551</v>
      </c>
      <c r="D74" s="6" t="s">
        <v>2552</v>
      </c>
      <c r="E74" s="5" t="n">
        <v>5</v>
      </c>
      <c r="F74" s="5" t="s">
        <v>908</v>
      </c>
      <c r="G74" s="5" t="s">
        <v>2389</v>
      </c>
      <c r="H74" s="5" t="s">
        <v>2553</v>
      </c>
      <c r="I74" s="5" t="s">
        <v>2348</v>
      </c>
      <c r="J74" s="5" t="s">
        <v>1036</v>
      </c>
      <c r="K74" s="6" t="s">
        <v>2554</v>
      </c>
      <c r="L74" s="8" t="s">
        <v>2555</v>
      </c>
    </row>
    <row r="75" customFormat="false" ht="15" hidden="false" customHeight="true" outlineLevel="0" collapsed="false">
      <c r="A75" s="5" t="s">
        <v>1615</v>
      </c>
      <c r="B75" s="5" t="s">
        <v>2550</v>
      </c>
      <c r="C75" s="5" t="s">
        <v>2551</v>
      </c>
      <c r="D75" s="6" t="s">
        <v>2556</v>
      </c>
      <c r="E75" s="5" t="n">
        <v>3</v>
      </c>
      <c r="F75" s="5" t="s">
        <v>908</v>
      </c>
      <c r="G75" s="5" t="s">
        <v>2389</v>
      </c>
      <c r="H75" s="5" t="s">
        <v>2553</v>
      </c>
      <c r="I75" s="5" t="s">
        <v>2348</v>
      </c>
      <c r="J75" s="5" t="s">
        <v>1036</v>
      </c>
      <c r="K75" s="6" t="s">
        <v>2554</v>
      </c>
      <c r="L75" s="8" t="s">
        <v>2555</v>
      </c>
    </row>
    <row r="76" customFormat="false" ht="15" hidden="false" customHeight="true" outlineLevel="0" collapsed="false">
      <c r="A76" s="5" t="s">
        <v>2557</v>
      </c>
      <c r="B76" s="5" t="s">
        <v>2550</v>
      </c>
      <c r="C76" s="5" t="s">
        <v>2551</v>
      </c>
      <c r="D76" s="6" t="s">
        <v>2558</v>
      </c>
      <c r="E76" s="5" t="n">
        <v>3</v>
      </c>
      <c r="F76" s="5" t="s">
        <v>2368</v>
      </c>
      <c r="G76" s="5" t="s">
        <v>141</v>
      </c>
      <c r="H76" s="5" t="s">
        <v>2553</v>
      </c>
      <c r="I76" s="5" t="s">
        <v>2348</v>
      </c>
      <c r="J76" s="5" t="s">
        <v>1036</v>
      </c>
      <c r="K76" s="6" t="s">
        <v>2554</v>
      </c>
      <c r="L76" s="8" t="s">
        <v>2559</v>
      </c>
    </row>
    <row r="77" customFormat="false" ht="15" hidden="false" customHeight="true" outlineLevel="0" collapsed="false">
      <c r="A77" s="5" t="s">
        <v>1230</v>
      </c>
      <c r="B77" s="5" t="s">
        <v>2550</v>
      </c>
      <c r="C77" s="5" t="s">
        <v>2551</v>
      </c>
      <c r="D77" s="6" t="s">
        <v>2560</v>
      </c>
      <c r="E77" s="5" t="n">
        <v>2</v>
      </c>
      <c r="F77" s="5" t="s">
        <v>2368</v>
      </c>
      <c r="G77" s="5" t="s">
        <v>141</v>
      </c>
      <c r="H77" s="5" t="s">
        <v>2553</v>
      </c>
      <c r="I77" s="5" t="s">
        <v>2348</v>
      </c>
      <c r="J77" s="5" t="s">
        <v>1036</v>
      </c>
      <c r="K77" s="6" t="s">
        <v>2561</v>
      </c>
      <c r="L77" s="8" t="s">
        <v>2555</v>
      </c>
    </row>
    <row r="78" customFormat="false" ht="15" hidden="false" customHeight="true" outlineLevel="0" collapsed="false">
      <c r="A78" s="5" t="s">
        <v>2562</v>
      </c>
      <c r="B78" s="5" t="s">
        <v>2550</v>
      </c>
      <c r="C78" s="5" t="s">
        <v>2551</v>
      </c>
      <c r="D78" s="6" t="s">
        <v>2563</v>
      </c>
      <c r="E78" s="5" t="n">
        <v>5</v>
      </c>
      <c r="F78" s="5" t="s">
        <v>965</v>
      </c>
      <c r="G78" s="5" t="s">
        <v>141</v>
      </c>
      <c r="H78" s="5" t="s">
        <v>2553</v>
      </c>
      <c r="I78" s="5" t="s">
        <v>2348</v>
      </c>
      <c r="J78" s="5" t="s">
        <v>1036</v>
      </c>
      <c r="K78" s="6" t="s">
        <v>2554</v>
      </c>
      <c r="L78" s="8" t="s">
        <v>2559</v>
      </c>
    </row>
    <row r="79" customFormat="false" ht="15" hidden="false" customHeight="true" outlineLevel="0" collapsed="false">
      <c r="A79" s="5" t="s">
        <v>1623</v>
      </c>
      <c r="B79" s="5" t="s">
        <v>2550</v>
      </c>
      <c r="C79" s="5" t="s">
        <v>2551</v>
      </c>
      <c r="D79" s="6" t="s">
        <v>2564</v>
      </c>
      <c r="E79" s="5" t="n">
        <v>3</v>
      </c>
      <c r="F79" s="5" t="s">
        <v>2368</v>
      </c>
      <c r="G79" s="5" t="s">
        <v>141</v>
      </c>
      <c r="H79" s="5" t="s">
        <v>2553</v>
      </c>
      <c r="I79" s="5" t="s">
        <v>2348</v>
      </c>
      <c r="J79" s="5" t="s">
        <v>1036</v>
      </c>
      <c r="K79" s="6" t="s">
        <v>2554</v>
      </c>
      <c r="L79" s="8" t="s">
        <v>2559</v>
      </c>
    </row>
    <row r="80" customFormat="false" ht="15" hidden="false" customHeight="true" outlineLevel="0" collapsed="false">
      <c r="A80" s="5" t="s">
        <v>1627</v>
      </c>
      <c r="B80" s="5" t="s">
        <v>2550</v>
      </c>
      <c r="C80" s="5" t="s">
        <v>2551</v>
      </c>
      <c r="D80" s="6" t="s">
        <v>2565</v>
      </c>
      <c r="E80" s="5" t="n">
        <v>3</v>
      </c>
      <c r="F80" s="5" t="s">
        <v>2368</v>
      </c>
      <c r="G80" s="5" t="s">
        <v>141</v>
      </c>
      <c r="H80" s="5" t="s">
        <v>2553</v>
      </c>
      <c r="I80" s="5" t="s">
        <v>2348</v>
      </c>
      <c r="J80" s="5" t="s">
        <v>1036</v>
      </c>
      <c r="K80" s="6" t="s">
        <v>2554</v>
      </c>
      <c r="L80" s="8" t="s">
        <v>2559</v>
      </c>
    </row>
    <row r="81" customFormat="false" ht="15" hidden="false" customHeight="true" outlineLevel="0" collapsed="false">
      <c r="A81" s="5" t="s">
        <v>2566</v>
      </c>
      <c r="B81" s="5" t="s">
        <v>2567</v>
      </c>
      <c r="C81" s="5" t="s">
        <v>2568</v>
      </c>
      <c r="D81" s="6" t="s">
        <v>2569</v>
      </c>
      <c r="E81" s="5" t="n">
        <v>5</v>
      </c>
      <c r="F81" s="5" t="s">
        <v>908</v>
      </c>
      <c r="G81" s="5" t="s">
        <v>2404</v>
      </c>
      <c r="H81" s="5" t="s">
        <v>2570</v>
      </c>
      <c r="I81" s="5" t="s">
        <v>2348</v>
      </c>
      <c r="J81" s="5" t="s">
        <v>1036</v>
      </c>
      <c r="K81" s="6" t="s">
        <v>2571</v>
      </c>
      <c r="L81" s="8" t="s">
        <v>2572</v>
      </c>
    </row>
    <row r="82" customFormat="false" ht="15" hidden="false" customHeight="true" outlineLevel="0" collapsed="false">
      <c r="A82" s="5" t="s">
        <v>2573</v>
      </c>
      <c r="B82" s="5" t="s">
        <v>2567</v>
      </c>
      <c r="C82" s="5" t="s">
        <v>2568</v>
      </c>
      <c r="D82" s="6" t="s">
        <v>2574</v>
      </c>
      <c r="E82" s="5" t="n">
        <v>3</v>
      </c>
      <c r="F82" s="5" t="s">
        <v>965</v>
      </c>
      <c r="G82" s="5" t="s">
        <v>2404</v>
      </c>
      <c r="H82" s="5" t="s">
        <v>2570</v>
      </c>
      <c r="I82" s="5" t="s">
        <v>2348</v>
      </c>
      <c r="J82" s="5" t="s">
        <v>1036</v>
      </c>
      <c r="K82" s="6" t="s">
        <v>2571</v>
      </c>
      <c r="L82" s="8" t="s">
        <v>2572</v>
      </c>
    </row>
    <row r="83" customFormat="false" ht="15" hidden="false" customHeight="true" outlineLevel="0" collapsed="false">
      <c r="A83" s="5" t="s">
        <v>1255</v>
      </c>
      <c r="B83" s="5" t="s">
        <v>2567</v>
      </c>
      <c r="C83" s="5" t="s">
        <v>2568</v>
      </c>
      <c r="D83" s="6" t="s">
        <v>2575</v>
      </c>
      <c r="E83" s="5" t="n">
        <v>5</v>
      </c>
      <c r="F83" s="5" t="s">
        <v>965</v>
      </c>
      <c r="G83" s="5" t="s">
        <v>192</v>
      </c>
      <c r="H83" s="5" t="s">
        <v>2570</v>
      </c>
      <c r="I83" s="5" t="s">
        <v>2530</v>
      </c>
      <c r="J83" s="5" t="s">
        <v>1235</v>
      </c>
      <c r="K83" s="6" t="s">
        <v>2576</v>
      </c>
      <c r="L83" s="8" t="s">
        <v>2532</v>
      </c>
    </row>
    <row r="84" customFormat="false" ht="15" hidden="false" customHeight="true" outlineLevel="0" collapsed="false">
      <c r="A84" s="5" t="s">
        <v>1348</v>
      </c>
      <c r="B84" s="5" t="s">
        <v>2567</v>
      </c>
      <c r="C84" s="5" t="s">
        <v>2568</v>
      </c>
      <c r="D84" s="6" t="s">
        <v>2577</v>
      </c>
      <c r="E84" s="5" t="n">
        <v>3</v>
      </c>
      <c r="F84" s="5" t="s">
        <v>908</v>
      </c>
      <c r="G84" s="5" t="s">
        <v>192</v>
      </c>
      <c r="H84" s="5" t="s">
        <v>2570</v>
      </c>
      <c r="I84" s="5" t="s">
        <v>2481</v>
      </c>
      <c r="J84" s="5" t="s">
        <v>2288</v>
      </c>
      <c r="K84" s="6" t="s">
        <v>2578</v>
      </c>
      <c r="L84" s="8" t="s">
        <v>2572</v>
      </c>
    </row>
    <row r="85" customFormat="false" ht="15" hidden="false" customHeight="true" outlineLevel="0" collapsed="false">
      <c r="A85" s="5" t="s">
        <v>2579</v>
      </c>
      <c r="B85" s="5" t="s">
        <v>2567</v>
      </c>
      <c r="C85" s="5" t="s">
        <v>2568</v>
      </c>
      <c r="D85" s="6" t="s">
        <v>2580</v>
      </c>
      <c r="E85" s="5" t="n">
        <v>3</v>
      </c>
      <c r="F85" s="5" t="s">
        <v>965</v>
      </c>
      <c r="G85" s="5" t="s">
        <v>340</v>
      </c>
      <c r="H85" s="5" t="s">
        <v>2570</v>
      </c>
      <c r="I85" s="5" t="s">
        <v>2348</v>
      </c>
      <c r="J85" s="5" t="s">
        <v>1036</v>
      </c>
      <c r="K85" s="6" t="s">
        <v>2571</v>
      </c>
      <c r="L85" s="8" t="s">
        <v>2572</v>
      </c>
    </row>
    <row r="86" customFormat="false" ht="15" hidden="false" customHeight="true" outlineLevel="0" collapsed="false">
      <c r="A86" s="5" t="s">
        <v>2581</v>
      </c>
      <c r="B86" s="5" t="s">
        <v>2567</v>
      </c>
      <c r="C86" s="5" t="s">
        <v>2568</v>
      </c>
      <c r="D86" s="6" t="s">
        <v>2582</v>
      </c>
      <c r="E86" s="5" t="n">
        <v>5</v>
      </c>
      <c r="F86" s="5" t="s">
        <v>965</v>
      </c>
      <c r="G86" s="5" t="s">
        <v>192</v>
      </c>
      <c r="H86" s="5" t="s">
        <v>2570</v>
      </c>
      <c r="I86" s="5" t="s">
        <v>2583</v>
      </c>
      <c r="J86" s="5" t="s">
        <v>2584</v>
      </c>
      <c r="K86" s="6" t="s">
        <v>2585</v>
      </c>
      <c r="L86" s="8" t="s">
        <v>2532</v>
      </c>
    </row>
    <row r="87" customFormat="false" ht="15" hidden="false" customHeight="true" outlineLevel="0" collapsed="false">
      <c r="A87" s="5" t="s">
        <v>1251</v>
      </c>
      <c r="B87" s="5" t="s">
        <v>2567</v>
      </c>
      <c r="C87" s="5" t="s">
        <v>2568</v>
      </c>
      <c r="D87" s="6" t="s">
        <v>2586</v>
      </c>
      <c r="E87" s="5" t="n">
        <v>2</v>
      </c>
      <c r="F87" s="5" t="s">
        <v>2368</v>
      </c>
      <c r="G87" s="5" t="s">
        <v>192</v>
      </c>
      <c r="H87" s="5" t="s">
        <v>2570</v>
      </c>
      <c r="I87" s="5" t="s">
        <v>2530</v>
      </c>
      <c r="J87" s="5" t="s">
        <v>1235</v>
      </c>
      <c r="K87" s="6" t="s">
        <v>2587</v>
      </c>
      <c r="L87" s="8" t="s">
        <v>2532</v>
      </c>
    </row>
    <row r="88" customFormat="false" ht="15" hidden="false" customHeight="true" outlineLevel="0" collapsed="false">
      <c r="A88" s="5" t="s">
        <v>2588</v>
      </c>
      <c r="B88" s="5" t="s">
        <v>147</v>
      </c>
      <c r="C88" s="5" t="s">
        <v>2589</v>
      </c>
      <c r="D88" s="6" t="s">
        <v>2590</v>
      </c>
      <c r="E88" s="5" t="n">
        <v>5</v>
      </c>
      <c r="F88" s="5" t="s">
        <v>908</v>
      </c>
      <c r="G88" s="5" t="s">
        <v>2361</v>
      </c>
      <c r="H88" s="5" t="s">
        <v>112</v>
      </c>
      <c r="I88" s="5" t="s">
        <v>2348</v>
      </c>
      <c r="J88" s="5" t="s">
        <v>1036</v>
      </c>
      <c r="K88" s="6" t="s">
        <v>2591</v>
      </c>
      <c r="L88" s="8" t="s">
        <v>2592</v>
      </c>
    </row>
    <row r="89" customFormat="false" ht="15" hidden="false" customHeight="true" outlineLevel="0" collapsed="false">
      <c r="A89" s="5" t="s">
        <v>1213</v>
      </c>
      <c r="B89" s="5" t="s">
        <v>147</v>
      </c>
      <c r="C89" s="5" t="s">
        <v>2589</v>
      </c>
      <c r="D89" s="6" t="s">
        <v>2593</v>
      </c>
      <c r="E89" s="5" t="n">
        <v>5</v>
      </c>
      <c r="F89" s="5" t="s">
        <v>908</v>
      </c>
      <c r="G89" s="5" t="s">
        <v>2389</v>
      </c>
      <c r="H89" s="5" t="s">
        <v>112</v>
      </c>
      <c r="I89" s="5" t="s">
        <v>2348</v>
      </c>
      <c r="J89" s="5" t="s">
        <v>1036</v>
      </c>
      <c r="K89" s="6" t="s">
        <v>2594</v>
      </c>
      <c r="L89" s="8" t="s">
        <v>2592</v>
      </c>
    </row>
    <row r="90" customFormat="false" ht="15" hidden="false" customHeight="true" outlineLevel="0" collapsed="false">
      <c r="A90" s="5" t="s">
        <v>1209</v>
      </c>
      <c r="B90" s="5" t="s">
        <v>147</v>
      </c>
      <c r="C90" s="5" t="s">
        <v>2589</v>
      </c>
      <c r="D90" s="6" t="s">
        <v>2595</v>
      </c>
      <c r="E90" s="5" t="n">
        <v>3</v>
      </c>
      <c r="F90" s="5" t="s">
        <v>908</v>
      </c>
      <c r="G90" s="5" t="s">
        <v>141</v>
      </c>
      <c r="H90" s="5" t="s">
        <v>112</v>
      </c>
      <c r="I90" s="5" t="s">
        <v>2348</v>
      </c>
      <c r="J90" s="5" t="s">
        <v>1036</v>
      </c>
      <c r="K90" s="6" t="s">
        <v>2596</v>
      </c>
      <c r="L90" s="8" t="s">
        <v>2592</v>
      </c>
    </row>
    <row r="91" customFormat="false" ht="15" hidden="false" customHeight="true" outlineLevel="0" collapsed="false">
      <c r="A91" s="5" t="s">
        <v>1259</v>
      </c>
      <c r="B91" s="5" t="s">
        <v>147</v>
      </c>
      <c r="C91" s="5" t="s">
        <v>2589</v>
      </c>
      <c r="D91" s="6" t="s">
        <v>2597</v>
      </c>
      <c r="E91" s="5" t="n">
        <v>5</v>
      </c>
      <c r="F91" s="5" t="s">
        <v>965</v>
      </c>
      <c r="G91" s="5" t="s">
        <v>141</v>
      </c>
      <c r="H91" s="5" t="s">
        <v>112</v>
      </c>
      <c r="I91" s="5" t="s">
        <v>2530</v>
      </c>
      <c r="J91" s="5" t="s">
        <v>1235</v>
      </c>
      <c r="K91" s="6" t="s">
        <v>2598</v>
      </c>
      <c r="L91" s="8" t="s">
        <v>2592</v>
      </c>
    </row>
    <row r="92" customFormat="false" ht="15" hidden="false" customHeight="true" outlineLevel="0" collapsed="false">
      <c r="A92" s="5" t="s">
        <v>1352</v>
      </c>
      <c r="B92" s="5" t="s">
        <v>147</v>
      </c>
      <c r="C92" s="5" t="s">
        <v>2589</v>
      </c>
      <c r="D92" s="6" t="s">
        <v>2599</v>
      </c>
      <c r="E92" s="5" t="n">
        <v>3</v>
      </c>
      <c r="F92" s="5" t="s">
        <v>965</v>
      </c>
      <c r="G92" s="5" t="s">
        <v>2539</v>
      </c>
      <c r="H92" s="5" t="s">
        <v>112</v>
      </c>
      <c r="I92" s="5" t="s">
        <v>2540</v>
      </c>
      <c r="J92" s="5" t="s">
        <v>2283</v>
      </c>
      <c r="K92" s="6" t="s">
        <v>2600</v>
      </c>
      <c r="L92" s="8" t="s">
        <v>2592</v>
      </c>
    </row>
    <row r="93" customFormat="false" ht="15" hidden="false" customHeight="true" outlineLevel="0" collapsed="false">
      <c r="A93" s="5" t="s">
        <v>1329</v>
      </c>
      <c r="B93" s="5" t="s">
        <v>147</v>
      </c>
      <c r="C93" s="5" t="s">
        <v>2589</v>
      </c>
      <c r="D93" s="6" t="s">
        <v>2601</v>
      </c>
      <c r="E93" s="5" t="n">
        <v>3</v>
      </c>
      <c r="F93" s="5" t="s">
        <v>965</v>
      </c>
      <c r="G93" s="5" t="s">
        <v>2539</v>
      </c>
      <c r="H93" s="5" t="s">
        <v>112</v>
      </c>
      <c r="I93" s="5" t="s">
        <v>2530</v>
      </c>
      <c r="J93" s="5" t="s">
        <v>1235</v>
      </c>
      <c r="K93" s="6" t="s">
        <v>2602</v>
      </c>
      <c r="L93" s="8" t="s">
        <v>2592</v>
      </c>
    </row>
    <row r="94" customFormat="false" ht="15" hidden="false" customHeight="true" outlineLevel="0" collapsed="false">
      <c r="A94" s="5" t="s">
        <v>1226</v>
      </c>
      <c r="B94" s="5" t="s">
        <v>147</v>
      </c>
      <c r="C94" s="5" t="s">
        <v>2589</v>
      </c>
      <c r="D94" s="6" t="s">
        <v>2603</v>
      </c>
      <c r="E94" s="5" t="n">
        <v>3</v>
      </c>
      <c r="F94" s="5" t="s">
        <v>2368</v>
      </c>
      <c r="G94" s="5" t="s">
        <v>2539</v>
      </c>
      <c r="H94" s="5" t="s">
        <v>112</v>
      </c>
      <c r="I94" s="5" t="s">
        <v>2348</v>
      </c>
      <c r="J94" s="5" t="s">
        <v>1036</v>
      </c>
      <c r="K94" s="6" t="s">
        <v>886</v>
      </c>
      <c r="L94" s="8" t="s">
        <v>2592</v>
      </c>
    </row>
    <row r="95" customFormat="false" ht="15" hidden="false" customHeight="true" outlineLevel="0" collapsed="false">
      <c r="A95" s="5" t="s">
        <v>1325</v>
      </c>
      <c r="B95" s="5" t="s">
        <v>147</v>
      </c>
      <c r="C95" s="5" t="s">
        <v>2589</v>
      </c>
      <c r="D95" s="6" t="s">
        <v>2604</v>
      </c>
      <c r="E95" s="5" t="n">
        <v>3</v>
      </c>
      <c r="F95" s="5" t="s">
        <v>2368</v>
      </c>
      <c r="G95" s="5" t="s">
        <v>141</v>
      </c>
      <c r="H95" s="5" t="s">
        <v>112</v>
      </c>
      <c r="I95" s="5" t="s">
        <v>2530</v>
      </c>
      <c r="J95" s="5" t="s">
        <v>1235</v>
      </c>
      <c r="K95" s="6" t="s">
        <v>2605</v>
      </c>
      <c r="L95" s="8" t="s">
        <v>2592</v>
      </c>
    </row>
    <row r="96" customFormat="false" ht="15" hidden="false" customHeight="true" outlineLevel="0" collapsed="false">
      <c r="A96" s="5" t="s">
        <v>1234</v>
      </c>
      <c r="B96" s="5" t="s">
        <v>2606</v>
      </c>
      <c r="C96" s="5" t="s">
        <v>2607</v>
      </c>
      <c r="D96" s="6" t="s">
        <v>2608</v>
      </c>
      <c r="E96" s="5" t="n">
        <v>3</v>
      </c>
      <c r="F96" s="5" t="s">
        <v>908</v>
      </c>
      <c r="G96" s="5" t="s">
        <v>2539</v>
      </c>
      <c r="H96" s="5" t="s">
        <v>112</v>
      </c>
      <c r="I96" s="5" t="s">
        <v>2530</v>
      </c>
      <c r="J96" s="5" t="s">
        <v>1235</v>
      </c>
      <c r="K96" s="6" t="s">
        <v>2609</v>
      </c>
      <c r="L96" s="8" t="s">
        <v>2532</v>
      </c>
    </row>
    <row r="97" customFormat="false" ht="15" hidden="false" customHeight="true" outlineLevel="0" collapsed="false">
      <c r="A97" s="5" t="s">
        <v>2610</v>
      </c>
      <c r="B97" s="5" t="s">
        <v>2606</v>
      </c>
      <c r="C97" s="5" t="s">
        <v>2607</v>
      </c>
      <c r="D97" s="6" t="s">
        <v>2611</v>
      </c>
      <c r="E97" s="5" t="n">
        <v>5</v>
      </c>
      <c r="F97" s="5" t="s">
        <v>908</v>
      </c>
      <c r="G97" s="5" t="s">
        <v>2539</v>
      </c>
      <c r="H97" s="5" t="s">
        <v>112</v>
      </c>
      <c r="I97" s="5" t="s">
        <v>2583</v>
      </c>
      <c r="J97" s="5" t="s">
        <v>2584</v>
      </c>
      <c r="K97" s="6" t="s">
        <v>2612</v>
      </c>
      <c r="L97" s="8" t="s">
        <v>2532</v>
      </c>
    </row>
    <row r="98" customFormat="false" ht="15" hidden="false" customHeight="true" outlineLevel="0" collapsed="false">
      <c r="A98" s="5" t="s">
        <v>1239</v>
      </c>
      <c r="B98" s="5" t="s">
        <v>2606</v>
      </c>
      <c r="C98" s="5" t="s">
        <v>2607</v>
      </c>
      <c r="D98" s="6" t="s">
        <v>2613</v>
      </c>
      <c r="E98" s="5" t="n">
        <v>3</v>
      </c>
      <c r="F98" s="5" t="s">
        <v>908</v>
      </c>
      <c r="G98" s="5" t="s">
        <v>192</v>
      </c>
      <c r="H98" s="5" t="s">
        <v>112</v>
      </c>
      <c r="I98" s="5" t="s">
        <v>2530</v>
      </c>
      <c r="J98" s="5" t="s">
        <v>1235</v>
      </c>
      <c r="K98" s="6" t="s">
        <v>2614</v>
      </c>
      <c r="L98" s="8" t="s">
        <v>2532</v>
      </c>
    </row>
    <row r="99" customFormat="false" ht="15" hidden="false" customHeight="true" outlineLevel="0" collapsed="false">
      <c r="A99" s="5" t="s">
        <v>2615</v>
      </c>
      <c r="B99" s="5" t="s">
        <v>2606</v>
      </c>
      <c r="C99" s="5" t="s">
        <v>2607</v>
      </c>
      <c r="D99" s="6" t="s">
        <v>2616</v>
      </c>
      <c r="E99" s="5" t="n">
        <v>3</v>
      </c>
      <c r="F99" s="5" t="s">
        <v>908</v>
      </c>
      <c r="G99" s="5" t="s">
        <v>192</v>
      </c>
      <c r="H99" s="5" t="s">
        <v>112</v>
      </c>
      <c r="I99" s="5" t="s">
        <v>2530</v>
      </c>
      <c r="J99" s="5" t="s">
        <v>1235</v>
      </c>
      <c r="K99" s="6" t="s">
        <v>2617</v>
      </c>
      <c r="L99" s="8" t="s">
        <v>2532</v>
      </c>
    </row>
    <row r="100" customFormat="false" ht="15" hidden="false" customHeight="true" outlineLevel="0" collapsed="false">
      <c r="A100" s="5" t="s">
        <v>1321</v>
      </c>
      <c r="B100" s="5" t="s">
        <v>2606</v>
      </c>
      <c r="C100" s="5" t="s">
        <v>2607</v>
      </c>
      <c r="D100" s="6" t="s">
        <v>2618</v>
      </c>
      <c r="E100" s="5" t="n">
        <v>3</v>
      </c>
      <c r="F100" s="5" t="s">
        <v>908</v>
      </c>
      <c r="G100" s="5" t="s">
        <v>192</v>
      </c>
      <c r="H100" s="5" t="s">
        <v>112</v>
      </c>
      <c r="I100" s="5" t="s">
        <v>2619</v>
      </c>
      <c r="J100" s="5" t="s">
        <v>2283</v>
      </c>
      <c r="K100" s="6" t="s">
        <v>2620</v>
      </c>
      <c r="L100" s="8" t="s">
        <v>2532</v>
      </c>
    </row>
    <row r="101" customFormat="false" ht="15" hidden="false" customHeight="true" outlineLevel="0" collapsed="false">
      <c r="A101" s="5" t="s">
        <v>1247</v>
      </c>
      <c r="B101" s="5" t="s">
        <v>2606</v>
      </c>
      <c r="C101" s="5" t="s">
        <v>2607</v>
      </c>
      <c r="D101" s="6" t="s">
        <v>2621</v>
      </c>
      <c r="E101" s="5" t="n">
        <v>3</v>
      </c>
      <c r="F101" s="5" t="s">
        <v>965</v>
      </c>
      <c r="G101" s="5" t="s">
        <v>340</v>
      </c>
      <c r="H101" s="5" t="s">
        <v>112</v>
      </c>
      <c r="I101" s="5" t="s">
        <v>2530</v>
      </c>
      <c r="J101" s="5" t="s">
        <v>1235</v>
      </c>
      <c r="K101" s="6" t="s">
        <v>1248</v>
      </c>
      <c r="L101" s="8" t="s">
        <v>2532</v>
      </c>
    </row>
    <row r="102" customFormat="false" ht="15" hidden="false" customHeight="true" outlineLevel="0" collapsed="false">
      <c r="A102" s="5" t="s">
        <v>2622</v>
      </c>
      <c r="B102" s="5" t="s">
        <v>2606</v>
      </c>
      <c r="C102" s="5" t="s">
        <v>2607</v>
      </c>
      <c r="D102" s="6" t="s">
        <v>2623</v>
      </c>
      <c r="E102" s="5" t="n">
        <v>2</v>
      </c>
      <c r="F102" s="5" t="s">
        <v>2368</v>
      </c>
      <c r="G102" s="5" t="s">
        <v>2624</v>
      </c>
      <c r="H102" s="5" t="s">
        <v>112</v>
      </c>
      <c r="I102" s="5" t="s">
        <v>2583</v>
      </c>
      <c r="J102" s="5" t="s">
        <v>2584</v>
      </c>
      <c r="K102" s="6" t="s">
        <v>2612</v>
      </c>
      <c r="L102" s="8" t="s">
        <v>2532</v>
      </c>
    </row>
    <row r="103" customFormat="false" ht="15" hidden="false" customHeight="true" outlineLevel="0" collapsed="false">
      <c r="A103" s="5" t="s">
        <v>2625</v>
      </c>
      <c r="B103" s="5" t="s">
        <v>2606</v>
      </c>
      <c r="C103" s="5" t="s">
        <v>2607</v>
      </c>
      <c r="D103" s="6" t="s">
        <v>2626</v>
      </c>
      <c r="E103" s="5" t="n">
        <v>2</v>
      </c>
      <c r="F103" s="5" t="s">
        <v>965</v>
      </c>
      <c r="G103" s="5" t="s">
        <v>340</v>
      </c>
      <c r="H103" s="5" t="s">
        <v>112</v>
      </c>
      <c r="I103" s="5" t="s">
        <v>2583</v>
      </c>
      <c r="J103" s="5" t="s">
        <v>2584</v>
      </c>
      <c r="K103" s="6" t="s">
        <v>2612</v>
      </c>
      <c r="L103" s="8" t="s">
        <v>2532</v>
      </c>
    </row>
    <row r="104" customFormat="false" ht="45" hidden="false" customHeight="true" outlineLevel="0" collapsed="false">
      <c r="A104" s="8" t="s">
        <v>2627</v>
      </c>
      <c r="B104" s="8" t="s">
        <v>147</v>
      </c>
      <c r="C104" s="8" t="s">
        <v>2353</v>
      </c>
      <c r="D104" s="8" t="s">
        <v>2628</v>
      </c>
      <c r="E104" s="8" t="n">
        <v>3</v>
      </c>
      <c r="F104" s="8" t="s">
        <v>908</v>
      </c>
      <c r="G104" s="8" t="s">
        <v>567</v>
      </c>
      <c r="H104" s="8" t="s">
        <v>112</v>
      </c>
      <c r="I104" s="8" t="s">
        <v>2629</v>
      </c>
      <c r="J104" s="8" t="s">
        <v>1036</v>
      </c>
      <c r="K104" s="8" t="s">
        <v>2630</v>
      </c>
      <c r="L104" s="8" t="s">
        <v>2631</v>
      </c>
    </row>
    <row r="105" customFormat="false" ht="45" hidden="false" customHeight="true" outlineLevel="0" collapsed="false">
      <c r="A105" s="8" t="s">
        <v>2632</v>
      </c>
      <c r="B105" s="8" t="s">
        <v>147</v>
      </c>
      <c r="C105" s="8" t="s">
        <v>2633</v>
      </c>
      <c r="D105" s="8" t="s">
        <v>2634</v>
      </c>
      <c r="E105" s="8" t="n">
        <v>3</v>
      </c>
      <c r="F105" s="8" t="s">
        <v>908</v>
      </c>
      <c r="G105" s="8" t="s">
        <v>567</v>
      </c>
      <c r="H105" s="8" t="s">
        <v>112</v>
      </c>
      <c r="I105" s="8" t="s">
        <v>2629</v>
      </c>
      <c r="J105" s="8" t="s">
        <v>1036</v>
      </c>
      <c r="K105" s="8" t="s">
        <v>2635</v>
      </c>
      <c r="L105" s="8" t="s">
        <v>2636</v>
      </c>
    </row>
    <row r="106" customFormat="false" ht="45" hidden="false" customHeight="true" outlineLevel="0" collapsed="false">
      <c r="A106" s="8" t="s">
        <v>2637</v>
      </c>
      <c r="B106" s="8" t="s">
        <v>147</v>
      </c>
      <c r="C106" s="8" t="s">
        <v>886</v>
      </c>
      <c r="D106" s="8" t="s">
        <v>2638</v>
      </c>
      <c r="E106" s="8" t="n">
        <v>2</v>
      </c>
      <c r="F106" s="8" t="s">
        <v>908</v>
      </c>
      <c r="G106" s="8" t="s">
        <v>567</v>
      </c>
      <c r="H106" s="8" t="s">
        <v>112</v>
      </c>
      <c r="I106" s="8" t="s">
        <v>2629</v>
      </c>
      <c r="J106" s="8" t="s">
        <v>1036</v>
      </c>
      <c r="K106" s="8" t="s">
        <v>2639</v>
      </c>
      <c r="L106" s="8" t="s">
        <v>2640</v>
      </c>
    </row>
    <row r="107" customFormat="false" ht="45" hidden="false" customHeight="true" outlineLevel="0" collapsed="false">
      <c r="A107" s="8" t="s">
        <v>2641</v>
      </c>
      <c r="B107" s="8" t="s">
        <v>147</v>
      </c>
      <c r="C107" s="8" t="s">
        <v>2642</v>
      </c>
      <c r="D107" s="8" t="s">
        <v>2643</v>
      </c>
      <c r="E107" s="8" t="n">
        <v>1</v>
      </c>
      <c r="F107" s="8" t="s">
        <v>908</v>
      </c>
      <c r="G107" s="8" t="s">
        <v>567</v>
      </c>
      <c r="H107" s="8" t="s">
        <v>112</v>
      </c>
      <c r="I107" s="8" t="s">
        <v>2629</v>
      </c>
      <c r="J107" s="8" t="s">
        <v>1036</v>
      </c>
      <c r="K107" s="8" t="s">
        <v>2644</v>
      </c>
      <c r="L107" s="8" t="s">
        <v>2645</v>
      </c>
    </row>
    <row r="108" customFormat="false" ht="45" hidden="false" customHeight="true" outlineLevel="0" collapsed="false">
      <c r="A108" s="8" t="s">
        <v>2646</v>
      </c>
      <c r="B108" s="8" t="s">
        <v>147</v>
      </c>
      <c r="C108" s="8" t="s">
        <v>2647</v>
      </c>
      <c r="D108" s="8" t="s">
        <v>2648</v>
      </c>
      <c r="E108" s="8" t="n">
        <v>2</v>
      </c>
      <c r="F108" s="8" t="s">
        <v>908</v>
      </c>
      <c r="G108" s="8" t="s">
        <v>567</v>
      </c>
      <c r="H108" s="8" t="s">
        <v>112</v>
      </c>
      <c r="I108" s="8" t="s">
        <v>2629</v>
      </c>
      <c r="J108" s="8" t="s">
        <v>1036</v>
      </c>
      <c r="K108" s="8" t="s">
        <v>2649</v>
      </c>
      <c r="L108" s="8" t="s">
        <v>2640</v>
      </c>
    </row>
    <row r="109" customFormat="false" ht="45" hidden="false" customHeight="true" outlineLevel="0" collapsed="false">
      <c r="A109" s="8" t="s">
        <v>2650</v>
      </c>
      <c r="B109" s="8" t="s">
        <v>147</v>
      </c>
      <c r="C109" s="8" t="s">
        <v>2651</v>
      </c>
      <c r="D109" s="8" t="s">
        <v>2652</v>
      </c>
      <c r="E109" s="8" t="n">
        <v>1</v>
      </c>
      <c r="F109" s="8" t="s">
        <v>908</v>
      </c>
      <c r="G109" s="8" t="s">
        <v>567</v>
      </c>
      <c r="H109" s="8" t="s">
        <v>112</v>
      </c>
      <c r="I109" s="8" t="s">
        <v>2629</v>
      </c>
      <c r="J109" s="8" t="s">
        <v>1036</v>
      </c>
      <c r="K109" s="8" t="s">
        <v>2653</v>
      </c>
      <c r="L109" s="8" t="s">
        <v>2654</v>
      </c>
    </row>
    <row r="110" customFormat="false" ht="45" hidden="false" customHeight="true" outlineLevel="0" collapsed="false">
      <c r="A110" s="8" t="s">
        <v>2655</v>
      </c>
      <c r="B110" s="8" t="s">
        <v>147</v>
      </c>
      <c r="C110" s="8" t="s">
        <v>2656</v>
      </c>
      <c r="D110" s="8" t="s">
        <v>2657</v>
      </c>
      <c r="E110" s="8" t="n">
        <v>1</v>
      </c>
      <c r="F110" s="8" t="s">
        <v>908</v>
      </c>
      <c r="G110" s="8" t="s">
        <v>567</v>
      </c>
      <c r="H110" s="8" t="s">
        <v>112</v>
      </c>
      <c r="I110" s="8" t="s">
        <v>2629</v>
      </c>
      <c r="J110" s="8" t="s">
        <v>1036</v>
      </c>
      <c r="K110" s="8" t="s">
        <v>2658</v>
      </c>
      <c r="L110" s="8" t="s">
        <v>2654</v>
      </c>
    </row>
    <row r="111" customFormat="false" ht="45" hidden="false" customHeight="true" outlineLevel="0" collapsed="false">
      <c r="A111" s="8" t="s">
        <v>2659</v>
      </c>
      <c r="B111" s="8" t="s">
        <v>2500</v>
      </c>
      <c r="C111" s="8" t="s">
        <v>2633</v>
      </c>
      <c r="D111" s="8" t="s">
        <v>2660</v>
      </c>
      <c r="E111" s="8" t="n">
        <v>1</v>
      </c>
      <c r="F111" s="8" t="s">
        <v>908</v>
      </c>
      <c r="G111" s="8" t="s">
        <v>578</v>
      </c>
      <c r="H111" s="8" t="s">
        <v>112</v>
      </c>
      <c r="I111" s="8" t="s">
        <v>2629</v>
      </c>
      <c r="J111" s="8" t="s">
        <v>1036</v>
      </c>
      <c r="K111" s="8" t="s">
        <v>2661</v>
      </c>
      <c r="L111" s="8" t="s">
        <v>2662</v>
      </c>
    </row>
    <row r="112" customFormat="false" ht="45" hidden="false" customHeight="true" outlineLevel="0" collapsed="false">
      <c r="A112" s="8" t="s">
        <v>2663</v>
      </c>
      <c r="B112" s="8" t="s">
        <v>2500</v>
      </c>
      <c r="C112" s="8" t="s">
        <v>2664</v>
      </c>
      <c r="D112" s="8" t="s">
        <v>2665</v>
      </c>
      <c r="E112" s="8" t="n">
        <v>1</v>
      </c>
      <c r="F112" s="8" t="s">
        <v>908</v>
      </c>
      <c r="G112" s="8" t="s">
        <v>578</v>
      </c>
      <c r="H112" s="8" t="s">
        <v>112</v>
      </c>
      <c r="I112" s="8" t="s">
        <v>2629</v>
      </c>
      <c r="J112" s="8" t="s">
        <v>1036</v>
      </c>
      <c r="K112" s="8" t="s">
        <v>2666</v>
      </c>
      <c r="L112" s="8" t="s">
        <v>2654</v>
      </c>
    </row>
    <row r="113" customFormat="false" ht="45" hidden="false" customHeight="true" outlineLevel="0" collapsed="false">
      <c r="A113" s="8" t="s">
        <v>2667</v>
      </c>
      <c r="B113" s="8" t="s">
        <v>2500</v>
      </c>
      <c r="C113" s="8" t="s">
        <v>2668</v>
      </c>
      <c r="D113" s="8" t="s">
        <v>2669</v>
      </c>
      <c r="E113" s="8" t="n">
        <v>1</v>
      </c>
      <c r="F113" s="8" t="s">
        <v>908</v>
      </c>
      <c r="G113" s="8" t="s">
        <v>578</v>
      </c>
      <c r="H113" s="8" t="s">
        <v>112</v>
      </c>
      <c r="I113" s="8" t="s">
        <v>2629</v>
      </c>
      <c r="J113" s="8" t="s">
        <v>1036</v>
      </c>
      <c r="K113" s="8" t="s">
        <v>2670</v>
      </c>
      <c r="L113" s="8" t="s">
        <v>2654</v>
      </c>
    </row>
    <row r="114" customFormat="false" ht="45" hidden="false" customHeight="true" outlineLevel="0" collapsed="false">
      <c r="A114" s="8" t="s">
        <v>2671</v>
      </c>
      <c r="B114" s="8" t="s">
        <v>2500</v>
      </c>
      <c r="C114" s="8" t="s">
        <v>2672</v>
      </c>
      <c r="D114" s="8" t="s">
        <v>2673</v>
      </c>
      <c r="E114" s="8" t="n">
        <v>1</v>
      </c>
      <c r="F114" s="8" t="s">
        <v>908</v>
      </c>
      <c r="G114" s="8" t="s">
        <v>578</v>
      </c>
      <c r="H114" s="8" t="s">
        <v>112</v>
      </c>
      <c r="I114" s="8" t="s">
        <v>2629</v>
      </c>
      <c r="J114" s="8" t="s">
        <v>1036</v>
      </c>
      <c r="K114" s="8" t="s">
        <v>2674</v>
      </c>
      <c r="L114" s="8" t="s">
        <v>2675</v>
      </c>
    </row>
    <row r="115" customFormat="false" ht="45" hidden="false" customHeight="true" outlineLevel="0" collapsed="false">
      <c r="A115" s="8" t="s">
        <v>2676</v>
      </c>
      <c r="B115" s="8" t="s">
        <v>2500</v>
      </c>
      <c r="C115" s="8" t="s">
        <v>2677</v>
      </c>
      <c r="D115" s="8" t="s">
        <v>2678</v>
      </c>
      <c r="E115" s="8" t="n">
        <v>1</v>
      </c>
      <c r="F115" s="8" t="s">
        <v>908</v>
      </c>
      <c r="G115" s="8" t="s">
        <v>578</v>
      </c>
      <c r="H115" s="8" t="s">
        <v>112</v>
      </c>
      <c r="I115" s="8" t="s">
        <v>2629</v>
      </c>
      <c r="J115" s="8" t="s">
        <v>2679</v>
      </c>
      <c r="K115" s="8" t="s">
        <v>2680</v>
      </c>
      <c r="L115" s="8" t="s">
        <v>2681</v>
      </c>
    </row>
    <row r="116" customFormat="false" ht="45" hidden="false" customHeight="true" outlineLevel="0" collapsed="false">
      <c r="A116" s="8" t="s">
        <v>2682</v>
      </c>
      <c r="B116" s="8" t="s">
        <v>147</v>
      </c>
      <c r="C116" s="8" t="s">
        <v>2683</v>
      </c>
      <c r="D116" s="8" t="s">
        <v>2684</v>
      </c>
      <c r="E116" s="8" t="n">
        <v>1</v>
      </c>
      <c r="F116" s="8" t="s">
        <v>908</v>
      </c>
      <c r="G116" s="8" t="s">
        <v>578</v>
      </c>
      <c r="H116" s="8" t="s">
        <v>112</v>
      </c>
      <c r="I116" s="8" t="s">
        <v>2629</v>
      </c>
      <c r="J116" s="8" t="s">
        <v>1036</v>
      </c>
      <c r="K116" s="8" t="s">
        <v>2685</v>
      </c>
      <c r="L116" s="8" t="s">
        <v>2686</v>
      </c>
    </row>
    <row r="117" customFormat="false" ht="45" hidden="false" customHeight="true" outlineLevel="0" collapsed="false">
      <c r="A117" s="8" t="s">
        <v>2687</v>
      </c>
      <c r="B117" s="8" t="s">
        <v>2477</v>
      </c>
      <c r="C117" s="8" t="s">
        <v>2688</v>
      </c>
      <c r="D117" s="8" t="s">
        <v>2689</v>
      </c>
      <c r="E117" s="8" t="n">
        <v>1</v>
      </c>
      <c r="F117" s="8" t="s">
        <v>908</v>
      </c>
      <c r="G117" s="8" t="s">
        <v>585</v>
      </c>
      <c r="H117" s="8" t="s">
        <v>112</v>
      </c>
      <c r="I117" s="8" t="s">
        <v>2629</v>
      </c>
      <c r="J117" s="8" t="s">
        <v>1036</v>
      </c>
      <c r="K117" s="8" t="s">
        <v>2690</v>
      </c>
      <c r="L117" s="8" t="s">
        <v>2691</v>
      </c>
    </row>
    <row r="118" customFormat="false" ht="45" hidden="false" customHeight="true" outlineLevel="0" collapsed="false">
      <c r="A118" s="8" t="s">
        <v>2692</v>
      </c>
      <c r="B118" s="8" t="s">
        <v>2477</v>
      </c>
      <c r="C118" s="8" t="s">
        <v>2693</v>
      </c>
      <c r="D118" s="8" t="s">
        <v>2694</v>
      </c>
      <c r="E118" s="8" t="n">
        <v>2</v>
      </c>
      <c r="F118" s="8" t="s">
        <v>908</v>
      </c>
      <c r="G118" s="8" t="s">
        <v>585</v>
      </c>
      <c r="H118" s="8" t="s">
        <v>112</v>
      </c>
      <c r="I118" s="8" t="s">
        <v>2629</v>
      </c>
      <c r="J118" s="8" t="s">
        <v>1036</v>
      </c>
      <c r="K118" s="8" t="s">
        <v>2695</v>
      </c>
      <c r="L118" s="8" t="s">
        <v>2696</v>
      </c>
    </row>
    <row r="119" customFormat="false" ht="45" hidden="false" customHeight="true" outlineLevel="0" collapsed="false">
      <c r="A119" s="8" t="s">
        <v>2697</v>
      </c>
      <c r="B119" s="8" t="s">
        <v>2477</v>
      </c>
      <c r="C119" s="8" t="s">
        <v>2698</v>
      </c>
      <c r="D119" s="8" t="s">
        <v>2699</v>
      </c>
      <c r="E119" s="8" t="n">
        <v>1</v>
      </c>
      <c r="F119" s="8" t="s">
        <v>908</v>
      </c>
      <c r="G119" s="8" t="s">
        <v>585</v>
      </c>
      <c r="H119" s="8" t="s">
        <v>112</v>
      </c>
      <c r="I119" s="8" t="s">
        <v>2629</v>
      </c>
      <c r="J119" s="8" t="s">
        <v>1036</v>
      </c>
      <c r="K119" s="8" t="s">
        <v>2700</v>
      </c>
      <c r="L119" s="8" t="s">
        <v>2654</v>
      </c>
    </row>
    <row r="120" customFormat="false" ht="45" hidden="false" customHeight="true" outlineLevel="0" collapsed="false">
      <c r="A120" s="8" t="s">
        <v>2701</v>
      </c>
      <c r="B120" s="8" t="s">
        <v>2343</v>
      </c>
      <c r="C120" s="8" t="s">
        <v>2702</v>
      </c>
      <c r="D120" s="8" t="s">
        <v>2703</v>
      </c>
      <c r="E120" s="8" t="n">
        <v>1</v>
      </c>
      <c r="F120" s="8" t="s">
        <v>908</v>
      </c>
      <c r="G120" s="8" t="s">
        <v>585</v>
      </c>
      <c r="H120" s="8" t="s">
        <v>112</v>
      </c>
      <c r="I120" s="8" t="s">
        <v>2629</v>
      </c>
      <c r="J120" s="8" t="s">
        <v>1036</v>
      </c>
      <c r="K120" s="8" t="s">
        <v>2704</v>
      </c>
      <c r="L120" s="8" t="s">
        <v>2705</v>
      </c>
    </row>
    <row r="121" customFormat="false" ht="45" hidden="false" customHeight="true" outlineLevel="0" collapsed="false">
      <c r="A121" s="8" t="s">
        <v>2706</v>
      </c>
      <c r="B121" s="8" t="s">
        <v>2343</v>
      </c>
      <c r="C121" s="8" t="s">
        <v>2707</v>
      </c>
      <c r="D121" s="8" t="s">
        <v>2708</v>
      </c>
      <c r="E121" s="8" t="n">
        <v>1</v>
      </c>
      <c r="F121" s="8" t="s">
        <v>908</v>
      </c>
      <c r="G121" s="8" t="s">
        <v>585</v>
      </c>
      <c r="H121" s="8" t="s">
        <v>112</v>
      </c>
      <c r="I121" s="8" t="s">
        <v>2629</v>
      </c>
      <c r="J121" s="8" t="s">
        <v>1036</v>
      </c>
      <c r="K121" s="8" t="s">
        <v>2709</v>
      </c>
      <c r="L121" s="8" t="s">
        <v>2710</v>
      </c>
    </row>
    <row r="122" customFormat="false" ht="45" hidden="false" customHeight="true" outlineLevel="0" collapsed="false">
      <c r="A122" s="8" t="s">
        <v>2711</v>
      </c>
      <c r="B122" s="8" t="s">
        <v>2550</v>
      </c>
      <c r="C122" s="8" t="s">
        <v>2712</v>
      </c>
      <c r="D122" s="8" t="s">
        <v>2713</v>
      </c>
      <c r="E122" s="8" t="n">
        <v>1</v>
      </c>
      <c r="F122" s="8" t="s">
        <v>908</v>
      </c>
      <c r="G122" s="8" t="s">
        <v>585</v>
      </c>
      <c r="H122" s="8" t="s">
        <v>112</v>
      </c>
      <c r="I122" s="8" t="s">
        <v>2629</v>
      </c>
      <c r="J122" s="8" t="s">
        <v>1036</v>
      </c>
      <c r="K122" s="8" t="s">
        <v>2714</v>
      </c>
      <c r="L122" s="8" t="s">
        <v>2715</v>
      </c>
    </row>
    <row r="123" customFormat="false" ht="45" hidden="false" customHeight="true" outlineLevel="0" collapsed="false">
      <c r="A123" s="8" t="s">
        <v>2716</v>
      </c>
      <c r="B123" s="8" t="s">
        <v>2374</v>
      </c>
      <c r="C123" s="8" t="s">
        <v>2380</v>
      </c>
      <c r="D123" s="8" t="s">
        <v>2717</v>
      </c>
      <c r="E123" s="8" t="n">
        <v>1</v>
      </c>
      <c r="F123" s="8" t="s">
        <v>908</v>
      </c>
      <c r="G123" s="8" t="s">
        <v>585</v>
      </c>
      <c r="H123" s="8" t="s">
        <v>112</v>
      </c>
      <c r="I123" s="8" t="s">
        <v>2629</v>
      </c>
      <c r="J123" s="8" t="s">
        <v>1036</v>
      </c>
      <c r="K123" s="8" t="s">
        <v>2718</v>
      </c>
      <c r="L123" s="8" t="s">
        <v>2640</v>
      </c>
    </row>
    <row r="124" customFormat="false" ht="45" hidden="false" customHeight="true" outlineLevel="0" collapsed="false">
      <c r="A124" s="8" t="s">
        <v>2719</v>
      </c>
      <c r="B124" s="8" t="s">
        <v>2477</v>
      </c>
      <c r="C124" s="8" t="s">
        <v>2720</v>
      </c>
      <c r="D124" s="8" t="s">
        <v>2721</v>
      </c>
      <c r="E124" s="8" t="n">
        <v>1</v>
      </c>
      <c r="F124" s="8" t="s">
        <v>908</v>
      </c>
      <c r="G124" s="8" t="s">
        <v>585</v>
      </c>
      <c r="H124" s="8" t="s">
        <v>112</v>
      </c>
      <c r="I124" s="8" t="s">
        <v>2629</v>
      </c>
      <c r="J124" s="8" t="s">
        <v>1036</v>
      </c>
      <c r="K124" s="8" t="s">
        <v>2722</v>
      </c>
      <c r="L124" s="8" t="s">
        <v>2710</v>
      </c>
    </row>
    <row r="125" customFormat="false" ht="45" hidden="false" customHeight="true" outlineLevel="0" collapsed="false">
      <c r="A125" s="8" t="s">
        <v>2723</v>
      </c>
      <c r="B125" s="8" t="s">
        <v>147</v>
      </c>
      <c r="C125" s="8" t="s">
        <v>2724</v>
      </c>
      <c r="D125" s="8" t="s">
        <v>2725</v>
      </c>
      <c r="E125" s="8" t="n">
        <v>1</v>
      </c>
      <c r="F125" s="8" t="s">
        <v>908</v>
      </c>
      <c r="G125" s="8" t="s">
        <v>585</v>
      </c>
      <c r="H125" s="8" t="s">
        <v>112</v>
      </c>
      <c r="I125" s="8" t="s">
        <v>2629</v>
      </c>
      <c r="J125" s="8" t="s">
        <v>1036</v>
      </c>
      <c r="K125" s="8" t="s">
        <v>2726</v>
      </c>
      <c r="L125" s="8" t="s">
        <v>2654</v>
      </c>
    </row>
    <row r="126" customFormat="false" ht="45" hidden="false" customHeight="true" outlineLevel="0" collapsed="false">
      <c r="A126" s="8" t="s">
        <v>2727</v>
      </c>
      <c r="B126" s="8" t="s">
        <v>2477</v>
      </c>
      <c r="C126" s="8" t="s">
        <v>858</v>
      </c>
      <c r="D126" s="8" t="s">
        <v>2728</v>
      </c>
      <c r="E126" s="8" t="n">
        <v>1</v>
      </c>
      <c r="F126" s="8" t="s">
        <v>908</v>
      </c>
      <c r="G126" s="8" t="s">
        <v>585</v>
      </c>
      <c r="H126" s="8" t="s">
        <v>112</v>
      </c>
      <c r="I126" s="8" t="s">
        <v>2629</v>
      </c>
      <c r="J126" s="8" t="s">
        <v>1036</v>
      </c>
      <c r="K126" s="8" t="s">
        <v>2729</v>
      </c>
      <c r="L126" s="8" t="s">
        <v>2730</v>
      </c>
    </row>
    <row r="127" customFormat="false" ht="45" hidden="false" customHeight="true" outlineLevel="0" collapsed="false">
      <c r="A127" s="8" t="s">
        <v>2731</v>
      </c>
      <c r="B127" s="8" t="s">
        <v>2522</v>
      </c>
      <c r="C127" s="8" t="s">
        <v>2732</v>
      </c>
      <c r="D127" s="8" t="s">
        <v>2733</v>
      </c>
      <c r="E127" s="8" t="n">
        <v>2</v>
      </c>
      <c r="F127" s="8" t="s">
        <v>908</v>
      </c>
      <c r="G127" s="8" t="s">
        <v>585</v>
      </c>
      <c r="H127" s="8" t="s">
        <v>112</v>
      </c>
      <c r="I127" s="8" t="s">
        <v>2629</v>
      </c>
      <c r="J127" s="8" t="s">
        <v>2734</v>
      </c>
      <c r="K127" s="8" t="s">
        <v>2735</v>
      </c>
      <c r="L127" s="8" t="s">
        <v>2736</v>
      </c>
    </row>
    <row r="128" customFormat="false" ht="45" hidden="false" customHeight="true" outlineLevel="0" collapsed="false">
      <c r="A128" s="8" t="s">
        <v>2737</v>
      </c>
      <c r="B128" s="8" t="s">
        <v>2343</v>
      </c>
      <c r="C128" s="8" t="s">
        <v>2633</v>
      </c>
      <c r="D128" s="8" t="s">
        <v>2738</v>
      </c>
      <c r="E128" s="8" t="n">
        <v>1</v>
      </c>
      <c r="F128" s="8" t="s">
        <v>908</v>
      </c>
      <c r="G128" s="8" t="s">
        <v>578</v>
      </c>
      <c r="H128" s="8" t="s">
        <v>112</v>
      </c>
      <c r="I128" s="8" t="s">
        <v>2629</v>
      </c>
      <c r="J128" s="8" t="s">
        <v>1036</v>
      </c>
      <c r="K128" s="8" t="s">
        <v>2739</v>
      </c>
      <c r="L128" s="8" t="s">
        <v>2740</v>
      </c>
    </row>
    <row r="129" customFormat="false" ht="45" hidden="false" customHeight="true" outlineLevel="0" collapsed="false">
      <c r="A129" s="8" t="s">
        <v>2741</v>
      </c>
      <c r="B129" s="8" t="s">
        <v>2374</v>
      </c>
      <c r="C129" s="8" t="s">
        <v>2742</v>
      </c>
      <c r="D129" s="8" t="s">
        <v>2743</v>
      </c>
      <c r="E129" s="8" t="n">
        <v>8</v>
      </c>
      <c r="F129" s="8" t="s">
        <v>908</v>
      </c>
      <c r="G129" s="8" t="s">
        <v>949</v>
      </c>
      <c r="H129" s="8" t="s">
        <v>112</v>
      </c>
      <c r="I129" s="8" t="s">
        <v>101</v>
      </c>
      <c r="J129" s="8" t="s">
        <v>2584</v>
      </c>
      <c r="K129" s="8" t="s">
        <v>2744</v>
      </c>
      <c r="L129" s="8" t="s">
        <v>2745</v>
      </c>
    </row>
    <row r="130" customFormat="false" ht="45" hidden="false" customHeight="true" outlineLevel="0" collapsed="false">
      <c r="A130" s="8" t="s">
        <v>2746</v>
      </c>
      <c r="B130" s="8" t="s">
        <v>2374</v>
      </c>
      <c r="C130" s="8" t="s">
        <v>2747</v>
      </c>
      <c r="D130" s="8" t="s">
        <v>2748</v>
      </c>
      <c r="E130" s="8" t="n">
        <v>3</v>
      </c>
      <c r="F130" s="8" t="s">
        <v>908</v>
      </c>
      <c r="G130" s="8" t="s">
        <v>949</v>
      </c>
      <c r="H130" s="8" t="s">
        <v>112</v>
      </c>
      <c r="I130" s="8" t="s">
        <v>101</v>
      </c>
      <c r="J130" s="8" t="s">
        <v>2584</v>
      </c>
      <c r="K130" s="8" t="s">
        <v>2749</v>
      </c>
      <c r="L130" s="8" t="s">
        <v>2745</v>
      </c>
    </row>
    <row r="131" customFormat="false" ht="45" hidden="false" customHeight="true" outlineLevel="0" collapsed="false">
      <c r="A131" s="8" t="s">
        <v>2750</v>
      </c>
      <c r="B131" s="8" t="s">
        <v>2606</v>
      </c>
      <c r="C131" s="8" t="s">
        <v>2751</v>
      </c>
      <c r="D131" s="8" t="s">
        <v>2752</v>
      </c>
      <c r="E131" s="8" t="n">
        <v>2</v>
      </c>
      <c r="F131" s="8" t="s">
        <v>908</v>
      </c>
      <c r="G131" s="8" t="s">
        <v>949</v>
      </c>
      <c r="H131" s="8" t="s">
        <v>112</v>
      </c>
      <c r="I131" s="8" t="s">
        <v>101</v>
      </c>
      <c r="J131" s="8" t="s">
        <v>2584</v>
      </c>
      <c r="K131" s="8" t="s">
        <v>2753</v>
      </c>
      <c r="L131" s="8" t="s">
        <v>2754</v>
      </c>
    </row>
    <row r="132" customFormat="false" ht="45" hidden="false" customHeight="true" outlineLevel="0" collapsed="false">
      <c r="A132" s="8" t="s">
        <v>2755</v>
      </c>
      <c r="B132" s="8" t="s">
        <v>147</v>
      </c>
      <c r="C132" s="8" t="s">
        <v>2756</v>
      </c>
      <c r="D132" s="8" t="s">
        <v>2757</v>
      </c>
      <c r="E132" s="8" t="n">
        <v>3</v>
      </c>
      <c r="F132" s="8" t="s">
        <v>965</v>
      </c>
      <c r="G132" s="8" t="s">
        <v>731</v>
      </c>
      <c r="H132" s="8" t="s">
        <v>112</v>
      </c>
      <c r="I132" s="8" t="s">
        <v>101</v>
      </c>
      <c r="J132" s="8" t="s">
        <v>2584</v>
      </c>
      <c r="K132" s="8" t="s">
        <v>2758</v>
      </c>
      <c r="L132" s="8" t="s">
        <v>2745</v>
      </c>
    </row>
    <row r="133" customFormat="false" ht="45" hidden="false" customHeight="true" outlineLevel="0" collapsed="false">
      <c r="A133" s="8" t="s">
        <v>2759</v>
      </c>
      <c r="B133" s="8" t="s">
        <v>2550</v>
      </c>
      <c r="C133" s="8" t="s">
        <v>2760</v>
      </c>
      <c r="D133" s="8" t="s">
        <v>2761</v>
      </c>
      <c r="E133" s="8" t="n">
        <v>1</v>
      </c>
      <c r="F133" s="8" t="s">
        <v>2368</v>
      </c>
      <c r="G133" s="8" t="s">
        <v>689</v>
      </c>
      <c r="H133" s="8" t="s">
        <v>112</v>
      </c>
      <c r="I133" s="8" t="s">
        <v>101</v>
      </c>
      <c r="J133" s="8" t="s">
        <v>2584</v>
      </c>
      <c r="K133" s="8" t="s">
        <v>2762</v>
      </c>
      <c r="L133" s="8" t="s">
        <v>2745</v>
      </c>
    </row>
    <row r="135" customFormat="false" ht="15" hidden="false" customHeight="false" outlineLevel="0" collapsed="false">
      <c r="A135" s="14" t="s">
        <v>2763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4" min="3" style="1" width="9"/>
    <col collapsed="false" customWidth="true" hidden="false" outlineLevel="0" max="5" min="5" style="1" width="7"/>
    <col collapsed="false" customWidth="true" hidden="false" outlineLevel="0" max="6" min="6" style="1" width="12"/>
    <col collapsed="false" customWidth="true" hidden="false" outlineLevel="0" max="7" min="7" style="1" width="14"/>
    <col collapsed="false" customWidth="true" hidden="false" outlineLevel="0" max="8" min="8" style="1" width="48"/>
  </cols>
  <sheetData>
    <row r="1" customFormat="false" ht="15" hidden="false" customHeight="true" outlineLevel="0" collapsed="false">
      <c r="A1" s="2" t="s">
        <v>2764</v>
      </c>
    </row>
    <row r="2" customFormat="false" ht="15" hidden="false" customHeight="true" outlineLevel="0" collapsed="false">
      <c r="A2" s="3" t="s">
        <v>2765</v>
      </c>
    </row>
    <row r="3" customFormat="false" ht="15" hidden="false" customHeight="true" outlineLevel="0" collapsed="false">
      <c r="A3" s="4" t="s">
        <v>104</v>
      </c>
      <c r="B3" s="4" t="s">
        <v>2766</v>
      </c>
      <c r="C3" s="4" t="s">
        <v>2767</v>
      </c>
      <c r="D3" s="4" t="s">
        <v>1031</v>
      </c>
      <c r="E3" s="4" t="s">
        <v>1036</v>
      </c>
      <c r="F3" s="4" t="s">
        <v>2768</v>
      </c>
      <c r="G3" s="4" t="s">
        <v>2769</v>
      </c>
      <c r="H3" s="4" t="s">
        <v>2770</v>
      </c>
    </row>
    <row r="4" customFormat="false" ht="15" hidden="false" customHeight="true" outlineLevel="0" collapsed="false">
      <c r="A4" s="5" t="s">
        <v>118</v>
      </c>
      <c r="B4" s="5" t="s">
        <v>2771</v>
      </c>
      <c r="C4" s="5" t="n">
        <f aca="false">COUNTIF(Traceability_Matrix!$G$4:$G$133,"S1")</f>
        <v>4</v>
      </c>
      <c r="D4" s="5" t="n">
        <f aca="false">SUMIF(Traceability_Matrix!$G$4:$G$133,"S1",Traceability_Matrix!$E$4:$E$133)</f>
        <v>13</v>
      </c>
      <c r="E4" s="5" t="n">
        <f aca="false">COUNTIFS(Traceability_Matrix!$G$4:$G$133,"S1",Traceability_Matrix!$J$4:$J$133,"Done")</f>
        <v>1</v>
      </c>
      <c r="F4" s="5" t="n">
        <f aca="false">SUMIFS(Traceability_Matrix!$E$4:$E$133,Traceability_Matrix!$G$4:$G$133,"S1",Traceability_Matrix!$J$4:$J$133,"Done")</f>
        <v>2</v>
      </c>
      <c r="G4" s="16" t="n">
        <f aca="false">IFERROR(SUMIFS(Traceability_Matrix!$E$4:$E$133,Traceability_Matrix!$G$4:$G$133,"S1",Traceability_Matrix!$J$4:$J$133,"Done")/SUMIF(Traceability_Matrix!$G$4:$G$133,"S1",Traceability_Matrix!$E$4:$E$133),0)</f>
        <v>0.153846153846154</v>
      </c>
      <c r="H4" s="5" t="s">
        <v>2772</v>
      </c>
    </row>
    <row r="5" customFormat="false" ht="15" hidden="false" customHeight="true" outlineLevel="0" collapsed="false">
      <c r="A5" s="5" t="s">
        <v>2346</v>
      </c>
      <c r="B5" s="5" t="s">
        <v>2773</v>
      </c>
      <c r="C5" s="5" t="n">
        <f aca="false">COUNTIF(Traceability_Matrix!$G$4:$G$133,"S2")</f>
        <v>6</v>
      </c>
      <c r="D5" s="5" t="n">
        <f aca="false">SUMIF(Traceability_Matrix!$G$4:$G$133,"S2",Traceability_Matrix!$E$4:$E$133)</f>
        <v>29</v>
      </c>
      <c r="E5" s="5" t="n">
        <f aca="false">COUNTIFS(Traceability_Matrix!$G$4:$G$133,"S2",Traceability_Matrix!$J$4:$J$133,"Done")</f>
        <v>6</v>
      </c>
      <c r="F5" s="5" t="n">
        <f aca="false">SUMIFS(Traceability_Matrix!$E$4:$E$133,Traceability_Matrix!$G$4:$G$133,"S2",Traceability_Matrix!$J$4:$J$133,"Done")</f>
        <v>29</v>
      </c>
      <c r="G5" s="16" t="n">
        <f aca="false">IFERROR(SUMIFS(Traceability_Matrix!$E$4:$E$133,Traceability_Matrix!$G$4:$G$133,"S2",Traceability_Matrix!$J$4:$J$133,"Done")/SUMIF(Traceability_Matrix!$G$4:$G$133,"S2",Traceability_Matrix!$E$4:$E$133),0)</f>
        <v>1</v>
      </c>
      <c r="H5" s="5" t="s">
        <v>2774</v>
      </c>
    </row>
    <row r="6" customFormat="false" ht="15" hidden="false" customHeight="true" outlineLevel="0" collapsed="false">
      <c r="A6" s="5" t="s">
        <v>2361</v>
      </c>
      <c r="B6" s="5" t="s">
        <v>2775</v>
      </c>
      <c r="C6" s="5" t="n">
        <f aca="false">COUNTIF(Traceability_Matrix!$G$4:$G$133,"S3")</f>
        <v>11</v>
      </c>
      <c r="D6" s="5" t="n">
        <f aca="false">SUMIF(Traceability_Matrix!$G$4:$G$133,"S3",Traceability_Matrix!$E$4:$E$133)</f>
        <v>47</v>
      </c>
      <c r="E6" s="5" t="n">
        <f aca="false">COUNTIFS(Traceability_Matrix!$G$4:$G$133,"S3",Traceability_Matrix!$J$4:$J$133,"Done")</f>
        <v>11</v>
      </c>
      <c r="F6" s="5" t="n">
        <f aca="false">SUMIFS(Traceability_Matrix!$E$4:$E$133,Traceability_Matrix!$G$4:$G$133,"S3",Traceability_Matrix!$J$4:$J$133,"Done")</f>
        <v>47</v>
      </c>
      <c r="G6" s="16" t="n">
        <f aca="false">IFERROR(SUMIFS(Traceability_Matrix!$E$4:$E$133,Traceability_Matrix!$G$4:$G$133,"S3",Traceability_Matrix!$J$4:$J$133,"Done")/SUMIF(Traceability_Matrix!$G$4:$G$133,"S3",Traceability_Matrix!$E$4:$E$133),0)</f>
        <v>1</v>
      </c>
      <c r="H6" s="5" t="s">
        <v>2774</v>
      </c>
    </row>
    <row r="7" customFormat="false" ht="15" hidden="false" customHeight="true" outlineLevel="0" collapsed="false">
      <c r="A7" s="5" t="s">
        <v>2389</v>
      </c>
      <c r="B7" s="5" t="s">
        <v>2776</v>
      </c>
      <c r="C7" s="5" t="n">
        <f aca="false">COUNTIF(Traceability_Matrix!$G$4:$G$133,"S4")</f>
        <v>9</v>
      </c>
      <c r="D7" s="5" t="n">
        <f aca="false">SUMIF(Traceability_Matrix!$G$4:$G$133,"S4",Traceability_Matrix!$E$4:$E$133)</f>
        <v>34</v>
      </c>
      <c r="E7" s="5" t="n">
        <f aca="false">COUNTIFS(Traceability_Matrix!$G$4:$G$133,"S4",Traceability_Matrix!$J$4:$J$133,"Done")</f>
        <v>9</v>
      </c>
      <c r="F7" s="5" t="n">
        <f aca="false">SUMIFS(Traceability_Matrix!$E$4:$E$133,Traceability_Matrix!$G$4:$G$133,"S4",Traceability_Matrix!$J$4:$J$133,"Done")</f>
        <v>34</v>
      </c>
      <c r="G7" s="16" t="n">
        <f aca="false">IFERROR(SUMIFS(Traceability_Matrix!$E$4:$E$133,Traceability_Matrix!$G$4:$G$133,"S4",Traceability_Matrix!$J$4:$J$133,"Done")/SUMIF(Traceability_Matrix!$G$4:$G$133,"S4",Traceability_Matrix!$E$4:$E$133),0)</f>
        <v>1</v>
      </c>
      <c r="H7" s="5" t="s">
        <v>2774</v>
      </c>
    </row>
    <row r="8" customFormat="false" ht="15" hidden="false" customHeight="true" outlineLevel="0" collapsed="false">
      <c r="A8" s="5" t="s">
        <v>2404</v>
      </c>
      <c r="B8" s="5" t="s">
        <v>2777</v>
      </c>
      <c r="C8" s="5" t="n">
        <f aca="false">COUNTIF(Traceability_Matrix!$G$4:$G$133,"S5")</f>
        <v>12</v>
      </c>
      <c r="D8" s="5" t="n">
        <f aca="false">SUMIF(Traceability_Matrix!$G$4:$G$133,"S5",Traceability_Matrix!$E$4:$E$133)</f>
        <v>50</v>
      </c>
      <c r="E8" s="5" t="n">
        <f aca="false">COUNTIFS(Traceability_Matrix!$G$4:$G$133,"S5",Traceability_Matrix!$J$4:$J$133,"Done")</f>
        <v>12</v>
      </c>
      <c r="F8" s="5" t="n">
        <f aca="false">SUMIFS(Traceability_Matrix!$E$4:$E$133,Traceability_Matrix!$G$4:$G$133,"S5",Traceability_Matrix!$J$4:$J$133,"Done")</f>
        <v>50</v>
      </c>
      <c r="G8" s="16" t="n">
        <f aca="false">IFERROR(SUMIFS(Traceability_Matrix!$E$4:$E$133,Traceability_Matrix!$G$4:$G$133,"S5",Traceability_Matrix!$J$4:$J$133,"Done")/SUMIF(Traceability_Matrix!$G$4:$G$133,"S5",Traceability_Matrix!$E$4:$E$133),0)</f>
        <v>1</v>
      </c>
      <c r="H8" s="5" t="s">
        <v>2774</v>
      </c>
    </row>
    <row r="9" customFormat="false" ht="15" hidden="false" customHeight="true" outlineLevel="0" collapsed="false">
      <c r="A9" s="5" t="s">
        <v>2430</v>
      </c>
      <c r="B9" s="5" t="s">
        <v>2778</v>
      </c>
      <c r="C9" s="5" t="n">
        <f aca="false">COUNTIF(Traceability_Matrix!$G$4:$G$133,"S6")</f>
        <v>13</v>
      </c>
      <c r="D9" s="5" t="n">
        <f aca="false">SUMIF(Traceability_Matrix!$G$4:$G$133,"S6",Traceability_Matrix!$E$4:$E$133)</f>
        <v>60</v>
      </c>
      <c r="E9" s="5" t="n">
        <f aca="false">COUNTIFS(Traceability_Matrix!$G$4:$G$133,"S6",Traceability_Matrix!$J$4:$J$133,"Done")</f>
        <v>12</v>
      </c>
      <c r="F9" s="5" t="n">
        <f aca="false">SUMIFS(Traceability_Matrix!$E$4:$E$133,Traceability_Matrix!$G$4:$G$133,"S6",Traceability_Matrix!$J$4:$J$133,"Done")</f>
        <v>52</v>
      </c>
      <c r="G9" s="16" t="n">
        <f aca="false">IFERROR(SUMIFS(Traceability_Matrix!$E$4:$E$133,Traceability_Matrix!$G$4:$G$133,"S6",Traceability_Matrix!$J$4:$J$133,"Done")/SUMIF(Traceability_Matrix!$G$4:$G$133,"S6",Traceability_Matrix!$E$4:$E$133),0)</f>
        <v>0.866666666666667</v>
      </c>
      <c r="H9" s="5" t="s">
        <v>2779</v>
      </c>
    </row>
    <row r="10" customFormat="false" ht="15" hidden="false" customHeight="true" outlineLevel="0" collapsed="false">
      <c r="A10" s="5" t="s">
        <v>2512</v>
      </c>
      <c r="B10" s="5" t="s">
        <v>2780</v>
      </c>
      <c r="C10" s="5" t="n">
        <f aca="false">COUNTIF(Traceability_Matrix!$G$4:$G$133,"S7")</f>
        <v>5</v>
      </c>
      <c r="D10" s="5" t="n">
        <f aca="false">SUMIF(Traceability_Matrix!$G$4:$G$133,"S7",Traceability_Matrix!$E$4:$E$133)</f>
        <v>15</v>
      </c>
      <c r="E10" s="5" t="n">
        <f aca="false">COUNTIFS(Traceability_Matrix!$G$4:$G$133,"S7",Traceability_Matrix!$J$4:$J$133,"Done")</f>
        <v>5</v>
      </c>
      <c r="F10" s="5" t="n">
        <f aca="false">SUMIFS(Traceability_Matrix!$E$4:$E$133,Traceability_Matrix!$G$4:$G$133,"S7",Traceability_Matrix!$J$4:$J$133,"Done")</f>
        <v>15</v>
      </c>
      <c r="G10" s="16" t="n">
        <f aca="false">IFERROR(SUMIFS(Traceability_Matrix!$E$4:$E$133,Traceability_Matrix!$G$4:$G$133,"S7",Traceability_Matrix!$J$4:$J$133,"Done")/SUMIF(Traceability_Matrix!$G$4:$G$133,"S7",Traceability_Matrix!$E$4:$E$133),0)</f>
        <v>1</v>
      </c>
      <c r="H10" s="5" t="s">
        <v>2781</v>
      </c>
    </row>
    <row r="11" customFormat="false" ht="15" hidden="false" customHeight="true" outlineLevel="0" collapsed="false">
      <c r="A11" s="5" t="s">
        <v>141</v>
      </c>
      <c r="B11" s="5" t="s">
        <v>2782</v>
      </c>
      <c r="C11" s="5" t="n">
        <f aca="false">COUNTIF(Traceability_Matrix!$G$4:$G$133,"S8")</f>
        <v>22</v>
      </c>
      <c r="D11" s="5" t="n">
        <f aca="false">SUMIF(Traceability_Matrix!$G$4:$G$133,"S8",Traceability_Matrix!$E$4:$E$133)</f>
        <v>87</v>
      </c>
      <c r="E11" s="5" t="n">
        <f aca="false">COUNTIFS(Traceability_Matrix!$G$4:$G$133,"S8",Traceability_Matrix!$J$4:$J$133,"Done")</f>
        <v>18</v>
      </c>
      <c r="F11" s="5" t="n">
        <f aca="false">SUMIFS(Traceability_Matrix!$E$4:$E$133,Traceability_Matrix!$G$4:$G$133,"S8",Traceability_Matrix!$J$4:$J$133,"Done")</f>
        <v>71</v>
      </c>
      <c r="G11" s="16" t="n">
        <f aca="false">IFERROR(SUMIFS(Traceability_Matrix!$E$4:$E$133,Traceability_Matrix!$G$4:$G$133,"S8",Traceability_Matrix!$J$4:$J$133,"Done")/SUMIF(Traceability_Matrix!$G$4:$G$133,"S8",Traceability_Matrix!$E$4:$E$133),0)</f>
        <v>0.816091954022989</v>
      </c>
      <c r="H11" s="5" t="s">
        <v>2783</v>
      </c>
    </row>
    <row r="12" customFormat="false" ht="15" hidden="false" customHeight="true" outlineLevel="0" collapsed="false">
      <c r="A12" s="5" t="s">
        <v>2539</v>
      </c>
      <c r="B12" s="5" t="s">
        <v>2784</v>
      </c>
      <c r="C12" s="5" t="n">
        <f aca="false">COUNTIF(Traceability_Matrix!$G$4:$G$133,"S9")</f>
        <v>7</v>
      </c>
      <c r="D12" s="5" t="n">
        <f aca="false">SUMIF(Traceability_Matrix!$G$4:$G$133,"S9",Traceability_Matrix!$E$4:$E$133)</f>
        <v>30</v>
      </c>
      <c r="E12" s="5" t="n">
        <f aca="false">COUNTIFS(Traceability_Matrix!$G$4:$G$133,"S9",Traceability_Matrix!$J$4:$J$133,"Done")</f>
        <v>2</v>
      </c>
      <c r="F12" s="5" t="n">
        <f aca="false">SUMIFS(Traceability_Matrix!$E$4:$E$133,Traceability_Matrix!$G$4:$G$133,"S9",Traceability_Matrix!$J$4:$J$133,"Done")</f>
        <v>8</v>
      </c>
      <c r="G12" s="16" t="n">
        <f aca="false">IFERROR(SUMIFS(Traceability_Matrix!$E$4:$E$133,Traceability_Matrix!$G$4:$G$133,"S9",Traceability_Matrix!$J$4:$J$133,"Done")/SUMIF(Traceability_Matrix!$G$4:$G$133,"S9",Traceability_Matrix!$E$4:$E$133),0)</f>
        <v>0.266666666666667</v>
      </c>
      <c r="H12" s="5" t="s">
        <v>2785</v>
      </c>
    </row>
    <row r="13" customFormat="false" ht="15" hidden="false" customHeight="true" outlineLevel="0" collapsed="false">
      <c r="A13" s="5" t="s">
        <v>192</v>
      </c>
      <c r="B13" s="5" t="s">
        <v>2786</v>
      </c>
      <c r="C13" s="5" t="n">
        <f aca="false">COUNTIF(Traceability_Matrix!$G$4:$G$133,"S10")</f>
        <v>7</v>
      </c>
      <c r="D13" s="5" t="n">
        <f aca="false">SUMIF(Traceability_Matrix!$G$4:$G$133,"S10",Traceability_Matrix!$E$4:$E$133)</f>
        <v>24</v>
      </c>
      <c r="E13" s="5" t="n">
        <f aca="false">COUNTIFS(Traceability_Matrix!$G$4:$G$133,"S10",Traceability_Matrix!$J$4:$J$133,"Done")</f>
        <v>0</v>
      </c>
      <c r="F13" s="5" t="n">
        <f aca="false">SUMIFS(Traceability_Matrix!$E$4:$E$133,Traceability_Matrix!$G$4:$G$133,"S10",Traceability_Matrix!$J$4:$J$133,"Done")</f>
        <v>0</v>
      </c>
      <c r="G13" s="16" t="n">
        <f aca="false">IFERROR(SUMIFS(Traceability_Matrix!$E$4:$E$133,Traceability_Matrix!$G$4:$G$133,"S10",Traceability_Matrix!$J$4:$J$133,"Done")/SUMIF(Traceability_Matrix!$G$4:$G$133,"S10",Traceability_Matrix!$E$4:$E$133),0)</f>
        <v>0</v>
      </c>
      <c r="H13" s="5" t="s">
        <v>2787</v>
      </c>
    </row>
    <row r="14" customFormat="false" ht="15" hidden="false" customHeight="true" outlineLevel="0" collapsed="false">
      <c r="A14" s="5" t="s">
        <v>340</v>
      </c>
      <c r="B14" s="5" t="s">
        <v>2788</v>
      </c>
      <c r="C14" s="5" t="n">
        <f aca="false">COUNTIF(Traceability_Matrix!$G$4:$G$133,"S11")</f>
        <v>3</v>
      </c>
      <c r="D14" s="5" t="n">
        <f aca="false">SUMIF(Traceability_Matrix!$G$4:$G$133,"S11",Traceability_Matrix!$E$4:$E$133)</f>
        <v>8</v>
      </c>
      <c r="E14" s="5" t="n">
        <f aca="false">COUNTIFS(Traceability_Matrix!$G$4:$G$133,"S11",Traceability_Matrix!$J$4:$J$133,"Done")</f>
        <v>1</v>
      </c>
      <c r="F14" s="5" t="n">
        <f aca="false">SUMIFS(Traceability_Matrix!$E$4:$E$133,Traceability_Matrix!$G$4:$G$133,"S11",Traceability_Matrix!$J$4:$J$133,"Done")</f>
        <v>3</v>
      </c>
      <c r="G14" s="16" t="n">
        <f aca="false">IFERROR(SUMIFS(Traceability_Matrix!$E$4:$E$133,Traceability_Matrix!$G$4:$G$133,"S11",Traceability_Matrix!$J$4:$J$133,"Done")/SUMIF(Traceability_Matrix!$G$4:$G$133,"S11",Traceability_Matrix!$E$4:$E$133),0)</f>
        <v>0.375</v>
      </c>
      <c r="H14" s="5" t="s">
        <v>665</v>
      </c>
    </row>
    <row r="15" customFormat="false" ht="15" hidden="false" customHeight="true" outlineLevel="0" collapsed="false">
      <c r="A15" s="5" t="s">
        <v>2624</v>
      </c>
      <c r="B15" s="5" t="s">
        <v>2789</v>
      </c>
      <c r="C15" s="5" t="n">
        <f aca="false">COUNTIF(Traceability_Matrix!$G$4:$G$133,"S12")</f>
        <v>1</v>
      </c>
      <c r="D15" s="5" t="n">
        <f aca="false">SUMIF(Traceability_Matrix!$G$4:$G$133,"S12",Traceability_Matrix!$E$4:$E$133)</f>
        <v>2</v>
      </c>
      <c r="E15" s="5" t="n">
        <f aca="false">COUNTIFS(Traceability_Matrix!$G$4:$G$133,"S12",Traceability_Matrix!$J$4:$J$133,"Done")</f>
        <v>0</v>
      </c>
      <c r="F15" s="5" t="n">
        <f aca="false">SUMIFS(Traceability_Matrix!$E$4:$E$133,Traceability_Matrix!$G$4:$G$133,"S12",Traceability_Matrix!$J$4:$J$133,"Done")</f>
        <v>0</v>
      </c>
      <c r="G15" s="16" t="n">
        <f aca="false">IFERROR(SUMIFS(Traceability_Matrix!$E$4:$E$133,Traceability_Matrix!$G$4:$G$133,"S12",Traceability_Matrix!$J$4:$J$133,"Done")/SUMIF(Traceability_Matrix!$G$4:$G$133,"S12",Traceability_Matrix!$E$4:$E$133),0)</f>
        <v>0</v>
      </c>
      <c r="H15" s="5" t="s">
        <v>665</v>
      </c>
    </row>
    <row r="16" customFormat="false" ht="15" hidden="false" customHeight="true" outlineLevel="0" collapsed="false">
      <c r="B16" s="17" t="s">
        <v>2790</v>
      </c>
      <c r="C16" s="7" t="n">
        <f aca="false">COUNTA(Traceability_Matrix!$A$4:$A$133)</f>
        <v>130</v>
      </c>
      <c r="D16" s="7" t="n">
        <f aca="false">SUM(Traceability_Matrix!$E$4:$E$133)</f>
        <v>449</v>
      </c>
      <c r="E16" s="7" t="n">
        <f aca="false">COUNTIF(Traceability_Matrix!$J$4:$J$133,"Done")</f>
        <v>100</v>
      </c>
      <c r="F16" s="7" t="n">
        <f aca="false">SUMIFS(Traceability_Matrix!$E$4:$E$133,Traceability_Matrix!$J$4:$J$133,"Done")</f>
        <v>341</v>
      </c>
    </row>
    <row r="18" customFormat="false" ht="15" hidden="false" customHeight="true" outlineLevel="0" collapsed="false">
      <c r="B18" s="17" t="s">
        <v>2791</v>
      </c>
    </row>
    <row r="19" customFormat="false" ht="15" hidden="false" customHeight="true" outlineLevel="0" collapsed="false">
      <c r="B19" s="7" t="s">
        <v>1036</v>
      </c>
      <c r="C19" s="7" t="n">
        <f aca="false">COUNTIF(Traceability_Matrix!$J$4:$J$133,"Done")</f>
        <v>100</v>
      </c>
    </row>
    <row r="20" customFormat="false" ht="15" hidden="false" customHeight="true" outlineLevel="0" collapsed="false">
      <c r="B20" s="7" t="s">
        <v>2288</v>
      </c>
      <c r="C20" s="7" t="n">
        <f aca="false">COUNTIF(Traceability_Matrix!$J$4:$J$133,"Code-complete")</f>
        <v>6</v>
      </c>
    </row>
    <row r="21" customFormat="false" ht="15" hidden="false" customHeight="true" outlineLevel="0" collapsed="false">
      <c r="B21" s="7" t="s">
        <v>1235</v>
      </c>
      <c r="C21" s="7" t="n">
        <f aca="false">COUNTIF(Traceability_Matrix!$J$4:$J$133,"Drafted")</f>
        <v>10</v>
      </c>
    </row>
    <row r="22" customFormat="false" ht="15" hidden="false" customHeight="true" outlineLevel="0" collapsed="false">
      <c r="B22" s="7" t="s">
        <v>2584</v>
      </c>
      <c r="C22" s="7" t="n">
        <f aca="false">COUNTIF(Traceability_Matrix!$J$4:$J$133,"Backlog")</f>
        <v>9</v>
      </c>
    </row>
    <row r="23" customFormat="false" ht="15" hidden="false" customHeight="false" outlineLevel="0" collapsed="false">
      <c r="B23" s="7" t="s">
        <v>2792</v>
      </c>
      <c r="C23" s="7" t="n">
        <v>77</v>
      </c>
    </row>
    <row r="24" customFormat="false" ht="15" hidden="false" customHeight="false" outlineLevel="0" collapsed="false">
      <c r="B24" s="7" t="s">
        <v>2793</v>
      </c>
      <c r="C24" s="7" t="n">
        <v>54</v>
      </c>
      <c r="H24" s="1" t="s">
        <v>2794</v>
      </c>
    </row>
    <row r="25" customFormat="false" ht="15" hidden="false" customHeight="false" outlineLevel="0" collapsed="false">
      <c r="B25" s="7" t="s">
        <v>2795</v>
      </c>
      <c r="C25" s="7" t="s">
        <v>2796</v>
      </c>
    </row>
    <row r="26" customFormat="false" ht="15" hidden="false" customHeight="false" outlineLevel="0" collapsed="false">
      <c r="A26" s="18" t="s">
        <v>2797</v>
      </c>
    </row>
    <row r="27" customFormat="false" ht="15" hidden="false" customHeight="false" outlineLevel="0" collapsed="false">
      <c r="A27" s="19" t="s">
        <v>567</v>
      </c>
      <c r="B27" s="19" t="s">
        <v>2798</v>
      </c>
      <c r="C27" s="19" t="n">
        <f aca="false">COUNTIF(Traceability_Matrix!$G$4:$G$133,"PX-S0")</f>
        <v>7</v>
      </c>
      <c r="D27" s="19" t="n">
        <f aca="false">SUMIF(Traceability_Matrix!$G$4:$G$133,"PX-S0",Traceability_Matrix!$E$4:$E$133)</f>
        <v>13</v>
      </c>
      <c r="E27" s="19" t="n">
        <f aca="false">COUNTIFS(Traceability_Matrix!$G$4:$G$133,"PX-S0",Traceability_Matrix!$J$4:$J$133,"Done")</f>
        <v>7</v>
      </c>
      <c r="F27" s="19" t="n">
        <f aca="false">SUMIFS(Traceability_Matrix!$E$4:$E$133,Traceability_Matrix!$G$4:$G$133,"PX-S0",Traceability_Matrix!$J$4:$J$133,"Done")</f>
        <v>13</v>
      </c>
      <c r="G27" s="20" t="n">
        <f aca="false">IFERROR(SUMIFS(Traceability_Matrix!$E$4:$E$133,Traceability_Matrix!$G$4:$G$133,"PX-S0",Traceability_Matrix!$J$4:$J$133,"Done")/SUMIF(Traceability_Matrix!$G$4:$G$133,"PX-S0",Traceability_Matrix!$E$4:$E$133),0)</f>
        <v>1</v>
      </c>
      <c r="H27" s="19" t="s">
        <v>2799</v>
      </c>
    </row>
    <row r="28" customFormat="false" ht="15" hidden="false" customHeight="false" outlineLevel="0" collapsed="false">
      <c r="A28" s="19" t="s">
        <v>578</v>
      </c>
      <c r="B28" s="19" t="s">
        <v>913</v>
      </c>
      <c r="C28" s="19" t="n">
        <f aca="false">COUNTIF(Traceability_Matrix!$G$4:$G$133,"PX-S1")</f>
        <v>7</v>
      </c>
      <c r="D28" s="19" t="n">
        <f aca="false">SUMIF(Traceability_Matrix!$G$4:$G$133,"PX-S1",Traceability_Matrix!$E$4:$E$133)</f>
        <v>7</v>
      </c>
      <c r="E28" s="19" t="n">
        <f aca="false">COUNTIFS(Traceability_Matrix!$G$4:$G$133,"PX-S1",Traceability_Matrix!$J$4:$J$133,"Done")</f>
        <v>6</v>
      </c>
      <c r="F28" s="19" t="n">
        <f aca="false">SUMIFS(Traceability_Matrix!$E$4:$E$133,Traceability_Matrix!$G$4:$G$133,"PX-S1",Traceability_Matrix!$J$4:$J$133,"Done")</f>
        <v>6</v>
      </c>
      <c r="G28" s="20" t="n">
        <f aca="false">IFERROR(SUMIFS(Traceability_Matrix!$E$4:$E$133,Traceability_Matrix!$G$4:$G$133,"PX-S1",Traceability_Matrix!$J$4:$J$133,"Done")/SUMIF(Traceability_Matrix!$G$4:$G$133,"PX-S1",Traceability_Matrix!$E$4:$E$133),0)</f>
        <v>0.857142857142857</v>
      </c>
      <c r="H28" s="19" t="s">
        <v>2800</v>
      </c>
    </row>
    <row r="29" customFormat="false" ht="15" hidden="false" customHeight="false" outlineLevel="0" collapsed="false">
      <c r="A29" s="19" t="s">
        <v>585</v>
      </c>
      <c r="B29" s="19" t="s">
        <v>919</v>
      </c>
      <c r="C29" s="19" t="n">
        <f aca="false">COUNTIF(Traceability_Matrix!$G$4:$G$133,"PX-S2")</f>
        <v>11</v>
      </c>
      <c r="D29" s="19" t="n">
        <f aca="false">SUMIF(Traceability_Matrix!$G$4:$G$133,"PX-S2",Traceability_Matrix!$E$4:$E$133)</f>
        <v>13</v>
      </c>
      <c r="E29" s="19" t="n">
        <f aca="false">COUNTIFS(Traceability_Matrix!$G$4:$G$133,"PX-S2",Traceability_Matrix!$J$4:$J$133,"Done")</f>
        <v>10</v>
      </c>
      <c r="F29" s="19" t="n">
        <f aca="false">SUMIFS(Traceability_Matrix!$E$4:$E$133,Traceability_Matrix!$G$4:$G$133,"PX-S2",Traceability_Matrix!$J$4:$J$133,"Done")</f>
        <v>11</v>
      </c>
      <c r="G29" s="20" t="n">
        <f aca="false">IFERROR(SUMIFS(Traceability_Matrix!$E$4:$E$133,Traceability_Matrix!$G$4:$G$133,"PX-S2",Traceability_Matrix!$J$4:$J$133,"Done")/SUMIF(Traceability_Matrix!$G$4:$G$133,"PX-S2",Traceability_Matrix!$E$4:$E$133),0)</f>
        <v>0.846153846153846</v>
      </c>
      <c r="H29" s="19" t="s">
        <v>2799</v>
      </c>
    </row>
    <row r="30" customFormat="false" ht="15" hidden="false" customHeight="false" outlineLevel="0" collapsed="false">
      <c r="A30" s="19" t="s">
        <v>949</v>
      </c>
      <c r="B30" s="19" t="s">
        <v>2801</v>
      </c>
      <c r="C30" s="19" t="n">
        <f aca="false">COUNTIF(Traceability_Matrix!$G$4:$G$133,"PX-S3")</f>
        <v>3</v>
      </c>
      <c r="D30" s="19" t="n">
        <f aca="false">SUMIF(Traceability_Matrix!$G$4:$G$133,"PX-S3",Traceability_Matrix!$E$4:$E$133)</f>
        <v>13</v>
      </c>
      <c r="E30" s="19" t="n">
        <f aca="false">COUNTIFS(Traceability_Matrix!$G$4:$G$133,"PX-S3",Traceability_Matrix!$J$4:$J$133,"Done")</f>
        <v>0</v>
      </c>
      <c r="F30" s="19" t="n">
        <f aca="false">SUMIFS(Traceability_Matrix!$E$4:$E$133,Traceability_Matrix!$G$4:$G$133,"PX-S3",Traceability_Matrix!$J$4:$J$133,"Done")</f>
        <v>0</v>
      </c>
      <c r="G30" s="20" t="n">
        <f aca="false">IFERROR(SUMIFS(Traceability_Matrix!$E$4:$E$133,Traceability_Matrix!$G$4:$G$133,"PX-S3",Traceability_Matrix!$J$4:$J$133,"Done")/SUMIF(Traceability_Matrix!$G$4:$G$133,"PX-S3",Traceability_Matrix!$E$4:$E$133),0)</f>
        <v>0</v>
      </c>
      <c r="H30" s="19" t="s">
        <v>2802</v>
      </c>
    </row>
    <row r="31" customFormat="false" ht="15" hidden="false" customHeight="false" outlineLevel="0" collapsed="false">
      <c r="A31" s="19" t="s">
        <v>731</v>
      </c>
      <c r="B31" s="19" t="s">
        <v>2803</v>
      </c>
      <c r="C31" s="19" t="n">
        <f aca="false">COUNTIF(Traceability_Matrix!$G$4:$G$133,"S42")</f>
        <v>1</v>
      </c>
      <c r="D31" s="19" t="n">
        <f aca="false">SUMIF(Traceability_Matrix!$G$4:$G$133,"S42",Traceability_Matrix!$E$4:$E$133)</f>
        <v>3</v>
      </c>
      <c r="E31" s="19" t="n">
        <f aca="false">COUNTIFS(Traceability_Matrix!$G$4:$G$133,"S42",Traceability_Matrix!$J$4:$J$133,"Done")</f>
        <v>0</v>
      </c>
      <c r="F31" s="19" t="n">
        <f aca="false">SUMIFS(Traceability_Matrix!$E$4:$E$133,Traceability_Matrix!$G$4:$G$133,"S42",Traceability_Matrix!$J$4:$J$133,"Done")</f>
        <v>0</v>
      </c>
      <c r="G31" s="20" t="n">
        <f aca="false">IFERROR(SUMIFS(Traceability_Matrix!$E$4:$E$133,Traceability_Matrix!$G$4:$G$133,"S42",Traceability_Matrix!$J$4:$J$133,"Done")/SUMIF(Traceability_Matrix!$G$4:$G$133,"S42",Traceability_Matrix!$E$4:$E$133),0)</f>
        <v>0</v>
      </c>
      <c r="H31" s="19" t="s">
        <v>665</v>
      </c>
    </row>
    <row r="32" customFormat="false" ht="15" hidden="false" customHeight="false" outlineLevel="0" collapsed="false">
      <c r="A32" s="19" t="s">
        <v>689</v>
      </c>
      <c r="B32" s="19" t="s">
        <v>2804</v>
      </c>
      <c r="C32" s="19" t="n">
        <f aca="false">COUNTIF(Traceability_Matrix!$G$4:$G$133,"S38")</f>
        <v>1</v>
      </c>
      <c r="D32" s="19" t="n">
        <f aca="false">SUMIF(Traceability_Matrix!$G$4:$G$133,"S38",Traceability_Matrix!$E$4:$E$133)</f>
        <v>1</v>
      </c>
      <c r="E32" s="19" t="n">
        <f aca="false">COUNTIFS(Traceability_Matrix!$G$4:$G$133,"S38",Traceability_Matrix!$J$4:$J$133,"Done")</f>
        <v>0</v>
      </c>
      <c r="F32" s="19" t="n">
        <f aca="false">SUMIFS(Traceability_Matrix!$E$4:$E$133,Traceability_Matrix!$G$4:$G$133,"S38",Traceability_Matrix!$J$4:$J$133,"Done")</f>
        <v>0</v>
      </c>
      <c r="G32" s="20" t="n">
        <f aca="false">IFERROR(SUMIFS(Traceability_Matrix!$E$4:$E$133,Traceability_Matrix!$G$4:$G$133,"S38",Traceability_Matrix!$J$4:$J$133,"Done")/SUMIF(Traceability_Matrix!$G$4:$G$133,"S38",Traceability_Matrix!$E$4:$E$133),0)</f>
        <v>0</v>
      </c>
      <c r="H32" s="19" t="s">
        <v>2805</v>
      </c>
    </row>
    <row r="33" customFormat="false" ht="15" hidden="false" customHeight="false" outlineLevel="0" collapsed="false">
      <c r="B33" s="1" t="s">
        <v>2806</v>
      </c>
      <c r="C33" s="1" t="n">
        <f aca="false">COUNTIF(Traceability_Matrix!$J$4:$J$133,"Done")+COUNTIF(Traceability_Matrix!$J$4:$J$133,"Done — *")</f>
        <v>102</v>
      </c>
    </row>
    <row r="34" customFormat="false" ht="15" hidden="false" customHeight="false" outlineLevel="0" collapsed="false">
      <c r="B34" s="1" t="s">
        <v>2807</v>
      </c>
      <c r="C34" s="1" t="n">
        <v>54</v>
      </c>
      <c r="H34" s="1" t="s">
        <v>2808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8"/>
    <col collapsed="false" customWidth="true" hidden="false" outlineLevel="0" max="4" min="4" style="1" width="72"/>
    <col collapsed="false" customWidth="true" hidden="false" outlineLevel="0" max="5" min="5" style="1" width="8"/>
    <col collapsed="false" customWidth="true" hidden="false" outlineLevel="0" max="6" min="6" style="1" width="72"/>
  </cols>
  <sheetData>
    <row r="1" customFormat="false" ht="15" hidden="false" customHeight="true" outlineLevel="0" collapsed="false">
      <c r="A1" s="2" t="s">
        <v>2809</v>
      </c>
    </row>
    <row r="2" customFormat="false" ht="15" hidden="false" customHeight="true" outlineLevel="0" collapsed="false">
      <c r="A2" s="4" t="s">
        <v>103</v>
      </c>
      <c r="B2" s="4" t="s">
        <v>2810</v>
      </c>
      <c r="C2" s="4" t="s">
        <v>2811</v>
      </c>
      <c r="D2" s="4" t="s">
        <v>1029</v>
      </c>
      <c r="E2" s="4" t="s">
        <v>6</v>
      </c>
      <c r="F2" s="4" t="s">
        <v>2812</v>
      </c>
    </row>
    <row r="3" customFormat="false" ht="15" hidden="false" customHeight="true" outlineLevel="0" collapsed="false">
      <c r="A3" s="5" t="s">
        <v>2813</v>
      </c>
      <c r="B3" s="5" t="s">
        <v>2814</v>
      </c>
      <c r="C3" s="5" t="s">
        <v>27</v>
      </c>
      <c r="D3" s="6" t="s">
        <v>2815</v>
      </c>
      <c r="E3" s="5" t="s">
        <v>2816</v>
      </c>
      <c r="F3" s="6" t="s">
        <v>2817</v>
      </c>
    </row>
    <row r="4" customFormat="false" ht="23.25" hidden="false" customHeight="true" outlineLevel="0" collapsed="false">
      <c r="A4" s="5" t="s">
        <v>2818</v>
      </c>
      <c r="B4" s="5" t="s">
        <v>2814</v>
      </c>
      <c r="C4" s="5" t="s">
        <v>27</v>
      </c>
      <c r="D4" s="6" t="s">
        <v>2819</v>
      </c>
      <c r="E4" s="5" t="s">
        <v>2816</v>
      </c>
      <c r="F4" s="6" t="s">
        <v>2820</v>
      </c>
    </row>
    <row r="5" customFormat="false" ht="23.25" hidden="false" customHeight="true" outlineLevel="0" collapsed="false">
      <c r="A5" s="5" t="s">
        <v>2821</v>
      </c>
      <c r="B5" s="5" t="s">
        <v>2814</v>
      </c>
      <c r="C5" s="5" t="s">
        <v>27</v>
      </c>
      <c r="D5" s="6" t="s">
        <v>2822</v>
      </c>
      <c r="E5" s="5" t="s">
        <v>2816</v>
      </c>
      <c r="F5" s="6" t="s">
        <v>2823</v>
      </c>
    </row>
    <row r="6" customFormat="false" ht="23.25" hidden="false" customHeight="true" outlineLevel="0" collapsed="false">
      <c r="A6" s="5" t="s">
        <v>2824</v>
      </c>
      <c r="B6" s="5" t="s">
        <v>2825</v>
      </c>
      <c r="C6" s="5" t="s">
        <v>2826</v>
      </c>
      <c r="D6" s="6" t="s">
        <v>2827</v>
      </c>
      <c r="E6" s="5" t="s">
        <v>2816</v>
      </c>
      <c r="F6" s="6" t="s">
        <v>2828</v>
      </c>
    </row>
    <row r="7" customFormat="false" ht="23.25" hidden="false" customHeight="true" outlineLevel="0" collapsed="false">
      <c r="A7" s="5" t="s">
        <v>2829</v>
      </c>
      <c r="B7" s="5" t="s">
        <v>2814</v>
      </c>
      <c r="C7" s="5" t="s">
        <v>2830</v>
      </c>
      <c r="D7" s="6" t="s">
        <v>2831</v>
      </c>
      <c r="E7" s="5" t="s">
        <v>2816</v>
      </c>
      <c r="F7" s="6" t="s">
        <v>2832</v>
      </c>
    </row>
    <row r="8" customFormat="false" ht="15" hidden="false" customHeight="true" outlineLevel="0" collapsed="false">
      <c r="A8" s="5" t="s">
        <v>2833</v>
      </c>
      <c r="B8" s="5" t="s">
        <v>2814</v>
      </c>
      <c r="C8" s="5" t="s">
        <v>2830</v>
      </c>
      <c r="D8" s="6" t="s">
        <v>2834</v>
      </c>
      <c r="E8" s="5" t="s">
        <v>2816</v>
      </c>
      <c r="F8" s="6" t="s">
        <v>2835</v>
      </c>
    </row>
    <row r="9" customFormat="false" ht="15" hidden="false" customHeight="true" outlineLevel="0" collapsed="false">
      <c r="A9" s="5" t="s">
        <v>2836</v>
      </c>
      <c r="B9" s="5" t="s">
        <v>2837</v>
      </c>
      <c r="C9" s="5" t="s">
        <v>2826</v>
      </c>
      <c r="D9" s="6" t="s">
        <v>2838</v>
      </c>
      <c r="E9" s="5" t="s">
        <v>2816</v>
      </c>
      <c r="F9" s="6" t="s">
        <v>2839</v>
      </c>
    </row>
    <row r="10" customFormat="false" ht="15" hidden="false" customHeight="true" outlineLevel="0" collapsed="false">
      <c r="A10" s="5" t="s">
        <v>2840</v>
      </c>
      <c r="B10" s="5" t="s">
        <v>2837</v>
      </c>
      <c r="C10" s="5" t="s">
        <v>2826</v>
      </c>
      <c r="D10" s="6" t="s">
        <v>2841</v>
      </c>
      <c r="E10" s="5" t="s">
        <v>2816</v>
      </c>
      <c r="F10" s="6" t="s">
        <v>2842</v>
      </c>
    </row>
    <row r="11" customFormat="false" ht="23.25" hidden="false" customHeight="true" outlineLevel="0" collapsed="false">
      <c r="A11" s="5" t="s">
        <v>2843</v>
      </c>
      <c r="B11" s="5" t="s">
        <v>645</v>
      </c>
      <c r="C11" s="5" t="s">
        <v>2844</v>
      </c>
      <c r="D11" s="6" t="s">
        <v>2845</v>
      </c>
      <c r="E11" s="5" t="s">
        <v>2172</v>
      </c>
      <c r="F11" s="6" t="s">
        <v>2846</v>
      </c>
    </row>
    <row r="12" customFormat="false" ht="15" hidden="false" customHeight="true" outlineLevel="0" collapsed="false">
      <c r="A12" s="5" t="s">
        <v>2847</v>
      </c>
      <c r="B12" s="5" t="s">
        <v>2837</v>
      </c>
      <c r="C12" s="5" t="s">
        <v>2848</v>
      </c>
      <c r="D12" s="6" t="s">
        <v>2849</v>
      </c>
      <c r="E12" s="5" t="s">
        <v>2816</v>
      </c>
      <c r="F12" s="6" t="s">
        <v>2850</v>
      </c>
    </row>
    <row r="13" customFormat="false" ht="23.25" hidden="false" customHeight="true" outlineLevel="0" collapsed="false">
      <c r="A13" s="5" t="s">
        <v>2851</v>
      </c>
      <c r="B13" s="5" t="s">
        <v>645</v>
      </c>
      <c r="C13" s="5" t="s">
        <v>2852</v>
      </c>
      <c r="D13" s="6" t="s">
        <v>2853</v>
      </c>
      <c r="E13" s="5" t="s">
        <v>2172</v>
      </c>
      <c r="F13" s="6" t="s">
        <v>2854</v>
      </c>
    </row>
    <row r="14" customFormat="false" ht="23.25" hidden="false" customHeight="true" outlineLevel="0" collapsed="false">
      <c r="A14" s="5" t="s">
        <v>2855</v>
      </c>
      <c r="B14" s="5" t="s">
        <v>2325</v>
      </c>
      <c r="C14" s="5" t="s">
        <v>2856</v>
      </c>
      <c r="D14" s="6" t="s">
        <v>2857</v>
      </c>
      <c r="E14" s="5" t="s">
        <v>2172</v>
      </c>
      <c r="F14" s="6" t="s">
        <v>2858</v>
      </c>
    </row>
    <row r="15" customFormat="false" ht="34.5" hidden="false" customHeight="true" outlineLevel="0" collapsed="false">
      <c r="A15" s="5" t="s">
        <v>2859</v>
      </c>
      <c r="B15" s="5" t="s">
        <v>2325</v>
      </c>
      <c r="C15" s="5" t="s">
        <v>2856</v>
      </c>
      <c r="D15" s="6" t="s">
        <v>2860</v>
      </c>
      <c r="E15" s="5" t="s">
        <v>2172</v>
      </c>
      <c r="F15" s="6" t="s">
        <v>2861</v>
      </c>
    </row>
    <row r="16" customFormat="false" ht="23.25" hidden="false" customHeight="true" outlineLevel="0" collapsed="false">
      <c r="A16" s="5" t="s">
        <v>2862</v>
      </c>
      <c r="B16" s="5" t="s">
        <v>2814</v>
      </c>
      <c r="C16" s="5" t="s">
        <v>2856</v>
      </c>
      <c r="D16" s="6" t="s">
        <v>2863</v>
      </c>
      <c r="E16" s="5" t="s">
        <v>2816</v>
      </c>
      <c r="F16" s="6" t="s">
        <v>2864</v>
      </c>
    </row>
    <row r="17" customFormat="false" ht="34.5" hidden="false" customHeight="true" outlineLevel="0" collapsed="false">
      <c r="A17" s="5" t="s">
        <v>1460</v>
      </c>
      <c r="B17" s="5" t="s">
        <v>2325</v>
      </c>
      <c r="C17" s="5" t="s">
        <v>2856</v>
      </c>
      <c r="D17" s="6" t="s">
        <v>2865</v>
      </c>
      <c r="E17" s="5" t="s">
        <v>2172</v>
      </c>
      <c r="F17" s="6" t="s">
        <v>2866</v>
      </c>
    </row>
    <row r="18" customFormat="false" ht="34.5" hidden="false" customHeight="true" outlineLevel="0" collapsed="false">
      <c r="A18" s="5" t="s">
        <v>2867</v>
      </c>
      <c r="B18" s="5" t="s">
        <v>2325</v>
      </c>
      <c r="C18" s="5" t="s">
        <v>2856</v>
      </c>
      <c r="D18" s="6" t="s">
        <v>2868</v>
      </c>
      <c r="E18" s="5" t="s">
        <v>2172</v>
      </c>
      <c r="F18" s="6" t="s">
        <v>2869</v>
      </c>
    </row>
    <row r="19" customFormat="false" ht="23.25" hidden="false" customHeight="true" outlineLevel="0" collapsed="false">
      <c r="A19" s="5" t="s">
        <v>2870</v>
      </c>
      <c r="B19" s="5" t="s">
        <v>2814</v>
      </c>
      <c r="C19" s="5" t="s">
        <v>2856</v>
      </c>
      <c r="D19" s="6" t="s">
        <v>2871</v>
      </c>
      <c r="E19" s="5" t="s">
        <v>2816</v>
      </c>
      <c r="F19" s="6" t="s">
        <v>2872</v>
      </c>
    </row>
    <row r="20" customFormat="false" ht="34.5" hidden="false" customHeight="true" outlineLevel="0" collapsed="false">
      <c r="A20" s="5" t="s">
        <v>2873</v>
      </c>
      <c r="B20" s="5" t="s">
        <v>2325</v>
      </c>
      <c r="C20" s="5" t="s">
        <v>2856</v>
      </c>
      <c r="D20" s="6" t="s">
        <v>2874</v>
      </c>
      <c r="E20" s="5" t="s">
        <v>2172</v>
      </c>
      <c r="F20" s="6" t="s">
        <v>2875</v>
      </c>
    </row>
    <row r="21" customFormat="false" ht="23.25" hidden="false" customHeight="true" outlineLevel="0" collapsed="false">
      <c r="A21" s="5" t="s">
        <v>2876</v>
      </c>
      <c r="B21" s="5" t="s">
        <v>2814</v>
      </c>
      <c r="C21" s="5" t="s">
        <v>2856</v>
      </c>
      <c r="D21" s="6" t="s">
        <v>2877</v>
      </c>
      <c r="E21" s="5" t="s">
        <v>2816</v>
      </c>
      <c r="F21" s="6" t="s">
        <v>2878</v>
      </c>
    </row>
    <row r="22" customFormat="false" ht="34.5" hidden="false" customHeight="true" outlineLevel="0" collapsed="false">
      <c r="A22" s="5" t="s">
        <v>1550</v>
      </c>
      <c r="B22" s="5" t="s">
        <v>2325</v>
      </c>
      <c r="C22" s="5" t="s">
        <v>2856</v>
      </c>
      <c r="D22" s="6" t="s">
        <v>2879</v>
      </c>
      <c r="E22" s="5" t="s">
        <v>2172</v>
      </c>
      <c r="F22" s="6" t="s">
        <v>2880</v>
      </c>
    </row>
    <row r="23" customFormat="false" ht="34.5" hidden="false" customHeight="true" outlineLevel="0" collapsed="false">
      <c r="A23" s="5" t="s">
        <v>2881</v>
      </c>
      <c r="B23" s="5" t="s">
        <v>2325</v>
      </c>
      <c r="C23" s="5" t="s">
        <v>2856</v>
      </c>
      <c r="D23" s="6" t="s">
        <v>2882</v>
      </c>
      <c r="E23" s="5" t="s">
        <v>2172</v>
      </c>
      <c r="F23" s="6" t="s">
        <v>2883</v>
      </c>
    </row>
    <row r="24" customFormat="false" ht="23.25" hidden="false" customHeight="true" outlineLevel="0" collapsed="false">
      <c r="A24" s="5" t="s">
        <v>1580</v>
      </c>
      <c r="B24" s="5" t="s">
        <v>2814</v>
      </c>
      <c r="C24" s="5" t="s">
        <v>2856</v>
      </c>
      <c r="D24" s="6" t="s">
        <v>2884</v>
      </c>
      <c r="E24" s="5" t="s">
        <v>2816</v>
      </c>
      <c r="F24" s="6" t="s">
        <v>2885</v>
      </c>
    </row>
    <row r="25" customFormat="false" ht="34.5" hidden="false" customHeight="true" outlineLevel="0" collapsed="false">
      <c r="A25" s="5" t="s">
        <v>2886</v>
      </c>
      <c r="B25" s="5" t="s">
        <v>2325</v>
      </c>
      <c r="C25" s="5" t="s">
        <v>2856</v>
      </c>
      <c r="D25" s="6" t="s">
        <v>2887</v>
      </c>
      <c r="E25" s="5" t="s">
        <v>2172</v>
      </c>
      <c r="F25" s="6" t="s">
        <v>2888</v>
      </c>
    </row>
    <row r="26" customFormat="false" ht="45.75" hidden="false" customHeight="true" outlineLevel="0" collapsed="false">
      <c r="A26" s="5" t="s">
        <v>1756</v>
      </c>
      <c r="B26" s="5" t="s">
        <v>2325</v>
      </c>
      <c r="C26" s="5" t="s">
        <v>2856</v>
      </c>
      <c r="D26" s="6" t="s">
        <v>2889</v>
      </c>
      <c r="E26" s="5" t="s">
        <v>2172</v>
      </c>
      <c r="F26" s="6" t="s">
        <v>2890</v>
      </c>
    </row>
    <row r="27" customFormat="false" ht="34.5" hidden="false" customHeight="true" outlineLevel="0" collapsed="false">
      <c r="A27" s="5" t="s">
        <v>2891</v>
      </c>
      <c r="B27" s="5" t="s">
        <v>2814</v>
      </c>
      <c r="C27" s="5" t="s">
        <v>2856</v>
      </c>
      <c r="D27" s="6" t="s">
        <v>2892</v>
      </c>
      <c r="E27" s="5" t="s">
        <v>2816</v>
      </c>
      <c r="F27" s="6" t="s">
        <v>2893</v>
      </c>
    </row>
    <row r="28" customFormat="false" ht="45.75" hidden="false" customHeight="true" outlineLevel="0" collapsed="false">
      <c r="A28" s="5" t="s">
        <v>1782</v>
      </c>
      <c r="B28" s="5" t="s">
        <v>2325</v>
      </c>
      <c r="C28" s="5" t="s">
        <v>2856</v>
      </c>
      <c r="D28" s="6" t="s">
        <v>2894</v>
      </c>
      <c r="E28" s="5" t="s">
        <v>2172</v>
      </c>
      <c r="F28" s="6" t="s">
        <v>2895</v>
      </c>
    </row>
    <row r="29" customFormat="false" ht="45.75" hidden="false" customHeight="true" outlineLevel="0" collapsed="false">
      <c r="A29" s="5" t="s">
        <v>2896</v>
      </c>
      <c r="B29" s="5" t="s">
        <v>2325</v>
      </c>
      <c r="C29" s="5" t="s">
        <v>2856</v>
      </c>
      <c r="D29" s="6" t="s">
        <v>2897</v>
      </c>
      <c r="E29" s="5" t="s">
        <v>2172</v>
      </c>
      <c r="F29" s="6" t="s">
        <v>2898</v>
      </c>
    </row>
    <row r="30" customFormat="false" ht="34.5" hidden="false" customHeight="true" outlineLevel="0" collapsed="false">
      <c r="A30" s="5" t="s">
        <v>2899</v>
      </c>
      <c r="B30" s="5" t="s">
        <v>2325</v>
      </c>
      <c r="C30" s="5" t="s">
        <v>2856</v>
      </c>
      <c r="D30" s="6" t="s">
        <v>2900</v>
      </c>
      <c r="E30" s="5" t="s">
        <v>2172</v>
      </c>
      <c r="F30" s="6" t="s">
        <v>2901</v>
      </c>
    </row>
    <row r="31" customFormat="false" ht="34.5" hidden="false" customHeight="true" outlineLevel="0" collapsed="false">
      <c r="A31" s="5" t="s">
        <v>1838</v>
      </c>
      <c r="B31" s="5" t="s">
        <v>2814</v>
      </c>
      <c r="C31" s="5" t="s">
        <v>2856</v>
      </c>
      <c r="D31" s="6" t="s">
        <v>2902</v>
      </c>
      <c r="E31" s="5" t="s">
        <v>2816</v>
      </c>
      <c r="F31" s="6" t="s">
        <v>2903</v>
      </c>
    </row>
    <row r="32" customFormat="false" ht="34.5" hidden="false" customHeight="true" outlineLevel="0" collapsed="false">
      <c r="A32" s="5" t="s">
        <v>2904</v>
      </c>
      <c r="B32" s="5" t="s">
        <v>2325</v>
      </c>
      <c r="C32" s="5" t="s">
        <v>2856</v>
      </c>
      <c r="D32" s="6" t="s">
        <v>2905</v>
      </c>
      <c r="E32" s="5" t="s">
        <v>2172</v>
      </c>
      <c r="F32" s="6" t="s">
        <v>2906</v>
      </c>
    </row>
    <row r="33" customFormat="false" ht="23.25" hidden="false" customHeight="true" outlineLevel="0" collapsed="false">
      <c r="A33" s="5" t="s">
        <v>1908</v>
      </c>
      <c r="B33" s="5" t="s">
        <v>2814</v>
      </c>
      <c r="C33" s="5" t="s">
        <v>2856</v>
      </c>
      <c r="D33" s="6" t="s">
        <v>2907</v>
      </c>
      <c r="E33" s="5" t="s">
        <v>2816</v>
      </c>
      <c r="F33" s="6" t="s">
        <v>2908</v>
      </c>
    </row>
    <row r="34" customFormat="false" ht="45.75" hidden="false" customHeight="true" outlineLevel="0" collapsed="false">
      <c r="A34" s="5" t="s">
        <v>2909</v>
      </c>
      <c r="B34" s="5" t="s">
        <v>2325</v>
      </c>
      <c r="C34" s="5" t="s">
        <v>2856</v>
      </c>
      <c r="D34" s="6" t="s">
        <v>2910</v>
      </c>
      <c r="E34" s="5" t="s">
        <v>2172</v>
      </c>
      <c r="F34" s="6" t="s">
        <v>2911</v>
      </c>
    </row>
    <row r="35" customFormat="false" ht="34.5" hidden="false" customHeight="true" outlineLevel="0" collapsed="false">
      <c r="A35" s="5" t="s">
        <v>2912</v>
      </c>
      <c r="B35" s="5" t="s">
        <v>2325</v>
      </c>
      <c r="C35" s="5" t="s">
        <v>2856</v>
      </c>
      <c r="D35" s="6" t="s">
        <v>2913</v>
      </c>
      <c r="E35" s="5" t="s">
        <v>2172</v>
      </c>
      <c r="F35" s="6" t="s">
        <v>2914</v>
      </c>
    </row>
    <row r="36" customFormat="false" ht="23.85" hidden="false" customHeight="false" outlineLevel="0" collapsed="false">
      <c r="A36" s="7" t="s">
        <v>2915</v>
      </c>
      <c r="B36" s="7" t="s">
        <v>2814</v>
      </c>
      <c r="C36" s="7" t="s">
        <v>2856</v>
      </c>
      <c r="D36" s="8" t="s">
        <v>2916</v>
      </c>
      <c r="E36" s="7" t="s">
        <v>2816</v>
      </c>
      <c r="F36" s="8" t="s">
        <v>2917</v>
      </c>
    </row>
    <row r="37" customFormat="false" ht="23.85" hidden="false" customHeight="false" outlineLevel="0" collapsed="false">
      <c r="A37" s="7" t="s">
        <v>2918</v>
      </c>
      <c r="B37" s="7" t="s">
        <v>2814</v>
      </c>
      <c r="C37" s="7" t="s">
        <v>2856</v>
      </c>
      <c r="D37" s="8" t="s">
        <v>2919</v>
      </c>
      <c r="E37" s="7" t="s">
        <v>2816</v>
      </c>
      <c r="F37" s="8" t="s">
        <v>2920</v>
      </c>
    </row>
    <row r="38" customFormat="false" ht="23.85" hidden="false" customHeight="false" outlineLevel="0" collapsed="false">
      <c r="A38" s="7" t="s">
        <v>2921</v>
      </c>
      <c r="B38" s="7" t="s">
        <v>2814</v>
      </c>
      <c r="C38" s="7" t="s">
        <v>2856</v>
      </c>
      <c r="D38" s="8" t="s">
        <v>2922</v>
      </c>
      <c r="E38" s="7" t="s">
        <v>2816</v>
      </c>
      <c r="F38" s="8" t="s">
        <v>2923</v>
      </c>
    </row>
    <row r="39" customFormat="false" ht="35.05" hidden="false" customHeight="false" outlineLevel="0" collapsed="false">
      <c r="A39" s="7" t="s">
        <v>2324</v>
      </c>
      <c r="B39" s="7" t="s">
        <v>2325</v>
      </c>
      <c r="C39" s="7" t="s">
        <v>2856</v>
      </c>
      <c r="D39" s="8" t="s">
        <v>2924</v>
      </c>
      <c r="E39" s="7" t="s">
        <v>2172</v>
      </c>
      <c r="F39" s="8" t="s">
        <v>2925</v>
      </c>
    </row>
    <row r="40" customFormat="false" ht="23.85" hidden="false" customHeight="false" outlineLevel="0" collapsed="false">
      <c r="A40" s="7" t="s">
        <v>2330</v>
      </c>
      <c r="B40" s="7" t="s">
        <v>2325</v>
      </c>
      <c r="C40" s="7" t="s">
        <v>2856</v>
      </c>
      <c r="D40" s="8" t="s">
        <v>2926</v>
      </c>
      <c r="E40" s="7" t="s">
        <v>2172</v>
      </c>
      <c r="F40" s="8" t="s">
        <v>2927</v>
      </c>
    </row>
    <row r="41" customFormat="false" ht="35.05" hidden="false" customHeight="false" outlineLevel="0" collapsed="false">
      <c r="A41" s="7" t="s">
        <v>2928</v>
      </c>
      <c r="B41" s="7" t="s">
        <v>2325</v>
      </c>
      <c r="C41" s="7" t="s">
        <v>2856</v>
      </c>
      <c r="D41" s="8" t="s">
        <v>2929</v>
      </c>
      <c r="E41" s="7" t="s">
        <v>2172</v>
      </c>
      <c r="F41" s="8" t="s">
        <v>2930</v>
      </c>
    </row>
    <row r="42" customFormat="false" ht="60" hidden="false" customHeight="true" outlineLevel="0" collapsed="false">
      <c r="A42" s="8" t="s">
        <v>2931</v>
      </c>
      <c r="B42" s="8" t="s">
        <v>2814</v>
      </c>
      <c r="C42" s="8" t="s">
        <v>2932</v>
      </c>
      <c r="D42" s="8" t="s">
        <v>2933</v>
      </c>
      <c r="E42" s="8" t="s">
        <v>2816</v>
      </c>
      <c r="F42" s="8" t="s">
        <v>2934</v>
      </c>
    </row>
    <row r="43" customFormat="false" ht="60" hidden="false" customHeight="true" outlineLevel="0" collapsed="false">
      <c r="A43" s="8" t="s">
        <v>2935</v>
      </c>
      <c r="B43" s="8" t="s">
        <v>2814</v>
      </c>
      <c r="C43" s="8" t="s">
        <v>2932</v>
      </c>
      <c r="D43" s="8" t="s">
        <v>2936</v>
      </c>
      <c r="E43" s="8" t="s">
        <v>2816</v>
      </c>
      <c r="F43" s="8" t="s">
        <v>2937</v>
      </c>
    </row>
    <row r="44" customFormat="false" ht="60" hidden="false" customHeight="true" outlineLevel="0" collapsed="false">
      <c r="A44" s="8" t="s">
        <v>2938</v>
      </c>
      <c r="B44" s="8" t="s">
        <v>2814</v>
      </c>
      <c r="C44" s="8" t="s">
        <v>2932</v>
      </c>
      <c r="D44" s="8" t="s">
        <v>2939</v>
      </c>
      <c r="E44" s="8" t="s">
        <v>2816</v>
      </c>
      <c r="F44" s="8" t="s">
        <v>2940</v>
      </c>
    </row>
    <row r="45" customFormat="false" ht="60" hidden="false" customHeight="true" outlineLevel="0" collapsed="false">
      <c r="A45" s="8" t="s">
        <v>2941</v>
      </c>
      <c r="B45" s="8" t="s">
        <v>645</v>
      </c>
      <c r="C45" s="8" t="s">
        <v>2932</v>
      </c>
      <c r="D45" s="8" t="s">
        <v>2942</v>
      </c>
      <c r="E45" s="8" t="s">
        <v>2172</v>
      </c>
      <c r="F45" s="8" t="s">
        <v>2943</v>
      </c>
    </row>
    <row r="46" customFormat="false" ht="60" hidden="false" customHeight="true" outlineLevel="0" collapsed="false">
      <c r="A46" s="8" t="s">
        <v>2944</v>
      </c>
      <c r="B46" s="8" t="s">
        <v>2814</v>
      </c>
      <c r="C46" s="8" t="s">
        <v>2932</v>
      </c>
      <c r="D46" s="8" t="s">
        <v>2945</v>
      </c>
      <c r="E46" s="8" t="s">
        <v>2816</v>
      </c>
      <c r="F46" s="8" t="s">
        <v>2946</v>
      </c>
    </row>
    <row r="47" customFormat="false" ht="60" hidden="false" customHeight="true" outlineLevel="0" collapsed="false">
      <c r="A47" s="8" t="s">
        <v>2947</v>
      </c>
      <c r="B47" s="8" t="s">
        <v>2814</v>
      </c>
      <c r="C47" s="8" t="s">
        <v>2932</v>
      </c>
      <c r="D47" s="8" t="s">
        <v>2948</v>
      </c>
      <c r="E47" s="8" t="s">
        <v>2816</v>
      </c>
      <c r="F47" s="8" t="s">
        <v>2949</v>
      </c>
    </row>
    <row r="48" customFormat="false" ht="60" hidden="false" customHeight="true" outlineLevel="0" collapsed="false">
      <c r="A48" s="8" t="s">
        <v>2950</v>
      </c>
      <c r="B48" s="8" t="s">
        <v>2325</v>
      </c>
      <c r="C48" s="8" t="s">
        <v>2932</v>
      </c>
      <c r="D48" s="8" t="s">
        <v>2951</v>
      </c>
      <c r="E48" s="8" t="s">
        <v>2172</v>
      </c>
      <c r="F48" s="8" t="s">
        <v>2952</v>
      </c>
    </row>
    <row r="49" customFormat="false" ht="60" hidden="false" customHeight="true" outlineLevel="0" collapsed="false">
      <c r="A49" s="8" t="s">
        <v>2953</v>
      </c>
      <c r="B49" s="8" t="s">
        <v>2325</v>
      </c>
      <c r="C49" s="8" t="s">
        <v>2932</v>
      </c>
      <c r="D49" s="8" t="s">
        <v>2954</v>
      </c>
      <c r="E49" s="8" t="s">
        <v>2172</v>
      </c>
      <c r="F49" s="8" t="s">
        <v>2955</v>
      </c>
    </row>
    <row r="50" customFormat="false" ht="60" hidden="false" customHeight="true" outlineLevel="0" collapsed="false">
      <c r="A50" s="8" t="s">
        <v>2956</v>
      </c>
      <c r="B50" s="8" t="s">
        <v>2325</v>
      </c>
      <c r="C50" s="8" t="s">
        <v>2932</v>
      </c>
      <c r="D50" s="8" t="s">
        <v>2957</v>
      </c>
      <c r="E50" s="8" t="s">
        <v>2172</v>
      </c>
      <c r="F50" s="8" t="s">
        <v>2958</v>
      </c>
    </row>
    <row r="51" customFormat="false" ht="60" hidden="false" customHeight="true" outlineLevel="0" collapsed="false">
      <c r="A51" s="8" t="s">
        <v>2959</v>
      </c>
      <c r="B51" s="8" t="s">
        <v>2325</v>
      </c>
      <c r="C51" s="8" t="s">
        <v>2932</v>
      </c>
      <c r="D51" s="8" t="s">
        <v>2960</v>
      </c>
      <c r="E51" s="8" t="s">
        <v>2172</v>
      </c>
      <c r="F51" s="8" t="s">
        <v>2961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2"/>
    <col collapsed="false" customWidth="true" hidden="false" outlineLevel="0" max="3" min="3" style="1" width="12"/>
    <col collapsed="false" customWidth="true" hidden="false" outlineLevel="0" max="4" min="4" style="1" width="68"/>
  </cols>
  <sheetData>
    <row r="1" customFormat="false" ht="15" hidden="false" customHeight="true" outlineLevel="0" collapsed="false">
      <c r="A1" s="2" t="s">
        <v>2962</v>
      </c>
    </row>
    <row r="2" customFormat="false" ht="15" hidden="false" customHeight="true" outlineLevel="0" collapsed="false">
      <c r="A2" s="3" t="s">
        <v>2963</v>
      </c>
    </row>
    <row r="3" customFormat="false" ht="15" hidden="false" customHeight="true" outlineLevel="0" collapsed="false">
      <c r="A3" s="4" t="s">
        <v>103</v>
      </c>
      <c r="B3" s="4" t="s">
        <v>2964</v>
      </c>
      <c r="C3" s="4" t="s">
        <v>2965</v>
      </c>
      <c r="D3" s="4" t="s">
        <v>6</v>
      </c>
    </row>
    <row r="4" customFormat="false" ht="15" hidden="false" customHeight="true" outlineLevel="0" collapsed="false">
      <c r="A4" s="5" t="s">
        <v>2966</v>
      </c>
      <c r="B4" s="6" t="s">
        <v>2967</v>
      </c>
      <c r="C4" s="5" t="s">
        <v>2968</v>
      </c>
      <c r="D4" s="6" t="s">
        <v>2816</v>
      </c>
    </row>
    <row r="5" customFormat="false" ht="15" hidden="false" customHeight="true" outlineLevel="0" collapsed="false">
      <c r="A5" s="5" t="s">
        <v>2969</v>
      </c>
      <c r="B5" s="6" t="s">
        <v>2970</v>
      </c>
      <c r="C5" s="5" t="s">
        <v>2968</v>
      </c>
      <c r="D5" s="6" t="s">
        <v>2816</v>
      </c>
    </row>
    <row r="6" customFormat="false" ht="15" hidden="false" customHeight="true" outlineLevel="0" collapsed="false">
      <c r="A6" s="5" t="s">
        <v>2971</v>
      </c>
      <c r="B6" s="6" t="s">
        <v>2972</v>
      </c>
      <c r="C6" s="5" t="s">
        <v>2973</v>
      </c>
      <c r="D6" s="6" t="s">
        <v>2816</v>
      </c>
    </row>
    <row r="7" customFormat="false" ht="15" hidden="false" customHeight="true" outlineLevel="0" collapsed="false">
      <c r="A7" s="5" t="s">
        <v>2974</v>
      </c>
      <c r="B7" s="6" t="s">
        <v>2975</v>
      </c>
      <c r="C7" s="5" t="s">
        <v>2976</v>
      </c>
      <c r="D7" s="6" t="s">
        <v>2816</v>
      </c>
    </row>
    <row r="8" customFormat="false" ht="15" hidden="false" customHeight="true" outlineLevel="0" collapsed="false">
      <c r="A8" s="5" t="s">
        <v>2977</v>
      </c>
      <c r="B8" s="6" t="s">
        <v>2978</v>
      </c>
      <c r="C8" s="5" t="s">
        <v>2979</v>
      </c>
      <c r="D8" s="6" t="s">
        <v>2816</v>
      </c>
    </row>
    <row r="9" customFormat="false" ht="15" hidden="false" customHeight="true" outlineLevel="0" collapsed="false">
      <c r="A9" s="5" t="s">
        <v>2980</v>
      </c>
      <c r="B9" s="6" t="s">
        <v>2981</v>
      </c>
      <c r="C9" s="5" t="s">
        <v>2982</v>
      </c>
      <c r="D9" s="6" t="s">
        <v>2983</v>
      </c>
    </row>
    <row r="10" customFormat="false" ht="15" hidden="false" customHeight="true" outlineLevel="0" collapsed="false">
      <c r="A10" s="5" t="s">
        <v>2984</v>
      </c>
      <c r="B10" s="6" t="s">
        <v>2985</v>
      </c>
      <c r="C10" s="5" t="s">
        <v>2986</v>
      </c>
      <c r="D10" s="6" t="s">
        <v>2987</v>
      </c>
    </row>
    <row r="11" customFormat="false" ht="15" hidden="false" customHeight="true" outlineLevel="0" collapsed="false">
      <c r="A11" s="5" t="s">
        <v>2988</v>
      </c>
      <c r="B11" s="6" t="s">
        <v>2989</v>
      </c>
      <c r="C11" s="5" t="s">
        <v>2990</v>
      </c>
      <c r="D11" s="6" t="s">
        <v>2991</v>
      </c>
    </row>
    <row r="12" customFormat="false" ht="15" hidden="false" customHeight="true" outlineLevel="0" collapsed="false">
      <c r="A12" s="5" t="s">
        <v>2992</v>
      </c>
      <c r="B12" s="6" t="s">
        <v>2993</v>
      </c>
      <c r="C12" s="5" t="s">
        <v>2994</v>
      </c>
      <c r="D12" s="6" t="s">
        <v>2995</v>
      </c>
    </row>
    <row r="13" customFormat="false" ht="15" hidden="false" customHeight="true" outlineLevel="0" collapsed="false">
      <c r="A13" s="5" t="s">
        <v>2996</v>
      </c>
      <c r="B13" s="6" t="s">
        <v>2997</v>
      </c>
      <c r="C13" s="5" t="s">
        <v>2998</v>
      </c>
      <c r="D13" s="6" t="s">
        <v>2999</v>
      </c>
    </row>
    <row r="14" customFormat="false" ht="15" hidden="false" customHeight="true" outlineLevel="0" collapsed="false">
      <c r="A14" s="5" t="s">
        <v>3000</v>
      </c>
      <c r="B14" s="6" t="s">
        <v>3001</v>
      </c>
      <c r="C14" s="5" t="s">
        <v>3002</v>
      </c>
      <c r="D14" s="6" t="s">
        <v>3003</v>
      </c>
    </row>
    <row r="15" customFormat="false" ht="15" hidden="false" customHeight="true" outlineLevel="0" collapsed="false">
      <c r="A15" s="5" t="s">
        <v>3004</v>
      </c>
      <c r="B15" s="6" t="s">
        <v>3005</v>
      </c>
      <c r="C15" s="5" t="s">
        <v>3006</v>
      </c>
      <c r="D15" s="6" t="s">
        <v>3007</v>
      </c>
    </row>
    <row r="16" customFormat="false" ht="15" hidden="false" customHeight="true" outlineLevel="0" collapsed="false">
      <c r="A16" s="5" t="s">
        <v>3008</v>
      </c>
      <c r="B16" s="6" t="s">
        <v>3009</v>
      </c>
      <c r="C16" s="5" t="s">
        <v>3010</v>
      </c>
      <c r="D16" s="6" t="s">
        <v>3011</v>
      </c>
    </row>
    <row r="17" customFormat="false" ht="15" hidden="false" customHeight="true" outlineLevel="0" collapsed="false">
      <c r="A17" s="5" t="s">
        <v>3012</v>
      </c>
      <c r="B17" s="6" t="s">
        <v>3013</v>
      </c>
      <c r="C17" s="5" t="s">
        <v>3014</v>
      </c>
      <c r="D17" s="6" t="s">
        <v>3015</v>
      </c>
    </row>
    <row r="18" customFormat="false" ht="35.05" hidden="false" customHeight="false" outlineLevel="0" collapsed="false">
      <c r="A18" s="7" t="s">
        <v>3016</v>
      </c>
      <c r="B18" s="8" t="s">
        <v>3017</v>
      </c>
      <c r="C18" s="7" t="s">
        <v>3018</v>
      </c>
      <c r="D18" s="8" t="s">
        <v>3019</v>
      </c>
    </row>
    <row r="19" customFormat="false" ht="35.05" hidden="false" customHeight="false" outlineLevel="0" collapsed="false">
      <c r="A19" s="7" t="s">
        <v>3020</v>
      </c>
      <c r="B19" s="8" t="s">
        <v>3021</v>
      </c>
      <c r="C19" s="7" t="s">
        <v>3022</v>
      </c>
      <c r="D19" s="8" t="s">
        <v>3023</v>
      </c>
    </row>
    <row r="20" customFormat="false" ht="23.85" hidden="false" customHeight="false" outlineLevel="0" collapsed="false">
      <c r="A20" s="7" t="s">
        <v>3024</v>
      </c>
      <c r="B20" s="8" t="s">
        <v>3025</v>
      </c>
      <c r="C20" s="7" t="s">
        <v>3026</v>
      </c>
      <c r="D20" s="8" t="s">
        <v>3027</v>
      </c>
    </row>
    <row r="21" customFormat="false" ht="35.05" hidden="false" customHeight="false" outlineLevel="0" collapsed="false">
      <c r="A21" s="8" t="s">
        <v>3028</v>
      </c>
      <c r="B21" s="8" t="s">
        <v>3029</v>
      </c>
      <c r="C21" s="8" t="s">
        <v>3030</v>
      </c>
      <c r="D21" s="8" t="s">
        <v>3031</v>
      </c>
    </row>
    <row r="22" customFormat="false" ht="23.85" hidden="false" customHeight="false" outlineLevel="0" collapsed="false">
      <c r="A22" s="8" t="s">
        <v>3032</v>
      </c>
      <c r="B22" s="8" t="s">
        <v>3033</v>
      </c>
      <c r="C22" s="8" t="s">
        <v>3034</v>
      </c>
      <c r="D22" s="8" t="s">
        <v>3035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4"/>
    <col collapsed="false" customWidth="true" hidden="false" outlineLevel="0" max="3" min="3" style="1" width="52"/>
    <col collapsed="false" customWidth="true" hidden="false" outlineLevel="0" max="4" min="4" style="1" width="70"/>
    <col collapsed="false" customWidth="true" hidden="false" outlineLevel="0" max="5" min="5" style="1" width="42"/>
    <col collapsed="false" customWidth="true" hidden="false" outlineLevel="0" max="6" min="6" style="1" width="20"/>
  </cols>
  <sheetData>
    <row r="1" customFormat="false" ht="15" hidden="false" customHeight="true" outlineLevel="0" collapsed="false">
      <c r="A1" s="2" t="s">
        <v>3036</v>
      </c>
    </row>
    <row r="2" customFormat="false" ht="15" hidden="false" customHeight="true" outlineLevel="0" collapsed="false">
      <c r="A2" s="3" t="s">
        <v>3037</v>
      </c>
    </row>
    <row r="4" customFormat="false" ht="15" hidden="false" customHeight="true" outlineLevel="0" collapsed="false">
      <c r="A4" s="4" t="s">
        <v>103</v>
      </c>
      <c r="B4" s="4" t="s">
        <v>602</v>
      </c>
      <c r="C4" s="4" t="s">
        <v>3038</v>
      </c>
      <c r="D4" s="4" t="s">
        <v>3039</v>
      </c>
      <c r="E4" s="4" t="s">
        <v>3040</v>
      </c>
      <c r="F4" s="4" t="s">
        <v>3041</v>
      </c>
    </row>
    <row r="5" customFormat="false" ht="23.25" hidden="false" customHeight="true" outlineLevel="0" collapsed="false">
      <c r="A5" s="5" t="s">
        <v>1667</v>
      </c>
      <c r="B5" s="6" t="s">
        <v>3042</v>
      </c>
      <c r="C5" s="6" t="s">
        <v>3043</v>
      </c>
      <c r="D5" s="6" t="s">
        <v>3044</v>
      </c>
      <c r="E5" s="6" t="s">
        <v>3045</v>
      </c>
      <c r="F5" s="5" t="s">
        <v>3046</v>
      </c>
    </row>
    <row r="6" customFormat="false" ht="34.5" hidden="false" customHeight="true" outlineLevel="0" collapsed="false">
      <c r="A6" s="5" t="s">
        <v>1683</v>
      </c>
      <c r="B6" s="6" t="s">
        <v>3047</v>
      </c>
      <c r="C6" s="6" t="s">
        <v>3048</v>
      </c>
      <c r="D6" s="6" t="s">
        <v>3049</v>
      </c>
      <c r="E6" s="6" t="s">
        <v>3050</v>
      </c>
      <c r="F6" s="5" t="s">
        <v>3046</v>
      </c>
    </row>
    <row r="7" customFormat="false" ht="23.25" hidden="false" customHeight="true" outlineLevel="0" collapsed="false">
      <c r="A7" s="5" t="s">
        <v>1687</v>
      </c>
      <c r="B7" s="6" t="s">
        <v>3051</v>
      </c>
      <c r="C7" s="6" t="s">
        <v>3052</v>
      </c>
      <c r="D7" s="6" t="s">
        <v>3053</v>
      </c>
      <c r="E7" s="6" t="s">
        <v>3045</v>
      </c>
      <c r="F7" s="5" t="s">
        <v>3054</v>
      </c>
    </row>
    <row r="8" customFormat="false" ht="23.25" hidden="false" customHeight="true" outlineLevel="0" collapsed="false">
      <c r="A8" s="5" t="s">
        <v>1517</v>
      </c>
      <c r="B8" s="6" t="s">
        <v>3055</v>
      </c>
      <c r="C8" s="6" t="s">
        <v>3056</v>
      </c>
      <c r="D8" s="6" t="s">
        <v>3057</v>
      </c>
      <c r="E8" s="6" t="s">
        <v>3058</v>
      </c>
      <c r="F8" s="5" t="s">
        <v>3059</v>
      </c>
    </row>
    <row r="9" customFormat="false" ht="23.25" hidden="false" customHeight="true" outlineLevel="0" collapsed="false">
      <c r="A9" s="5" t="s">
        <v>610</v>
      </c>
      <c r="B9" s="6" t="s">
        <v>3060</v>
      </c>
      <c r="C9" s="6" t="s">
        <v>3061</v>
      </c>
      <c r="D9" s="6" t="s">
        <v>3062</v>
      </c>
      <c r="E9" s="6" t="s">
        <v>3063</v>
      </c>
      <c r="F9" s="5" t="s">
        <v>3064</v>
      </c>
    </row>
    <row r="11" customFormat="false" ht="15" hidden="false" customHeight="true" outlineLevel="0" collapsed="false">
      <c r="A11" s="17" t="s">
        <v>3065</v>
      </c>
    </row>
    <row r="12" customFormat="false" ht="15" hidden="false" customHeight="true" outlineLevel="0" collapsed="false">
      <c r="A12" s="17" t="s">
        <v>3066</v>
      </c>
    </row>
    <row r="13" customFormat="false" ht="15" hidden="false" customHeight="false" outlineLevel="0" collapsed="false">
      <c r="A13" s="17" t="s">
        <v>629</v>
      </c>
      <c r="B13" s="1" t="s">
        <v>3067</v>
      </c>
      <c r="C13" s="1" t="s">
        <v>3068</v>
      </c>
      <c r="D13" s="1" t="s">
        <v>3069</v>
      </c>
      <c r="E13" s="1" t="s">
        <v>3070</v>
      </c>
      <c r="F13" s="1" t="s">
        <v>3064</v>
      </c>
    </row>
    <row r="14" customFormat="false" ht="15" hidden="false" customHeight="false" outlineLevel="0" collapsed="false">
      <c r="A14" s="17" t="s">
        <v>633</v>
      </c>
      <c r="B14" s="1" t="s">
        <v>3071</v>
      </c>
      <c r="C14" s="1" t="s">
        <v>3072</v>
      </c>
      <c r="D14" s="1" t="s">
        <v>3073</v>
      </c>
      <c r="E14" s="1" t="s">
        <v>3074</v>
      </c>
      <c r="F14" s="1" t="s">
        <v>3075</v>
      </c>
    </row>
    <row r="15" customFormat="false" ht="15" hidden="false" customHeight="false" outlineLevel="0" collapsed="false">
      <c r="A15" s="17"/>
    </row>
    <row r="16" customFormat="false" ht="15" hidden="false" customHeight="false" outlineLevel="0" collapsed="false">
      <c r="A16" s="17" t="s">
        <v>3076</v>
      </c>
    </row>
    <row r="17" customFormat="false" ht="60" hidden="false" customHeight="true" outlineLevel="0" collapsed="false">
      <c r="A17" s="8" t="s">
        <v>637</v>
      </c>
      <c r="B17" s="8" t="s">
        <v>3077</v>
      </c>
      <c r="C17" s="8" t="s">
        <v>3078</v>
      </c>
      <c r="D17" s="8" t="s">
        <v>3079</v>
      </c>
      <c r="E17" s="8" t="s">
        <v>3080</v>
      </c>
      <c r="F17" s="8" t="s">
        <v>3081</v>
      </c>
    </row>
    <row r="18" customFormat="false" ht="60" hidden="false" customHeight="true" outlineLevel="0" collapsed="false">
      <c r="A18" s="8" t="s">
        <v>3082</v>
      </c>
      <c r="B18" s="8" t="s">
        <v>3083</v>
      </c>
      <c r="C18" s="8" t="s">
        <v>3084</v>
      </c>
      <c r="D18" s="8" t="s">
        <v>3085</v>
      </c>
      <c r="E18" s="8" t="s">
        <v>3086</v>
      </c>
      <c r="F18" s="8" t="s">
        <v>3064</v>
      </c>
    </row>
    <row r="20" customFormat="false" ht="15" hidden="false" customHeight="false" outlineLevel="0" collapsed="false">
      <c r="A20" s="18" t="s">
        <v>3087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120"/>
  </cols>
  <sheetData>
    <row r="1" customFormat="false" ht="15" hidden="false" customHeight="true" outlineLevel="0" collapsed="false">
      <c r="A1" s="2" t="s">
        <v>3088</v>
      </c>
    </row>
    <row r="3" customFormat="false" ht="15" hidden="false" customHeight="true" outlineLevel="0" collapsed="false">
      <c r="A3" s="4" t="s">
        <v>3089</v>
      </c>
      <c r="B3" s="4" t="s">
        <v>1029</v>
      </c>
      <c r="C3" s="4" t="s">
        <v>3090</v>
      </c>
    </row>
    <row r="4" customFormat="false" ht="23.25" hidden="false" customHeight="true" outlineLevel="0" collapsed="false">
      <c r="A4" s="5" t="n">
        <v>1</v>
      </c>
      <c r="B4" s="6" t="s">
        <v>3091</v>
      </c>
      <c r="C4" s="6" t="s">
        <v>3092</v>
      </c>
    </row>
    <row r="5" customFormat="false" ht="23.25" hidden="false" customHeight="true" outlineLevel="0" collapsed="false">
      <c r="A5" s="5" t="n">
        <v>2</v>
      </c>
      <c r="B5" s="6" t="s">
        <v>3093</v>
      </c>
      <c r="C5" s="6" t="s">
        <v>3094</v>
      </c>
    </row>
    <row r="6" customFormat="false" ht="23.25" hidden="false" customHeight="true" outlineLevel="0" collapsed="false">
      <c r="A6" s="5" t="n">
        <v>3</v>
      </c>
      <c r="B6" s="6" t="s">
        <v>3095</v>
      </c>
      <c r="C6" s="6" t="s">
        <v>3096</v>
      </c>
    </row>
    <row r="7" customFormat="false" ht="15" hidden="false" customHeight="true" outlineLevel="0" collapsed="false">
      <c r="A7" s="5" t="n">
        <v>4</v>
      </c>
      <c r="B7" s="6" t="s">
        <v>3097</v>
      </c>
      <c r="C7" s="6" t="s">
        <v>3098</v>
      </c>
    </row>
    <row r="8" customFormat="false" ht="23.25" hidden="false" customHeight="true" outlineLevel="0" collapsed="false">
      <c r="A8" s="5" t="n">
        <v>5</v>
      </c>
      <c r="B8" s="6" t="s">
        <v>3099</v>
      </c>
      <c r="C8" s="6" t="s">
        <v>3100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2026-09-10T22:09:57Z</dcterms:created>
  <dc:creator>openpyxl</dc:creator>
  <dc:description/>
  <dc:language>en-US</dc:language>
  <cp:lastModifiedBy/>
  <dcterms:modified xsi:type="dcterms:W3CDTF">2026-09-20T11:25:14Z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