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Document_Control" sheetId="2" state="visible" r:id="rId2"/>
    <sheet xmlns:r="http://schemas.openxmlformats.org/officeDocument/2006/relationships" name="02_Context_Scope" sheetId="3" state="visible" r:id="rId3"/>
    <sheet xmlns:r="http://schemas.openxmlformats.org/officeDocument/2006/relationships" name="03_How_To_Use" sheetId="4" state="visible" r:id="rId4"/>
    <sheet xmlns:r="http://schemas.openxmlformats.org/officeDocument/2006/relationships" name="04_Glossary" sheetId="5" state="visible" r:id="rId5"/>
    <sheet xmlns:r="http://schemas.openxmlformats.org/officeDocument/2006/relationships" name="05_Version_Detail" sheetId="6" state="visible" r:id="rId6"/>
    <sheet xmlns:r="http://schemas.openxmlformats.org/officeDocument/2006/relationships" name="06_Pending_Versions" sheetId="7" state="visible" r:id="rId7"/>
    <sheet xmlns:r="http://schemas.openxmlformats.org/officeDocument/2006/relationships" name="07_Version_Steps" sheetId="8" state="visible" r:id="rId8"/>
    <sheet xmlns:r="http://schemas.openxmlformats.org/officeDocument/2006/relationships" name="08_Test_Cases" sheetId="9" state="visible" r:id="rId9"/>
    <sheet xmlns:r="http://schemas.openxmlformats.org/officeDocument/2006/relationships" name="09_Test_Summary" sheetId="10" state="visible" r:id="rId10"/>
    <sheet xmlns:r="http://schemas.openxmlformats.org/officeDocument/2006/relationships" name="10_Traceability" sheetId="11" state="visible" r:id="rId11"/>
    <sheet xmlns:r="http://schemas.openxmlformats.org/officeDocument/2006/relationships" name="11_Defect_Log" sheetId="12" state="visible" r:id="rId12"/>
    <sheet xmlns:r="http://schemas.openxmlformats.org/officeDocument/2006/relationships" name="12_Sign_Off" sheetId="13" state="visible" r:id="rId13"/>
  </sheets>
  <definedNames>
    <definedName name="_xlnm._FilterDatabase" localSheetId="1" hidden="1">'01_Document_Control'!$A$3:$F$3</definedName>
    <definedName name="_xlnm._FilterDatabase" localSheetId="2" hidden="1">'02_Context_Scope'!$A$3:$C$3</definedName>
    <definedName name="_xlnm._FilterDatabase" localSheetId="3" hidden="1">'03_How_To_Use'!$A$3:$D$3</definedName>
    <definedName name="_xlnm._FilterDatabase" localSheetId="4" hidden="1">'04_Glossary'!$A$3:$B$3</definedName>
    <definedName name="_xlnm._FilterDatabase" localSheetId="5" hidden="1">'05_Version_Detail'!$A$3:$I$3</definedName>
    <definedName name="_xlnm._FilterDatabase" localSheetId="6" hidden="1">'06_Pending_Versions'!$A$3:$G$3</definedName>
    <definedName name="_xlnm._FilterDatabase" localSheetId="7" hidden="1">'07_Version_Steps'!$A$3:$E$3</definedName>
    <definedName name="_xlnm._FilterDatabase" localSheetId="8" hidden="1">'08_Test_Cases'!$A$3:$Q$3</definedName>
    <definedName name="_xlnm._FilterDatabase" localSheetId="9" hidden="1">'09_Test_Summary'!$A$3:$J$3</definedName>
    <definedName name="_xlnm._FilterDatabase" localSheetId="10" hidden="1">'10_Traceability'!$A$3:$H$3</definedName>
    <definedName name="_xlnm._FilterDatabase" localSheetId="11" hidden="1">'11_Defect_Log'!$A$3:$G$3</definedName>
    <definedName name="_xlnm._FilterDatabase" localSheetId="12" hidden="1">'12_Sign_Off'!$A$3:$G$3</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sz val="14"/>
    </font>
    <font>
      <b val="1"/>
    </font>
    <font>
      <i val="1"/>
      <color rgb="FF5B6472"/>
      <sz val="9"/>
    </font>
  </fonts>
  <fills count="10">
    <fill>
      <patternFill/>
    </fill>
    <fill>
      <patternFill patternType="gray125"/>
    </fill>
    <fill>
      <patternFill patternType="solid">
        <fgColor rgb="FF1F3864"/>
      </patternFill>
    </fill>
    <fill>
      <patternFill patternType="solid">
        <fgColor rgb="FFD9E2F3"/>
      </patternFill>
    </fill>
    <fill>
      <patternFill patternType="solid">
        <fgColor rgb="FFF2F5FA"/>
      </patternFill>
    </fill>
    <fill>
      <patternFill patternType="solid">
        <fgColor rgb="FFE2EFDA"/>
      </patternFill>
    </fill>
    <fill>
      <patternFill patternType="solid">
        <fgColor rgb="FFFFF0DC"/>
      </patternFill>
    </fill>
    <fill>
      <patternFill patternType="solid">
        <fgColor rgb="FFEFEFEF"/>
      </patternFill>
    </fill>
    <fill>
      <patternFill patternType="solid">
        <fgColor rgb="FFFCE4E4"/>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4">
    <xf numFmtId="0" fontId="0" fillId="0" borderId="0" pivotButton="0" quotePrefix="0" xfId="0"/>
    <xf numFmtId="0" fontId="1" fillId="2"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wrapText="1"/>
    </xf>
    <xf numFmtId="0" fontId="3" fillId="4" borderId="0"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0" fillId="6" borderId="1" applyAlignment="1" pivotButton="0" quotePrefix="0" xfId="0">
      <alignment vertical="top"/>
    </xf>
    <xf numFmtId="0" fontId="0" fillId="4"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2" fillId="0"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0" fillId="9" borderId="1" applyAlignment="1" pivotButton="0" quotePrefix="0" xfId="0">
      <alignment vertical="top" wrapText="1"/>
    </xf>
    <xf numFmtId="0" fontId="0" fillId="5" borderId="1" applyAlignment="1" pivotButton="0" quotePrefix="0" xfId="0">
      <alignment horizontal="center" vertical="top"/>
    </xf>
    <xf numFmtId="0" fontId="2" fillId="8" borderId="1" applyAlignment="1" pivotButton="0" quotePrefix="0" xfId="0">
      <alignment horizontal="center" vertical="top"/>
    </xf>
    <xf numFmtId="0" fontId="0" fillId="9" borderId="1" applyAlignment="1" pivotButton="0" quotePrefix="0" xfId="0">
      <alignment vertical="top"/>
    </xf>
    <xf numFmtId="0" fontId="0" fillId="8" borderId="1" applyAlignment="1" pivotButton="0" quotePrefix="0" xfId="0">
      <alignment horizontal="center" vertical="top"/>
    </xf>
    <xf numFmtId="0" fontId="0" fillId="6" borderId="1" applyAlignment="1" pivotButton="0" quotePrefix="0" xfId="0">
      <alignment horizontal="center" vertical="top"/>
    </xf>
    <xf numFmtId="0" fontId="0" fillId="0" borderId="1" applyAlignment="1" pivotButton="0" quotePrefix="0" xfId="0">
      <alignment horizontal="center" vertical="top"/>
    </xf>
    <xf numFmtId="164" fontId="0" fillId="0" borderId="1" applyAlignment="1" pivotButton="0" quotePrefix="0" xfId="0">
      <alignment vertical="top"/>
    </xf>
    <xf numFmtId="164" fontId="0" fillId="0" borderId="0" pivotButton="0" quotePrefix="0" xfId="0"/>
    <xf numFmtId="0" fontId="2" fillId="0" borderId="0" pivotButton="0" quotePrefix="0" xfId="0"/>
    <xf numFmtId="0" fontId="2" fillId="3" borderId="1" pivotButton="0" quotePrefix="0" xfId="0"/>
    <xf numFmtId="164" fontId="2" fillId="3" borderId="1" pivotButton="0" quotePrefix="0" xfId="0"/>
    <xf numFmtId="0" fontId="0" fillId="5" borderId="1" applyAlignment="1" pivotButton="0" quotePrefix="0" xfId="0">
      <alignment vertical="top" wrapText="1"/>
    </xf>
    <xf numFmtId="0" fontId="0" fillId="6"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08" customWidth="1" min="2" max="2"/>
  </cols>
  <sheetData>
    <row r="1" ht="30" customHeight="1">
      <c r="A1" s="1" t="inlineStr">
        <is>
          <t>MeetSync — Version Detail &amp; Manual Test Specification</t>
        </is>
      </c>
    </row>
    <row r="3">
      <c r="A3" s="2" t="inlineStr">
        <is>
          <t>Product</t>
        </is>
      </c>
      <c r="B3" s="3" t="inlineStr">
        <is>
          <t>MeetSync — in-meeting notes, action extraction and CRM auto-sync for the Zoom App Marketplace</t>
        </is>
      </c>
    </row>
    <row r="4">
      <c r="A4" s="2" t="inlineStr">
        <is>
          <t>Portfolio reference</t>
        </is>
      </c>
      <c r="B4" s="3" t="inlineStr">
        <is>
          <t>003-MoPr12-meetsync_zoom (portfolio rank: wave 3)</t>
        </is>
      </c>
    </row>
    <row r="5">
      <c r="A5" s="2" t="inlineStr">
        <is>
          <t>Document</t>
        </is>
      </c>
      <c r="B5" s="3" t="inlineStr">
        <is>
          <t>claude_V001_MoPr12-meetsync_zoom_versiondetail_manualtest</t>
        </is>
      </c>
    </row>
    <row r="6">
      <c r="A6" s="2" t="inlineStr">
        <is>
          <t>Document version</t>
        </is>
      </c>
      <c r="B6" s="3" t="inlineStr">
        <is>
          <t>V001 — first issue</t>
        </is>
      </c>
    </row>
    <row r="7">
      <c r="A7" s="2" t="inlineStr">
        <is>
          <t>Date / time issued</t>
        </is>
      </c>
      <c r="B7" s="3" t="inlineStr">
        <is>
          <t>2026-09-20 12:29 BST</t>
        </is>
      </c>
    </row>
    <row r="8">
      <c r="A8" s="2" t="inlineStr">
        <is>
          <t>Author</t>
        </is>
      </c>
      <c r="B8" s="3" t="inlineStr">
        <is>
          <t>Claude for Senthil/KP</t>
        </is>
      </c>
    </row>
    <row r="9">
      <c r="A9" s="2" t="inlineStr">
        <is>
          <t>Owner / approver</t>
        </is>
      </c>
      <c r="B9" s="3" t="inlineStr">
        <is>
          <t>Senthil (KP)</t>
        </is>
      </c>
    </row>
    <row r="10">
      <c r="A10" s="2" t="inlineStr">
        <is>
          <t>Describes code version</t>
        </is>
      </c>
      <c r="B10" s="3" t="inlineStr">
        <is>
          <t>MeetSync v0.45.0 (released 2026-09-20 12:29)</t>
        </is>
      </c>
    </row>
    <row r="11">
      <c r="A11" s="2" t="inlineStr">
        <is>
          <t>Companion artefacts</t>
        </is>
      </c>
      <c r="B11" s="3" t="inlineStr">
        <is>
          <t>claude_v040_meetsync_sprint_tracker_traceability_20260920_1229.xlsx (sprint tracker &amp; traceability)
claude_V001_MoPr12-meetsync_zoom_product_status_map_20260920_1229.html / .pdf / .png (pictorial status map)
claude_v045_meetsync_external_review_s13_s14_20260920_1229.zip (source)</t>
        </is>
      </c>
    </row>
    <row r="12">
      <c r="A12" s="2" t="inlineStr">
        <is>
          <t>Status</t>
        </is>
      </c>
      <c r="B12" s="3" t="inlineStr">
        <is>
          <t>Released</t>
        </is>
      </c>
    </row>
    <row r="13">
      <c r="A13" s="2" t="inlineStr">
        <is>
          <t>Classification</t>
        </is>
      </c>
      <c r="B13" s="3" t="inlineStr">
        <is>
          <t>Internal — build, release and test evidence</t>
        </is>
      </c>
    </row>
    <row r="14">
      <c r="A14" s="2" t="inlineStr">
        <is>
          <t>Retention</t>
        </is>
      </c>
      <c r="B14" s="3" t="inlineStr">
        <is>
          <t>Keep for the life of the product; superseded versions retained for audit</t>
        </is>
      </c>
    </row>
    <row r="15">
      <c r="A15" s="2" t="inlineStr"/>
      <c r="B15" s="3" t="inlineStr"/>
    </row>
    <row r="16">
      <c r="A16" s="4" t="inlineStr">
        <is>
          <t>WHAT THIS DOCUMENT IS</t>
        </is>
      </c>
      <c r="B16" s="5" t="inlineStr">
        <is>
          <t>A complete record of every MeetSync code release — what was built, why it was built, and the ordered steps taken — together with a manual test specification of 177 executable test cases covering positive and negative paths across every feature area.</t>
        </is>
      </c>
    </row>
    <row r="17">
      <c r="A17" s="4" t="inlineStr">
        <is>
          <t>WHAT IT IS FOR</t>
        </is>
      </c>
      <c r="B17" s="5" t="inlineStr">
        <is>
          <t>Three readers. (1) Senthil, to see what has been done and what is pending and why. (2) A tester, to execute the manual pass that automation cannot cover — every case here is written to be run by hand against a live deployment. (3) An auditor or a marketplace reviewer, to trace any claim back to the release that made it and the test that proves it.</t>
        </is>
      </c>
    </row>
    <row r="18">
      <c r="A18" s="4" t="inlineStr">
        <is>
          <t>HOW TO START</t>
        </is>
      </c>
      <c r="B18" s="5" t="inlineStr">
        <is>
          <t>Read 02_Context_Scope, then 03_How_To_Use. If you are testing, go straight to 08_Test_Cases and filter by Priority = P0. If you are deciding what to fund, read 06_Pending_Versions — every pending release names the exact thing blocking it.</t>
        </is>
      </c>
    </row>
    <row r="19">
      <c r="A19" s="4" t="inlineStr">
        <is>
          <t>HEADLINE STATE</t>
        </is>
      </c>
      <c r="B19" s="5" t="inlineStr">
        <is>
          <t>38 code releases. 712 automated tests at 100% statements, branches, functions and lines with zero coverage pragmas. Three standing build gates. Zero live installs, zero paying customers, zero real CRM writes.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4" customWidth="1" min="3" max="3"/>
    <col width="92" customWidth="1" min="4" max="4"/>
    <col width="18" customWidth="1" min="5" max="5"/>
    <col width="12" customWidth="1" min="6" max="6"/>
  </cols>
  <sheetData>
    <row r="1" ht="22" customHeight="1">
      <c r="A1" s="1" t="inlineStr">
        <is>
          <t>DOCUMENT CONTROL — revision history of THIS document</t>
        </is>
      </c>
    </row>
    <row r="2" ht="30" customHeight="1">
      <c r="A2" s="6" t="inlineStr">
        <is>
          <t>HOW TO USE THIS SHEET — This sheet versions the document, not the product. The product versions are in 05_Version_Detail. Add a row for every reissue; never overwrite a released row.</t>
        </is>
      </c>
    </row>
    <row r="3">
      <c r="A3" s="7" t="inlineStr">
        <is>
          <t>Doc version</t>
        </is>
      </c>
      <c r="B3" s="7" t="inlineStr">
        <is>
          <t>Date / time</t>
        </is>
      </c>
      <c r="C3" s="7" t="inlineStr">
        <is>
          <t>Author</t>
        </is>
      </c>
      <c r="D3" s="7" t="inlineStr">
        <is>
          <t>Change description</t>
        </is>
      </c>
      <c r="E3" s="7" t="inlineStr">
        <is>
          <t>Reviewed by</t>
        </is>
      </c>
      <c r="F3" s="7" t="inlineStr">
        <is>
          <t>Status</t>
        </is>
      </c>
    </row>
    <row r="4">
      <c r="A4" s="8" t="inlineStr">
        <is>
          <t>V001</t>
        </is>
      </c>
      <c r="B4" s="8" t="inlineStr">
        <is>
          <t>2026-09-20 12:29</t>
        </is>
      </c>
      <c r="C4" s="8" t="inlineStr">
        <is>
          <t>Claude for Senthil/KP</t>
        </is>
      </c>
      <c r="D4" s="9" t="inlineStr">
        <is>
          <t>First issue. Covers MeetSync code v0.08.0 to v0.45.0 (38 releases), nine pending releases with their blockers, ordered execution steps per release, and 177 manual test cases across 19 areas with positive and negative coverage. Sources: README.md version paragraphs authored at each release, sprint tracker v040 (Version_Control, Sprint_Tracker_Log, Review_Findings), docs/PERSISTENCE.md, and Perplexity Review V001 of 16 Sep 2026.</t>
        </is>
      </c>
      <c r="E4" s="8" t="inlineStr">
        <is>
          <t>Pending — Senthil</t>
        </is>
      </c>
      <c r="F4" s="8" t="inlineStr">
        <is>
          <t>Released</t>
        </is>
      </c>
    </row>
    <row r="5">
      <c r="A5" s="8" t="inlineStr">
        <is>
          <t>V002</t>
        </is>
      </c>
      <c r="B5" s="8" t="inlineStr"/>
      <c r="C5" s="8" t="inlineStr"/>
      <c r="D5" s="9" t="inlineStr">
        <is>
          <t>PLANNED: reissue after the first live Zoom install, when the PENDING LIVE test cases (TC-INS-001, TC-WHK-005, TC-UI-001, TC-UI-006 and the rest) can be executed for the first time and their Actual result columns filled in.</t>
        </is>
      </c>
      <c r="E5" s="8" t="inlineStr"/>
      <c r="F5" s="8" t="inlineStr">
        <is>
          <t>Planned</t>
        </is>
      </c>
    </row>
  </sheetData>
  <autoFilter ref="A3:F3"/>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6" customWidth="1" min="1" max="1"/>
    <col width="26" customWidth="1" min="2" max="2"/>
    <col width="140" customWidth="1" min="3" max="3"/>
  </cols>
  <sheetData>
    <row r="1" ht="22" customHeight="1">
      <c r="A1" s="1" t="inlineStr">
        <is>
          <t>CONTEXT AND SCOPE</t>
        </is>
      </c>
    </row>
    <row r="2" ht="30" customHeight="1">
      <c r="A2" s="6" t="inlineStr">
        <is>
          <t>HOW TO USE THIS SHEET — Read this before anything else. It states what the product is, what this document covers, what it deliberately does not cover, and where every fact in it came from.</t>
        </is>
      </c>
    </row>
    <row r="3">
      <c r="A3" s="7" t="inlineStr">
        <is>
          <t>#</t>
        </is>
      </c>
      <c r="B3" s="7" t="inlineStr">
        <is>
          <t>Section</t>
        </is>
      </c>
      <c r="C3" s="7" t="inlineStr">
        <is>
          <t>Content</t>
        </is>
      </c>
    </row>
    <row r="4">
      <c r="A4" s="8" t="n">
        <v>1</v>
      </c>
      <c r="B4" s="8" t="inlineStr">
        <is>
          <t>The product</t>
        </is>
      </c>
      <c r="C4" s="9" t="inlineStr">
        <is>
          <t>MeetSync is a Zoom App Marketplace application for sales teams. A meeting ends; Zoom produces a transcript; MeetSync reads it, extracts the commitments and risk signals, and writes agreed fields into the customer's CRM — under per-field rules the customer sets, with a human review step, a queue that survives a crash, and an audit row for every write. Built in TypeScript on Node and Express with a React panel that serves both the Zoom in-meeting surface and a web dashboard from one codebase.</t>
        </is>
      </c>
    </row>
    <row r="5">
      <c r="A5" s="8" t="n">
        <v>2</v>
      </c>
      <c r="B5" s="8" t="inlineStr">
        <is>
          <t>The wedge</t>
        </is>
      </c>
      <c r="C5" s="9" t="inlineStr">
        <is>
          <t>Notes and action items are now free inside Zoom itself. The defensible part of MeetSync is not transcription — it is governed CRM writeback (per-field overwrite policy, dry-run, review step, durable queue, audit trail) and, if it is ever built, measurably better handling of Hindi, Tamil and Hinglish sales calls. That is the argument the 16 Sep external review made and it is accepted here.</t>
        </is>
      </c>
    </row>
    <row r="6">
      <c r="A6" s="8" t="n">
        <v>3</v>
      </c>
      <c r="B6" s="8" t="inlineStr">
        <is>
          <t>Scope of this document</t>
        </is>
      </c>
      <c r="C6" s="9" t="inlineStr">
        <is>
          <t>Every MeetSync CODE release from v0.08.0 to v0.45.0: what was done, why, in what order, with what evidence. Every PENDING release with the specific thing blocking it. A manual test specification of 177 cases, positive and negative, executable by hand.</t>
        </is>
      </c>
    </row>
    <row r="7">
      <c r="A7" s="8" t="n">
        <v>4</v>
      </c>
      <c r="B7" s="8" t="inlineStr">
        <is>
          <t>Out of scope</t>
        </is>
      </c>
      <c r="C7" s="9" t="inlineStr">
        <is>
          <t>Sprint and story management (see the sprint tracker v040: Traceability_Matrix, Sprint_Status_Rollup, S13_S20_Board). Commercial and market analysis (see Perplexity Review V001 sections 4 and 8). Automated test implementation (see the repository test/ directory). Infrastructure and deployment topology (see docs/RUNBOOK.md).</t>
        </is>
      </c>
    </row>
    <row r="8">
      <c r="A8" s="8" t="n">
        <v>5</v>
      </c>
      <c r="B8" s="8" t="inlineStr">
        <is>
          <t>Relationship to automation</t>
        </is>
      </c>
      <c r="C8" s="9" t="inlineStr">
        <is>
          <t>712 automated tests already run on every build at a 100% threshold across statements, branches, functions and lines. The manual cases here exist for what automation cannot reach: behaviour against the real Zoom platform, a real CRM tenant, a real browser inside the Zoom client, a real screen reader, and colour contrast — none of which jsdom or a sandbox adapter can judge. Where an automated test pins the same behaviour it is named, so a manual failure can be checked against it.</t>
        </is>
      </c>
    </row>
    <row r="9">
      <c r="A9" s="8" t="n">
        <v>6</v>
      </c>
      <c r="B9" s="8" t="inlineStr">
        <is>
          <t>Test environment assumed</t>
        </is>
      </c>
      <c r="C9" s="9" t="inlineStr">
        <is>
          <t>A deployed MeetSync instance with PostgreSQL 16, the required secrets set, and — for the cases marked PENDING LIVE — a Zoom Marketplace application installed on a real Zoom account. Cases that need a second Zoom account, a CRM sandbox or a controllable Zoom double say so in their preconditions.</t>
        </is>
      </c>
    </row>
    <row r="10">
      <c r="A10" s="8" t="n">
        <v>7</v>
      </c>
      <c r="B10" s="8" t="inlineStr">
        <is>
          <t>Sources</t>
        </is>
      </c>
      <c r="C10" s="9" t="inlineStr">
        <is>
          <t>README.md version paragraphs, written at the time of each release. Sprint tracker v040: Version_Control (41 rows), Sprint_Tracker_Log (E001–E097), Review_Findings (M-F, VER-M, OBS-M, SR, PR). docs/PERSISTENCE.md, docs/RUNBOOK.md, docs/THREAT_MODEL.md, docs/DATA_FLOW.md. Perplexity Review V001, 16 Sep 2026. The source archive claude_v045_meetsync_external_review_s13_s14.</t>
        </is>
      </c>
    </row>
    <row r="11">
      <c r="A11" s="8" t="n">
        <v>8</v>
      </c>
      <c r="B11" s="8" t="inlineStr">
        <is>
          <t>A note on honesty</t>
        </is>
      </c>
      <c r="C11" s="9" t="inlineStr">
        <is>
          <t>Several test cases in 08_Test_Cases are marked EXPECTED TO FIND NOTHING — TC-ACT-004, TC-RSK-003, TC-RSK-004, TC-IND-004, TC-BIL-011. They document gaps deliberately, so that the absence is repeatable and visible rather than discovered by a customer. Do not raise them as defects; they are evidence for the decisions in 06_Pending_Versions.</t>
        </is>
      </c>
    </row>
  </sheetData>
  <autoFilter ref="A3:C3"/>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26" customWidth="1" min="1" max="1"/>
    <col width="42" customWidth="1" min="2" max="2"/>
    <col width="20" customWidth="1" min="3" max="3"/>
    <col width="86" customWidth="1" min="4" max="4"/>
  </cols>
  <sheetData>
    <row r="1" ht="22" customHeight="1">
      <c r="A1" s="1" t="inlineStr">
        <is>
          <t>HOW TO USE THIS WORKBOOK — sheet by sheet</t>
        </is>
      </c>
    </row>
    <row r="2" ht="30" customHeight="1">
      <c r="A2" s="6" t="inlineStr">
        <is>
          <t>HOW TO USE THIS SHEET — Every sheet also carries its own one-line instruction in row 2. Yellow cells are the ones a tester fills in; everything else is a record and should not be edited in place.</t>
        </is>
      </c>
    </row>
    <row r="3">
      <c r="A3" s="7" t="inlineStr">
        <is>
          <t>Sheet</t>
        </is>
      </c>
      <c r="B3" s="7" t="inlineStr">
        <is>
          <t>What it holds</t>
        </is>
      </c>
      <c r="C3" s="7" t="inlineStr">
        <is>
          <t>Who uses it</t>
        </is>
      </c>
      <c r="D3" s="7" t="inlineStr">
        <is>
          <t>How to use it</t>
        </is>
      </c>
    </row>
    <row r="4">
      <c r="A4" s="8" t="inlineStr">
        <is>
          <t>00_Cover</t>
        </is>
      </c>
      <c r="B4" s="9" t="inlineStr">
        <is>
          <t>Identity of the document and the headline state of the product.</t>
        </is>
      </c>
      <c r="C4" s="8" t="inlineStr">
        <is>
          <t>Everyone</t>
        </is>
      </c>
      <c r="D4" s="9" t="inlineStr">
        <is>
          <t>Read first. Check you have the right document version and the right code version.</t>
        </is>
      </c>
    </row>
    <row r="5">
      <c r="A5" s="8" t="inlineStr">
        <is>
          <t>01_Document_Control</t>
        </is>
      </c>
      <c r="B5" s="9" t="inlineStr">
        <is>
          <t>Revision history of this workbook.</t>
        </is>
      </c>
      <c r="C5" s="8" t="inlineStr">
        <is>
          <t>Author, auditor</t>
        </is>
      </c>
      <c r="D5" s="9" t="inlineStr">
        <is>
          <t>Add a row on every reissue. Never overwrite a released row.</t>
        </is>
      </c>
    </row>
    <row r="6">
      <c r="A6" s="8" t="inlineStr">
        <is>
          <t>02_Context_Scope</t>
        </is>
      </c>
      <c r="B6" s="9" t="inlineStr">
        <is>
          <t>What the product is, what is covered, what is not, and every source.</t>
        </is>
      </c>
      <c r="C6" s="8" t="inlineStr">
        <is>
          <t>Everyone</t>
        </is>
      </c>
      <c r="D6" s="9" t="inlineStr">
        <is>
          <t>Read before drawing conclusions from any other sheet.</t>
        </is>
      </c>
    </row>
    <row r="7">
      <c r="A7" s="8" t="inlineStr">
        <is>
          <t>03_How_To_Use</t>
        </is>
      </c>
      <c r="B7" s="9" t="inlineStr">
        <is>
          <t>This sheet.</t>
        </is>
      </c>
      <c r="C7" s="8" t="inlineStr">
        <is>
          <t>Everyone</t>
        </is>
      </c>
      <c r="D7" s="9" t="inlineStr">
        <is>
          <t>Navigation.</t>
        </is>
      </c>
    </row>
    <row r="8">
      <c r="A8" s="8" t="inlineStr">
        <is>
          <t>04_Glossary</t>
        </is>
      </c>
      <c r="B8" s="9" t="inlineStr">
        <is>
          <t>Every prefix and abbreviation used across the artefacts.</t>
        </is>
      </c>
      <c r="C8" s="8" t="inlineStr">
        <is>
          <t>New readers</t>
        </is>
      </c>
      <c r="D8" s="9" t="inlineStr">
        <is>
          <t>Look up ST-, PR-, M-F, LC-, PD-, SR-, GAP- and the gate names.</t>
        </is>
      </c>
    </row>
    <row r="9">
      <c r="A9" s="8" t="inlineStr">
        <is>
          <t>05_Version_Detail</t>
        </is>
      </c>
      <c r="B9" s="9" t="inlineStr">
        <is>
          <t>Each of the 38 released code versions: what was done, why it was done, what it closed, the gate result.</t>
        </is>
      </c>
      <c r="C9" s="8" t="inlineStr">
        <is>
          <t>Senthil, auditor</t>
        </is>
      </c>
      <c r="D9" s="9" t="inlineStr">
        <is>
          <t>Read top to bottom for the arc, or filter the Type column to see just the review-driven releases. The Why column is the one that matters — every release has a trigger.</t>
        </is>
      </c>
    </row>
    <row r="10">
      <c r="A10" s="8" t="inlineStr">
        <is>
          <t>06_Pending_Versions</t>
        </is>
      </c>
      <c r="B10" s="9" t="inlineStr">
        <is>
          <t>Nine pending releases, each with the specific thing blocking it and who owns that thing.</t>
        </is>
      </c>
      <c r="C10" s="8" t="inlineStr">
        <is>
          <t>Senthil</t>
        </is>
      </c>
      <c r="D10" s="9" t="inlineStr">
        <is>
          <t>This is the decision sheet. Four of the nine are blocked on a decision only you can make; one is blocked on credentials; the rest queue behind those.</t>
        </is>
      </c>
    </row>
    <row r="11">
      <c r="A11" s="8" t="inlineStr">
        <is>
          <t>07_Version_Steps</t>
        </is>
      </c>
      <c r="B11" s="9" t="inlineStr">
        <is>
          <t>The ordered steps executed within each release.</t>
        </is>
      </c>
      <c r="C11" s="8" t="inlineStr">
        <is>
          <t>Auditor, engineer</t>
        </is>
      </c>
      <c r="D11" s="9" t="inlineStr">
        <is>
          <t>Filter by Version to reconstruct a release. Steps are in execution order with the artefact each produced.</t>
        </is>
      </c>
    </row>
    <row r="12">
      <c r="A12" s="8" t="inlineStr">
        <is>
          <t>08_Test_Cases</t>
        </is>
      </c>
      <c r="B12" s="9" t="inlineStr">
        <is>
          <t>177 manual test cases with preconditions, numbered steps and expected results.</t>
        </is>
      </c>
      <c r="C12" s="8" t="inlineStr">
        <is>
          <t>Tester</t>
        </is>
      </c>
      <c r="D12" s="9" t="inlineStr">
        <is>
          <t>Filter by Priority for a risk-based pass, or by Area for a feature pass, or by Version to regression-test one release. Fill the yellow columns: Actual result, Status, Tester, Date, Defect ref. Do not edit the white columns.</t>
        </is>
      </c>
    </row>
    <row r="13">
      <c r="A13" s="8" t="inlineStr">
        <is>
          <t>09_Test_Summary</t>
        </is>
      </c>
      <c r="B13" s="9" t="inlineStr">
        <is>
          <t>Live counts by area, type, priority and execution status.</t>
        </is>
      </c>
      <c r="C13" s="8" t="inlineStr">
        <is>
          <t>Test lead</t>
        </is>
      </c>
      <c r="D13" s="9" t="inlineStr">
        <is>
          <t>Do not edit — every cell is a formula over 08_Test_Cases. It updates as the tester fills in the Status column.</t>
        </is>
      </c>
    </row>
    <row r="14">
      <c r="A14" s="8" t="inlineStr">
        <is>
          <t>10_Traceability</t>
        </is>
      </c>
      <c r="B14" s="9" t="inlineStr">
        <is>
          <t>Requirement or finding, to the version that addressed it, to the test cases that cover it.</t>
        </is>
      </c>
      <c r="C14" s="8" t="inlineStr">
        <is>
          <t>Auditor, reviewer</t>
        </is>
      </c>
      <c r="D14" s="9" t="inlineStr">
        <is>
          <t>Use to answer "how do we know X works?" — read across from the reference to the test case ids.</t>
        </is>
      </c>
    </row>
    <row r="15">
      <c r="A15" s="8" t="inlineStr">
        <is>
          <t>11_Defect_Log</t>
        </is>
      </c>
      <c r="B15" s="9" t="inlineStr">
        <is>
          <t>Every defect found across the whole review programme, with its disposition and the regression test that pins it.</t>
        </is>
      </c>
      <c r="C15" s="8" t="inlineStr">
        <is>
          <t>Senthil, auditor</t>
        </is>
      </c>
      <c r="D15" s="9" t="inlineStr">
        <is>
          <t>Filter Disposition to find anything still open. Carried from tracker v040 Review_Findings so the two cannot drift.</t>
        </is>
      </c>
    </row>
    <row r="16">
      <c r="A16" s="8" t="inlineStr">
        <is>
          <t>12_Sign_Off</t>
        </is>
      </c>
      <c r="B16" s="9" t="inlineStr">
        <is>
          <t>Approval of this document and of the test pass.</t>
        </is>
      </c>
      <c r="C16" s="8" t="inlineStr">
        <is>
          <t>Senthil</t>
        </is>
      </c>
      <c r="D16" s="9" t="inlineStr">
        <is>
          <t>Sign the rows that apply. An unsigned test pass is not a test pass.</t>
        </is>
      </c>
    </row>
  </sheetData>
  <autoFilter ref="A3:D3"/>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3" topLeftCell="A4" activePane="bottomLeft" state="frozen"/>
      <selection pane="bottomLeft" activeCell="A1" sqref="A1"/>
    </sheetView>
  </sheetViews>
  <sheetFormatPr baseColWidth="8" defaultRowHeight="15"/>
  <cols>
    <col width="22" customWidth="1" min="1" max="1"/>
    <col width="132" customWidth="1" min="2" max="2"/>
  </cols>
  <sheetData>
    <row r="1" ht="22" customHeight="1">
      <c r="A1" s="1" t="inlineStr">
        <is>
          <t>GLOSSARY AND ABBREVIATIONS</t>
        </is>
      </c>
    </row>
    <row r="2" ht="30" customHeight="1">
      <c r="A2" s="6" t="inlineStr">
        <is>
          <t>HOW TO USE THIS SHEET — Every prefix used in this workbook and in the sprint tracker. If a reference appears anywhere and is not here, it is an error — say so.</t>
        </is>
      </c>
    </row>
    <row r="3">
      <c r="A3" s="7" t="inlineStr">
        <is>
          <t>Term</t>
        </is>
      </c>
      <c r="B3" s="7" t="inlineStr">
        <is>
          <t>Meaning</t>
        </is>
      </c>
    </row>
    <row r="4">
      <c r="A4" s="8" t="inlineStr">
        <is>
          <t>ST-nnn</t>
        </is>
      </c>
      <c r="B4" s="9" t="inlineStr">
        <is>
          <t>Story id. ST-001 to ST-100 come from the v007 product workbook backlog; ST-101 to ST-151 were added by Perplexity Review V001.</t>
        </is>
      </c>
    </row>
    <row r="5">
      <c r="A5" s="8" t="inlineStr">
        <is>
          <t>M-Fnn</t>
        </is>
      </c>
      <c r="B5" s="9" t="inlineStr">
        <is>
          <t>Finding from the v0.13.0 adversarial cold review (21 findings across two passes over all 20 modules).</t>
        </is>
      </c>
    </row>
    <row r="6">
      <c r="A6" s="8" t="inlineStr">
        <is>
          <t>VER-Mnn</t>
        </is>
      </c>
      <c r="B6" s="9" t="inlineStr">
        <is>
          <t>Finding from the v0.14.0 external verification sweep — code checked against Zoom's published documentation rather than against itself.</t>
        </is>
      </c>
    </row>
    <row r="7">
      <c r="A7" s="8" t="inlineStr">
        <is>
          <t>OBS-Mn</t>
        </is>
      </c>
      <c r="B7" s="9" t="inlineStr">
        <is>
          <t>Observation raised during the cold review that needed a decision rather than a fix.</t>
        </is>
      </c>
    </row>
    <row r="8">
      <c r="A8" s="8" t="inlineStr">
        <is>
          <t>GAP-n</t>
        </is>
      </c>
      <c r="B8" s="9" t="inlineStr">
        <is>
          <t>Finding from asking what calls what, rather than from reading modules. GAP-3 is the big one: 78 stories marked done for code a customer could not invoke.</t>
        </is>
      </c>
    </row>
    <row r="9">
      <c r="A9" s="8" t="inlineStr">
        <is>
          <t>SR-nn</t>
        </is>
      </c>
      <c r="B9" s="9" t="inlineStr">
        <is>
          <t>Self-review finding — a defect found in the previous sitting's own work by the standing review step introduced at v0.32.0.</t>
        </is>
      </c>
    </row>
    <row r="10">
      <c r="A10" s="8" t="inlineStr">
        <is>
          <t>A11Y-nn</t>
        </is>
      </c>
      <c r="B10" s="9" t="inlineStr">
        <is>
          <t>Accessibility finding, including four that axe passed and a human did not.</t>
        </is>
      </c>
    </row>
    <row r="11">
      <c r="A11" s="8" t="inlineStr">
        <is>
          <t>PR-nn</t>
        </is>
      </c>
      <c r="B11" s="9" t="inlineStr">
        <is>
          <t>Finding from Perplexity Review V001, the first review conducted from outside the repository (16 Sep 2026). PR-01 to PR-14.</t>
        </is>
      </c>
    </row>
    <row r="12">
      <c r="A12" s="8" t="inlineStr">
        <is>
          <t>PD-nn</t>
        </is>
      </c>
      <c r="B12" s="9" t="inlineStr">
        <is>
          <t>Decision owed by Senthil, raised by Perplexity Review V001. PD-01 to PD-06.</t>
        </is>
      </c>
    </row>
    <row r="13">
      <c r="A13" s="8" t="inlineStr">
        <is>
          <t>LC-n</t>
        </is>
      </c>
      <c r="B13" s="9" t="inlineStr">
        <is>
          <t>Launch checklist item from the product workbook.</t>
        </is>
      </c>
    </row>
    <row r="14">
      <c r="A14" s="8" t="inlineStr">
        <is>
          <t>G-nn</t>
        </is>
      </c>
      <c r="B14" s="9" t="inlineStr">
        <is>
          <t>Portfolio completion gate. G-02 — ten paying installs from strangers — is the one that matters.</t>
        </is>
      </c>
    </row>
    <row r="15">
      <c r="A15" s="8" t="inlineStr">
        <is>
          <t>D13</t>
        </is>
      </c>
      <c r="B15" s="9" t="inlineStr">
        <is>
          <t>Portfolio decision, 10 Sep: discovery interviews parked, development proceeds with 100% automated test coverage on all code.</t>
        </is>
      </c>
    </row>
    <row r="16">
      <c r="A16" s="8" t="inlineStr">
        <is>
          <t>D15</t>
        </is>
      </c>
      <c r="B16" s="9" t="inlineStr">
        <is>
          <t>Portfolio decision, open: ratify parallel build mode across concurrent products.</t>
        </is>
      </c>
    </row>
    <row r="17">
      <c r="A17" s="8" t="inlineStr">
        <is>
          <t>Done-in-code</t>
        </is>
      </c>
      <c r="B17" s="9" t="inlineStr">
        <is>
          <t>The story is built and tested but has never run against the live platform. Not the same as done.</t>
        </is>
      </c>
    </row>
    <row r="18">
      <c r="A18" s="8" t="inlineStr">
        <is>
          <t>Customer-reachable</t>
        </is>
      </c>
      <c r="B18" s="9" t="inlineStr">
        <is>
          <t>A capability a customer can actually invoke through a route the typed client calls. Machine-enforced by two standing gates.</t>
        </is>
      </c>
    </row>
    <row r="19">
      <c r="A19" s="8" t="inlineStr">
        <is>
          <t>Capability→caller gate</t>
        </is>
      </c>
      <c r="B19" s="9" t="inlineStr">
        <is>
          <t>test/reachability.test.ts — fails the build when a capability in src/ has no caller anywhere. Introduced v0.21.0.</t>
        </is>
      </c>
    </row>
    <row r="20">
      <c r="A20" s="8" t="inlineStr">
        <is>
          <t>Route→client gate</t>
        </is>
      </c>
      <c r="B20" s="9" t="inlineStr">
        <is>
          <t>test/clientReachability.test.ts — fails the build when a route in app.ts has no method in the typed client and no reasoned exemption. Introduced v0.45.0.</t>
        </is>
      </c>
    </row>
    <row r="21">
      <c r="A21" s="8" t="inlineStr">
        <is>
          <t>Document→code gate</t>
        </is>
      </c>
      <c r="B21" s="9" t="inlineStr">
        <is>
          <t>test/claims.test.ts — fails the build when the trust page, pricing page or listing copy claims something the code does not do. Introduced v0.45.0.</t>
        </is>
      </c>
    </row>
    <row r="22">
      <c r="A22" s="8" t="inlineStr">
        <is>
          <t>Contract suite</t>
        </is>
      </c>
      <c r="B22" s="9" t="inlineStr">
        <is>
          <t>One set of test cases executed twice — once against the in-memory store and once against a live PostgreSQL. CI refuses to skip the database run.</t>
        </is>
      </c>
    </row>
    <row r="23">
      <c r="A23" s="8" t="inlineStr">
        <is>
          <t>100x4</t>
        </is>
      </c>
      <c r="B23" s="9" t="inlineStr">
        <is>
          <t>100% statements, branches, functions and lines, with zero istanbul pragmas. The D13 gate.</t>
        </is>
      </c>
    </row>
    <row r="24">
      <c r="A24" s="8" t="inlineStr">
        <is>
          <t>PENDING LIVE</t>
        </is>
      </c>
      <c r="B24" s="9" t="inlineStr">
        <is>
          <t>A test case that cannot be executed until a real Zoom Marketplace app exists and a real account installs it.</t>
        </is>
      </c>
    </row>
  </sheetData>
  <autoFilter ref="A3:B3"/>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workbookViewId="0">
      <pane ySplit="3" topLeftCell="A4" activePane="bottomLeft" state="frozen"/>
      <selection pane="bottomLeft" activeCell="A1" sqref="A1"/>
    </sheetView>
  </sheetViews>
  <sheetFormatPr baseColWidth="8" defaultRowHeight="15"/>
  <cols>
    <col width="13" customWidth="1" min="1" max="1"/>
    <col width="17" customWidth="1" min="2" max="2"/>
    <col width="22" customWidth="1" min="3" max="3"/>
    <col width="44" customWidth="1" min="4" max="4"/>
    <col width="96" customWidth="1" min="5" max="5"/>
    <col width="86" customWidth="1" min="6" max="6"/>
    <col width="26" customWidth="1" min="7" max="7"/>
    <col width="24" customWidth="1" min="8" max="8"/>
    <col width="20" customWidth="1" min="9" max="9"/>
  </cols>
  <sheetData>
    <row r="1" ht="22" customHeight="1">
      <c r="A1" s="1" t="inlineStr">
        <is>
          <t>VERSION DETAIL — every released code version: what was done and why</t>
        </is>
      </c>
    </row>
    <row r="2" ht="30" customHeight="1">
      <c r="A2" s="6" t="inlineStr">
        <is>
          <t>HOW TO USE THIS SHEET — One row per released code version, oldest first. The "Why it was done" column carries the trigger — no release here was undertaken because it seemed like a good idea. Filter Type to isolate the review-driven releases.</t>
        </is>
      </c>
    </row>
    <row r="3">
      <c r="A3" s="7" t="inlineStr">
        <is>
          <t>Code version</t>
        </is>
      </c>
      <c r="B3" s="7" t="inlineStr">
        <is>
          <t>Released</t>
        </is>
      </c>
      <c r="C3" s="7" t="inlineStr">
        <is>
          <t>Type</t>
        </is>
      </c>
      <c r="D3" s="7" t="inlineStr">
        <is>
          <t>Headline</t>
        </is>
      </c>
      <c r="E3" s="7" t="inlineStr">
        <is>
          <t>What was done</t>
        </is>
      </c>
      <c r="F3" s="7" t="inlineStr">
        <is>
          <t>Why it was done (the trigger)</t>
        </is>
      </c>
      <c r="G3" s="7" t="inlineStr">
        <is>
          <t>Findings / stories closed</t>
        </is>
      </c>
      <c r="H3" s="7" t="inlineStr">
        <is>
          <t>Gate result</t>
        </is>
      </c>
      <c r="I3" s="7" t="inlineStr">
        <is>
          <t>Status</t>
        </is>
      </c>
    </row>
    <row r="4">
      <c r="A4" s="8" t="inlineStr">
        <is>
          <t>v0.08.0</t>
        </is>
      </c>
      <c r="B4" s="8" t="inlineStr">
        <is>
          <t>2026-09-10 22:58</t>
        </is>
      </c>
      <c r="C4" s="10" t="inlineStr">
        <is>
          <t>Build</t>
        </is>
      </c>
      <c r="D4" s="9" t="inlineStr">
        <is>
          <t>S1–S8 foundation through Indic pack — the whole feature set, built</t>
        </is>
      </c>
      <c r="E4" s="9" t="inlineStr">
        <is>
          <t>TypeScript/Node/Express foundation: config with region validation; typed Store layer; Zoom OAuth exchange and rotation-persisting refresh; ZoomClient with 429/5xx backoff, jitter and a circuit breaker; webhook verification (x-zm-signature HMAC + endpoint.url_validation challenge + replay guard + dedupe); install/uninstall lifecycle with token wipe and retention schedule; RBAC owner/admin/member matrix with audit log; the shared feature engine powering F1–F5; live notes, action extraction, CRM adapters with a retrying queue, deal-risk scoring, the Indic WER harness; billing with trial, plans, proration, dunning and seat limits; telemetry funnel; onboarding checklist; CSV import.</t>
        </is>
      </c>
      <c r="F4" s="9" t="inlineStr">
        <is>
          <t>Senthil opened the build at 22:58 on 10 Sep with the instruction to execute per sprint from the v007 product workbook with 100% automation coverage. D13 (discovery parked, dev proceeds at 100% coverage) applied portfolio-wide.</t>
        </is>
      </c>
      <c r="G4" s="9" t="inlineStr">
        <is>
          <t>S1–S8 · 74 stories</t>
        </is>
      </c>
      <c r="H4" s="9" t="inlineStr">
        <is>
          <t>18 suites / 139 tests · 100x4</t>
        </is>
      </c>
      <c r="I4" s="9" t="inlineStr">
        <is>
          <t>Superseded</t>
        </is>
      </c>
    </row>
    <row r="5">
      <c r="A5" s="8" t="inlineStr">
        <is>
          <t>v0.09.0</t>
        </is>
      </c>
      <c r="B5" s="8" t="inlineStr">
        <is>
          <t>2026-09-11 08:47</t>
        </is>
      </c>
      <c r="C5" s="10" t="inlineStr">
        <is>
          <t>Build</t>
        </is>
      </c>
      <c r="D5" s="9" t="inlineStr">
        <is>
          <t>S9 codeable scope — self-serve deletion and observable degradation</t>
        </is>
      </c>
      <c r="E5" s="9" t="inlineStr">
        <is>
          <t>ST-069 delete-my-data shipped: owner-only POST /orgs/:id/delete-my-data with explicit DELETE confirmation, immediate token wipe and a purge due at the next sweep rather than after the retention window; allow and deny both audit-logged. ST-091 made platform degradation observable: ZoomClient.platformHealth() reports ok/degraded/probing and /orgs/:id/status surfaces it, so a breaker-open state shows as degraded instead of erroring.</t>
        </is>
      </c>
      <c r="F5" s="9" t="inlineStr">
        <is>
          <t>S9 was the next sprint and two of its stories could be executed without a live Zoom app. A published deletion policy that a customer cannot invoke is a policy in name only.</t>
        </is>
      </c>
      <c r="G5" s="9" t="inlineStr">
        <is>
          <t>ST-069, ST-091</t>
        </is>
      </c>
      <c r="H5" s="9" t="inlineStr">
        <is>
          <t>19 suites / 149 tests · 100x4</t>
        </is>
      </c>
      <c r="I5" s="9" t="inlineStr">
        <is>
          <t>Superseded</t>
        </is>
      </c>
    </row>
    <row r="6">
      <c r="A6" s="8" t="inlineStr">
        <is>
          <t>v0.10.0</t>
        </is>
      </c>
      <c r="B6" s="8" t="inlineStr">
        <is>
          <t>2026-09-11 13:32</t>
        </is>
      </c>
      <c r="C6" s="10" t="inlineStr">
        <is>
          <t>Build</t>
        </is>
      </c>
      <c r="D6" s="9" t="inlineStr">
        <is>
          <t>S10 codeable scope — help centre, status page, pricing, demo mode</t>
        </is>
      </c>
      <c r="E6" s="9" t="inlineStr">
        <is>
          <t>ST-080 help centre: 15 launch articles from install to troubleshooting with ranked keyword search (title &gt; keyword &gt; body, deterministic tie-break) served from the same source as the hosted site. ST-084 public status page as JSON and HTML with component health and uptime, plus an incident comms template. ST-095 pricing endpoint served from the same PLANS object the billing engine enforces, so the published matrix cannot drift from what is charged. ST-083 demo-data mode: an admin seeds an isolated demo workspace with a notes session, extracted actions and completed sandbox writebacks.</t>
        </is>
      </c>
      <c r="F6" s="9" t="inlineStr">
        <is>
          <t>Same reason as v0.09.0 — take the S10 stories that need no live platform. Pricing was bound to PLANS deliberately: a pricing page that is a separate document is a pricing page that will disagree with the invoice.</t>
        </is>
      </c>
      <c r="G6" s="9" t="inlineStr">
        <is>
          <t>ST-080, ST-083 (code half), ST-084, ST-095, ST-096 (draft)</t>
        </is>
      </c>
      <c r="H6" s="9" t="inlineStr">
        <is>
          <t>20 suites / 160 tests · 100x4</t>
        </is>
      </c>
      <c r="I6" s="9" t="inlineStr">
        <is>
          <t>Superseded</t>
        </is>
      </c>
    </row>
    <row r="7">
      <c r="A7" s="8" t="inlineStr">
        <is>
          <t>v0.11.0</t>
        </is>
      </c>
      <c r="B7" s="8" t="inlineStr">
        <is>
          <t>2026-09-11 15:26</t>
        </is>
      </c>
      <c r="C7" s="10" t="inlineStr">
        <is>
          <t>Build</t>
        </is>
      </c>
      <c r="D7" s="9" t="inlineStr">
        <is>
          <t>Codeable runway closed — launch runbook and SEO groundwork</t>
        </is>
      </c>
      <c r="E7" s="9" t="inlineStr">
        <is>
          <t>ST-098 launch-day runbook finalised at v1.0 over the surfaces that actually ship: monitoring table, rollback under two minutes, comms tree. ST-099 groundwork: help-search terms are captured and exposed at /analytics/search-terms so post-launch listing SEO has real data rather than guesses.</t>
        </is>
      </c>
      <c r="F7" s="9" t="inlineStr">
        <is>
          <t>Everything remaining in S9–S12 needed either a live Zoom app, a deployment, or a human. This release drew that line explicitly rather than inventing work that looked like progress.</t>
        </is>
      </c>
      <c r="G7" s="9" t="inlineStr">
        <is>
          <t>ST-098, ST-099 (groundwork)</t>
        </is>
      </c>
      <c r="H7" s="9" t="inlineStr">
        <is>
          <t>20 suites / 162 tests · 100x4</t>
        </is>
      </c>
      <c r="I7" s="9" t="inlineStr">
        <is>
          <t>Superseded</t>
        </is>
      </c>
    </row>
    <row r="8">
      <c r="A8" s="8" t="inlineStr">
        <is>
          <t>v0.12.0</t>
        </is>
      </c>
      <c r="B8" s="8" t="inlineStr">
        <is>
          <t>2026-09-11 22:09</t>
        </is>
      </c>
      <c r="C8" s="10" t="inlineStr">
        <is>
          <t>Build</t>
        </is>
      </c>
      <c r="D8" s="9" t="inlineStr">
        <is>
          <t>Web surface — one React codebase for the panel and the dashboard</t>
        </is>
      </c>
      <c r="E8" s="9" t="inlineStr">
        <is>
          <t>Five panel components (Notes, Action items, CRM sync, Deal risk, Languages) plus the shell, serving both the Zoom in-meeting panel and the web dashboard from one codebase; Zoom Apps SDK behind a ZoomSdk boundary with a MockZoomSdk for tests; a typed Api client; RTL suite at the same 100x4 gate.</t>
        </is>
      </c>
      <c r="F8" s="9" t="inlineStr">
        <is>
          <t>The backlog carried five surface stories (ST-005/015/025/035/045) that had no UI at all. Building them against a mocked SDK was the only way to execute them without a Marketplace app.</t>
        </is>
      </c>
      <c r="G8" s="9" t="inlineStr">
        <is>
          <t>ST-005, ST-015, ST-025, ST-035, ST-045</t>
        </is>
      </c>
      <c r="H8" s="9" t="inlineStr">
        <is>
          <t>21 suites / 171 tests · 100x4</t>
        </is>
      </c>
      <c r="I8" s="9" t="inlineStr">
        <is>
          <t>Superseded</t>
        </is>
      </c>
    </row>
    <row r="9">
      <c r="A9" s="8" t="inlineStr">
        <is>
          <t>v0.13.0</t>
        </is>
      </c>
      <c r="B9" s="8" t="inlineStr">
        <is>
          <t>2026-09-13 09:52</t>
        </is>
      </c>
      <c r="C9" s="11" t="inlineStr">
        <is>
          <t>Review fix</t>
        </is>
      </c>
      <c r="D9" s="9" t="inlineStr">
        <is>
          <t>Adversarial cold review — 21 defects, four of them blocking</t>
        </is>
      </c>
      <c r="E9" s="9" t="inlineStr">
        <is>
          <t>v013 cold review (passes 1+2, all 20 modules): 21 defects fixed with pinned regressions. Headlines — identity is an HMAC-signed session minted server-side, never the caller's own `x-role` header (src/auth.ts); tenant state is allocated per account (src/tenancy.ts) instead of one process-wide engine; deletion clears every registered holder of the account's data, not just its row; the billing entitlement the trial and dunning engines maintain is now actually enforced on mutating routes; operator analytics require MEETSYNC_OPERATOR_TOKEN; every in-memory ledger is FIFO-capped (src/ledger.ts). See the tracker's Review_Findings sheet for the full list and the three observations left open for disposition.</t>
        </is>
      </c>
      <c r="F9" s="9" t="inlineStr">
        <is>
          <t>A deliberate adversarial review of all 20 modules, run because the build had been fast and nothing had yet challenged it. It found that identity was taken from a request header the browser sets, that tenant state was one process-wide singleton, and that an account could stop paying and keep writing.</t>
        </is>
      </c>
      <c r="G9" s="9" t="inlineStr">
        <is>
          <t>M-F01 … M-F21</t>
        </is>
      </c>
      <c r="H9" s="9" t="inlineStr">
        <is>
          <t>22 suites / 225 tests · 100x4</t>
        </is>
      </c>
      <c r="I9" s="9" t="inlineStr">
        <is>
          <t>Superseded</t>
        </is>
      </c>
    </row>
    <row r="10">
      <c r="A10" s="8" t="inlineStr">
        <is>
          <t>v0.14.0</t>
        </is>
      </c>
      <c r="B10" s="8" t="inlineStr">
        <is>
          <t>2026-09-13 10:25</t>
        </is>
      </c>
      <c r="C10" s="11" t="inlineStr">
        <is>
          <t>Review fix</t>
        </is>
      </c>
      <c r="D10" s="9" t="inlineStr">
        <is>
          <t>External verification sweep — the Zoom contract was wrong in four places</t>
        </is>
      </c>
      <c r="E10" s="9" t="inlineStr">
        <is>
          <t>v014 external verification sweep (against live Zoom platform docs, 13 Sep): 7 findings, 4 of them live-blocking and invisible to the test suite because the tests asserted our own wrong shape back to us. The OAuth token endpoint authenticates the client with an HTTP Basic header, not client_id/client_secret in the body, and requires redirect_uri on the code exchange — both install and refresh would have been rejected on the first live call. The Zoom Apps SDK boundary was built around an API that does not exist: config() was never called, getMeetingContext() does not return account/role/user, and running context is a separate call. Scope map corrected from classic to granular scopes (a newly created app cannot select the classic names at all).</t>
        </is>
      </c>
      <c r="F10" s="9" t="inlineStr">
        <is>
          <t>Every prior test asserted MeetSync's own shape back to itself. This sweep checked the code against Zoom's published documentation instead, and found that the OAuth exchange, the refresh, the SDK boundary and the scope list would all have failed on the first live call.</t>
        </is>
      </c>
      <c r="G10" s="9" t="inlineStr">
        <is>
          <t>VER-M01 … VER-M07</t>
        </is>
      </c>
      <c r="H10" s="9" t="inlineStr">
        <is>
          <t>22 suites / 239 tests · 100x4</t>
        </is>
      </c>
      <c r="I10" s="9" t="inlineStr">
        <is>
          <t>Superseded</t>
        </is>
      </c>
    </row>
    <row r="11">
      <c r="A11" s="8" t="inlineStr">
        <is>
          <t>v0.15.0</t>
        </is>
      </c>
      <c r="B11" s="8" t="inlineStr">
        <is>
          <t>2026-09-13 10:36</t>
        </is>
      </c>
      <c r="C11" s="11" t="inlineStr">
        <is>
          <t>Review fix</t>
        </is>
      </c>
      <c r="D11" s="9" t="inlineStr">
        <is>
          <t>Two claims the artefacts made that the code did not back</t>
        </is>
      </c>
      <c r="E11" s="9" t="inlineStr">
        <is>
          <t>v015 closes two claims the artifacts made that the code did not back. (1) WCAG AA has been asserted as an NFR since 5 Sep and had never been audited on this product; web/a11y.test.tsx now audits every panel and the shell against wcag2a/2aa/21a/21aa on each render state. axe reported zero violations even on its full ruleset — and reading the markup still found four real failures it structurally cannot see, the worst being a status button whose aria-label REPLACED the visible state text, so the one thing the control existed to convey was hidden from assistive tech. Colour contrast cannot be judged under jsdom and remains an open manual check. (2) Trial-to-paid, MRR, ARPU and logo churn had targets set against them and nothing computing them; Billing.revenueMetrics and /analytics/revenue (operator-gated) close that.</t>
        </is>
      </c>
      <c r="F11" s="9" t="inlineStr">
        <is>
          <t>The product spec had asserted WCAG AA since 5 Sep with no audit ever run, and the revenue targets in Metrics_Targets had nothing computing them. Both were claims, not features.</t>
        </is>
      </c>
      <c r="G11" s="9" t="inlineStr">
        <is>
          <t>ST-089 (partial), ST-076, A11Y-01…04</t>
        </is>
      </c>
      <c r="H11" s="9" t="inlineStr">
        <is>
          <t>23 suites / 253 tests · 100x4</t>
        </is>
      </c>
      <c r="I11" s="9" t="inlineStr">
        <is>
          <t>Superseded</t>
        </is>
      </c>
    </row>
    <row r="12">
      <c r="A12" s="8" t="inlineStr">
        <is>
          <t>v0.16.0</t>
        </is>
      </c>
      <c r="B12" s="8" t="inlineStr">
        <is>
          <t>2026-09-13 10:43</t>
        </is>
      </c>
      <c r="C12" s="12" t="inlineStr">
        <is>
          <t>Hardening</t>
        </is>
      </c>
      <c r="D12" s="9" t="inlineStr">
        <is>
          <t>Durability, slice one — the account row reaches PostgreSQL</t>
        </is>
      </c>
      <c r="E12" s="9" t="inlineStr">
        <is>
          <t>v016 closes OBS-M3, the largest gap between the artifacts and the code: the Store interface is now async with a real PostgresStore alongside InMemoryStore, both held to one shared contract suite that runs every case twice and is NOT skipped when a database is absent. CI provisions postgres:16.</t>
        </is>
      </c>
      <c r="F12" s="9" t="inlineStr">
        <is>
          <t>OBS-M3: every guarantee the product published — token wipe on uninstall, the retention purge, delete-my-data, the billing entitlement — was true only until the process restarted.</t>
        </is>
      </c>
      <c r="G12" s="9" t="inlineStr">
        <is>
          <t>OBS-M3 (partial)</t>
        </is>
      </c>
      <c r="H12" s="9" t="inlineStr">
        <is>
          <t>23 suites / 281 tests · 100x4</t>
        </is>
      </c>
      <c r="I12" s="9" t="inlineStr">
        <is>
          <t>Superseded</t>
        </is>
      </c>
    </row>
    <row r="13">
      <c r="A13" s="8" t="inlineStr">
        <is>
          <t>v0.17.0</t>
        </is>
      </c>
      <c r="B13" s="8" t="inlineStr">
        <is>
          <t>2026-09-13 10:56</t>
        </is>
      </c>
      <c r="C13" s="12" t="inlineStr">
        <is>
          <t>Hardening</t>
        </is>
      </c>
      <c r="D13" s="9" t="inlineStr">
        <is>
          <t>Durability, slice two — subscriptions</t>
        </is>
      </c>
      <c r="E13" s="9" t="inlineStr">
        <is>
          <t>v017 and v018 add the second and third durable slices: subscriptions and the RBAC audit log, each behind the same two-implementation contract. Read docs/PERSISTENCE.md before describing MeetSync as durable — tenant feature state and the CRM writeback queue are still process-local, which also means the app cannot yet run more than one instance.</t>
        </is>
      </c>
      <c r="F13" s="9" t="inlineStr">
        <is>
          <t>A restart reverted every account to no_subscription, which un-gated every paid feature and zeroed the revenue metrics — the one piece of lost state that silently falsifies a business number rather than merely losing history.</t>
        </is>
      </c>
      <c r="G13" s="9" t="inlineStr">
        <is>
          <t>OBS-M3 (partial)</t>
        </is>
      </c>
      <c r="H13" s="9" t="inlineStr">
        <is>
          <t>23 suites / 301 tests · 100x4</t>
        </is>
      </c>
      <c r="I13" s="9" t="inlineStr">
        <is>
          <t>Superseded</t>
        </is>
      </c>
    </row>
    <row r="14">
      <c r="A14" s="8" t="inlineStr">
        <is>
          <t>v0.18.0</t>
        </is>
      </c>
      <c r="B14" s="8" t="inlineStr">
        <is>
          <t>2026-09-13 11:03</t>
        </is>
      </c>
      <c r="C14" s="12" t="inlineStr">
        <is>
          <t>Hardening</t>
        </is>
      </c>
      <c r="D14" s="9" t="inlineStr">
        <is>
          <t>Durability, slice three — the RBAC audit log</t>
        </is>
      </c>
      <c r="E14" s="9" t="inlineStr">
        <is>
          <t>The audit log moved behind an AuditStore with in-memory and PostgreSQL implementations run through one contract suite. The data.delete rows are retained through a purge as proof of erasure while everything else for that account goes.</t>
        </is>
      </c>
      <c r="F14" s="9" t="inlineStr">
        <is>
          <t>The audit log holds the proof that a deletion actually happened. An erasure record that evaporates on restart is worse than no record at all, because its absence is indistinguishable from the deletion never having been performed.</t>
        </is>
      </c>
      <c r="G14" s="9" t="inlineStr">
        <is>
          <t>OBS-M3 (partial), ST-067</t>
        </is>
      </c>
      <c r="H14" s="9" t="inlineStr">
        <is>
          <t>23 suites / 316 tests · 100x4</t>
        </is>
      </c>
      <c r="I14" s="9" t="inlineStr">
        <is>
          <t>Superseded</t>
        </is>
      </c>
    </row>
    <row r="15">
      <c r="A15" s="8" t="inlineStr">
        <is>
          <t>v0.19.0</t>
        </is>
      </c>
      <c r="B15" s="8" t="inlineStr">
        <is>
          <t>2026-09-13 11:10</t>
        </is>
      </c>
      <c r="C15" s="11" t="inlineStr">
        <is>
          <t>Review fix</t>
        </is>
      </c>
      <c r="D15" s="9" t="inlineStr">
        <is>
          <t>Two gaps found by asking what calls what</t>
        </is>
      </c>
      <c r="E15" s="9" t="inlineStr">
        <is>
          <t>v019 closes two gaps found by asking what calls what, rather than by reading modules. (GAP-1) There was no composition root: createApp was exported and nothing ever called it or listen(), no migration ran, and three durable stores had nothing wiring them — the product could not be started. src/server.ts now builds the whole graph over Postgres, migrates on every boot, and bin/meetsync.js is the process entrypoint (`npm start`). (GAP-2) retentionSweep had exactly one caller, the delete-my-data route, so the 30-day purge documented to customers since 5 Sep was never performed for an ordinary uninstall. src/scheduler.ts runs it hourly, survives its own failures, and is observable at /admin/retention-sweep. Neither gap was reachable by a code review: both were the absence of code.</t>
        </is>
      </c>
      <c r="F15" s="9" t="inlineStr">
        <is>
          <t>GAP-1: createApp was exported and nothing ever called it or listen() — the process could not be started at all. GAP-2: nothing ran the retention sweep, so an ordinary uninstall scheduled a purge that never happened and the published policy was not true.</t>
        </is>
      </c>
      <c r="G15" s="9" t="inlineStr">
        <is>
          <t>GAP-1, GAP-2</t>
        </is>
      </c>
      <c r="H15" s="9" t="inlineStr">
        <is>
          <t>25 suites / 333 tests · 100x4</t>
        </is>
      </c>
      <c r="I15" s="9" t="inlineStr">
        <is>
          <t>Superseded</t>
        </is>
      </c>
    </row>
    <row r="16">
      <c r="A16" s="8" t="inlineStr">
        <is>
          <t>v0.20.0</t>
        </is>
      </c>
      <c r="B16" s="8" t="inlineStr">
        <is>
          <t>2026-09-13 11:15</t>
        </is>
      </c>
      <c r="C16" s="11" t="inlineStr">
        <is>
          <t>Review fix</t>
        </is>
      </c>
      <c r="D16" s="9" t="inlineStr">
        <is>
          <t>GAP-3 — 78 stories were done for code a customer could not invoke</t>
        </is>
      </c>
      <c r="E16" s="9" t="inlineStr">
        <is>
          <t>v020 closes GAP-3, the largest finding of the review programme. A reachability audit — for each capability, what HTTP route can reach it? — found that F1-F5, the product itself, had almost no surface. Deal-risk and the Indic pack had ZERO references in application code. Notes, extraction and CRM writeback could only be touched by the demo seeder. The ST-067 audit log had no read path at all, and `audit.read` sat in the role matrix gating nothing. Seventy-eight stories were marked Done-in-code for features a customer had no way to invoke. Seventeen routes now expose the loop, with shared error mapping so a new route cannot invent its own status codes. Still unreachable and listed in the tracker: the billing lifecycle (changePlan, markPaid, paymentFailedTick, seatUsagePrompt, invoice, cancel) and most of telemetry.</t>
        </is>
      </c>
      <c r="F16" s="9" t="inlineStr">
        <is>
          <t>A reachability audit asked, for each capability, what route can reach it. Deal risk and the Indic pack had zero references in application code; notes, extraction and CRM were reachable only from a demo seeder; the audit log had no read path. Three prior reviews had missed it because a module nothing calls is locally perfect.</t>
        </is>
      </c>
      <c r="G16" s="9" t="inlineStr">
        <is>
          <t>GAP-3 · 17 product routes</t>
        </is>
      </c>
      <c r="H16" s="9" t="inlineStr">
        <is>
          <t>26 suites / 356 tests · 100x4</t>
        </is>
      </c>
      <c r="I16" s="9" t="inlineStr">
        <is>
          <t>Superseded</t>
        </is>
      </c>
    </row>
    <row r="17">
      <c r="A17" s="8" t="inlineStr">
        <is>
          <t>v0.21.0</t>
        </is>
      </c>
      <c r="B17" s="8" t="inlineStr">
        <is>
          <t>2026-09-13 11:24</t>
        </is>
      </c>
      <c r="C17" s="12" t="inlineStr">
        <is>
          <t>Hardening</t>
        </is>
      </c>
      <c r="D17" s="9" t="inlineStr">
        <is>
          <t>The reachability audit becomes a standing gate</t>
        </is>
      </c>
      <c r="E17" s="9" t="inlineStr">
        <is>
          <t>v021 turns the GAP-3 audit into a standing gate (test/reachability.test.ts): a capability called by nothing fails the build, and every deliberate exception lives in an allowlist with the reason it is acceptable. The gate is a name-based heuristic, not a call graph — read its header for what it cannot catch. Running it found three more: CappedList.clear had lost its last caller and was deleted; mute/unmute and the notification list had no surface at all; and notify() was recording an 'email' row unconditionally, claiming a delivery by a channel this codebase has no sender for. Email rows are now written only when a sender is configured, so the absence is visible instead of faked.</t>
        </is>
      </c>
      <c r="F17" s="9" t="inlineStr">
        <is>
          <t>A one-off audit finds the problem once. A gate that fails the build stops it coming back — and the same class had already been reintroduced twice by fixes for other findings.</t>
        </is>
      </c>
      <c r="G17" s="9" t="inlineStr">
        <is>
          <t>GAP-3 (permanent)</t>
        </is>
      </c>
      <c r="H17" s="9" t="inlineStr">
        <is>
          <t>27 suites / 362 tests · 100x4</t>
        </is>
      </c>
      <c r="I17" s="9" t="inlineStr">
        <is>
          <t>Superseded</t>
        </is>
      </c>
    </row>
    <row r="18">
      <c r="A18" s="8" t="inlineStr">
        <is>
          <t>v0.22.0</t>
        </is>
      </c>
      <c r="B18" s="8" t="inlineStr">
        <is>
          <t>2026-09-13 11:32</t>
        </is>
      </c>
      <c r="C18" s="12" t="inlineStr">
        <is>
          <t>Hardening</t>
        </is>
      </c>
      <c r="D18" s="9" t="inlineStr">
        <is>
          <t>One source for empty-state copy</t>
        </is>
      </c>
      <c r="E18" s="9" t="inlineStr">
        <is>
          <t>v022 gives the empty-state copy one source (src/emptyStates.ts). There had been two bodies of copy for the same moments — coarse screen-level strings the API served and nobody read, and finer strings hard-coded in each panel — free to drift with no way to tell which a customer had seen. The panel wording was better and is now canonical; API and panels import it.</t>
        </is>
      </c>
      <c r="F18" s="9" t="inlineStr">
        <is>
          <t>There were two bodies of copy for the same moments — coarse strings in onboarding that the API served and nothing read, and better strings hard-coded in the panels — free to drift with no way to tell which a customer had seen.</t>
        </is>
      </c>
      <c r="G18" s="9" t="inlineStr">
        <is>
          <t>ST-079</t>
        </is>
      </c>
      <c r="H18" s="9" t="inlineStr">
        <is>
          <t>27 suites / 362 tests · 100x4</t>
        </is>
      </c>
      <c r="I18" s="9" t="inlineStr">
        <is>
          <t>Superseded</t>
        </is>
      </c>
    </row>
    <row r="19">
      <c r="A19" s="8" t="inlineStr">
        <is>
          <t>v0.23.0</t>
        </is>
      </c>
      <c r="B19" s="8" t="inlineStr">
        <is>
          <t>2026-09-13 11:51</t>
        </is>
      </c>
      <c r="C19" s="12" t="inlineStr">
        <is>
          <t>Hardening</t>
        </is>
      </c>
      <c r="D19" s="9" t="inlineStr">
        <is>
          <t>Durability, slice four — tenant feature state, split by access pattern</t>
        </is>
      </c>
      <c r="E19" s="9" t="inlineStr">
        <is>
          <t>v023 makes tenant feature state durable (Handover #18a), split by access pattern: settings in one row per account per feature, imported CSV records in their own capped table, because they are unbounded user data and settings are read on nearly every request. FeatureEngine is async as a result. v024 makes the CRM writeback queue, its audit trail and field mappings durable in the Postgres we already run — own-a-queue rather than borrow-one, with CrmStore as the whole swap surface if that changes. Adapters stay in memory on purpose: a connection is not state. v025 shares webhook dedupe across instances with an atomic claim, which was the last thing preventing MeetSync from running more than one process. Remaining process-local: notes sessions and telemetry, neither of which blocks that — see docs/PERSISTENCE.md.</t>
        </is>
      </c>
      <c r="F19" s="9" t="inlineStr">
        <is>
          <t>Settings are small, bounded and read on nearly every request; imported records are unbounded user data whose size the customer chooses. One row would have made the hottest read in the product scan the largest thing in it.</t>
        </is>
      </c>
      <c r="G19" s="9" t="inlineStr">
        <is>
          <t>Handover #18a</t>
        </is>
      </c>
      <c r="H19" s="9" t="inlineStr">
        <is>
          <t>27 suites / 390 tests · 100x4</t>
        </is>
      </c>
      <c r="I19" s="9" t="inlineStr">
        <is>
          <t>Superseded</t>
        </is>
      </c>
    </row>
    <row r="20">
      <c r="A20" s="8" t="inlineStr">
        <is>
          <t>v0.24.0</t>
        </is>
      </c>
      <c r="B20" s="8" t="inlineStr">
        <is>
          <t>2026-09-13 11:57</t>
        </is>
      </c>
      <c r="C20" s="12" t="inlineStr">
        <is>
          <t>Hardening</t>
        </is>
      </c>
      <c r="D20" s="9" t="inlineStr">
        <is>
          <t>Durability, slice five — the CRM writeback queue</t>
        </is>
      </c>
      <c r="E20" s="9" t="inlineStr">
        <is>
          <t>The CRM writeback queue, its audit trail and the field mappings moved behind a CrmStore with both implementations under one contract suite. Adapters deliberately did not move: an adapter is a live connection, not state, and is re-registered on each boot.</t>
        </is>
      </c>
      <c r="F20" s="9" t="inlineStr">
        <is>
          <t>The queue is not history, it is WORK. Losing the audit trail loses a record of what happened; losing the queue loses writes a customer believes are in flight to their CRM, silently, with the UI still showing them as queued. Decision taken as own-a-queue in the PostgreSQL already running, because the seam is the whole swap surface.</t>
        </is>
      </c>
      <c r="G20" s="9" t="inlineStr">
        <is>
          <t>Handover #18b</t>
        </is>
      </c>
      <c r="H20" s="9" t="inlineStr">
        <is>
          <t>31 suites / 497 tests · 100x4</t>
        </is>
      </c>
      <c r="I20" s="9" t="inlineStr">
        <is>
          <t>Superseded</t>
        </is>
      </c>
    </row>
    <row r="21">
      <c r="A21" s="8" t="inlineStr">
        <is>
          <t>v0.25.0</t>
        </is>
      </c>
      <c r="B21" s="8" t="inlineStr">
        <is>
          <t>2026-09-13 19:27</t>
        </is>
      </c>
      <c r="C21" s="12" t="inlineStr">
        <is>
          <t>Hardening</t>
        </is>
      </c>
      <c r="D21" s="9" t="inlineStr">
        <is>
          <t>Durability, slice six — webhook dedupe, and multi-instance capability</t>
        </is>
      </c>
      <c r="E21" s="9" t="inlineStr">
        <is>
          <t>Webhook dedupe moved to a PostgreSQL table with an atomic claim — an INSERT … ON CONFLICT that only succeeds when the existing claim has expired — rather than a shared cache. MeetSync can now run more than one instance.</t>
        </is>
      </c>
      <c r="F21" s="9" t="inlineStr">
        <is>
          <t>Dedupe was the last piece of state two instances would disagree about. A read-then-write would let both through; the claim had to be atomic in one statement.</t>
        </is>
      </c>
      <c r="G21" s="9" t="inlineStr">
        <is>
          <t>Handover #31 · multi-instance</t>
        </is>
      </c>
      <c r="H21" s="9" t="inlineStr">
        <is>
          <t>32 suites / 511 tests · 100x4</t>
        </is>
      </c>
      <c r="I21" s="9" t="inlineStr">
        <is>
          <t>Superseded</t>
        </is>
      </c>
    </row>
    <row r="22">
      <c r="A22" s="8" t="inlineStr">
        <is>
          <t>v0.26.0</t>
        </is>
      </c>
      <c r="B22" s="8" t="inlineStr">
        <is>
          <t>2026-09-13 19:36</t>
        </is>
      </c>
      <c r="C22" s="13" t="inlineStr">
        <is>
          <t>Portfolio</t>
        </is>
      </c>
      <c r="D22" s="9" t="inlineStr">
        <is>
          <t>The reachability gate becomes portable</t>
        </is>
      </c>
      <c r="E22" s="9" t="inlineStr">
        <is>
          <t>v026 makes the reachability gate portable: tools/reachability/ is product-agnostic and MeetSync runs the very module another product would drop in, so it is proven here rather than written for export. See tools/reachability/README.md.</t>
        </is>
      </c>
      <c r="F22" s="9" t="inlineStr">
        <is>
          <t>The gate had found two entire unreachable features on MeetSync in five minutes. The other eleven products in the portfolio might share the problem, and the cheapest way to find out is a drop-in file with an empty allowlist.</t>
        </is>
      </c>
      <c r="G22" s="9" t="inlineStr">
        <is>
          <t>Handover #28</t>
        </is>
      </c>
      <c r="H22" s="9" t="inlineStr">
        <is>
          <t>32 suites / 517 tests · 100x4</t>
        </is>
      </c>
      <c r="I22" s="9" t="inlineStr">
        <is>
          <t>Superseded</t>
        </is>
      </c>
    </row>
    <row r="23">
      <c r="A23" s="8" t="inlineStr">
        <is>
          <t>v0.27.0</t>
        </is>
      </c>
      <c r="B23" s="8" t="inlineStr">
        <is>
          <t>2026-09-13 19:41</t>
        </is>
      </c>
      <c r="C23" s="11" t="inlineStr">
        <is>
          <t>Review fix</t>
        </is>
      </c>
      <c r="D23" s="9" t="inlineStr">
        <is>
          <t>The observability layer actually observes</t>
        </is>
      </c>
      <c r="E23" s="9" t="inlineStr">
        <is>
          <t>v027 makes the observability layer actually observe. Error tracking, the feature heatmap, the weekly digest, the health score and the alert thresholds (ST-072..077) were all implemented, tested and called by nothing — an observability layer that observes nothing is worse than none, because its existence is taken as evidence someone is watching. Errors are now recorded by the terminal error handler, every feature route feeds the heatmap, and an operations digest rides the retention tick with operator surfaces at /analytics/ops, /analytics/thresholds and /analytics/health-score. Deliberately NOT included: a churn alert, because the health score needs per-account inputs MeetSync does not measure — see src/ops.ts.</t>
        </is>
      </c>
      <c r="F23" s="9" t="inlineStr">
        <is>
          <t>Error tracking, the feature heatmap and the ops digest had all been built and none had a caller. A churn alert whose inputs were fabricated from the tenant count was deleted rather than left in, because a dishonest alert is worse than no alert.</t>
        </is>
      </c>
      <c r="G23" s="9" t="inlineStr">
        <is>
          <t>ST-072, ST-073, ST-074</t>
        </is>
      </c>
      <c r="H23" s="9" t="inlineStr">
        <is>
          <t>32 suites / 533 tests · 100x4</t>
        </is>
      </c>
      <c r="I23" s="9" t="inlineStr">
        <is>
          <t>Superseded</t>
        </is>
      </c>
    </row>
    <row r="24">
      <c r="A24" s="8" t="inlineStr">
        <is>
          <t>v0.28.0</t>
        </is>
      </c>
      <c r="B24" s="8" t="inlineStr">
        <is>
          <t>2026-09-13 20:01</t>
        </is>
      </c>
      <c r="C24" s="11" t="inlineStr">
        <is>
          <t>Review fix</t>
        </is>
      </c>
      <c r="D24" s="9" t="inlineStr">
        <is>
          <t>Export-my-data — the other half of ST-069</t>
        </is>
      </c>
      <c r="E24" s="9" t="inlineStr">
        <is>
          <t>v028 ships export-my-data (ST-069's other half: deletion shipped in v013, export never did, and `data.export` gated nothing a customer could reach) and the billing state transitions that do not need money to move — plan change, seat prompts and cancellation with save-offer. Invoices (ST-062) and dunning (ST-060) stay deliberately unreachable and allowlisted with the reason: an invoice for money that never moved is a document about nothing, and dunning has no sender.</t>
        </is>
      </c>
      <c r="F24" s="9" t="inlineStr">
        <is>
          <t>Deletion shipped at v0.13.0; export never did, and the data.export action sat in the role matrix gating nothing a customer could reach. A product that will erase your data on request but not hand it to you has done the easier half of the promise.</t>
        </is>
      </c>
      <c r="G24" s="9" t="inlineStr">
        <is>
          <t>ST-069 (second half)</t>
        </is>
      </c>
      <c r="H24" s="9" t="inlineStr">
        <is>
          <t>32 suites / 540 tests · 100x4</t>
        </is>
      </c>
      <c r="I24" s="9" t="inlineStr">
        <is>
          <t>Superseded</t>
        </is>
      </c>
    </row>
    <row r="25">
      <c r="A25" s="8" t="inlineStr">
        <is>
          <t>v0.29.0</t>
        </is>
      </c>
      <c r="B25" s="8" t="inlineStr">
        <is>
          <t>2026-09-13 20:09</t>
        </is>
      </c>
      <c r="C25" s="11" t="inlineStr">
        <is>
          <t>Review fix</t>
        </is>
      </c>
      <c r="D25" s="9" t="inlineStr">
        <is>
          <t>The product loop, first half — transcripts actually arrive from Zoom</t>
        </is>
      </c>
      <c r="E25" s="9" t="inlineStr">
        <is>
          <t>v029 closes the product's actual loop: MeetSync now fetches transcripts from Zoom instead of requiring the caller to paste one into a request body. Verified against Zoom's docs first, and two assumptions were wrong — the event is `recording.transcript_completed`, not `recording.completed` (which fires before a transcript exists), and the download is authorised with the webhook's own `download_token`, not the account's OAuth access token. This also gives ZoomClient's retry and breaker their first caller (ST-070). ST-055 token rotation stays unexercised, because these downloads deliberately do not use the OAuth token.</t>
        </is>
      </c>
      <c r="F25" s="9" t="inlineStr">
        <is>
          <t>Until this release a transcript could only reach MeetSync by being POSTed into a request body; nothing fetched one. The premise that the product reads your meetings was carried entirely by the caller supplying the meeting.</t>
        </is>
      </c>
      <c r="G25" s="9" t="inlineStr">
        <is>
          <t>ST-070 · transcript ingestion</t>
        </is>
      </c>
      <c r="H25" s="9" t="inlineStr">
        <is>
          <t>32 suites / 542 tests · 100x4</t>
        </is>
      </c>
      <c r="I25" s="9" t="inlineStr">
        <is>
          <t>Superseded</t>
        </is>
      </c>
    </row>
    <row r="26">
      <c r="A26" s="8" t="inlineStr">
        <is>
          <t>v0.30.0</t>
        </is>
      </c>
      <c r="B26" s="8" t="inlineStr">
        <is>
          <t>2026-09-13 20:14</t>
        </is>
      </c>
      <c r="C26" s="12" t="inlineStr">
        <is>
          <t>Hardening</t>
        </is>
      </c>
      <c r="D26" s="9" t="inlineStr">
        <is>
          <t>A restore drill, not a backup</t>
        </is>
      </c>
      <c r="E26" s="9" t="inlineStr">
        <is>
          <t>v030 closes ST-090 with a restore DRILL, not a backup. Taking a snapshot proves nothing; the endpoint takes one, restores it into an empty set of stores, snapshots that and compares checksums, and answers 500 when they differ — a 200 with ok:false is the kind of thing monitoring quietly treats as success. This does NOT replace pg_dump or point-in-time recovery: it proves the application's data round-trips, not that the database can be rebuilt. See docs/RUNBOOK.md.</t>
        </is>
      </c>
      <c r="F26" s="9" t="inlineStr">
        <is>
          <t>Taking a snapshot proves nothing. The drill restores into empty stores, re-snapshots and compares checksums, and answers 500 rather than 200 with ok:false — because a 200 with ok:false is the kind of thing monitoring quietly treats as success.</t>
        </is>
      </c>
      <c r="G26" s="9" t="inlineStr">
        <is>
          <t>ST-090</t>
        </is>
      </c>
      <c r="H26" s="9" t="inlineStr">
        <is>
          <t>32 suites / 543 tests · 100x4</t>
        </is>
      </c>
      <c r="I26" s="9" t="inlineStr">
        <is>
          <t>Superseded</t>
        </is>
      </c>
    </row>
    <row r="27">
      <c r="A27" s="8" t="inlineStr">
        <is>
          <t>v0.31.0</t>
        </is>
      </c>
      <c r="B27" s="8" t="inlineStr">
        <is>
          <t>2026-09-13 20:24</t>
        </is>
      </c>
      <c r="C27" s="12" t="inlineStr">
        <is>
          <t>Hardening</t>
        </is>
      </c>
      <c r="D27" s="9" t="inlineStr">
        <is>
          <t>OAuth tokens encrypted at rest</t>
        </is>
      </c>
      <c r="E27" s="9" t="inlineStr">
        <is>
          <t>v031 encrypts OAuth tokens at rest (ST-066, AES-256-GCM, key outside the database, rotation supported via MEETSYNC_TOKEN_KEY_PREVIOUS) and fixes a defect v030 introduced: the operator backup snapshot was handing out every account row INCLUDING tokens in plain text, while the customer export three routes away excluded exactly those fields. Snapshots now carry no credentials at all, and a restored account is flagged `needsReauthorisation` — a refresh token rotates on every use, so one recovered from a day-old backup is dead anyway, and restoring it would look like a working install until the first API call failed.</t>
        </is>
      </c>
      <c r="F27" s="9" t="inlineStr">
        <is>
          <t>A database dump was a set of working Zoom credentials. AES-256-GCM with the key outside the database, rotation support, and boot-time key validation so a bad key is found before a customer sees it.</t>
        </is>
      </c>
      <c r="G27" s="9" t="inlineStr">
        <is>
          <t>ST-066</t>
        </is>
      </c>
      <c r="H27" s="9" t="inlineStr">
        <is>
          <t>33 suites / 556 tests · 100x4</t>
        </is>
      </c>
      <c r="I27" s="9" t="inlineStr">
        <is>
          <t>Superseded</t>
        </is>
      </c>
    </row>
    <row r="28">
      <c r="A28" s="8" t="inlineStr">
        <is>
          <t>v0.32.0</t>
        </is>
      </c>
      <c r="B28" s="8" t="inlineStr">
        <is>
          <t>2026-09-13 20:36</t>
        </is>
      </c>
      <c r="C28" s="14" t="inlineStr">
        <is>
          <t>Self-review</t>
        </is>
      </c>
      <c r="D28" s="9" t="inlineStr">
        <is>
          <t>Reviewing the day's own work — two defects, both introduced by fixes</t>
        </is>
      </c>
      <c r="E28" s="9" t="inlineStr">
        <is>
          <t>v032 is a self-review of the code written today (v013-v031) and fixes two defects in it. SR-01: the tenant registry created at M-F04 held one object graph per account ever seen and evicted nothing — the same unbounded-ledger class M-F14 fixed across eight collections, reintroduced by the fix for a different finding. Since v023 the graph is a cache over durable state, so it now evicts the least recently used. SR-02: CRM job ids came from COUNT(*) + 1, so trimming at the cap lowered the count until an id collided with a live job, and two instances enqueueing together agreed on the same id — either way the upsert silently replaced a queued writeback, which contradicted the multi-instance claim made at v025. The store allocates ids now.</t>
        </is>
      </c>
      <c r="F28" s="9" t="inlineStr">
        <is>
          <t>A new standing step: review the code written in the previous sitting. It found that the M-F04 tenancy fix had reintroduced the unbounded-ledger class fixed at M-F14, and that CRM job ids derived from COUNT(*)+1 could collide.</t>
        </is>
      </c>
      <c r="G28" s="9" t="inlineStr">
        <is>
          <t>SR-01, SR-02</t>
        </is>
      </c>
      <c r="H28" s="9" t="inlineStr">
        <is>
          <t>33 suites / 562 tests · 100x4</t>
        </is>
      </c>
      <c r="I28" s="9" t="inlineStr">
        <is>
          <t>Superseded</t>
        </is>
      </c>
    </row>
    <row r="29">
      <c r="A29" s="8" t="inlineStr">
        <is>
          <t>v0.33.0</t>
        </is>
      </c>
      <c r="B29" s="8" t="inlineStr">
        <is>
          <t>2026-09-13 20:46</t>
        </is>
      </c>
      <c r="C29" s="14" t="inlineStr">
        <is>
          <t>Self-review</t>
        </is>
      </c>
      <c r="D29" s="9" t="inlineStr">
        <is>
          <t>Two findings, both the same failure: claiming more than is true</t>
        </is>
      </c>
      <c r="E29" s="9" t="inlineStr">
        <is>
          <t>v033 is the standing review of the previous sitting (handover #28), applied to v032 — and both of that sitting's fixes had problems. SR-03: the SR-02 fix inserted a placeholder row before updating it to its real id, so two concurrent enqueues for one account collided on the placeholder and the second INSERT failed outright. A race replaced by a louder race. The sequence is the identity now, so there is nothing to allocate separately. That change is a BREAKING SCHEMA CHANGE to crm_jobs — see docs/RUNBOOK.md. SR-04: evicting a tenant also discarded its registered CRM adapters, so a workspace's writebacks would start failing once enough other workspaces were active.</t>
        </is>
      </c>
      <c r="F29" s="9" t="inlineStr">
        <is>
          <t>The standing review applied to v0.32.0. Both findings were claims — a trust page asserting a property the deployment might not have, and a breaking schema change that had not been written down.</t>
        </is>
      </c>
      <c r="G29" s="9" t="inlineStr">
        <is>
          <t>SR-03, SR-04</t>
        </is>
      </c>
      <c r="H29" s="9" t="inlineStr">
        <is>
          <t>33 suites / 563 tests · 100x4</t>
        </is>
      </c>
      <c r="I29" s="9" t="inlineStr">
        <is>
          <t>Superseded</t>
        </is>
      </c>
    </row>
    <row r="30">
      <c r="A30" s="8" t="inlineStr">
        <is>
          <t>v0.34.0</t>
        </is>
      </c>
      <c r="B30" s="8" t="inlineStr">
        <is>
          <t>2026-09-13 20:49</t>
        </is>
      </c>
      <c r="C30" s="14" t="inlineStr">
        <is>
          <t>Self-review</t>
        </is>
      </c>
      <c r="D30" s="9" t="inlineStr">
        <is>
          <t>The worst defect of the series — cross-tenant data movement through restore</t>
        </is>
      </c>
      <c r="E30" s="9" t="inlineStr">
        <is>
          <t>v034 is the review of v033, and it found the worst defect of the series. SR-05: `restoreJob`, added one sitting earlier, resolved an id collision by overwriting the row's `account_id` — so restoring one account's queue onto a store that already held that id MOVED another account's queued writeback across, and the original owner lost it. Cross-tenant data movement through the restore path, proved against the live database. A restore now refuses a collision rather than resolving it. SR-06: the two CrmStore implementations allocated ids from different spaces (per-account in memory, one global sequence in Postgres), so the contract suite guaranteed identical behaviour everywhere except the identifiers — which is exactly where SR-05 mattered. One id space now.</t>
        </is>
      </c>
      <c r="F30" s="9" t="inlineStr">
        <is>
          <t>restoreJob, added one release earlier to keep ids the audit trail references, would silently move another account's queued writeback to the restoring account on an id collision. The M-F04 class arriving through a new door.</t>
        </is>
      </c>
      <c r="G30" s="9" t="inlineStr">
        <is>
          <t>SR-05, SR-06</t>
        </is>
      </c>
      <c r="H30" s="9" t="inlineStr">
        <is>
          <t>34 suites / 572 tests · 100x4</t>
        </is>
      </c>
      <c r="I30" s="9" t="inlineStr">
        <is>
          <t>Superseded</t>
        </is>
      </c>
    </row>
    <row r="31">
      <c r="A31" s="8" t="inlineStr">
        <is>
          <t>v0.35.0</t>
        </is>
      </c>
      <c r="B31" s="8" t="inlineStr">
        <is>
          <t>2026-09-13 21:53</t>
        </is>
      </c>
      <c r="C31" s="14" t="inlineStr">
        <is>
          <t>Self-review</t>
        </is>
      </c>
      <c r="D31" s="9" t="inlineStr">
        <is>
          <t>Restore was not atomic</t>
        </is>
      </c>
      <c r="E31" s="9" t="inlineStr">
        <is>
          <t>v035 is the review of v034. SR-07: `restoreSnapshot` is not atomic — there is no transaction around its writes, because the stores are interfaces and none exposes one — and nothing said so. A failure part-way through leaves the target holding some of the snapshot and some of what it had, with nothing recording which. On an empty target that is recoverable; on a live one it is a silent merge of two points in time, worse than either. Restoring onto live data is now refused rather than supported badly: provision an empty database, restore into it, cut over.</t>
        </is>
      </c>
      <c r="F31" s="9" t="inlineStr">
        <is>
          <t>There was no transaction around the restore, so a failure part-way left a half-restored database — the state a restore exists to escape.</t>
        </is>
      </c>
      <c r="G31" s="9" t="inlineStr">
        <is>
          <t>SR-07</t>
        </is>
      </c>
      <c r="H31" s="9" t="inlineStr">
        <is>
          <t>34 suites / 574 tests · 100x4</t>
        </is>
      </c>
      <c r="I31" s="9" t="inlineStr">
        <is>
          <t>Superseded</t>
        </is>
      </c>
    </row>
    <row r="32">
      <c r="A32" s="8" t="inlineStr">
        <is>
          <t>v0.36.0</t>
        </is>
      </c>
      <c r="B32" s="8" t="inlineStr">
        <is>
          <t>2026-09-13 22:49</t>
        </is>
      </c>
      <c r="C32" s="14" t="inlineStr">
        <is>
          <t>Self-review</t>
        </is>
      </c>
      <c r="D32" s="9" t="inlineStr">
        <is>
          <t>A guard that inspected the wrong thing</t>
        </is>
      </c>
      <c r="E32" s="9" t="inlineStr">
        <is>
          <t>v036 closes the self-review chain. SR-08: the "target is empty" guard added in v035 inspected one store out of five, so a target carrying subscriptions or audit rows from a previous attempt would have passed it and merged. It now checks every store that can be enumerated globally; feature state and CRM rows cannot be, because both are addressed by account — documented in src/backup.ts rather than left for a reader to discover.</t>
        </is>
      </c>
      <c r="F32" s="9" t="inlineStr">
        <is>
          <t>The emptiness guard added the release before checked one store and drew a conclusion about all of them.</t>
        </is>
      </c>
      <c r="G32" s="9" t="inlineStr">
        <is>
          <t>SR-08</t>
        </is>
      </c>
      <c r="H32" s="9" t="inlineStr">
        <is>
          <t>35 suites / 589 tests · 100x4</t>
        </is>
      </c>
      <c r="I32" s="9" t="inlineStr">
        <is>
          <t>Superseded</t>
        </is>
      </c>
    </row>
    <row r="33">
      <c r="A33" s="8" t="inlineStr">
        <is>
          <t>v0.37.0</t>
        </is>
      </c>
      <c r="B33" s="8" t="inlineStr">
        <is>
          <t>2026-09-13 22:56</t>
        </is>
      </c>
      <c r="C33" s="12" t="inlineStr">
        <is>
          <t>Hardening</t>
        </is>
      </c>
      <c r="D33" s="9" t="inlineStr">
        <is>
          <t>Published latency budgets get something measuring them</t>
        </is>
      </c>
      <c r="E33" s="9" t="inlineStr">
        <is>
          <t>v037 closes ST-087. docs/PERF_BUDGETS.md had declared p95 budgets since 5 Sep and named two enforcers: a k6 threshold never run against a deployment, and "PostHog + Sentry", which appear nowhere in this codebase and never have. The budgets were enforced by nothing while the document said otherwise. src/latency.ts measures p95 per route pattern and the operations digest raises a latency_breach naming the route and both numbers. It measures SERVER HANDLING TIME ONLY — not what a customer experiences — and the document now says so instead of implying otherwise.</t>
        </is>
      </c>
      <c r="F33" s="9" t="inlineStr">
        <is>
          <t>docs/PERF_BUDGETS.md had declared p95 budgets since 5 Sep and nothing in the code measured a single request against them.</t>
        </is>
      </c>
      <c r="G33" s="9" t="inlineStr">
        <is>
          <t>ST-087</t>
        </is>
      </c>
      <c r="H33" s="9" t="inlineStr">
        <is>
          <t>35 suites / 590 tests · 100x4</t>
        </is>
      </c>
      <c r="I33" s="9" t="inlineStr">
        <is>
          <t>Superseded</t>
        </is>
      </c>
    </row>
    <row r="34">
      <c r="A34" s="8" t="inlineStr">
        <is>
          <t>v0.38.0</t>
        </is>
      </c>
      <c r="B34" s="8" t="inlineStr">
        <is>
          <t>2026-09-13 23:05</t>
        </is>
      </c>
      <c r="C34" s="14" t="inlineStr">
        <is>
          <t>Self-review</t>
        </is>
      </c>
      <c r="D34" s="9" t="inlineStr">
        <is>
          <t>An abandoned request was never timed</t>
        </is>
      </c>
      <c r="E34" s="9" t="inlineStr">
        <is>
          <t>v038: the v037 timing middleware listened only for 'finish', so a request the client abandoned was never recorded — and a request slow enough to be abandoned is exactly the one a latency budget exists to catch, which biased the p95 optimistic on the pathological cases. Abandoned requests get their own label now. Also ST-096: the trust page existed only as a file in docs/ and is now served at /trust from the same config the product enforces, so what it states about residency and retention cannot drift from what the code does.</t>
        </is>
      </c>
      <c r="F34" s="9" t="inlineStr">
        <is>
          <t>The timing middleware listened only for finish, so exactly the slow requests worth measuring — the ones the client gave up on — were the ones that went unrecorded.</t>
        </is>
      </c>
      <c r="G34" s="9" t="inlineStr">
        <is>
          <t>ST-087 (correction)</t>
        </is>
      </c>
      <c r="H34" s="9" t="inlineStr">
        <is>
          <t>35 suites / 591 tests · 100x4</t>
        </is>
      </c>
      <c r="I34" s="9" t="inlineStr">
        <is>
          <t>Superseded</t>
        </is>
      </c>
    </row>
    <row r="35">
      <c r="A35" s="8" t="inlineStr">
        <is>
          <t>v0.39.0</t>
        </is>
      </c>
      <c r="B35" s="8" t="inlineStr">
        <is>
          <t>2026-09-13 23:10</t>
        </is>
      </c>
      <c r="C35" s="14" t="inlineStr">
        <is>
          <t>Self-review</t>
        </is>
      </c>
      <c r="D35" s="9" t="inlineStr">
        <is>
          <t>The trust page asserted encryption unconditionally</t>
        </is>
      </c>
      <c r="E35" s="9" t="inlineStr">
        <is>
          <t>v039: the /trust page shipped in v038 asserted `tokensEncryptedAtRest: true` unconditionally. Encryption at rest depends on the account store having been given a cipher — the in-memory store never has one — so the page a customer reads to decide whether to trust us was publishing a security property the deployment might not have. It reports what was actually configured now.</t>
        </is>
      </c>
      <c r="F35" s="9" t="inlineStr">
        <is>
          <t>tokensEncryptedAtRest was hardcoded true. Encryption depends on the account store having been given a cipher, which the in-memory store never has — so a public page was asserting a security property the deployment might not have. The one page that must never overstate is the page a customer reads to decide whether to trust us.</t>
        </is>
      </c>
      <c r="G35" s="9" t="inlineStr">
        <is>
          <t>ST-096 (correction)</t>
        </is>
      </c>
      <c r="H35" s="9" t="inlineStr">
        <is>
          <t>35 suites / 591 tests · 100x4</t>
        </is>
      </c>
      <c r="I35" s="9" t="inlineStr">
        <is>
          <t>Superseded</t>
        </is>
      </c>
    </row>
    <row r="36">
      <c r="A36" s="8" t="inlineStr">
        <is>
          <t>v0.40.0</t>
        </is>
      </c>
      <c r="B36" s="8" t="inlineStr">
        <is>
          <t>2026-09-13 23:12</t>
        </is>
      </c>
      <c r="C36" s="12" t="inlineStr">
        <is>
          <t>Hardening</t>
        </is>
      </c>
      <c r="D36" s="9" t="inlineStr">
        <is>
          <t>Operational alerts leave the building</t>
        </is>
      </c>
      <c r="E36" s="9" t="inlineStr">
        <is>
          <t>v040 closes ST-072 properly: operational alerts can now be POSTed to a webhook the operator supplies (MEETSYNC_ALERT_WEBHOOK, https only — an alert body names the account in trouble). A webhook rather than an integration, because choosing Slack or PagerDuty for you is not my decision and is one more thing to deploy. It is at-most-once, fire-and-forget and not a paging system; those limits are written where the sink is read. Without a URL configured, alerts stay readable at /analytics/ops and nothing is claimed beyond that.</t>
        </is>
      </c>
      <c r="F36" s="9" t="inlineStr">
        <is>
          <t>ST-072 had been marked done for alerts that only an operator happening to look at a dashboard would ever see.</t>
        </is>
      </c>
      <c r="G36" s="9" t="inlineStr">
        <is>
          <t>ST-072</t>
        </is>
      </c>
      <c r="H36" s="9" t="inlineStr">
        <is>
          <t>35 suites / 591 tests · 100x4</t>
        </is>
      </c>
      <c r="I36" s="9" t="inlineStr">
        <is>
          <t>Superseded</t>
        </is>
      </c>
    </row>
    <row r="37">
      <c r="A37" s="8" t="inlineStr">
        <is>
          <t>v0.41.0</t>
        </is>
      </c>
      <c r="B37" s="8" t="inlineStr">
        <is>
          <t>2026-09-13 23:13</t>
        </is>
      </c>
      <c r="C37" s="14" t="inlineStr">
        <is>
          <t>Self-review</t>
        </is>
      </c>
      <c r="D37" s="9" t="inlineStr">
        <is>
          <t>A correct rule with a false justification</t>
        </is>
      </c>
      <c r="E37" s="9" t="inlineStr">
        <is>
          <t>v041: the v040 https-only rule was justified by saying alert bodies name the account in trouble. They do not, and never have. The rule is right and the reason was false. The reason is corrected, and the property it claimed — that alerts carry no tenant identity — is now an invariant of OpsAlert with a test behind it rather than a sentence in a comment, because a webhook typically points at a shared chat channel.</t>
        </is>
      </c>
      <c r="F37" s="9" t="inlineStr">
        <is>
          <t>The https-only rule for the alert webhook was right; the reason written in three places for why it was right described a property the alert body did not have. A rule defended by a false statement is a rule that will be relaxed by whoever notices the statement is false.</t>
        </is>
      </c>
      <c r="G37" s="9" t="inlineStr">
        <is>
          <t>ST-072 (justification)</t>
        </is>
      </c>
      <c r="H37" s="9" t="inlineStr">
        <is>
          <t>35 suites / 591 tests · 100x4</t>
        </is>
      </c>
      <c r="I37" s="9" t="inlineStr">
        <is>
          <t>Superseded</t>
        </is>
      </c>
    </row>
    <row r="38">
      <c r="A38" s="8" t="inlineStr">
        <is>
          <t>v0.42.0</t>
        </is>
      </c>
      <c r="B38" s="8" t="inlineStr">
        <is>
          <t>2026-09-13 22:49</t>
        </is>
      </c>
      <c r="C38" s="12" t="inlineStr">
        <is>
          <t>Hardening</t>
        </is>
      </c>
      <c r="D38" s="9" t="inlineStr">
        <is>
          <t>The health score measures something</t>
        </is>
      </c>
      <c r="E38" s="9" t="inlineStr">
        <is>
          <t>v042 closes ST-075 and earns back the churn alert v027 deleted. Activity is now recorded per account as distinct ACTIVE DAYS (six visits beat one busy afternoon), so the health score runs on measured inputs instead of ones a caller supplies. Open tickets remain unmeasured — MeetSync has no ticketing integration — so the support component is EXCLUDED rather than awarded, and the score is out of 80 with `maxScore` saying so. Awarding it would make every account look 20 points healthier than the evidence supports, which is the wrong direction for a churn signal. The digest alerts with a COUNT and never an account id (OpsAlert invariant); the list is behind the operator token at /analytics/at-risk, and an account can read its own at /orgs/:id/health.</t>
        </is>
      </c>
      <c r="F38" s="9" t="inlineStr">
        <is>
          <t>ST-075 had a score built on inputs a caller supplied. Activity is now recorded per account as distinct active days, and the support component — which MeetSync cannot measure, having no ticketing integration — is excluded rather than awarded.</t>
        </is>
      </c>
      <c r="G38" s="9" t="inlineStr">
        <is>
          <t>ST-075</t>
        </is>
      </c>
      <c r="H38" s="9" t="inlineStr">
        <is>
          <t>35 suites / 589 tests · 100x4</t>
        </is>
      </c>
      <c r="I38" s="9" t="inlineStr">
        <is>
          <t>Superseded</t>
        </is>
      </c>
    </row>
    <row r="39">
      <c r="A39" s="8" t="inlineStr">
        <is>
          <t>v0.43.0</t>
        </is>
      </c>
      <c r="B39" s="8" t="inlineStr">
        <is>
          <t>2026-09-13 22:56</t>
        </is>
      </c>
      <c r="C39" s="14" t="inlineStr">
        <is>
          <t>Self-review</t>
        </is>
      </c>
      <c r="D39" s="9" t="inlineStr">
        <is>
          <t>SR-01 made again, six hours after writing it up</t>
        </is>
      </c>
      <c r="E39" s="9" t="inlineStr">
        <is>
          <t>v043 fixes two things in v042. The per-account activity map evicted the account seen FIRST rather than the one active least recently, so a daily user could be dropped in favour of one that appeared once — the same mistake as SR-01, made again the same day. And `no_subscription` was scored as bad billing, which marked every fresh install as a churn risk within a day or two; it is the ordinary state of a workspace that just installed, so those accounts now score out of 50 with billing reported as null and are excluded from the at-risk list. A lapsed subscription is still very much distinguished from one that never started.</t>
        </is>
      </c>
      <c r="F39" s="9" t="inlineStr">
        <is>
          <t>The per-account activity map evicted the account seen first rather than the one active least recently — the same mistake as SR-01, the same day. And no_subscription was scored as bad billing, marking every fresh install as a churn risk within days.</t>
        </is>
      </c>
      <c r="G39" s="9" t="inlineStr">
        <is>
          <t>SR-01 (repeat), ST-075</t>
        </is>
      </c>
      <c r="H39" s="9" t="inlineStr">
        <is>
          <t>35 suites / 590 tests · 100x4</t>
        </is>
      </c>
      <c r="I39" s="9" t="inlineStr">
        <is>
          <t>Superseded</t>
        </is>
      </c>
    </row>
    <row r="40">
      <c r="A40" s="8" t="inlineStr">
        <is>
          <t>v0.44.0</t>
        </is>
      </c>
      <c r="B40" s="8" t="inlineStr">
        <is>
          <t>2026-09-13 23:05</t>
        </is>
      </c>
      <c r="C40" s="14" t="inlineStr">
        <is>
          <t>Self-review</t>
        </is>
      </c>
      <c r="D40" s="9" t="inlineStr">
        <is>
          <t>A threshold that meant something different per account</t>
        </is>
      </c>
      <c r="E40" s="9" t="inlineStr">
        <is>
          <t>v044: excluding unmeasurable components from the health score moved the maximum without moving the threshold an operator sets. A configured churnSignalScore of 30 had silently become 37.5% of maximum on the 80-point scale, and would have been 60% on the 50-point pre-trial one — so the same setting meant a different thing per account, depending on which components happened to be measurable for it. The score is normalised to 100 before the comparison, so the number means what its documentation says.</t>
        </is>
      </c>
      <c r="F40" s="9" t="inlineStr">
        <is>
          <t>Two defensible decisions combined into a defect: excluding unmeasurable components moved the maximum without moving the threshold an operator sets, so a configured 30 silently meant 37.5% on one scale and 60% on another.</t>
        </is>
      </c>
      <c r="G40" s="9" t="inlineStr">
        <is>
          <t>ST-075, ST-077</t>
        </is>
      </c>
      <c r="H40" s="9" t="inlineStr">
        <is>
          <t>35 suites / 591 tests · 100x4</t>
        </is>
      </c>
      <c r="I40" s="9" t="inlineStr">
        <is>
          <t>Superseded by v0.45.0</t>
        </is>
      </c>
    </row>
    <row r="41">
      <c r="A41" s="15" t="inlineStr">
        <is>
          <t>v0.45.0</t>
        </is>
      </c>
      <c r="B41" s="15" t="inlineStr">
        <is>
          <t>2026-09-20 12:29</t>
        </is>
      </c>
      <c r="C41" s="16" t="inlineStr">
        <is>
          <t>External-review response</t>
        </is>
      </c>
      <c r="D41" s="17" t="inlineStr">
        <is>
          <t>S13 closed in full, S14 closed in code — the first review from outside the repository</t>
        </is>
      </c>
      <c r="E41" s="17" t="inlineStr">
        <is>
          <t>v045 is the response to the first review that did not come from inside this repository. The 16 Sep external review (Perplexity, `perplexity_review_V001`) read the code and then checked what the artefacts around it claimed, and found fourteen things (PR-01 … PR-14), three of them CRITICAL. Its diagnosis of the review programme was fair: every pass from v013 to v044 asked "is this module correct?" or "what calls this?", questions answerable from inside the repository, and the findings clustered exactly where those questions cannot reach. This release closes sprint S13 (trust and tenancy) in full and S14 (the product loop) in code, and takes the process lesson as a standing gate rather than a paragraph. The one that matters most: PR-01. `/oauth/start` took the workspace id from the caller's query string and the callback installed whatever Zoom login completed OAuth onto that id, minting an owner session for it. The signature on `state` proved the server issued the state; it could not prove the caller owned the account, and every test asserted the account it supplied came back — the suite asserted the vulnerability as intended behaviour, the VER-M01 shape again. Tenant identity now comes from Zoom's `GET /users/me` with the token Zoom just issued; the query string is an attribution hint that is refused with a 403 and an audit row when it disagrees, and `installAccount` re-checks the invariant so the store is the last place the class can be stopped. The rule is written down in `docs/THREAT_MODEL.md` as the first standing rule. The session also names a real Zoom user and role now (PR-08) rather than `owner@&lt;accountId&gt;`, which means the audit log answers "who". Sessions live sixty minutes, carry a `jti`, and can be revoked one at a time or per workspace; they arrive in an HttpOnly cookie rather than a URL fragment (PR-10). Uninstall and delete-my-data end every session. Security headers with a CSP that admits the Zoom client as frame ancestor, an explicit CORS allowlist, a 256 KB body limit and token-bucket rate limits per IP, per account and for the operator surface are all dependency-free and exercised by the suite. The operator routes sit on their own router with a credential that rotates in place. The purge-target list — which had drifted into two, with the explicit erasure path the weaker one (PR-06) — is one factory with a test asserting the two paths match. `/trust` is served from `src/claims.ts` and `docs/TRUST_PAGE.md` is checked against it in `test/claims.test.ts` (PR-07): PostHog, Sentry and Stripe are gone from the page because nothing sends them data, the four granular scopes are named, and residency is stated as a label until ST-145 makes it a boundary. The product loop closes. The React panels used to hold local state and call nothing (PR-03); the typed client now covers every route and each panel reads and writes through it, with optimistic updates that roll back on refusal, and the RTL suite drives a fake server rather than hand-passed props. A second reachability gate (`tools/reachability/routes.ts`) fails the build when a route in `app.ts` has no client method and no reasoned exemption — GAP-3 made permanent on the other side of the boundary. Ingestion no longer stops at "derived" (PR-04): when a CRM is connected and mapped, a meeting's fields are staged for review (on by default) and an Approve on the new review screen enqueues exactly one job, however many times Zoom redelivers; with review off they queue on ingest. Notes and insights are durable (PR-13) behind the same two-implementation contract suite as every other store — which caught a real divergence on its first run: the in-memory revocation store let a second revoke shorten a deny row's expiry, and the SQL one did not. There is a mail transport behind a `Sender` seam (ST-115); an `email` notification row is written only after the transport says yes, and when none is configured the outcome is recorded as `no_sender` rather than faked. The funnel has an `activated` stage — first approved CRM writeback — and trial conversion is cohorted by trial-start week (PR-14). What v045 does not do, said plainly: there is still no model, no ASR and no live CRM OAuth (PR-02 and S15–S17 await the decisions in the tracker's Decisions sheet); the pricing page carries a DECISION PENDING banner rather than a resolution (PR-05); residency, SSO, SOC 2 and a penetration test are listed under "Not yet" on the trust page because that is where they are.</t>
        </is>
      </c>
      <c r="F41" s="17" t="inlineStr">
        <is>
          <t>On 16 Sep an external reviewer read the code and then checked the claims made around it, raising 14 findings including a cross-tenant account takeover in the install flow. The reviewer's diagnosis of the programme was accepted: every pass from v0.13.0 to v0.44.0 asked questions answerable from inside the repository, and the findings clustered exactly where those questions cannot reach. The answer was two more standing gates, not more self-review.</t>
        </is>
      </c>
      <c r="G41" s="17" t="inlineStr">
        <is>
          <t>PR-01, PR-03, PR-04, PR-06, PR-07, PR-08, PR-10, PR-13, PR-14, SR-09 · ST-101…115, ST-141</t>
        </is>
      </c>
      <c r="H41" s="17" t="inlineStr">
        <is>
          <t>40 suites / 712 tests · 100x4</t>
        </is>
      </c>
      <c r="I41" s="17" t="inlineStr">
        <is>
          <t>CURRENT</t>
        </is>
      </c>
    </row>
    <row r="43">
      <c r="A43" s="18" t="inlineStr">
        <is>
          <t>38 released versions. v0.01.0 to v0.07.0 in the shared artefact counter were product-workbook and planning documents, not code; the first code release was v0.08.0.</t>
        </is>
      </c>
    </row>
  </sheetData>
  <autoFilter ref="A3:I3"/>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70" customWidth="1" min="3" max="3"/>
    <col width="116" customWidth="1" min="4" max="4"/>
    <col width="52" customWidth="1" min="5" max="5"/>
    <col width="54" customWidth="1" min="6" max="6"/>
    <col width="20" customWidth="1" min="7" max="7"/>
  </cols>
  <sheetData>
    <row r="1" ht="22" customHeight="1">
      <c r="A1" s="1" t="inlineStr">
        <is>
          <t>PENDING VERSIONS — what is not done, and the exact reason</t>
        </is>
      </c>
    </row>
    <row r="2" ht="30" customHeight="1">
      <c r="A2" s="6" t="inlineStr">
        <is>
          <t>HOW TO USE THIS SHEET — THE DECISION SHEET. Every row names one specific thing that must happen before that release can start, and who owns it. Four of the nine are blocked on a decision only Senthil can make.</t>
        </is>
      </c>
    </row>
    <row r="3">
      <c r="A3" s="7" t="inlineStr">
        <is>
          <t>Planned version</t>
        </is>
      </c>
      <c r="B3" s="7" t="inlineStr">
        <is>
          <t>Triggered by</t>
        </is>
      </c>
      <c r="C3" s="7" t="inlineStr">
        <is>
          <t>Scope</t>
        </is>
      </c>
      <c r="D3" s="7" t="inlineStr">
        <is>
          <t>Why it is pending — the reason in full</t>
        </is>
      </c>
      <c r="E3" s="7" t="inlineStr">
        <is>
          <t>Blocked on (owner)</t>
        </is>
      </c>
      <c r="F3" s="7" t="inlineStr">
        <is>
          <t>What it unblocks</t>
        </is>
      </c>
      <c r="G3" s="7" t="inlineStr">
        <is>
          <t>Earliest start</t>
        </is>
      </c>
    </row>
    <row r="4">
      <c r="A4" s="8" t="inlineStr">
        <is>
          <t>v0.46.0</t>
        </is>
      </c>
      <c r="B4" s="8" t="inlineStr">
        <is>
          <t>On Zoom dev app</t>
        </is>
      </c>
      <c r="C4" s="9" t="inlineStr">
        <is>
          <t>S14 live verification — install once against a real Zoom account and verify the webhook half of the product loop end to end</t>
        </is>
      </c>
      <c r="D4" s="9" t="inlineStr">
        <is>
          <t>Nothing in S14 has ever run against Zoom. The code is complete and pinned by 712 tests, but no Zoom account has installed this app, so the webhook signature format, the transcript download token and the SDK handshake are all verified against documentation rather than against the platform. The PD-05 hold that kept this release back has LIFTED now that S13 is closed — installing a takeover-vulnerable app was the reason to wait, and that reason is gone.</t>
        </is>
      </c>
      <c r="E4" s="19" t="inlineStr">
        <is>
          <t>Senthil — Handover #2 (Zoom Marketplace dev app: client id, client secret, webhook secret)</t>
        </is>
      </c>
      <c r="F4" s="9" t="inlineStr">
        <is>
          <t>Converts ST-101/102/103/111/113/114 from Done-in-code to verified; unblocks 7 pending-live stories; the panel stops being RTL-tested-only</t>
        </is>
      </c>
      <c r="G4" s="9" t="inlineStr">
        <is>
          <t>Immediately on credentials</t>
        </is>
      </c>
    </row>
    <row r="5">
      <c r="A5" s="8" t="inlineStr">
        <is>
          <t>v0.47.0</t>
        </is>
      </c>
      <c r="B5" s="8" t="inlineStr">
        <is>
          <t>On PD-01</t>
        </is>
      </c>
      <c r="C5" s="9" t="inlineStr">
        <is>
          <t>ST-136 — resolve the pricing model and make the served matrix, the pricing page, the listing and the website agree</t>
        </is>
      </c>
      <c r="D5" s="9" t="inlineStr">
        <is>
          <t>The code bills per seat and the pricing page reads as flat monthly prices — a 50x disagreement at the Team tier (PR-05). This is a decision, not a build: one line of arithmetic follows from it. The page currently carries a DECISION PENDING banner that the claim gate enforces, so neither reading can be published by accident. HubSpot listing rules require the listed price to match the website, so this also gates the second marketplace.</t>
        </is>
      </c>
      <c r="E5" s="19" t="inlineStr">
        <is>
          <t>Senthil — decision PD-01 (per-seat or flat, and the number; recommendation on file is per-seat $12–$18/seat/month with a 5-seat minimum)</t>
        </is>
      </c>
      <c r="F5" s="9" t="inlineStr">
        <is>
          <t>S18 entirely; the HubSpot listing; the banner comes off the pricing page</t>
        </is>
      </c>
      <c r="G5" s="9" t="inlineStr">
        <is>
          <t>Same day as the decision</t>
        </is>
      </c>
    </row>
    <row r="6">
      <c r="A6" s="8" t="inlineStr">
        <is>
          <t>v0.48.0</t>
        </is>
      </c>
      <c r="B6" s="8" t="inlineStr">
        <is>
          <t>On PD-02</t>
        </is>
      </c>
      <c r="C6" s="9" t="inlineStr">
        <is>
          <t>S15 — the intelligence layer: model provider abstraction, structured extraction with evidence spans, CRM-field summaries, an evaluation harness with a CI floor, injection guards, PII redaction, cost caps and a model transparency surface (ST-116…123, 42 pts)</t>
        </is>
      </c>
      <c r="D6" s="9" t="inlineStr">
        <is>
          <t>There is no model, no ASR and no NLP anywhere in the product; extraction is a five-phrase substring matcher (PR-02). Building this is not a small change — it brings a provider dependency, a per-meeting cost, an evaluation discipline, a prompt-injection threat surface and a new set of trust-page claims. The alternative is to reposition MeetSync as a deterministic rules engine, which is a legitimate and honest product with a different pitch, a different price and a much smaller scope. Until that choice is made, building either way is a guess.</t>
        </is>
      </c>
      <c r="E6" s="19" t="inlineStr">
        <is>
          <t>Senthil — decision PD-02 (build the intelligence, or reposition as a rules engine)</t>
        </is>
      </c>
      <c r="F6" s="9" t="inlineStr">
        <is>
          <t>42 points directly, and it gates S16 (a further 29); determines the listing copy and the price</t>
        </is>
      </c>
      <c r="G6" s="9" t="inlineStr">
        <is>
          <t>On the decision</t>
        </is>
      </c>
    </row>
    <row r="7">
      <c r="A7" s="8" t="inlineStr">
        <is>
          <t>v0.49.0</t>
        </is>
      </c>
      <c r="B7" s="8" t="inlineStr">
        <is>
          <t>On PD-02 + corpus</t>
        </is>
      </c>
      <c r="C7" s="9" t="inlineStr">
        <is>
          <t>S16 — the Indic wedge: language-aware signal detection, Indic ASR provider integration, Hinglish code-switch handling, a published WER and field-accuracy benchmark, and a localised surface (ST-124…128, 29 pts)</t>
        </is>
      </c>
      <c r="D7" s="9" t="inlineStr">
        <is>
          <t>Two things are missing and only one of them is a decision. The first is PD-02 — without a model path there is nothing to put an ASR in front of. The second is a corpus: the benchmark that would make this claim defensible needs at least fifty real Indian-language sales calls with consent to use them, and no such corpus exists. This is the most defensible claim MeetSync could make and the least built part of it; the WER ruler has been in the code since S8 with nothing to measure.</t>
        </is>
      </c>
      <c r="E7" s="19" t="inlineStr">
        <is>
          <t>Senthil — PD-02, plus a consented corpus of real Hindi/Tamil/Hinglish sales calls</t>
        </is>
      </c>
      <c r="F7" s="9" t="inlineStr">
        <is>
          <t>The listing's central claim; the only part of the wedge Zoom's free bundle does not already cover</t>
        </is>
      </c>
      <c r="G7" s="9" t="inlineStr">
        <is>
          <t>On the decision and the corpus</t>
        </is>
      </c>
    </row>
    <row r="8">
      <c r="A8" s="8" t="inlineStr">
        <is>
          <t>v0.50.0</t>
        </is>
      </c>
      <c r="B8" s="8" t="inlineStr">
        <is>
          <t>On CRM credentials</t>
        </is>
      </c>
      <c r="C8" s="9" t="inlineStr">
        <is>
          <t>S17 — live CRM depth: authorization-code OAuth for HubSpot, Salesforce and Zoho, object and field discovery, a mapping UI with dry-run and diff, association and multi-object writeback, a failure surface with replay, and the HubSpot marketplace listing (ST-129…135, 39 pts)</t>
        </is>
      </c>
      <c r="D8" s="9" t="inlineStr">
        <is>
          <t>This is the only major pending release blocked purely on access rather than on a decision. Three sandbox adapters exist and have been exercised; zero live OAuth flows exist and no real CRM has ever received a write from MeetSync. Everything downstream — field discovery, type validation, picklist checks, provider rate-limit compliance, the 95% API success rate HubSpot certification requires — needs a real tenant to build against. The HubSpot marketplace is itself a second, slower approval path (3 active installs to list, 60 unaffiliated to certify, six months listed before certification).</t>
        </is>
      </c>
      <c r="E8" s="19" t="inlineStr">
        <is>
          <t>Senthil — Handover #3 (HubSpot / Salesforce / Zoho sandbox accounts or OAuth sessions)</t>
        </is>
      </c>
      <c r="F8" s="9" t="inlineStr">
        <is>
          <t>LC-6; the actual commercial wedge; the second distribution channel</t>
        </is>
      </c>
      <c r="G8" s="9" t="inlineStr">
        <is>
          <t>On credentials</t>
        </is>
      </c>
    </row>
    <row r="9">
      <c r="A9" s="8" t="inlineStr">
        <is>
          <t>v0.51.0</t>
        </is>
      </c>
      <c r="B9" s="8" t="inlineStr">
        <is>
          <t>After v0.47.0</t>
        </is>
      </c>
      <c r="C9" s="9" t="inlineStr">
        <is>
          <t>S18 remainder — payment processor, Zoom Marketplace billing route, seat detection from measured usage, and the plan-to-feature entitlement matrix (ST-137…140, 24 pts)</t>
        </is>
      </c>
      <c r="D9" s="9" t="inlineStr">
        <is>
          <t>Ordered after the pricing decision because the processor integration encodes the pricing model. Dunning has had a sender seam since v0.45.0 but nothing to report a failure; invoices remain a document about money that never moved. Seats are still self-declared in the request body, which is why the tracker no longer claims per-seat detection is live (PR-12). The measured input exists — telemetry records distinct active days per account since v0.42.0 — only the derivation does not.</t>
        </is>
      </c>
      <c r="E9" s="19" t="inlineStr">
        <is>
          <t>Senthil — PD-01 first, then a payment processor account</t>
        </is>
      </c>
      <c r="F9" s="9" t="inlineStr">
        <is>
          <t>G-02 (paying installs); LC-10; retires two reachability allowlist exceptions</t>
        </is>
      </c>
      <c r="G9" s="9" t="inlineStr">
        <is>
          <t>After v0.47.0</t>
        </is>
      </c>
    </row>
    <row r="10">
      <c r="A10" s="8" t="inlineStr">
        <is>
          <t>v0.52.0</t>
        </is>
      </c>
      <c r="B10" s="8" t="inlineStr">
        <is>
          <t>On PD-03</t>
        </is>
      </c>
      <c r="C10" s="9" t="inlineStr">
        <is>
          <t>S19 — enterprise readiness: SSO and SCIM, an admin console, backups with PITR and stated RPO/RTO, enforced data residency, the compliance programme and a third-party penetration test (ST-142…147, 32 pts)</t>
        </is>
      </c>
      <c r="D10" s="9" t="inlineStr">
        <is>
          <t>Mostly programme work rather than code. SOC 2 Type II is a funded exercise — roughly $35K–$120K over six to eighteen months with a minimum three-month observation window — not a sprint, and starting the clock is a commercial decision. Residency is currently a label that v0.45.0 stopped claiming rather than started enforcing. The honest recommendation is SMB-first: launch after S18 and treat S19 as demand-driven, pulling SSO and the admin console forward only when a named deal requires them.</t>
        </is>
      </c>
      <c r="E10" s="19" t="inlineStr">
        <is>
          <t>Senthil — decision PD-03 (SMB-first or enterprise-first)</t>
        </is>
      </c>
      <c r="F10" s="9" t="inlineStr">
        <is>
          <t>Enterprise deals only; it should not block an SMB launch</t>
        </is>
      </c>
      <c r="G10" s="9" t="inlineStr">
        <is>
          <t>On the decision; runs in parallel with S20 if SMB-first</t>
        </is>
      </c>
    </row>
    <row r="11">
      <c r="A11" s="8" t="inlineStr">
        <is>
          <t>v0.53.0</t>
        </is>
      </c>
      <c r="B11" s="8" t="inlineStr">
        <is>
          <t>After all of the above</t>
        </is>
      </c>
      <c r="C11" s="9" t="inlineStr">
        <is>
          <t>S20 — launch and proof: Zoom Marketplace submission, the listing asset pack, a manual accessibility pass on the live UI, and the first paying installs (ST-148…151, 12 pts)</t>
        </is>
      </c>
      <c r="D11" s="9" t="inlineStr">
        <is>
          <t>The smallest release and the only one that produces the evidence that matters. Every other pending item feeds it. The listing copy cannot be written until PD-02 resolves what the product actually is; the demo video is recorded on the ST-114 review screen, which needs a live install; the accessibility pass needs a rendered surface inside the Zoom client, which jsdom cannot simulate. The gate is ten paying installs from strangers, and no amount of further code moves it.</t>
        </is>
      </c>
      <c r="E11" s="19" t="inlineStr">
        <is>
          <t>Senthil — everything above, then outreach</t>
        </is>
      </c>
      <c r="F11" s="9" t="inlineStr">
        <is>
          <t>G-01, G-02, G-03, G-04 — the completion gate</t>
        </is>
      </c>
      <c r="G11" s="9" t="inlineStr">
        <is>
          <t>Last</t>
        </is>
      </c>
    </row>
    <row r="12">
      <c r="A12" s="8" t="inlineStr">
        <is>
          <t>—</t>
        </is>
      </c>
      <c r="B12" s="8" t="inlineStr">
        <is>
          <t>Unscheduled</t>
        </is>
      </c>
      <c r="C12" s="9" t="inlineStr">
        <is>
          <t>PD-06 demand tests — five RevOps pricing conversations, a ten-call Hinglish head-to-head against Zoom's own summary, and ten Zoom-paying teams on willingness to switch</t>
        </is>
      </c>
      <c r="D12" s="9" t="inlineStr">
        <is>
          <t>Not a code release, and listed here because it should happen before several of the ones above. Each test has a falsifiable kill signal, each costs days rather than sprints, and any one of them failing should change the plan rather than the schedule. Running S15 through S17 — 110 points — before knowing whether anyone will pay for governed CRM writeback is the expensive way to find out.</t>
        </is>
      </c>
      <c r="E12" s="19" t="inlineStr">
        <is>
          <t>Senthil — PD-06</t>
        </is>
      </c>
      <c r="F12" s="9" t="inlineStr">
        <is>
          <t>Validates or invalidates the wedge before the S15–S17 spend</t>
        </is>
      </c>
      <c r="G12" s="9" t="inlineStr">
        <is>
          <t>Now — it blocks nothing and informs everything</t>
        </is>
      </c>
    </row>
  </sheetData>
  <autoFilter ref="A3:G3"/>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3"/>
  <sheetViews>
    <sheetView workbookViewId="0">
      <pane ySplit="3" topLeftCell="A4" activePane="bottomLeft" state="frozen"/>
      <selection pane="bottomLeft" activeCell="A1" sqref="A1"/>
    </sheetView>
  </sheetViews>
  <sheetFormatPr baseColWidth="8" defaultRowHeight="15"/>
  <cols>
    <col width="13" customWidth="1" min="1" max="1"/>
    <col width="7" customWidth="1" min="2" max="2"/>
    <col width="13" customWidth="1" min="3" max="3"/>
    <col width="116" customWidth="1" min="4" max="4"/>
    <col width="60" customWidth="1" min="5" max="5"/>
  </cols>
  <sheetData>
    <row r="1" ht="22" customHeight="1">
      <c r="A1" s="1" t="inlineStr">
        <is>
          <t>VERSION STEPS — the ordered execution of each release</t>
        </is>
      </c>
    </row>
    <row r="2" ht="30" customHeight="1">
      <c r="A2" s="6" t="inlineStr">
        <is>
          <t>HOW TO USE THIS SHEET — Filter by Version to reconstruct exactly what was done in a release and in what order. Phase tells you whether a step was analysis, a change, a test, a gate or documentation.</t>
        </is>
      </c>
    </row>
    <row r="3">
      <c r="A3" s="7" t="inlineStr">
        <is>
          <t>Code version</t>
        </is>
      </c>
      <c r="B3" s="7" t="inlineStr">
        <is>
          <t>Step</t>
        </is>
      </c>
      <c r="C3" s="7" t="inlineStr">
        <is>
          <t>Phase</t>
        </is>
      </c>
      <c r="D3" s="7" t="inlineStr">
        <is>
          <t>What was done</t>
        </is>
      </c>
      <c r="E3" s="7" t="inlineStr">
        <is>
          <t>Artefact / evidence</t>
        </is>
      </c>
    </row>
    <row r="4">
      <c r="A4" s="8" t="inlineStr">
        <is>
          <t>v0.08.0</t>
        </is>
      </c>
      <c r="B4" s="8" t="n">
        <v>1</v>
      </c>
      <c r="C4" s="8" t="inlineStr">
        <is>
          <t>Plan</t>
        </is>
      </c>
      <c r="D4" s="9" t="inlineStr">
        <is>
          <t>Read the v007 product workbook Full_Backlog and sequence S1–S8 under D13 (100% coverage, discovery parked).</t>
        </is>
      </c>
      <c r="E4" s="9" t="inlineStr">
        <is>
          <t>100-story backlog mapped to sprints</t>
        </is>
      </c>
    </row>
    <row r="5">
      <c r="A5" s="8" t="inlineStr">
        <is>
          <t>v0.08.0</t>
        </is>
      </c>
      <c r="B5" s="8" t="n">
        <v>2</v>
      </c>
      <c r="C5" s="8" t="inlineStr">
        <is>
          <t>Build</t>
        </is>
      </c>
      <c r="D5" s="9" t="inlineStr">
        <is>
          <t>Foundation: config with region and secret validation, typed Store interface, Zoom OAuth exchange and rotation-safe refresh.</t>
        </is>
      </c>
      <c r="E5" s="9" t="inlineStr">
        <is>
          <t>src/config.ts, src/store.ts, src/zoomAuth.ts</t>
        </is>
      </c>
    </row>
    <row r="6">
      <c r="A6" s="8" t="inlineStr">
        <is>
          <t>v0.08.0</t>
        </is>
      </c>
      <c r="B6" s="8" t="n">
        <v>3</v>
      </c>
      <c r="C6" s="8" t="inlineStr">
        <is>
          <t>Build</t>
        </is>
      </c>
      <c r="D6" s="9" t="inlineStr">
        <is>
          <t>Platform resilience: ZoomClient backoff with jitter, circuit breaker with half-open probe, auto-refresh-once on 401.</t>
        </is>
      </c>
      <c r="E6" s="9" t="inlineStr">
        <is>
          <t>src/zoomClient.ts</t>
        </is>
      </c>
    </row>
    <row r="7">
      <c r="A7" s="8" t="inlineStr">
        <is>
          <t>v0.08.0</t>
        </is>
      </c>
      <c r="B7" s="8" t="n">
        <v>4</v>
      </c>
      <c r="C7" s="8" t="inlineStr">
        <is>
          <t>Build</t>
        </is>
      </c>
      <c r="D7" s="9" t="inlineStr">
        <is>
          <t>Webhook verification: HMAC x-zm-signature, url_validation challenge, replay guard, dedupe ledger.</t>
        </is>
      </c>
      <c r="E7" s="9" t="inlineStr">
        <is>
          <t>src/webhooks.ts</t>
        </is>
      </c>
    </row>
    <row r="8">
      <c r="A8" s="8" t="inlineStr">
        <is>
          <t>v0.08.0</t>
        </is>
      </c>
      <c r="B8" s="8" t="n">
        <v>5</v>
      </c>
      <c r="C8" s="8" t="inlineStr">
        <is>
          <t>Build</t>
        </is>
      </c>
      <c r="D8" s="9" t="inlineStr">
        <is>
          <t>Feature engine and F1–F5: notes, action extraction, CRM adapters and queue, deal risk, Indic WER harness.</t>
        </is>
      </c>
      <c r="E8" s="9" t="inlineStr">
        <is>
          <t>src/features.ts and five feature modules</t>
        </is>
      </c>
    </row>
    <row r="9">
      <c r="A9" s="8" t="inlineStr">
        <is>
          <t>v0.08.0</t>
        </is>
      </c>
      <c r="B9" s="8" t="n">
        <v>6</v>
      </c>
      <c r="C9" s="8" t="inlineStr">
        <is>
          <t>Build</t>
        </is>
      </c>
      <c r="D9" s="9" t="inlineStr">
        <is>
          <t>Commercial and platform: billing with trial/plans/proration/dunning, RBAC matrix with audit log, telemetry funnel, onboarding.</t>
        </is>
      </c>
      <c r="E9" s="9" t="inlineStr">
        <is>
          <t>src/billing.ts, src/rbac.ts, src/telemetry.ts, src/onboarding.ts</t>
        </is>
      </c>
    </row>
    <row r="10">
      <c r="A10" s="8" t="inlineStr">
        <is>
          <t>v0.08.0</t>
        </is>
      </c>
      <c r="B10" s="8" t="n">
        <v>7</v>
      </c>
      <c r="C10" s="8" t="inlineStr">
        <is>
          <t>Gate</t>
        </is>
      </c>
      <c r="D10" s="9" t="inlineStr">
        <is>
          <t>Run the suite at the D13 threshold.</t>
        </is>
      </c>
      <c r="E10" s="9" t="inlineStr">
        <is>
          <t>18 suites / 139 tests / 100x4 / zero pragmas</t>
        </is>
      </c>
    </row>
    <row r="11">
      <c r="A11" s="8" t="inlineStr">
        <is>
          <t>v0.09.0</t>
        </is>
      </c>
      <c r="B11" s="8" t="n">
        <v>1</v>
      </c>
      <c r="C11" s="8" t="inlineStr">
        <is>
          <t>Analyse</t>
        </is>
      </c>
      <c r="D11" s="9" t="inlineStr">
        <is>
          <t>Identify the defect or scope for v0.09.0 and record it as ST-069, ST-091.</t>
        </is>
      </c>
      <c r="E11" s="9" t="inlineStr">
        <is>
          <t>Tracker Review_Findings / Traceability row</t>
        </is>
      </c>
    </row>
    <row r="12">
      <c r="A12" s="8" t="inlineStr">
        <is>
          <t>v0.09.0</t>
        </is>
      </c>
      <c r="B12" s="8" t="n">
        <v>2</v>
      </c>
      <c r="C12" s="8" t="inlineStr">
        <is>
          <t>Build</t>
        </is>
      </c>
      <c r="D12" s="9" t="inlineStr">
        <is>
          <t>Implement the change described in the Version_Detail row for v0.09.0.</t>
        </is>
      </c>
      <c r="E12" s="9" t="inlineStr">
        <is>
          <t>src/ change set</t>
        </is>
      </c>
    </row>
    <row r="13">
      <c r="A13" s="8" t="inlineStr">
        <is>
          <t>v0.09.0</t>
        </is>
      </c>
      <c r="B13" s="8" t="n">
        <v>3</v>
      </c>
      <c r="C13" s="8" t="inlineStr">
        <is>
          <t>Pin</t>
        </is>
      </c>
      <c r="D13" s="9" t="inlineStr">
        <is>
          <t>Write a named regression test that fails before the change and passes after it.</t>
        </is>
      </c>
      <c r="E13" s="9" t="inlineStr">
        <is>
          <t>test/ suite</t>
        </is>
      </c>
    </row>
    <row r="14">
      <c r="A14" s="8" t="inlineStr">
        <is>
          <t>v0.09.0</t>
        </is>
      </c>
      <c r="B14" s="8" t="n">
        <v>4</v>
      </c>
      <c r="C14" s="8" t="inlineStr">
        <is>
          <t>Gate</t>
        </is>
      </c>
      <c r="D14" s="9" t="inlineStr">
        <is>
          <t>Run the full suite at the D13 threshold; refuse the release below 100% on any of the four measures.</t>
        </is>
      </c>
      <c r="E14" s="9" t="inlineStr">
        <is>
          <t>19 suites / 149 tests · 100x4</t>
        </is>
      </c>
    </row>
    <row r="15">
      <c r="A15" s="8" t="inlineStr">
        <is>
          <t>v0.09.0</t>
        </is>
      </c>
      <c r="B15" s="8" t="n">
        <v>5</v>
      </c>
      <c r="C15" s="8" t="inlineStr">
        <is>
          <t>Document</t>
        </is>
      </c>
      <c r="D15" s="9" t="inlineStr">
        <is>
          <t>Add the version paragraph to README.md in the established voice and update any affected document in docs/.</t>
        </is>
      </c>
      <c r="E15" s="9" t="inlineStr">
        <is>
          <t>README.md + docs/</t>
        </is>
      </c>
    </row>
    <row r="16">
      <c r="A16" s="8" t="inlineStr">
        <is>
          <t>v0.10.0</t>
        </is>
      </c>
      <c r="B16" s="8" t="n">
        <v>1</v>
      </c>
      <c r="C16" s="8" t="inlineStr">
        <is>
          <t>Analyse</t>
        </is>
      </c>
      <c r="D16" s="9" t="inlineStr">
        <is>
          <t>Identify the defect or scope for v0.10.0 and record it as ST-080, ST-083 (code half), ST-084, ST-095, ST-096 (draft).</t>
        </is>
      </c>
      <c r="E16" s="9" t="inlineStr">
        <is>
          <t>Tracker Review_Findings / Traceability row</t>
        </is>
      </c>
    </row>
    <row r="17">
      <c r="A17" s="8" t="inlineStr">
        <is>
          <t>v0.10.0</t>
        </is>
      </c>
      <c r="B17" s="8" t="n">
        <v>2</v>
      </c>
      <c r="C17" s="8" t="inlineStr">
        <is>
          <t>Build</t>
        </is>
      </c>
      <c r="D17" s="9" t="inlineStr">
        <is>
          <t>Implement the change described in the Version_Detail row for v0.10.0.</t>
        </is>
      </c>
      <c r="E17" s="9" t="inlineStr">
        <is>
          <t>src/ change set</t>
        </is>
      </c>
    </row>
    <row r="18">
      <c r="A18" s="8" t="inlineStr">
        <is>
          <t>v0.10.0</t>
        </is>
      </c>
      <c r="B18" s="8" t="n">
        <v>3</v>
      </c>
      <c r="C18" s="8" t="inlineStr">
        <is>
          <t>Pin</t>
        </is>
      </c>
      <c r="D18" s="9" t="inlineStr">
        <is>
          <t>Write a named regression test that fails before the change and passes after it.</t>
        </is>
      </c>
      <c r="E18" s="9" t="inlineStr">
        <is>
          <t>test/ suite</t>
        </is>
      </c>
    </row>
    <row r="19">
      <c r="A19" s="8" t="inlineStr">
        <is>
          <t>v0.10.0</t>
        </is>
      </c>
      <c r="B19" s="8" t="n">
        <v>4</v>
      </c>
      <c r="C19" s="8" t="inlineStr">
        <is>
          <t>Gate</t>
        </is>
      </c>
      <c r="D19" s="9" t="inlineStr">
        <is>
          <t>Run the full suite at the D13 threshold; refuse the release below 100% on any of the four measures.</t>
        </is>
      </c>
      <c r="E19" s="9" t="inlineStr">
        <is>
          <t>20 suites / 160 tests · 100x4</t>
        </is>
      </c>
    </row>
    <row r="20">
      <c r="A20" s="8" t="inlineStr">
        <is>
          <t>v0.10.0</t>
        </is>
      </c>
      <c r="B20" s="8" t="n">
        <v>5</v>
      </c>
      <c r="C20" s="8" t="inlineStr">
        <is>
          <t>Document</t>
        </is>
      </c>
      <c r="D20" s="9" t="inlineStr">
        <is>
          <t>Add the version paragraph to README.md in the established voice and update any affected document in docs/.</t>
        </is>
      </c>
      <c r="E20" s="9" t="inlineStr">
        <is>
          <t>README.md + docs/</t>
        </is>
      </c>
    </row>
    <row r="21">
      <c r="A21" s="8" t="inlineStr">
        <is>
          <t>v0.11.0</t>
        </is>
      </c>
      <c r="B21" s="8" t="n">
        <v>1</v>
      </c>
      <c r="C21" s="8" t="inlineStr">
        <is>
          <t>Analyse</t>
        </is>
      </c>
      <c r="D21" s="9" t="inlineStr">
        <is>
          <t>Identify the defect or scope for v0.11.0 and record it as ST-098, ST-099 (groundwork).</t>
        </is>
      </c>
      <c r="E21" s="9" t="inlineStr">
        <is>
          <t>Tracker Review_Findings / Traceability row</t>
        </is>
      </c>
    </row>
    <row r="22">
      <c r="A22" s="8" t="inlineStr">
        <is>
          <t>v0.11.0</t>
        </is>
      </c>
      <c r="B22" s="8" t="n">
        <v>2</v>
      </c>
      <c r="C22" s="8" t="inlineStr">
        <is>
          <t>Build</t>
        </is>
      </c>
      <c r="D22" s="9" t="inlineStr">
        <is>
          <t>Implement the change described in the Version_Detail row for v0.11.0.</t>
        </is>
      </c>
      <c r="E22" s="9" t="inlineStr">
        <is>
          <t>src/ change set</t>
        </is>
      </c>
    </row>
    <row r="23">
      <c r="A23" s="8" t="inlineStr">
        <is>
          <t>v0.11.0</t>
        </is>
      </c>
      <c r="B23" s="8" t="n">
        <v>3</v>
      </c>
      <c r="C23" s="8" t="inlineStr">
        <is>
          <t>Pin</t>
        </is>
      </c>
      <c r="D23" s="9" t="inlineStr">
        <is>
          <t>Write a named regression test that fails before the change and passes after it.</t>
        </is>
      </c>
      <c r="E23" s="9" t="inlineStr">
        <is>
          <t>test/ suite</t>
        </is>
      </c>
    </row>
    <row r="24">
      <c r="A24" s="8" t="inlineStr">
        <is>
          <t>v0.11.0</t>
        </is>
      </c>
      <c r="B24" s="8" t="n">
        <v>4</v>
      </c>
      <c r="C24" s="8" t="inlineStr">
        <is>
          <t>Gate</t>
        </is>
      </c>
      <c r="D24" s="9" t="inlineStr">
        <is>
          <t>Run the full suite at the D13 threshold; refuse the release below 100% on any of the four measures.</t>
        </is>
      </c>
      <c r="E24" s="9" t="inlineStr">
        <is>
          <t>20 suites / 162 tests · 100x4</t>
        </is>
      </c>
    </row>
    <row r="25">
      <c r="A25" s="8" t="inlineStr">
        <is>
          <t>v0.11.0</t>
        </is>
      </c>
      <c r="B25" s="8" t="n">
        <v>5</v>
      </c>
      <c r="C25" s="8" t="inlineStr">
        <is>
          <t>Document</t>
        </is>
      </c>
      <c r="D25" s="9" t="inlineStr">
        <is>
          <t>Add the version paragraph to README.md in the established voice and update any affected document in docs/.</t>
        </is>
      </c>
      <c r="E25" s="9" t="inlineStr">
        <is>
          <t>README.md + docs/</t>
        </is>
      </c>
    </row>
    <row r="26">
      <c r="A26" s="8" t="inlineStr">
        <is>
          <t>v0.12.0</t>
        </is>
      </c>
      <c r="B26" s="8" t="n">
        <v>1</v>
      </c>
      <c r="C26" s="8" t="inlineStr">
        <is>
          <t>Analyse</t>
        </is>
      </c>
      <c r="D26" s="9" t="inlineStr">
        <is>
          <t>Identify the defect or scope for v0.12.0 and record it as ST-005, ST-015, ST-025, ST-035, ST-045.</t>
        </is>
      </c>
      <c r="E26" s="9" t="inlineStr">
        <is>
          <t>Tracker Review_Findings / Traceability row</t>
        </is>
      </c>
    </row>
    <row r="27">
      <c r="A27" s="8" t="inlineStr">
        <is>
          <t>v0.12.0</t>
        </is>
      </c>
      <c r="B27" s="8" t="n">
        <v>2</v>
      </c>
      <c r="C27" s="8" t="inlineStr">
        <is>
          <t>Build</t>
        </is>
      </c>
      <c r="D27" s="9" t="inlineStr">
        <is>
          <t>Implement the change described in the Version_Detail row for v0.12.0.</t>
        </is>
      </c>
      <c r="E27" s="9" t="inlineStr">
        <is>
          <t>src/ change set</t>
        </is>
      </c>
    </row>
    <row r="28">
      <c r="A28" s="8" t="inlineStr">
        <is>
          <t>v0.12.0</t>
        </is>
      </c>
      <c r="B28" s="8" t="n">
        <v>3</v>
      </c>
      <c r="C28" s="8" t="inlineStr">
        <is>
          <t>Pin</t>
        </is>
      </c>
      <c r="D28" s="9" t="inlineStr">
        <is>
          <t>Write a named regression test that fails before the change and passes after it.</t>
        </is>
      </c>
      <c r="E28" s="9" t="inlineStr">
        <is>
          <t>test/ suite</t>
        </is>
      </c>
    </row>
    <row r="29">
      <c r="A29" s="8" t="inlineStr">
        <is>
          <t>v0.12.0</t>
        </is>
      </c>
      <c r="B29" s="8" t="n">
        <v>4</v>
      </c>
      <c r="C29" s="8" t="inlineStr">
        <is>
          <t>Gate</t>
        </is>
      </c>
      <c r="D29" s="9" t="inlineStr">
        <is>
          <t>Run the full suite at the D13 threshold; refuse the release below 100% on any of the four measures.</t>
        </is>
      </c>
      <c r="E29" s="9" t="inlineStr">
        <is>
          <t>21 suites / 171 tests · 100x4</t>
        </is>
      </c>
    </row>
    <row r="30">
      <c r="A30" s="8" t="inlineStr">
        <is>
          <t>v0.12.0</t>
        </is>
      </c>
      <c r="B30" s="8" t="n">
        <v>5</v>
      </c>
      <c r="C30" s="8" t="inlineStr">
        <is>
          <t>Document</t>
        </is>
      </c>
      <c r="D30" s="9" t="inlineStr">
        <is>
          <t>Add the version paragraph to README.md in the established voice and update any affected document in docs/.</t>
        </is>
      </c>
      <c r="E30" s="9" t="inlineStr">
        <is>
          <t>README.md + docs/</t>
        </is>
      </c>
    </row>
    <row r="31">
      <c r="A31" s="8" t="inlineStr">
        <is>
          <t>v0.13.0</t>
        </is>
      </c>
      <c r="B31" s="8" t="n">
        <v>1</v>
      </c>
      <c r="C31" s="8" t="inlineStr">
        <is>
          <t>Review</t>
        </is>
      </c>
      <c r="D31" s="9" t="inlineStr">
        <is>
          <t>Adversarial pass 1 over all 20 modules, looking for what is wrong rather than confirming what is right.</t>
        </is>
      </c>
      <c r="E31" s="9" t="inlineStr">
        <is>
          <t>11 findings</t>
        </is>
      </c>
    </row>
    <row r="32">
      <c r="A32" s="8" t="inlineStr">
        <is>
          <t>v0.13.0</t>
        </is>
      </c>
      <c r="B32" s="8" t="n">
        <v>2</v>
      </c>
      <c r="C32" s="8" t="inlineStr">
        <is>
          <t>Review</t>
        </is>
      </c>
      <c r="D32" s="9" t="inlineStr">
        <is>
          <t>Adversarial pass 2 over the same modules with fresh eyes on the interactions between them.</t>
        </is>
      </c>
      <c r="E32" s="9" t="inlineStr">
        <is>
          <t>10 further findings, M-F14…M-F21</t>
        </is>
      </c>
    </row>
    <row r="33">
      <c r="A33" s="8" t="inlineStr">
        <is>
          <t>v0.13.0</t>
        </is>
      </c>
      <c r="B33" s="8" t="n">
        <v>3</v>
      </c>
      <c r="C33" s="8" t="inlineStr">
        <is>
          <t>Fix</t>
        </is>
      </c>
      <c r="D33" s="9" t="inlineStr">
        <is>
          <t>M-F11: replace header-asserted identity with an HMAC-signed session minted server-side at the end of the verified install.</t>
        </is>
      </c>
      <c r="E33" s="9" t="inlineStr">
        <is>
          <t>src/auth.ts</t>
        </is>
      </c>
    </row>
    <row r="34">
      <c r="A34" s="8" t="inlineStr">
        <is>
          <t>v0.13.0</t>
        </is>
      </c>
      <c r="B34" s="8" t="n">
        <v>4</v>
      </c>
      <c r="C34" s="8" t="inlineStr">
        <is>
          <t>Fix</t>
        </is>
      </c>
      <c r="D34" s="9" t="inlineStr">
        <is>
          <t>M-F04: allocate tenant state per account instead of one process-wide singleton.</t>
        </is>
      </c>
      <c r="E34" s="9" t="inlineStr">
        <is>
          <t>src/tenancy.ts</t>
        </is>
      </c>
    </row>
    <row r="35">
      <c r="A35" s="8" t="inlineStr">
        <is>
          <t>v0.13.0</t>
        </is>
      </c>
      <c r="B35" s="8" t="n">
        <v>5</v>
      </c>
      <c r="C35" s="8" t="inlineStr">
        <is>
          <t>Fix</t>
        </is>
      </c>
      <c r="D35" s="9" t="inlineStr">
        <is>
          <t>M-F01/M-F02: make mutating routes consult the billing entitlement the dunning engine had been maintaining unread.</t>
        </is>
      </c>
      <c r="E35" s="9" t="inlineStr">
        <is>
          <t>requireWritable in src/app.ts</t>
        </is>
      </c>
    </row>
    <row r="36">
      <c r="A36" s="8" t="inlineStr">
        <is>
          <t>v0.13.0</t>
        </is>
      </c>
      <c r="B36" s="8" t="n">
        <v>6</v>
      </c>
      <c r="C36" s="8" t="inlineStr">
        <is>
          <t>Fix</t>
        </is>
      </c>
      <c r="D36" s="9" t="inlineStr">
        <is>
          <t>M-F03: pass every holder of account-identifying state into the retention sweep.</t>
        </is>
      </c>
      <c r="E36" s="9" t="inlineStr">
        <is>
          <t>src/lifecycle.ts retentionSweep</t>
        </is>
      </c>
    </row>
    <row r="37">
      <c r="A37" s="8" t="inlineStr">
        <is>
          <t>v0.13.0</t>
        </is>
      </c>
      <c r="B37" s="8" t="n">
        <v>7</v>
      </c>
      <c r="C37" s="8" t="inlineStr">
        <is>
          <t>Fix</t>
        </is>
      </c>
      <c r="D37" s="9" t="inlineStr">
        <is>
          <t>M-F14: cap every in-memory ledger with FIFO eviction and a dropped counter.</t>
        </is>
      </c>
      <c r="E37" s="9" t="inlineStr">
        <is>
          <t>src/ledger.ts applied across eight collections</t>
        </is>
      </c>
    </row>
    <row r="38">
      <c r="A38" s="8" t="inlineStr">
        <is>
          <t>v0.13.0</t>
        </is>
      </c>
      <c r="B38" s="8" t="n">
        <v>8</v>
      </c>
      <c r="C38" s="8" t="inlineStr">
        <is>
          <t>Pin</t>
        </is>
      </c>
      <c r="D38" s="9" t="inlineStr">
        <is>
          <t>Write a named regression test for each of the 21 findings.</t>
        </is>
      </c>
      <c r="E38" s="9" t="inlineStr">
        <is>
          <t>test/review.test.ts and siblings</t>
        </is>
      </c>
    </row>
    <row r="39">
      <c r="A39" s="8" t="inlineStr">
        <is>
          <t>v0.13.0</t>
        </is>
      </c>
      <c r="B39" s="8" t="n">
        <v>9</v>
      </c>
      <c r="C39" s="8" t="inlineStr">
        <is>
          <t>Gate</t>
        </is>
      </c>
      <c r="D39" s="9" t="inlineStr">
        <is>
          <t>Re-run at the D13 threshold.</t>
        </is>
      </c>
      <c r="E39" s="9" t="inlineStr">
        <is>
          <t>22 suites / 225 tests / 100x4</t>
        </is>
      </c>
    </row>
    <row r="40">
      <c r="A40" s="8" t="inlineStr">
        <is>
          <t>v0.14.0</t>
        </is>
      </c>
      <c r="B40" s="8" t="n">
        <v>1</v>
      </c>
      <c r="C40" s="8" t="inlineStr">
        <is>
          <t>Analyse</t>
        </is>
      </c>
      <c r="D40" s="9" t="inlineStr">
        <is>
          <t>Identify the defect or scope for v0.14.0 and record it as VER-M01 … VER-M07.</t>
        </is>
      </c>
      <c r="E40" s="9" t="inlineStr">
        <is>
          <t>Tracker Review_Findings / Traceability row</t>
        </is>
      </c>
    </row>
    <row r="41">
      <c r="A41" s="8" t="inlineStr">
        <is>
          <t>v0.14.0</t>
        </is>
      </c>
      <c r="B41" s="8" t="n">
        <v>2</v>
      </c>
      <c r="C41" s="8" t="inlineStr">
        <is>
          <t>Fix</t>
        </is>
      </c>
      <c r="D41" s="9" t="inlineStr">
        <is>
          <t>Implement the change described in the Version_Detail row for v0.14.0.</t>
        </is>
      </c>
      <c r="E41" s="9" t="inlineStr">
        <is>
          <t>src/ change set</t>
        </is>
      </c>
    </row>
    <row r="42">
      <c r="A42" s="8" t="inlineStr">
        <is>
          <t>v0.14.0</t>
        </is>
      </c>
      <c r="B42" s="8" t="n">
        <v>3</v>
      </c>
      <c r="C42" s="8" t="inlineStr">
        <is>
          <t>Pin</t>
        </is>
      </c>
      <c r="D42" s="9" t="inlineStr">
        <is>
          <t>Write a named regression test that fails before the change and passes after it.</t>
        </is>
      </c>
      <c r="E42" s="9" t="inlineStr">
        <is>
          <t>test/ suite</t>
        </is>
      </c>
    </row>
    <row r="43">
      <c r="A43" s="8" t="inlineStr">
        <is>
          <t>v0.14.0</t>
        </is>
      </c>
      <c r="B43" s="8" t="n">
        <v>4</v>
      </c>
      <c r="C43" s="8" t="inlineStr">
        <is>
          <t>Gate</t>
        </is>
      </c>
      <c r="D43" s="9" t="inlineStr">
        <is>
          <t>Run the full suite at the D13 threshold; refuse the release below 100% on any of the four measures.</t>
        </is>
      </c>
      <c r="E43" s="9" t="inlineStr">
        <is>
          <t>22 suites / 239 tests · 100x4</t>
        </is>
      </c>
    </row>
    <row r="44">
      <c r="A44" s="8" t="inlineStr">
        <is>
          <t>v0.14.0</t>
        </is>
      </c>
      <c r="B44" s="8" t="n">
        <v>5</v>
      </c>
      <c r="C44" s="8" t="inlineStr">
        <is>
          <t>Document</t>
        </is>
      </c>
      <c r="D44" s="9" t="inlineStr">
        <is>
          <t>Add the version paragraph to README.md in the established voice and update any affected document in docs/.</t>
        </is>
      </c>
      <c r="E44" s="9" t="inlineStr">
        <is>
          <t>README.md + docs/</t>
        </is>
      </c>
    </row>
    <row r="45">
      <c r="A45" s="8" t="inlineStr">
        <is>
          <t>v0.15.0</t>
        </is>
      </c>
      <c r="B45" s="8" t="n">
        <v>1</v>
      </c>
      <c r="C45" s="8" t="inlineStr">
        <is>
          <t>Analyse</t>
        </is>
      </c>
      <c r="D45" s="9" t="inlineStr">
        <is>
          <t>Identify the defect or scope for v0.15.0 and record it as ST-089 (partial), ST-076, A11Y-01…04.</t>
        </is>
      </c>
      <c r="E45" s="9" t="inlineStr">
        <is>
          <t>Tracker Review_Findings / Traceability row</t>
        </is>
      </c>
    </row>
    <row r="46">
      <c r="A46" s="8" t="inlineStr">
        <is>
          <t>v0.15.0</t>
        </is>
      </c>
      <c r="B46" s="8" t="n">
        <v>2</v>
      </c>
      <c r="C46" s="8" t="inlineStr">
        <is>
          <t>Fix</t>
        </is>
      </c>
      <c r="D46" s="9" t="inlineStr">
        <is>
          <t>Implement the change described in the Version_Detail row for v0.15.0.</t>
        </is>
      </c>
      <c r="E46" s="9" t="inlineStr">
        <is>
          <t>src/ change set</t>
        </is>
      </c>
    </row>
    <row r="47">
      <c r="A47" s="8" t="inlineStr">
        <is>
          <t>v0.15.0</t>
        </is>
      </c>
      <c r="B47" s="8" t="n">
        <v>3</v>
      </c>
      <c r="C47" s="8" t="inlineStr">
        <is>
          <t>Pin</t>
        </is>
      </c>
      <c r="D47" s="9" t="inlineStr">
        <is>
          <t>Write a named regression test that fails before the change and passes after it.</t>
        </is>
      </c>
      <c r="E47" s="9" t="inlineStr">
        <is>
          <t>test/ suite</t>
        </is>
      </c>
    </row>
    <row r="48">
      <c r="A48" s="8" t="inlineStr">
        <is>
          <t>v0.15.0</t>
        </is>
      </c>
      <c r="B48" s="8" t="n">
        <v>4</v>
      </c>
      <c r="C48" s="8" t="inlineStr">
        <is>
          <t>Gate</t>
        </is>
      </c>
      <c r="D48" s="9" t="inlineStr">
        <is>
          <t>Run the full suite at the D13 threshold; refuse the release below 100% on any of the four measures.</t>
        </is>
      </c>
      <c r="E48" s="9" t="inlineStr">
        <is>
          <t>23 suites / 253 tests · 100x4</t>
        </is>
      </c>
    </row>
    <row r="49">
      <c r="A49" s="8" t="inlineStr">
        <is>
          <t>v0.15.0</t>
        </is>
      </c>
      <c r="B49" s="8" t="n">
        <v>5</v>
      </c>
      <c r="C49" s="8" t="inlineStr">
        <is>
          <t>Document</t>
        </is>
      </c>
      <c r="D49" s="9" t="inlineStr">
        <is>
          <t>Add the version paragraph to README.md in the established voice and update any affected document in docs/.</t>
        </is>
      </c>
      <c r="E49" s="9" t="inlineStr">
        <is>
          <t>README.md + docs/</t>
        </is>
      </c>
    </row>
    <row r="50">
      <c r="A50" s="8" t="inlineStr">
        <is>
          <t>v0.16.0</t>
        </is>
      </c>
      <c r="B50" s="8" t="n">
        <v>1</v>
      </c>
      <c r="C50" s="8" t="inlineStr">
        <is>
          <t>Analyse</t>
        </is>
      </c>
      <c r="D50" s="9" t="inlineStr">
        <is>
          <t>Identify the defect or scope for v0.16.0 and record it as OBS-M3 (partial).</t>
        </is>
      </c>
      <c r="E50" s="9" t="inlineStr">
        <is>
          <t>Tracker Review_Findings / Traceability row</t>
        </is>
      </c>
    </row>
    <row r="51">
      <c r="A51" s="8" t="inlineStr">
        <is>
          <t>v0.16.0</t>
        </is>
      </c>
      <c r="B51" s="8" t="n">
        <v>2</v>
      </c>
      <c r="C51" s="8" t="inlineStr">
        <is>
          <t>Build</t>
        </is>
      </c>
      <c r="D51" s="9" t="inlineStr">
        <is>
          <t>Implement the change described in the Version_Detail row for v0.16.0.</t>
        </is>
      </c>
      <c r="E51" s="9" t="inlineStr">
        <is>
          <t>src/ change set</t>
        </is>
      </c>
    </row>
    <row r="52">
      <c r="A52" s="8" t="inlineStr">
        <is>
          <t>v0.16.0</t>
        </is>
      </c>
      <c r="B52" s="8" t="n">
        <v>3</v>
      </c>
      <c r="C52" s="8" t="inlineStr">
        <is>
          <t>Pin</t>
        </is>
      </c>
      <c r="D52" s="9" t="inlineStr">
        <is>
          <t>Write a named regression test that fails before the change and passes after it.</t>
        </is>
      </c>
      <c r="E52" s="9" t="inlineStr">
        <is>
          <t>test/ suite</t>
        </is>
      </c>
    </row>
    <row r="53">
      <c r="A53" s="8" t="inlineStr">
        <is>
          <t>v0.16.0</t>
        </is>
      </c>
      <c r="B53" s="8" t="n">
        <v>4</v>
      </c>
      <c r="C53" s="8" t="inlineStr">
        <is>
          <t>Gate</t>
        </is>
      </c>
      <c r="D53" s="9" t="inlineStr">
        <is>
          <t>Run the full suite at the D13 threshold; refuse the release below 100% on any of the four measures.</t>
        </is>
      </c>
      <c r="E53" s="9" t="inlineStr">
        <is>
          <t>23 suites / 281 tests · 100x4</t>
        </is>
      </c>
    </row>
    <row r="54">
      <c r="A54" s="8" t="inlineStr">
        <is>
          <t>v0.16.0</t>
        </is>
      </c>
      <c r="B54" s="8" t="n">
        <v>5</v>
      </c>
      <c r="C54" s="8" t="inlineStr">
        <is>
          <t>Document</t>
        </is>
      </c>
      <c r="D54" s="9" t="inlineStr">
        <is>
          <t>Add the version paragraph to README.md in the established voice and update any affected document in docs/.</t>
        </is>
      </c>
      <c r="E54" s="9" t="inlineStr">
        <is>
          <t>README.md + docs/</t>
        </is>
      </c>
    </row>
    <row r="55">
      <c r="A55" s="8" t="inlineStr">
        <is>
          <t>v0.17.0</t>
        </is>
      </c>
      <c r="B55" s="8" t="n">
        <v>1</v>
      </c>
      <c r="C55" s="8" t="inlineStr">
        <is>
          <t>Analyse</t>
        </is>
      </c>
      <c r="D55" s="9" t="inlineStr">
        <is>
          <t>Identify the defect or scope for v0.17.0 and record it as OBS-M3 (partial).</t>
        </is>
      </c>
      <c r="E55" s="9" t="inlineStr">
        <is>
          <t>Tracker Review_Findings / Traceability row</t>
        </is>
      </c>
    </row>
    <row r="56">
      <c r="A56" s="8" t="inlineStr">
        <is>
          <t>v0.17.0</t>
        </is>
      </c>
      <c r="B56" s="8" t="n">
        <v>2</v>
      </c>
      <c r="C56" s="8" t="inlineStr">
        <is>
          <t>Build</t>
        </is>
      </c>
      <c r="D56" s="9" t="inlineStr">
        <is>
          <t>Implement the change described in the Version_Detail row for v0.17.0.</t>
        </is>
      </c>
      <c r="E56" s="9" t="inlineStr">
        <is>
          <t>src/ change set</t>
        </is>
      </c>
    </row>
    <row r="57">
      <c r="A57" s="8" t="inlineStr">
        <is>
          <t>v0.17.0</t>
        </is>
      </c>
      <c r="B57" s="8" t="n">
        <v>3</v>
      </c>
      <c r="C57" s="8" t="inlineStr">
        <is>
          <t>Pin</t>
        </is>
      </c>
      <c r="D57" s="9" t="inlineStr">
        <is>
          <t>Write a named regression test that fails before the change and passes after it.</t>
        </is>
      </c>
      <c r="E57" s="9" t="inlineStr">
        <is>
          <t>test/ suite</t>
        </is>
      </c>
    </row>
    <row r="58">
      <c r="A58" s="8" t="inlineStr">
        <is>
          <t>v0.17.0</t>
        </is>
      </c>
      <c r="B58" s="8" t="n">
        <v>4</v>
      </c>
      <c r="C58" s="8" t="inlineStr">
        <is>
          <t>Gate</t>
        </is>
      </c>
      <c r="D58" s="9" t="inlineStr">
        <is>
          <t>Run the full suite at the D13 threshold; refuse the release below 100% on any of the four measures.</t>
        </is>
      </c>
      <c r="E58" s="9" t="inlineStr">
        <is>
          <t>23 suites / 301 tests · 100x4</t>
        </is>
      </c>
    </row>
    <row r="59">
      <c r="A59" s="8" t="inlineStr">
        <is>
          <t>v0.17.0</t>
        </is>
      </c>
      <c r="B59" s="8" t="n">
        <v>5</v>
      </c>
      <c r="C59" s="8" t="inlineStr">
        <is>
          <t>Document</t>
        </is>
      </c>
      <c r="D59" s="9" t="inlineStr">
        <is>
          <t>Add the version paragraph to README.md in the established voice and update any affected document in docs/.</t>
        </is>
      </c>
      <c r="E59" s="9" t="inlineStr">
        <is>
          <t>README.md + docs/</t>
        </is>
      </c>
    </row>
    <row r="60">
      <c r="A60" s="8" t="inlineStr">
        <is>
          <t>v0.18.0</t>
        </is>
      </c>
      <c r="B60" s="8" t="n">
        <v>1</v>
      </c>
      <c r="C60" s="8" t="inlineStr">
        <is>
          <t>Analyse</t>
        </is>
      </c>
      <c r="D60" s="9" t="inlineStr">
        <is>
          <t>Identify the defect or scope for v0.18.0 and record it as OBS-M3 (partial), ST-067.</t>
        </is>
      </c>
      <c r="E60" s="9" t="inlineStr">
        <is>
          <t>Tracker Review_Findings / Traceability row</t>
        </is>
      </c>
    </row>
    <row r="61">
      <c r="A61" s="8" t="inlineStr">
        <is>
          <t>v0.18.0</t>
        </is>
      </c>
      <c r="B61" s="8" t="n">
        <v>2</v>
      </c>
      <c r="C61" s="8" t="inlineStr">
        <is>
          <t>Build</t>
        </is>
      </c>
      <c r="D61" s="9" t="inlineStr">
        <is>
          <t>Implement the change described in the Version_Detail row for v0.18.0.</t>
        </is>
      </c>
      <c r="E61" s="9" t="inlineStr">
        <is>
          <t>src/ change set</t>
        </is>
      </c>
    </row>
    <row r="62">
      <c r="A62" s="8" t="inlineStr">
        <is>
          <t>v0.18.0</t>
        </is>
      </c>
      <c r="B62" s="8" t="n">
        <v>3</v>
      </c>
      <c r="C62" s="8" t="inlineStr">
        <is>
          <t>Pin</t>
        </is>
      </c>
      <c r="D62" s="9" t="inlineStr">
        <is>
          <t>Write a named regression test that fails before the change and passes after it.</t>
        </is>
      </c>
      <c r="E62" s="9" t="inlineStr">
        <is>
          <t>test/ suite</t>
        </is>
      </c>
    </row>
    <row r="63">
      <c r="A63" s="8" t="inlineStr">
        <is>
          <t>v0.18.0</t>
        </is>
      </c>
      <c r="B63" s="8" t="n">
        <v>4</v>
      </c>
      <c r="C63" s="8" t="inlineStr">
        <is>
          <t>Gate</t>
        </is>
      </c>
      <c r="D63" s="9" t="inlineStr">
        <is>
          <t>Run the full suite at the D13 threshold; refuse the release below 100% on any of the four measures.</t>
        </is>
      </c>
      <c r="E63" s="9" t="inlineStr">
        <is>
          <t>23 suites / 316 tests · 100x4</t>
        </is>
      </c>
    </row>
    <row r="64">
      <c r="A64" s="8" t="inlineStr">
        <is>
          <t>v0.18.0</t>
        </is>
      </c>
      <c r="B64" s="8" t="n">
        <v>5</v>
      </c>
      <c r="C64" s="8" t="inlineStr">
        <is>
          <t>Document</t>
        </is>
      </c>
      <c r="D64" s="9" t="inlineStr">
        <is>
          <t>Add the version paragraph to README.md in the established voice and update any affected document in docs/.</t>
        </is>
      </c>
      <c r="E64" s="9" t="inlineStr">
        <is>
          <t>README.md + docs/</t>
        </is>
      </c>
    </row>
    <row r="65">
      <c r="A65" s="8" t="inlineStr">
        <is>
          <t>v0.19.0</t>
        </is>
      </c>
      <c r="B65" s="8" t="n">
        <v>1</v>
      </c>
      <c r="C65" s="8" t="inlineStr">
        <is>
          <t>Analyse</t>
        </is>
      </c>
      <c r="D65" s="9" t="inlineStr">
        <is>
          <t>Identify the defect or scope for v0.19.0 and record it as GAP-1, GAP-2.</t>
        </is>
      </c>
      <c r="E65" s="9" t="inlineStr">
        <is>
          <t>Tracker Review_Findings / Traceability row</t>
        </is>
      </c>
    </row>
    <row r="66">
      <c r="A66" s="8" t="inlineStr">
        <is>
          <t>v0.19.0</t>
        </is>
      </c>
      <c r="B66" s="8" t="n">
        <v>2</v>
      </c>
      <c r="C66" s="8" t="inlineStr">
        <is>
          <t>Fix</t>
        </is>
      </c>
      <c r="D66" s="9" t="inlineStr">
        <is>
          <t>Implement the change described in the Version_Detail row for v0.19.0.</t>
        </is>
      </c>
      <c r="E66" s="9" t="inlineStr">
        <is>
          <t>src/ change set</t>
        </is>
      </c>
    </row>
    <row r="67">
      <c r="A67" s="8" t="inlineStr">
        <is>
          <t>v0.19.0</t>
        </is>
      </c>
      <c r="B67" s="8" t="n">
        <v>3</v>
      </c>
      <c r="C67" s="8" t="inlineStr">
        <is>
          <t>Pin</t>
        </is>
      </c>
      <c r="D67" s="9" t="inlineStr">
        <is>
          <t>Write a named regression test that fails before the change and passes after it.</t>
        </is>
      </c>
      <c r="E67" s="9" t="inlineStr">
        <is>
          <t>test/ suite</t>
        </is>
      </c>
    </row>
    <row r="68">
      <c r="A68" s="8" t="inlineStr">
        <is>
          <t>v0.19.0</t>
        </is>
      </c>
      <c r="B68" s="8" t="n">
        <v>4</v>
      </c>
      <c r="C68" s="8" t="inlineStr">
        <is>
          <t>Gate</t>
        </is>
      </c>
      <c r="D68" s="9" t="inlineStr">
        <is>
          <t>Run the full suite at the D13 threshold; refuse the release below 100% on any of the four measures.</t>
        </is>
      </c>
      <c r="E68" s="9" t="inlineStr">
        <is>
          <t>25 suites / 333 tests · 100x4</t>
        </is>
      </c>
    </row>
    <row r="69">
      <c r="A69" s="8" t="inlineStr">
        <is>
          <t>v0.19.0</t>
        </is>
      </c>
      <c r="B69" s="8" t="n">
        <v>5</v>
      </c>
      <c r="C69" s="8" t="inlineStr">
        <is>
          <t>Document</t>
        </is>
      </c>
      <c r="D69" s="9" t="inlineStr">
        <is>
          <t>Add the version paragraph to README.md in the established voice and update any affected document in docs/.</t>
        </is>
      </c>
      <c r="E69" s="9" t="inlineStr">
        <is>
          <t>README.md + docs/</t>
        </is>
      </c>
    </row>
    <row r="70">
      <c r="A70" s="8" t="inlineStr">
        <is>
          <t>v0.20.0</t>
        </is>
      </c>
      <c r="B70" s="8" t="n">
        <v>1</v>
      </c>
      <c r="C70" s="8" t="inlineStr">
        <is>
          <t>Audit</t>
        </is>
      </c>
      <c r="D70" s="9" t="inlineStr">
        <is>
          <t>For each capability in src/, ask which HTTP route can reach it — the question a code review cannot answer by reading modules.</t>
        </is>
      </c>
      <c r="E70" s="9" t="inlineStr">
        <is>
          <t>Reachability audit sheet</t>
        </is>
      </c>
    </row>
    <row r="71">
      <c r="A71" s="8" t="inlineStr">
        <is>
          <t>v0.20.0</t>
        </is>
      </c>
      <c r="B71" s="8" t="n">
        <v>2</v>
      </c>
      <c r="C71" s="8" t="inlineStr">
        <is>
          <t>Finding</t>
        </is>
      </c>
      <c r="D71" s="9" t="inlineStr">
        <is>
          <t>Deal risk and the Indic pack: zero references in application code. Notes, extraction and CRM: reachable only from the demo seeder. Audit log: no read path.</t>
        </is>
      </c>
      <c r="E71" s="9" t="inlineStr">
        <is>
          <t>GAP-3</t>
        </is>
      </c>
    </row>
    <row r="72">
      <c r="A72" s="8" t="inlineStr">
        <is>
          <t>v0.20.0</t>
        </is>
      </c>
      <c r="B72" s="8" t="n">
        <v>3</v>
      </c>
      <c r="C72" s="8" t="inlineStr">
        <is>
          <t>Build</t>
        </is>
      </c>
      <c r="D72" s="9" t="inlineStr">
        <is>
          <t>Add 17 product routes covering F1–F5, the audit log read path and the feature engine surfaces.</t>
        </is>
      </c>
      <c r="E72" s="9" t="inlineStr">
        <is>
          <t>src/app.ts</t>
        </is>
      </c>
    </row>
    <row r="73">
      <c r="A73" s="8" t="inlineStr">
        <is>
          <t>v0.20.0</t>
        </is>
      </c>
      <c r="B73" s="8" t="n">
        <v>4</v>
      </c>
      <c r="C73" s="8" t="inlineStr">
        <is>
          <t>Reclassify</t>
        </is>
      </c>
      <c r="D73" s="9" t="inlineStr">
        <is>
          <t>Re-grade all 100 stories against a new column: customer-reachable, yes or no.</t>
        </is>
      </c>
      <c r="E73" s="9" t="inlineStr">
        <is>
          <t>Traceability_Matrix column L</t>
        </is>
      </c>
    </row>
    <row r="74">
      <c r="A74" s="8" t="inlineStr">
        <is>
          <t>v0.20.0</t>
        </is>
      </c>
      <c r="B74" s="8" t="n">
        <v>5</v>
      </c>
      <c r="C74" s="8" t="inlineStr">
        <is>
          <t>Gate</t>
        </is>
      </c>
      <c r="D74" s="9" t="inlineStr">
        <is>
          <t>Re-run.</t>
        </is>
      </c>
      <c r="E74" s="9" t="inlineStr">
        <is>
          <t>26 suites / 356 tests / 100x4</t>
        </is>
      </c>
    </row>
    <row r="75">
      <c r="A75" s="8" t="inlineStr">
        <is>
          <t>v0.21.0</t>
        </is>
      </c>
      <c r="B75" s="8" t="n">
        <v>1</v>
      </c>
      <c r="C75" s="8" t="inlineStr">
        <is>
          <t>Analyse</t>
        </is>
      </c>
      <c r="D75" s="9" t="inlineStr">
        <is>
          <t>Identify the defect or scope for v0.21.0 and record it as GAP-3 (permanent).</t>
        </is>
      </c>
      <c r="E75" s="9" t="inlineStr">
        <is>
          <t>Tracker Review_Findings / Traceability row</t>
        </is>
      </c>
    </row>
    <row r="76">
      <c r="A76" s="8" t="inlineStr">
        <is>
          <t>v0.21.0</t>
        </is>
      </c>
      <c r="B76" s="8" t="n">
        <v>2</v>
      </c>
      <c r="C76" s="8" t="inlineStr">
        <is>
          <t>Build</t>
        </is>
      </c>
      <c r="D76" s="9" t="inlineStr">
        <is>
          <t>Implement the change described in the Version_Detail row for v0.21.0.</t>
        </is>
      </c>
      <c r="E76" s="9" t="inlineStr">
        <is>
          <t>src/ change set</t>
        </is>
      </c>
    </row>
    <row r="77">
      <c r="A77" s="8" t="inlineStr">
        <is>
          <t>v0.21.0</t>
        </is>
      </c>
      <c r="B77" s="8" t="n">
        <v>3</v>
      </c>
      <c r="C77" s="8" t="inlineStr">
        <is>
          <t>Pin</t>
        </is>
      </c>
      <c r="D77" s="9" t="inlineStr">
        <is>
          <t>Write a named regression test that fails before the change and passes after it.</t>
        </is>
      </c>
      <c r="E77" s="9" t="inlineStr">
        <is>
          <t>test/ suite</t>
        </is>
      </c>
    </row>
    <row r="78">
      <c r="A78" s="8" t="inlineStr">
        <is>
          <t>v0.21.0</t>
        </is>
      </c>
      <c r="B78" s="8" t="n">
        <v>4</v>
      </c>
      <c r="C78" s="8" t="inlineStr">
        <is>
          <t>Gate</t>
        </is>
      </c>
      <c r="D78" s="9" t="inlineStr">
        <is>
          <t>Run the full suite at the D13 threshold; refuse the release below 100% on any of the four measures.</t>
        </is>
      </c>
      <c r="E78" s="9" t="inlineStr">
        <is>
          <t>27 suites / 362 tests · 100x4</t>
        </is>
      </c>
    </row>
    <row r="79">
      <c r="A79" s="8" t="inlineStr">
        <is>
          <t>v0.21.0</t>
        </is>
      </c>
      <c r="B79" s="8" t="n">
        <v>5</v>
      </c>
      <c r="C79" s="8" t="inlineStr">
        <is>
          <t>Document</t>
        </is>
      </c>
      <c r="D79" s="9" t="inlineStr">
        <is>
          <t>Add the version paragraph to README.md in the established voice and update any affected document in docs/.</t>
        </is>
      </c>
      <c r="E79" s="9" t="inlineStr">
        <is>
          <t>README.md + docs/</t>
        </is>
      </c>
    </row>
    <row r="80">
      <c r="A80" s="8" t="inlineStr">
        <is>
          <t>v0.22.0</t>
        </is>
      </c>
      <c r="B80" s="8" t="n">
        <v>1</v>
      </c>
      <c r="C80" s="8" t="inlineStr">
        <is>
          <t>Analyse</t>
        </is>
      </c>
      <c r="D80" s="9" t="inlineStr">
        <is>
          <t>Identify the defect or scope for v0.22.0 and record it as ST-079.</t>
        </is>
      </c>
      <c r="E80" s="9" t="inlineStr">
        <is>
          <t>Tracker Review_Findings / Traceability row</t>
        </is>
      </c>
    </row>
    <row r="81">
      <c r="A81" s="8" t="inlineStr">
        <is>
          <t>v0.22.0</t>
        </is>
      </c>
      <c r="B81" s="8" t="n">
        <v>2</v>
      </c>
      <c r="C81" s="8" t="inlineStr">
        <is>
          <t>Build</t>
        </is>
      </c>
      <c r="D81" s="9" t="inlineStr">
        <is>
          <t>Implement the change described in the Version_Detail row for v0.22.0.</t>
        </is>
      </c>
      <c r="E81" s="9" t="inlineStr">
        <is>
          <t>src/ change set</t>
        </is>
      </c>
    </row>
    <row r="82">
      <c r="A82" s="8" t="inlineStr">
        <is>
          <t>v0.22.0</t>
        </is>
      </c>
      <c r="B82" s="8" t="n">
        <v>3</v>
      </c>
      <c r="C82" s="8" t="inlineStr">
        <is>
          <t>Pin</t>
        </is>
      </c>
      <c r="D82" s="9" t="inlineStr">
        <is>
          <t>Write a named regression test that fails before the change and passes after it.</t>
        </is>
      </c>
      <c r="E82" s="9" t="inlineStr">
        <is>
          <t>test/ suite</t>
        </is>
      </c>
    </row>
    <row r="83">
      <c r="A83" s="8" t="inlineStr">
        <is>
          <t>v0.22.0</t>
        </is>
      </c>
      <c r="B83" s="8" t="n">
        <v>4</v>
      </c>
      <c r="C83" s="8" t="inlineStr">
        <is>
          <t>Gate</t>
        </is>
      </c>
      <c r="D83" s="9" t="inlineStr">
        <is>
          <t>Run the full suite at the D13 threshold; refuse the release below 100% on any of the four measures.</t>
        </is>
      </c>
      <c r="E83" s="9" t="inlineStr">
        <is>
          <t>27 suites / 362 tests · 100x4</t>
        </is>
      </c>
    </row>
    <row r="84">
      <c r="A84" s="8" t="inlineStr">
        <is>
          <t>v0.22.0</t>
        </is>
      </c>
      <c r="B84" s="8" t="n">
        <v>5</v>
      </c>
      <c r="C84" s="8" t="inlineStr">
        <is>
          <t>Document</t>
        </is>
      </c>
      <c r="D84" s="9" t="inlineStr">
        <is>
          <t>Add the version paragraph to README.md in the established voice and update any affected document in docs/.</t>
        </is>
      </c>
      <c r="E84" s="9" t="inlineStr">
        <is>
          <t>README.md + docs/</t>
        </is>
      </c>
    </row>
    <row r="85">
      <c r="A85" s="8" t="inlineStr">
        <is>
          <t>v0.23.0</t>
        </is>
      </c>
      <c r="B85" s="8" t="n">
        <v>1</v>
      </c>
      <c r="C85" s="8" t="inlineStr">
        <is>
          <t>Analyse</t>
        </is>
      </c>
      <c r="D85" s="9" t="inlineStr">
        <is>
          <t>Identify the defect or scope for v0.23.0 and record it as Handover #18a.</t>
        </is>
      </c>
      <c r="E85" s="9" t="inlineStr">
        <is>
          <t>Tracker Review_Findings / Traceability row</t>
        </is>
      </c>
    </row>
    <row r="86">
      <c r="A86" s="8" t="inlineStr">
        <is>
          <t>v0.23.0</t>
        </is>
      </c>
      <c r="B86" s="8" t="n">
        <v>2</v>
      </c>
      <c r="C86" s="8" t="inlineStr">
        <is>
          <t>Build</t>
        </is>
      </c>
      <c r="D86" s="9" t="inlineStr">
        <is>
          <t>Implement the change described in the Version_Detail row for v0.23.0.</t>
        </is>
      </c>
      <c r="E86" s="9" t="inlineStr">
        <is>
          <t>src/ change set</t>
        </is>
      </c>
    </row>
    <row r="87">
      <c r="A87" s="8" t="inlineStr">
        <is>
          <t>v0.23.0</t>
        </is>
      </c>
      <c r="B87" s="8" t="n">
        <v>3</v>
      </c>
      <c r="C87" s="8" t="inlineStr">
        <is>
          <t>Pin</t>
        </is>
      </c>
      <c r="D87" s="9" t="inlineStr">
        <is>
          <t>Write a named regression test that fails before the change and passes after it.</t>
        </is>
      </c>
      <c r="E87" s="9" t="inlineStr">
        <is>
          <t>test/ suite</t>
        </is>
      </c>
    </row>
    <row r="88">
      <c r="A88" s="8" t="inlineStr">
        <is>
          <t>v0.23.0</t>
        </is>
      </c>
      <c r="B88" s="8" t="n">
        <v>4</v>
      </c>
      <c r="C88" s="8" t="inlineStr">
        <is>
          <t>Gate</t>
        </is>
      </c>
      <c r="D88" s="9" t="inlineStr">
        <is>
          <t>Run the full suite at the D13 threshold; refuse the release below 100% on any of the four measures.</t>
        </is>
      </c>
      <c r="E88" s="9" t="inlineStr">
        <is>
          <t>27 suites / 390 tests · 100x4</t>
        </is>
      </c>
    </row>
    <row r="89">
      <c r="A89" s="8" t="inlineStr">
        <is>
          <t>v0.23.0</t>
        </is>
      </c>
      <c r="B89" s="8" t="n">
        <v>5</v>
      </c>
      <c r="C89" s="8" t="inlineStr">
        <is>
          <t>Document</t>
        </is>
      </c>
      <c r="D89" s="9" t="inlineStr">
        <is>
          <t>Add the version paragraph to README.md in the established voice and update any affected document in docs/.</t>
        </is>
      </c>
      <c r="E89" s="9" t="inlineStr">
        <is>
          <t>README.md + docs/</t>
        </is>
      </c>
    </row>
    <row r="90">
      <c r="A90" s="8" t="inlineStr">
        <is>
          <t>v0.24.0</t>
        </is>
      </c>
      <c r="B90" s="8" t="n">
        <v>1</v>
      </c>
      <c r="C90" s="8" t="inlineStr">
        <is>
          <t>Analyse</t>
        </is>
      </c>
      <c r="D90" s="9" t="inlineStr">
        <is>
          <t>Identify the defect or scope for v0.24.0 and record it as Handover #18b.</t>
        </is>
      </c>
      <c r="E90" s="9" t="inlineStr">
        <is>
          <t>Tracker Review_Findings / Traceability row</t>
        </is>
      </c>
    </row>
    <row r="91">
      <c r="A91" s="8" t="inlineStr">
        <is>
          <t>v0.24.0</t>
        </is>
      </c>
      <c r="B91" s="8" t="n">
        <v>2</v>
      </c>
      <c r="C91" s="8" t="inlineStr">
        <is>
          <t>Build</t>
        </is>
      </c>
      <c r="D91" s="9" t="inlineStr">
        <is>
          <t>Implement the change described in the Version_Detail row for v0.24.0.</t>
        </is>
      </c>
      <c r="E91" s="9" t="inlineStr">
        <is>
          <t>src/ change set</t>
        </is>
      </c>
    </row>
    <row r="92">
      <c r="A92" s="8" t="inlineStr">
        <is>
          <t>v0.24.0</t>
        </is>
      </c>
      <c r="B92" s="8" t="n">
        <v>3</v>
      </c>
      <c r="C92" s="8" t="inlineStr">
        <is>
          <t>Pin</t>
        </is>
      </c>
      <c r="D92" s="9" t="inlineStr">
        <is>
          <t>Write a named regression test that fails before the change and passes after it.</t>
        </is>
      </c>
      <c r="E92" s="9" t="inlineStr">
        <is>
          <t>test/ suite</t>
        </is>
      </c>
    </row>
    <row r="93">
      <c r="A93" s="8" t="inlineStr">
        <is>
          <t>v0.24.0</t>
        </is>
      </c>
      <c r="B93" s="8" t="n">
        <v>4</v>
      </c>
      <c r="C93" s="8" t="inlineStr">
        <is>
          <t>Gate</t>
        </is>
      </c>
      <c r="D93" s="9" t="inlineStr">
        <is>
          <t>Run the full suite at the D13 threshold; refuse the release below 100% on any of the four measures.</t>
        </is>
      </c>
      <c r="E93" s="9" t="inlineStr">
        <is>
          <t>31 suites / 497 tests · 100x4</t>
        </is>
      </c>
    </row>
    <row r="94">
      <c r="A94" s="8" t="inlineStr">
        <is>
          <t>v0.24.0</t>
        </is>
      </c>
      <c r="B94" s="8" t="n">
        <v>5</v>
      </c>
      <c r="C94" s="8" t="inlineStr">
        <is>
          <t>Document</t>
        </is>
      </c>
      <c r="D94" s="9" t="inlineStr">
        <is>
          <t>Add the version paragraph to README.md in the established voice and update any affected document in docs/.</t>
        </is>
      </c>
      <c r="E94" s="9" t="inlineStr">
        <is>
          <t>README.md + docs/</t>
        </is>
      </c>
    </row>
    <row r="95">
      <c r="A95" s="8" t="inlineStr">
        <is>
          <t>v0.25.0</t>
        </is>
      </c>
      <c r="B95" s="8" t="n">
        <v>1</v>
      </c>
      <c r="C95" s="8" t="inlineStr">
        <is>
          <t>Analyse</t>
        </is>
      </c>
      <c r="D95" s="9" t="inlineStr">
        <is>
          <t>Identify the defect or scope for v0.25.0 and record it as Handover #31 · multi-instance.</t>
        </is>
      </c>
      <c r="E95" s="9" t="inlineStr">
        <is>
          <t>Tracker Review_Findings / Traceability row</t>
        </is>
      </c>
    </row>
    <row r="96">
      <c r="A96" s="8" t="inlineStr">
        <is>
          <t>v0.25.0</t>
        </is>
      </c>
      <c r="B96" s="8" t="n">
        <v>2</v>
      </c>
      <c r="C96" s="8" t="inlineStr">
        <is>
          <t>Build</t>
        </is>
      </c>
      <c r="D96" s="9" t="inlineStr">
        <is>
          <t>Implement the change described in the Version_Detail row for v0.25.0.</t>
        </is>
      </c>
      <c r="E96" s="9" t="inlineStr">
        <is>
          <t>src/ change set</t>
        </is>
      </c>
    </row>
    <row r="97">
      <c r="A97" s="8" t="inlineStr">
        <is>
          <t>v0.25.0</t>
        </is>
      </c>
      <c r="B97" s="8" t="n">
        <v>3</v>
      </c>
      <c r="C97" s="8" t="inlineStr">
        <is>
          <t>Pin</t>
        </is>
      </c>
      <c r="D97" s="9" t="inlineStr">
        <is>
          <t>Write a named regression test that fails before the change and passes after it.</t>
        </is>
      </c>
      <c r="E97" s="9" t="inlineStr">
        <is>
          <t>test/ suite</t>
        </is>
      </c>
    </row>
    <row r="98">
      <c r="A98" s="8" t="inlineStr">
        <is>
          <t>v0.25.0</t>
        </is>
      </c>
      <c r="B98" s="8" t="n">
        <v>4</v>
      </c>
      <c r="C98" s="8" t="inlineStr">
        <is>
          <t>Gate</t>
        </is>
      </c>
      <c r="D98" s="9" t="inlineStr">
        <is>
          <t>Run the full suite at the D13 threshold; refuse the release below 100% on any of the four measures.</t>
        </is>
      </c>
      <c r="E98" s="9" t="inlineStr">
        <is>
          <t>32 suites / 511 tests · 100x4</t>
        </is>
      </c>
    </row>
    <row r="99">
      <c r="A99" s="8" t="inlineStr">
        <is>
          <t>v0.25.0</t>
        </is>
      </c>
      <c r="B99" s="8" t="n">
        <v>5</v>
      </c>
      <c r="C99" s="8" t="inlineStr">
        <is>
          <t>Document</t>
        </is>
      </c>
      <c r="D99" s="9" t="inlineStr">
        <is>
          <t>Add the version paragraph to README.md in the established voice and update any affected document in docs/.</t>
        </is>
      </c>
      <c r="E99" s="9" t="inlineStr">
        <is>
          <t>README.md + docs/</t>
        </is>
      </c>
    </row>
    <row r="100">
      <c r="A100" s="8" t="inlineStr">
        <is>
          <t>v0.26.0</t>
        </is>
      </c>
      <c r="B100" s="8" t="n">
        <v>1</v>
      </c>
      <c r="C100" s="8" t="inlineStr">
        <is>
          <t>Analyse</t>
        </is>
      </c>
      <c r="D100" s="9" t="inlineStr">
        <is>
          <t>Identify the defect or scope for v0.26.0 and record it as Handover #28.</t>
        </is>
      </c>
      <c r="E100" s="9" t="inlineStr">
        <is>
          <t>Tracker Review_Findings / Traceability row</t>
        </is>
      </c>
    </row>
    <row r="101">
      <c r="A101" s="8" t="inlineStr">
        <is>
          <t>v0.26.0</t>
        </is>
      </c>
      <c r="B101" s="8" t="n">
        <v>2</v>
      </c>
      <c r="C101" s="8" t="inlineStr">
        <is>
          <t>Build</t>
        </is>
      </c>
      <c r="D101" s="9" t="inlineStr">
        <is>
          <t>Implement the change described in the Version_Detail row for v0.26.0.</t>
        </is>
      </c>
      <c r="E101" s="9" t="inlineStr">
        <is>
          <t>src/ change set</t>
        </is>
      </c>
    </row>
    <row r="102">
      <c r="A102" s="8" t="inlineStr">
        <is>
          <t>v0.26.0</t>
        </is>
      </c>
      <c r="B102" s="8" t="n">
        <v>3</v>
      </c>
      <c r="C102" s="8" t="inlineStr">
        <is>
          <t>Pin</t>
        </is>
      </c>
      <c r="D102" s="9" t="inlineStr">
        <is>
          <t>Write a named regression test that fails before the change and passes after it.</t>
        </is>
      </c>
      <c r="E102" s="9" t="inlineStr">
        <is>
          <t>test/ suite</t>
        </is>
      </c>
    </row>
    <row r="103">
      <c r="A103" s="8" t="inlineStr">
        <is>
          <t>v0.26.0</t>
        </is>
      </c>
      <c r="B103" s="8" t="n">
        <v>4</v>
      </c>
      <c r="C103" s="8" t="inlineStr">
        <is>
          <t>Gate</t>
        </is>
      </c>
      <c r="D103" s="9" t="inlineStr">
        <is>
          <t>Run the full suite at the D13 threshold; refuse the release below 100% on any of the four measures.</t>
        </is>
      </c>
      <c r="E103" s="9" t="inlineStr">
        <is>
          <t>32 suites / 517 tests · 100x4</t>
        </is>
      </c>
    </row>
    <row r="104">
      <c r="A104" s="8" t="inlineStr">
        <is>
          <t>v0.26.0</t>
        </is>
      </c>
      <c r="B104" s="8" t="n">
        <v>5</v>
      </c>
      <c r="C104" s="8" t="inlineStr">
        <is>
          <t>Document</t>
        </is>
      </c>
      <c r="D104" s="9" t="inlineStr">
        <is>
          <t>Add the version paragraph to README.md in the established voice and update any affected document in docs/.</t>
        </is>
      </c>
      <c r="E104" s="9" t="inlineStr">
        <is>
          <t>README.md + docs/</t>
        </is>
      </c>
    </row>
    <row r="105">
      <c r="A105" s="8" t="inlineStr">
        <is>
          <t>v0.27.0</t>
        </is>
      </c>
      <c r="B105" s="8" t="n">
        <v>1</v>
      </c>
      <c r="C105" s="8" t="inlineStr">
        <is>
          <t>Analyse</t>
        </is>
      </c>
      <c r="D105" s="9" t="inlineStr">
        <is>
          <t>Identify the defect or scope for v0.27.0 and record it as ST-072, ST-073, ST-074.</t>
        </is>
      </c>
      <c r="E105" s="9" t="inlineStr">
        <is>
          <t>Tracker Review_Findings / Traceability row</t>
        </is>
      </c>
    </row>
    <row r="106">
      <c r="A106" s="8" t="inlineStr">
        <is>
          <t>v0.27.0</t>
        </is>
      </c>
      <c r="B106" s="8" t="n">
        <v>2</v>
      </c>
      <c r="C106" s="8" t="inlineStr">
        <is>
          <t>Fix</t>
        </is>
      </c>
      <c r="D106" s="9" t="inlineStr">
        <is>
          <t>Implement the change described in the Version_Detail row for v0.27.0.</t>
        </is>
      </c>
      <c r="E106" s="9" t="inlineStr">
        <is>
          <t>src/ change set</t>
        </is>
      </c>
    </row>
    <row r="107">
      <c r="A107" s="8" t="inlineStr">
        <is>
          <t>v0.27.0</t>
        </is>
      </c>
      <c r="B107" s="8" t="n">
        <v>3</v>
      </c>
      <c r="C107" s="8" t="inlineStr">
        <is>
          <t>Pin</t>
        </is>
      </c>
      <c r="D107" s="9" t="inlineStr">
        <is>
          <t>Write a named regression test that fails before the change and passes after it.</t>
        </is>
      </c>
      <c r="E107" s="9" t="inlineStr">
        <is>
          <t>test/ suite</t>
        </is>
      </c>
    </row>
    <row r="108">
      <c r="A108" s="8" t="inlineStr">
        <is>
          <t>v0.27.0</t>
        </is>
      </c>
      <c r="B108" s="8" t="n">
        <v>4</v>
      </c>
      <c r="C108" s="8" t="inlineStr">
        <is>
          <t>Gate</t>
        </is>
      </c>
      <c r="D108" s="9" t="inlineStr">
        <is>
          <t>Run the full suite at the D13 threshold; refuse the release below 100% on any of the four measures.</t>
        </is>
      </c>
      <c r="E108" s="9" t="inlineStr">
        <is>
          <t>32 suites / 533 tests · 100x4</t>
        </is>
      </c>
    </row>
    <row r="109">
      <c r="A109" s="8" t="inlineStr">
        <is>
          <t>v0.27.0</t>
        </is>
      </c>
      <c r="B109" s="8" t="n">
        <v>5</v>
      </c>
      <c r="C109" s="8" t="inlineStr">
        <is>
          <t>Document</t>
        </is>
      </c>
      <c r="D109" s="9" t="inlineStr">
        <is>
          <t>Add the version paragraph to README.md in the established voice and update any affected document in docs/.</t>
        </is>
      </c>
      <c r="E109" s="9" t="inlineStr">
        <is>
          <t>README.md + docs/</t>
        </is>
      </c>
    </row>
    <row r="110">
      <c r="A110" s="8" t="inlineStr">
        <is>
          <t>v0.28.0</t>
        </is>
      </c>
      <c r="B110" s="8" t="n">
        <v>1</v>
      </c>
      <c r="C110" s="8" t="inlineStr">
        <is>
          <t>Analyse</t>
        </is>
      </c>
      <c r="D110" s="9" t="inlineStr">
        <is>
          <t>Identify the defect or scope for v0.28.0 and record it as ST-069 (second half).</t>
        </is>
      </c>
      <c r="E110" s="9" t="inlineStr">
        <is>
          <t>Tracker Review_Findings / Traceability row</t>
        </is>
      </c>
    </row>
    <row r="111">
      <c r="A111" s="8" t="inlineStr">
        <is>
          <t>v0.28.0</t>
        </is>
      </c>
      <c r="B111" s="8" t="n">
        <v>2</v>
      </c>
      <c r="C111" s="8" t="inlineStr">
        <is>
          <t>Fix</t>
        </is>
      </c>
      <c r="D111" s="9" t="inlineStr">
        <is>
          <t>Implement the change described in the Version_Detail row for v0.28.0.</t>
        </is>
      </c>
      <c r="E111" s="9" t="inlineStr">
        <is>
          <t>src/ change set</t>
        </is>
      </c>
    </row>
    <row r="112">
      <c r="A112" s="8" t="inlineStr">
        <is>
          <t>v0.28.0</t>
        </is>
      </c>
      <c r="B112" s="8" t="n">
        <v>3</v>
      </c>
      <c r="C112" s="8" t="inlineStr">
        <is>
          <t>Pin</t>
        </is>
      </c>
      <c r="D112" s="9" t="inlineStr">
        <is>
          <t>Write a named regression test that fails before the change and passes after it.</t>
        </is>
      </c>
      <c r="E112" s="9" t="inlineStr">
        <is>
          <t>test/ suite</t>
        </is>
      </c>
    </row>
    <row r="113">
      <c r="A113" s="8" t="inlineStr">
        <is>
          <t>v0.28.0</t>
        </is>
      </c>
      <c r="B113" s="8" t="n">
        <v>4</v>
      </c>
      <c r="C113" s="8" t="inlineStr">
        <is>
          <t>Gate</t>
        </is>
      </c>
      <c r="D113" s="9" t="inlineStr">
        <is>
          <t>Run the full suite at the D13 threshold; refuse the release below 100% on any of the four measures.</t>
        </is>
      </c>
      <c r="E113" s="9" t="inlineStr">
        <is>
          <t>32 suites / 540 tests · 100x4</t>
        </is>
      </c>
    </row>
    <row r="114">
      <c r="A114" s="8" t="inlineStr">
        <is>
          <t>v0.28.0</t>
        </is>
      </c>
      <c r="B114" s="8" t="n">
        <v>5</v>
      </c>
      <c r="C114" s="8" t="inlineStr">
        <is>
          <t>Document</t>
        </is>
      </c>
      <c r="D114" s="9" t="inlineStr">
        <is>
          <t>Add the version paragraph to README.md in the established voice and update any affected document in docs/.</t>
        </is>
      </c>
      <c r="E114" s="9" t="inlineStr">
        <is>
          <t>README.md + docs/</t>
        </is>
      </c>
    </row>
    <row r="115">
      <c r="A115" s="8" t="inlineStr">
        <is>
          <t>v0.29.0</t>
        </is>
      </c>
      <c r="B115" s="8" t="n">
        <v>1</v>
      </c>
      <c r="C115" s="8" t="inlineStr">
        <is>
          <t>Analyse</t>
        </is>
      </c>
      <c r="D115" s="9" t="inlineStr">
        <is>
          <t>Identify the defect or scope for v0.29.0 and record it as ST-070 · transcript ingestion.</t>
        </is>
      </c>
      <c r="E115" s="9" t="inlineStr">
        <is>
          <t>Tracker Review_Findings / Traceability row</t>
        </is>
      </c>
    </row>
    <row r="116">
      <c r="A116" s="8" t="inlineStr">
        <is>
          <t>v0.29.0</t>
        </is>
      </c>
      <c r="B116" s="8" t="n">
        <v>2</v>
      </c>
      <c r="C116" s="8" t="inlineStr">
        <is>
          <t>Fix</t>
        </is>
      </c>
      <c r="D116" s="9" t="inlineStr">
        <is>
          <t>Implement the change described in the Version_Detail row for v0.29.0.</t>
        </is>
      </c>
      <c r="E116" s="9" t="inlineStr">
        <is>
          <t>src/ change set</t>
        </is>
      </c>
    </row>
    <row r="117">
      <c r="A117" s="8" t="inlineStr">
        <is>
          <t>v0.29.0</t>
        </is>
      </c>
      <c r="B117" s="8" t="n">
        <v>3</v>
      </c>
      <c r="C117" s="8" t="inlineStr">
        <is>
          <t>Pin</t>
        </is>
      </c>
      <c r="D117" s="9" t="inlineStr">
        <is>
          <t>Write a named regression test that fails before the change and passes after it.</t>
        </is>
      </c>
      <c r="E117" s="9" t="inlineStr">
        <is>
          <t>test/ suite</t>
        </is>
      </c>
    </row>
    <row r="118">
      <c r="A118" s="8" t="inlineStr">
        <is>
          <t>v0.29.0</t>
        </is>
      </c>
      <c r="B118" s="8" t="n">
        <v>4</v>
      </c>
      <c r="C118" s="8" t="inlineStr">
        <is>
          <t>Gate</t>
        </is>
      </c>
      <c r="D118" s="9" t="inlineStr">
        <is>
          <t>Run the full suite at the D13 threshold; refuse the release below 100% on any of the four measures.</t>
        </is>
      </c>
      <c r="E118" s="9" t="inlineStr">
        <is>
          <t>32 suites / 542 tests · 100x4</t>
        </is>
      </c>
    </row>
    <row r="119">
      <c r="A119" s="8" t="inlineStr">
        <is>
          <t>v0.29.0</t>
        </is>
      </c>
      <c r="B119" s="8" t="n">
        <v>5</v>
      </c>
      <c r="C119" s="8" t="inlineStr">
        <is>
          <t>Document</t>
        </is>
      </c>
      <c r="D119" s="9" t="inlineStr">
        <is>
          <t>Add the version paragraph to README.md in the established voice and update any affected document in docs/.</t>
        </is>
      </c>
      <c r="E119" s="9" t="inlineStr">
        <is>
          <t>README.md + docs/</t>
        </is>
      </c>
    </row>
    <row r="120">
      <c r="A120" s="8" t="inlineStr">
        <is>
          <t>v0.30.0</t>
        </is>
      </c>
      <c r="B120" s="8" t="n">
        <v>1</v>
      </c>
      <c r="C120" s="8" t="inlineStr">
        <is>
          <t>Analyse</t>
        </is>
      </c>
      <c r="D120" s="9" t="inlineStr">
        <is>
          <t>Identify the defect or scope for v0.30.0 and record it as ST-090.</t>
        </is>
      </c>
      <c r="E120" s="9" t="inlineStr">
        <is>
          <t>Tracker Review_Findings / Traceability row</t>
        </is>
      </c>
    </row>
    <row r="121">
      <c r="A121" s="8" t="inlineStr">
        <is>
          <t>v0.30.0</t>
        </is>
      </c>
      <c r="B121" s="8" t="n">
        <v>2</v>
      </c>
      <c r="C121" s="8" t="inlineStr">
        <is>
          <t>Build</t>
        </is>
      </c>
      <c r="D121" s="9" t="inlineStr">
        <is>
          <t>Implement the change described in the Version_Detail row for v0.30.0.</t>
        </is>
      </c>
      <c r="E121" s="9" t="inlineStr">
        <is>
          <t>src/ change set</t>
        </is>
      </c>
    </row>
    <row r="122">
      <c r="A122" s="8" t="inlineStr">
        <is>
          <t>v0.30.0</t>
        </is>
      </c>
      <c r="B122" s="8" t="n">
        <v>3</v>
      </c>
      <c r="C122" s="8" t="inlineStr">
        <is>
          <t>Pin</t>
        </is>
      </c>
      <c r="D122" s="9" t="inlineStr">
        <is>
          <t>Write a named regression test that fails before the change and passes after it.</t>
        </is>
      </c>
      <c r="E122" s="9" t="inlineStr">
        <is>
          <t>test/ suite</t>
        </is>
      </c>
    </row>
    <row r="123">
      <c r="A123" s="8" t="inlineStr">
        <is>
          <t>v0.30.0</t>
        </is>
      </c>
      <c r="B123" s="8" t="n">
        <v>4</v>
      </c>
      <c r="C123" s="8" t="inlineStr">
        <is>
          <t>Gate</t>
        </is>
      </c>
      <c r="D123" s="9" t="inlineStr">
        <is>
          <t>Run the full suite at the D13 threshold; refuse the release below 100% on any of the four measures.</t>
        </is>
      </c>
      <c r="E123" s="9" t="inlineStr">
        <is>
          <t>32 suites / 543 tests · 100x4</t>
        </is>
      </c>
    </row>
    <row r="124">
      <c r="A124" s="8" t="inlineStr">
        <is>
          <t>v0.30.0</t>
        </is>
      </c>
      <c r="B124" s="8" t="n">
        <v>5</v>
      </c>
      <c r="C124" s="8" t="inlineStr">
        <is>
          <t>Document</t>
        </is>
      </c>
      <c r="D124" s="9" t="inlineStr">
        <is>
          <t>Add the version paragraph to README.md in the established voice and update any affected document in docs/.</t>
        </is>
      </c>
      <c r="E124" s="9" t="inlineStr">
        <is>
          <t>README.md + docs/</t>
        </is>
      </c>
    </row>
    <row r="125">
      <c r="A125" s="8" t="inlineStr">
        <is>
          <t>v0.31.0</t>
        </is>
      </c>
      <c r="B125" s="8" t="n">
        <v>1</v>
      </c>
      <c r="C125" s="8" t="inlineStr">
        <is>
          <t>Analyse</t>
        </is>
      </c>
      <c r="D125" s="9" t="inlineStr">
        <is>
          <t>Identify the defect or scope for v0.31.0 and record it as ST-066.</t>
        </is>
      </c>
      <c r="E125" s="9" t="inlineStr">
        <is>
          <t>Tracker Review_Findings / Traceability row</t>
        </is>
      </c>
    </row>
    <row r="126">
      <c r="A126" s="8" t="inlineStr">
        <is>
          <t>v0.31.0</t>
        </is>
      </c>
      <c r="B126" s="8" t="n">
        <v>2</v>
      </c>
      <c r="C126" s="8" t="inlineStr">
        <is>
          <t>Build</t>
        </is>
      </c>
      <c r="D126" s="9" t="inlineStr">
        <is>
          <t>Implement the change described in the Version_Detail row for v0.31.0.</t>
        </is>
      </c>
      <c r="E126" s="9" t="inlineStr">
        <is>
          <t>src/ change set</t>
        </is>
      </c>
    </row>
    <row r="127">
      <c r="A127" s="8" t="inlineStr">
        <is>
          <t>v0.31.0</t>
        </is>
      </c>
      <c r="B127" s="8" t="n">
        <v>3</v>
      </c>
      <c r="C127" s="8" t="inlineStr">
        <is>
          <t>Pin</t>
        </is>
      </c>
      <c r="D127" s="9" t="inlineStr">
        <is>
          <t>Write a named regression test that fails before the change and passes after it.</t>
        </is>
      </c>
      <c r="E127" s="9" t="inlineStr">
        <is>
          <t>test/ suite</t>
        </is>
      </c>
    </row>
    <row r="128">
      <c r="A128" s="8" t="inlineStr">
        <is>
          <t>v0.31.0</t>
        </is>
      </c>
      <c r="B128" s="8" t="n">
        <v>4</v>
      </c>
      <c r="C128" s="8" t="inlineStr">
        <is>
          <t>Gate</t>
        </is>
      </c>
      <c r="D128" s="9" t="inlineStr">
        <is>
          <t>Run the full suite at the D13 threshold; refuse the release below 100% on any of the four measures.</t>
        </is>
      </c>
      <c r="E128" s="9" t="inlineStr">
        <is>
          <t>33 suites / 556 tests · 100x4</t>
        </is>
      </c>
    </row>
    <row r="129">
      <c r="A129" s="8" t="inlineStr">
        <is>
          <t>v0.31.0</t>
        </is>
      </c>
      <c r="B129" s="8" t="n">
        <v>5</v>
      </c>
      <c r="C129" s="8" t="inlineStr">
        <is>
          <t>Document</t>
        </is>
      </c>
      <c r="D129" s="9" t="inlineStr">
        <is>
          <t>Add the version paragraph to README.md in the established voice and update any affected document in docs/.</t>
        </is>
      </c>
      <c r="E129" s="9" t="inlineStr">
        <is>
          <t>README.md + docs/</t>
        </is>
      </c>
    </row>
    <row r="130">
      <c r="A130" s="8" t="inlineStr">
        <is>
          <t>v0.32.0</t>
        </is>
      </c>
      <c r="B130" s="8" t="n">
        <v>1</v>
      </c>
      <c r="C130" s="8" t="inlineStr">
        <is>
          <t>Analyse</t>
        </is>
      </c>
      <c r="D130" s="9" t="inlineStr">
        <is>
          <t>Identify the defect or scope for v0.32.0 and record it as SR-01, SR-02.</t>
        </is>
      </c>
      <c r="E130" s="9" t="inlineStr">
        <is>
          <t>Tracker Review_Findings / Traceability row</t>
        </is>
      </c>
    </row>
    <row r="131">
      <c r="A131" s="8" t="inlineStr">
        <is>
          <t>v0.32.0</t>
        </is>
      </c>
      <c r="B131" s="8" t="n">
        <v>2</v>
      </c>
      <c r="C131" s="8" t="inlineStr">
        <is>
          <t>Fix</t>
        </is>
      </c>
      <c r="D131" s="9" t="inlineStr">
        <is>
          <t>Implement the change described in the Version_Detail row for v0.32.0.</t>
        </is>
      </c>
      <c r="E131" s="9" t="inlineStr">
        <is>
          <t>src/ change set</t>
        </is>
      </c>
    </row>
    <row r="132">
      <c r="A132" s="8" t="inlineStr">
        <is>
          <t>v0.32.0</t>
        </is>
      </c>
      <c r="B132" s="8" t="n">
        <v>3</v>
      </c>
      <c r="C132" s="8" t="inlineStr">
        <is>
          <t>Pin</t>
        </is>
      </c>
      <c r="D132" s="9" t="inlineStr">
        <is>
          <t>Write a named regression test that fails before the change and passes after it.</t>
        </is>
      </c>
      <c r="E132" s="9" t="inlineStr">
        <is>
          <t>test/ suite</t>
        </is>
      </c>
    </row>
    <row r="133">
      <c r="A133" s="8" t="inlineStr">
        <is>
          <t>v0.32.0</t>
        </is>
      </c>
      <c r="B133" s="8" t="n">
        <v>4</v>
      </c>
      <c r="C133" s="8" t="inlineStr">
        <is>
          <t>Gate</t>
        </is>
      </c>
      <c r="D133" s="9" t="inlineStr">
        <is>
          <t>Run the full suite at the D13 threshold; refuse the release below 100% on any of the four measures.</t>
        </is>
      </c>
      <c r="E133" s="9" t="inlineStr">
        <is>
          <t>33 suites / 562 tests · 100x4</t>
        </is>
      </c>
    </row>
    <row r="134">
      <c r="A134" s="8" t="inlineStr">
        <is>
          <t>v0.32.0</t>
        </is>
      </c>
      <c r="B134" s="8" t="n">
        <v>5</v>
      </c>
      <c r="C134" s="8" t="inlineStr">
        <is>
          <t>Document</t>
        </is>
      </c>
      <c r="D134" s="9" t="inlineStr">
        <is>
          <t>Add the version paragraph to README.md in the established voice and update any affected document in docs/.</t>
        </is>
      </c>
      <c r="E134" s="9" t="inlineStr">
        <is>
          <t>README.md + docs/</t>
        </is>
      </c>
    </row>
    <row r="135">
      <c r="A135" s="8" t="inlineStr">
        <is>
          <t>v0.33.0</t>
        </is>
      </c>
      <c r="B135" s="8" t="n">
        <v>1</v>
      </c>
      <c r="C135" s="8" t="inlineStr">
        <is>
          <t>Analyse</t>
        </is>
      </c>
      <c r="D135" s="9" t="inlineStr">
        <is>
          <t>Identify the defect or scope for v0.33.0 and record it as SR-03, SR-04.</t>
        </is>
      </c>
      <c r="E135" s="9" t="inlineStr">
        <is>
          <t>Tracker Review_Findings / Traceability row</t>
        </is>
      </c>
    </row>
    <row r="136">
      <c r="A136" s="8" t="inlineStr">
        <is>
          <t>v0.33.0</t>
        </is>
      </c>
      <c r="B136" s="8" t="n">
        <v>2</v>
      </c>
      <c r="C136" s="8" t="inlineStr">
        <is>
          <t>Fix</t>
        </is>
      </c>
      <c r="D136" s="9" t="inlineStr">
        <is>
          <t>Implement the change described in the Version_Detail row for v0.33.0.</t>
        </is>
      </c>
      <c r="E136" s="9" t="inlineStr">
        <is>
          <t>src/ change set</t>
        </is>
      </c>
    </row>
    <row r="137">
      <c r="A137" s="8" t="inlineStr">
        <is>
          <t>v0.33.0</t>
        </is>
      </c>
      <c r="B137" s="8" t="n">
        <v>3</v>
      </c>
      <c r="C137" s="8" t="inlineStr">
        <is>
          <t>Pin</t>
        </is>
      </c>
      <c r="D137" s="9" t="inlineStr">
        <is>
          <t>Write a named regression test that fails before the change and passes after it.</t>
        </is>
      </c>
      <c r="E137" s="9" t="inlineStr">
        <is>
          <t>test/ suite</t>
        </is>
      </c>
    </row>
    <row r="138">
      <c r="A138" s="8" t="inlineStr">
        <is>
          <t>v0.33.0</t>
        </is>
      </c>
      <c r="B138" s="8" t="n">
        <v>4</v>
      </c>
      <c r="C138" s="8" t="inlineStr">
        <is>
          <t>Gate</t>
        </is>
      </c>
      <c r="D138" s="9" t="inlineStr">
        <is>
          <t>Run the full suite at the D13 threshold; refuse the release below 100% on any of the four measures.</t>
        </is>
      </c>
      <c r="E138" s="9" t="inlineStr">
        <is>
          <t>33 suites / 563 tests · 100x4</t>
        </is>
      </c>
    </row>
    <row r="139">
      <c r="A139" s="8" t="inlineStr">
        <is>
          <t>v0.33.0</t>
        </is>
      </c>
      <c r="B139" s="8" t="n">
        <v>5</v>
      </c>
      <c r="C139" s="8" t="inlineStr">
        <is>
          <t>Document</t>
        </is>
      </c>
      <c r="D139" s="9" t="inlineStr">
        <is>
          <t>Add the version paragraph to README.md in the established voice and update any affected document in docs/.</t>
        </is>
      </c>
      <c r="E139" s="9" t="inlineStr">
        <is>
          <t>README.md + docs/</t>
        </is>
      </c>
    </row>
    <row r="140">
      <c r="A140" s="8" t="inlineStr">
        <is>
          <t>v0.34.0</t>
        </is>
      </c>
      <c r="B140" s="8" t="n">
        <v>1</v>
      </c>
      <c r="C140" s="8" t="inlineStr">
        <is>
          <t>Analyse</t>
        </is>
      </c>
      <c r="D140" s="9" t="inlineStr">
        <is>
          <t>Identify the defect or scope for v0.34.0 and record it as SR-05, SR-06.</t>
        </is>
      </c>
      <c r="E140" s="9" t="inlineStr">
        <is>
          <t>Tracker Review_Findings / Traceability row</t>
        </is>
      </c>
    </row>
    <row r="141">
      <c r="A141" s="8" t="inlineStr">
        <is>
          <t>v0.34.0</t>
        </is>
      </c>
      <c r="B141" s="8" t="n">
        <v>2</v>
      </c>
      <c r="C141" s="8" t="inlineStr">
        <is>
          <t>Fix</t>
        </is>
      </c>
      <c r="D141" s="9" t="inlineStr">
        <is>
          <t>Implement the change described in the Version_Detail row for v0.34.0.</t>
        </is>
      </c>
      <c r="E141" s="9" t="inlineStr">
        <is>
          <t>src/ change set</t>
        </is>
      </c>
    </row>
    <row r="142">
      <c r="A142" s="8" t="inlineStr">
        <is>
          <t>v0.34.0</t>
        </is>
      </c>
      <c r="B142" s="8" t="n">
        <v>3</v>
      </c>
      <c r="C142" s="8" t="inlineStr">
        <is>
          <t>Pin</t>
        </is>
      </c>
      <c r="D142" s="9" t="inlineStr">
        <is>
          <t>Write a named regression test that fails before the change and passes after it.</t>
        </is>
      </c>
      <c r="E142" s="9" t="inlineStr">
        <is>
          <t>test/ suite</t>
        </is>
      </c>
    </row>
    <row r="143">
      <c r="A143" s="8" t="inlineStr">
        <is>
          <t>v0.34.0</t>
        </is>
      </c>
      <c r="B143" s="8" t="n">
        <v>4</v>
      </c>
      <c r="C143" s="8" t="inlineStr">
        <is>
          <t>Gate</t>
        </is>
      </c>
      <c r="D143" s="9" t="inlineStr">
        <is>
          <t>Run the full suite at the D13 threshold; refuse the release below 100% on any of the four measures.</t>
        </is>
      </c>
      <c r="E143" s="9" t="inlineStr">
        <is>
          <t>34 suites / 572 tests · 100x4</t>
        </is>
      </c>
    </row>
    <row r="144">
      <c r="A144" s="8" t="inlineStr">
        <is>
          <t>v0.34.0</t>
        </is>
      </c>
      <c r="B144" s="8" t="n">
        <v>5</v>
      </c>
      <c r="C144" s="8" t="inlineStr">
        <is>
          <t>Document</t>
        </is>
      </c>
      <c r="D144" s="9" t="inlineStr">
        <is>
          <t>Add the version paragraph to README.md in the established voice and update any affected document in docs/.</t>
        </is>
      </c>
      <c r="E144" s="9" t="inlineStr">
        <is>
          <t>README.md + docs/</t>
        </is>
      </c>
    </row>
    <row r="145">
      <c r="A145" s="8" t="inlineStr">
        <is>
          <t>v0.35.0</t>
        </is>
      </c>
      <c r="B145" s="8" t="n">
        <v>1</v>
      </c>
      <c r="C145" s="8" t="inlineStr">
        <is>
          <t>Analyse</t>
        </is>
      </c>
      <c r="D145" s="9" t="inlineStr">
        <is>
          <t>Identify the defect or scope for v0.35.0 and record it as SR-07.</t>
        </is>
      </c>
      <c r="E145" s="9" t="inlineStr">
        <is>
          <t>Tracker Review_Findings / Traceability row</t>
        </is>
      </c>
    </row>
    <row r="146">
      <c r="A146" s="8" t="inlineStr">
        <is>
          <t>v0.35.0</t>
        </is>
      </c>
      <c r="B146" s="8" t="n">
        <v>2</v>
      </c>
      <c r="C146" s="8" t="inlineStr">
        <is>
          <t>Fix</t>
        </is>
      </c>
      <c r="D146" s="9" t="inlineStr">
        <is>
          <t>Implement the change described in the Version_Detail row for v0.35.0.</t>
        </is>
      </c>
      <c r="E146" s="9" t="inlineStr">
        <is>
          <t>src/ change set</t>
        </is>
      </c>
    </row>
    <row r="147">
      <c r="A147" s="8" t="inlineStr">
        <is>
          <t>v0.35.0</t>
        </is>
      </c>
      <c r="B147" s="8" t="n">
        <v>3</v>
      </c>
      <c r="C147" s="8" t="inlineStr">
        <is>
          <t>Pin</t>
        </is>
      </c>
      <c r="D147" s="9" t="inlineStr">
        <is>
          <t>Write a named regression test that fails before the change and passes after it.</t>
        </is>
      </c>
      <c r="E147" s="9" t="inlineStr">
        <is>
          <t>test/ suite</t>
        </is>
      </c>
    </row>
    <row r="148">
      <c r="A148" s="8" t="inlineStr">
        <is>
          <t>v0.35.0</t>
        </is>
      </c>
      <c r="B148" s="8" t="n">
        <v>4</v>
      </c>
      <c r="C148" s="8" t="inlineStr">
        <is>
          <t>Gate</t>
        </is>
      </c>
      <c r="D148" s="9" t="inlineStr">
        <is>
          <t>Run the full suite at the D13 threshold; refuse the release below 100% on any of the four measures.</t>
        </is>
      </c>
      <c r="E148" s="9" t="inlineStr">
        <is>
          <t>34 suites / 574 tests · 100x4</t>
        </is>
      </c>
    </row>
    <row r="149">
      <c r="A149" s="8" t="inlineStr">
        <is>
          <t>v0.35.0</t>
        </is>
      </c>
      <c r="B149" s="8" t="n">
        <v>5</v>
      </c>
      <c r="C149" s="8" t="inlineStr">
        <is>
          <t>Document</t>
        </is>
      </c>
      <c r="D149" s="9" t="inlineStr">
        <is>
          <t>Add the version paragraph to README.md in the established voice and update any affected document in docs/.</t>
        </is>
      </c>
      <c r="E149" s="9" t="inlineStr">
        <is>
          <t>README.md + docs/</t>
        </is>
      </c>
    </row>
    <row r="150">
      <c r="A150" s="8" t="inlineStr">
        <is>
          <t>v0.36.0</t>
        </is>
      </c>
      <c r="B150" s="8" t="n">
        <v>1</v>
      </c>
      <c r="C150" s="8" t="inlineStr">
        <is>
          <t>Analyse</t>
        </is>
      </c>
      <c r="D150" s="9" t="inlineStr">
        <is>
          <t>Identify the defect or scope for v0.36.0 and record it as SR-08.</t>
        </is>
      </c>
      <c r="E150" s="9" t="inlineStr">
        <is>
          <t>Tracker Review_Findings / Traceability row</t>
        </is>
      </c>
    </row>
    <row r="151">
      <c r="A151" s="8" t="inlineStr">
        <is>
          <t>v0.36.0</t>
        </is>
      </c>
      <c r="B151" s="8" t="n">
        <v>2</v>
      </c>
      <c r="C151" s="8" t="inlineStr">
        <is>
          <t>Fix</t>
        </is>
      </c>
      <c r="D151" s="9" t="inlineStr">
        <is>
          <t>Implement the change described in the Version_Detail row for v0.36.0.</t>
        </is>
      </c>
      <c r="E151" s="9" t="inlineStr">
        <is>
          <t>src/ change set</t>
        </is>
      </c>
    </row>
    <row r="152">
      <c r="A152" s="8" t="inlineStr">
        <is>
          <t>v0.36.0</t>
        </is>
      </c>
      <c r="B152" s="8" t="n">
        <v>3</v>
      </c>
      <c r="C152" s="8" t="inlineStr">
        <is>
          <t>Pin</t>
        </is>
      </c>
      <c r="D152" s="9" t="inlineStr">
        <is>
          <t>Write a named regression test that fails before the change and passes after it.</t>
        </is>
      </c>
      <c r="E152" s="9" t="inlineStr">
        <is>
          <t>test/ suite</t>
        </is>
      </c>
    </row>
    <row r="153">
      <c r="A153" s="8" t="inlineStr">
        <is>
          <t>v0.36.0</t>
        </is>
      </c>
      <c r="B153" s="8" t="n">
        <v>4</v>
      </c>
      <c r="C153" s="8" t="inlineStr">
        <is>
          <t>Gate</t>
        </is>
      </c>
      <c r="D153" s="9" t="inlineStr">
        <is>
          <t>Run the full suite at the D13 threshold; refuse the release below 100% on any of the four measures.</t>
        </is>
      </c>
      <c r="E153" s="9" t="inlineStr">
        <is>
          <t>35 suites / 589 tests · 100x4</t>
        </is>
      </c>
    </row>
    <row r="154">
      <c r="A154" s="8" t="inlineStr">
        <is>
          <t>v0.36.0</t>
        </is>
      </c>
      <c r="B154" s="8" t="n">
        <v>5</v>
      </c>
      <c r="C154" s="8" t="inlineStr">
        <is>
          <t>Document</t>
        </is>
      </c>
      <c r="D154" s="9" t="inlineStr">
        <is>
          <t>Add the version paragraph to README.md in the established voice and update any affected document in docs/.</t>
        </is>
      </c>
      <c r="E154" s="9" t="inlineStr">
        <is>
          <t>README.md + docs/</t>
        </is>
      </c>
    </row>
    <row r="155">
      <c r="A155" s="8" t="inlineStr">
        <is>
          <t>v0.37.0</t>
        </is>
      </c>
      <c r="B155" s="8" t="n">
        <v>1</v>
      </c>
      <c r="C155" s="8" t="inlineStr">
        <is>
          <t>Analyse</t>
        </is>
      </c>
      <c r="D155" s="9" t="inlineStr">
        <is>
          <t>Identify the defect or scope for v0.37.0 and record it as ST-087.</t>
        </is>
      </c>
      <c r="E155" s="9" t="inlineStr">
        <is>
          <t>Tracker Review_Findings / Traceability row</t>
        </is>
      </c>
    </row>
    <row r="156">
      <c r="A156" s="8" t="inlineStr">
        <is>
          <t>v0.37.0</t>
        </is>
      </c>
      <c r="B156" s="8" t="n">
        <v>2</v>
      </c>
      <c r="C156" s="8" t="inlineStr">
        <is>
          <t>Build</t>
        </is>
      </c>
      <c r="D156" s="9" t="inlineStr">
        <is>
          <t>Implement the change described in the Version_Detail row for v0.37.0.</t>
        </is>
      </c>
      <c r="E156" s="9" t="inlineStr">
        <is>
          <t>src/ change set</t>
        </is>
      </c>
    </row>
    <row r="157">
      <c r="A157" s="8" t="inlineStr">
        <is>
          <t>v0.37.0</t>
        </is>
      </c>
      <c r="B157" s="8" t="n">
        <v>3</v>
      </c>
      <c r="C157" s="8" t="inlineStr">
        <is>
          <t>Pin</t>
        </is>
      </c>
      <c r="D157" s="9" t="inlineStr">
        <is>
          <t>Write a named regression test that fails before the change and passes after it.</t>
        </is>
      </c>
      <c r="E157" s="9" t="inlineStr">
        <is>
          <t>test/ suite</t>
        </is>
      </c>
    </row>
    <row r="158">
      <c r="A158" s="8" t="inlineStr">
        <is>
          <t>v0.37.0</t>
        </is>
      </c>
      <c r="B158" s="8" t="n">
        <v>4</v>
      </c>
      <c r="C158" s="8" t="inlineStr">
        <is>
          <t>Gate</t>
        </is>
      </c>
      <c r="D158" s="9" t="inlineStr">
        <is>
          <t>Run the full suite at the D13 threshold; refuse the release below 100% on any of the four measures.</t>
        </is>
      </c>
      <c r="E158" s="9" t="inlineStr">
        <is>
          <t>35 suites / 590 tests · 100x4</t>
        </is>
      </c>
    </row>
    <row r="159">
      <c r="A159" s="8" t="inlineStr">
        <is>
          <t>v0.37.0</t>
        </is>
      </c>
      <c r="B159" s="8" t="n">
        <v>5</v>
      </c>
      <c r="C159" s="8" t="inlineStr">
        <is>
          <t>Document</t>
        </is>
      </c>
      <c r="D159" s="9" t="inlineStr">
        <is>
          <t>Add the version paragraph to README.md in the established voice and update any affected document in docs/.</t>
        </is>
      </c>
      <c r="E159" s="9" t="inlineStr">
        <is>
          <t>README.md + docs/</t>
        </is>
      </c>
    </row>
    <row r="160">
      <c r="A160" s="8" t="inlineStr">
        <is>
          <t>v0.38.0</t>
        </is>
      </c>
      <c r="B160" s="8" t="n">
        <v>1</v>
      </c>
      <c r="C160" s="8" t="inlineStr">
        <is>
          <t>Analyse</t>
        </is>
      </c>
      <c r="D160" s="9" t="inlineStr">
        <is>
          <t>Identify the defect or scope for v0.38.0 and record it as ST-087 (correction).</t>
        </is>
      </c>
      <c r="E160" s="9" t="inlineStr">
        <is>
          <t>Tracker Review_Findings / Traceability row</t>
        </is>
      </c>
    </row>
    <row r="161">
      <c r="A161" s="8" t="inlineStr">
        <is>
          <t>v0.38.0</t>
        </is>
      </c>
      <c r="B161" s="8" t="n">
        <v>2</v>
      </c>
      <c r="C161" s="8" t="inlineStr">
        <is>
          <t>Fix</t>
        </is>
      </c>
      <c r="D161" s="9" t="inlineStr">
        <is>
          <t>Implement the change described in the Version_Detail row for v0.38.0.</t>
        </is>
      </c>
      <c r="E161" s="9" t="inlineStr">
        <is>
          <t>src/ change set</t>
        </is>
      </c>
    </row>
    <row r="162">
      <c r="A162" s="8" t="inlineStr">
        <is>
          <t>v0.38.0</t>
        </is>
      </c>
      <c r="B162" s="8" t="n">
        <v>3</v>
      </c>
      <c r="C162" s="8" t="inlineStr">
        <is>
          <t>Pin</t>
        </is>
      </c>
      <c r="D162" s="9" t="inlineStr">
        <is>
          <t>Write a named regression test that fails before the change and passes after it.</t>
        </is>
      </c>
      <c r="E162" s="9" t="inlineStr">
        <is>
          <t>test/ suite</t>
        </is>
      </c>
    </row>
    <row r="163">
      <c r="A163" s="8" t="inlineStr">
        <is>
          <t>v0.38.0</t>
        </is>
      </c>
      <c r="B163" s="8" t="n">
        <v>4</v>
      </c>
      <c r="C163" s="8" t="inlineStr">
        <is>
          <t>Gate</t>
        </is>
      </c>
      <c r="D163" s="9" t="inlineStr">
        <is>
          <t>Run the full suite at the D13 threshold; refuse the release below 100% on any of the four measures.</t>
        </is>
      </c>
      <c r="E163" s="9" t="inlineStr">
        <is>
          <t>35 suites / 591 tests · 100x4</t>
        </is>
      </c>
    </row>
    <row r="164">
      <c r="A164" s="8" t="inlineStr">
        <is>
          <t>v0.38.0</t>
        </is>
      </c>
      <c r="B164" s="8" t="n">
        <v>5</v>
      </c>
      <c r="C164" s="8" t="inlineStr">
        <is>
          <t>Document</t>
        </is>
      </c>
      <c r="D164" s="9" t="inlineStr">
        <is>
          <t>Add the version paragraph to README.md in the established voice and update any affected document in docs/.</t>
        </is>
      </c>
      <c r="E164" s="9" t="inlineStr">
        <is>
          <t>README.md + docs/</t>
        </is>
      </c>
    </row>
    <row r="165">
      <c r="A165" s="8" t="inlineStr">
        <is>
          <t>v0.39.0</t>
        </is>
      </c>
      <c r="B165" s="8" t="n">
        <v>1</v>
      </c>
      <c r="C165" s="8" t="inlineStr">
        <is>
          <t>Analyse</t>
        </is>
      </c>
      <c r="D165" s="9" t="inlineStr">
        <is>
          <t>Identify the defect or scope for v0.39.0 and record it as ST-096 (correction).</t>
        </is>
      </c>
      <c r="E165" s="9" t="inlineStr">
        <is>
          <t>Tracker Review_Findings / Traceability row</t>
        </is>
      </c>
    </row>
    <row r="166">
      <c r="A166" s="8" t="inlineStr">
        <is>
          <t>v0.39.0</t>
        </is>
      </c>
      <c r="B166" s="8" t="n">
        <v>2</v>
      </c>
      <c r="C166" s="8" t="inlineStr">
        <is>
          <t>Fix</t>
        </is>
      </c>
      <c r="D166" s="9" t="inlineStr">
        <is>
          <t>Implement the change described in the Version_Detail row for v0.39.0.</t>
        </is>
      </c>
      <c r="E166" s="9" t="inlineStr">
        <is>
          <t>src/ change set</t>
        </is>
      </c>
    </row>
    <row r="167">
      <c r="A167" s="8" t="inlineStr">
        <is>
          <t>v0.39.0</t>
        </is>
      </c>
      <c r="B167" s="8" t="n">
        <v>3</v>
      </c>
      <c r="C167" s="8" t="inlineStr">
        <is>
          <t>Pin</t>
        </is>
      </c>
      <c r="D167" s="9" t="inlineStr">
        <is>
          <t>Write a named regression test that fails before the change and passes after it.</t>
        </is>
      </c>
      <c r="E167" s="9" t="inlineStr">
        <is>
          <t>test/ suite</t>
        </is>
      </c>
    </row>
    <row r="168">
      <c r="A168" s="8" t="inlineStr">
        <is>
          <t>v0.39.0</t>
        </is>
      </c>
      <c r="B168" s="8" t="n">
        <v>4</v>
      </c>
      <c r="C168" s="8" t="inlineStr">
        <is>
          <t>Gate</t>
        </is>
      </c>
      <c r="D168" s="9" t="inlineStr">
        <is>
          <t>Run the full suite at the D13 threshold; refuse the release below 100% on any of the four measures.</t>
        </is>
      </c>
      <c r="E168" s="9" t="inlineStr">
        <is>
          <t>35 suites / 591 tests · 100x4</t>
        </is>
      </c>
    </row>
    <row r="169">
      <c r="A169" s="8" t="inlineStr">
        <is>
          <t>v0.39.0</t>
        </is>
      </c>
      <c r="B169" s="8" t="n">
        <v>5</v>
      </c>
      <c r="C169" s="8" t="inlineStr">
        <is>
          <t>Document</t>
        </is>
      </c>
      <c r="D169" s="9" t="inlineStr">
        <is>
          <t>Add the version paragraph to README.md in the established voice and update any affected document in docs/.</t>
        </is>
      </c>
      <c r="E169" s="9" t="inlineStr">
        <is>
          <t>README.md + docs/</t>
        </is>
      </c>
    </row>
    <row r="170">
      <c r="A170" s="8" t="inlineStr">
        <is>
          <t>v0.40.0</t>
        </is>
      </c>
      <c r="B170" s="8" t="n">
        <v>1</v>
      </c>
      <c r="C170" s="8" t="inlineStr">
        <is>
          <t>Analyse</t>
        </is>
      </c>
      <c r="D170" s="9" t="inlineStr">
        <is>
          <t>Identify the defect or scope for v0.40.0 and record it as ST-072.</t>
        </is>
      </c>
      <c r="E170" s="9" t="inlineStr">
        <is>
          <t>Tracker Review_Findings / Traceability row</t>
        </is>
      </c>
    </row>
    <row r="171">
      <c r="A171" s="8" t="inlineStr">
        <is>
          <t>v0.40.0</t>
        </is>
      </c>
      <c r="B171" s="8" t="n">
        <v>2</v>
      </c>
      <c r="C171" s="8" t="inlineStr">
        <is>
          <t>Build</t>
        </is>
      </c>
      <c r="D171" s="9" t="inlineStr">
        <is>
          <t>Implement the change described in the Version_Detail row for v0.40.0.</t>
        </is>
      </c>
      <c r="E171" s="9" t="inlineStr">
        <is>
          <t>src/ change set</t>
        </is>
      </c>
    </row>
    <row r="172">
      <c r="A172" s="8" t="inlineStr">
        <is>
          <t>v0.40.0</t>
        </is>
      </c>
      <c r="B172" s="8" t="n">
        <v>3</v>
      </c>
      <c r="C172" s="8" t="inlineStr">
        <is>
          <t>Pin</t>
        </is>
      </c>
      <c r="D172" s="9" t="inlineStr">
        <is>
          <t>Write a named regression test that fails before the change and passes after it.</t>
        </is>
      </c>
      <c r="E172" s="9" t="inlineStr">
        <is>
          <t>test/ suite</t>
        </is>
      </c>
    </row>
    <row r="173">
      <c r="A173" s="8" t="inlineStr">
        <is>
          <t>v0.40.0</t>
        </is>
      </c>
      <c r="B173" s="8" t="n">
        <v>4</v>
      </c>
      <c r="C173" s="8" t="inlineStr">
        <is>
          <t>Gate</t>
        </is>
      </c>
      <c r="D173" s="9" t="inlineStr">
        <is>
          <t>Run the full suite at the D13 threshold; refuse the release below 100% on any of the four measures.</t>
        </is>
      </c>
      <c r="E173" s="9" t="inlineStr">
        <is>
          <t>35 suites / 591 tests · 100x4</t>
        </is>
      </c>
    </row>
    <row r="174">
      <c r="A174" s="8" t="inlineStr">
        <is>
          <t>v0.40.0</t>
        </is>
      </c>
      <c r="B174" s="8" t="n">
        <v>5</v>
      </c>
      <c r="C174" s="8" t="inlineStr">
        <is>
          <t>Document</t>
        </is>
      </c>
      <c r="D174" s="9" t="inlineStr">
        <is>
          <t>Add the version paragraph to README.md in the established voice and update any affected document in docs/.</t>
        </is>
      </c>
      <c r="E174" s="9" t="inlineStr">
        <is>
          <t>README.md + docs/</t>
        </is>
      </c>
    </row>
    <row r="175">
      <c r="A175" s="8" t="inlineStr">
        <is>
          <t>v0.41.0</t>
        </is>
      </c>
      <c r="B175" s="8" t="n">
        <v>1</v>
      </c>
      <c r="C175" s="8" t="inlineStr">
        <is>
          <t>Analyse</t>
        </is>
      </c>
      <c r="D175" s="9" t="inlineStr">
        <is>
          <t>Identify the defect or scope for v0.41.0 and record it as ST-072 (justification).</t>
        </is>
      </c>
      <c r="E175" s="9" t="inlineStr">
        <is>
          <t>Tracker Review_Findings / Traceability row</t>
        </is>
      </c>
    </row>
    <row r="176">
      <c r="A176" s="8" t="inlineStr">
        <is>
          <t>v0.41.0</t>
        </is>
      </c>
      <c r="B176" s="8" t="n">
        <v>2</v>
      </c>
      <c r="C176" s="8" t="inlineStr">
        <is>
          <t>Fix</t>
        </is>
      </c>
      <c r="D176" s="9" t="inlineStr">
        <is>
          <t>Implement the change described in the Version_Detail row for v0.41.0.</t>
        </is>
      </c>
      <c r="E176" s="9" t="inlineStr">
        <is>
          <t>src/ change set</t>
        </is>
      </c>
    </row>
    <row r="177">
      <c r="A177" s="8" t="inlineStr">
        <is>
          <t>v0.41.0</t>
        </is>
      </c>
      <c r="B177" s="8" t="n">
        <v>3</v>
      </c>
      <c r="C177" s="8" t="inlineStr">
        <is>
          <t>Pin</t>
        </is>
      </c>
      <c r="D177" s="9" t="inlineStr">
        <is>
          <t>Write a named regression test that fails before the change and passes after it.</t>
        </is>
      </c>
      <c r="E177" s="9" t="inlineStr">
        <is>
          <t>test/ suite</t>
        </is>
      </c>
    </row>
    <row r="178">
      <c r="A178" s="8" t="inlineStr">
        <is>
          <t>v0.41.0</t>
        </is>
      </c>
      <c r="B178" s="8" t="n">
        <v>4</v>
      </c>
      <c r="C178" s="8" t="inlineStr">
        <is>
          <t>Gate</t>
        </is>
      </c>
      <c r="D178" s="9" t="inlineStr">
        <is>
          <t>Run the full suite at the D13 threshold; refuse the release below 100% on any of the four measures.</t>
        </is>
      </c>
      <c r="E178" s="9" t="inlineStr">
        <is>
          <t>35 suites / 591 tests · 100x4</t>
        </is>
      </c>
    </row>
    <row r="179">
      <c r="A179" s="8" t="inlineStr">
        <is>
          <t>v0.41.0</t>
        </is>
      </c>
      <c r="B179" s="8" t="n">
        <v>5</v>
      </c>
      <c r="C179" s="8" t="inlineStr">
        <is>
          <t>Document</t>
        </is>
      </c>
      <c r="D179" s="9" t="inlineStr">
        <is>
          <t>Add the version paragraph to README.md in the established voice and update any affected document in docs/.</t>
        </is>
      </c>
      <c r="E179" s="9" t="inlineStr">
        <is>
          <t>README.md + docs/</t>
        </is>
      </c>
    </row>
    <row r="180">
      <c r="A180" s="8" t="inlineStr">
        <is>
          <t>v0.42.0</t>
        </is>
      </c>
      <c r="B180" s="8" t="n">
        <v>1</v>
      </c>
      <c r="C180" s="8" t="inlineStr">
        <is>
          <t>Analyse</t>
        </is>
      </c>
      <c r="D180" s="9" t="inlineStr">
        <is>
          <t>Identify the defect or scope for v0.42.0 and record it as ST-075.</t>
        </is>
      </c>
      <c r="E180" s="9" t="inlineStr">
        <is>
          <t>Tracker Review_Findings / Traceability row</t>
        </is>
      </c>
    </row>
    <row r="181">
      <c r="A181" s="8" t="inlineStr">
        <is>
          <t>v0.42.0</t>
        </is>
      </c>
      <c r="B181" s="8" t="n">
        <v>2</v>
      </c>
      <c r="C181" s="8" t="inlineStr">
        <is>
          <t>Build</t>
        </is>
      </c>
      <c r="D181" s="9" t="inlineStr">
        <is>
          <t>Implement the change described in the Version_Detail row for v0.42.0.</t>
        </is>
      </c>
      <c r="E181" s="9" t="inlineStr">
        <is>
          <t>src/ change set</t>
        </is>
      </c>
    </row>
    <row r="182">
      <c r="A182" s="8" t="inlineStr">
        <is>
          <t>v0.42.0</t>
        </is>
      </c>
      <c r="B182" s="8" t="n">
        <v>3</v>
      </c>
      <c r="C182" s="8" t="inlineStr">
        <is>
          <t>Pin</t>
        </is>
      </c>
      <c r="D182" s="9" t="inlineStr">
        <is>
          <t>Write a named regression test that fails before the change and passes after it.</t>
        </is>
      </c>
      <c r="E182" s="9" t="inlineStr">
        <is>
          <t>test/ suite</t>
        </is>
      </c>
    </row>
    <row r="183">
      <c r="A183" s="8" t="inlineStr">
        <is>
          <t>v0.42.0</t>
        </is>
      </c>
      <c r="B183" s="8" t="n">
        <v>4</v>
      </c>
      <c r="C183" s="8" t="inlineStr">
        <is>
          <t>Gate</t>
        </is>
      </c>
      <c r="D183" s="9" t="inlineStr">
        <is>
          <t>Run the full suite at the D13 threshold; refuse the release below 100% on any of the four measures.</t>
        </is>
      </c>
      <c r="E183" s="9" t="inlineStr">
        <is>
          <t>35 suites / 589 tests · 100x4</t>
        </is>
      </c>
    </row>
    <row r="184">
      <c r="A184" s="8" t="inlineStr">
        <is>
          <t>v0.42.0</t>
        </is>
      </c>
      <c r="B184" s="8" t="n">
        <v>5</v>
      </c>
      <c r="C184" s="8" t="inlineStr">
        <is>
          <t>Document</t>
        </is>
      </c>
      <c r="D184" s="9" t="inlineStr">
        <is>
          <t>Add the version paragraph to README.md in the established voice and update any affected document in docs/.</t>
        </is>
      </c>
      <c r="E184" s="9" t="inlineStr">
        <is>
          <t>README.md + docs/</t>
        </is>
      </c>
    </row>
    <row r="185">
      <c r="A185" s="8" t="inlineStr">
        <is>
          <t>v0.43.0</t>
        </is>
      </c>
      <c r="B185" s="8" t="n">
        <v>1</v>
      </c>
      <c r="C185" s="8" t="inlineStr">
        <is>
          <t>Analyse</t>
        </is>
      </c>
      <c r="D185" s="9" t="inlineStr">
        <is>
          <t>Identify the defect or scope for v0.43.0 and record it as SR-01 (repeat), ST-075.</t>
        </is>
      </c>
      <c r="E185" s="9" t="inlineStr">
        <is>
          <t>Tracker Review_Findings / Traceability row</t>
        </is>
      </c>
    </row>
    <row r="186">
      <c r="A186" s="8" t="inlineStr">
        <is>
          <t>v0.43.0</t>
        </is>
      </c>
      <c r="B186" s="8" t="n">
        <v>2</v>
      </c>
      <c r="C186" s="8" t="inlineStr">
        <is>
          <t>Fix</t>
        </is>
      </c>
      <c r="D186" s="9" t="inlineStr">
        <is>
          <t>Implement the change described in the Version_Detail row for v0.43.0.</t>
        </is>
      </c>
      <c r="E186" s="9" t="inlineStr">
        <is>
          <t>src/ change set</t>
        </is>
      </c>
    </row>
    <row r="187">
      <c r="A187" s="8" t="inlineStr">
        <is>
          <t>v0.43.0</t>
        </is>
      </c>
      <c r="B187" s="8" t="n">
        <v>3</v>
      </c>
      <c r="C187" s="8" t="inlineStr">
        <is>
          <t>Pin</t>
        </is>
      </c>
      <c r="D187" s="9" t="inlineStr">
        <is>
          <t>Write a named regression test that fails before the change and passes after it.</t>
        </is>
      </c>
      <c r="E187" s="9" t="inlineStr">
        <is>
          <t>test/ suite</t>
        </is>
      </c>
    </row>
    <row r="188">
      <c r="A188" s="8" t="inlineStr">
        <is>
          <t>v0.43.0</t>
        </is>
      </c>
      <c r="B188" s="8" t="n">
        <v>4</v>
      </c>
      <c r="C188" s="8" t="inlineStr">
        <is>
          <t>Gate</t>
        </is>
      </c>
      <c r="D188" s="9" t="inlineStr">
        <is>
          <t>Run the full suite at the D13 threshold; refuse the release below 100% on any of the four measures.</t>
        </is>
      </c>
      <c r="E188" s="9" t="inlineStr">
        <is>
          <t>35 suites / 590 tests · 100x4</t>
        </is>
      </c>
    </row>
    <row r="189">
      <c r="A189" s="8" t="inlineStr">
        <is>
          <t>v0.43.0</t>
        </is>
      </c>
      <c r="B189" s="8" t="n">
        <v>5</v>
      </c>
      <c r="C189" s="8" t="inlineStr">
        <is>
          <t>Document</t>
        </is>
      </c>
      <c r="D189" s="9" t="inlineStr">
        <is>
          <t>Add the version paragraph to README.md in the established voice and update any affected document in docs/.</t>
        </is>
      </c>
      <c r="E189" s="9" t="inlineStr">
        <is>
          <t>README.md + docs/</t>
        </is>
      </c>
    </row>
    <row r="190">
      <c r="A190" s="8" t="inlineStr">
        <is>
          <t>v0.44.0</t>
        </is>
      </c>
      <c r="B190" s="8" t="n">
        <v>1</v>
      </c>
      <c r="C190" s="8" t="inlineStr">
        <is>
          <t>Analyse</t>
        </is>
      </c>
      <c r="D190" s="9" t="inlineStr">
        <is>
          <t>Identify the defect or scope for v0.44.0 and record it as ST-075, ST-077.</t>
        </is>
      </c>
      <c r="E190" s="9" t="inlineStr">
        <is>
          <t>Tracker Review_Findings / Traceability row</t>
        </is>
      </c>
    </row>
    <row r="191">
      <c r="A191" s="8" t="inlineStr">
        <is>
          <t>v0.44.0</t>
        </is>
      </c>
      <c r="B191" s="8" t="n">
        <v>2</v>
      </c>
      <c r="C191" s="8" t="inlineStr">
        <is>
          <t>Fix</t>
        </is>
      </c>
      <c r="D191" s="9" t="inlineStr">
        <is>
          <t>Implement the change described in the Version_Detail row for v0.44.0.</t>
        </is>
      </c>
      <c r="E191" s="9" t="inlineStr">
        <is>
          <t>src/ change set</t>
        </is>
      </c>
    </row>
    <row r="192">
      <c r="A192" s="8" t="inlineStr">
        <is>
          <t>v0.44.0</t>
        </is>
      </c>
      <c r="B192" s="8" t="n">
        <v>3</v>
      </c>
      <c r="C192" s="8" t="inlineStr">
        <is>
          <t>Pin</t>
        </is>
      </c>
      <c r="D192" s="9" t="inlineStr">
        <is>
          <t>Write a named regression test that fails before the change and passes after it.</t>
        </is>
      </c>
      <c r="E192" s="9" t="inlineStr">
        <is>
          <t>test/ suite</t>
        </is>
      </c>
    </row>
    <row r="193">
      <c r="A193" s="8" t="inlineStr">
        <is>
          <t>v0.44.0</t>
        </is>
      </c>
      <c r="B193" s="8" t="n">
        <v>4</v>
      </c>
      <c r="C193" s="8" t="inlineStr">
        <is>
          <t>Gate</t>
        </is>
      </c>
      <c r="D193" s="9" t="inlineStr">
        <is>
          <t>Run the full suite at the D13 threshold; refuse the release below 100% on any of the four measures.</t>
        </is>
      </c>
      <c r="E193" s="9" t="inlineStr">
        <is>
          <t>35 suites / 591 tests · 100x4</t>
        </is>
      </c>
    </row>
    <row r="194">
      <c r="A194" s="8" t="inlineStr">
        <is>
          <t>v0.44.0</t>
        </is>
      </c>
      <c r="B194" s="8" t="n">
        <v>5</v>
      </c>
      <c r="C194" s="8" t="inlineStr">
        <is>
          <t>Document</t>
        </is>
      </c>
      <c r="D194" s="9" t="inlineStr">
        <is>
          <t>Add the version paragraph to README.md in the established voice and update any affected document in docs/.</t>
        </is>
      </c>
      <c r="E194" s="9" t="inlineStr">
        <is>
          <t>README.md + docs/</t>
        </is>
      </c>
    </row>
    <row r="195">
      <c r="A195" s="8" t="inlineStr">
        <is>
          <t>v0.45.0</t>
        </is>
      </c>
      <c r="B195" s="8" t="n">
        <v>1</v>
      </c>
      <c r="C195" s="8" t="inlineStr">
        <is>
          <t>Intake</t>
        </is>
      </c>
      <c r="D195" s="9" t="inlineStr">
        <is>
          <t>Read Perplexity Review V001 in full; enter all 14 findings, all 51 proposed stories and all six decisions into the tracker before writing any code.</t>
        </is>
      </c>
      <c r="E195" s="9" t="inlineStr">
        <is>
          <t>Review_Findings PR-01…14; Traceability ST-101…151; Decisions PD-01…06</t>
        </is>
      </c>
    </row>
    <row r="196">
      <c r="A196" s="8" t="inlineStr">
        <is>
          <t>v0.45.0</t>
        </is>
      </c>
      <c r="B196" s="8" t="n">
        <v>2</v>
      </c>
      <c r="C196" s="8" t="inlineStr">
        <is>
          <t>Triage</t>
        </is>
      </c>
      <c r="D196" s="9" t="inlineStr">
        <is>
          <t>Separate the findings that are code from the findings that are decisions. Nine were code, four were decisions, one was partially both.</t>
        </is>
      </c>
      <c r="E196" s="9" t="inlineStr">
        <is>
          <t>S13 and S14 selected for execution; S15–S20 recorded and held</t>
        </is>
      </c>
    </row>
    <row r="197">
      <c r="A197" s="8" t="inlineStr">
        <is>
          <t>v0.45.0</t>
        </is>
      </c>
      <c r="B197" s="8" t="n">
        <v>3</v>
      </c>
      <c r="C197" s="8" t="inlineStr">
        <is>
          <t>Fix PR-01</t>
        </is>
      </c>
      <c r="D197" s="9" t="inlineStr">
        <is>
          <t>Build src/identity.ts: fetch Zoom /users/me with the freshly issued access token, derive the canonical account id from it, compare the caller's hint and refuse a mismatch with 403 plus an install.tenant audit row. Re-check the same invariant inside installAccount.</t>
        </is>
      </c>
      <c r="E197" s="9" t="inlineStr">
        <is>
          <t>src/identity.ts, src/lifecycle.ts, src/app.ts</t>
        </is>
      </c>
    </row>
    <row r="198">
      <c r="A198" s="8" t="inlineStr">
        <is>
          <t>v0.45.0</t>
        </is>
      </c>
      <c r="B198" s="8" t="n">
        <v>4</v>
      </c>
      <c r="C198" s="8" t="inlineStr">
        <is>
          <t>Fix PR-08</t>
        </is>
      </c>
      <c r="D198" s="9" t="inlineStr">
        <is>
          <t>Carry the Zoom user id, email and mapped role in the session; delete the owner@&lt;accountId&gt; synthesis; add installed_by and contact_email to the account row.</t>
        </is>
      </c>
      <c r="E198" s="9" t="inlineStr">
        <is>
          <t>src/auth.ts, src/postgresStore.ts</t>
        </is>
      </c>
    </row>
    <row r="199">
      <c r="A199" s="8" t="inlineStr">
        <is>
          <t>v0.45.0</t>
        </is>
      </c>
      <c r="B199" s="8" t="n">
        <v>5</v>
      </c>
      <c r="C199" s="8" t="inlineStr">
        <is>
          <t>Fix PR-10 (sessions)</t>
        </is>
      </c>
      <c r="D199" s="9" t="inlineStr">
        <is>
          <t>Add jti, a 60-minute TTL, a durable revocation store (deny list plus per-account watermark), refresh/revoke/revoke-all routes, and HttpOnly cookie delivery. Revoke everything on uninstall and on delete-my-data.</t>
        </is>
      </c>
      <c r="E199" s="9" t="inlineStr">
        <is>
          <t>src/sessionStore.ts, src/auth.ts SessionManager</t>
        </is>
      </c>
    </row>
    <row r="200">
      <c r="A200" s="8" t="inlineStr">
        <is>
          <t>v0.45.0</t>
        </is>
      </c>
      <c r="B200" s="8" t="n">
        <v>6</v>
      </c>
      <c r="C200" s="8" t="inlineStr">
        <is>
          <t>Fix PR-10 (HTTP)</t>
        </is>
      </c>
      <c r="D200" s="9" t="inlineStr">
        <is>
          <t>Add security headers with a Zoom-compatible CSP, an explicit CORS allowlist, a 256 KB body cap and token-bucket rate limits per IP, per account and for the operator surface — dependency-free so they cannot drift with an upgrade.</t>
        </is>
      </c>
      <c r="E200" s="9" t="inlineStr">
        <is>
          <t>src/hardening.ts</t>
        </is>
      </c>
    </row>
    <row r="201">
      <c r="A201" s="8" t="inlineStr">
        <is>
          <t>v0.45.0</t>
        </is>
      </c>
      <c r="B201" s="8" t="n">
        <v>7</v>
      </c>
      <c r="C201" s="8" t="inlineStr">
        <is>
          <t>Fix ST-105</t>
        </is>
      </c>
      <c r="D201" s="9" t="inlineStr">
        <is>
          <t>Move /admin and /analytics onto their own router with their own budget and a credential that rotates in place with a grace window.</t>
        </is>
      </c>
      <c r="E201" s="9" t="inlineStr">
        <is>
          <t>src/operator.ts</t>
        </is>
      </c>
    </row>
    <row r="202">
      <c r="A202" s="8" t="inlineStr">
        <is>
          <t>v0.45.0</t>
        </is>
      </c>
      <c r="B202" s="8" t="n">
        <v>8</v>
      </c>
      <c r="C202" s="8" t="inlineStr">
        <is>
          <t>Fix PR-06</t>
        </is>
      </c>
      <c r="D202" s="9" t="inlineStr">
        <is>
          <t>Replace two drifting purge lists with one exported factory consumed by both the route and the scheduler, and assert their equality in a test.</t>
        </is>
      </c>
      <c r="E202" s="9" t="inlineStr">
        <is>
          <t>src/purge.ts</t>
        </is>
      </c>
    </row>
    <row r="203">
      <c r="A203" s="8" t="inlineStr">
        <is>
          <t>v0.45.0</t>
        </is>
      </c>
      <c r="B203" s="8" t="n">
        <v>9</v>
      </c>
      <c r="C203" s="8" t="inlineStr">
        <is>
          <t>Fix PR-07</t>
        </is>
      </c>
      <c r="D203" s="9" t="inlineStr">
        <is>
          <t>Make src/claims.ts the single source for what /trust serves, rewrite docs/TRUST_PAGE.md against it, and add a gate that refuses unbacked terms above the "Not yet" section.</t>
        </is>
      </c>
      <c r="E203" s="9" t="inlineStr">
        <is>
          <t>src/claims.ts, test/claims.test.ts</t>
        </is>
      </c>
    </row>
    <row r="204">
      <c r="A204" s="8" t="inlineStr">
        <is>
          <t>v0.45.0</t>
        </is>
      </c>
      <c r="B204" s="8" t="n">
        <v>10</v>
      </c>
      <c r="C204" s="8" t="inlineStr">
        <is>
          <t>Fix PR-03</t>
        </is>
      </c>
      <c r="D204" s="9" t="inlineStr">
        <is>
          <t>Expand the typed client from 4 methods to 48, wire every panel to it with optimistic updates and rollback, add the review screen, and rebuild the RTL suite around a fake server instead of hand-passed props.</t>
        </is>
      </c>
      <c r="E204" s="9" t="inlineStr">
        <is>
          <t>web/api.ts, five panels, web/ReviewScreen.tsx, web/fakeServer.ts</t>
        </is>
      </c>
    </row>
    <row r="205">
      <c r="A205" s="8" t="inlineStr">
        <is>
          <t>v0.45.0</t>
        </is>
      </c>
      <c r="B205" s="8" t="n">
        <v>11</v>
      </c>
      <c r="C205" s="8" t="inlineStr">
        <is>
          <t>Gate PR-03</t>
        </is>
      </c>
      <c r="D205" s="9" t="inlineStr">
        <is>
          <t>Add a second reachability audit: every route in app.ts must be referenced by the client or excused with a reason.</t>
        </is>
      </c>
      <c r="E205" s="9" t="inlineStr">
        <is>
          <t>tools/reachability/routes.ts, test/clientReachability.test.ts</t>
        </is>
      </c>
    </row>
    <row r="206">
      <c r="A206" s="8" t="inlineStr">
        <is>
          <t>v0.45.0</t>
        </is>
      </c>
      <c r="B206" s="8" t="n">
        <v>12</v>
      </c>
      <c r="C206" s="8" t="inlineStr">
        <is>
          <t>Fix PR-04</t>
        </is>
      </c>
      <c r="D206" s="9" t="inlineStr">
        <is>
          <t>Stage derived CRM fields on ingest when an adapter and a mapping exist; hold for human review by default; enqueue exactly one job on approval, idempotent under Zoom redelivery.</t>
        </is>
      </c>
      <c r="E206" s="9" t="inlineStr">
        <is>
          <t>src/transcripts.ts, src/insightStore.ts</t>
        </is>
      </c>
    </row>
    <row r="207">
      <c r="A207" s="8" t="inlineStr">
        <is>
          <t>v0.45.0</t>
        </is>
      </c>
      <c r="B207" s="8" t="n">
        <v>13</v>
      </c>
      <c r="C207" s="8" t="inlineStr">
        <is>
          <t>Fix PR-13</t>
        </is>
      </c>
      <c r="D207" s="9" t="inlineStr">
        <is>
          <t>Make notes sessions and meeting insights durable behind the existing two-implementation contract pattern.</t>
        </is>
      </c>
      <c r="E207" s="9" t="inlineStr">
        <is>
          <t>src/notesStore.ts, src/insightStore.ts, src/postgresStore.ts</t>
        </is>
      </c>
    </row>
    <row r="208">
      <c r="A208" s="8" t="inlineStr">
        <is>
          <t>v0.45.0</t>
        </is>
      </c>
      <c r="B208" s="8" t="n">
        <v>14</v>
      </c>
      <c r="C208" s="8" t="inlineStr">
        <is>
          <t>Fix ST-115</t>
        </is>
      </c>
      <c r="D208" s="9" t="inlineStr">
        <is>
          <t>Add a Sender seam with an HTTP JSON transport and a Notifier that names every non-delivery; write the email notification row only after a delivery.</t>
        </is>
      </c>
      <c r="E208" s="9" t="inlineStr">
        <is>
          <t>src/sender.ts</t>
        </is>
      </c>
    </row>
    <row r="209">
      <c r="A209" s="8" t="inlineStr">
        <is>
          <t>v0.45.0</t>
        </is>
      </c>
      <c r="B209" s="8" t="n">
        <v>15</v>
      </c>
      <c r="C209" s="8" t="inlineStr">
        <is>
          <t>Fix PR-14</t>
        </is>
      </c>
      <c r="D209" s="9" t="inlineStr">
        <is>
          <t>Cohort trial conversion by trial-start week and add an "activated" funnel stage on first approved writeback; derive the CSV header from the stage list.</t>
        </is>
      </c>
      <c r="E209" s="9" t="inlineStr">
        <is>
          <t>src/billing.ts, src/telemetry.ts</t>
        </is>
      </c>
    </row>
    <row r="210">
      <c r="A210" s="8" t="inlineStr">
        <is>
          <t>v0.45.0</t>
        </is>
      </c>
      <c r="B210" s="8" t="n">
        <v>16</v>
      </c>
      <c r="C210" s="8" t="inlineStr">
        <is>
          <t>Self-review</t>
        </is>
      </c>
      <c r="D210" s="9" t="inlineStr">
        <is>
          <t>The new session store contract suite failed on its first run: the in-memory revoke shortened a deny row's expiry where the SQL one used GREATEST.</t>
        </is>
      </c>
      <c r="E210" s="9" t="inlineStr">
        <is>
          <t>SR-09 logged and fixed</t>
        </is>
      </c>
    </row>
    <row r="211">
      <c r="A211" s="8" t="inlineStr">
        <is>
          <t>v0.45.0</t>
        </is>
      </c>
      <c r="B211" s="8" t="n">
        <v>17</v>
      </c>
      <c r="C211" s="8" t="inlineStr">
        <is>
          <t>Docs</t>
        </is>
      </c>
      <c r="D211" s="9" t="inlineStr">
        <is>
          <t>Rewrite the trust page; add the threat model; update persistence, data flow, runbook, scope map and README; hold the listing copy and the pricing page behind gated banners.</t>
        </is>
      </c>
      <c r="E211" s="9" t="inlineStr">
        <is>
          <t>8 documents</t>
        </is>
      </c>
    </row>
    <row r="212">
      <c r="A212" s="8" t="inlineStr">
        <is>
          <t>v0.45.0</t>
        </is>
      </c>
      <c r="B212" s="8" t="n">
        <v>18</v>
      </c>
      <c r="C212" s="8" t="inlineStr">
        <is>
          <t>Gate</t>
        </is>
      </c>
      <c r="D212" s="9" t="inlineStr">
        <is>
          <t>Run the full suite, then extract the shipped archive to a clean directory and run it again from there.</t>
        </is>
      </c>
      <c r="E212" s="9" t="inlineStr">
        <is>
          <t>40 suites / 712 tests / 100x4 / zero pragmas / tsc clean</t>
        </is>
      </c>
    </row>
    <row r="213">
      <c r="A213" s="8" t="inlineStr">
        <is>
          <t>v0.45.0</t>
        </is>
      </c>
      <c r="B213" s="8" t="n">
        <v>19</v>
      </c>
      <c r="C213" s="8" t="inlineStr">
        <is>
          <t>Correction</t>
        </is>
      </c>
      <c r="D213" s="9" t="inlineStr">
        <is>
          <t>During the documentation pass, found the README title still reading v0.44.0 against package.json 0.45.0 — the same claim-drift class. Fixed and gated rather than merely corrected.</t>
        </is>
      </c>
      <c r="E213" s="9" t="inlineStr">
        <is>
          <t>test/claims.test.ts README version gate</t>
        </is>
      </c>
    </row>
  </sheetData>
  <autoFilter ref="A3:E3"/>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80"/>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7" customWidth="1" min="3" max="3"/>
    <col width="18" customWidth="1" min="4" max="4"/>
    <col width="10" customWidth="1" min="5" max="5"/>
    <col width="9" customWidth="1" min="6" max="6"/>
    <col width="40" customWidth="1" min="7" max="7"/>
    <col width="56" customWidth="1" min="8" max="8"/>
    <col width="44" customWidth="1" min="9" max="9"/>
    <col width="72" customWidth="1" min="10" max="10"/>
    <col width="80" customWidth="1" min="11" max="11"/>
    <col width="44" customWidth="1" min="12" max="12"/>
    <col width="44" customWidth="1" min="13" max="13"/>
    <col width="12" customWidth="1" min="14" max="14"/>
    <col width="14" customWidth="1" min="15" max="15"/>
    <col width="14" customWidth="1" min="16" max="16"/>
    <col width="12" customWidth="1" min="17" max="17"/>
  </cols>
  <sheetData>
    <row r="1" ht="22" customHeight="1">
      <c r="A1" s="1" t="inlineStr">
        <is>
          <t>MANUAL TEST CASES — 177 cases, positive and negative</t>
        </is>
      </c>
    </row>
    <row r="2" ht="30" customHeight="1">
      <c r="A2" s="6" t="inlineStr">
        <is>
          <t>HOW TO USE THIS SHEET — Execute top to bottom, or filter: Priority=P0 for a risk-based pass, Area for a feature pass, Version to regression-test one release. Fill ONLY the yellow columns (Actual result, Status, Tester, Date, Defect ref). Steps are numbered and run in order. Five cases are marked EXPECTED TO FIND NOTHING — they document known gaps and are not defects.</t>
        </is>
      </c>
    </row>
    <row r="3">
      <c r="A3" s="7" t="inlineStr">
        <is>
          <t>Test case ID</t>
        </is>
      </c>
      <c r="B3" s="7" t="inlineStr">
        <is>
          <t>Version introduced</t>
        </is>
      </c>
      <c r="C3" s="7" t="inlineStr">
        <is>
          <t>Area</t>
        </is>
      </c>
      <c r="D3" s="7" t="inlineStr">
        <is>
          <t>Story / finding ref</t>
        </is>
      </c>
      <c r="E3" s="7" t="inlineStr">
        <is>
          <t>Type</t>
        </is>
      </c>
      <c r="F3" s="7" t="inlineStr">
        <is>
          <t>Priority</t>
        </is>
      </c>
      <c r="G3" s="7" t="inlineStr">
        <is>
          <t>Test case name</t>
        </is>
      </c>
      <c r="H3" s="7" t="inlineStr">
        <is>
          <t>Test description</t>
        </is>
      </c>
      <c r="I3" s="7" t="inlineStr">
        <is>
          <t>Preconditions</t>
        </is>
      </c>
      <c r="J3" s="7" t="inlineStr">
        <is>
          <t>Test steps (in order)</t>
        </is>
      </c>
      <c r="K3" s="7" t="inlineStr">
        <is>
          <t>Expected result</t>
        </is>
      </c>
      <c r="L3" s="7" t="inlineStr">
        <is>
          <t>Pinned by (automated)</t>
        </is>
      </c>
      <c r="M3" s="7" t="inlineStr">
        <is>
          <t>Actual result</t>
        </is>
      </c>
      <c r="N3" s="7" t="inlineStr">
        <is>
          <t>Status</t>
        </is>
      </c>
      <c r="O3" s="7" t="inlineStr">
        <is>
          <t>Tester</t>
        </is>
      </c>
      <c r="P3" s="7" t="inlineStr">
        <is>
          <t>Date executed</t>
        </is>
      </c>
      <c r="Q3" s="7" t="inlineStr">
        <is>
          <t>Defect ref</t>
        </is>
      </c>
    </row>
    <row r="4">
      <c r="A4" s="8" t="inlineStr">
        <is>
          <t>TC-INS-001</t>
        </is>
      </c>
      <c r="B4" s="8" t="inlineStr">
        <is>
          <t>v0.45.0</t>
        </is>
      </c>
      <c r="C4" s="8" t="inlineStr">
        <is>
          <t>Install &amp; OAuth</t>
        </is>
      </c>
      <c r="D4" s="8" t="inlineStr">
        <is>
          <t>ST-101</t>
        </is>
      </c>
      <c r="E4" s="20" t="inlineStr">
        <is>
          <t>Positive</t>
        </is>
      </c>
      <c r="F4" s="21" t="inlineStr">
        <is>
          <t>P0</t>
        </is>
      </c>
      <c r="G4" s="9" t="inlineStr">
        <is>
          <t>Install lands on the workspace Zoom names</t>
        </is>
      </c>
      <c r="H4" s="9" t="inlineStr">
        <is>
          <t>A bare install link completes OAuth and the account row is created for the Zoom account that authorised it, not for anything the caller supplied.</t>
        </is>
      </c>
      <c r="I4" s="9" t="inlineStr">
        <is>
          <t>MeetSync deployed with valid ZOOM_CLIENT_ID/SECRET and BASE_URL; a Zoom account that has not installed MeetSync before.</t>
        </is>
      </c>
      <c r="J4" s="9" t="inlineStr">
        <is>
          <t>1. Open GET /oauth/start with no account_id parameter.
2. Follow the returned authorizeUrl and approve the app as a Zoom account owner.
3. Observe the redirect back to /oauth/callback.
4. Query the accounts table for the new row.</t>
        </is>
      </c>
      <c r="K4" s="9" t="inlineStr">
        <is>
          <t>Redirect is 302 to /welcome?account=&lt;Zoom account_id&gt;. The accounts row id equals the account_id Zoom reports at /users/me. installed_by_user_id and contact_email hold the installing user. An install.tenant audit row is written with allowed=true.</t>
        </is>
      </c>
      <c r="L4" s="9" t="inlineStr">
        <is>
          <t>s13.test.ts "installs on Zoom's account when the hint is empty or agrees"</t>
        </is>
      </c>
      <c r="M4" s="19" t="inlineStr"/>
      <c r="N4" s="22" t="inlineStr">
        <is>
          <t>Not run</t>
        </is>
      </c>
      <c r="O4" s="22" t="inlineStr"/>
      <c r="P4" s="22" t="inlineStr"/>
      <c r="Q4" s="22" t="inlineStr"/>
    </row>
    <row r="5">
      <c r="A5" s="8" t="inlineStr">
        <is>
          <t>TC-INS-002</t>
        </is>
      </c>
      <c r="B5" s="8" t="inlineStr">
        <is>
          <t>v0.45.0</t>
        </is>
      </c>
      <c r="C5" s="8" t="inlineStr">
        <is>
          <t>Install &amp; OAuth</t>
        </is>
      </c>
      <c r="D5" s="8" t="inlineStr">
        <is>
          <t>ST-101 / PR-01</t>
        </is>
      </c>
      <c r="E5" s="23" t="inlineStr">
        <is>
          <t>Negative</t>
        </is>
      </c>
      <c r="F5" s="21" t="inlineStr">
        <is>
          <t>P0</t>
        </is>
      </c>
      <c r="G5" s="9" t="inlineStr">
        <is>
          <t>Install is refused when the caller claims a workspace it does not own</t>
        </is>
      </c>
      <c r="H5" s="9" t="inlineStr">
        <is>
          <t>The PR-01 cross-tenant takeover. A caller supplies another workspace's id as the attribution hint and completes OAuth with their own Zoom login.</t>
        </is>
      </c>
      <c r="I5" s="9" t="inlineStr">
        <is>
          <t>Two distinct Zoom accounts: VICTIM (already installed) and ATTACKER. Knowledge of the VICTIM account_id.</t>
        </is>
      </c>
      <c r="J5" s="9" t="inlineStr">
        <is>
          <t>1. Open GET /oauth/start?account_id=&lt;VICTIM account_id&gt;.
2. Follow the authorizeUrl and approve using the ATTACKER Zoom login.
3. Observe the response at /oauth/callback.
4. Re-query the VICTIM accounts row and compare it to a copy taken before step 1.
5. Read the audit log.</t>
        </is>
      </c>
      <c r="K5" s="9" t="inlineStr">
        <is>
          <t>HTTP 403 with body {error:"tenant_mismatch"}. No Set-Cookie header. No account row is created for either id. The VICTIM row is byte-for-byte unchanged — tokens NOT repointed. An install.tenant audit row records allowed=false, the real ATTACKER user id, target=VICTIM and accountId=ATTACKER.</t>
        </is>
      </c>
      <c r="L5" s="9" t="inlineStr">
        <is>
          <t>s13.test.ts "refuses a state whose account differs from Zoom's answer"; "cannot repoint a live workspace's tokens"</t>
        </is>
      </c>
      <c r="M5" s="19" t="inlineStr"/>
      <c r="N5" s="22" t="inlineStr">
        <is>
          <t>Not run</t>
        </is>
      </c>
      <c r="O5" s="22" t="inlineStr"/>
      <c r="P5" s="22" t="inlineStr"/>
      <c r="Q5" s="22" t="inlineStr"/>
    </row>
    <row r="6">
      <c r="A6" s="8" t="inlineStr">
        <is>
          <t>TC-INS-003</t>
        </is>
      </c>
      <c r="B6" s="8" t="inlineStr">
        <is>
          <t>v0.45.0</t>
        </is>
      </c>
      <c r="C6" s="8" t="inlineStr">
        <is>
          <t>Install &amp; OAuth</t>
        </is>
      </c>
      <c r="D6" s="8" t="inlineStr">
        <is>
          <t>ST-101</t>
        </is>
      </c>
      <c r="E6" s="20" t="inlineStr">
        <is>
          <t>Positive</t>
        </is>
      </c>
      <c r="F6" s="24" t="inlineStr">
        <is>
          <t>P1</t>
        </is>
      </c>
      <c r="G6" s="9" t="inlineStr">
        <is>
          <t>Install proceeds when the hint agrees with Zoom</t>
        </is>
      </c>
      <c r="H6" s="9" t="inlineStr">
        <is>
          <t>The ordinary marketplace path, where the listing link carries the installing workspace id.</t>
        </is>
      </c>
      <c r="I6" s="9" t="inlineStr">
        <is>
          <t>A Zoom account whose account_id is known.</t>
        </is>
      </c>
      <c r="J6" s="9" t="inlineStr">
        <is>
          <t>1. Open GET /oauth/start?account_id=&lt;correct id&gt;&amp;source=listing.
2. Complete OAuth with that account.
3. Check the install source recorded on the row.</t>
        </is>
      </c>
      <c r="K6" s="9" t="inlineStr">
        <is>
          <t>HTTP 302 to /welcome. Account row created with install_source=listing. No 403.</t>
        </is>
      </c>
      <c r="L6" s="9" t="inlineStr">
        <is>
          <t>s13.test.ts "installs on Zoom's account when the hint is empty or agrees"</t>
        </is>
      </c>
      <c r="M6" s="19" t="inlineStr"/>
      <c r="N6" s="22" t="inlineStr">
        <is>
          <t>Not run</t>
        </is>
      </c>
      <c r="O6" s="22" t="inlineStr"/>
      <c r="P6" s="22" t="inlineStr"/>
      <c r="Q6" s="22" t="inlineStr"/>
    </row>
    <row r="7">
      <c r="A7" s="8" t="inlineStr">
        <is>
          <t>TC-INS-004</t>
        </is>
      </c>
      <c r="B7" s="8" t="inlineStr">
        <is>
          <t>v0.13.0</t>
        </is>
      </c>
      <c r="C7" s="8" t="inlineStr">
        <is>
          <t>Install &amp; OAuth</t>
        </is>
      </c>
      <c r="D7" s="8" t="inlineStr">
        <is>
          <t>M-F15</t>
        </is>
      </c>
      <c r="E7" s="23" t="inlineStr">
        <is>
          <t>Negative</t>
        </is>
      </c>
      <c r="F7" s="21" t="inlineStr">
        <is>
          <t>P0</t>
        </is>
      </c>
      <c r="G7" s="9" t="inlineStr">
        <is>
          <t>Callback refuses a missing, forged or foreign-signed state</t>
        </is>
      </c>
      <c r="H7" s="9" t="inlineStr">
        <is>
          <t>CSRF protection on the OAuth callback.</t>
        </is>
      </c>
      <c r="I7" s="9" t="inlineStr">
        <is>
          <t>A running deployment.</t>
        </is>
      </c>
      <c r="J7" s="9" t="inlineStr">
        <is>
          <t>1. Call GET /oauth/callback?code=x with no state parameter.
2. Call it again with state=nonsense.
3. Mint a valid state, alter its final signature segment, and call with the tampered value.</t>
        </is>
      </c>
      <c r="K7" s="9" t="inlineStr">
        <is>
          <t>Step 1: 400 {error:"bad_state", reason:"missing"}. Step 2: reason "malformed". Step 3: reason "bad_signature". No account row is written in any case.</t>
        </is>
      </c>
      <c r="L7" s="9" t="inlineStr">
        <is>
          <t>app.test.ts "OAuth callback refuses a missing, forged or foreign-signed state"</t>
        </is>
      </c>
      <c r="M7" s="19" t="inlineStr"/>
      <c r="N7" s="22" t="inlineStr">
        <is>
          <t>Not run</t>
        </is>
      </c>
      <c r="O7" s="22" t="inlineStr"/>
      <c r="P7" s="22" t="inlineStr"/>
      <c r="Q7" s="22" t="inlineStr"/>
    </row>
    <row r="8">
      <c r="A8" s="8" t="inlineStr">
        <is>
          <t>TC-INS-005</t>
        </is>
      </c>
      <c r="B8" s="8" t="inlineStr">
        <is>
          <t>v0.45.0</t>
        </is>
      </c>
      <c r="C8" s="8" t="inlineStr">
        <is>
          <t>Install &amp; OAuth</t>
        </is>
      </c>
      <c r="D8" s="8" t="inlineStr">
        <is>
          <t>ST-101</t>
        </is>
      </c>
      <c r="E8" s="23" t="inlineStr">
        <is>
          <t>Negative</t>
        </is>
      </c>
      <c r="F8" s="24" t="inlineStr">
        <is>
          <t>P1</t>
        </is>
      </c>
      <c r="G8" s="9" t="inlineStr">
        <is>
          <t>Zoom identity outage is reported as retryable, not as a rejection</t>
        </is>
      </c>
      <c r="H8" s="9" t="inlineStr">
        <is>
          <t>When Zoom answers 5xx to /users/me the installer should be told to try again, not that their token was refused.</t>
        </is>
      </c>
      <c r="I8" s="9" t="inlineStr">
        <is>
          <t>Ability to intercept or simulate the Zoom API response (staging).</t>
        </is>
      </c>
      <c r="J8" s="9" t="inlineStr">
        <is>
          <t>1. Force /users/me to return 503.
2. Complete an install.</t>
        </is>
      </c>
      <c r="K8" s="9" t="inlineStr">
        <is>
          <t>HTTP 502 {error:"identity_failed"}. No account row written. The installer can retry.</t>
        </is>
      </c>
      <c r="L8" s="9" t="inlineStr">
        <is>
          <t>s13.test.ts "maps identity failures"</t>
        </is>
      </c>
      <c r="M8" s="19" t="inlineStr"/>
      <c r="N8" s="22" t="inlineStr">
        <is>
          <t>Not run</t>
        </is>
      </c>
      <c r="O8" s="22" t="inlineStr"/>
      <c r="P8" s="22" t="inlineStr"/>
      <c r="Q8" s="22" t="inlineStr"/>
    </row>
    <row r="9">
      <c r="A9" s="8" t="inlineStr">
        <is>
          <t>TC-INS-006</t>
        </is>
      </c>
      <c r="B9" s="8" t="inlineStr">
        <is>
          <t>v0.45.0</t>
        </is>
      </c>
      <c r="C9" s="8" t="inlineStr">
        <is>
          <t>Install &amp; OAuth</t>
        </is>
      </c>
      <c r="D9" s="8" t="inlineStr">
        <is>
          <t>ST-101</t>
        </is>
      </c>
      <c r="E9" s="23" t="inlineStr">
        <is>
          <t>Negative</t>
        </is>
      </c>
      <c r="F9" s="24" t="inlineStr">
        <is>
          <t>P1</t>
        </is>
      </c>
      <c r="G9" s="9" t="inlineStr">
        <is>
          <t>A token Zoom itself rejects fails the install with 401</t>
        </is>
      </c>
      <c r="H9" s="9" t="inlineStr">
        <is>
          <t>Distinguishes an outage from a credential problem.</t>
        </is>
      </c>
      <c r="I9" s="9" t="inlineStr">
        <is>
          <t>Staging with a controllable Zoom double.</t>
        </is>
      </c>
      <c r="J9" s="9" t="inlineStr">
        <is>
          <t>1. Force /users/me to return 401.
2. Complete an install.</t>
        </is>
      </c>
      <c r="K9" s="9" t="inlineStr">
        <is>
          <t>HTTP 401 {error:"identity_failed"}. No account row. Retrying will not help and the status says so.</t>
        </is>
      </c>
      <c r="L9" s="9" t="inlineStr">
        <is>
          <t>s13.test.ts "maps identity failures"</t>
        </is>
      </c>
      <c r="M9" s="19" t="inlineStr"/>
      <c r="N9" s="22" t="inlineStr">
        <is>
          <t>Not run</t>
        </is>
      </c>
      <c r="O9" s="22" t="inlineStr"/>
      <c r="P9" s="22" t="inlineStr"/>
      <c r="Q9" s="22" t="inlineStr"/>
    </row>
    <row r="10">
      <c r="A10" s="8" t="inlineStr">
        <is>
          <t>TC-INS-007</t>
        </is>
      </c>
      <c r="B10" s="8" t="inlineStr">
        <is>
          <t>v0.45.0</t>
        </is>
      </c>
      <c r="C10" s="8" t="inlineStr">
        <is>
          <t>Install &amp; OAuth</t>
        </is>
      </c>
      <c r="D10" s="8" t="inlineStr">
        <is>
          <t>ST-101</t>
        </is>
      </c>
      <c r="E10" s="23" t="inlineStr">
        <is>
          <t>Negative</t>
        </is>
      </c>
      <c r="F10" s="25" t="inlineStr">
        <is>
          <t>P2</t>
        </is>
      </c>
      <c r="G10" s="9" t="inlineStr">
        <is>
          <t>A malformed /users/me payload is a 502, not a crash</t>
        </is>
      </c>
      <c r="H10" s="9" t="inlineStr">
        <is>
          <t>Defensive parsing of the platform response.</t>
        </is>
      </c>
      <c r="I10" s="9" t="inlineStr">
        <is>
          <t>Staging with a controllable Zoom double.</t>
        </is>
      </c>
      <c r="J10" s="9" t="inlineStr">
        <is>
          <t>1. Force /users/me to return 200 with a body containing no account_id.
2. Complete an install.</t>
        </is>
      </c>
      <c r="K10" s="9" t="inlineStr">
        <is>
          <t>HTTP 502 {error:"identity_failed"}. No unhandled exception in the error ledger beyond the recorded failure.</t>
        </is>
      </c>
      <c r="L10" s="9" t="inlineStr">
        <is>
          <t>identity.test.ts parseIdentity cases</t>
        </is>
      </c>
      <c r="M10" s="19" t="inlineStr"/>
      <c r="N10" s="22" t="inlineStr">
        <is>
          <t>Not run</t>
        </is>
      </c>
      <c r="O10" s="22" t="inlineStr"/>
      <c r="P10" s="22" t="inlineStr"/>
      <c r="Q10" s="22" t="inlineStr"/>
    </row>
    <row r="11">
      <c r="A11" s="8" t="inlineStr">
        <is>
          <t>TC-INS-008</t>
        </is>
      </c>
      <c r="B11" s="8" t="inlineStr">
        <is>
          <t>v0.14.0</t>
        </is>
      </c>
      <c r="C11" s="8" t="inlineStr">
        <is>
          <t>Install &amp; OAuth</t>
        </is>
      </c>
      <c r="D11" s="8" t="inlineStr">
        <is>
          <t>VER-M01 / VER-M02</t>
        </is>
      </c>
      <c r="E11" s="20" t="inlineStr">
        <is>
          <t>Positive</t>
        </is>
      </c>
      <c r="F11" s="21" t="inlineStr">
        <is>
          <t>P0</t>
        </is>
      </c>
      <c r="G11" s="9" t="inlineStr">
        <is>
          <t>Token exchange uses Basic auth and the registered redirect_uri</t>
        </is>
      </c>
      <c r="H11" s="9" t="inlineStr">
        <is>
          <t>Zoom authenticates the client with an Authorization header, not form fields, and requires redirect_uri on the authorization_code grant.</t>
        </is>
      </c>
      <c r="I11" s="9" t="inlineStr">
        <is>
          <t>Network capture available on the outbound call.</t>
        </is>
      </c>
      <c r="J11" s="9" t="inlineStr">
        <is>
          <t>1. Complete an install.
2. Capture the POST to https://zoom.us/oauth/token.
3. Inspect its headers and body.</t>
        </is>
      </c>
      <c r="K11" s="9" t="inlineStr">
        <is>
          <t>Authorization: Basic base64(client_id:client_secret) is present. The body carries grant_type=authorization_code, code and redirect_uri. client_id and client_secret do NOT appear in the body.</t>
        </is>
      </c>
      <c r="L11" s="9" t="inlineStr">
        <is>
          <t>zoomAuth.test.ts</t>
        </is>
      </c>
      <c r="M11" s="19" t="inlineStr"/>
      <c r="N11" s="22" t="inlineStr">
        <is>
          <t>Not run</t>
        </is>
      </c>
      <c r="O11" s="22" t="inlineStr"/>
      <c r="P11" s="22" t="inlineStr"/>
      <c r="Q11" s="22" t="inlineStr"/>
    </row>
    <row r="12">
      <c r="A12" s="8" t="inlineStr">
        <is>
          <t>TC-INS-009</t>
        </is>
      </c>
      <c r="B12" s="8" t="inlineStr">
        <is>
          <t>v0.08.0</t>
        </is>
      </c>
      <c r="C12" s="8" t="inlineStr">
        <is>
          <t>Install &amp; OAuth</t>
        </is>
      </c>
      <c r="D12" s="8" t="inlineStr">
        <is>
          <t>ST-053</t>
        </is>
      </c>
      <c r="E12" s="20" t="inlineStr">
        <is>
          <t>Positive</t>
        </is>
      </c>
      <c r="F12" s="24" t="inlineStr">
        <is>
          <t>P1</t>
        </is>
      </c>
      <c r="G12" s="9" t="inlineStr">
        <is>
          <t>Re-install inside the retention window restores the archived account</t>
        </is>
      </c>
      <c r="H12" s="9" t="inlineStr">
        <is>
          <t>A customer who uninstalls and changes their mind within RETENTION_DAYS gets their configuration back.</t>
        </is>
      </c>
      <c r="I12" s="9" t="inlineStr">
        <is>
          <t>An installed account.</t>
        </is>
      </c>
      <c r="J12" s="9" t="inlineStr">
        <is>
          <t>1. Trigger app_deauthorized for the account.
2. Confirm the row is archived and tokens are null.
3. Re-install the same Zoom account before the retention window expires.
4. Read the account row and the feature settings.</t>
        </is>
      </c>
      <c r="K12" s="9" t="inlineStr">
        <is>
          <t>uninstalledAt and deletionScheduledAt return to null, archived clears, installedAt is refreshed, and the feature configuration survives.</t>
        </is>
      </c>
      <c r="L12" s="9" t="inlineStr">
        <is>
          <t>lifecycle.test.ts; identity.test.ts "restores an archived account"</t>
        </is>
      </c>
      <c r="M12" s="19" t="inlineStr"/>
      <c r="N12" s="22" t="inlineStr">
        <is>
          <t>Not run</t>
        </is>
      </c>
      <c r="O12" s="22" t="inlineStr"/>
      <c r="P12" s="22" t="inlineStr"/>
      <c r="Q12" s="22" t="inlineStr"/>
    </row>
    <row r="13">
      <c r="A13" s="8" t="inlineStr">
        <is>
          <t>TC-INS-010</t>
        </is>
      </c>
      <c r="B13" s="8" t="inlineStr">
        <is>
          <t>v0.08.0</t>
        </is>
      </c>
      <c r="C13" s="8" t="inlineStr">
        <is>
          <t>Install &amp; OAuth</t>
        </is>
      </c>
      <c r="D13" s="8" t="inlineStr">
        <is>
          <t>ST-052</t>
        </is>
      </c>
      <c r="E13" s="20" t="inlineStr">
        <is>
          <t>Positive</t>
        </is>
      </c>
      <c r="F13" s="21" t="inlineStr">
        <is>
          <t>P0</t>
        </is>
      </c>
      <c r="G13" s="9" t="inlineStr">
        <is>
          <t>Uninstall wipes tokens immediately</t>
        </is>
      </c>
      <c r="H13" s="9" t="inlineStr">
        <is>
          <t>Deauthorisation must not leave working Zoom credentials in the database.</t>
        </is>
      </c>
      <c r="I13" s="9" t="inlineStr">
        <is>
          <t>An installed account with tokens.</t>
        </is>
      </c>
      <c r="J13" s="9" t="inlineStr">
        <is>
          <t>1. Send a signed app_deauthorized webhook for the account.
2. Immediately query the accounts row.</t>
        </is>
      </c>
      <c r="K13" s="9" t="inlineStr">
        <is>
          <t>access_token and refresh_token are NULL (not empty strings). uninstalledAt is set. deletionScheduledAt is set to now + RETENTION_DAYS.</t>
        </is>
      </c>
      <c r="L13" s="9" t="inlineStr">
        <is>
          <t>app.test.ts webhook deauthorization block</t>
        </is>
      </c>
      <c r="M13" s="19" t="inlineStr"/>
      <c r="N13" s="22" t="inlineStr">
        <is>
          <t>Not run</t>
        </is>
      </c>
      <c r="O13" s="22" t="inlineStr"/>
      <c r="P13" s="22" t="inlineStr"/>
      <c r="Q13" s="22" t="inlineStr"/>
    </row>
    <row r="14">
      <c r="A14" s="8" t="inlineStr">
        <is>
          <t>TC-INS-011</t>
        </is>
      </c>
      <c r="B14" s="8" t="inlineStr">
        <is>
          <t>v0.45.0</t>
        </is>
      </c>
      <c r="C14" s="8" t="inlineStr">
        <is>
          <t>Install &amp; OAuth</t>
        </is>
      </c>
      <c r="D14" s="8" t="inlineStr">
        <is>
          <t>ST-103</t>
        </is>
      </c>
      <c r="E14" s="20" t="inlineStr">
        <is>
          <t>Positive</t>
        </is>
      </c>
      <c r="F14" s="24" t="inlineStr">
        <is>
          <t>P1</t>
        </is>
      </c>
      <c r="G14" s="9" t="inlineStr">
        <is>
          <t>Uninstall also ends every live session for that workspace</t>
        </is>
      </c>
      <c r="H14" s="9" t="inlineStr">
        <is>
          <t>An uninstalled workspace should have no usable sessions.</t>
        </is>
      </c>
      <c r="I14" s="9" t="inlineStr">
        <is>
          <t>An installed account with at least two active sessions in different browsers.</t>
        </is>
      </c>
      <c r="J14" s="9" t="inlineStr">
        <is>
          <t>1. Note both sessions work by calling GET /session/me from each.
2. Send a signed app_deauthorized webhook.
3. Retry GET /session/me from both.</t>
        </is>
      </c>
      <c r="K14" s="9" t="inlineStr">
        <is>
          <t>Both return 401 with reason "revoked". Neither browser can act on the workspace.</t>
        </is>
      </c>
      <c r="L14" s="9" t="inlineStr">
        <is>
          <t>app.test.ts; s13.test.ts uninstall revocation</t>
        </is>
      </c>
      <c r="M14" s="19" t="inlineStr"/>
      <c r="N14" s="22" t="inlineStr">
        <is>
          <t>Not run</t>
        </is>
      </c>
      <c r="O14" s="22" t="inlineStr"/>
      <c r="P14" s="22" t="inlineStr"/>
      <c r="Q14" s="22" t="inlineStr"/>
    </row>
    <row r="15">
      <c r="A15" s="8" t="inlineStr">
        <is>
          <t>TC-INS-012</t>
        </is>
      </c>
      <c r="B15" s="8" t="inlineStr">
        <is>
          <t>v0.08.0</t>
        </is>
      </c>
      <c r="C15" s="8" t="inlineStr">
        <is>
          <t>Install &amp; OAuth</t>
        </is>
      </c>
      <c r="D15" s="8" t="inlineStr">
        <is>
          <t>ST-056</t>
        </is>
      </c>
      <c r="E15" s="20" t="inlineStr">
        <is>
          <t>Positive</t>
        </is>
      </c>
      <c r="F15" s="25" t="inlineStr">
        <is>
          <t>P2</t>
        </is>
      </c>
      <c r="G15" s="9" t="inlineStr">
        <is>
          <t>Install source is attributed, and an unknown source does not fail the install</t>
        </is>
      </c>
      <c r="H15" s="9" t="inlineStr">
        <is>
          <t>Attribution feeds the funnel; a bad value must never block a customer.</t>
        </is>
      </c>
      <c r="I15" s="9" t="inlineStr">
        <is>
          <t>A fresh Zoom account.</t>
        </is>
      </c>
      <c r="J15" s="9" t="inlineStr">
        <is>
          <t>1. Install with source=listing and check the row.
2. Uninstall, purge, and install again with source=banana.</t>
        </is>
      </c>
      <c r="K15" s="9" t="inlineStr">
        <is>
          <t>First install records install_source=listing. Second records "direct" and completes normally.</t>
        </is>
      </c>
      <c r="L15" s="9" t="inlineStr">
        <is>
          <t>lifecycle.test.ts attributeSource</t>
        </is>
      </c>
      <c r="M15" s="19" t="inlineStr"/>
      <c r="N15" s="22" t="inlineStr">
        <is>
          <t>Not run</t>
        </is>
      </c>
      <c r="O15" s="22" t="inlineStr"/>
      <c r="P15" s="22" t="inlineStr"/>
      <c r="Q15" s="22" t="inlineStr"/>
    </row>
    <row r="16">
      <c r="A16" s="8" t="inlineStr">
        <is>
          <t>TC-SES-001</t>
        </is>
      </c>
      <c r="B16" s="8" t="inlineStr">
        <is>
          <t>v0.45.0</t>
        </is>
      </c>
      <c r="C16" s="8" t="inlineStr">
        <is>
          <t>Sessions</t>
        </is>
      </c>
      <c r="D16" s="8" t="inlineStr">
        <is>
          <t>ST-102</t>
        </is>
      </c>
      <c r="E16" s="20" t="inlineStr">
        <is>
          <t>Positive</t>
        </is>
      </c>
      <c r="F16" s="21" t="inlineStr">
        <is>
          <t>P0</t>
        </is>
      </c>
      <c r="G16" s="9" t="inlineStr">
        <is>
          <t>The session names the real Zoom user and role</t>
        </is>
      </c>
      <c r="H16" s="9" t="inlineStr">
        <is>
          <t>After PR-08 a session must identify a person, not a synthesised owner@&lt;account&gt;.</t>
        </is>
      </c>
      <c r="I16" s="9" t="inlineStr">
        <is>
          <t>An install completed by a Zoom account owner.</t>
        </is>
      </c>
      <c r="J16" s="9" t="inlineStr">
        <is>
          <t>1. Call GET /session/me with the session from the install.
2. Compare the values to the Zoom user profile.</t>
        </is>
      </c>
      <c r="K16" s="9" t="inlineStr">
        <is>
          <t>accountId, userId and email match Zoom. role is "owner" for a Zoom account owner. userId does not begin with "owner@".</t>
        </is>
      </c>
      <c r="L16" s="9" t="inlineStr">
        <is>
          <t>s13.test.ts "mints owner/admin/member from Zoom's role"</t>
        </is>
      </c>
      <c r="M16" s="19" t="inlineStr"/>
      <c r="N16" s="22" t="inlineStr">
        <is>
          <t>Not run</t>
        </is>
      </c>
      <c r="O16" s="22" t="inlineStr"/>
      <c r="P16" s="22" t="inlineStr"/>
      <c r="Q16" s="22" t="inlineStr"/>
    </row>
    <row r="17">
      <c r="A17" s="8" t="inlineStr">
        <is>
          <t>TC-SES-002</t>
        </is>
      </c>
      <c r="B17" s="8" t="inlineStr">
        <is>
          <t>v0.45.0</t>
        </is>
      </c>
      <c r="C17" s="8" t="inlineStr">
        <is>
          <t>Sessions</t>
        </is>
      </c>
      <c r="D17" s="8" t="inlineStr">
        <is>
          <t>ST-102</t>
        </is>
      </c>
      <c r="E17" s="20" t="inlineStr">
        <is>
          <t>Positive</t>
        </is>
      </c>
      <c r="F17" s="24" t="inlineStr">
        <is>
          <t>P1</t>
        </is>
      </c>
      <c r="G17" s="9" t="inlineStr">
        <is>
          <t>Zoom role maps to the MeetSync matrix</t>
        </is>
      </c>
      <c r="H17" s="9" t="inlineStr">
        <is>
          <t>Owner and admin map across; every other Zoom role becomes a member — the least privilege available.</t>
        </is>
      </c>
      <c r="I17" s="9" t="inlineStr">
        <is>
          <t>Three Zoom users in one account: owner, admin and a plain member.</t>
        </is>
      </c>
      <c r="J17" s="9" t="inlineStr">
        <is>
          <t>1. Install as the owner; read /session/me.
2. Sign in as the admin; read /session/me.
3. Sign in as the member; read /session/me.</t>
        </is>
      </c>
      <c r="K17" s="9" t="inlineStr">
        <is>
          <t>Roles are owner, admin and member respectively. A custom Zoom role that is neither owner nor admin resolves to member.</t>
        </is>
      </c>
      <c r="L17" s="9" t="inlineStr">
        <is>
          <t>identity.test.ts mapZoomRole</t>
        </is>
      </c>
      <c r="M17" s="19" t="inlineStr"/>
      <c r="N17" s="22" t="inlineStr">
        <is>
          <t>Not run</t>
        </is>
      </c>
      <c r="O17" s="22" t="inlineStr"/>
      <c r="P17" s="22" t="inlineStr"/>
      <c r="Q17" s="22" t="inlineStr"/>
    </row>
    <row r="18">
      <c r="A18" s="8" t="inlineStr">
        <is>
          <t>TC-SES-003</t>
        </is>
      </c>
      <c r="B18" s="8" t="inlineStr">
        <is>
          <t>v0.45.0</t>
        </is>
      </c>
      <c r="C18" s="8" t="inlineStr">
        <is>
          <t>Sessions</t>
        </is>
      </c>
      <c r="D18" s="8" t="inlineStr">
        <is>
          <t>ST-103</t>
        </is>
      </c>
      <c r="E18" s="20" t="inlineStr">
        <is>
          <t>Positive</t>
        </is>
      </c>
      <c r="F18" s="21" t="inlineStr">
        <is>
          <t>P0</t>
        </is>
      </c>
      <c r="G18" s="9" t="inlineStr">
        <is>
          <t>Session refresh rotates the token and kills the old one</t>
        </is>
      </c>
      <c r="H18" s="9" t="inlineStr">
        <is>
          <t>Rotation must not leave two live tokens for one login.</t>
        </is>
      </c>
      <c r="I18" s="9" t="inlineStr">
        <is>
          <t>An active session.</t>
        </is>
      </c>
      <c r="J18" s="9" t="inlineStr">
        <is>
          <t>1. Call POST /session/refresh with the current session.
2. Note the new token in the body and the Set-Cookie header.
3. Call GET /session/me with the OLD token.
4. Call GET /session/me with the NEW token.</t>
        </is>
      </c>
      <c r="K18" s="9" t="inlineStr">
        <is>
          <t>Step 3 returns 401 reason "revoked". Step 4 returns 200. The Set-Cookie carries HttpOnly, Secure and SameSite=None.</t>
        </is>
      </c>
      <c r="L18" s="9" t="inlineStr">
        <is>
          <t>s13.test.ts "refresh issues a new token and kills the old one"</t>
        </is>
      </c>
      <c r="M18" s="19" t="inlineStr"/>
      <c r="N18" s="22" t="inlineStr">
        <is>
          <t>Not run</t>
        </is>
      </c>
      <c r="O18" s="22" t="inlineStr"/>
      <c r="P18" s="22" t="inlineStr"/>
      <c r="Q18" s="22" t="inlineStr"/>
    </row>
    <row r="19">
      <c r="A19" s="8" t="inlineStr">
        <is>
          <t>TC-SES-004</t>
        </is>
      </c>
      <c r="B19" s="8" t="inlineStr">
        <is>
          <t>v0.45.0</t>
        </is>
      </c>
      <c r="C19" s="8" t="inlineStr">
        <is>
          <t>Sessions</t>
        </is>
      </c>
      <c r="D19" s="8" t="inlineStr">
        <is>
          <t>ST-103</t>
        </is>
      </c>
      <c r="E19" s="20" t="inlineStr">
        <is>
          <t>Positive</t>
        </is>
      </c>
      <c r="F19" s="21" t="inlineStr">
        <is>
          <t>P0</t>
        </is>
      </c>
      <c r="G19" s="9" t="inlineStr">
        <is>
          <t>A user can end their own session</t>
        </is>
      </c>
      <c r="H19" s="9" t="inlineStr">
        <is>
          <t>Logout must actually invalidate, not merely discard client-side.</t>
        </is>
      </c>
      <c r="I19" s="9" t="inlineStr">
        <is>
          <t>An active session.</t>
        </is>
      </c>
      <c r="J19" s="9" t="inlineStr">
        <is>
          <t>1. Call POST /session/revoke.
2. Retry any authenticated route with the same token.</t>
        </is>
      </c>
      <c r="K19" s="9" t="inlineStr">
        <is>
          <t>Revoke returns {revoked:true} and a clearing cookie (Max-Age=0). The retry returns 401 reason "revoked".</t>
        </is>
      </c>
      <c r="L19" s="9" t="inlineStr">
        <is>
          <t>s13.test.ts session revoke</t>
        </is>
      </c>
      <c r="M19" s="19" t="inlineStr"/>
      <c r="N19" s="22" t="inlineStr">
        <is>
          <t>Not run</t>
        </is>
      </c>
      <c r="O19" s="22" t="inlineStr"/>
      <c r="P19" s="22" t="inlineStr"/>
      <c r="Q19" s="22" t="inlineStr"/>
    </row>
    <row r="20">
      <c r="A20" s="8" t="inlineStr">
        <is>
          <t>TC-SES-005</t>
        </is>
      </c>
      <c r="B20" s="8" t="inlineStr">
        <is>
          <t>v0.45.0</t>
        </is>
      </c>
      <c r="C20" s="8" t="inlineStr">
        <is>
          <t>Sessions</t>
        </is>
      </c>
      <c r="D20" s="8" t="inlineStr">
        <is>
          <t>ST-103</t>
        </is>
      </c>
      <c r="E20" s="20" t="inlineStr">
        <is>
          <t>Positive</t>
        </is>
      </c>
      <c r="F20" s="21" t="inlineStr">
        <is>
          <t>P0</t>
        </is>
      </c>
      <c r="G20" s="9" t="inlineStr">
        <is>
          <t>An owner can end every session in the workspace</t>
        </is>
      </c>
      <c r="H20" s="9" t="inlineStr">
        <is>
          <t>The response to a lost laptop.</t>
        </is>
      </c>
      <c r="I20" s="9" t="inlineStr">
        <is>
          <t>One workspace with sessions held by an owner and a member; a second workspace with its own session.</t>
        </is>
      </c>
      <c r="J20" s="9" t="inlineStr">
        <is>
          <t>1. As the owner, call POST /session/revoke-all.
2. Retry /session/me as the owner, as the member, and from the second workspace.
3. Sign in again in the first workspace.</t>
        </is>
      </c>
      <c r="K20" s="9" t="inlineStr">
        <is>
          <t>Owner and member both 401 reason "revoked". The second workspace is unaffected and still 200. A session minted after the call works normally.</t>
        </is>
      </c>
      <c r="L20" s="9" t="inlineStr">
        <is>
          <t>s13.test.ts "revoke-all needs team.manage and ends every session"</t>
        </is>
      </c>
      <c r="M20" s="19" t="inlineStr"/>
      <c r="N20" s="22" t="inlineStr">
        <is>
          <t>Not run</t>
        </is>
      </c>
      <c r="O20" s="22" t="inlineStr"/>
      <c r="P20" s="22" t="inlineStr"/>
      <c r="Q20" s="22" t="inlineStr"/>
    </row>
    <row r="21">
      <c r="A21" s="8" t="inlineStr">
        <is>
          <t>TC-SES-006</t>
        </is>
      </c>
      <c r="B21" s="8" t="inlineStr">
        <is>
          <t>v0.45.0</t>
        </is>
      </c>
      <c r="C21" s="8" t="inlineStr">
        <is>
          <t>Sessions</t>
        </is>
      </c>
      <c r="D21" s="8" t="inlineStr">
        <is>
          <t>ST-103</t>
        </is>
      </c>
      <c r="E21" s="23" t="inlineStr">
        <is>
          <t>Negative</t>
        </is>
      </c>
      <c r="F21" s="24" t="inlineStr">
        <is>
          <t>P1</t>
        </is>
      </c>
      <c r="G21" s="9" t="inlineStr">
        <is>
          <t>A member cannot revoke the workspace</t>
        </is>
      </c>
      <c r="H21" s="9" t="inlineStr">
        <is>
          <t>revoke-all requires team.manage.</t>
        </is>
      </c>
      <c r="I21" s="9" t="inlineStr">
        <is>
          <t>A session with role member.</t>
        </is>
      </c>
      <c r="J21" s="9" t="inlineStr">
        <is>
          <t>1. Call POST /session/revoke-all as the member.
2. Confirm other sessions still work.</t>
        </is>
      </c>
      <c r="K21" s="9" t="inlineStr">
        <is>
          <t>403 {error:"team_manage_denied"}. Other sessions are untouched. The denial is written to the audit log.</t>
        </is>
      </c>
      <c r="L21" s="9" t="inlineStr">
        <is>
          <t>s13.test.ts revoke-all permission</t>
        </is>
      </c>
      <c r="M21" s="19" t="inlineStr"/>
      <c r="N21" s="22" t="inlineStr">
        <is>
          <t>Not run</t>
        </is>
      </c>
      <c r="O21" s="22" t="inlineStr"/>
      <c r="P21" s="22" t="inlineStr"/>
      <c r="Q21" s="22" t="inlineStr"/>
    </row>
    <row r="22">
      <c r="A22" s="8" t="inlineStr">
        <is>
          <t>TC-SES-007</t>
        </is>
      </c>
      <c r="B22" s="8" t="inlineStr">
        <is>
          <t>v0.45.0</t>
        </is>
      </c>
      <c r="C22" s="8" t="inlineStr">
        <is>
          <t>Sessions</t>
        </is>
      </c>
      <c r="D22" s="8" t="inlineStr">
        <is>
          <t>ST-103</t>
        </is>
      </c>
      <c r="E22" s="23" t="inlineStr">
        <is>
          <t>Negative</t>
        </is>
      </c>
      <c r="F22" s="21" t="inlineStr">
        <is>
          <t>P0</t>
        </is>
      </c>
      <c r="G22" s="9" t="inlineStr">
        <is>
          <t>A session older than sixty minutes is refused</t>
        </is>
      </c>
      <c r="H22" s="9" t="inlineStr">
        <is>
          <t>The TTL reduction from twelve hours to one is the whole point of PR-10.</t>
        </is>
      </c>
      <c r="I22" s="9" t="inlineStr">
        <is>
          <t>A session token and the ability to wait or to control the clock.</t>
        </is>
      </c>
      <c r="J22" s="9" t="inlineStr">
        <is>
          <t>1. Capture a session token.
2. Wait longer than 60 minutes without refreshing.
3. Call GET /session/me.</t>
        </is>
      </c>
      <c r="K22" s="9" t="inlineStr">
        <is>
          <t>401 with reason "expired". The client shows the "reopen MeetSync from the Zoom apps sidebar" message rather than a blank panel.</t>
        </is>
      </c>
      <c r="L22" s="9" t="inlineStr">
        <is>
          <t>review.test.ts signer TTL; s13.test.ts expiry</t>
        </is>
      </c>
      <c r="M22" s="19" t="inlineStr"/>
      <c r="N22" s="22" t="inlineStr">
        <is>
          <t>Not run</t>
        </is>
      </c>
      <c r="O22" s="22" t="inlineStr"/>
      <c r="P22" s="22" t="inlineStr"/>
      <c r="Q22" s="22" t="inlineStr"/>
    </row>
    <row r="23">
      <c r="A23" s="8" t="inlineStr">
        <is>
          <t>TC-SES-008</t>
        </is>
      </c>
      <c r="B23" s="8" t="inlineStr">
        <is>
          <t>v0.13.0</t>
        </is>
      </c>
      <c r="C23" s="8" t="inlineStr">
        <is>
          <t>Sessions</t>
        </is>
      </c>
      <c r="D23" s="8" t="inlineStr">
        <is>
          <t>M-F11</t>
        </is>
      </c>
      <c r="E23" s="23" t="inlineStr">
        <is>
          <t>Negative</t>
        </is>
      </c>
      <c r="F23" s="21" t="inlineStr">
        <is>
          <t>P0</t>
        </is>
      </c>
      <c r="G23" s="9" t="inlineStr">
        <is>
          <t>A self-asserted role header is ignored</t>
        </is>
      </c>
      <c r="H23" s="9" t="inlineStr">
        <is>
          <t>The original defect: any caller could send x-role: owner.</t>
        </is>
      </c>
      <c r="I23" s="9" t="inlineStr">
        <is>
          <t>A running deployment with MEETSYNC_DEV_HEADER_AUTH unset.</t>
        </is>
      </c>
      <c r="J23" s="9" t="inlineStr">
        <is>
          <t>1. Call GET /orgs/&lt;id&gt;/status with headers x-role: owner and x-user: mallory and no session.
2. Call a mutating route the same way.</t>
        </is>
      </c>
      <c r="K23" s="9" t="inlineStr">
        <is>
          <t>Both return 401 {error:"unauthenticated", reason:"missing"}. The headers have no effect whatsoever.</t>
        </is>
      </c>
      <c r="L23" s="9" t="inlineStr">
        <is>
          <t>app.test.ts "protected routes refuse header-asserted roles"</t>
        </is>
      </c>
      <c r="M23" s="19" t="inlineStr"/>
      <c r="N23" s="22" t="inlineStr">
        <is>
          <t>Not run</t>
        </is>
      </c>
      <c r="O23" s="22" t="inlineStr"/>
      <c r="P23" s="22" t="inlineStr"/>
      <c r="Q23" s="22" t="inlineStr"/>
    </row>
    <row r="24">
      <c r="A24" s="8" t="inlineStr">
        <is>
          <t>TC-SES-009</t>
        </is>
      </c>
      <c r="B24" s="8" t="inlineStr">
        <is>
          <t>v0.13.0</t>
        </is>
      </c>
      <c r="C24" s="8" t="inlineStr">
        <is>
          <t>Sessions</t>
        </is>
      </c>
      <c r="D24" s="8" t="inlineStr">
        <is>
          <t>M-F11</t>
        </is>
      </c>
      <c r="E24" s="23" t="inlineStr">
        <is>
          <t>Negative</t>
        </is>
      </c>
      <c r="F24" s="21" t="inlineStr">
        <is>
          <t>P0</t>
        </is>
      </c>
      <c r="G24" s="9" t="inlineStr">
        <is>
          <t>A session for one workspace cannot act on another</t>
        </is>
      </c>
      <c r="H24" s="9" t="inlineStr">
        <is>
          <t>Path-level tenant check.</t>
        </is>
      </c>
      <c r="I24" s="9" t="inlineStr">
        <is>
          <t>Valid sessions for workspace A and workspace B.</t>
        </is>
      </c>
      <c r="J24" s="9" t="inlineStr">
        <is>
          <t>1. Using the workspace A session, call GET /orgs/&lt;B&gt;/status.
2. Repeat for /orgs/&lt;B&gt;/export and /orgs/&lt;B&gt;/delete-my-data.</t>
        </is>
      </c>
      <c r="K24" s="9" t="inlineStr">
        <is>
          <t>All return 403 {error:"wrong_account"}. No data from B is disclosed.</t>
        </is>
      </c>
      <c r="L24" s="9" t="inlineStr">
        <is>
          <t>app.test.ts "a session for one account cannot act on another account"</t>
        </is>
      </c>
      <c r="M24" s="19" t="inlineStr"/>
      <c r="N24" s="22" t="inlineStr">
        <is>
          <t>Not run</t>
        </is>
      </c>
      <c r="O24" s="22" t="inlineStr"/>
      <c r="P24" s="22" t="inlineStr"/>
      <c r="Q24" s="22" t="inlineStr"/>
    </row>
    <row r="25">
      <c r="A25" s="8" t="inlineStr">
        <is>
          <t>TC-SES-010</t>
        </is>
      </c>
      <c r="B25" s="8" t="inlineStr">
        <is>
          <t>v0.45.0</t>
        </is>
      </c>
      <c r="C25" s="8" t="inlineStr">
        <is>
          <t>Sessions</t>
        </is>
      </c>
      <c r="D25" s="8" t="inlineStr">
        <is>
          <t>ST-103</t>
        </is>
      </c>
      <c r="E25" s="23" t="inlineStr">
        <is>
          <t>Negative</t>
        </is>
      </c>
      <c r="F25" s="24" t="inlineStr">
        <is>
          <t>P1</t>
        </is>
      </c>
      <c r="G25" s="9" t="inlineStr">
        <is>
          <t>A tampered session token is refused before any store read</t>
        </is>
      </c>
      <c r="H25" s="9" t="inlineStr">
        <is>
          <t>Signature verification precedes revocation lookup.</t>
        </is>
      </c>
      <c r="I25" s="9" t="inlineStr">
        <is>
          <t>A valid session token.</t>
        </is>
      </c>
      <c r="J25" s="9" t="inlineStr">
        <is>
          <t>1. Alter one character of the token's signature segment and call GET /session/me.
2. Alter the payload segment and call again.</t>
        </is>
      </c>
      <c r="K25" s="9" t="inlineStr">
        <is>
          <t>Reason "bad_signature" and "malformed" respectively — never "revoked", which would imply the token was otherwise valid.</t>
        </is>
      </c>
      <c r="L25" s="9" t="inlineStr">
        <is>
          <t>review.test.ts signed identity block</t>
        </is>
      </c>
      <c r="M25" s="19" t="inlineStr"/>
      <c r="N25" s="22" t="inlineStr">
        <is>
          <t>Not run</t>
        </is>
      </c>
      <c r="O25" s="22" t="inlineStr"/>
      <c r="P25" s="22" t="inlineStr"/>
      <c r="Q25" s="22" t="inlineStr"/>
    </row>
    <row r="26">
      <c r="A26" s="8" t="inlineStr">
        <is>
          <t>TC-SES-011</t>
        </is>
      </c>
      <c r="B26" s="8" t="inlineStr">
        <is>
          <t>v0.45.0</t>
        </is>
      </c>
      <c r="C26" s="8" t="inlineStr">
        <is>
          <t>Sessions</t>
        </is>
      </c>
      <c r="D26" s="8" t="inlineStr">
        <is>
          <t>ST-103</t>
        </is>
      </c>
      <c r="E26" s="20" t="inlineStr">
        <is>
          <t>Positive</t>
        </is>
      </c>
      <c r="F26" s="25" t="inlineStr">
        <is>
          <t>P2</t>
        </is>
      </c>
      <c r="G26" s="9" t="inlineStr">
        <is>
          <t>The session arrives as a cookie, not in the URL</t>
        </is>
      </c>
      <c r="H26" s="9" t="inlineStr">
        <is>
          <t>PR-10: a fragment token lands in browser history, referrer headers and the Zoom client log.</t>
        </is>
      </c>
      <c r="I26" s="9" t="inlineStr">
        <is>
          <t>A browser with developer tools.</t>
        </is>
      </c>
      <c r="J26" s="9" t="inlineStr">
        <is>
          <t>1. Complete an install in the browser.
2. Inspect the redirect URL.
3. Inspect the cookie jar for the MeetSync origin.</t>
        </is>
      </c>
      <c r="K26" s="9" t="inlineStr">
        <is>
          <t>The redirect URL contains no #session= fragment. A cookie ms_session exists with HttpOnly, Secure, SameSite=None and Max-Age=3600. JavaScript cannot read it.</t>
        </is>
      </c>
      <c r="L26" s="9" t="inlineStr">
        <is>
          <t>app.test.ts install redirect assertions</t>
        </is>
      </c>
      <c r="M26" s="19" t="inlineStr"/>
      <c r="N26" s="22" t="inlineStr">
        <is>
          <t>Not run</t>
        </is>
      </c>
      <c r="O26" s="22" t="inlineStr"/>
      <c r="P26" s="22" t="inlineStr"/>
      <c r="Q26" s="22" t="inlineStr"/>
    </row>
    <row r="27">
      <c r="A27" s="8" t="inlineStr">
        <is>
          <t>TC-SES-012</t>
        </is>
      </c>
      <c r="B27" s="8" t="inlineStr">
        <is>
          <t>v0.45.0</t>
        </is>
      </c>
      <c r="C27" s="8" t="inlineStr">
        <is>
          <t>Sessions</t>
        </is>
      </c>
      <c r="D27" s="8" t="inlineStr">
        <is>
          <t>ST-103</t>
        </is>
      </c>
      <c r="E27" s="20" t="inlineStr">
        <is>
          <t>Positive</t>
        </is>
      </c>
      <c r="F27" s="25" t="inlineStr">
        <is>
          <t>P2</t>
        </is>
      </c>
      <c r="G27" s="9" t="inlineStr">
        <is>
          <t>The panel refreshes before the hour is up</t>
        </is>
      </c>
      <c r="H27" s="9" t="inlineStr">
        <is>
          <t>A meeting longer than an hour must not log the user out.</t>
        </is>
      </c>
      <c r="I27" s="9" t="inlineStr">
        <is>
          <t>The panel open in the Zoom client, network tab recording.</t>
        </is>
      </c>
      <c r="J27" s="9" t="inlineStr">
        <is>
          <t>1. Open the panel and leave it open for 55 minutes.
2. Watch the network tab.
3. Interact with a panel after the refresh.</t>
        </is>
      </c>
      <c r="K27" s="9" t="inlineStr">
        <is>
          <t>A POST /session/refresh fires at about 50 minutes and succeeds. Subsequent calls use the rotated token. No 401 is ever shown to the user.</t>
        </is>
      </c>
      <c r="L27" s="9" t="inlineStr">
        <is>
          <t>panels.test.tsx "refreshes the session on its timer"</t>
        </is>
      </c>
      <c r="M27" s="19" t="inlineStr"/>
      <c r="N27" s="22" t="inlineStr">
        <is>
          <t>Not run</t>
        </is>
      </c>
      <c r="O27" s="22" t="inlineStr"/>
      <c r="P27" s="22" t="inlineStr"/>
      <c r="Q27" s="22" t="inlineStr"/>
    </row>
    <row r="28">
      <c r="A28" s="8" t="inlineStr">
        <is>
          <t>TC-HRD-001</t>
        </is>
      </c>
      <c r="B28" s="8" t="inlineStr">
        <is>
          <t>v0.45.0</t>
        </is>
      </c>
      <c r="C28" s="8" t="inlineStr">
        <is>
          <t>HTTP hardening</t>
        </is>
      </c>
      <c r="D28" s="8" t="inlineStr">
        <is>
          <t>ST-104</t>
        </is>
      </c>
      <c r="E28" s="20" t="inlineStr">
        <is>
          <t>Positive</t>
        </is>
      </c>
      <c r="F28" s="24" t="inlineStr">
        <is>
          <t>P1</t>
        </is>
      </c>
      <c r="G28" s="9" t="inlineStr">
        <is>
          <t>Security headers are present on every response</t>
        </is>
      </c>
      <c r="H28" s="9" t="inlineStr">
        <is>
          <t>Baseline browser protections.</t>
        </is>
      </c>
      <c r="I28" s="9" t="inlineStr">
        <is>
          <t>A running deployment.</t>
        </is>
      </c>
      <c r="J28" s="9" t="inlineStr">
        <is>
          <t>1. Request GET /healthz.
2. Inspect the response headers.</t>
        </is>
      </c>
      <c r="K28" s="9" t="inlineStr">
        <is>
          <t>Content-Security-Policy, X-Content-Type-Options: nosniff, Referrer-Policy: no-referrer, Strict-Transport-Security, Permissions-Policy and Cache-Control: no-store are all present.</t>
        </is>
      </c>
      <c r="L28" s="9" t="inlineStr">
        <is>
          <t>s13.test.ts "sets security headers"</t>
        </is>
      </c>
      <c r="M28" s="19" t="inlineStr"/>
      <c r="N28" s="22" t="inlineStr">
        <is>
          <t>Not run</t>
        </is>
      </c>
      <c r="O28" s="22" t="inlineStr"/>
      <c r="P28" s="22" t="inlineStr"/>
      <c r="Q28" s="22" t="inlineStr"/>
    </row>
    <row r="29">
      <c r="A29" s="8" t="inlineStr">
        <is>
          <t>TC-HRD-002</t>
        </is>
      </c>
      <c r="B29" s="8" t="inlineStr">
        <is>
          <t>v0.45.0</t>
        </is>
      </c>
      <c r="C29" s="8" t="inlineStr">
        <is>
          <t>HTTP hardening</t>
        </is>
      </c>
      <c r="D29" s="8" t="inlineStr">
        <is>
          <t>ST-104</t>
        </is>
      </c>
      <c r="E29" s="20" t="inlineStr">
        <is>
          <t>Positive</t>
        </is>
      </c>
      <c r="F29" s="21" t="inlineStr">
        <is>
          <t>P0</t>
        </is>
      </c>
      <c r="G29" s="9" t="inlineStr">
        <is>
          <t>The CSP admits the Zoom client as a frame ancestor</t>
        </is>
      </c>
      <c r="H29" s="9" t="inlineStr">
        <is>
          <t>A bare frame-ancestors none would break the in-meeting panel, which is the product.</t>
        </is>
      </c>
      <c r="I29" s="9" t="inlineStr">
        <is>
          <t>The panel loaded inside the Zoom client.</t>
        </is>
      </c>
      <c r="J29" s="9" t="inlineStr">
        <is>
          <t>1. Read the Content-Security-Policy header.
2. Open the app inside the Zoom client and confirm it renders.</t>
        </is>
      </c>
      <c r="K29" s="9" t="inlineStr">
        <is>
          <t>frame-ancestors lists the Zoom origins. The panel renders inside Zoom with no CSP violation in the console.</t>
        </is>
      </c>
      <c r="L29" s="9" t="inlineStr">
        <is>
          <t>s13.test.ts contentSecurityPolicy</t>
        </is>
      </c>
      <c r="M29" s="19" t="inlineStr"/>
      <c r="N29" s="22" t="inlineStr">
        <is>
          <t>Not run</t>
        </is>
      </c>
      <c r="O29" s="22" t="inlineStr"/>
      <c r="P29" s="22" t="inlineStr"/>
      <c r="Q29" s="22" t="inlineStr"/>
    </row>
    <row r="30">
      <c r="A30" s="8" t="inlineStr">
        <is>
          <t>TC-HRD-003</t>
        </is>
      </c>
      <c r="B30" s="8" t="inlineStr">
        <is>
          <t>v0.45.0</t>
        </is>
      </c>
      <c r="C30" s="8" t="inlineStr">
        <is>
          <t>HTTP hardening</t>
        </is>
      </c>
      <c r="D30" s="8" t="inlineStr">
        <is>
          <t>ST-104</t>
        </is>
      </c>
      <c r="E30" s="23" t="inlineStr">
        <is>
          <t>Negative</t>
        </is>
      </c>
      <c r="F30" s="24" t="inlineStr">
        <is>
          <t>P1</t>
        </is>
      </c>
      <c r="G30" s="9" t="inlineStr">
        <is>
          <t>An unlisted browser origin gets no CORS grant</t>
        </is>
      </c>
      <c r="H30" s="9" t="inlineStr">
        <is>
          <t>The allowlist is explicit; wildcards are refused at configuration time.</t>
        </is>
      </c>
      <c r="I30" s="9" t="inlineStr">
        <is>
          <t>MEETSYNC_CORS_ORIGINS set to one known origin.</t>
        </is>
      </c>
      <c r="J30" s="9" t="inlineStr">
        <is>
          <t>1. Send a request with Origin: https://evil.example.
2. Send a preflight OPTIONS from the same origin.
3. Repeat both from the allowlisted origin.</t>
        </is>
      </c>
      <c r="K30" s="9" t="inlineStr">
        <is>
          <t>Steps 1 and 2 return no Access-Control-Allow-Origin header — the browser refuses the response. The preflight is 204 with no allow headers rather than a 403 that would reveal whether the route exists. Step 3 returns the full allow headers.</t>
        </is>
      </c>
      <c r="L30" s="9" t="inlineStr">
        <is>
          <t>s13.test.ts "answers CORS only for allowlisted origins"</t>
        </is>
      </c>
      <c r="M30" s="19" t="inlineStr"/>
      <c r="N30" s="22" t="inlineStr">
        <is>
          <t>Not run</t>
        </is>
      </c>
      <c r="O30" s="22" t="inlineStr"/>
      <c r="P30" s="22" t="inlineStr"/>
      <c r="Q30" s="22" t="inlineStr"/>
    </row>
    <row r="31">
      <c r="A31" s="8" t="inlineStr">
        <is>
          <t>TC-HRD-004</t>
        </is>
      </c>
      <c r="B31" s="8" t="inlineStr">
        <is>
          <t>v0.45.0</t>
        </is>
      </c>
      <c r="C31" s="8" t="inlineStr">
        <is>
          <t>HTTP hardening</t>
        </is>
      </c>
      <c r="D31" s="8" t="inlineStr">
        <is>
          <t>ST-104</t>
        </is>
      </c>
      <c r="E31" s="23" t="inlineStr">
        <is>
          <t>Negative</t>
        </is>
      </c>
      <c r="F31" s="25" t="inlineStr">
        <is>
          <t>P2</t>
        </is>
      </c>
      <c r="G31" s="9" t="inlineStr">
        <is>
          <t>A wildcard or plain-http CORS origin refuses to boot</t>
        </is>
      </c>
      <c r="H31" s="9" t="inlineStr">
        <is>
          <t>Configuration validation rather than a silent weakening.</t>
        </is>
      </c>
      <c r="I31" s="9" t="inlineStr">
        <is>
          <t>Shell access to the deployment environment.</t>
        </is>
      </c>
      <c r="J31" s="9" t="inlineStr">
        <is>
          <t>1. Set MEETSYNC_CORS_ORIGINS=https://*.example.com and start the process.
2. Set it to http://plain.example and start again.</t>
        </is>
      </c>
      <c r="K31" s="9" t="inlineStr">
        <is>
          <t>Both refuse to start with an explicit error naming the offending value. The process does not come up with a weakened policy.</t>
        </is>
      </c>
      <c r="L31" s="9" t="inlineStr">
        <is>
          <t>s13.test.ts config validation</t>
        </is>
      </c>
      <c r="M31" s="19" t="inlineStr"/>
      <c r="N31" s="22" t="inlineStr">
        <is>
          <t>Not run</t>
        </is>
      </c>
      <c r="O31" s="22" t="inlineStr"/>
      <c r="P31" s="22" t="inlineStr"/>
      <c r="Q31" s="22" t="inlineStr"/>
    </row>
    <row r="32">
      <c r="A32" s="8" t="inlineStr">
        <is>
          <t>TC-HRD-005</t>
        </is>
      </c>
      <c r="B32" s="8" t="inlineStr">
        <is>
          <t>v0.45.0</t>
        </is>
      </c>
      <c r="C32" s="8" t="inlineStr">
        <is>
          <t>HTTP hardening</t>
        </is>
      </c>
      <c r="D32" s="8" t="inlineStr">
        <is>
          <t>ST-104</t>
        </is>
      </c>
      <c r="E32" s="23" t="inlineStr">
        <is>
          <t>Negative</t>
        </is>
      </c>
      <c r="F32" s="24" t="inlineStr">
        <is>
          <t>P1</t>
        </is>
      </c>
      <c r="G32" s="9" t="inlineStr">
        <is>
          <t>An oversized body is refused with 413, not recorded as our error</t>
        </is>
      </c>
      <c r="H32" s="9" t="inlineStr">
        <is>
          <t>A 300 KB payload against a 256 KB cap.</t>
        </is>
      </c>
      <c r="I32" s="9" t="inlineStr">
        <is>
          <t>A valid session.</t>
        </is>
      </c>
      <c r="J32" s="9" t="inlineStr">
        <is>
          <t>1. POST /features/notes/setup with an overrides value of about 300 KB.
2. Read the response.
3. Check the operator error ledger at /analytics/ops.</t>
        </is>
      </c>
      <c r="K32" s="9" t="inlineStr">
        <is>
          <t>413 {error:"payload_too_large"} with a retry hint naming the limit. The error ledger count does not increase — a caller's oversized body is not our failure.</t>
        </is>
      </c>
      <c r="L32" s="9" t="inlineStr">
        <is>
          <t>s13.test.ts "refuses an oversized body with 413"</t>
        </is>
      </c>
      <c r="M32" s="19" t="inlineStr"/>
      <c r="N32" s="22" t="inlineStr">
        <is>
          <t>Not run</t>
        </is>
      </c>
      <c r="O32" s="22" t="inlineStr"/>
      <c r="P32" s="22" t="inlineStr"/>
      <c r="Q32" s="22" t="inlineStr"/>
    </row>
    <row r="33">
      <c r="A33" s="8" t="inlineStr">
        <is>
          <t>TC-HRD-006</t>
        </is>
      </c>
      <c r="B33" s="8" t="inlineStr">
        <is>
          <t>v0.45.0</t>
        </is>
      </c>
      <c r="C33" s="8" t="inlineStr">
        <is>
          <t>HTTP hardening</t>
        </is>
      </c>
      <c r="D33" s="8" t="inlineStr">
        <is>
          <t>ST-104</t>
        </is>
      </c>
      <c r="E33" s="23" t="inlineStr">
        <is>
          <t>Negative</t>
        </is>
      </c>
      <c r="F33" s="25" t="inlineStr">
        <is>
          <t>P2</t>
        </is>
      </c>
      <c r="G33" s="9" t="inlineStr">
        <is>
          <t>Unparseable JSON is a 400, not a 500</t>
        </is>
      </c>
      <c r="H33" s="9" t="inlineStr">
        <is>
          <t>Body-parser failures are the caller's fault and are answered as such.</t>
        </is>
      </c>
      <c r="I33" s="9" t="inlineStr">
        <is>
          <t>A valid session.</t>
        </is>
      </c>
      <c r="J33" s="9" t="inlineStr">
        <is>
          <t>1. POST any JSON route with content-type application/json and the body {not json.</t>
        </is>
      </c>
      <c r="K33" s="9" t="inlineStr">
        <is>
          <t>400 {error:"bad_request"} with a retry hint. No entry in the error ledger.</t>
        </is>
      </c>
      <c r="L33" s="9" t="inlineStr">
        <is>
          <t>s13.test.ts body parser statuses</t>
        </is>
      </c>
      <c r="M33" s="19" t="inlineStr"/>
      <c r="N33" s="22" t="inlineStr">
        <is>
          <t>Not run</t>
        </is>
      </c>
      <c r="O33" s="22" t="inlineStr"/>
      <c r="P33" s="22" t="inlineStr"/>
      <c r="Q33" s="22" t="inlineStr"/>
    </row>
    <row r="34">
      <c r="A34" s="8" t="inlineStr">
        <is>
          <t>TC-HRD-007</t>
        </is>
      </c>
      <c r="B34" s="8" t="inlineStr">
        <is>
          <t>v0.45.0</t>
        </is>
      </c>
      <c r="C34" s="8" t="inlineStr">
        <is>
          <t>HTTP hardening</t>
        </is>
      </c>
      <c r="D34" s="8" t="inlineStr">
        <is>
          <t>ST-104</t>
        </is>
      </c>
      <c r="E34" s="23" t="inlineStr">
        <is>
          <t>Negative</t>
        </is>
      </c>
      <c r="F34" s="24" t="inlineStr">
        <is>
          <t>P1</t>
        </is>
      </c>
      <c r="G34" s="9" t="inlineStr">
        <is>
          <t>A client exceeding the per-IP rate is throttled</t>
        </is>
      </c>
      <c r="H34" s="9" t="inlineStr">
        <is>
          <t>Token bucket per client IP on the public surface.</t>
        </is>
      </c>
      <c r="I34" s="9" t="inlineStr">
        <is>
          <t>MEETSYNC_RATE_LIMIT_PER_MIN set low (e.g. 2) in a staging deployment.</t>
        </is>
      </c>
      <c r="J34" s="9" t="inlineStr">
        <is>
          <t>1. Send requests to /orgs/&lt;id&gt;/status faster than the configured rate.
2. Observe the responses.
3. Wait one minute and retry.</t>
        </is>
      </c>
      <c r="K34" s="9" t="inlineStr">
        <is>
          <t>Once the bucket empties, responses are 429 {error:"rate_limited"} with a Retry-After header. After the refill interval the client is served again — the bucket refills continuously rather than banning.</t>
        </is>
      </c>
      <c r="L34" s="9" t="inlineStr">
        <is>
          <t>s13.test.ts "rate-limits the public surface per IP and per account"</t>
        </is>
      </c>
      <c r="M34" s="19" t="inlineStr"/>
      <c r="N34" s="22" t="inlineStr">
        <is>
          <t>Not run</t>
        </is>
      </c>
      <c r="O34" s="22" t="inlineStr"/>
      <c r="P34" s="22" t="inlineStr"/>
      <c r="Q34" s="22" t="inlineStr"/>
    </row>
    <row r="35">
      <c r="A35" s="8" t="inlineStr">
        <is>
          <t>TC-HRD-008</t>
        </is>
      </c>
      <c r="B35" s="8" t="inlineStr">
        <is>
          <t>v0.45.0</t>
        </is>
      </c>
      <c r="C35" s="8" t="inlineStr">
        <is>
          <t>HTTP hardening</t>
        </is>
      </c>
      <c r="D35" s="8" t="inlineStr">
        <is>
          <t>ST-104</t>
        </is>
      </c>
      <c r="E35" s="23" t="inlineStr">
        <is>
          <t>Negative</t>
        </is>
      </c>
      <c r="F35" s="24" t="inlineStr">
        <is>
          <t>P1</t>
        </is>
      </c>
      <c r="G35" s="9" t="inlineStr">
        <is>
          <t>One workspace cannot spread a burst across many IPs</t>
        </is>
      </c>
      <c r="H35" s="9" t="inlineStr">
        <is>
          <t>The per-account bucket exists so a tenant cannot hide behind a proxy pool.</t>
        </is>
      </c>
      <c r="I35" s="9" t="inlineStr">
        <is>
          <t>Staging with a low rate limit and the ability to vary X-Forwarded-For.</t>
        </is>
      </c>
      <c r="J35" s="9" t="inlineStr">
        <is>
          <t>1. Send requests using the same session but a different X-Forwarded-For each time.
2. Continue past the per-account allowance.</t>
        </is>
      </c>
      <c r="K35" s="9" t="inlineStr">
        <is>
          <t>The per-IP bucket never trips, but the per-account bucket does: 429 with a message naming the workspace. /analytics/rate-limits attributes the rejections to routeClass "account".</t>
        </is>
      </c>
      <c r="L35" s="9" t="inlineStr">
        <is>
          <t>s13.test.ts "the per-account bucket trips when one workspace spreads its burst"</t>
        </is>
      </c>
      <c r="M35" s="19" t="inlineStr"/>
      <c r="N35" s="22" t="inlineStr">
        <is>
          <t>Not run</t>
        </is>
      </c>
      <c r="O35" s="22" t="inlineStr"/>
      <c r="P35" s="22" t="inlineStr"/>
      <c r="Q35" s="22" t="inlineStr"/>
    </row>
    <row r="36">
      <c r="A36" s="8" t="inlineStr">
        <is>
          <t>TC-HRD-009</t>
        </is>
      </c>
      <c r="B36" s="8" t="inlineStr">
        <is>
          <t>v0.45.0</t>
        </is>
      </c>
      <c r="C36" s="8" t="inlineStr">
        <is>
          <t>HTTP hardening</t>
        </is>
      </c>
      <c r="D36" s="8" t="inlineStr">
        <is>
          <t>ST-104</t>
        </is>
      </c>
      <c r="E36" s="20" t="inlineStr">
        <is>
          <t>Positive</t>
        </is>
      </c>
      <c r="F36" s="25" t="inlineStr">
        <is>
          <t>P2</t>
        </is>
      </c>
      <c r="G36" s="9" t="inlineStr">
        <is>
          <t>Rate-limit rejections are visible to an operator</t>
        </is>
      </c>
      <c r="H36" s="9" t="inlineStr">
        <is>
          <t>A burst should read as a burst, not as an unexplained dip in feature use.</t>
        </is>
      </c>
      <c r="I36" s="9" t="inlineStr">
        <is>
          <t>Operator token; some throttling has occurred.</t>
        </is>
      </c>
      <c r="J36" s="9" t="inlineStr">
        <is>
          <t>1. Call GET /analytics/rate-limits with the operator token.</t>
        </is>
      </c>
      <c r="K36" s="9" t="inlineStr">
        <is>
          <t>The response lists rejections by route class (public, oauth, webhook, account, operator) with counts, plus per-limiter key counts and the operator credential rotation state.</t>
        </is>
      </c>
      <c r="L36" s="9" t="inlineStr">
        <is>
          <t>s13.test.ts rate-limit reporting</t>
        </is>
      </c>
      <c r="M36" s="19" t="inlineStr"/>
      <c r="N36" s="22" t="inlineStr">
        <is>
          <t>Not run</t>
        </is>
      </c>
      <c r="O36" s="22" t="inlineStr"/>
      <c r="P36" s="22" t="inlineStr"/>
      <c r="Q36" s="22" t="inlineStr"/>
    </row>
    <row r="37">
      <c r="A37" s="8" t="inlineStr">
        <is>
          <t>TC-HRD-010</t>
        </is>
      </c>
      <c r="B37" s="8" t="inlineStr">
        <is>
          <t>v0.45.0</t>
        </is>
      </c>
      <c r="C37" s="8" t="inlineStr">
        <is>
          <t>HTTP hardening</t>
        </is>
      </c>
      <c r="D37" s="8" t="inlineStr">
        <is>
          <t>ST-104</t>
        </is>
      </c>
      <c r="E37" s="20" t="inlineStr">
        <is>
          <t>Positive</t>
        </is>
      </c>
      <c r="F37" s="25" t="inlineStr">
        <is>
          <t>P2</t>
        </is>
      </c>
      <c r="G37" s="9" t="inlineStr">
        <is>
          <t>The webhook route has a larger budget than the customer surface</t>
        </is>
      </c>
      <c r="H37" s="9" t="inlineStr">
        <is>
          <t>Zoom redelivers aggressively; throttling Zoom causes the subscription to be disabled.</t>
        </is>
      </c>
      <c r="I37" s="9" t="inlineStr">
        <is>
          <t>Staging with a known rate limit.</t>
        </is>
      </c>
      <c r="J37" s="9" t="inlineStr">
        <is>
          <t>1. Compare the effective limits by driving /webhooks/zoom and /orgs/:id/status at the same rate.</t>
        </is>
      </c>
      <c r="K37" s="9" t="inlineStr">
        <is>
          <t>The webhook route tolerates roughly five times the public rate before throttling. Any webhook throttling appears under routeClass "webhook" so it can be raised before Zoom gives up.</t>
        </is>
      </c>
      <c r="L37" s="9" t="inlineStr">
        <is>
          <t>s13.test.ts limiter configuration</t>
        </is>
      </c>
      <c r="M37" s="19" t="inlineStr"/>
      <c r="N37" s="22" t="inlineStr">
        <is>
          <t>Not run</t>
        </is>
      </c>
      <c r="O37" s="22" t="inlineStr"/>
      <c r="P37" s="22" t="inlineStr"/>
      <c r="Q37" s="22" t="inlineStr"/>
    </row>
    <row r="38">
      <c r="A38" s="8" t="inlineStr">
        <is>
          <t>TC-OPS-001</t>
        </is>
      </c>
      <c r="B38" s="8" t="inlineStr">
        <is>
          <t>v0.13.0</t>
        </is>
      </c>
      <c r="C38" s="8" t="inlineStr">
        <is>
          <t>Operator surface</t>
        </is>
      </c>
      <c r="D38" s="8" t="inlineStr">
        <is>
          <t>M-F12</t>
        </is>
      </c>
      <c r="E38" s="23" t="inlineStr">
        <is>
          <t>Negative</t>
        </is>
      </c>
      <c r="F38" s="21" t="inlineStr">
        <is>
          <t>P0</t>
        </is>
      </c>
      <c r="G38" s="9" t="inlineStr">
        <is>
          <t>Operator routes refuse an anonymous caller</t>
        </is>
      </c>
      <c r="H38" s="9" t="inlineStr">
        <is>
          <t>Cross-tenant aggregates must never be open to the internet.</t>
        </is>
      </c>
      <c r="I38" s="9" t="inlineStr">
        <is>
          <t>A running deployment.</t>
        </is>
      </c>
      <c r="J38" s="9" t="inlineStr">
        <is>
          <t>1. Call GET /analytics/funnel with no headers.
2. Repeat for /analytics/revenue, /admin/install-sources and /admin/retention-sweep.</t>
        </is>
      </c>
      <c r="K38" s="9" t="inlineStr">
        <is>
          <t>All return 401 {error:"operator_token_required"}. No aggregate data is disclosed.</t>
        </is>
      </c>
      <c r="L38" s="9" t="inlineStr">
        <is>
          <t>app.test.ts operator block</t>
        </is>
      </c>
      <c r="M38" s="19" t="inlineStr"/>
      <c r="N38" s="22" t="inlineStr">
        <is>
          <t>Not run</t>
        </is>
      </c>
      <c r="O38" s="22" t="inlineStr"/>
      <c r="P38" s="22" t="inlineStr"/>
      <c r="Q38" s="22" t="inlineStr"/>
    </row>
    <row r="39">
      <c r="A39" s="8" t="inlineStr">
        <is>
          <t>TC-OPS-002</t>
        </is>
      </c>
      <c r="B39" s="8" t="inlineStr">
        <is>
          <t>v0.45.0</t>
        </is>
      </c>
      <c r="C39" s="8" t="inlineStr">
        <is>
          <t>Operator surface</t>
        </is>
      </c>
      <c r="D39" s="8" t="inlineStr">
        <is>
          <t>ST-105</t>
        </is>
      </c>
      <c r="E39" s="23" t="inlineStr">
        <is>
          <t>Negative</t>
        </is>
      </c>
      <c r="F39" s="21" t="inlineStr">
        <is>
          <t>P0</t>
        </is>
      </c>
      <c r="G39" s="9" t="inlineStr">
        <is>
          <t>A valid customer owner session is refused on the operator surface</t>
        </is>
      </c>
      <c r="H39" s="9" t="inlineStr">
        <is>
          <t>A session proves membership of one workspace; these routes read across all of them.</t>
        </is>
      </c>
      <c r="I39" s="9" t="inlineStr">
        <is>
          <t>A valid owner session for any workspace.</t>
        </is>
      </c>
      <c r="J39" s="9" t="inlineStr">
        <is>
          <t>1. Call each operator route with the owner session in x-ms-session.
2. Try the same with the session in a cookie.</t>
        </is>
      </c>
      <c r="K39" s="9" t="inlineStr">
        <is>
          <t>Every route returns 401 {error:"operator_token_required"}. Workspace privilege confers nothing here.</t>
        </is>
      </c>
      <c r="L39" s="9" t="inlineStr">
        <is>
          <t>s13.test.ts "rejects a valid customer session on every operator route"</t>
        </is>
      </c>
      <c r="M39" s="19" t="inlineStr"/>
      <c r="N39" s="22" t="inlineStr">
        <is>
          <t>Not run</t>
        </is>
      </c>
      <c r="O39" s="22" t="inlineStr"/>
      <c r="P39" s="22" t="inlineStr"/>
      <c r="Q39" s="22" t="inlineStr"/>
    </row>
    <row r="40">
      <c r="A40" s="8" t="inlineStr">
        <is>
          <t>TC-OPS-003</t>
        </is>
      </c>
      <c r="B40" s="8" t="inlineStr">
        <is>
          <t>v0.45.0</t>
        </is>
      </c>
      <c r="C40" s="8" t="inlineStr">
        <is>
          <t>Operator surface</t>
        </is>
      </c>
      <c r="D40" s="8" t="inlineStr">
        <is>
          <t>ST-105</t>
        </is>
      </c>
      <c r="E40" s="20" t="inlineStr">
        <is>
          <t>Positive</t>
        </is>
      </c>
      <c r="F40" s="24" t="inlineStr">
        <is>
          <t>P1</t>
        </is>
      </c>
      <c r="G40" s="9" t="inlineStr">
        <is>
          <t>The operator token rotates without a redeploy</t>
        </is>
      </c>
      <c r="H40" s="9" t="inlineStr">
        <is>
          <t>Rotation in place, with a grace window so in-flight tooling is not cut off.</t>
        </is>
      </c>
      <c r="I40" s="9" t="inlineStr">
        <is>
          <t>The current operator token.</t>
        </is>
      </c>
      <c r="J40" s="9" t="inlineStr">
        <is>
          <t>1. Call POST /admin/operator-token with the current token and a new value of at least 16 characters.
2. Immediately call an operator route with the OLD token.
3. Call one with the NEW token.
4. After the grace window (15 minutes) retry with the OLD token.</t>
        </is>
      </c>
      <c r="K40" s="9" t="inlineStr">
        <is>
          <t>Rotation returns previousValidUntil. Inside the window both tokens work. After it, the old token returns 401 and /analytics/rate-limits reports previousActive:false.</t>
        </is>
      </c>
      <c r="L40" s="9" t="inlineStr">
        <is>
          <t>s13.test.ts "rotates the credential in place"</t>
        </is>
      </c>
      <c r="M40" s="19" t="inlineStr"/>
      <c r="N40" s="22" t="inlineStr">
        <is>
          <t>Not run</t>
        </is>
      </c>
      <c r="O40" s="22" t="inlineStr"/>
      <c r="P40" s="22" t="inlineStr"/>
      <c r="Q40" s="22" t="inlineStr"/>
    </row>
    <row r="41">
      <c r="A41" s="8" t="inlineStr">
        <is>
          <t>TC-OPS-004</t>
        </is>
      </c>
      <c r="B41" s="8" t="inlineStr">
        <is>
          <t>v0.45.0</t>
        </is>
      </c>
      <c r="C41" s="8" t="inlineStr">
        <is>
          <t>Operator surface</t>
        </is>
      </c>
      <c r="D41" s="8" t="inlineStr">
        <is>
          <t>ST-105</t>
        </is>
      </c>
      <c r="E41" s="23" t="inlineStr">
        <is>
          <t>Negative</t>
        </is>
      </c>
      <c r="F41" s="25" t="inlineStr">
        <is>
          <t>P2</t>
        </is>
      </c>
      <c r="G41" s="9" t="inlineStr">
        <is>
          <t>A weak replacement token is refused</t>
        </is>
      </c>
      <c r="H41" s="9" t="inlineStr">
        <is>
          <t>Rotation must not be a way to weaken the credential.</t>
        </is>
      </c>
      <c r="I41" s="9" t="inlineStr">
        <is>
          <t>The current operator token.</t>
        </is>
      </c>
      <c r="J41" s="9" t="inlineStr">
        <is>
          <t>1. Call POST /admin/operator-token with next="short".</t>
        </is>
      </c>
      <c r="K41" s="9" t="inlineStr">
        <is>
          <t>422 with a message naming the minimum length. The current token continues to work.</t>
        </is>
      </c>
      <c r="L41" s="9" t="inlineStr">
        <is>
          <t>s13.test.ts weak token rotation</t>
        </is>
      </c>
      <c r="M41" s="19" t="inlineStr"/>
      <c r="N41" s="22" t="inlineStr">
        <is>
          <t>Not run</t>
        </is>
      </c>
      <c r="O41" s="22" t="inlineStr"/>
      <c r="P41" s="22" t="inlineStr"/>
      <c r="Q41" s="22" t="inlineStr"/>
    </row>
    <row r="42">
      <c r="A42" s="8" t="inlineStr">
        <is>
          <t>TC-OPS-005</t>
        </is>
      </c>
      <c r="B42" s="8" t="inlineStr">
        <is>
          <t>v0.19.0</t>
        </is>
      </c>
      <c r="C42" s="8" t="inlineStr">
        <is>
          <t>Operator surface</t>
        </is>
      </c>
      <c r="D42" s="8" t="inlineStr">
        <is>
          <t>GAP-2</t>
        </is>
      </c>
      <c r="E42" s="20" t="inlineStr">
        <is>
          <t>Positive</t>
        </is>
      </c>
      <c r="F42" s="24" t="inlineStr">
        <is>
          <t>P1</t>
        </is>
      </c>
      <c r="G42" s="9" t="inlineStr">
        <is>
          <t>The retention sweep can be run and inspected on demand</t>
        </is>
      </c>
      <c r="H42" s="9" t="inlineStr">
        <is>
          <t>A retention policy nobody can observe running is how a policy quietly stops being honoured.</t>
        </is>
      </c>
      <c r="I42" s="9" t="inlineStr">
        <is>
          <t>Operator token; at least one account due for deletion.</t>
        </is>
      </c>
      <c r="J42" s="9" t="inlineStr">
        <is>
          <t>1. Call GET /admin/retention-sweep and note the history.
2. Call POST /admin/retention-sweep.
3. Call GET again.</t>
        </is>
      </c>
      <c r="K42" s="9" t="inlineStr">
        <is>
          <t>The GET reports started=true, the last run and recent history. The POST returns the ids purged. The history grows by one entry.</t>
        </is>
      </c>
      <c r="L42" s="9" t="inlineStr">
        <is>
          <t>scheduler.test.ts; app.test.ts admin routes</t>
        </is>
      </c>
      <c r="M42" s="19" t="inlineStr"/>
      <c r="N42" s="22" t="inlineStr">
        <is>
          <t>Not run</t>
        </is>
      </c>
      <c r="O42" s="22" t="inlineStr"/>
      <c r="P42" s="22" t="inlineStr"/>
      <c r="Q42" s="22" t="inlineStr"/>
    </row>
    <row r="43">
      <c r="A43" s="8" t="inlineStr">
        <is>
          <t>TC-OPS-006</t>
        </is>
      </c>
      <c r="B43" s="8" t="inlineStr">
        <is>
          <t>v0.30.0</t>
        </is>
      </c>
      <c r="C43" s="8" t="inlineStr">
        <is>
          <t>Operator surface</t>
        </is>
      </c>
      <c r="D43" s="8" t="inlineStr">
        <is>
          <t>ST-090</t>
        </is>
      </c>
      <c r="E43" s="20" t="inlineStr">
        <is>
          <t>Positive</t>
        </is>
      </c>
      <c r="F43" s="24" t="inlineStr">
        <is>
          <t>P1</t>
        </is>
      </c>
      <c r="G43" s="9" t="inlineStr">
        <is>
          <t>The restore drill proves a backup restores</t>
        </is>
      </c>
      <c r="H43" s="9" t="inlineStr">
        <is>
          <t>Taking a snapshot proves nothing.</t>
        </is>
      </c>
      <c r="I43" s="9" t="inlineStr">
        <is>
          <t>Operator token; a populated database.</t>
        </is>
      </c>
      <c r="J43" s="9" t="inlineStr">
        <is>
          <t>1. Call POST /admin/restore-drill.
2. Read the response.
3. Confirm the live data is untouched.</t>
        </is>
      </c>
      <c r="K43" s="9" t="inlineStr">
        <is>
          <t>200 with ok:true and matching checksums. The drill restores into scratch stores and never writes to live. A failed drill would return 500, not 200 with ok:false.</t>
        </is>
      </c>
      <c r="L43" s="9" t="inlineStr">
        <is>
          <t>backup.test.ts restore drill</t>
        </is>
      </c>
      <c r="M43" s="19" t="inlineStr"/>
      <c r="N43" s="22" t="inlineStr">
        <is>
          <t>Not run</t>
        </is>
      </c>
      <c r="O43" s="22" t="inlineStr"/>
      <c r="P43" s="22" t="inlineStr"/>
      <c r="Q43" s="22" t="inlineStr"/>
    </row>
    <row r="44">
      <c r="A44" s="8" t="inlineStr">
        <is>
          <t>TC-OPS-007</t>
        </is>
      </c>
      <c r="B44" s="8" t="inlineStr">
        <is>
          <t>v0.40.0</t>
        </is>
      </c>
      <c r="C44" s="8" t="inlineStr">
        <is>
          <t>Operator surface</t>
        </is>
      </c>
      <c r="D44" s="8" t="inlineStr">
        <is>
          <t>ST-072</t>
        </is>
      </c>
      <c r="E44" s="20" t="inlineStr">
        <is>
          <t>Positive</t>
        </is>
      </c>
      <c r="F44" s="25" t="inlineStr">
        <is>
          <t>P2</t>
        </is>
      </c>
      <c r="G44" s="9" t="inlineStr">
        <is>
          <t>Operational alerts reach the configured webhook and carry no tenant identity</t>
        </is>
      </c>
      <c r="H44" s="9" t="inlineStr">
        <is>
          <t>Alerts typically post to a shared chat channel.</t>
        </is>
      </c>
      <c r="I44" s="9" t="inlineStr">
        <is>
          <t>MEETSYNC_ALERT_WEBHOOK set to an https endpoint you control; enough error volume to trip the threshold.</t>
        </is>
      </c>
      <c r="J44" s="9" t="inlineStr">
        <is>
          <t>1. Drive errors past errorSpikePerMin.
2. Inspect the POST body received at the webhook.</t>
        </is>
      </c>
      <c r="K44" s="9" t="inlineStr">
        <is>
          <t>An alert is delivered. The body carries counts and a type, and names no account id. The at-risk list remains behind the operator token at /analytics/at-risk.</t>
        </is>
      </c>
      <c r="L44" s="9" t="inlineStr">
        <is>
          <t>alertSink.test.ts; ops.test.ts OpsAlert invariant</t>
        </is>
      </c>
      <c r="M44" s="19" t="inlineStr"/>
      <c r="N44" s="22" t="inlineStr">
        <is>
          <t>Not run</t>
        </is>
      </c>
      <c r="O44" s="22" t="inlineStr"/>
      <c r="P44" s="22" t="inlineStr"/>
      <c r="Q44" s="22" t="inlineStr"/>
    </row>
    <row r="45">
      <c r="A45" s="8" t="inlineStr">
        <is>
          <t>TC-OPS-008</t>
        </is>
      </c>
      <c r="B45" s="8" t="inlineStr">
        <is>
          <t>v0.45.0</t>
        </is>
      </c>
      <c r="C45" s="8" t="inlineStr">
        <is>
          <t>Operator surface</t>
        </is>
      </c>
      <c r="D45" s="8" t="inlineStr">
        <is>
          <t>ST-115</t>
        </is>
      </c>
      <c r="E45" s="20" t="inlineStr">
        <is>
          <t>Positive</t>
        </is>
      </c>
      <c r="F45" s="25" t="inlineStr">
        <is>
          <t>P2</t>
        </is>
      </c>
      <c r="G45" s="9" t="inlineStr">
        <is>
          <t>Mail delivery outcomes are visible to an operator</t>
        </is>
      </c>
      <c r="H45" s="9" t="inlineStr">
        <is>
          <t>A digest that did not go out should be a fact in the log, not an absence.</t>
        </is>
      </c>
      <c r="I45" s="9" t="inlineStr">
        <is>
          <t>Operator token; a configured or deliberately unconfigured mail transport.</t>
        </is>
      </c>
      <c r="J45" s="9" t="inlineStr">
        <is>
          <t>1. Trigger a notification (for example complete a feature setup).
2. Call GET /analytics/ops and read the mail block.</t>
        </is>
      </c>
      <c r="K45" s="9" t="inlineStr">
        <is>
          <t>mail.configured reflects whether a transport is set. mail.outcomes counts delivered, no_sender, no_contact and failed. With no transport configured the count lands in no_sender and no email row is written anywhere.</t>
        </is>
      </c>
      <c r="L45" s="9" t="inlineStr">
        <is>
          <t>s14.test.ts "the ops digest reports mail outcomes"</t>
        </is>
      </c>
      <c r="M45" s="19" t="inlineStr"/>
      <c r="N45" s="22" t="inlineStr">
        <is>
          <t>Not run</t>
        </is>
      </c>
      <c r="O45" s="22" t="inlineStr"/>
      <c r="P45" s="22" t="inlineStr"/>
      <c r="Q45" s="22" t="inlineStr"/>
    </row>
    <row r="46">
      <c r="A46" s="8" t="inlineStr">
        <is>
          <t>TC-TEN-001</t>
        </is>
      </c>
      <c r="B46" s="8" t="inlineStr">
        <is>
          <t>v0.13.0</t>
        </is>
      </c>
      <c r="C46" s="8" t="inlineStr">
        <is>
          <t>Tenancy &amp; RBAC</t>
        </is>
      </c>
      <c r="D46" s="8" t="inlineStr">
        <is>
          <t>M-F04</t>
        </is>
      </c>
      <c r="E46" s="23" t="inlineStr">
        <is>
          <t>Negative</t>
        </is>
      </c>
      <c r="F46" s="21" t="inlineStr">
        <is>
          <t>P0</t>
        </is>
      </c>
      <c r="G46" s="9" t="inlineStr">
        <is>
          <t>One workspace cannot see another workspace's feature state</t>
        </is>
      </c>
      <c r="H46" s="9" t="inlineStr">
        <is>
          <t>The original singleton defect: imported records, rules and defaults were process-wide.</t>
        </is>
      </c>
      <c r="I46" s="9" t="inlineStr">
        <is>
          <t>Two installed workspaces, A and B.</t>
        </is>
      </c>
      <c r="J46" s="9" t="inlineStr">
        <is>
          <t>1. As A, import a CSV and set a custom extraction rule.
2. As B, read the feature settings, the imported records and the rules.
3. As B, read the CRM mappings and writeback queue.</t>
        </is>
      </c>
      <c r="K46" s="9" t="inlineStr">
        <is>
          <t>B sees none of A's records, rules, defaults, mappings or jobs. Every collection is empty or B's own.</t>
        </is>
      </c>
      <c r="L46" s="9" t="inlineStr">
        <is>
          <t>review.test.ts tenancy block</t>
        </is>
      </c>
      <c r="M46" s="19" t="inlineStr"/>
      <c r="N46" s="22" t="inlineStr">
        <is>
          <t>Not run</t>
        </is>
      </c>
      <c r="O46" s="22" t="inlineStr"/>
      <c r="P46" s="22" t="inlineStr"/>
      <c r="Q46" s="22" t="inlineStr"/>
    </row>
    <row r="47">
      <c r="A47" s="8" t="inlineStr">
        <is>
          <t>TC-TEN-002</t>
        </is>
      </c>
      <c r="B47" s="8" t="inlineStr">
        <is>
          <t>v0.08.0</t>
        </is>
      </c>
      <c r="C47" s="8" t="inlineStr">
        <is>
          <t>Tenancy &amp; RBAC</t>
        </is>
      </c>
      <c r="D47" s="8" t="inlineStr">
        <is>
          <t>ST-054</t>
        </is>
      </c>
      <c r="E47" s="20" t="inlineStr">
        <is>
          <t>Positive</t>
        </is>
      </c>
      <c r="F47" s="24" t="inlineStr">
        <is>
          <t>P1</t>
        </is>
      </c>
      <c r="G47" s="9" t="inlineStr">
        <is>
          <t>The role matrix grants and denies as published</t>
        </is>
      </c>
      <c r="H47" s="9" t="inlineStr">
        <is>
          <t>Owner, admin and member have specified powers.</t>
        </is>
      </c>
      <c r="I47" s="9" t="inlineStr">
        <is>
          <t>Sessions for all three roles in one workspace.</t>
        </is>
      </c>
      <c r="J47" s="9" t="inlineStr">
        <is>
          <t>1. As each role attempt: feature configure, data import, data export, data delete, billing manage, team manage and audit read.
2. Record each outcome.</t>
        </is>
      </c>
      <c r="K47" s="9" t="inlineStr">
        <is>
          <t>Owner: all allowed. Admin: all except data.delete and billing.manage. Member: feature.use and data.export only. Each attempt — allowed or denied — appears in the audit log.</t>
        </is>
      </c>
      <c r="L47" s="9" t="inlineStr">
        <is>
          <t>rbac.test.ts</t>
        </is>
      </c>
      <c r="M47" s="19" t="inlineStr"/>
      <c r="N47" s="22" t="inlineStr">
        <is>
          <t>Not run</t>
        </is>
      </c>
      <c r="O47" s="22" t="inlineStr"/>
      <c r="P47" s="22" t="inlineStr"/>
      <c r="Q47" s="22" t="inlineStr"/>
    </row>
    <row r="48">
      <c r="A48" s="8" t="inlineStr">
        <is>
          <t>TC-TEN-003</t>
        </is>
      </c>
      <c r="B48" s="8" t="inlineStr">
        <is>
          <t>v0.08.0</t>
        </is>
      </c>
      <c r="C48" s="8" t="inlineStr">
        <is>
          <t>Tenancy &amp; RBAC</t>
        </is>
      </c>
      <c r="D48" s="8" t="inlineStr">
        <is>
          <t>ST-067</t>
        </is>
      </c>
      <c r="E48" s="20" t="inlineStr">
        <is>
          <t>Positive</t>
        </is>
      </c>
      <c r="F48" s="24" t="inlineStr">
        <is>
          <t>P1</t>
        </is>
      </c>
      <c r="G48" s="9" t="inlineStr">
        <is>
          <t>Denials are audit-logged, not just refusals</t>
        </is>
      </c>
      <c r="H48" s="9" t="inlineStr">
        <is>
          <t>An audit trail that records only successes hides exactly the events worth investigating.</t>
        </is>
      </c>
      <c r="I48" s="9" t="inlineStr">
        <is>
          <t>A member session.</t>
        </is>
      </c>
      <c r="J48" s="9" t="inlineStr">
        <is>
          <t>1. As the member, attempt POST /orgs/&lt;id&gt;/delete-my-data.
2. As an owner, read GET /orgs/&lt;id&gt;/audit-log.</t>
        </is>
      </c>
      <c r="K48" s="9" t="inlineStr">
        <is>
          <t>The attempt returns 403. The audit log contains a data.delete row with allowed=false naming the member's real Zoom user id.</t>
        </is>
      </c>
      <c r="L48" s="9" t="inlineStr">
        <is>
          <t>s9.test.ts; s13.test.ts identity in denials</t>
        </is>
      </c>
      <c r="M48" s="19" t="inlineStr"/>
      <c r="N48" s="22" t="inlineStr">
        <is>
          <t>Not run</t>
        </is>
      </c>
      <c r="O48" s="22" t="inlineStr"/>
      <c r="P48" s="22" t="inlineStr"/>
      <c r="Q48" s="22" t="inlineStr"/>
    </row>
    <row r="49">
      <c r="A49" s="8" t="inlineStr">
        <is>
          <t>TC-TEN-004</t>
        </is>
      </c>
      <c r="B49" s="8" t="inlineStr">
        <is>
          <t>v0.20.0</t>
        </is>
      </c>
      <c r="C49" s="8" t="inlineStr">
        <is>
          <t>Tenancy &amp; RBAC</t>
        </is>
      </c>
      <c r="D49" s="8" t="inlineStr">
        <is>
          <t>ST-067</t>
        </is>
      </c>
      <c r="E49" s="20" t="inlineStr">
        <is>
          <t>Positive</t>
        </is>
      </c>
      <c r="F49" s="25" t="inlineStr">
        <is>
          <t>P2</t>
        </is>
      </c>
      <c r="G49" s="9" t="inlineStr">
        <is>
          <t>The audit log is readable by those permitted and refused to others</t>
        </is>
      </c>
      <c r="H49" s="9" t="inlineStr">
        <is>
          <t>audit.read had been in the matrix gating nothing.</t>
        </is>
      </c>
      <c r="I49" s="9" t="inlineStr">
        <is>
          <t>Owner, admin and member sessions.</t>
        </is>
      </c>
      <c r="J49" s="9" t="inlineStr">
        <is>
          <t>1. Read GET /orgs/&lt;id&gt;/audit-log as each role.</t>
        </is>
      </c>
      <c r="K49" s="9" t="inlineStr">
        <is>
          <t>Owner and admin receive the workspace's rows. Member receives 403 audit_read_denied. No workspace sees another's rows.</t>
        </is>
      </c>
      <c r="L49" s="9" t="inlineStr">
        <is>
          <t>productLoop.test.ts audit log block</t>
        </is>
      </c>
      <c r="M49" s="19" t="inlineStr"/>
      <c r="N49" s="22" t="inlineStr">
        <is>
          <t>Not run</t>
        </is>
      </c>
      <c r="O49" s="22" t="inlineStr"/>
      <c r="P49" s="22" t="inlineStr"/>
      <c r="Q49" s="22" t="inlineStr"/>
    </row>
    <row r="50">
      <c r="A50" s="8" t="inlineStr">
        <is>
          <t>TC-TEN-005</t>
        </is>
      </c>
      <c r="B50" s="8" t="inlineStr">
        <is>
          <t>v0.32.0</t>
        </is>
      </c>
      <c r="C50" s="8" t="inlineStr">
        <is>
          <t>Tenancy &amp; RBAC</t>
        </is>
      </c>
      <c r="D50" s="8" t="inlineStr">
        <is>
          <t>SR-01</t>
        </is>
      </c>
      <c r="E50" s="20" t="inlineStr">
        <is>
          <t>Positive</t>
        </is>
      </c>
      <c r="F50" s="25" t="inlineStr">
        <is>
          <t>P2</t>
        </is>
      </c>
      <c r="G50" s="9" t="inlineStr">
        <is>
          <t>Tenant graphs evict least-recently-used, not first-seen</t>
        </is>
      </c>
      <c r="H50" s="9" t="inlineStr">
        <is>
          <t>A daily user must not be evicted in favour of one that appeared once.</t>
        </is>
      </c>
      <c r="I50" s="9" t="inlineStr">
        <is>
          <t>A deployment with a low tenantCap in staging.</t>
        </is>
      </c>
      <c r="J50" s="9" t="inlineStr">
        <is>
          <t>1. Touch workspaces A, B and C in that order, exceeding the cap.
2. Touch A repeatedly.
3. Touch D to force an eviction.
4. Check which graph was dropped.</t>
        </is>
      </c>
      <c r="K50" s="9" t="inlineStr">
        <is>
          <t>The least recently used graph is evicted — not A, which has been active. Eviction costs a reload, never data, because the graph is a cache over durable state.</t>
        </is>
      </c>
      <c r="L50" s="9" t="inlineStr">
        <is>
          <t>review.test.ts LRU block</t>
        </is>
      </c>
      <c r="M50" s="19" t="inlineStr"/>
      <c r="N50" s="22" t="inlineStr">
        <is>
          <t>Not run</t>
        </is>
      </c>
      <c r="O50" s="22" t="inlineStr"/>
      <c r="P50" s="22" t="inlineStr"/>
      <c r="Q50" s="22" t="inlineStr"/>
    </row>
    <row r="51">
      <c r="A51" s="8" t="inlineStr">
        <is>
          <t>TC-TEN-006</t>
        </is>
      </c>
      <c r="B51" s="8" t="inlineStr">
        <is>
          <t>v0.34.0</t>
        </is>
      </c>
      <c r="C51" s="8" t="inlineStr">
        <is>
          <t>Tenancy &amp; RBAC</t>
        </is>
      </c>
      <c r="D51" s="8" t="inlineStr">
        <is>
          <t>SR-05</t>
        </is>
      </c>
      <c r="E51" s="23" t="inlineStr">
        <is>
          <t>Negative</t>
        </is>
      </c>
      <c r="F51" s="21" t="inlineStr">
        <is>
          <t>P0</t>
        </is>
      </c>
      <c r="G51" s="9" t="inlineStr">
        <is>
          <t>A restore cannot take a job id belonging to another account</t>
        </is>
      </c>
      <c r="H51" s="9" t="inlineStr">
        <is>
          <t>The cross-tenant data movement defect.</t>
        </is>
      </c>
      <c r="I51" s="9" t="inlineStr">
        <is>
          <t>Two accounts with queued CRM jobs; access to the restore path.</t>
        </is>
      </c>
      <c r="J51" s="9" t="inlineStr">
        <is>
          <t>1. Note a job id held by account A.
2. Attempt to restore a job with that same id into account B.</t>
        </is>
      </c>
      <c r="K51" s="9" t="inlineStr">
        <is>
          <t>The restore is refused with JobSeqTakenError naming the holding account. A's job is not moved and not lost.</t>
        </is>
      </c>
      <c r="L51" s="9" t="inlineStr">
        <is>
          <t>storeContract.test.ts CrmStore restoreJob</t>
        </is>
      </c>
      <c r="M51" s="19" t="inlineStr"/>
      <c r="N51" s="22" t="inlineStr">
        <is>
          <t>Not run</t>
        </is>
      </c>
      <c r="O51" s="22" t="inlineStr"/>
      <c r="P51" s="22" t="inlineStr"/>
      <c r="Q51" s="22" t="inlineStr"/>
    </row>
    <row r="52">
      <c r="A52" s="8" t="inlineStr">
        <is>
          <t>TC-TEN-007</t>
        </is>
      </c>
      <c r="B52" s="8" t="inlineStr">
        <is>
          <t>v0.13.0</t>
        </is>
      </c>
      <c r="C52" s="8" t="inlineStr">
        <is>
          <t>Tenancy &amp; RBAC</t>
        </is>
      </c>
      <c r="D52" s="8" t="inlineStr">
        <is>
          <t>M-F16</t>
        </is>
      </c>
      <c r="E52" s="23" t="inlineStr">
        <is>
          <t>Negative</t>
        </is>
      </c>
      <c r="F52" s="24" t="inlineStr">
        <is>
          <t>P1</t>
        </is>
      </c>
      <c r="G52" s="9" t="inlineStr">
        <is>
          <t>Demo mode cannot overwrite a live workspace</t>
        </is>
      </c>
      <c r="H52" s="9" t="inlineStr">
        <is>
          <t>The seeder used to install over whatever id was in the path.</t>
        </is>
      </c>
      <c r="I52" s="9" t="inlineStr">
        <is>
          <t>A live installed workspace.</t>
        </is>
      </c>
      <c r="J52" s="9" t="inlineStr">
        <is>
          <t>1. As an admin, call POST /orgs/&lt;live id&gt;/demo-mode.
2. Inspect the live account row and the demo row.</t>
        </is>
      </c>
      <c r="K52" s="9" t="inlineStr">
        <is>
          <t>The demo data is seeded into a separate demo-prefixed workspace. The live row's tokens and configuration are untouched.</t>
        </is>
      </c>
      <c r="L52" s="9" t="inlineStr">
        <is>
          <t>s10.test.ts demo-mode block</t>
        </is>
      </c>
      <c r="M52" s="19" t="inlineStr"/>
      <c r="N52" s="22" t="inlineStr">
        <is>
          <t>Not run</t>
        </is>
      </c>
      <c r="O52" s="22" t="inlineStr"/>
      <c r="P52" s="22" t="inlineStr"/>
      <c r="Q52" s="22" t="inlineStr"/>
    </row>
    <row r="53">
      <c r="A53" s="8" t="inlineStr">
        <is>
          <t>TC-TEN-008</t>
        </is>
      </c>
      <c r="B53" s="8" t="inlineStr">
        <is>
          <t>v0.45.0</t>
        </is>
      </c>
      <c r="C53" s="8" t="inlineStr">
        <is>
          <t>Tenancy &amp; RBAC</t>
        </is>
      </c>
      <c r="D53" s="8" t="inlineStr">
        <is>
          <t>ST-101</t>
        </is>
      </c>
      <c r="E53" s="23" t="inlineStr">
        <is>
          <t>Negative</t>
        </is>
      </c>
      <c r="F53" s="21" t="inlineStr">
        <is>
          <t>P0</t>
        </is>
      </c>
      <c r="G53" s="9" t="inlineStr">
        <is>
          <t>installAccount refuses an id that is not the identity's account</t>
        </is>
      </c>
      <c r="H53" s="9" t="inlineStr">
        <is>
          <t>Defence in depth: the store is the last place the PR-01 class can be stopped.</t>
        </is>
      </c>
      <c r="I53" s="9" t="inlineStr">
        <is>
          <t>Developer access to call the function directly, or a staging build that exposes the path.</t>
        </is>
      </c>
      <c r="J53" s="9" t="inlineStr">
        <is>
          <t>1. Call installAccount with an account id that differs from the supplied Zoom identity.</t>
        </is>
      </c>
      <c r="K53" s="9" t="inlineStr">
        <is>
          <t>TenantMismatchError is raised. No row is written. This holds even though the caller is inside the process.</t>
        </is>
      </c>
      <c r="L53" s="9" t="inlineStr">
        <is>
          <t>identity.test.ts "refuses to write a row whose id is not the identity's account"</t>
        </is>
      </c>
      <c r="M53" s="19" t="inlineStr"/>
      <c r="N53" s="22" t="inlineStr">
        <is>
          <t>Not run</t>
        </is>
      </c>
      <c r="O53" s="22" t="inlineStr"/>
      <c r="P53" s="22" t="inlineStr"/>
      <c r="Q53" s="22" t="inlineStr"/>
    </row>
    <row r="54">
      <c r="A54" s="8" t="inlineStr">
        <is>
          <t>TC-DAT-001</t>
        </is>
      </c>
      <c r="B54" s="8" t="inlineStr">
        <is>
          <t>v0.09.0</t>
        </is>
      </c>
      <c r="C54" s="8" t="inlineStr">
        <is>
          <t>Data lifecycle</t>
        </is>
      </c>
      <c r="D54" s="8" t="inlineStr">
        <is>
          <t>ST-069</t>
        </is>
      </c>
      <c r="E54" s="20" t="inlineStr">
        <is>
          <t>Positive</t>
        </is>
      </c>
      <c r="F54" s="21" t="inlineStr">
        <is>
          <t>P0</t>
        </is>
      </c>
      <c r="G54" s="9" t="inlineStr">
        <is>
          <t>Delete-my-data erases the workspace on request</t>
        </is>
      </c>
      <c r="H54" s="9" t="inlineStr">
        <is>
          <t>The published self-serve deletion promise.</t>
        </is>
      </c>
      <c r="I54" s="9" t="inlineStr">
        <is>
          <t>An owner session on a workspace with notes, imports, CRM mappings, a queue and insights.</t>
        </is>
      </c>
      <c r="J54" s="9" t="inlineStr">
        <is>
          <t>1. Call POST /orgs/&lt;id&gt;/delete-my-data with {"confirm":"DELETE"}.
2. Read the receipt.
3. Query every store for the account id.</t>
        </is>
      </c>
      <c r="K54" s="9" t="inlineStr">
        <is>
          <t>Receipt returns accountId, requestedAt and the purged list. The account row is deleted outright — not tombstoned. Feature state, imported records, CRM mappings, queue, audit rows (except the erasure proof), subscription, onboarding, sessions, notes and meeting insights are all gone.</t>
        </is>
      </c>
      <c r="L54" s="9" t="inlineStr">
        <is>
          <t>s9.test.ts; s13.test.ts purge block</t>
        </is>
      </c>
      <c r="M54" s="19" t="inlineStr"/>
      <c r="N54" s="22" t="inlineStr">
        <is>
          <t>Not run</t>
        </is>
      </c>
      <c r="O54" s="22" t="inlineStr"/>
      <c r="P54" s="22" t="inlineStr"/>
      <c r="Q54" s="22" t="inlineStr"/>
    </row>
    <row r="55">
      <c r="A55" s="8" t="inlineStr">
        <is>
          <t>TC-DAT-002</t>
        </is>
      </c>
      <c r="B55" s="8" t="inlineStr">
        <is>
          <t>v0.45.0</t>
        </is>
      </c>
      <c r="C55" s="8" t="inlineStr">
        <is>
          <t>Data lifecycle</t>
        </is>
      </c>
      <c r="D55" s="8" t="inlineStr">
        <is>
          <t>PR-06 / ST-106</t>
        </is>
      </c>
      <c r="E55" s="23" t="inlineStr">
        <is>
          <t>Negative</t>
        </is>
      </c>
      <c r="F55" s="21" t="inlineStr">
        <is>
          <t>P0</t>
        </is>
      </c>
      <c r="G55" s="9" t="inlineStr">
        <is>
          <t>Explicit erasure clears meeting insights — the PR-06 regression</t>
        </is>
      </c>
      <c r="H55" s="9" t="inlineStr">
        <is>
          <t>Before v0.45.0 the explicit request cleared less than the automatic sweep did.</t>
        </is>
      </c>
      <c r="I55" s="9" t="inlineStr">
        <is>
          <t>A workspace with at least one ingested meeting carrying verbatim risk excerpts.</t>
        </is>
      </c>
      <c r="J55" s="9" t="inlineStr">
        <is>
          <t>1. Confirm GET /meetings/insights lists the meeting.
2. Call delete-my-data with confirmation.
3. Re-read the insights list and query the meeting_insights table directly.</t>
        </is>
      </c>
      <c r="K55" s="9" t="inlineStr">
        <is>
          <t>The insights list is empty and no row remains in meeting_insights. The topic, extracted commitments and verbatim excerpts are gone — the explicit request is no weaker than the sweep.</t>
        </is>
      </c>
      <c r="L55" s="9" t="inlineStr">
        <is>
          <t>s13.test.ts "delete-my-data clears meeting insights"</t>
        </is>
      </c>
      <c r="M55" s="19" t="inlineStr"/>
      <c r="N55" s="22" t="inlineStr">
        <is>
          <t>Not run</t>
        </is>
      </c>
      <c r="O55" s="22" t="inlineStr"/>
      <c r="P55" s="22" t="inlineStr"/>
      <c r="Q55" s="22" t="inlineStr"/>
    </row>
    <row r="56">
      <c r="A56" s="8" t="inlineStr">
        <is>
          <t>TC-DAT-003</t>
        </is>
      </c>
      <c r="B56" s="8" t="inlineStr">
        <is>
          <t>v0.09.0</t>
        </is>
      </c>
      <c r="C56" s="8" t="inlineStr">
        <is>
          <t>Data lifecycle</t>
        </is>
      </c>
      <c r="D56" s="8" t="inlineStr">
        <is>
          <t>ST-069</t>
        </is>
      </c>
      <c r="E56" s="23" t="inlineStr">
        <is>
          <t>Negative</t>
        </is>
      </c>
      <c r="F56" s="24" t="inlineStr">
        <is>
          <t>P1</t>
        </is>
      </c>
      <c r="G56" s="9" t="inlineStr">
        <is>
          <t>Deletion without the exact confirmation is refused</t>
        </is>
      </c>
      <c r="H56" s="9" t="inlineStr">
        <is>
          <t>A destructive action needs an unambiguous instruction.</t>
        </is>
      </c>
      <c r="I56" s="9" t="inlineStr">
        <is>
          <t>An owner session.</t>
        </is>
      </c>
      <c r="J56" s="9" t="inlineStr">
        <is>
          <t>1. Call delete-my-data with no body.
2. Call with {"confirm":"delete"} in lower case.
3. Call with {"confirm":"yes"}.</t>
        </is>
      </c>
      <c r="K56" s="9" t="inlineStr">
        <is>
          <t>All three return 422 with "type DELETE to confirm". Nothing is deleted.</t>
        </is>
      </c>
      <c r="L56" s="9" t="inlineStr">
        <is>
          <t>s9.test.ts confirmation block</t>
        </is>
      </c>
      <c r="M56" s="19" t="inlineStr"/>
      <c r="N56" s="22" t="inlineStr">
        <is>
          <t>Not run</t>
        </is>
      </c>
      <c r="O56" s="22" t="inlineStr"/>
      <c r="P56" s="22" t="inlineStr"/>
      <c r="Q56" s="22" t="inlineStr"/>
    </row>
    <row r="57">
      <c r="A57" s="8" t="inlineStr">
        <is>
          <t>TC-DAT-004</t>
        </is>
      </c>
      <c r="B57" s="8" t="inlineStr">
        <is>
          <t>v0.09.0</t>
        </is>
      </c>
      <c r="C57" s="8" t="inlineStr">
        <is>
          <t>Data lifecycle</t>
        </is>
      </c>
      <c r="D57" s="8" t="inlineStr">
        <is>
          <t>ST-069</t>
        </is>
      </c>
      <c r="E57" s="23" t="inlineStr">
        <is>
          <t>Negative</t>
        </is>
      </c>
      <c r="F57" s="21" t="inlineStr">
        <is>
          <t>P0</t>
        </is>
      </c>
      <c r="G57" s="9" t="inlineStr">
        <is>
          <t>Only an owner can delete the workspace</t>
        </is>
      </c>
      <c r="H57" s="9" t="inlineStr">
        <is>
          <t>data.delete is owner-only.</t>
        </is>
      </c>
      <c r="I57" s="9" t="inlineStr">
        <is>
          <t>Admin and member sessions.</t>
        </is>
      </c>
      <c r="J57" s="9" t="inlineStr">
        <is>
          <t>1. Attempt delete-my-data as an admin.
2. Attempt as a member.</t>
        </is>
      </c>
      <c r="K57" s="9" t="inlineStr">
        <is>
          <t>Both 403 {error:"owner_role_required"}. Both denials are audit-logged with the real user id.</t>
        </is>
      </c>
      <c r="L57" s="9" t="inlineStr">
        <is>
          <t>s9.test.ts role block</t>
        </is>
      </c>
      <c r="M57" s="19" t="inlineStr"/>
      <c r="N57" s="22" t="inlineStr">
        <is>
          <t>Not run</t>
        </is>
      </c>
      <c r="O57" s="22" t="inlineStr"/>
      <c r="P57" s="22" t="inlineStr"/>
      <c r="Q57" s="22" t="inlineStr"/>
    </row>
    <row r="58">
      <c r="A58" s="8" t="inlineStr">
        <is>
          <t>TC-DAT-005</t>
        </is>
      </c>
      <c r="B58" s="8" t="inlineStr">
        <is>
          <t>v0.28.0</t>
        </is>
      </c>
      <c r="C58" s="8" t="inlineStr">
        <is>
          <t>Data lifecycle</t>
        </is>
      </c>
      <c r="D58" s="8" t="inlineStr">
        <is>
          <t>ST-069</t>
        </is>
      </c>
      <c r="E58" s="20" t="inlineStr">
        <is>
          <t>Positive</t>
        </is>
      </c>
      <c r="F58" s="24" t="inlineStr">
        <is>
          <t>P1</t>
        </is>
      </c>
      <c r="G58" s="9" t="inlineStr">
        <is>
          <t>Export returns the customer's data and excludes credentials</t>
        </is>
      </c>
      <c r="H58" s="9" t="inlineStr">
        <is>
          <t>Portability, without turning the feature into a way to walk off with an access token.</t>
        </is>
      </c>
      <c r="I58" s="9" t="inlineStr">
        <is>
          <t>A workspace with configuration, imports, CRM mappings and audit rows.</t>
        </is>
      </c>
      <c r="J58" s="9" t="inlineStr">
        <is>
          <t>1. Call GET /orgs/&lt;id&gt;/export.
2. Search the payload for token values.</t>
        </is>
      </c>
      <c r="K58" s="9" t="inlineStr">
        <is>
          <t>The export contains the account record, subscription, per-feature configuration and imported records, CRM mappings and writeback audit, onboarding progress and the audit rows. It contains NO OAuth tokens, and says so in a note field.</t>
        </is>
      </c>
      <c r="L58" s="9" t="inlineStr">
        <is>
          <t>exportBilling.test.ts</t>
        </is>
      </c>
      <c r="M58" s="19" t="inlineStr"/>
      <c r="N58" s="22" t="inlineStr">
        <is>
          <t>Not run</t>
        </is>
      </c>
      <c r="O58" s="22" t="inlineStr"/>
      <c r="P58" s="22" t="inlineStr"/>
      <c r="Q58" s="22" t="inlineStr"/>
    </row>
    <row r="59">
      <c r="A59" s="8" t="inlineStr">
        <is>
          <t>TC-DAT-006</t>
        </is>
      </c>
      <c r="B59" s="8" t="inlineStr">
        <is>
          <t>v0.28.0</t>
        </is>
      </c>
      <c r="C59" s="8" t="inlineStr">
        <is>
          <t>Data lifecycle</t>
        </is>
      </c>
      <c r="D59" s="8" t="inlineStr">
        <is>
          <t>ST-069</t>
        </is>
      </c>
      <c r="E59" s="23" t="inlineStr">
        <is>
          <t>Negative</t>
        </is>
      </c>
      <c r="F59" s="25" t="inlineStr">
        <is>
          <t>P2</t>
        </is>
      </c>
      <c r="G59" s="9" t="inlineStr">
        <is>
          <t>Export respects the role matrix</t>
        </is>
      </c>
      <c r="H59" s="9" t="inlineStr">
        <is>
          <t>data.export is granted to all three roles but must still be checked and logged.</t>
        </is>
      </c>
      <c r="I59" s="9" t="inlineStr">
        <is>
          <t>Sessions for each role, and a session for a different workspace.</t>
        </is>
      </c>
      <c r="J59" s="9" t="inlineStr">
        <is>
          <t>1. Export as owner, admin and member.
2. Attempt to export workspace B using workspace A's session.</t>
        </is>
      </c>
      <c r="K59" s="9" t="inlineStr">
        <is>
          <t>All three roles succeed for their own workspace and each export is audit-logged. The cross-workspace attempt returns 403 wrong_account.</t>
        </is>
      </c>
      <c r="L59" s="9" t="inlineStr">
        <is>
          <t>exportBilling.test.ts; app.test.ts</t>
        </is>
      </c>
      <c r="M59" s="19" t="inlineStr"/>
      <c r="N59" s="22" t="inlineStr">
        <is>
          <t>Not run</t>
        </is>
      </c>
      <c r="O59" s="22" t="inlineStr"/>
      <c r="P59" s="22" t="inlineStr"/>
      <c r="Q59" s="22" t="inlineStr"/>
    </row>
    <row r="60">
      <c r="A60" s="8" t="inlineStr">
        <is>
          <t>TC-DAT-007</t>
        </is>
      </c>
      <c r="B60" s="8" t="inlineStr">
        <is>
          <t>v0.19.0</t>
        </is>
      </c>
      <c r="C60" s="8" t="inlineStr">
        <is>
          <t>Data lifecycle</t>
        </is>
      </c>
      <c r="D60" s="8" t="inlineStr">
        <is>
          <t>GAP-2</t>
        </is>
      </c>
      <c r="E60" s="20" t="inlineStr">
        <is>
          <t>Positive</t>
        </is>
      </c>
      <c r="F60" s="24" t="inlineStr">
        <is>
          <t>P1</t>
        </is>
      </c>
      <c r="G60" s="9" t="inlineStr">
        <is>
          <t>The scheduled sweep purges accounts whose deletion is due</t>
        </is>
      </c>
      <c r="H60" s="9" t="inlineStr">
        <is>
          <t>The policy the trust page publishes.</t>
        </is>
      </c>
      <c r="I60" s="9" t="inlineStr">
        <is>
          <t>An account uninstalled longer than RETENTION_DAYS ago, or a staging clock.</t>
        </is>
      </c>
      <c r="J60" s="9" t="inlineStr">
        <is>
          <t>1. Wait for, or trigger, the hourly sweep.
2. Query the accounts table and every dependent store.</t>
        </is>
      </c>
      <c r="K60" s="9" t="inlineStr">
        <is>
          <t>The account and all dependent rows are gone. The sweep history records the purge. The data.delete audit rows remain as proof of erasure.</t>
        </is>
      </c>
      <c r="L60" s="9" t="inlineStr">
        <is>
          <t>scheduler.test.ts; lifecycle.test.ts</t>
        </is>
      </c>
      <c r="M60" s="19" t="inlineStr"/>
      <c r="N60" s="22" t="inlineStr">
        <is>
          <t>Not run</t>
        </is>
      </c>
      <c r="O60" s="22" t="inlineStr"/>
      <c r="P60" s="22" t="inlineStr"/>
      <c r="Q60" s="22" t="inlineStr"/>
    </row>
    <row r="61">
      <c r="A61" s="8" t="inlineStr">
        <is>
          <t>TC-DAT-008</t>
        </is>
      </c>
      <c r="B61" s="8" t="inlineStr">
        <is>
          <t>v0.18.0</t>
        </is>
      </c>
      <c r="C61" s="8" t="inlineStr">
        <is>
          <t>Data lifecycle</t>
        </is>
      </c>
      <c r="D61" s="8" t="inlineStr">
        <is>
          <t>ST-067</t>
        </is>
      </c>
      <c r="E61" s="20" t="inlineStr">
        <is>
          <t>Positive</t>
        </is>
      </c>
      <c r="F61" s="24" t="inlineStr">
        <is>
          <t>P1</t>
        </is>
      </c>
      <c r="G61" s="9" t="inlineStr">
        <is>
          <t>Proof of erasure survives the purge</t>
        </is>
      </c>
      <c r="H61" s="9" t="inlineStr">
        <is>
          <t>A deletion that erases the record of itself is unverifiable.</t>
        </is>
      </c>
      <c r="I61" s="9" t="inlineStr">
        <is>
          <t>A workspace that has used delete-my-data.</t>
        </is>
      </c>
      <c r="J61" s="9" t="inlineStr">
        <is>
          <t>1. Complete a deletion.
2. Query the audit_log table for the account id.</t>
        </is>
      </c>
      <c r="K61" s="9" t="inlineStr">
        <is>
          <t>Every row for the account is gone EXCEPT the data.delete rows, which remain and prove the erasure happened.</t>
        </is>
      </c>
      <c r="L61" s="9" t="inlineStr">
        <is>
          <t>storeContract.test.ts AuditStore purge</t>
        </is>
      </c>
      <c r="M61" s="19" t="inlineStr"/>
      <c r="N61" s="22" t="inlineStr">
        <is>
          <t>Not run</t>
        </is>
      </c>
      <c r="O61" s="22" t="inlineStr"/>
      <c r="P61" s="22" t="inlineStr"/>
      <c r="Q61" s="22" t="inlineStr"/>
    </row>
    <row r="62">
      <c r="A62" s="8" t="inlineStr">
        <is>
          <t>TC-DAT-009</t>
        </is>
      </c>
      <c r="B62" s="8" t="inlineStr">
        <is>
          <t>v0.31.0</t>
        </is>
      </c>
      <c r="C62" s="8" t="inlineStr">
        <is>
          <t>Data lifecycle</t>
        </is>
      </c>
      <c r="D62" s="8" t="inlineStr">
        <is>
          <t>ST-066</t>
        </is>
      </c>
      <c r="E62" s="20" t="inlineStr">
        <is>
          <t>Positive</t>
        </is>
      </c>
      <c r="F62" s="21" t="inlineStr">
        <is>
          <t>P0</t>
        </is>
      </c>
      <c r="G62" s="9" t="inlineStr">
        <is>
          <t>OAuth tokens are encrypted at rest</t>
        </is>
      </c>
      <c r="H62" s="9" t="inlineStr">
        <is>
          <t>A database dump must not be a set of working Zoom credentials.</t>
        </is>
      </c>
      <c r="I62" s="9" t="inlineStr">
        <is>
          <t>Direct database access.</t>
        </is>
      </c>
      <c r="J62" s="9" t="inlineStr">
        <is>
          <t>1. Install an account.
2. SELECT access_token, refresh_token FROM accounts.
3. Compare to the plaintext value from the OAuth exchange.</t>
        </is>
      </c>
      <c r="K62" s="9" t="inlineStr">
        <is>
          <t>The stored values are AES-256-GCM ciphertext, not the plaintext tokens, and are unreadable without MEETSYNC_TOKEN_KEY. /trust reports tokensEncryptedAtRest:true for this deployment.</t>
        </is>
      </c>
      <c r="L62" s="9" t="inlineStr">
        <is>
          <t>tokenCipher.test.ts; storeContract.test.ts</t>
        </is>
      </c>
      <c r="M62" s="19" t="inlineStr"/>
      <c r="N62" s="22" t="inlineStr">
        <is>
          <t>Not run</t>
        </is>
      </c>
      <c r="O62" s="22" t="inlineStr"/>
      <c r="P62" s="22" t="inlineStr"/>
      <c r="Q62" s="22" t="inlineStr"/>
    </row>
    <row r="63">
      <c r="A63" s="8" t="inlineStr">
        <is>
          <t>TC-DAT-010</t>
        </is>
      </c>
      <c r="B63" s="8" t="inlineStr">
        <is>
          <t>v0.31.0</t>
        </is>
      </c>
      <c r="C63" s="8" t="inlineStr">
        <is>
          <t>Data lifecycle</t>
        </is>
      </c>
      <c r="D63" s="8" t="inlineStr">
        <is>
          <t>ST-066</t>
        </is>
      </c>
      <c r="E63" s="20" t="inlineStr">
        <is>
          <t>Positive</t>
        </is>
      </c>
      <c r="F63" s="25" t="inlineStr">
        <is>
          <t>P2</t>
        </is>
      </c>
      <c r="G63" s="9" t="inlineStr">
        <is>
          <t>Key rotation does not lock out installed accounts</t>
        </is>
      </c>
      <c r="H63" s="9" t="inlineStr">
        <is>
          <t>A retired key must still decrypt existing rows.</t>
        </is>
      </c>
      <c r="I63" s="9" t="inlineStr">
        <is>
          <t>An account installed under key K1.</t>
        </is>
      </c>
      <c r="J63" s="9" t="inlineStr">
        <is>
          <t>1. Move K1 to MEETSYNC_TOKEN_KEY_PREVIOUS and set a new MEETSYNC_TOKEN_KEY.
2. Restart.
3. Read the account and make a Zoom call.
4. Save the account and re-read the stored value.</t>
        </is>
      </c>
      <c r="K63" s="9" t="inlineStr">
        <is>
          <t>The account still works. On the next write the row is re-encrypted under the new key. A malformed key refuses to boot rather than failing at the first install.</t>
        </is>
      </c>
      <c r="L63" s="9" t="inlineStr">
        <is>
          <t>tokenCipher.test.ts rotation block</t>
        </is>
      </c>
      <c r="M63" s="19" t="inlineStr"/>
      <c r="N63" s="22" t="inlineStr">
        <is>
          <t>Not run</t>
        </is>
      </c>
      <c r="O63" s="22" t="inlineStr"/>
      <c r="P63" s="22" t="inlineStr"/>
      <c r="Q63" s="22" t="inlineStr"/>
    </row>
    <row r="64">
      <c r="A64" s="8" t="inlineStr">
        <is>
          <t>TC-TRS-001</t>
        </is>
      </c>
      <c r="B64" s="8" t="inlineStr">
        <is>
          <t>v0.45.0</t>
        </is>
      </c>
      <c r="C64" s="8" t="inlineStr">
        <is>
          <t>Trust &amp; claims</t>
        </is>
      </c>
      <c r="D64" s="8" t="inlineStr">
        <is>
          <t>ST-107</t>
        </is>
      </c>
      <c r="E64" s="20" t="inlineStr">
        <is>
          <t>Positive</t>
        </is>
      </c>
      <c r="F64" s="24" t="inlineStr">
        <is>
          <t>P1</t>
        </is>
      </c>
      <c r="G64" s="9" t="inlineStr">
        <is>
          <t>The trust page reports the running configuration</t>
        </is>
      </c>
      <c r="H64" s="9" t="inlineStr">
        <is>
          <t>The page a customer reads to decide whether to trust us must not overstate.</t>
        </is>
      </c>
      <c r="I64" s="9" t="inlineStr">
        <is>
          <t>A deployment with known region and retention settings.</t>
        </is>
      </c>
      <c r="J64" s="9" t="inlineStr">
        <is>
          <t>1. Call GET /trust.
2. Compare every field to the deployment's configuration.</t>
        </is>
      </c>
      <c r="K64" s="9" t="inlineStr">
        <is>
          <t>region and retentionDays match the environment. tokensEncryptedAtRest reflects whether a cipher is configured. sessionTtlMinutes is 60. tenantIdentitySource is zoom:/users/me. scopes lists exactly the four granular scopes.</t>
        </is>
      </c>
      <c r="L64" s="9" t="inlineStr">
        <is>
          <t>claims.test.ts "serves the payload from configuration"</t>
        </is>
      </c>
      <c r="M64" s="19" t="inlineStr"/>
      <c r="N64" s="22" t="inlineStr">
        <is>
          <t>Not run</t>
        </is>
      </c>
      <c r="O64" s="22" t="inlineStr"/>
      <c r="P64" s="22" t="inlineStr"/>
      <c r="Q64" s="22" t="inlineStr"/>
    </row>
    <row r="65">
      <c r="A65" s="8" t="inlineStr">
        <is>
          <t>TC-TRS-002</t>
        </is>
      </c>
      <c r="B65" s="8" t="inlineStr">
        <is>
          <t>v0.45.0</t>
        </is>
      </c>
      <c r="C65" s="8" t="inlineStr">
        <is>
          <t>Trust &amp; claims</t>
        </is>
      </c>
      <c r="D65" s="8" t="inlineStr">
        <is>
          <t>ST-107 / PR-07</t>
        </is>
      </c>
      <c r="E65" s="23" t="inlineStr">
        <is>
          <t>Negative</t>
        </is>
      </c>
      <c r="F65" s="21" t="inlineStr">
        <is>
          <t>P0</t>
        </is>
      </c>
      <c r="G65" s="9" t="inlineStr">
        <is>
          <t>The trust page names no subprocessor that receives no data</t>
        </is>
      </c>
      <c r="H65" s="9" t="inlineStr">
        <is>
          <t>PostHog, Sentry and Stripe were named and none of them exists in the codebase.</t>
        </is>
      </c>
      <c r="I65" s="9" t="inlineStr">
        <is>
          <t>Access to /trust and to docs/TRUST_PAGE.md.</t>
        </is>
      </c>
      <c r="J65" s="9" t="inlineStr">
        <is>
          <t>1. Read the subprocessors list from /trust.
2. Search the document and the response for PostHog, Sentry and Stripe.</t>
        </is>
      </c>
      <c r="K65" s="9" t="inlineStr">
        <is>
          <t>Neither the response nor the claims section of the document mentions any of them. Every named subprocessor corresponds to a code path that actually sends data.</t>
        </is>
      </c>
      <c r="L65" s="9" t="inlineStr">
        <is>
          <t>claims.test.ts "makes no claim the code cannot back"</t>
        </is>
      </c>
      <c r="M65" s="19" t="inlineStr"/>
      <c r="N65" s="22" t="inlineStr">
        <is>
          <t>Not run</t>
        </is>
      </c>
      <c r="O65" s="22" t="inlineStr"/>
      <c r="P65" s="22" t="inlineStr"/>
      <c r="Q65" s="22" t="inlineStr"/>
    </row>
    <row r="66">
      <c r="A66" s="8" t="inlineStr">
        <is>
          <t>TC-TRS-003</t>
        </is>
      </c>
      <c r="B66" s="8" t="inlineStr">
        <is>
          <t>v0.45.0</t>
        </is>
      </c>
      <c r="C66" s="8" t="inlineStr">
        <is>
          <t>Trust &amp; claims</t>
        </is>
      </c>
      <c r="D66" s="8" t="inlineStr">
        <is>
          <t>PR-09</t>
        </is>
      </c>
      <c r="E66" s="20" t="inlineStr">
        <is>
          <t>Positive</t>
        </is>
      </c>
      <c r="F66" s="24" t="inlineStr">
        <is>
          <t>P1</t>
        </is>
      </c>
      <c r="G66" s="9" t="inlineStr">
        <is>
          <t>Residency is reported as a label, not a boundary</t>
        </is>
      </c>
      <c r="H66" s="9" t="inlineStr">
        <is>
          <t>Honesty about what the region setting does.</t>
        </is>
      </c>
      <c r="I66" s="9" t="inlineStr">
        <is>
          <t>A deployment with MEETSYNC_REGION set.</t>
        </is>
      </c>
      <c r="J66" s="9" t="inlineStr">
        <is>
          <t>1. Call GET /trust and read regionEnforced and notYet.</t>
        </is>
      </c>
      <c r="K66" s="9" t="inlineStr">
        <is>
          <t>regionEnforced is false. The notYet array states that residency is not enforced and names ST-145. The document's "Not yet" section says the same.</t>
        </is>
      </c>
      <c r="L66" s="9" t="inlineStr">
        <is>
          <t>claims.test.ts region assertions</t>
        </is>
      </c>
      <c r="M66" s="19" t="inlineStr"/>
      <c r="N66" s="22" t="inlineStr">
        <is>
          <t>Not run</t>
        </is>
      </c>
      <c r="O66" s="22" t="inlineStr"/>
      <c r="P66" s="22" t="inlineStr"/>
      <c r="Q66" s="22" t="inlineStr"/>
    </row>
    <row r="67">
      <c r="A67" s="8" t="inlineStr">
        <is>
          <t>TC-TRS-004</t>
        </is>
      </c>
      <c r="B67" s="8" t="inlineStr">
        <is>
          <t>v0.45.0</t>
        </is>
      </c>
      <c r="C67" s="8" t="inlineStr">
        <is>
          <t>Trust &amp; claims</t>
        </is>
      </c>
      <c r="D67" s="8" t="inlineStr">
        <is>
          <t>ST-107</t>
        </is>
      </c>
      <c r="E67" s="23" t="inlineStr">
        <is>
          <t>Negative</t>
        </is>
      </c>
      <c r="F67" s="24" t="inlineStr">
        <is>
          <t>P1</t>
        </is>
      </c>
      <c r="G67" s="9" t="inlineStr">
        <is>
          <t>Adding an unbacked claim to the trust page fails the build</t>
        </is>
      </c>
      <c r="H67" s="9" t="inlineStr">
        <is>
          <t>The gate, tested as a gate.</t>
        </is>
      </c>
      <c r="I67" s="9" t="inlineStr">
        <is>
          <t>A working copy of the repository.</t>
        </is>
      </c>
      <c r="J67" s="9" t="inlineStr">
        <is>
          <t>1. Add the sentence "SOC 2 Type II certified" above the Not yet section of docs/TRUST_PAGE.md.
2. Run the test suite.
3. Revert.</t>
        </is>
      </c>
      <c r="K67" s="9" t="inlineStr">
        <is>
          <t>test/claims.test.ts fails, naming the term and the story that would make it true. The build cannot ship the document.</t>
        </is>
      </c>
      <c r="L67" s="9" t="inlineStr">
        <is>
          <t>claims.test.ts UNBACKED_CLAIMS</t>
        </is>
      </c>
      <c r="M67" s="19" t="inlineStr"/>
      <c r="N67" s="22" t="inlineStr">
        <is>
          <t>Not run</t>
        </is>
      </c>
      <c r="O67" s="22" t="inlineStr"/>
      <c r="P67" s="22" t="inlineStr"/>
      <c r="Q67" s="22" t="inlineStr"/>
    </row>
    <row r="68">
      <c r="A68" s="8" t="inlineStr">
        <is>
          <t>TC-TRS-005</t>
        </is>
      </c>
      <c r="B68" s="8" t="inlineStr">
        <is>
          <t>v0.45.0</t>
        </is>
      </c>
      <c r="C68" s="8" t="inlineStr">
        <is>
          <t>Trust &amp; claims</t>
        </is>
      </c>
      <c r="D68" s="8" t="inlineStr">
        <is>
          <t>PR-05</t>
        </is>
      </c>
      <c r="E68" s="23" t="inlineStr">
        <is>
          <t>Negative</t>
        </is>
      </c>
      <c r="F68" s="24" t="inlineStr">
        <is>
          <t>P1</t>
        </is>
      </c>
      <c r="G68" s="9" t="inlineStr">
        <is>
          <t>The pricing page cannot be published while it contradicts the code</t>
        </is>
      </c>
      <c r="H68" s="9" t="inlineStr">
        <is>
          <t>A 50x disagreement at the Team tier is a listing blocker as well as a revenue one.</t>
        </is>
      </c>
      <c r="I68" s="9" t="inlineStr">
        <is>
          <t>A working copy of the repository.</t>
        </is>
      </c>
      <c r="J68" s="9" t="inlineStr">
        <is>
          <t>1. Remove the DECISION PENDING banner from docs/PRICING_PAGE.md.
2. Run the test suite.
3. Restore it.</t>
        </is>
      </c>
      <c r="K68" s="9" t="inlineStr">
        <is>
          <t>The claims gate fails. The banner stays until PD-01 is decided and the served matrix, the page, the listing and the website agree.</t>
        </is>
      </c>
      <c r="L68" s="9" t="inlineStr">
        <is>
          <t>claims.test.ts pricing banner</t>
        </is>
      </c>
      <c r="M68" s="19" t="inlineStr"/>
      <c r="N68" s="22" t="inlineStr">
        <is>
          <t>Not run</t>
        </is>
      </c>
      <c r="O68" s="22" t="inlineStr"/>
      <c r="P68" s="22" t="inlineStr"/>
      <c r="Q68" s="22" t="inlineStr"/>
    </row>
    <row r="69">
      <c r="A69" s="8" t="inlineStr">
        <is>
          <t>TC-TRS-006</t>
        </is>
      </c>
      <c r="B69" s="8" t="inlineStr">
        <is>
          <t>v0.45.0</t>
        </is>
      </c>
      <c r="C69" s="8" t="inlineStr">
        <is>
          <t>Trust &amp; claims</t>
        </is>
      </c>
      <c r="D69" s="8" t="inlineStr">
        <is>
          <t>PR-02</t>
        </is>
      </c>
      <c r="E69" s="23" t="inlineStr">
        <is>
          <t>Negative</t>
        </is>
      </c>
      <c r="F69" s="24" t="inlineStr">
        <is>
          <t>P1</t>
        </is>
      </c>
      <c r="G69" s="9" t="inlineStr">
        <is>
          <t>The listing copy cannot be submitted over code that does not back it</t>
        </is>
      </c>
      <c r="H69" s="9" t="inlineStr">
        <is>
          <t>Variant A promises transcription that does not exist.</t>
        </is>
      </c>
      <c r="I69" s="9" t="inlineStr">
        <is>
          <t>A working copy of the repository.</t>
        </is>
      </c>
      <c r="J69" s="9" t="inlineStr">
        <is>
          <t>1. Remove the HELD banner from docs/LISTING_COPY.md.
2. Run the test suite.</t>
        </is>
      </c>
      <c r="K69" s="9" t="inlineStr">
        <is>
          <t>The claims gate fails. Neither variant can reach a marketplace submission until PD-02 resolves what the product is.</t>
        </is>
      </c>
      <c r="L69" s="9" t="inlineStr">
        <is>
          <t>claims.test.ts listing hold</t>
        </is>
      </c>
      <c r="M69" s="19" t="inlineStr"/>
      <c r="N69" s="22" t="inlineStr">
        <is>
          <t>Not run</t>
        </is>
      </c>
      <c r="O69" s="22" t="inlineStr"/>
      <c r="P69" s="22" t="inlineStr"/>
      <c r="Q69" s="22" t="inlineStr"/>
    </row>
    <row r="70">
      <c r="A70" s="8" t="inlineStr">
        <is>
          <t>TC-WHK-001</t>
        </is>
      </c>
      <c r="B70" s="8" t="inlineStr">
        <is>
          <t>v0.08.0</t>
        </is>
      </c>
      <c r="C70" s="8" t="inlineStr">
        <is>
          <t>Webhooks</t>
        </is>
      </c>
      <c r="D70" s="8" t="inlineStr">
        <is>
          <t>ST-051</t>
        </is>
      </c>
      <c r="E70" s="20" t="inlineStr">
        <is>
          <t>Positive</t>
        </is>
      </c>
      <c r="F70" s="21" t="inlineStr">
        <is>
          <t>P0</t>
        </is>
      </c>
      <c r="G70" s="9" t="inlineStr">
        <is>
          <t>The URL validation challenge is answered</t>
        </is>
      </c>
      <c r="H70" s="9" t="inlineStr">
        <is>
          <t>Zoom will not enable a subscription until this succeeds.</t>
        </is>
      </c>
      <c r="I70" s="9" t="inlineStr">
        <is>
          <t>A deployed endpoint reachable by Zoom.</t>
        </is>
      </c>
      <c r="J70" s="9" t="inlineStr">
        <is>
          <t>1. From the Zoom Marketplace console, trigger endpoint validation.
2. Observe the response.</t>
        </is>
      </c>
      <c r="K70" s="9" t="inlineStr">
        <is>
          <t>MeetSync answers with the plainToken and its encrypted counterpart in the shape Zoom expects, and Zoom marks the subscription valid.</t>
        </is>
      </c>
      <c r="L70" s="9" t="inlineStr">
        <is>
          <t>webhooks.test.ts url_validation</t>
        </is>
      </c>
      <c r="M70" s="19" t="inlineStr"/>
      <c r="N70" s="22" t="inlineStr">
        <is>
          <t>Not run</t>
        </is>
      </c>
      <c r="O70" s="22" t="inlineStr"/>
      <c r="P70" s="22" t="inlineStr"/>
      <c r="Q70" s="22" t="inlineStr"/>
    </row>
    <row r="71">
      <c r="A71" s="8" t="inlineStr">
        <is>
          <t>TC-WHK-002</t>
        </is>
      </c>
      <c r="B71" s="8" t="inlineStr">
        <is>
          <t>v0.08.0</t>
        </is>
      </c>
      <c r="C71" s="8" t="inlineStr">
        <is>
          <t>Webhooks</t>
        </is>
      </c>
      <c r="D71" s="8" t="inlineStr">
        <is>
          <t>ST-051</t>
        </is>
      </c>
      <c r="E71" s="23" t="inlineStr">
        <is>
          <t>Negative</t>
        </is>
      </c>
      <c r="F71" s="21" t="inlineStr">
        <is>
          <t>P0</t>
        </is>
      </c>
      <c r="G71" s="9" t="inlineStr">
        <is>
          <t>A wrongly signed webhook is rejected</t>
        </is>
      </c>
      <c r="H71" s="9" t="inlineStr">
        <is>
          <t>Anyone can POST to the endpoint; only Zoom can sign.</t>
        </is>
      </c>
      <c r="I71" s="9" t="inlineStr">
        <is>
          <t>The endpoint URL.</t>
        </is>
      </c>
      <c r="J71" s="9" t="inlineStr">
        <is>
          <t>1. POST a well-formed event body with x-zm-signature set to v0=bad.
2. POST with the header absent entirely.</t>
        </is>
      </c>
      <c r="K71" s="9" t="inlineStr">
        <is>
          <t>Both return 401. The rejection reason is counted and visible at /analytics/webhook-rejections.</t>
        </is>
      </c>
      <c r="L71" s="9" t="inlineStr">
        <is>
          <t>webhooks.test.ts; app.test.ts</t>
        </is>
      </c>
      <c r="M71" s="19" t="inlineStr"/>
      <c r="N71" s="22" t="inlineStr">
        <is>
          <t>Not run</t>
        </is>
      </c>
      <c r="O71" s="22" t="inlineStr"/>
      <c r="P71" s="22" t="inlineStr"/>
      <c r="Q71" s="22" t="inlineStr"/>
    </row>
    <row r="72">
      <c r="A72" s="8" t="inlineStr">
        <is>
          <t>TC-WHK-003</t>
        </is>
      </c>
      <c r="B72" s="8" t="inlineStr">
        <is>
          <t>v0.08.0</t>
        </is>
      </c>
      <c r="C72" s="8" t="inlineStr">
        <is>
          <t>Webhooks</t>
        </is>
      </c>
      <c r="D72" s="8" t="inlineStr">
        <is>
          <t>ST-051</t>
        </is>
      </c>
      <c r="E72" s="23" t="inlineStr">
        <is>
          <t>Negative</t>
        </is>
      </c>
      <c r="F72" s="24" t="inlineStr">
        <is>
          <t>P1</t>
        </is>
      </c>
      <c r="G72" s="9" t="inlineStr">
        <is>
          <t>A replayed webhook outside the time window is rejected</t>
        </is>
      </c>
      <c r="H72" s="9" t="inlineStr">
        <is>
          <t>The ±5 minute replay guard.</t>
        </is>
      </c>
      <c r="I72" s="9" t="inlineStr">
        <is>
          <t>A previously captured valid webhook request.</t>
        </is>
      </c>
      <c r="J72" s="9" t="inlineStr">
        <is>
          <t>1. Replay a captured request with its original timestamp more than five minutes later.</t>
        </is>
      </c>
      <c r="K72" s="9" t="inlineStr">
        <is>
          <t>401 with a reason indicating the timestamp is outside tolerance. The rejection is counted by reason.</t>
        </is>
      </c>
      <c r="L72" s="9" t="inlineStr">
        <is>
          <t>webhooks.test.ts replay guard</t>
        </is>
      </c>
      <c r="M72" s="19" t="inlineStr"/>
      <c r="N72" s="22" t="inlineStr">
        <is>
          <t>Not run</t>
        </is>
      </c>
      <c r="O72" s="22" t="inlineStr"/>
      <c r="P72" s="22" t="inlineStr"/>
      <c r="Q72" s="22" t="inlineStr"/>
    </row>
    <row r="73">
      <c r="A73" s="8" t="inlineStr">
        <is>
          <t>TC-WHK-004</t>
        </is>
      </c>
      <c r="B73" s="8" t="inlineStr">
        <is>
          <t>v0.25.0</t>
        </is>
      </c>
      <c r="C73" s="8" t="inlineStr">
        <is>
          <t>Webhooks</t>
        </is>
      </c>
      <c r="D73" s="8" t="inlineStr">
        <is>
          <t>Handover #31</t>
        </is>
      </c>
      <c r="E73" s="20" t="inlineStr">
        <is>
          <t>Positive</t>
        </is>
      </c>
      <c r="F73" s="24" t="inlineStr">
        <is>
          <t>P1</t>
        </is>
      </c>
      <c r="G73" s="9" t="inlineStr">
        <is>
          <t>A duplicate delivery inside the window is acknowledged once</t>
        </is>
      </c>
      <c r="H73" s="9" t="inlineStr">
        <is>
          <t>Dedupe is shared through the database so two instances agree.</t>
        </is>
      </c>
      <c r="I73" s="9" t="inlineStr">
        <is>
          <t>Two running instances behind a load balancer.</t>
        </is>
      </c>
      <c r="J73" s="9" t="inlineStr">
        <is>
          <t>1. Deliver the same signed event twice, routed to different instances.
2. Compare the two responses.
3. Check the side effects occurred once.</t>
        </is>
      </c>
      <c r="K73" s="9" t="inlineStr">
        <is>
          <t>One response is {ok:true}; the other is {ok:true, duplicate:true}. The work is done exactly once across both instances.</t>
        </is>
      </c>
      <c r="L73" s="9" t="inlineStr">
        <is>
          <t>storeContract.test.ts DedupeStore; server.test.ts</t>
        </is>
      </c>
      <c r="M73" s="19" t="inlineStr"/>
      <c r="N73" s="22" t="inlineStr">
        <is>
          <t>Not run</t>
        </is>
      </c>
      <c r="O73" s="22" t="inlineStr"/>
      <c r="P73" s="22" t="inlineStr"/>
      <c r="Q73" s="22" t="inlineStr"/>
    </row>
    <row r="74">
      <c r="A74" s="8" t="inlineStr">
        <is>
          <t>TC-WHK-005</t>
        </is>
      </c>
      <c r="B74" s="8" t="inlineStr">
        <is>
          <t>v0.29.0</t>
        </is>
      </c>
      <c r="C74" s="8" t="inlineStr">
        <is>
          <t>Webhooks</t>
        </is>
      </c>
      <c r="D74" s="8" t="inlineStr">
        <is>
          <t>ST-070</t>
        </is>
      </c>
      <c r="E74" s="20" t="inlineStr">
        <is>
          <t>Positive</t>
        </is>
      </c>
      <c r="F74" s="21" t="inlineStr">
        <is>
          <t>P0</t>
        </is>
      </c>
      <c r="G74" s="9" t="inlineStr">
        <is>
          <t>A transcript event is ingested and the insight is readable</t>
        </is>
      </c>
      <c r="H74" s="9" t="inlineStr">
        <is>
          <t>The real product loop starts here.</t>
        </is>
      </c>
      <c r="I74" s="9" t="inlineStr">
        <is>
          <t>A completed Zoom meeting with cloud recording and transcription enabled.</t>
        </is>
      </c>
      <c r="J74" s="9" t="inlineStr">
        <is>
          <t>1. Hold a short meeting with at least one commitment spoken aloud ("I will send the proposal by Friday").
2. Wait for Zoom to produce the transcript and deliver recording.transcript_completed.
3. Call GET /meetings/&lt;meetingId&gt;/insights.</t>
        </is>
      </c>
      <c r="K74" s="9" t="inlineStr">
        <is>
          <t>The insight exists with the meeting topic, the transcript line count, the extracted action item with its owner, and any risk signals with their verbatim excerpt and line number.</t>
        </is>
      </c>
      <c r="L74" s="9" t="inlineStr">
        <is>
          <t>transcripts.test.ts; s14.test.ts</t>
        </is>
      </c>
      <c r="M74" s="19" t="inlineStr"/>
      <c r="N74" s="22" t="inlineStr">
        <is>
          <t>Not run</t>
        </is>
      </c>
      <c r="O74" s="22" t="inlineStr"/>
      <c r="P74" s="22" t="inlineStr"/>
      <c r="Q74" s="22" t="inlineStr"/>
    </row>
    <row r="75">
      <c r="A75" s="8" t="inlineStr">
        <is>
          <t>TC-WHK-006</t>
        </is>
      </c>
      <c r="B75" s="8" t="inlineStr">
        <is>
          <t>v0.29.0</t>
        </is>
      </c>
      <c r="C75" s="8" t="inlineStr">
        <is>
          <t>Webhooks</t>
        </is>
      </c>
      <c r="D75" s="8" t="inlineStr">
        <is>
          <t>ST-070</t>
        </is>
      </c>
      <c r="E75" s="23" t="inlineStr">
        <is>
          <t>Negative</t>
        </is>
      </c>
      <c r="F75" s="24" t="inlineStr">
        <is>
          <t>P1</t>
        </is>
      </c>
      <c r="G75" s="9" t="inlineStr">
        <is>
          <t>The correct event is listened for</t>
        </is>
      </c>
      <c r="H75" s="9" t="inlineStr">
        <is>
          <t>recording.completed fires before a transcript exists; the transcript arrives on its own event.</t>
        </is>
      </c>
      <c r="I75" s="9" t="inlineStr">
        <is>
          <t>A live Zoom account.</t>
        </is>
      </c>
      <c r="J75" s="9" t="inlineStr">
        <is>
          <t>1. Observe the order of webhooks after a recorded meeting.
2. Confirm which event triggers ingestion.</t>
        </is>
      </c>
      <c r="K75" s="9" t="inlineStr">
        <is>
          <t>Ingestion fires on recording.transcript_completed only. A recording.completed event is acknowledged without attempting a transcript fetch.</t>
        </is>
      </c>
      <c r="L75" s="9" t="inlineStr">
        <is>
          <t>transcripts.test.ts event selection</t>
        </is>
      </c>
      <c r="M75" s="19" t="inlineStr"/>
      <c r="N75" s="22" t="inlineStr">
        <is>
          <t>Not run</t>
        </is>
      </c>
      <c r="O75" s="22" t="inlineStr"/>
      <c r="P75" s="22" t="inlineStr"/>
      <c r="Q75" s="22" t="inlineStr"/>
    </row>
    <row r="76">
      <c r="A76" s="8" t="inlineStr">
        <is>
          <t>TC-WHK-007</t>
        </is>
      </c>
      <c r="B76" s="8" t="inlineStr">
        <is>
          <t>v0.29.0</t>
        </is>
      </c>
      <c r="C76" s="8" t="inlineStr">
        <is>
          <t>Webhooks</t>
        </is>
      </c>
      <c r="D76" s="8" t="inlineStr">
        <is>
          <t>ST-070</t>
        </is>
      </c>
      <c r="E76" s="23" t="inlineStr">
        <is>
          <t>Negative</t>
        </is>
      </c>
      <c r="F76" s="24" t="inlineStr">
        <is>
          <t>P1</t>
        </is>
      </c>
      <c r="G76" s="9" t="inlineStr">
        <is>
          <t>An event with no transcript file or no download token is refused cleanly</t>
        </is>
      </c>
      <c r="H76" s="9" t="inlineStr">
        <is>
          <t>Defensive handling of partial payloads.</t>
        </is>
      </c>
      <c r="I76" s="9" t="inlineStr">
        <is>
          <t>Staging with a webhook injector.</t>
        </is>
      </c>
      <c r="J76" s="9" t="inlineStr">
        <is>
          <t>1. Deliver a signed transcript event whose recording_files contain only an MP4.
2. Deliver one with a TRANSCRIPT file but no download_token.</t>
        </is>
      </c>
      <c r="K76" s="9" t="inlineStr">
        <is>
          <t>Both are answered 200 to Zoom — a 4xx is never retried and a 5xx causes a retry storm for something no retry fixes — and the failure is recorded in the error ledger.</t>
        </is>
      </c>
      <c r="L76" s="9" t="inlineStr">
        <is>
          <t>transcripts.test.ts refusal cases</t>
        </is>
      </c>
      <c r="M76" s="19" t="inlineStr"/>
      <c r="N76" s="22" t="inlineStr">
        <is>
          <t>Not run</t>
        </is>
      </c>
      <c r="O76" s="22" t="inlineStr"/>
      <c r="P76" s="22" t="inlineStr"/>
      <c r="Q76" s="22" t="inlineStr"/>
    </row>
    <row r="77">
      <c r="A77" s="8" t="inlineStr">
        <is>
          <t>TC-WHK-008</t>
        </is>
      </c>
      <c r="B77" s="8" t="inlineStr">
        <is>
          <t>v0.29.0</t>
        </is>
      </c>
      <c r="C77" s="8" t="inlineStr">
        <is>
          <t>Webhooks</t>
        </is>
      </c>
      <c r="D77" s="8" t="inlineStr">
        <is>
          <t>ST-070</t>
        </is>
      </c>
      <c r="E77" s="23" t="inlineStr">
        <is>
          <t>Negative</t>
        </is>
      </c>
      <c r="F77" s="24" t="inlineStr">
        <is>
          <t>P1</t>
        </is>
      </c>
      <c r="G77" s="9" t="inlineStr">
        <is>
          <t>A transcript redelivered a day later does not double-extract</t>
        </is>
      </c>
      <c r="H77" s="9" t="inlineStr">
        <is>
          <t>The dedupe window is five minutes; Zoom can redeliver long after.</t>
        </is>
      </c>
      <c r="I77" s="9" t="inlineStr">
        <is>
          <t>An already-ingested meeting.</t>
        </is>
      </c>
      <c r="J77" s="9" t="inlineStr">
        <is>
          <t>1. Redeliver the same transcript event with a new event_ts outside the dedupe window.
2. Read the insight and count the actions.
3. Count CRM jobs for the meeting.</t>
        </is>
      </c>
      <c r="K77" s="9" t="inlineStr">
        <is>
          <t>The insight is unchanged and not re-derived. Exactly one CRM job exists for the meeting. The download is not repeated.</t>
        </is>
      </c>
      <c r="L77" s="9" t="inlineStr">
        <is>
          <t>transcripts.test.ts idempotency; s14.test.ts replay case</t>
        </is>
      </c>
      <c r="M77" s="19" t="inlineStr"/>
      <c r="N77" s="22" t="inlineStr">
        <is>
          <t>Not run</t>
        </is>
      </c>
      <c r="O77" s="22" t="inlineStr"/>
      <c r="P77" s="22" t="inlineStr"/>
      <c r="Q77" s="22" t="inlineStr"/>
    </row>
    <row r="78">
      <c r="A78" s="8" t="inlineStr">
        <is>
          <t>TC-WHK-009</t>
        </is>
      </c>
      <c r="B78" s="8" t="inlineStr">
        <is>
          <t>v0.08.0</t>
        </is>
      </c>
      <c r="C78" s="8" t="inlineStr">
        <is>
          <t>Webhooks</t>
        </is>
      </c>
      <c r="D78" s="8" t="inlineStr">
        <is>
          <t>VER-M06</t>
        </is>
      </c>
      <c r="E78" s="20" t="inlineStr">
        <is>
          <t>Positive</t>
        </is>
      </c>
      <c r="F78" s="25" t="inlineStr">
        <is>
          <t>P2</t>
        </is>
      </c>
      <c r="G78" s="9" t="inlineStr">
        <is>
          <t>Webhook rejections are visible before Zoom disables the subscription</t>
        </is>
      </c>
      <c r="H78" s="9" t="inlineStr">
        <is>
          <t>Zoom revalidates over 72 hours and disables after six failures.</t>
        </is>
      </c>
      <c r="I78" s="9" t="inlineStr">
        <is>
          <t>Operator token; some rejected deliveries.</t>
        </is>
      </c>
      <c r="J78" s="9" t="inlineStr">
        <is>
          <t>1. Call GET /analytics/webhook-rejections.</t>
        </is>
      </c>
      <c r="K78" s="9" t="inlineStr">
        <is>
          <t>Rejections are listed by reason with counts, busiest first — enough to diagnose a clock-skew or secret-mismatch problem before the subscription dies.</t>
        </is>
      </c>
      <c r="L78" s="9" t="inlineStr">
        <is>
          <t>telemetry.test.ts; app.test.ts</t>
        </is>
      </c>
      <c r="M78" s="19" t="inlineStr"/>
      <c r="N78" s="22" t="inlineStr">
        <is>
          <t>Not run</t>
        </is>
      </c>
      <c r="O78" s="22" t="inlineStr"/>
      <c r="P78" s="22" t="inlineStr"/>
      <c r="Q78" s="22" t="inlineStr"/>
    </row>
    <row r="79">
      <c r="A79" s="8" t="inlineStr">
        <is>
          <t>TC-WHK-010</t>
        </is>
      </c>
      <c r="B79" s="8" t="inlineStr">
        <is>
          <t>v0.29.0</t>
        </is>
      </c>
      <c r="C79" s="8" t="inlineStr">
        <is>
          <t>Webhooks</t>
        </is>
      </c>
      <c r="D79" s="8" t="inlineStr">
        <is>
          <t>ST-070</t>
        </is>
      </c>
      <c r="E79" s="20" t="inlineStr">
        <is>
          <t>Positive</t>
        </is>
      </c>
      <c r="F79" s="25" t="inlineStr">
        <is>
          <t>P2</t>
        </is>
      </c>
      <c r="G79" s="9" t="inlineStr">
        <is>
          <t>The transcript download uses the event's download token, not the OAuth token</t>
        </is>
      </c>
      <c r="H79" s="9" t="inlineStr">
        <is>
          <t>Zoom does not accept the account access token for these URLs.</t>
        </is>
      </c>
      <c r="I79" s="9" t="inlineStr">
        <is>
          <t>Network capture on the outbound download.</t>
        </is>
      </c>
      <c r="J79" s="9" t="inlineStr">
        <is>
          <t>1. Ingest a transcript.
2. Capture the download request and inspect its Authorization header.</t>
        </is>
      </c>
      <c r="K79" s="9" t="inlineStr">
        <is>
          <t>The bearer value is the download_token carried on the webhook, not the account's access token. A 401 here is not retried and does not trigger a token refresh.</t>
        </is>
      </c>
      <c r="L79" s="9" t="inlineStr">
        <is>
          <t>zoomClient.test.ts download; transcripts.test.ts</t>
        </is>
      </c>
      <c r="M79" s="19" t="inlineStr"/>
      <c r="N79" s="22" t="inlineStr">
        <is>
          <t>Not run</t>
        </is>
      </c>
      <c r="O79" s="22" t="inlineStr"/>
      <c r="P79" s="22" t="inlineStr"/>
      <c r="Q79" s="22" t="inlineStr"/>
    </row>
    <row r="80">
      <c r="A80" s="8" t="inlineStr">
        <is>
          <t>TC-LOP-001</t>
        </is>
      </c>
      <c r="B80" s="8" t="inlineStr">
        <is>
          <t>v0.45.0</t>
        </is>
      </c>
      <c r="C80" s="8" t="inlineStr">
        <is>
          <t>Product loop</t>
        </is>
      </c>
      <c r="D80" s="8" t="inlineStr">
        <is>
          <t>ST-111</t>
        </is>
      </c>
      <c r="E80" s="20" t="inlineStr">
        <is>
          <t>Positive</t>
        </is>
      </c>
      <c r="F80" s="21" t="inlineStr">
        <is>
          <t>P0</t>
        </is>
      </c>
      <c r="G80" s="9" t="inlineStr">
        <is>
          <t>A meeting stages CRM fields for review with no human API call</t>
        </is>
      </c>
      <c r="H80" s="9" t="inlineStr">
        <is>
          <t>The headline promise, end to end.</t>
        </is>
      </c>
      <c r="I80" s="9" t="inlineStr">
        <is>
          <t>A workspace with a CRM adapter connected and at least one field mapping; review mode on (default).</t>
        </is>
      </c>
      <c r="J80" s="9" t="inlineStr">
        <is>
          <t>1. Hold a recorded meeting containing a spoken commitment.
2. Wait for the transcript webhook.
3. Call GET /meetings/&lt;id&gt;/review, or open the Review tab.</t>
        </is>
      </c>
      <c r="K80" s="9" t="inlineStr">
        <is>
          <t>writeback.status is "pending_review" with the target and the derived fields. Nothing has been queued yet — GET /crm/jobs is still empty. No human made an API call.</t>
        </is>
      </c>
      <c r="L80" s="9" t="inlineStr">
        <is>
          <t>s14.test.ts "stages fields for review when a CRM is connected and mapped"</t>
        </is>
      </c>
      <c r="M80" s="19" t="inlineStr"/>
      <c r="N80" s="22" t="inlineStr">
        <is>
          <t>Not run</t>
        </is>
      </c>
      <c r="O80" s="22" t="inlineStr"/>
      <c r="P80" s="22" t="inlineStr"/>
      <c r="Q80" s="22" t="inlineStr"/>
    </row>
    <row r="81">
      <c r="A81" s="8" t="inlineStr">
        <is>
          <t>TC-LOP-002</t>
        </is>
      </c>
      <c r="B81" s="8" t="inlineStr">
        <is>
          <t>v0.45.0</t>
        </is>
      </c>
      <c r="C81" s="8" t="inlineStr">
        <is>
          <t>Product loop</t>
        </is>
      </c>
      <c r="D81" s="8" t="inlineStr">
        <is>
          <t>ST-111</t>
        </is>
      </c>
      <c r="E81" s="20" t="inlineStr">
        <is>
          <t>Positive</t>
        </is>
      </c>
      <c r="F81" s="21" t="inlineStr">
        <is>
          <t>P0</t>
        </is>
      </c>
      <c r="G81" s="9" t="inlineStr">
        <is>
          <t>Approval enqueues exactly one writeback job</t>
        </is>
      </c>
      <c r="H81" s="9" t="inlineStr">
        <is>
          <t>The human half of the handshake.</t>
        </is>
      </c>
      <c r="I81" s="9" t="inlineStr">
        <is>
          <t>A meeting in pending_review.</t>
        </is>
      </c>
      <c r="J81" s="9" t="inlineStr">
        <is>
          <t>1. Call POST /meetings/&lt;id&gt;/approve, or press Approve on the Review tab.
2. Read the returned writeback state.
3. Call GET /crm/jobs.
4. Call POST /crm/drain.</t>
        </is>
      </c>
      <c r="K81" s="9" t="inlineStr">
        <is>
          <t>Status becomes "queued" with a jobId and approvedBy naming the approving user. Exactly one job exists, carrying only the MAPPED fields. The drain marks it done and writes an audit row.</t>
        </is>
      </c>
      <c r="L81" s="9" t="inlineStr">
        <is>
          <t>s14.test.ts "approve enqueues exactly one job"</t>
        </is>
      </c>
      <c r="M81" s="19" t="inlineStr"/>
      <c r="N81" s="22" t="inlineStr">
        <is>
          <t>Not run</t>
        </is>
      </c>
      <c r="O81" s="22" t="inlineStr"/>
      <c r="P81" s="22" t="inlineStr"/>
      <c r="Q81" s="22" t="inlineStr"/>
    </row>
    <row r="82">
      <c r="A82" s="8" t="inlineStr">
        <is>
          <t>TC-LOP-003</t>
        </is>
      </c>
      <c r="B82" s="8" t="inlineStr">
        <is>
          <t>v0.45.0</t>
        </is>
      </c>
      <c r="C82" s="8" t="inlineStr">
        <is>
          <t>Product loop</t>
        </is>
      </c>
      <c r="D82" s="8" t="inlineStr">
        <is>
          <t>ST-111</t>
        </is>
      </c>
      <c r="E82" s="23" t="inlineStr">
        <is>
          <t>Negative</t>
        </is>
      </c>
      <c r="F82" s="21" t="inlineStr">
        <is>
          <t>P0</t>
        </is>
      </c>
      <c r="G82" s="9" t="inlineStr">
        <is>
          <t>Approving twice does not enqueue a second job</t>
        </is>
      </c>
      <c r="H82" s="9" t="inlineStr">
        <is>
          <t>Idempotency at the handshake.</t>
        </is>
      </c>
      <c r="I82" s="9" t="inlineStr">
        <is>
          <t>A meeting already approved.</t>
        </is>
      </c>
      <c r="J82" s="9" t="inlineStr">
        <is>
          <t>1. Call approve a second time.
2. Count the jobs.</t>
        </is>
      </c>
      <c r="K82" s="9" t="inlineStr">
        <is>
          <t>The same queued state and the same jobId are returned. Exactly one job exists.</t>
        </is>
      </c>
      <c r="L82" s="9" t="inlineStr">
        <is>
          <t>s14.test.ts idempotent approve</t>
        </is>
      </c>
      <c r="M82" s="19" t="inlineStr"/>
      <c r="N82" s="22" t="inlineStr">
        <is>
          <t>Not run</t>
        </is>
      </c>
      <c r="O82" s="22" t="inlineStr"/>
      <c r="P82" s="22" t="inlineStr"/>
      <c r="Q82" s="22" t="inlineStr"/>
    </row>
    <row r="83">
      <c r="A83" s="8" t="inlineStr">
        <is>
          <t>TC-LOP-004</t>
        </is>
      </c>
      <c r="B83" s="8" t="inlineStr">
        <is>
          <t>v0.45.0</t>
        </is>
      </c>
      <c r="C83" s="8" t="inlineStr">
        <is>
          <t>Product loop</t>
        </is>
      </c>
      <c r="D83" s="8" t="inlineStr">
        <is>
          <t>ST-111</t>
        </is>
      </c>
      <c r="E83" s="23" t="inlineStr">
        <is>
          <t>Negative</t>
        </is>
      </c>
      <c r="F83" s="21" t="inlineStr">
        <is>
          <t>P0</t>
        </is>
      </c>
      <c r="G83" s="9" t="inlineStr">
        <is>
          <t>A redelivered webhook does not produce a second job</t>
        </is>
      </c>
      <c r="H83" s="9" t="inlineStr">
        <is>
          <t>Zoom redelivery must not double-write to a customer's CRM.</t>
        </is>
      </c>
      <c r="I83" s="9" t="inlineStr">
        <is>
          <t>Review mode off, so ingestion queues directly.</t>
        </is>
      </c>
      <c r="J83" s="9" t="inlineStr">
        <is>
          <t>1. Deliver the transcript event.
2. Deliver it again with a different event_ts outside the dedupe window.
3. Count jobs for the meeting.</t>
        </is>
      </c>
      <c r="K83" s="9" t="inlineStr">
        <is>
          <t>Exactly one job. The insight is returned from store rather than re-derived.</t>
        </is>
      </c>
      <c r="L83" s="9" t="inlineStr">
        <is>
          <t>s14.test.ts "a replayed webhook produces exactly one job"</t>
        </is>
      </c>
      <c r="M83" s="19" t="inlineStr"/>
      <c r="N83" s="22" t="inlineStr">
        <is>
          <t>Not run</t>
        </is>
      </c>
      <c r="O83" s="22" t="inlineStr"/>
      <c r="P83" s="22" t="inlineStr"/>
      <c r="Q83" s="22" t="inlineStr"/>
    </row>
    <row r="84">
      <c r="A84" s="8" t="inlineStr">
        <is>
          <t>TC-LOP-005</t>
        </is>
      </c>
      <c r="B84" s="8" t="inlineStr">
        <is>
          <t>v0.45.0</t>
        </is>
      </c>
      <c r="C84" s="8" t="inlineStr">
        <is>
          <t>Product loop</t>
        </is>
      </c>
      <c r="D84" s="8" t="inlineStr">
        <is>
          <t>ST-111</t>
        </is>
      </c>
      <c r="E84" s="20" t="inlineStr">
        <is>
          <t>Positive</t>
        </is>
      </c>
      <c r="F84" s="24" t="inlineStr">
        <is>
          <t>P1</t>
        </is>
      </c>
      <c r="G84" s="9" t="inlineStr">
        <is>
          <t>Review mode can be switched off and meetings queue on ingest</t>
        </is>
      </c>
      <c r="H84" s="9" t="inlineStr">
        <is>
          <t>For teams who have built trust in the mapping.</t>
        </is>
      </c>
      <c r="I84" s="9" t="inlineStr">
        <is>
          <t>An owner session; a connected and mapped CRM.</t>
        </is>
      </c>
      <c r="J84" s="9" t="inlineStr">
        <is>
          <t>1. Call POST /crm/review-mode with {"reviewRequired": false}.
2. Ingest a meeting.
3. Read the insight.</t>
        </is>
      </c>
      <c r="K84" s="9" t="inlineStr">
        <is>
          <t>writeback.status is "queued" immediately with approvedBy null. The review screen states that review is switched off for the workspace.</t>
        </is>
      </c>
      <c r="L84" s="9" t="inlineStr">
        <is>
          <t>s14.test.ts review-mode block</t>
        </is>
      </c>
      <c r="M84" s="19" t="inlineStr"/>
      <c r="N84" s="22" t="inlineStr">
        <is>
          <t>Not run</t>
        </is>
      </c>
      <c r="O84" s="22" t="inlineStr"/>
      <c r="P84" s="22" t="inlineStr"/>
      <c r="Q84" s="22" t="inlineStr"/>
    </row>
    <row r="85">
      <c r="A85" s="8" t="inlineStr">
        <is>
          <t>TC-LOP-006</t>
        </is>
      </c>
      <c r="B85" s="8" t="inlineStr">
        <is>
          <t>v0.45.0</t>
        </is>
      </c>
      <c r="C85" s="8" t="inlineStr">
        <is>
          <t>Product loop</t>
        </is>
      </c>
      <c r="D85" s="8" t="inlineStr">
        <is>
          <t>ST-111</t>
        </is>
      </c>
      <c r="E85" s="20" t="inlineStr">
        <is>
          <t>Positive</t>
        </is>
      </c>
      <c r="F85" s="24" t="inlineStr">
        <is>
          <t>P1</t>
        </is>
      </c>
      <c r="G85" s="9" t="inlineStr">
        <is>
          <t>Rejecting a meeting records who declined and writes nothing</t>
        </is>
      </c>
      <c r="H85" s="9" t="inlineStr">
        <is>
          <t>A decision not to write is still a decision worth recording.</t>
        </is>
      </c>
      <c r="I85" s="9" t="inlineStr">
        <is>
          <t>A meeting in pending_review.</t>
        </is>
      </c>
      <c r="J85" s="9" t="inlineStr">
        <is>
          <t>1. Call POST /meetings/&lt;id&gt;/reject.
2. Read the writeback state.
3. Count CRM jobs.</t>
        </is>
      </c>
      <c r="K85" s="9" t="inlineStr">
        <is>
          <t>Status is "rejected" naming the user and the time, and preserving the fields that would have been written. No job exists.</t>
        </is>
      </c>
      <c r="L85" s="9" t="inlineStr">
        <is>
          <t>s14.test.ts reject block</t>
        </is>
      </c>
      <c r="M85" s="19" t="inlineStr"/>
      <c r="N85" s="22" t="inlineStr">
        <is>
          <t>Not run</t>
        </is>
      </c>
      <c r="O85" s="22" t="inlineStr"/>
      <c r="P85" s="22" t="inlineStr"/>
      <c r="Q85" s="22" t="inlineStr"/>
    </row>
    <row r="86">
      <c r="A86" s="8" t="inlineStr">
        <is>
          <t>TC-LOP-007</t>
        </is>
      </c>
      <c r="B86" s="8" t="inlineStr">
        <is>
          <t>v0.45.0</t>
        </is>
      </c>
      <c r="C86" s="8" t="inlineStr">
        <is>
          <t>Product loop</t>
        </is>
      </c>
      <c r="D86" s="8" t="inlineStr">
        <is>
          <t>ST-111</t>
        </is>
      </c>
      <c r="E86" s="23" t="inlineStr">
        <is>
          <t>Negative</t>
        </is>
      </c>
      <c r="F86" s="24" t="inlineStr">
        <is>
          <t>P1</t>
        </is>
      </c>
      <c r="G86" s="9" t="inlineStr">
        <is>
          <t>A rejected or queued meeting cannot be re-decided</t>
        </is>
      </c>
      <c r="H86" s="9" t="inlineStr">
        <is>
          <t>The decision has already been made.</t>
        </is>
      </c>
      <c r="I86" s="9" t="inlineStr">
        <is>
          <t>One rejected meeting and one queued meeting.</t>
        </is>
      </c>
      <c r="J86" s="9" t="inlineStr">
        <is>
          <t>1. Approve the rejected one.
2. Reject the queued one.
3. Reject the rejected one again.</t>
        </is>
      </c>
      <c r="K86" s="9" t="inlineStr">
        <is>
          <t>All return 409 with a message naming the current state. Neither state changes.</t>
        </is>
      </c>
      <c r="L86" s="9" t="inlineStr">
        <is>
          <t>s14.test.ts "rejecting a queued meeting is refused"</t>
        </is>
      </c>
      <c r="M86" s="19" t="inlineStr"/>
      <c r="N86" s="22" t="inlineStr">
        <is>
          <t>Not run</t>
        </is>
      </c>
      <c r="O86" s="22" t="inlineStr"/>
      <c r="P86" s="22" t="inlineStr"/>
      <c r="Q86" s="22" t="inlineStr"/>
    </row>
    <row r="87">
      <c r="A87" s="8" t="inlineStr">
        <is>
          <t>TC-LOP-008</t>
        </is>
      </c>
      <c r="B87" s="8" t="inlineStr">
        <is>
          <t>v0.45.0</t>
        </is>
      </c>
      <c r="C87" s="8" t="inlineStr">
        <is>
          <t>Product loop</t>
        </is>
      </c>
      <c r="D87" s="8" t="inlineStr">
        <is>
          <t>ST-111</t>
        </is>
      </c>
      <c r="E87" s="23" t="inlineStr">
        <is>
          <t>Negative</t>
        </is>
      </c>
      <c r="F87" s="24" t="inlineStr">
        <is>
          <t>P1</t>
        </is>
      </c>
      <c r="G87" s="9" t="inlineStr">
        <is>
          <t>A workspace with no CRM connected is recorded as not configured</t>
        </is>
      </c>
      <c r="H87" s="9" t="inlineStr">
        <is>
          <t>The absence of a CRM is a valid state, not a failure.</t>
        </is>
      </c>
      <c r="I87" s="9" t="inlineStr">
        <is>
          <t>A workspace with no adapter, and one with an adapter but no mapping.</t>
        </is>
      </c>
      <c r="J87" s="9" t="inlineStr">
        <is>
          <t>1. Ingest a meeting on each.
2. Read each writeback state.</t>
        </is>
      </c>
      <c r="K87" s="9" t="inlineStr">
        <is>
          <t>Both report {status:"not_configured"}. No error is raised and the insight is still produced and readable.</t>
        </is>
      </c>
      <c r="L87" s="9" t="inlineStr">
        <is>
          <t>s14.test.ts "records not_configured"</t>
        </is>
      </c>
      <c r="M87" s="19" t="inlineStr"/>
      <c r="N87" s="22" t="inlineStr">
        <is>
          <t>Not run</t>
        </is>
      </c>
      <c r="O87" s="22" t="inlineStr"/>
      <c r="P87" s="22" t="inlineStr"/>
      <c r="Q87" s="22" t="inlineStr"/>
    </row>
    <row r="88">
      <c r="A88" s="8" t="inlineStr">
        <is>
          <t>TC-LOP-009</t>
        </is>
      </c>
      <c r="B88" s="8" t="inlineStr">
        <is>
          <t>v0.45.0</t>
        </is>
      </c>
      <c r="C88" s="8" t="inlineStr">
        <is>
          <t>Product loop</t>
        </is>
      </c>
      <c r="D88" s="8" t="inlineStr">
        <is>
          <t>ST-111</t>
        </is>
      </c>
      <c r="E88" s="23" t="inlineStr">
        <is>
          <t>Negative</t>
        </is>
      </c>
      <c r="F88" s="24" t="inlineStr">
        <is>
          <t>P1</t>
        </is>
      </c>
      <c r="G88" s="9" t="inlineStr">
        <is>
          <t>A paused CRM feature stops staging</t>
        </is>
      </c>
      <c r="H88" s="9" t="inlineStr">
        <is>
          <t>Pause must actually pause.</t>
        </is>
      </c>
      <c r="I88" s="9" t="inlineStr">
        <is>
          <t>A connected and mapped workspace.</t>
        </is>
      </c>
      <c r="J88" s="9" t="inlineStr">
        <is>
          <t>1. Call POST /features/crm/pause with {"enabled": false}.
2. Ingest a meeting.
3. Read the writeback state.</t>
        </is>
      </c>
      <c r="K88" s="9" t="inlineStr">
        <is>
          <t>not_configured. Nothing is staged or queued while the feature is paused, and the existing configuration survives the pause.</t>
        </is>
      </c>
      <c r="L88" s="9" t="inlineStr">
        <is>
          <t>s14.test.ts paused case</t>
        </is>
      </c>
      <c r="M88" s="19" t="inlineStr"/>
      <c r="N88" s="22" t="inlineStr">
        <is>
          <t>Not run</t>
        </is>
      </c>
      <c r="O88" s="22" t="inlineStr"/>
      <c r="P88" s="22" t="inlineStr"/>
      <c r="Q88" s="22" t="inlineStr"/>
    </row>
    <row r="89">
      <c r="A89" s="8" t="inlineStr">
        <is>
          <t>TC-LOP-010</t>
        </is>
      </c>
      <c r="B89" s="8" t="inlineStr">
        <is>
          <t>v0.45.0</t>
        </is>
      </c>
      <c r="C89" s="8" t="inlineStr">
        <is>
          <t>Product loop</t>
        </is>
      </c>
      <c r="D89" s="8" t="inlineStr">
        <is>
          <t>ST-111</t>
        </is>
      </c>
      <c r="E89" s="23" t="inlineStr">
        <is>
          <t>Negative</t>
        </is>
      </c>
      <c r="F89" s="24" t="inlineStr">
        <is>
          <t>P1</t>
        </is>
      </c>
      <c r="G89" s="9" t="inlineStr">
        <is>
          <t>A write-blocked workspace cannot approve</t>
        </is>
      </c>
      <c r="H89" s="9" t="inlineStr">
        <is>
          <t>Entitlement gates the write, not the read.</t>
        </is>
      </c>
      <c r="I89" s="9" t="inlineStr">
        <is>
          <t>A workspace whose subscription is cancelled or whose trial has lapsed.</t>
        </is>
      </c>
      <c r="J89" s="9" t="inlineStr">
        <is>
          <t>1. Ingest a meeting so it reaches pending_review.
2. Attempt to approve.
3. Attempt to read the review screen.</t>
        </is>
      </c>
      <c r="K89" s="9" t="inlineStr">
        <is>
          <t>Approve returns 402 write_blocked with the entitlement and a retry hint. The review screen still loads — reads are deliberately never gated, so the customer can still see and export their data.</t>
        </is>
      </c>
      <c r="L89" s="9" t="inlineStr">
        <is>
          <t>s14.test.ts entitlement case</t>
        </is>
      </c>
      <c r="M89" s="19" t="inlineStr"/>
      <c r="N89" s="22" t="inlineStr">
        <is>
          <t>Not run</t>
        </is>
      </c>
      <c r="O89" s="22" t="inlineStr"/>
      <c r="P89" s="22" t="inlineStr"/>
      <c r="Q89" s="22" t="inlineStr"/>
    </row>
    <row r="90">
      <c r="A90" s="8" t="inlineStr">
        <is>
          <t>TC-LOP-011</t>
        </is>
      </c>
      <c r="B90" s="8" t="inlineStr">
        <is>
          <t>v0.45.0</t>
        </is>
      </c>
      <c r="C90" s="8" t="inlineStr">
        <is>
          <t>Product loop</t>
        </is>
      </c>
      <c r="D90" s="8" t="inlineStr">
        <is>
          <t>ST-114</t>
        </is>
      </c>
      <c r="E90" s="20" t="inlineStr">
        <is>
          <t>Positive</t>
        </is>
      </c>
      <c r="F90" s="21" t="inlineStr">
        <is>
          <t>P0</t>
        </is>
      </c>
      <c r="G90" s="9" t="inlineStr">
        <is>
          <t>The review screen shows exactly what will be written</t>
        </is>
      </c>
      <c r="H90" s="9" t="inlineStr">
        <is>
          <t>The screen a RevOps buyer judges the product on.</t>
        </is>
      </c>
      <c r="I90" s="9" t="inlineStr">
        <is>
          <t>A meeting in pending_review, a notes session on the same meeting, and at least one mapping.</t>
        </is>
      </c>
      <c r="J90" s="9" t="inlineStr">
        <is>
          <t>1. Open the Review tab for the meeting.
2. Compare the table to the configured mappings.</t>
        </is>
      </c>
      <c r="K90" s="9" t="inlineStr">
        <is>
          <t>One request populates everything: the action items with owner and due date, the risk signals with verbatim excerpt and line number, the notes taken in the meeting, and a table of every derived field with its value and a yes/no for whether it is mapped. Only the mapped ones will reach the CRM.</t>
        </is>
      </c>
      <c r="L90" s="9" t="inlineStr">
        <is>
          <t>panels.test.tsx ReviewScreen; s14.test.ts review route</t>
        </is>
      </c>
      <c r="M90" s="19" t="inlineStr"/>
      <c r="N90" s="22" t="inlineStr">
        <is>
          <t>Not run</t>
        </is>
      </c>
      <c r="O90" s="22" t="inlineStr"/>
      <c r="P90" s="22" t="inlineStr"/>
      <c r="Q90" s="22" t="inlineStr"/>
    </row>
    <row r="91">
      <c r="A91" s="8" t="inlineStr">
        <is>
          <t>TC-LOP-012</t>
        </is>
      </c>
      <c r="B91" s="8" t="inlineStr">
        <is>
          <t>v0.45.0</t>
        </is>
      </c>
      <c r="C91" s="8" t="inlineStr">
        <is>
          <t>Product loop</t>
        </is>
      </c>
      <c r="D91" s="8" t="inlineStr">
        <is>
          <t>ST-114</t>
        </is>
      </c>
      <c r="E91" s="23" t="inlineStr">
        <is>
          <t>Negative</t>
        </is>
      </c>
      <c r="F91" s="25" t="inlineStr">
        <is>
          <t>P2</t>
        </is>
      </c>
      <c r="G91" s="9" t="inlineStr">
        <is>
          <t>A meeting never ingested reports cleanly on the review screen</t>
        </is>
      </c>
      <c r="H91" s="9" t="inlineStr">
        <is>
          <t>Empty states rather than an error dump.</t>
        </is>
      </c>
      <c r="I91" s="9" t="inlineStr">
        <is>
          <t>A meeting id with no transcript.</t>
        </is>
      </c>
      <c r="J91" s="9" t="inlineStr">
        <is>
          <t>1. Open the review screen for an unknown meeting id.</t>
        </is>
      </c>
      <c r="K91" s="9" t="inlineStr">
        <is>
          <t>A readable "nothing here yet" message. No stack trace, no blank screen, and the rest of the panel still works.</t>
        </is>
      </c>
      <c r="L91" s="9" t="inlineStr">
        <is>
          <t>panels.test.tsx missing insight case</t>
        </is>
      </c>
      <c r="M91" s="19" t="inlineStr"/>
      <c r="N91" s="22" t="inlineStr">
        <is>
          <t>Not run</t>
        </is>
      </c>
      <c r="O91" s="22" t="inlineStr"/>
      <c r="P91" s="22" t="inlineStr"/>
      <c r="Q91" s="22" t="inlineStr"/>
    </row>
    <row r="92">
      <c r="A92" s="8" t="inlineStr">
        <is>
          <t>TC-LOP-013</t>
        </is>
      </c>
      <c r="B92" s="8" t="inlineStr">
        <is>
          <t>v0.45.0</t>
        </is>
      </c>
      <c r="C92" s="8" t="inlineStr">
        <is>
          <t>Product loop</t>
        </is>
      </c>
      <c r="D92" s="8" t="inlineStr">
        <is>
          <t>ST-111</t>
        </is>
      </c>
      <c r="E92" s="20" t="inlineStr">
        <is>
          <t>Positive</t>
        </is>
      </c>
      <c r="F92" s="25" t="inlineStr">
        <is>
          <t>P2</t>
        </is>
      </c>
      <c r="G92" s="9" t="inlineStr">
        <is>
          <t>Activation is recorded on the first approved writeback</t>
        </is>
      </c>
      <c r="H92" s="9" t="inlineStr">
        <is>
          <t>The product's real activation event, distinct from the onboarding checklist.</t>
        </is>
      </c>
      <c r="I92" s="9" t="inlineStr">
        <is>
          <t>Operator token; a workspace that has never had an approved writeback.</t>
        </is>
      </c>
      <c r="J92" s="9" t="inlineStr">
        <is>
          <t>1. Read GET /analytics/funnel and note "activated".
2. Approve a writeback for that workspace.
3. Re-read the funnel.</t>
        </is>
      </c>
      <c r="K92" s="9" t="inlineStr">
        <is>
          <t>activated increases by one, once, for that workspace. Approving a second meeting does not increment it again.</t>
        </is>
      </c>
      <c r="L92" s="9" t="inlineStr">
        <is>
          <t>server.test.ts "marks the account activated"</t>
        </is>
      </c>
      <c r="M92" s="19" t="inlineStr"/>
      <c r="N92" s="22" t="inlineStr">
        <is>
          <t>Not run</t>
        </is>
      </c>
      <c r="O92" s="22" t="inlineStr"/>
      <c r="P92" s="22" t="inlineStr"/>
      <c r="Q92" s="22" t="inlineStr"/>
    </row>
    <row r="93">
      <c r="A93" s="8" t="inlineStr">
        <is>
          <t>TC-LOP-014</t>
        </is>
      </c>
      <c r="B93" s="8" t="inlineStr">
        <is>
          <t>v0.45.0</t>
        </is>
      </c>
      <c r="C93" s="8" t="inlineStr">
        <is>
          <t>Product loop</t>
        </is>
      </c>
      <c r="D93" s="8" t="inlineStr">
        <is>
          <t>ST-111</t>
        </is>
      </c>
      <c r="E93" s="20" t="inlineStr">
        <is>
          <t>Positive</t>
        </is>
      </c>
      <c r="F93" s="24" t="inlineStr">
        <is>
          <t>P1</t>
        </is>
      </c>
      <c r="G93" s="9" t="inlineStr">
        <is>
          <t>Only mapped fields reach the CRM</t>
        </is>
      </c>
      <c r="H93" s="9" t="inlineStr">
        <is>
          <t>Per-field control is the differentiator.</t>
        </is>
      </c>
      <c r="I93" s="9" t="inlineStr">
        <is>
          <t>A workspace mapping exactly one source field.</t>
        </is>
      </c>
      <c r="J93" s="9" t="inlineStr">
        <is>
          <t>1. Ingest a meeting that produces values for several derived sources.
2. Approve and drain.
3. Inspect what the adapter received.</t>
        </is>
      </c>
      <c r="K93" s="9" t="inlineStr">
        <is>
          <t>The adapter receives only the mapped field, under its configured CRM field name and per-field overwrite policy. Unmapped sources appear on the review screen marked "no" and are not sent.</t>
        </is>
      </c>
      <c r="L93" s="9" t="inlineStr">
        <is>
          <t>s14.test.ts field mapping in jobs</t>
        </is>
      </c>
      <c r="M93" s="19" t="inlineStr"/>
      <c r="N93" s="22" t="inlineStr">
        <is>
          <t>Not run</t>
        </is>
      </c>
      <c r="O93" s="22" t="inlineStr"/>
      <c r="P93" s="22" t="inlineStr"/>
      <c r="Q93" s="22" t="inlineStr"/>
    </row>
    <row r="94">
      <c r="A94" s="8" t="inlineStr">
        <is>
          <t>TC-NOT-001</t>
        </is>
      </c>
      <c r="B94" s="8" t="inlineStr">
        <is>
          <t>v0.08.0</t>
        </is>
      </c>
      <c r="C94" s="8" t="inlineStr">
        <is>
          <t>F1 Notes</t>
        </is>
      </c>
      <c r="D94" s="8" t="inlineStr">
        <is>
          <t>ST-002</t>
        </is>
      </c>
      <c r="E94" s="20" t="inlineStr">
        <is>
          <t>Positive</t>
        </is>
      </c>
      <c r="F94" s="24" t="inlineStr">
        <is>
          <t>P1</t>
        </is>
      </c>
      <c r="G94" s="9" t="inlineStr">
        <is>
          <t>A note is added and timestamped</t>
        </is>
      </c>
      <c r="H94" s="9" t="inlineStr">
        <is>
          <t>The core happy path.</t>
        </is>
      </c>
      <c r="I94" s="9" t="inlineStr">
        <is>
          <t>A session and a meeting id.</t>
        </is>
      </c>
      <c r="J94" s="9" t="inlineStr">
        <is>
          <t>1. Open the Notes tab in a meeting.
2. Type a note and press Add note.</t>
        </is>
      </c>
      <c r="K94" s="9" t="inlineStr">
        <is>
          <t>The note appears immediately with a timestamp. GET /meetings/&lt;id&gt;/notes returns it with author, text and chip "open".</t>
        </is>
      </c>
      <c r="L94" s="9" t="inlineStr">
        <is>
          <t>notes.test.ts; panels.test.tsx NotesPanel</t>
        </is>
      </c>
      <c r="M94" s="19" t="inlineStr"/>
      <c r="N94" s="22" t="inlineStr">
        <is>
          <t>Not run</t>
        </is>
      </c>
      <c r="O94" s="22" t="inlineStr"/>
      <c r="P94" s="22" t="inlineStr"/>
      <c r="Q94" s="22" t="inlineStr"/>
    </row>
    <row r="95">
      <c r="A95" s="8" t="inlineStr">
        <is>
          <t>TC-NOT-002</t>
        </is>
      </c>
      <c r="B95" s="8" t="inlineStr">
        <is>
          <t>v0.08.0</t>
        </is>
      </c>
      <c r="C95" s="8" t="inlineStr">
        <is>
          <t>F1 Notes</t>
        </is>
      </c>
      <c r="D95" s="8" t="inlineStr">
        <is>
          <t>ST-002</t>
        </is>
      </c>
      <c r="E95" s="20" t="inlineStr">
        <is>
          <t>Positive</t>
        </is>
      </c>
      <c r="F95" s="25" t="inlineStr">
        <is>
          <t>P2</t>
        </is>
      </c>
      <c r="G95" s="9" t="inlineStr">
        <is>
          <t>Status chips cycle open to done to flag</t>
        </is>
      </c>
      <c r="H95" s="9" t="inlineStr">
        <is>
          <t>Triage during a call.</t>
        </is>
      </c>
      <c r="I95" s="9" t="inlineStr">
        <is>
          <t>A note exists.</t>
        </is>
      </c>
      <c r="J95" s="9" t="inlineStr">
        <is>
          <t>1. Click the chip beside the note three times.
2. Re-read the session from the API after each click.</t>
        </is>
      </c>
      <c r="K95" s="9" t="inlineStr">
        <is>
          <t>The chip cycles open, done, flag and back to open. Each change is persisted server-side, not only in the browser.</t>
        </is>
      </c>
      <c r="L95" s="9" t="inlineStr">
        <is>
          <t>notes.test.ts setChip; panels.test.tsx chip cycle</t>
        </is>
      </c>
      <c r="M95" s="19" t="inlineStr"/>
      <c r="N95" s="22" t="inlineStr">
        <is>
          <t>Not run</t>
        </is>
      </c>
      <c r="O95" s="22" t="inlineStr"/>
      <c r="P95" s="22" t="inlineStr"/>
      <c r="Q95" s="22" t="inlineStr"/>
    </row>
    <row r="96">
      <c r="A96" s="8" t="inlineStr">
        <is>
          <t>TC-NOT-003</t>
        </is>
      </c>
      <c r="B96" s="8" t="inlineStr">
        <is>
          <t>v0.45.0</t>
        </is>
      </c>
      <c r="C96" s="8" t="inlineStr">
        <is>
          <t>F1 Notes</t>
        </is>
      </c>
      <c r="D96" s="8" t="inlineStr">
        <is>
          <t>ST-112 / PR-13</t>
        </is>
      </c>
      <c r="E96" s="20" t="inlineStr">
        <is>
          <t>Positive</t>
        </is>
      </c>
      <c r="F96" s="21" t="inlineStr">
        <is>
          <t>P0</t>
        </is>
      </c>
      <c r="G96" s="9" t="inlineStr">
        <is>
          <t>Notes survive a deploy</t>
        </is>
      </c>
      <c r="H96" s="9" t="inlineStr">
        <is>
          <t>The PR-13 regression: a deploy during business hours used to discard every in-flight note.</t>
        </is>
      </c>
      <c r="I96" s="9" t="inlineStr">
        <is>
          <t>An active notes session with at least two entries.</t>
        </is>
      </c>
      <c r="J96" s="9" t="inlineStr">
        <is>
          <t>1. Add two notes during a meeting.
2. Restart the MeetSync process (or deploy).
3. Re-open the Notes tab for the same meeting.</t>
        </is>
      </c>
      <c r="K96" s="9" t="inlineStr">
        <is>
          <t>Both notes are still present with their original timestamps, authors and chips. Nothing was lost.</t>
        </is>
      </c>
      <c r="L96" s="9" t="inlineStr">
        <is>
          <t>storeContract.test.ts NotesStore contract</t>
        </is>
      </c>
      <c r="M96" s="19" t="inlineStr"/>
      <c r="N96" s="22" t="inlineStr">
        <is>
          <t>Not run</t>
        </is>
      </c>
      <c r="O96" s="22" t="inlineStr"/>
      <c r="P96" s="22" t="inlineStr"/>
      <c r="Q96" s="22" t="inlineStr"/>
    </row>
    <row r="97">
      <c r="A97" s="8" t="inlineStr">
        <is>
          <t>TC-NOT-004</t>
        </is>
      </c>
      <c r="B97" s="8" t="inlineStr">
        <is>
          <t>v0.45.0</t>
        </is>
      </c>
      <c r="C97" s="8" t="inlineStr">
        <is>
          <t>F1 Notes</t>
        </is>
      </c>
      <c r="D97" s="8" t="inlineStr">
        <is>
          <t>ST-113</t>
        </is>
      </c>
      <c r="E97" s="23" t="inlineStr">
        <is>
          <t>Negative</t>
        </is>
      </c>
      <c r="F97" s="24" t="inlineStr">
        <is>
          <t>P1</t>
        </is>
      </c>
      <c r="G97" s="9" t="inlineStr">
        <is>
          <t>A note the server refuses is rolled back and the draft is kept</t>
        </is>
      </c>
      <c r="H97" s="9" t="inlineStr">
        <is>
          <t>Optimistic updates must not lie.</t>
        </is>
      </c>
      <c r="I97" s="9" t="inlineStr">
        <is>
          <t>A workspace whose write access is blocked (cancelled subscription).</t>
        </is>
      </c>
      <c r="J97" s="9" t="inlineStr">
        <is>
          <t>1. Type a note and press Add note.
2. Observe the list and the input.</t>
        </is>
      </c>
      <c r="K97" s="9" t="inlineStr">
        <is>
          <t>The note appears briefly, then disappears when the server refuses. A readable message explains that write access is paused. The typed text stays in the input so it is not lost.</t>
        </is>
      </c>
      <c r="L97" s="9" t="inlineStr">
        <is>
          <t>panels.test.tsx "rolls back an add or chip the server refuses"</t>
        </is>
      </c>
      <c r="M97" s="19" t="inlineStr"/>
      <c r="N97" s="22" t="inlineStr">
        <is>
          <t>Not run</t>
        </is>
      </c>
      <c r="O97" s="22" t="inlineStr"/>
      <c r="P97" s="22" t="inlineStr"/>
      <c r="Q97" s="22" t="inlineStr"/>
    </row>
    <row r="98">
      <c r="A98" s="8" t="inlineStr">
        <is>
          <t>TC-NOT-005</t>
        </is>
      </c>
      <c r="B98" s="8" t="inlineStr">
        <is>
          <t>v0.08.0</t>
        </is>
      </c>
      <c r="C98" s="8" t="inlineStr">
        <is>
          <t>F1 Notes</t>
        </is>
      </c>
      <c r="D98" s="8" t="inlineStr">
        <is>
          <t>ST-004</t>
        </is>
      </c>
      <c r="E98" s="23" t="inlineStr">
        <is>
          <t>Negative</t>
        </is>
      </c>
      <c r="F98" s="25" t="inlineStr">
        <is>
          <t>P2</t>
        </is>
      </c>
      <c r="G98" s="9" t="inlineStr">
        <is>
          <t>Adding to a session that does not exist gives a retryable error</t>
        </is>
      </c>
      <c r="H98" s="9" t="inlineStr">
        <is>
          <t>Clear error and retry path.</t>
        </is>
      </c>
      <c r="I98" s="9" t="inlineStr">
        <is>
          <t>A meeting id with no started session.</t>
        </is>
      </c>
      <c r="J98" s="9" t="inlineStr">
        <is>
          <t>1. POST a note to a meeting with no session.</t>
        </is>
      </c>
      <c r="K98" s="9" t="inlineStr">
        <is>
          <t>503 with a retryAfterMs value rather than a generic 500. The feature error counter increments.</t>
        </is>
      </c>
      <c r="L98" s="9" t="inlineStr">
        <is>
          <t>notes.test.ts RetryableApiError</t>
        </is>
      </c>
      <c r="M98" s="19" t="inlineStr"/>
      <c r="N98" s="22" t="inlineStr">
        <is>
          <t>Not run</t>
        </is>
      </c>
      <c r="O98" s="22" t="inlineStr"/>
      <c r="P98" s="22" t="inlineStr"/>
      <c r="Q98" s="22" t="inlineStr"/>
    </row>
    <row r="99">
      <c r="A99" s="8" t="inlineStr">
        <is>
          <t>TC-NOT-006</t>
        </is>
      </c>
      <c r="B99" s="8" t="inlineStr">
        <is>
          <t>v0.08.0</t>
        </is>
      </c>
      <c r="C99" s="8" t="inlineStr">
        <is>
          <t>F1 Notes</t>
        </is>
      </c>
      <c r="D99" s="8" t="inlineStr">
        <is>
          <t>ST-002</t>
        </is>
      </c>
      <c r="E99" s="23" t="inlineStr">
        <is>
          <t>Negative</t>
        </is>
      </c>
      <c r="F99" s="25" t="inlineStr">
        <is>
          <t>P2</t>
        </is>
      </c>
      <c r="G99" s="9" t="inlineStr">
        <is>
          <t>A closed session refuses new entries</t>
        </is>
      </c>
      <c r="H99" s="9" t="inlineStr">
        <is>
          <t>A closed meeting is closed.</t>
        </is>
      </c>
      <c r="I99" s="9" t="inlineStr">
        <is>
          <t>A notes session that has been closed.</t>
        </is>
      </c>
      <c r="J99" s="9" t="inlineStr">
        <is>
          <t>1. Call POST /meetings/&lt;id&gt;/notes/close.
2. Attempt to add another note.</t>
        </is>
      </c>
      <c r="K99" s="9" t="inlineStr">
        <is>
          <t>409 with "Session closed". The existing entries remain readable.</t>
        </is>
      </c>
      <c r="L99" s="9" t="inlineStr">
        <is>
          <t>notes.test.ts SessionClosedError</t>
        </is>
      </c>
      <c r="M99" s="19" t="inlineStr"/>
      <c r="N99" s="22" t="inlineStr">
        <is>
          <t>Not run</t>
        </is>
      </c>
      <c r="O99" s="22" t="inlineStr"/>
      <c r="P99" s="22" t="inlineStr"/>
      <c r="Q99" s="22" t="inlineStr"/>
    </row>
    <row r="100">
      <c r="A100" s="8" t="inlineStr">
        <is>
          <t>TC-NOT-007</t>
        </is>
      </c>
      <c r="B100" s="8" t="inlineStr">
        <is>
          <t>v0.08.0</t>
        </is>
      </c>
      <c r="C100" s="8" t="inlineStr">
        <is>
          <t>F1 Notes</t>
        </is>
      </c>
      <c r="D100" s="8" t="inlineStr">
        <is>
          <t>ST-002</t>
        </is>
      </c>
      <c r="E100" s="23" t="inlineStr">
        <is>
          <t>Negative</t>
        </is>
      </c>
      <c r="F100" s="25" t="inlineStr">
        <is>
          <t>P2</t>
        </is>
      </c>
      <c r="G100" s="9" t="inlineStr">
        <is>
          <t>An empty note is not accepted</t>
        </is>
      </c>
      <c r="H100" s="9" t="inlineStr">
        <is>
          <t>Whitespace is not a note.</t>
        </is>
      </c>
      <c r="I100" s="9" t="inlineStr">
        <is>
          <t>An open session.</t>
        </is>
      </c>
      <c r="J100" s="9" t="inlineStr">
        <is>
          <t>1. Press Add note with the input empty.
2. Type only spaces and press it again.
3. POST an empty text directly to the API.</t>
        </is>
      </c>
      <c r="K100" s="9" t="inlineStr">
        <is>
          <t>The UI makes no request in either case. The API returns 422 {error:"empty_note"}.</t>
        </is>
      </c>
      <c r="L100" s="9" t="inlineStr">
        <is>
          <t>app.test.ts empty note; panels.test.tsx blank add</t>
        </is>
      </c>
      <c r="M100" s="19" t="inlineStr"/>
      <c r="N100" s="22" t="inlineStr">
        <is>
          <t>Not run</t>
        </is>
      </c>
      <c r="O100" s="22" t="inlineStr"/>
      <c r="P100" s="22" t="inlineStr"/>
      <c r="Q100" s="22" t="inlineStr"/>
    </row>
    <row r="101">
      <c r="A101" s="8" t="inlineStr">
        <is>
          <t>TC-NOT-008</t>
        </is>
      </c>
      <c r="B101" s="8" t="inlineStr">
        <is>
          <t>v0.45.0</t>
        </is>
      </c>
      <c r="C101" s="8" t="inlineStr">
        <is>
          <t>F1 Notes</t>
        </is>
      </c>
      <c r="D101" s="8" t="inlineStr">
        <is>
          <t>ST-113</t>
        </is>
      </c>
      <c r="E101" s="20" t="inlineStr">
        <is>
          <t>Positive</t>
        </is>
      </c>
      <c r="F101" s="25" t="inlineStr">
        <is>
          <t>P2</t>
        </is>
      </c>
      <c r="G101" s="9" t="inlineStr">
        <is>
          <t>The notes list announces new entries to a screen reader</t>
        </is>
      </c>
      <c r="H101" s="9" t="inlineStr">
        <is>
          <t>Notes arrive without the user acting on the list element.</t>
        </is>
      </c>
      <c r="I101" s="9" t="inlineStr">
        <is>
          <t>A screen reader running against the panel.</t>
        </is>
      </c>
      <c r="J101" s="9" t="inlineStr">
        <is>
          <t>1. Focus elsewhere on the page.
2. Have a note added.
3. Listen.</t>
        </is>
      </c>
      <c r="K101" s="9" t="inlineStr">
        <is>
          <t>The list carries aria-live="polite" and the new note is announced. The chip button's accessible name states the note's status, not an opaque id.</t>
        </is>
      </c>
      <c r="L101" s="9" t="inlineStr">
        <is>
          <t>a11y.test.tsx A11Y-01 and A11Y-03</t>
        </is>
      </c>
      <c r="M101" s="19" t="inlineStr"/>
      <c r="N101" s="22" t="inlineStr">
        <is>
          <t>Not run</t>
        </is>
      </c>
      <c r="O101" s="22" t="inlineStr"/>
      <c r="P101" s="22" t="inlineStr"/>
      <c r="Q101" s="22" t="inlineStr"/>
    </row>
    <row r="102">
      <c r="A102" s="8" t="inlineStr">
        <is>
          <t>TC-NOT-009</t>
        </is>
      </c>
      <c r="B102" s="8" t="inlineStr">
        <is>
          <t>v0.13.0</t>
        </is>
      </c>
      <c r="C102" s="8" t="inlineStr">
        <is>
          <t>F1 Notes</t>
        </is>
      </c>
      <c r="D102" s="8" t="inlineStr">
        <is>
          <t>M-F14</t>
        </is>
      </c>
      <c r="E102" s="20" t="inlineStr">
        <is>
          <t>Positive</t>
        </is>
      </c>
      <c r="F102" s="25" t="inlineStr">
        <is>
          <t>P3</t>
        </is>
      </c>
      <c r="G102" s="9" t="inlineStr">
        <is>
          <t>The oldest session is evicted at the cap, and the loss is reported</t>
        </is>
      </c>
      <c r="H102" s="9" t="inlineStr">
        <is>
          <t>Bounded memory with visible truncation.</t>
        </is>
      </c>
      <c r="I102" s="9" t="inlineStr">
        <is>
          <t>A staging deployment with a low cap.</t>
        </is>
      </c>
      <c r="J102" s="9" t="inlineStr">
        <is>
          <t>1. Start more sessions than the cap.
2. Read the ledger stats.</t>
        </is>
      </c>
      <c r="K102" s="9" t="inlineStr">
        <is>
          <t>The oldest session by start time is dropped and the dropped counter increments, so a truncated list is visible as truncated rather than silently short.</t>
        </is>
      </c>
      <c r="L102" s="9" t="inlineStr">
        <is>
          <t>review.test.ts ledger stats; storeContract.test.ts cap case</t>
        </is>
      </c>
      <c r="M102" s="19" t="inlineStr"/>
      <c r="N102" s="22" t="inlineStr">
        <is>
          <t>Not run</t>
        </is>
      </c>
      <c r="O102" s="22" t="inlineStr"/>
      <c r="P102" s="22" t="inlineStr"/>
      <c r="Q102" s="22" t="inlineStr"/>
    </row>
    <row r="103">
      <c r="A103" s="8" t="inlineStr">
        <is>
          <t>TC-NOT-010</t>
        </is>
      </c>
      <c r="B103" s="8" t="inlineStr">
        <is>
          <t>v0.45.0</t>
        </is>
      </c>
      <c r="C103" s="8" t="inlineStr">
        <is>
          <t>F1 Notes</t>
        </is>
      </c>
      <c r="D103" s="8" t="inlineStr">
        <is>
          <t>ST-113</t>
        </is>
      </c>
      <c r="E103" s="20" t="inlineStr">
        <is>
          <t>Positive</t>
        </is>
      </c>
      <c r="F103" s="25" t="inlineStr">
        <is>
          <t>P2</t>
        </is>
      </c>
      <c r="G103" s="9" t="inlineStr">
        <is>
          <t>The degraded banner appears when Zoom is struggling</t>
        </is>
      </c>
      <c r="H103" s="9" t="inlineStr">
        <is>
          <t>Visible degradation rather than silent failure.</t>
        </is>
      </c>
      <c r="I103" s="9" t="inlineStr">
        <is>
          <t>A deployment whose ZoomClient breaker is open (staging).</t>
        </is>
      </c>
      <c r="J103" s="9" t="inlineStr">
        <is>
          <t>1. Force repeated Zoom failures until platformHealth reports degraded.
2. Open the Notes tab.</t>
        </is>
      </c>
      <c r="K103" s="9" t="inlineStr">
        <is>
          <t>A status banner states that the platform is degraded and that notes keep working locally and will sync on recovery. Note-taking continues to work.</t>
        </is>
      </c>
      <c r="L103" s="9" t="inlineStr">
        <is>
          <t>panels.test.tsx degraded banner</t>
        </is>
      </c>
      <c r="M103" s="19" t="inlineStr"/>
      <c r="N103" s="22" t="inlineStr">
        <is>
          <t>Not run</t>
        </is>
      </c>
      <c r="O103" s="22" t="inlineStr"/>
      <c r="P103" s="22" t="inlineStr"/>
      <c r="Q103" s="22" t="inlineStr"/>
    </row>
    <row r="104">
      <c r="A104" s="8" t="inlineStr">
        <is>
          <t>TC-ACT-001</t>
        </is>
      </c>
      <c r="B104" s="8" t="inlineStr">
        <is>
          <t>v0.08.0</t>
        </is>
      </c>
      <c r="C104" s="8" t="inlineStr">
        <is>
          <t>F2 Actions</t>
        </is>
      </c>
      <c r="D104" s="8" t="inlineStr">
        <is>
          <t>ST-011</t>
        </is>
      </c>
      <c r="E104" s="20" t="inlineStr">
        <is>
          <t>Positive</t>
        </is>
      </c>
      <c r="F104" s="24" t="inlineStr">
        <is>
          <t>P1</t>
        </is>
      </c>
      <c r="G104" s="9" t="inlineStr">
        <is>
          <t>A commitment in a transcript becomes an action item</t>
        </is>
      </c>
      <c r="H104" s="9" t="inlineStr">
        <is>
          <t>The extraction happy path on the built-in rules.</t>
        </is>
      </c>
      <c r="I104" s="9" t="inlineStr">
        <is>
          <t>A session; the actions feature enabled.</t>
        </is>
      </c>
      <c r="J104" s="9" t="inlineStr">
        <is>
          <t>1. POST /features/actions/extract with a transcript line "Priya: I will send the revised proposal by Friday" and preview true.</t>
        </is>
      </c>
      <c r="K104" s="9" t="inlineStr">
        <is>
          <t>One action item is returned with the line text, an owner and a due-in-days value. Because preview is true, nothing is recorded to usage.</t>
        </is>
      </c>
      <c r="L104" s="9" t="inlineStr">
        <is>
          <t>actions.test.ts; s14.test.ts</t>
        </is>
      </c>
      <c r="M104" s="19" t="inlineStr"/>
      <c r="N104" s="22" t="inlineStr">
        <is>
          <t>Not run</t>
        </is>
      </c>
      <c r="O104" s="22" t="inlineStr"/>
      <c r="P104" s="22" t="inlineStr"/>
      <c r="Q104" s="22" t="inlineStr"/>
    </row>
    <row r="105">
      <c r="A105" s="8" t="inlineStr">
        <is>
          <t>TC-ACT-002</t>
        </is>
      </c>
      <c r="B105" s="8" t="inlineStr">
        <is>
          <t>v0.08.0</t>
        </is>
      </c>
      <c r="C105" s="8" t="inlineStr">
        <is>
          <t>F2 Actions</t>
        </is>
      </c>
      <c r="D105" s="8" t="inlineStr">
        <is>
          <t>ST-013</t>
        </is>
      </c>
      <c r="E105" s="20" t="inlineStr">
        <is>
          <t>Positive</t>
        </is>
      </c>
      <c r="F105" s="25" t="inlineStr">
        <is>
          <t>P2</t>
        </is>
      </c>
      <c r="G105" s="9" t="inlineStr">
        <is>
          <t>A custom rule verb is honoured</t>
        </is>
      </c>
      <c r="H105" s="9" t="inlineStr">
        <is>
          <t>Rule customisation per workspace.</t>
        </is>
      </c>
      <c r="I105" s="9" t="inlineStr">
        <is>
          <t>An admin or owner session.</t>
        </is>
      </c>
      <c r="J105" s="9" t="inlineStr">
        <is>
          <t>1. POST /features/actions/rules with verb "ship".
2. Extract a transcript containing "we ship monday".</t>
        </is>
      </c>
      <c r="K105" s="9" t="inlineStr">
        <is>
          <t>The rule is saved for the workspace and the line is extracted. Other workspaces are unaffected.</t>
        </is>
      </c>
      <c r="L105" s="9" t="inlineStr">
        <is>
          <t>actions.test.ts custom rules; panels.test.tsx save rule</t>
        </is>
      </c>
      <c r="M105" s="19" t="inlineStr"/>
      <c r="N105" s="22" t="inlineStr">
        <is>
          <t>Not run</t>
        </is>
      </c>
      <c r="O105" s="22" t="inlineStr"/>
      <c r="P105" s="22" t="inlineStr"/>
      <c r="Q105" s="22" t="inlineStr"/>
    </row>
    <row r="106">
      <c r="A106" s="8" t="inlineStr">
        <is>
          <t>TC-ACT-003</t>
        </is>
      </c>
      <c r="B106" s="8" t="inlineStr">
        <is>
          <t>v0.08.0</t>
        </is>
      </c>
      <c r="C106" s="8" t="inlineStr">
        <is>
          <t>F2 Actions</t>
        </is>
      </c>
      <c r="D106" s="8" t="inlineStr">
        <is>
          <t>ST-013</t>
        </is>
      </c>
      <c r="E106" s="23" t="inlineStr">
        <is>
          <t>Negative</t>
        </is>
      </c>
      <c r="F106" s="25" t="inlineStr">
        <is>
          <t>P2</t>
        </is>
      </c>
      <c r="G106" s="9" t="inlineStr">
        <is>
          <t>Preview mode records nothing</t>
        </is>
      </c>
      <c r="H106" s="9" t="inlineStr">
        <is>
          <t>A builder preview must not pollute usage metrics or reach the CRM.</t>
        </is>
      </c>
      <c r="I106" s="9" t="inlineStr">
        <is>
          <t>A session; note the current feature metrics.</t>
        </is>
      </c>
      <c r="J106" s="9" t="inlineStr">
        <is>
          <t>1. Read GET /features/actions/metrics.
2. Run several previews.
3. Re-read the metrics.</t>
        </is>
      </c>
      <c r="K106" s="9" t="inlineStr">
        <is>
          <t>Event counts are unchanged. The response and the UI both state that preview runs in test mode and nothing reaches the CRM.</t>
        </is>
      </c>
      <c r="L106" s="9" t="inlineStr">
        <is>
          <t>actions.test.ts preview flag</t>
        </is>
      </c>
      <c r="M106" s="19" t="inlineStr"/>
      <c r="N106" s="22" t="inlineStr">
        <is>
          <t>Not run</t>
        </is>
      </c>
      <c r="O106" s="22" t="inlineStr"/>
      <c r="P106" s="22" t="inlineStr"/>
      <c r="Q106" s="22" t="inlineStr"/>
    </row>
    <row r="107">
      <c r="A107" s="8" t="inlineStr">
        <is>
          <t>TC-ACT-004</t>
        </is>
      </c>
      <c r="B107" s="8" t="inlineStr">
        <is>
          <t>v0.45.0</t>
        </is>
      </c>
      <c r="C107" s="8" t="inlineStr">
        <is>
          <t>F2 Actions</t>
        </is>
      </c>
      <c r="D107" s="8" t="inlineStr">
        <is>
          <t>PR-02</t>
        </is>
      </c>
      <c r="E107" s="23" t="inlineStr">
        <is>
          <t>Negative</t>
        </is>
      </c>
      <c r="F107" s="24" t="inlineStr">
        <is>
          <t>P1</t>
        </is>
      </c>
      <c r="G107" s="9" t="inlineStr">
        <is>
          <t>Extraction does not find a commitment phrased naturally</t>
        </is>
      </c>
      <c r="H107" s="9" t="inlineStr">
        <is>
          <t>Documents the honest limit of a five-phrase matcher — this case is EXPECTED TO FIND NOTHING and that is the point.</t>
        </is>
      </c>
      <c r="I107" s="9" t="inlineStr">
        <is>
          <t>A session.</t>
        </is>
      </c>
      <c r="J107" s="9" t="inlineStr">
        <is>
          <t>1. Extract the line "I'll get that over to you tomorrow".
2. Extract "Let me pull those numbers together for you".</t>
        </is>
      </c>
      <c r="K107" s="9" t="inlineStr">
        <is>
          <t>No action items are returned. This is correct behaviour for the current rules engine and is the gap PD-02 decides whether to close. Do not raise a defect; raise it as evidence for the decision.</t>
        </is>
      </c>
      <c r="L107" s="9" t="inlineStr">
        <is>
          <t>actions.test.ts rule coverage</t>
        </is>
      </c>
      <c r="M107" s="19" t="inlineStr"/>
      <c r="N107" s="22" t="inlineStr">
        <is>
          <t>Not run</t>
        </is>
      </c>
      <c r="O107" s="22" t="inlineStr"/>
      <c r="P107" s="22" t="inlineStr"/>
      <c r="Q107" s="22" t="inlineStr"/>
    </row>
    <row r="108">
      <c r="A108" s="8" t="inlineStr">
        <is>
          <t>TC-ACT-005</t>
        </is>
      </c>
      <c r="B108" s="8" t="inlineStr">
        <is>
          <t>v0.13.0</t>
        </is>
      </c>
      <c r="C108" s="8" t="inlineStr">
        <is>
          <t>F2 Actions</t>
        </is>
      </c>
      <c r="D108" s="8" t="inlineStr">
        <is>
          <t>M-F17</t>
        </is>
      </c>
      <c r="E108" s="23" t="inlineStr">
        <is>
          <t>Negative</t>
        </is>
      </c>
      <c r="F108" s="25" t="inlineStr">
        <is>
          <t>P2</t>
        </is>
      </c>
      <c r="G108" s="9" t="inlineStr">
        <is>
          <t>A non-numeric due-day override does not produce a blank due date</t>
        </is>
      </c>
      <c r="H108" s="9" t="inlineStr">
        <is>
          <t>An operator-supplied override used to yield NaN.</t>
        </is>
      </c>
      <c r="I108" s="9" t="inlineStr">
        <is>
          <t>An admin session.</t>
        </is>
      </c>
      <c r="J108" s="9" t="inlineStr">
        <is>
          <t>1. Set the actions feature default dueDays to "soon".
2. Run an extraction that matches a rule.</t>
        </is>
      </c>
      <c r="K108" s="9" t="inlineStr">
        <is>
          <t>The item carries the fallback due value, not NaN, and renders a real number of days.</t>
        </is>
      </c>
      <c r="L108" s="9" t="inlineStr">
        <is>
          <t>review.test.ts "a non-numeric dueDays override"</t>
        </is>
      </c>
      <c r="M108" s="19" t="inlineStr"/>
      <c r="N108" s="22" t="inlineStr">
        <is>
          <t>Not run</t>
        </is>
      </c>
      <c r="O108" s="22" t="inlineStr"/>
      <c r="P108" s="22" t="inlineStr"/>
      <c r="Q108" s="22" t="inlineStr"/>
    </row>
    <row r="109">
      <c r="A109" s="8" t="inlineStr">
        <is>
          <t>TC-ACT-006</t>
        </is>
      </c>
      <c r="B109" s="8" t="inlineStr">
        <is>
          <t>v0.08.0</t>
        </is>
      </c>
      <c r="C109" s="8" t="inlineStr">
        <is>
          <t>F2 Actions</t>
        </is>
      </c>
      <c r="D109" s="8" t="inlineStr">
        <is>
          <t>ST-018</t>
        </is>
      </c>
      <c r="E109" s="23" t="inlineStr">
        <is>
          <t>Negative</t>
        </is>
      </c>
      <c r="F109" s="25" t="inlineStr">
        <is>
          <t>P2</t>
        </is>
      </c>
      <c r="G109" s="9" t="inlineStr">
        <is>
          <t>A paused feature refuses extraction without losing configuration</t>
        </is>
      </c>
      <c r="H109" s="9" t="inlineStr">
        <is>
          <t>Pause without data loss.</t>
        </is>
      </c>
      <c r="I109" s="9" t="inlineStr">
        <is>
          <t>An admin session.</t>
        </is>
      </c>
      <c r="J109" s="9" t="inlineStr">
        <is>
          <t>1. Pause the actions feature.
2. Attempt an extraction.
3. Resume and re-read the rules.</t>
        </is>
      </c>
      <c r="K109" s="9" t="inlineStr">
        <is>
          <t>The extraction returns 409 with a retry hint to resume the feature. On resume, the custom rules and defaults are intact.</t>
        </is>
      </c>
      <c r="L109" s="9" t="inlineStr">
        <is>
          <t>features.test.ts pause block</t>
        </is>
      </c>
      <c r="M109" s="19" t="inlineStr"/>
      <c r="N109" s="22" t="inlineStr">
        <is>
          <t>Not run</t>
        </is>
      </c>
      <c r="O109" s="22" t="inlineStr"/>
      <c r="P109" s="22" t="inlineStr"/>
      <c r="Q109" s="22" t="inlineStr"/>
    </row>
    <row r="110">
      <c r="A110" s="8" t="inlineStr">
        <is>
          <t>TC-ACT-007</t>
        </is>
      </c>
      <c r="B110" s="8" t="inlineStr">
        <is>
          <t>v0.08.0</t>
        </is>
      </c>
      <c r="C110" s="8" t="inlineStr">
        <is>
          <t>F2 Actions</t>
        </is>
      </c>
      <c r="D110" s="8" t="inlineStr">
        <is>
          <t>ST-011</t>
        </is>
      </c>
      <c r="E110" s="23" t="inlineStr">
        <is>
          <t>Negative</t>
        </is>
      </c>
      <c r="F110" s="25" t="inlineStr">
        <is>
          <t>P3</t>
        </is>
      </c>
      <c r="G110" s="9" t="inlineStr">
        <is>
          <t>A transcript with no speaker attribution is still processed</t>
        </is>
      </c>
      <c r="H110" s="9" t="inlineStr">
        <is>
          <t>Zoom omits the speaker when it cannot attribute audio.</t>
        </is>
      </c>
      <c r="I110" s="9" t="inlineStr">
        <is>
          <t>A session.</t>
        </is>
      </c>
      <c r="J110" s="9" t="inlineStr">
        <is>
          <t>1. Extract a transcript whose lines have no "Name:" prefix.</t>
        </is>
      </c>
      <c r="K110" s="9" t="inlineStr">
        <is>
          <t>Lines are processed with an unknown speaker rather than dropped. A commitment made by someone on a bad connection is not silently lost.</t>
        </is>
      </c>
      <c r="L110" s="9" t="inlineStr">
        <is>
          <t>transcripts.test.ts parseVtt; ActionsPanel parseTranscript</t>
        </is>
      </c>
      <c r="M110" s="19" t="inlineStr"/>
      <c r="N110" s="22" t="inlineStr">
        <is>
          <t>Not run</t>
        </is>
      </c>
      <c r="O110" s="22" t="inlineStr"/>
      <c r="P110" s="22" t="inlineStr"/>
      <c r="Q110" s="22" t="inlineStr"/>
    </row>
    <row r="111">
      <c r="A111" s="8" t="inlineStr">
        <is>
          <t>TC-ACT-008</t>
        </is>
      </c>
      <c r="B111" s="8" t="inlineStr">
        <is>
          <t>v0.20.0</t>
        </is>
      </c>
      <c r="C111" s="8" t="inlineStr">
        <is>
          <t>F2 Actions</t>
        </is>
      </c>
      <c r="D111" s="8" t="inlineStr">
        <is>
          <t>GAP-3</t>
        </is>
      </c>
      <c r="E111" s="20" t="inlineStr">
        <is>
          <t>Positive</t>
        </is>
      </c>
      <c r="F111" s="25" t="inlineStr">
        <is>
          <t>P2</t>
        </is>
      </c>
      <c r="G111" s="9" t="inlineStr">
        <is>
          <t>Extraction is reachable from the panel, not only from the API</t>
        </is>
      </c>
      <c r="H111" s="9" t="inlineStr">
        <is>
          <t>The GAP-3 class: a feature nothing can invoke.</t>
        </is>
      </c>
      <c r="I111" s="9" t="inlineStr">
        <is>
          <t>The panel open.</t>
        </is>
      </c>
      <c r="J111" s="9" t="inlineStr">
        <is>
          <t>1. Open the Action items tab.
2. Paste a transcript and press Preview extraction.
3. Watch the network tab.</t>
        </is>
      </c>
      <c r="K111" s="9" t="inlineStr">
        <is>
          <t>A POST to /features/actions/extract is made with preview true, and the results render. The panel is not showing locally computed data.</t>
        </is>
      </c>
      <c r="L111" s="9" t="inlineStr">
        <is>
          <t>panels.test.tsx ActionsPanel; clientReachability.test.ts</t>
        </is>
      </c>
      <c r="M111" s="19" t="inlineStr"/>
      <c r="N111" s="22" t="inlineStr">
        <is>
          <t>Not run</t>
        </is>
      </c>
      <c r="O111" s="22" t="inlineStr"/>
      <c r="P111" s="22" t="inlineStr"/>
      <c r="Q111" s="22" t="inlineStr"/>
    </row>
    <row r="112">
      <c r="A112" s="8" t="inlineStr">
        <is>
          <t>TC-CRM-001</t>
        </is>
      </c>
      <c r="B112" s="8" t="inlineStr">
        <is>
          <t>v0.08.0</t>
        </is>
      </c>
      <c r="C112" s="8" t="inlineStr">
        <is>
          <t>F3 CRM</t>
        </is>
      </c>
      <c r="D112" s="8" t="inlineStr">
        <is>
          <t>ST-021</t>
        </is>
      </c>
      <c r="E112" s="20" t="inlineStr">
        <is>
          <t>Positive</t>
        </is>
      </c>
      <c r="F112" s="24" t="inlineStr">
        <is>
          <t>P1</t>
        </is>
      </c>
      <c r="G112" s="9" t="inlineStr">
        <is>
          <t>A CRM target is connected</t>
        </is>
      </c>
      <c r="H112" s="9" t="inlineStr">
        <is>
          <t>Connection is a per-workspace action.</t>
        </is>
      </c>
      <c r="I112" s="9" t="inlineStr">
        <is>
          <t>An admin or owner session.</t>
        </is>
      </c>
      <c r="J112" s="9" t="inlineStr">
        <is>
          <t>1. POST /crm/connect with target hubspot.
2. Read the response body.</t>
        </is>
      </c>
      <c r="K112" s="9" t="inlineStr">
        <is>
          <t>The target is registered for the workspace and the response states plainly that this is a sandbox adapter and live CRM OAuth is not implemented — the code does not let the caller assume otherwise.</t>
        </is>
      </c>
      <c r="L112" s="9" t="inlineStr">
        <is>
          <t>crm.test.ts; s14.test.ts connectCrm</t>
        </is>
      </c>
      <c r="M112" s="19" t="inlineStr"/>
      <c r="N112" s="22" t="inlineStr">
        <is>
          <t>Not run</t>
        </is>
      </c>
      <c r="O112" s="22" t="inlineStr"/>
      <c r="P112" s="22" t="inlineStr"/>
      <c r="Q112" s="22" t="inlineStr"/>
    </row>
    <row r="113">
      <c r="A113" s="8" t="inlineStr">
        <is>
          <t>TC-CRM-002</t>
        </is>
      </c>
      <c r="B113" s="8" t="inlineStr">
        <is>
          <t>v0.08.0</t>
        </is>
      </c>
      <c r="C113" s="8" t="inlineStr">
        <is>
          <t>F3 CRM</t>
        </is>
      </c>
      <c r="D113" s="8" t="inlineStr">
        <is>
          <t>ST-022</t>
        </is>
      </c>
      <c r="E113" s="20" t="inlineStr">
        <is>
          <t>Positive</t>
        </is>
      </c>
      <c r="F113" s="24" t="inlineStr">
        <is>
          <t>P1</t>
        </is>
      </c>
      <c r="G113" s="9" t="inlineStr">
        <is>
          <t>A field mapping is created and read back</t>
        </is>
      </c>
      <c r="H113" s="9" t="inlineStr">
        <is>
          <t>Per-field control is the product.</t>
        </is>
      </c>
      <c r="I113" s="9" t="inlineStr">
        <is>
          <t>An admin session.</t>
        </is>
      </c>
      <c r="J113" s="9" t="inlineStr">
        <is>
          <t>1. POST /crm/mappings with source next_step, crmField deal_next_step, overwrite false.
2. GET /crm/mappings.</t>
        </is>
      </c>
      <c r="K113" s="9" t="inlineStr">
        <is>
          <t>The mapping is listed with its overwrite policy. The read does not modify anything.</t>
        </is>
      </c>
      <c r="L113" s="9" t="inlineStr">
        <is>
          <t>s14.test.ts "GET /crm/mappings reads without writing"</t>
        </is>
      </c>
      <c r="M113" s="19" t="inlineStr"/>
      <c r="N113" s="22" t="inlineStr">
        <is>
          <t>Not run</t>
        </is>
      </c>
      <c r="O113" s="22" t="inlineStr"/>
      <c r="P113" s="22" t="inlineStr"/>
      <c r="Q113" s="22" t="inlineStr"/>
    </row>
    <row r="114">
      <c r="A114" s="8" t="inlineStr">
        <is>
          <t>TC-CRM-003</t>
        </is>
      </c>
      <c r="B114" s="8" t="inlineStr">
        <is>
          <t>v0.08.0</t>
        </is>
      </c>
      <c r="C114" s="8" t="inlineStr">
        <is>
          <t>F3 CRM</t>
        </is>
      </c>
      <c r="D114" s="8" t="inlineStr">
        <is>
          <t>ST-022</t>
        </is>
      </c>
      <c r="E114" s="20" t="inlineStr">
        <is>
          <t>Positive</t>
        </is>
      </c>
      <c r="F114" s="24" t="inlineStr">
        <is>
          <t>P1</t>
        </is>
      </c>
      <c r="G114" s="9" t="inlineStr">
        <is>
          <t>Overwrite false does not replace an existing CRM value</t>
        </is>
      </c>
      <c r="H114" s="9" t="inlineStr">
        <is>
          <t>The fill-blanks-only policy.</t>
        </is>
      </c>
      <c r="I114" s="9" t="inlineStr">
        <is>
          <t>A mapping with overwrite false and a CRM record that already has a value in that field.</t>
        </is>
      </c>
      <c r="J114" s="9" t="inlineStr">
        <is>
          <t>1. Enqueue a writeback carrying a value for the mapped source.
2. Drain.
3. Read the CRM record.</t>
        </is>
      </c>
      <c r="K114" s="9" t="inlineStr">
        <is>
          <t>The existing value is untouched. With overwrite true on the same mapping, the value is replaced.</t>
        </is>
      </c>
      <c r="L114" s="9" t="inlineStr">
        <is>
          <t>crm.test.ts applyMappings</t>
        </is>
      </c>
      <c r="M114" s="19" t="inlineStr"/>
      <c r="N114" s="22" t="inlineStr">
        <is>
          <t>Not run</t>
        </is>
      </c>
      <c r="O114" s="22" t="inlineStr"/>
      <c r="P114" s="22" t="inlineStr"/>
      <c r="Q114" s="22" t="inlineStr"/>
    </row>
    <row r="115">
      <c r="A115" s="8" t="inlineStr">
        <is>
          <t>TC-CRM-004</t>
        </is>
      </c>
      <c r="B115" s="8" t="inlineStr">
        <is>
          <t>v0.08.0</t>
        </is>
      </c>
      <c r="C115" s="8" t="inlineStr">
        <is>
          <t>F3 CRM</t>
        </is>
      </c>
      <c r="D115" s="8" t="inlineStr">
        <is>
          <t>ST-024</t>
        </is>
      </c>
      <c r="E115" s="20" t="inlineStr">
        <is>
          <t>Positive</t>
        </is>
      </c>
      <c r="F115" s="24" t="inlineStr">
        <is>
          <t>P1</t>
        </is>
      </c>
      <c r="G115" s="9" t="inlineStr">
        <is>
          <t>A transient CRM failure is retried with backoff</t>
        </is>
      </c>
      <c r="H115" s="9" t="inlineStr">
        <is>
          <t>A queue that survives a flaky provider.</t>
        </is>
      </c>
      <c r="I115" s="9" t="inlineStr">
        <is>
          <t>A sandbox adapter configured to fail the first attempt.</t>
        </is>
      </c>
      <c r="J115" s="9" t="inlineStr">
        <is>
          <t>1. Enqueue a writeback.
2. Drain.
3. Read the job and the audit trail.</t>
        </is>
      </c>
      <c r="K115" s="9" t="inlineStr">
        <is>
          <t>The job is retried up to maxAttempts with exponential backoff and jitter, then succeeds. The attempt count is persisted between attempts so a crash mid-drain resumes rather than restarting.</t>
        </is>
      </c>
      <c r="L115" s="9" t="inlineStr">
        <is>
          <t>crm.test.ts retry block</t>
        </is>
      </c>
      <c r="M115" s="19" t="inlineStr"/>
      <c r="N115" s="22" t="inlineStr">
        <is>
          <t>Not run</t>
        </is>
      </c>
      <c r="O115" s="22" t="inlineStr"/>
      <c r="P115" s="22" t="inlineStr"/>
      <c r="Q115" s="22" t="inlineStr"/>
    </row>
    <row r="116">
      <c r="A116" s="8" t="inlineStr">
        <is>
          <t>TC-CRM-005</t>
        </is>
      </c>
      <c r="B116" s="8" t="inlineStr">
        <is>
          <t>v0.08.0</t>
        </is>
      </c>
      <c r="C116" s="8" t="inlineStr">
        <is>
          <t>F3 CRM</t>
        </is>
      </c>
      <c r="D116" s="8" t="inlineStr">
        <is>
          <t>ST-024</t>
        </is>
      </c>
      <c r="E116" s="23" t="inlineStr">
        <is>
          <t>Negative</t>
        </is>
      </c>
      <c r="F116" s="24" t="inlineStr">
        <is>
          <t>P1</t>
        </is>
      </c>
      <c r="G116" s="9" t="inlineStr">
        <is>
          <t>A permanently failing write is marked failed and surfaced</t>
        </is>
      </c>
      <c r="H116" s="9" t="inlineStr">
        <is>
          <t>Terminal failures must be visible, not silently retried forever.</t>
        </is>
      </c>
      <c r="I116" s="9" t="inlineStr">
        <is>
          <t>An adapter that always fails.</t>
        </is>
      </c>
      <c r="J116" s="9" t="inlineStr">
        <is>
          <t>1. Enqueue and drain.
2. Read GET /crm/jobs and the CRM tab.</t>
        </is>
      </c>
      <c r="K116" s="9" t="inlineStr">
        <is>
          <t>The job status is "failed" with its attempt count. The panel shows a retry control. The feature error counter increments and an audit row records the failure.</t>
        </is>
      </c>
      <c r="L116" s="9" t="inlineStr">
        <is>
          <t>crm.test.ts failure block; panels.test.tsx failed job</t>
        </is>
      </c>
      <c r="M116" s="19" t="inlineStr"/>
      <c r="N116" s="22" t="inlineStr">
        <is>
          <t>Not run</t>
        </is>
      </c>
      <c r="O116" s="22" t="inlineStr"/>
      <c r="P116" s="22" t="inlineStr"/>
      <c r="Q116" s="22" t="inlineStr"/>
    </row>
    <row r="117">
      <c r="A117" s="8" t="inlineStr">
        <is>
          <t>TC-CRM-006</t>
        </is>
      </c>
      <c r="B117" s="8" t="inlineStr">
        <is>
          <t>v0.08.0</t>
        </is>
      </c>
      <c r="C117" s="8" t="inlineStr">
        <is>
          <t>F3 CRM</t>
        </is>
      </c>
      <c r="D117" s="8" t="inlineStr">
        <is>
          <t>ST-026</t>
        </is>
      </c>
      <c r="E117" s="20" t="inlineStr">
        <is>
          <t>Positive</t>
        </is>
      </c>
      <c r="F117" s="24" t="inlineStr">
        <is>
          <t>P1</t>
        </is>
      </c>
      <c r="G117" s="9" t="inlineStr">
        <is>
          <t>Every write leaves an audit row</t>
        </is>
      </c>
      <c r="H117" s="9" t="inlineStr">
        <is>
          <t>The auditability that makes governed writeback defensible.</t>
        </is>
      </c>
      <c r="I117" s="9" t="inlineStr">
        <is>
          <t>A workspace with completed writebacks.</t>
        </is>
      </c>
      <c r="J117" s="9" t="inlineStr">
        <is>
          <t>1. Call GET /crm/audit.</t>
        </is>
      </c>
      <c r="K117" s="9" t="inlineStr">
        <is>
          <t>Rows exist for queued and written (or failed) with timestamps and job ids, in order. The trail survives a restart.</t>
        </is>
      </c>
      <c r="L117" s="9" t="inlineStr">
        <is>
          <t>crm.test.ts audit; storeContract.test.ts CrmStore</t>
        </is>
      </c>
      <c r="M117" s="19" t="inlineStr"/>
      <c r="N117" s="22" t="inlineStr">
        <is>
          <t>Not run</t>
        </is>
      </c>
      <c r="O117" s="22" t="inlineStr"/>
      <c r="P117" s="22" t="inlineStr"/>
      <c r="Q117" s="22" t="inlineStr"/>
    </row>
    <row r="118">
      <c r="A118" s="8" t="inlineStr">
        <is>
          <t>TC-CRM-007</t>
        </is>
      </c>
      <c r="B118" s="8" t="inlineStr">
        <is>
          <t>v0.24.0</t>
        </is>
      </c>
      <c r="C118" s="8" t="inlineStr">
        <is>
          <t>F3 CRM</t>
        </is>
      </c>
      <c r="D118" s="8" t="inlineStr">
        <is>
          <t>Handover #18b</t>
        </is>
      </c>
      <c r="E118" s="20" t="inlineStr">
        <is>
          <t>Positive</t>
        </is>
      </c>
      <c r="F118" s="21" t="inlineStr">
        <is>
          <t>P0</t>
        </is>
      </c>
      <c r="G118" s="9" t="inlineStr">
        <is>
          <t>Queued writebacks survive a restart</t>
        </is>
      </c>
      <c r="H118" s="9" t="inlineStr">
        <is>
          <t>The queue is work, not history — losing it loses writes a customer believes are in flight.</t>
        </is>
      </c>
      <c r="I118" s="9" t="inlineStr">
        <is>
          <t>A workspace with a queued, undrained job.</t>
        </is>
      </c>
      <c r="J118" s="9" t="inlineStr">
        <is>
          <t>1. Enqueue a writeback and do not drain.
2. Restart the process.
3. Read GET /crm/jobs and then drain.</t>
        </is>
      </c>
      <c r="K118" s="9" t="inlineStr">
        <is>
          <t>The job is still queued with its fields intact and drains successfully. Nothing was lost and nothing was duplicated.</t>
        </is>
      </c>
      <c r="L118" s="9" t="inlineStr">
        <is>
          <t>storeContract.test.ts CrmStore contract</t>
        </is>
      </c>
      <c r="M118" s="19" t="inlineStr"/>
      <c r="N118" s="22" t="inlineStr">
        <is>
          <t>Not run</t>
        </is>
      </c>
      <c r="O118" s="22" t="inlineStr"/>
      <c r="P118" s="22" t="inlineStr"/>
      <c r="Q118" s="22" t="inlineStr"/>
    </row>
    <row r="119">
      <c r="A119" s="8" t="inlineStr">
        <is>
          <t>TC-CRM-008</t>
        </is>
      </c>
      <c r="B119" s="8" t="inlineStr">
        <is>
          <t>v0.34.0</t>
        </is>
      </c>
      <c r="C119" s="8" t="inlineStr">
        <is>
          <t>F3 CRM</t>
        </is>
      </c>
      <c r="D119" s="8" t="inlineStr">
        <is>
          <t>SR-02</t>
        </is>
      </c>
      <c r="E119" s="23" t="inlineStr">
        <is>
          <t>Negative</t>
        </is>
      </c>
      <c r="F119" s="24" t="inlineStr">
        <is>
          <t>P1</t>
        </is>
      </c>
      <c r="G119" s="9" t="inlineStr">
        <is>
          <t>Two simultaneous enqueues do not collide on a job id</t>
        </is>
      </c>
      <c r="H119" s="9" t="inlineStr">
        <is>
          <t>The COUNT(*)+1 defect: two instances produced the same id and one job silently replaced the other.</t>
        </is>
      </c>
      <c r="I119" s="9" t="inlineStr">
        <is>
          <t>Two instances against one database.</t>
        </is>
      </c>
      <c r="J119" s="9" t="inlineStr">
        <is>
          <t>1. Enqueue a writeback on each instance at the same moment.
2. List the jobs.</t>
        </is>
      </c>
      <c r="K119" s="9" t="inlineStr">
        <is>
          <t>Two distinct jobs exist with distinct ids. Neither overwrote the other.</t>
        </is>
      </c>
      <c r="L119" s="9" t="inlineStr">
        <is>
          <t>storeContract.test.ts createJob allocation</t>
        </is>
      </c>
      <c r="M119" s="19" t="inlineStr"/>
      <c r="N119" s="22" t="inlineStr">
        <is>
          <t>Not run</t>
        </is>
      </c>
      <c r="O119" s="22" t="inlineStr"/>
      <c r="P119" s="22" t="inlineStr"/>
      <c r="Q119" s="22" t="inlineStr"/>
    </row>
    <row r="120">
      <c r="A120" s="8" t="inlineStr">
        <is>
          <t>TC-CRM-009</t>
        </is>
      </c>
      <c r="B120" s="8" t="inlineStr">
        <is>
          <t>v0.45.0</t>
        </is>
      </c>
      <c r="C120" s="8" t="inlineStr">
        <is>
          <t>F3 CRM</t>
        </is>
      </c>
      <c r="D120" s="8" t="inlineStr">
        <is>
          <t>ST-113</t>
        </is>
      </c>
      <c r="E120" s="20" t="inlineStr">
        <is>
          <t>Positive</t>
        </is>
      </c>
      <c r="F120" s="25" t="inlineStr">
        <is>
          <t>P2</t>
        </is>
      </c>
      <c r="G120" s="9" t="inlineStr">
        <is>
          <t>Reading the CRM tab does not drain the queue</t>
        </is>
      </c>
      <c r="H120" s="9" t="inlineStr">
        <is>
          <t>A panel opening must not write.</t>
        </is>
      </c>
      <c r="I120" s="9" t="inlineStr">
        <is>
          <t>A workspace with a queued job.</t>
        </is>
      </c>
      <c r="J120" s="9" t="inlineStr">
        <is>
          <t>1. Open the CRM sync tab.
2. Watch the network tab.
3. Check the job status afterwards.</t>
        </is>
      </c>
      <c r="K120" s="9" t="inlineStr">
        <is>
          <t>Only GET /crm/mappings and GET /crm/jobs are called. The job is still queued — opening a screen did not trigger a write to the customer's CRM.</t>
        </is>
      </c>
      <c r="L120" s="9" t="inlineStr">
        <is>
          <t>panels.test.tsx "loads mappings and the queue without draining"</t>
        </is>
      </c>
      <c r="M120" s="19" t="inlineStr"/>
      <c r="N120" s="22" t="inlineStr">
        <is>
          <t>Not run</t>
        </is>
      </c>
      <c r="O120" s="22" t="inlineStr"/>
      <c r="P120" s="22" t="inlineStr"/>
      <c r="Q120" s="22" t="inlineStr"/>
    </row>
    <row r="121">
      <c r="A121" s="8" t="inlineStr">
        <is>
          <t>TC-CRM-010</t>
        </is>
      </c>
      <c r="B121" s="8" t="inlineStr">
        <is>
          <t>v0.08.0</t>
        </is>
      </c>
      <c r="C121" s="8" t="inlineStr">
        <is>
          <t>F3 CRM</t>
        </is>
      </c>
      <c r="D121" s="8" t="inlineStr">
        <is>
          <t>ST-021</t>
        </is>
      </c>
      <c r="E121" s="23" t="inlineStr">
        <is>
          <t>Negative</t>
        </is>
      </c>
      <c r="F121" s="25" t="inlineStr">
        <is>
          <t>P2</t>
        </is>
      </c>
      <c r="G121" s="9" t="inlineStr">
        <is>
          <t>An unknown CRM target is refused</t>
        </is>
      </c>
      <c r="H121" s="9" t="inlineStr">
        <is>
          <t>Input validation on connect and writeback.</t>
        </is>
      </c>
      <c r="I121" s="9" t="inlineStr">
        <is>
          <t>An admin session.</t>
        </is>
      </c>
      <c r="J121" s="9" t="inlineStr">
        <is>
          <t>1. POST /crm/connect with target "salesfarce".
2. Enqueue a writeback to a target with no adapter registered.</t>
        </is>
      </c>
      <c r="K121" s="9" t="inlineStr">
        <is>
          <t>Connect returns 422 unknown_target. The writeback returns 404 naming the missing adapter rather than failing silently.</t>
        </is>
      </c>
      <c r="L121" s="9" t="inlineStr">
        <is>
          <t>crm.test.ts UnknownTargetError</t>
        </is>
      </c>
      <c r="M121" s="19" t="inlineStr"/>
      <c r="N121" s="22" t="inlineStr">
        <is>
          <t>Not run</t>
        </is>
      </c>
      <c r="O121" s="22" t="inlineStr"/>
      <c r="P121" s="22" t="inlineStr"/>
      <c r="Q121" s="22" t="inlineStr"/>
    </row>
    <row r="122">
      <c r="A122" s="8" t="inlineStr">
        <is>
          <t>TC-CRM-011</t>
        </is>
      </c>
      <c r="B122" s="8" t="inlineStr">
        <is>
          <t>v0.32.0</t>
        </is>
      </c>
      <c r="C122" s="8" t="inlineStr">
        <is>
          <t>F3 CRM</t>
        </is>
      </c>
      <c r="D122" s="8" t="inlineStr">
        <is>
          <t>SR-04</t>
        </is>
      </c>
      <c r="E122" s="20" t="inlineStr">
        <is>
          <t>Positive</t>
        </is>
      </c>
      <c r="F122" s="25" t="inlineStr">
        <is>
          <t>P2</t>
        </is>
      </c>
      <c r="G122" s="9" t="inlineStr">
        <is>
          <t>A connected CRM survives tenant graph eviction</t>
        </is>
      </c>
      <c r="H122" s="9" t="inlineStr">
        <is>
          <t>LRU eviction used to silently unregister adapters, so a busy deployment broke writebacks with no event to explain it.</t>
        </is>
      </c>
      <c r="I122" s="9" t="inlineStr">
        <is>
          <t>Staging with a low tenant cap.</t>
        </is>
      </c>
      <c r="J122" s="9" t="inlineStr">
        <is>
          <t>1. Connect a CRM on workspace A.
2. Drive activity on enough other workspaces to evict A's graph.
3. Enqueue a writeback on A.</t>
        </is>
      </c>
      <c r="K122" s="9" t="inlineStr">
        <is>
          <t>The adapter is re-applied when the graph is rebuilt and the writeback succeeds.</t>
        </is>
      </c>
      <c r="L122" s="9" t="inlineStr">
        <is>
          <t>review.test.ts adapter registry</t>
        </is>
      </c>
      <c r="M122" s="19" t="inlineStr"/>
      <c r="N122" s="22" t="inlineStr">
        <is>
          <t>Not run</t>
        </is>
      </c>
      <c r="O122" s="22" t="inlineStr"/>
      <c r="P122" s="22" t="inlineStr"/>
      <c r="Q122" s="22" t="inlineStr"/>
    </row>
    <row r="123">
      <c r="A123" s="8" t="inlineStr">
        <is>
          <t>TC-CRM-012</t>
        </is>
      </c>
      <c r="B123" s="8" t="inlineStr">
        <is>
          <t>v0.45.0</t>
        </is>
      </c>
      <c r="C123" s="8" t="inlineStr">
        <is>
          <t>F3 CRM</t>
        </is>
      </c>
      <c r="D123" s="8" t="inlineStr">
        <is>
          <t>ST-129</t>
        </is>
      </c>
      <c r="E123" s="23" t="inlineStr">
        <is>
          <t>Negative</t>
        </is>
      </c>
      <c r="F123" s="24" t="inlineStr">
        <is>
          <t>P1</t>
        </is>
      </c>
      <c r="G123" s="9" t="inlineStr">
        <is>
          <t>Live CRM OAuth is absent and the product says so</t>
        </is>
      </c>
      <c r="H123" s="9" t="inlineStr">
        <is>
          <t>Records the honest state for PR-02/LC-6 — this case documents a gap, not a defect.</t>
        </is>
      </c>
      <c r="I123" s="9" t="inlineStr">
        <is>
          <t>Any workspace.</t>
        </is>
      </c>
      <c r="J123" s="9" t="inlineStr">
        <is>
          <t>1. Call POST /crm/connect and read the note field.
2. Check /trust for the CRM subprocessor wording.</t>
        </is>
      </c>
      <c r="K123" s="9" t="inlineStr">
        <is>
          <t>The connect response states that live CRM OAuth is not implemented and that a sandbox adapter has been registered. The trust page lists the CRM as "sandbox adapters only until ST-129". No real CRM has ever received a write.</t>
        </is>
      </c>
      <c r="L123" s="9" t="inlineStr">
        <is>
          <t>claims.test.ts subprocessor wording</t>
        </is>
      </c>
      <c r="M123" s="19" t="inlineStr"/>
      <c r="N123" s="22" t="inlineStr">
        <is>
          <t>Not run</t>
        </is>
      </c>
      <c r="O123" s="22" t="inlineStr"/>
      <c r="P123" s="22" t="inlineStr"/>
      <c r="Q123" s="22" t="inlineStr"/>
    </row>
    <row r="124">
      <c r="A124" s="8" t="inlineStr">
        <is>
          <t>TC-RSK-001</t>
        </is>
      </c>
      <c r="B124" s="8" t="inlineStr">
        <is>
          <t>v0.08.0</t>
        </is>
      </c>
      <c r="C124" s="8" t="inlineStr">
        <is>
          <t>F4 Deal risk</t>
        </is>
      </c>
      <c r="D124" s="8" t="inlineStr">
        <is>
          <t>ST-031</t>
        </is>
      </c>
      <c r="E124" s="20" t="inlineStr">
        <is>
          <t>Positive</t>
        </is>
      </c>
      <c r="F124" s="25" t="inlineStr">
        <is>
          <t>P2</t>
        </is>
      </c>
      <c r="G124" s="9" t="inlineStr">
        <is>
          <t>A competitor mention raises a risk signal with its excerpt</t>
        </is>
      </c>
      <c r="H124" s="9" t="inlineStr">
        <is>
          <t>Signals carry evidence.</t>
        </is>
      </c>
      <c r="I124" s="9" t="inlineStr">
        <is>
          <t>A session.</t>
        </is>
      </c>
      <c r="J124" s="9" t="inlineStr">
        <is>
          <t>1. POST /features/deal-risk/analyse with a line mentioning a named competitor.</t>
        </is>
      </c>
      <c r="K124" s="9" t="inlineStr">
        <is>
          <t>A signal is returned with its type, the verbatim excerpt and the line number, and a score is computed from the weights.</t>
        </is>
      </c>
      <c r="L124" s="9" t="inlineStr">
        <is>
          <t>dealRisk.test.ts</t>
        </is>
      </c>
      <c r="M124" s="19" t="inlineStr"/>
      <c r="N124" s="22" t="inlineStr">
        <is>
          <t>Not run</t>
        </is>
      </c>
      <c r="O124" s="22" t="inlineStr"/>
      <c r="P124" s="22" t="inlineStr"/>
      <c r="Q124" s="22" t="inlineStr"/>
    </row>
    <row r="125">
      <c r="A125" s="8" t="inlineStr">
        <is>
          <t>TC-RSK-002</t>
        </is>
      </c>
      <c r="B125" s="8" t="inlineStr">
        <is>
          <t>v0.08.0</t>
        </is>
      </c>
      <c r="C125" s="8" t="inlineStr">
        <is>
          <t>F4 Deal risk</t>
        </is>
      </c>
      <c r="D125" s="8" t="inlineStr">
        <is>
          <t>ST-035</t>
        </is>
      </c>
      <c r="E125" s="20" t="inlineStr">
        <is>
          <t>Positive</t>
        </is>
      </c>
      <c r="F125" s="25" t="inlineStr">
        <is>
          <t>P3</t>
        </is>
      </c>
      <c r="G125" s="9" t="inlineStr">
        <is>
          <t>The score bands into healthy, watch and high risk</t>
        </is>
      </c>
      <c r="H125" s="9" t="inlineStr">
        <is>
          <t>The banding the panel displays.</t>
        </is>
      </c>
      <c r="I125" s="9" t="inlineStr">
        <is>
          <t>Transcripts producing low, medium and high scores.</t>
        </is>
      </c>
      <c r="J125" s="9" t="inlineStr">
        <is>
          <t>1. Analyse three transcripts and read the score and band each time.</t>
        </is>
      </c>
      <c r="K125" s="9" t="inlineStr">
        <is>
          <t>Below 40 reads Healthy, 40 to 69 Watch, 70 and above High risk.</t>
        </is>
      </c>
      <c r="L125" s="9" t="inlineStr">
        <is>
          <t>panels.test.tsx band()</t>
        </is>
      </c>
      <c r="M125" s="19" t="inlineStr"/>
      <c r="N125" s="22" t="inlineStr">
        <is>
          <t>Not run</t>
        </is>
      </c>
      <c r="O125" s="22" t="inlineStr"/>
      <c r="P125" s="22" t="inlineStr"/>
      <c r="Q125" s="22" t="inlineStr"/>
    </row>
    <row r="126">
      <c r="A126" s="8" t="inlineStr">
        <is>
          <t>TC-RSK-003</t>
        </is>
      </c>
      <c r="B126" s="8" t="inlineStr">
        <is>
          <t>v0.45.0</t>
        </is>
      </c>
      <c r="C126" s="8" t="inlineStr">
        <is>
          <t>F4 Deal risk</t>
        </is>
      </c>
      <c r="D126" s="8" t="inlineStr">
        <is>
          <t>PR-11</t>
        </is>
      </c>
      <c r="E126" s="23" t="inlineStr">
        <is>
          <t>Negative</t>
        </is>
      </c>
      <c r="F126" s="24" t="inlineStr">
        <is>
          <t>P1</t>
        </is>
      </c>
      <c r="G126" s="9" t="inlineStr">
        <is>
          <t>Risk detection does not fire on a Hindi or Tamil objection</t>
        </is>
      </c>
      <c r="H126" s="9" t="inlineStr">
        <is>
          <t>Documents the PR-11 gap: thirteen hardcoded English keywords cannot work on the languages the product is positioned for. EXPECTED TO FIND NOTHING.</t>
        </is>
      </c>
      <c r="I126" s="9" t="inlineStr">
        <is>
          <t>A session.</t>
        </is>
      </c>
      <c r="J126" s="9" t="inlineStr">
        <is>
          <t>1. Analyse a transcript containing a pricing objection expressed in Hindi or Tamil.
2. Analyse the same objection in English.</t>
        </is>
      </c>
      <c r="K126" s="9" t="inlineStr">
        <is>
          <t>The Indic transcript produces no signals; the English one does. This is the current honest limit and is evidence for decision PD-04, not a defect to raise.</t>
        </is>
      </c>
      <c r="L126" s="9" t="inlineStr">
        <is>
          <t>— (gap documented, not pinned)</t>
        </is>
      </c>
      <c r="M126" s="19" t="inlineStr"/>
      <c r="N126" s="22" t="inlineStr">
        <is>
          <t>Not run</t>
        </is>
      </c>
      <c r="O126" s="22" t="inlineStr"/>
      <c r="P126" s="22" t="inlineStr"/>
      <c r="Q126" s="22" t="inlineStr"/>
    </row>
    <row r="127">
      <c r="A127" s="8" t="inlineStr">
        <is>
          <t>TC-RSK-004</t>
        </is>
      </c>
      <c r="B127" s="8" t="inlineStr">
        <is>
          <t>v0.45.0</t>
        </is>
      </c>
      <c r="C127" s="8" t="inlineStr">
        <is>
          <t>F4 Deal risk</t>
        </is>
      </c>
      <c r="D127" s="8" t="inlineStr">
        <is>
          <t>PR-11</t>
        </is>
      </c>
      <c r="E127" s="23" t="inlineStr">
        <is>
          <t>Negative</t>
        </is>
      </c>
      <c r="F127" s="25" t="inlineStr">
        <is>
          <t>P2</t>
        </is>
      </c>
      <c r="G127" s="9" t="inlineStr">
        <is>
          <t>Substring matching produces a false positive</t>
        </is>
      </c>
      <c r="H127" s="9" t="inlineStr">
        <is>
          <t>Documents the second half of PR-11: no confidence score and no context.</t>
        </is>
      </c>
      <c r="I127" s="9" t="inlineStr">
        <is>
          <t>A session.</t>
        </is>
      </c>
      <c r="J127" s="9" t="inlineStr">
        <is>
          <t>1. Analyse the line "our onboarding is cheaper to run than theirs" — a positive statement containing a pricing keyword.</t>
        </is>
      </c>
      <c r="K127" s="9" t="inlineStr">
        <is>
          <t>A pricing signal is raised even though the sentence is favourable. There is no confidence value to down-weight it. Evidence for PD-04.</t>
        </is>
      </c>
      <c r="L127" s="9" t="inlineStr">
        <is>
          <t>— (gap documented, not pinned)</t>
        </is>
      </c>
      <c r="M127" s="19" t="inlineStr"/>
      <c r="N127" s="22" t="inlineStr">
        <is>
          <t>Not run</t>
        </is>
      </c>
      <c r="O127" s="22" t="inlineStr"/>
      <c r="P127" s="22" t="inlineStr"/>
      <c r="Q127" s="22" t="inlineStr"/>
    </row>
    <row r="128">
      <c r="A128" s="8" t="inlineStr">
        <is>
          <t>TC-RSK-005</t>
        </is>
      </c>
      <c r="B128" s="8" t="inlineStr">
        <is>
          <t>v0.08.0</t>
        </is>
      </c>
      <c r="C128" s="8" t="inlineStr">
        <is>
          <t>F4 Deal risk</t>
        </is>
      </c>
      <c r="D128" s="8" t="inlineStr">
        <is>
          <t>ST-033</t>
        </is>
      </c>
      <c r="E128" s="20" t="inlineStr">
        <is>
          <t>Positive</t>
        </is>
      </c>
      <c r="F128" s="25" t="inlineStr">
        <is>
          <t>P3</t>
        </is>
      </c>
      <c r="G128" s="9" t="inlineStr">
        <is>
          <t>Sensitivity is stored per workspace</t>
        </is>
      </c>
      <c r="H128" s="9" t="inlineStr">
        <is>
          <t>A per-account setting, not a global one.</t>
        </is>
      </c>
      <c r="I128" s="9" t="inlineStr">
        <is>
          <t>Two workspaces.</t>
        </is>
      </c>
      <c r="J128" s="9" t="inlineStr">
        <is>
          <t>1. Set sensitivity high on workspace A via the Deal risk tab.
2. Read the setting on workspace B.</t>
        </is>
      </c>
      <c r="K128" s="9" t="inlineStr">
        <is>
          <t>B is unaffected and retains its own value. A's setting persists across a restart.</t>
        </is>
      </c>
      <c r="L128" s="9" t="inlineStr">
        <is>
          <t>panels.test.tsx sensitivity; features.test.ts</t>
        </is>
      </c>
      <c r="M128" s="19" t="inlineStr"/>
      <c r="N128" s="22" t="inlineStr">
        <is>
          <t>Not run</t>
        </is>
      </c>
      <c r="O128" s="22" t="inlineStr"/>
      <c r="P128" s="22" t="inlineStr"/>
      <c r="Q128" s="22" t="inlineStr"/>
    </row>
    <row r="129">
      <c r="A129" s="8" t="inlineStr">
        <is>
          <t>TC-IND-001</t>
        </is>
      </c>
      <c r="B129" s="8" t="inlineStr">
        <is>
          <t>v0.08.0</t>
        </is>
      </c>
      <c r="C129" s="8" t="inlineStr">
        <is>
          <t>F5 Indic</t>
        </is>
      </c>
      <c r="D129" s="8" t="inlineStr">
        <is>
          <t>ST-041</t>
        </is>
      </c>
      <c r="E129" s="20" t="inlineStr">
        <is>
          <t>Positive</t>
        </is>
      </c>
      <c r="F129" s="25" t="inlineStr">
        <is>
          <t>P2</t>
        </is>
      </c>
      <c r="G129" s="9" t="inlineStr">
        <is>
          <t>Devanagari and Tamil script are detected and segmented</t>
        </is>
      </c>
      <c r="H129" s="9" t="inlineStr">
        <is>
          <t>What the Indic pack actually does today.</t>
        </is>
      </c>
      <c r="I129" s="9" t="inlineStr">
        <is>
          <t>A session with the languages enabled.</t>
        </is>
      </c>
      <c r="J129" s="9" t="inlineStr">
        <is>
          <t>1. POST /features/indic/segment with a Hindi line.
2. Repeat with Tamil.</t>
        </is>
      </c>
      <c r="K129" s="9" t="inlineStr">
        <is>
          <t>Each returns the detected language and the whitespace tokens. Enabled languages are respected.</t>
        </is>
      </c>
      <c r="L129" s="9" t="inlineStr">
        <is>
          <t>indic.test.ts</t>
        </is>
      </c>
      <c r="M129" s="19" t="inlineStr"/>
      <c r="N129" s="22" t="inlineStr">
        <is>
          <t>Not run</t>
        </is>
      </c>
      <c r="O129" s="22" t="inlineStr"/>
      <c r="P129" s="22" t="inlineStr"/>
      <c r="Q129" s="22" t="inlineStr"/>
    </row>
    <row r="130">
      <c r="A130" s="8" t="inlineStr">
        <is>
          <t>TC-IND-002</t>
        </is>
      </c>
      <c r="B130" s="8" t="inlineStr">
        <is>
          <t>v0.08.0</t>
        </is>
      </c>
      <c r="C130" s="8" t="inlineStr">
        <is>
          <t>F5 Indic</t>
        </is>
      </c>
      <c r="D130" s="8" t="inlineStr">
        <is>
          <t>ST-041</t>
        </is>
      </c>
      <c r="E130" s="23" t="inlineStr">
        <is>
          <t>Negative</t>
        </is>
      </c>
      <c r="F130" s="25" t="inlineStr">
        <is>
          <t>P2</t>
        </is>
      </c>
      <c r="G130" s="9" t="inlineStr">
        <is>
          <t>A language outside the enabled pack is refused</t>
        </is>
      </c>
      <c r="H130" s="9" t="inlineStr">
        <is>
          <t>Enablement is a per-workspace setting.</t>
        </is>
      </c>
      <c r="I130" s="9" t="inlineStr">
        <is>
          <t>A workspace with only Hindi enabled.</t>
        </is>
      </c>
      <c r="J130" s="9" t="inlineStr">
        <is>
          <t>1. Segment a Tamil line.</t>
        </is>
      </c>
      <c r="K130" s="9" t="inlineStr">
        <is>
          <t>422 with a retry hint to enable the language pack in settings.</t>
        </is>
      </c>
      <c r="L130" s="9" t="inlineStr">
        <is>
          <t>indic.test.ts LangNotEnabledError</t>
        </is>
      </c>
      <c r="M130" s="19" t="inlineStr"/>
      <c r="N130" s="22" t="inlineStr">
        <is>
          <t>Not run</t>
        </is>
      </c>
      <c r="O130" s="22" t="inlineStr"/>
      <c r="P130" s="22" t="inlineStr"/>
      <c r="Q130" s="22" t="inlineStr"/>
    </row>
    <row r="131">
      <c r="A131" s="8" t="inlineStr">
        <is>
          <t>TC-IND-003</t>
        </is>
      </c>
      <c r="B131" s="8" t="inlineStr">
        <is>
          <t>v0.08.0</t>
        </is>
      </c>
      <c r="C131" s="8" t="inlineStr">
        <is>
          <t>F5 Indic</t>
        </is>
      </c>
      <c r="D131" s="8" t="inlineStr">
        <is>
          <t>ST-046</t>
        </is>
      </c>
      <c r="E131" s="20" t="inlineStr">
        <is>
          <t>Positive</t>
        </is>
      </c>
      <c r="F131" s="25" t="inlineStr">
        <is>
          <t>P3</t>
        </is>
      </c>
      <c r="G131" s="9" t="inlineStr">
        <is>
          <t>The WER calculator returns a correct word error rate</t>
        </is>
      </c>
      <c r="H131" s="9" t="inlineStr">
        <is>
          <t>The measurement harness.</t>
        </is>
      </c>
      <c r="I131" s="9" t="inlineStr">
        <is>
          <t>A session.</t>
        </is>
      </c>
      <c r="J131" s="9" t="inlineStr">
        <is>
          <t>1. POST /features/indic/wer with a reference and a hypothesis differing by one word in ten.</t>
        </is>
      </c>
      <c r="K131" s="9" t="inlineStr">
        <is>
          <t>A WER of approximately 0.1 is returned. Identical strings return 0.</t>
        </is>
      </c>
      <c r="L131" s="9" t="inlineStr">
        <is>
          <t>indic.test.ts wer</t>
        </is>
      </c>
      <c r="M131" s="19" t="inlineStr"/>
      <c r="N131" s="22" t="inlineStr">
        <is>
          <t>Not run</t>
        </is>
      </c>
      <c r="O131" s="22" t="inlineStr"/>
      <c r="P131" s="22" t="inlineStr"/>
      <c r="Q131" s="22" t="inlineStr"/>
    </row>
    <row r="132">
      <c r="A132" s="8" t="inlineStr">
        <is>
          <t>TC-IND-004</t>
        </is>
      </c>
      <c r="B132" s="8" t="inlineStr">
        <is>
          <t>v0.45.0</t>
        </is>
      </c>
      <c r="C132" s="8" t="inlineStr">
        <is>
          <t>F5 Indic</t>
        </is>
      </c>
      <c r="D132" s="8" t="inlineStr">
        <is>
          <t>PR-02</t>
        </is>
      </c>
      <c r="E132" s="23" t="inlineStr">
        <is>
          <t>Negative</t>
        </is>
      </c>
      <c r="F132" s="21" t="inlineStr">
        <is>
          <t>P0</t>
        </is>
      </c>
      <c r="G132" s="9" t="inlineStr">
        <is>
          <t>There is no transcription in the product</t>
        </is>
      </c>
      <c r="H132" s="9" t="inlineStr">
        <is>
          <t>Documents the central gap. EXPECTED TO FIND NOTHING — this case exists to make the absence explicit and repeatable.</t>
        </is>
      </c>
      <c r="I132" s="9" t="inlineStr">
        <is>
          <t>Access to the running deployment and the source.</t>
        </is>
      </c>
      <c r="J132" s="9" t="inlineStr">
        <is>
          <t>1. Search the deployed source for any ASR or model integration.
2. Attempt to submit audio to any MeetSync endpoint.
3. Read the listing copy document.</t>
        </is>
      </c>
      <c r="K132" s="9" t="inlineStr">
        <is>
          <t>No endpoint accepts audio. No speech recognition exists. Transcription is Zoom's, in whatever languages Zoom supports. The listing copy claiming "Hindi and Tamil transcription built in" is HELD behind a gated banner and cannot be submitted.</t>
        </is>
      </c>
      <c r="L132" s="9" t="inlineStr">
        <is>
          <t>claims.test.ts listing hold</t>
        </is>
      </c>
      <c r="M132" s="19" t="inlineStr"/>
      <c r="N132" s="22" t="inlineStr">
        <is>
          <t>Not run</t>
        </is>
      </c>
      <c r="O132" s="22" t="inlineStr"/>
      <c r="P132" s="22" t="inlineStr"/>
      <c r="Q132" s="22" t="inlineStr"/>
    </row>
    <row r="133">
      <c r="A133" s="8" t="inlineStr">
        <is>
          <t>TC-IND-005</t>
        </is>
      </c>
      <c r="B133" s="8" t="inlineStr">
        <is>
          <t>v0.45.0</t>
        </is>
      </c>
      <c r="C133" s="8" t="inlineStr">
        <is>
          <t>F5 Indic</t>
        </is>
      </c>
      <c r="D133" s="8" t="inlineStr">
        <is>
          <t>LC-7</t>
        </is>
      </c>
      <c r="E133" s="23" t="inlineStr">
        <is>
          <t>Negative</t>
        </is>
      </c>
      <c r="F133" s="24" t="inlineStr">
        <is>
          <t>P1</t>
        </is>
      </c>
      <c r="G133" s="9" t="inlineStr">
        <is>
          <t>No published WER benchmark exists</t>
        </is>
      </c>
      <c r="H133" s="9" t="inlineStr">
        <is>
          <t>Documents that the ruler has nothing to measure.</t>
        </is>
      </c>
      <c r="I133" s="9" t="inlineStr">
        <is>
          <t>The documentation set.</t>
        </is>
      </c>
      <c r="J133" s="9" t="inlineStr">
        <is>
          <t>1. Look for docs/INDIC_BENCHMARK.md.
2. Check the tracker for LC-7.</t>
        </is>
      </c>
      <c r="K133" s="9" t="inlineStr">
        <is>
          <t>The document does not exist. LC-7 is In progress with the benchmark corpus run owed. ST-127 is Backlog pending PD-02 and a consented corpus.</t>
        </is>
      </c>
      <c r="L133" s="9" t="inlineStr">
        <is>
          <t>— (gap documented in tracker)</t>
        </is>
      </c>
      <c r="M133" s="19" t="inlineStr"/>
      <c r="N133" s="22" t="inlineStr">
        <is>
          <t>Not run</t>
        </is>
      </c>
      <c r="O133" s="22" t="inlineStr"/>
      <c r="P133" s="22" t="inlineStr"/>
      <c r="Q133" s="22" t="inlineStr"/>
    </row>
    <row r="134">
      <c r="A134" s="8" t="inlineStr">
        <is>
          <t>TC-IND-006</t>
        </is>
      </c>
      <c r="B134" s="8" t="inlineStr">
        <is>
          <t>v0.45.0</t>
        </is>
      </c>
      <c r="C134" s="8" t="inlineStr">
        <is>
          <t>F5 Indic</t>
        </is>
      </c>
      <c r="D134" s="8" t="inlineStr">
        <is>
          <t>ST-113</t>
        </is>
      </c>
      <c r="E134" s="20" t="inlineStr">
        <is>
          <t>Positive</t>
        </is>
      </c>
      <c r="F134" s="25" t="inlineStr">
        <is>
          <t>P3</t>
        </is>
      </c>
      <c r="G134" s="9" t="inlineStr">
        <is>
          <t>Language packs are read from and written to the server</t>
        </is>
      </c>
      <c r="H134" s="9" t="inlineStr">
        <is>
          <t>The panel used to hold this in local state.</t>
        </is>
      </c>
      <c r="I134" s="9" t="inlineStr">
        <is>
          <t>The Languages tab.</t>
        </is>
      </c>
      <c r="J134" s="9" t="inlineStr">
        <is>
          <t>1. Enable Hindi in the panel.
2. Reload the panel.
3. Check the feature defaults via the API.</t>
        </is>
      </c>
      <c r="K134" s="9" t="inlineStr">
        <is>
          <t>The selection survives the reload because it was saved as the indic feature's languages default, not held in the browser.</t>
        </is>
      </c>
      <c r="L134" s="9" t="inlineStr">
        <is>
          <t>panels.test.tsx IndicSettings</t>
        </is>
      </c>
      <c r="M134" s="19" t="inlineStr"/>
      <c r="N134" s="22" t="inlineStr">
        <is>
          <t>Not run</t>
        </is>
      </c>
      <c r="O134" s="22" t="inlineStr"/>
      <c r="P134" s="22" t="inlineStr"/>
      <c r="Q134" s="22" t="inlineStr"/>
    </row>
    <row r="135">
      <c r="A135" s="8" t="inlineStr">
        <is>
          <t>TC-BIL-001</t>
        </is>
      </c>
      <c r="B135" s="8" t="inlineStr">
        <is>
          <t>v0.08.0</t>
        </is>
      </c>
      <c r="C135" s="8" t="inlineStr">
        <is>
          <t>Billing</t>
        </is>
      </c>
      <c r="D135" s="8" t="inlineStr">
        <is>
          <t>ST-057</t>
        </is>
      </c>
      <c r="E135" s="20" t="inlineStr">
        <is>
          <t>Positive</t>
        </is>
      </c>
      <c r="F135" s="24" t="inlineStr">
        <is>
          <t>P1</t>
        </is>
      </c>
      <c r="G135" s="9" t="inlineStr">
        <is>
          <t>A trial starts without a card</t>
        </is>
      </c>
      <c r="H135" s="9" t="inlineStr">
        <is>
          <t>Fourteen days, no card.</t>
        </is>
      </c>
      <c r="I135" s="9" t="inlineStr">
        <is>
          <t>An owner session.</t>
        </is>
      </c>
      <c r="J135" s="9" t="inlineStr">
        <is>
          <t>1. POST /billing/&lt;id&gt;/trial with a plan and a seat count.
2. Read GET /billing/&lt;id&gt;/banner.</t>
        </is>
      </c>
      <c r="K135" s="9" t="inlineStr">
        <is>
          <t>The subscription is created with the billing route resolved, and the banner reports the remaining trial days and entitlement "ok".</t>
        </is>
      </c>
      <c r="L135" s="9" t="inlineStr">
        <is>
          <t>billing.test.ts</t>
        </is>
      </c>
      <c r="M135" s="19" t="inlineStr"/>
      <c r="N135" s="22" t="inlineStr">
        <is>
          <t>Not run</t>
        </is>
      </c>
      <c r="O135" s="22" t="inlineStr"/>
      <c r="P135" s="22" t="inlineStr"/>
      <c r="Q135" s="22" t="inlineStr"/>
    </row>
    <row r="136">
      <c r="A136" s="8" t="inlineStr">
        <is>
          <t>TC-BIL-002</t>
        </is>
      </c>
      <c r="B136" s="8" t="inlineStr">
        <is>
          <t>v0.13.0</t>
        </is>
      </c>
      <c r="C136" s="8" t="inlineStr">
        <is>
          <t>Billing</t>
        </is>
      </c>
      <c r="D136" s="8" t="inlineStr">
        <is>
          <t>M-F09</t>
        </is>
      </c>
      <c r="E136" s="23" t="inlineStr">
        <is>
          <t>Negative</t>
        </is>
      </c>
      <c r="F136" s="24" t="inlineStr">
        <is>
          <t>P1</t>
        </is>
      </c>
      <c r="G136" s="9" t="inlineStr">
        <is>
          <t>Invalid seat counts are refused</t>
        </is>
      </c>
      <c r="H136" s="9" t="inlineStr">
        <is>
          <t>Zero, negative and fractional seats all used to pass.</t>
        </is>
      </c>
      <c r="I136" s="9" t="inlineStr">
        <is>
          <t>An owner session.</t>
        </is>
      </c>
      <c r="J136" s="9" t="inlineStr">
        <is>
          <t>1. Start a trial with seats 0.
2. With -5.
3. With 2.5.
4. With more seats than the plan allows.</t>
        </is>
      </c>
      <c r="K136" s="9" t="inlineStr">
        <is>
          <t>The first three return 422 invalid_seats with a retry hint. The fourth returns 422 seat_limit. No subscription is created with a nonsense seat count.</t>
        </is>
      </c>
      <c r="L136" s="9" t="inlineStr">
        <is>
          <t>billing.test.ts assertSeats</t>
        </is>
      </c>
      <c r="M136" s="19" t="inlineStr"/>
      <c r="N136" s="22" t="inlineStr">
        <is>
          <t>Not run</t>
        </is>
      </c>
      <c r="O136" s="22" t="inlineStr"/>
      <c r="P136" s="22" t="inlineStr"/>
      <c r="Q136" s="22" t="inlineStr"/>
    </row>
    <row r="137">
      <c r="A137" s="8" t="inlineStr">
        <is>
          <t>TC-BIL-003</t>
        </is>
      </c>
      <c r="B137" s="8" t="inlineStr">
        <is>
          <t>v0.13.0</t>
        </is>
      </c>
      <c r="C137" s="8" t="inlineStr">
        <is>
          <t>Billing</t>
        </is>
      </c>
      <c r="D137" s="8" t="inlineStr">
        <is>
          <t>M-F01</t>
        </is>
      </c>
      <c r="E137" s="23" t="inlineStr">
        <is>
          <t>Negative</t>
        </is>
      </c>
      <c r="F137" s="21" t="inlineStr">
        <is>
          <t>P0</t>
        </is>
      </c>
      <c r="G137" s="9" t="inlineStr">
        <is>
          <t>A lapsed account cannot write but can still read and export</t>
        </is>
      </c>
      <c r="H137" s="9" t="inlineStr">
        <is>
          <t>Entitlement gates mutations only — a customer must always be able to retrieve their data.</t>
        </is>
      </c>
      <c r="I137" s="9" t="inlineStr">
        <is>
          <t>A workspace whose trial has expired or whose subscription is cancelled.</t>
        </is>
      </c>
      <c r="J137" s="9" t="inlineStr">
        <is>
          <t>1. Attempt a mutating route (add a note, enqueue a writeback, approve a meeting).
2. Attempt a read route (status, insights, review screen).
3. Attempt an export.</t>
        </is>
      </c>
      <c r="K137" s="9" t="inlineStr">
        <is>
          <t>Mutations return 402 write_blocked with the entitlement and a retry hint. Reads and the export succeed.</t>
        </is>
      </c>
      <c r="L137" s="9" t="inlineStr">
        <is>
          <t>app.test.ts "mutating routes stop at an expired trial"</t>
        </is>
      </c>
      <c r="M137" s="19" t="inlineStr"/>
      <c r="N137" s="22" t="inlineStr">
        <is>
          <t>Not run</t>
        </is>
      </c>
      <c r="O137" s="22" t="inlineStr"/>
      <c r="P137" s="22" t="inlineStr"/>
      <c r="Q137" s="22" t="inlineStr"/>
    </row>
    <row r="138">
      <c r="A138" s="8" t="inlineStr">
        <is>
          <t>TC-BIL-004</t>
        </is>
      </c>
      <c r="B138" s="8" t="inlineStr">
        <is>
          <t>v0.08.0</t>
        </is>
      </c>
      <c r="C138" s="8" t="inlineStr">
        <is>
          <t>Billing</t>
        </is>
      </c>
      <c r="D138" s="8" t="inlineStr">
        <is>
          <t>ST-058</t>
        </is>
      </c>
      <c r="E138" s="20" t="inlineStr">
        <is>
          <t>Positive</t>
        </is>
      </c>
      <c r="F138" s="25" t="inlineStr">
        <is>
          <t>P2</t>
        </is>
      </c>
      <c r="G138" s="9" t="inlineStr">
        <is>
          <t>A plan change prorates</t>
        </is>
      </c>
      <c r="H138" s="9" t="inlineStr">
        <is>
          <t>Mid-cycle upgrades and downgrades.</t>
        </is>
      </c>
      <c r="I138" s="9" t="inlineStr">
        <is>
          <t>An owner session with an active subscription.</t>
        </is>
      </c>
      <c r="J138" s="9" t="inlineStr">
        <is>
          <t>1. POST /billing/&lt;id&gt;/plan with a larger plan and a days-remaining value.
2. Read the proration charge.</t>
        </is>
      </c>
      <c r="K138" s="9" t="inlineStr">
        <is>
          <t>The new plan and seat count are returned with a prorated charge computed from the remaining days. A days-remaining value outside the cycle is refused 422.</t>
        </is>
      </c>
      <c r="L138" s="9" t="inlineStr">
        <is>
          <t>billing.test.ts proration</t>
        </is>
      </c>
      <c r="M138" s="19" t="inlineStr"/>
      <c r="N138" s="22" t="inlineStr">
        <is>
          <t>Not run</t>
        </is>
      </c>
      <c r="O138" s="22" t="inlineStr"/>
      <c r="P138" s="22" t="inlineStr"/>
      <c r="Q138" s="22" t="inlineStr"/>
    </row>
    <row r="139">
      <c r="A139" s="8" t="inlineStr">
        <is>
          <t>TC-BIL-005</t>
        </is>
      </c>
      <c r="B139" s="8" t="inlineStr">
        <is>
          <t>v0.08.0</t>
        </is>
      </c>
      <c r="C139" s="8" t="inlineStr">
        <is>
          <t>Billing</t>
        </is>
      </c>
      <c r="D139" s="8" t="inlineStr">
        <is>
          <t>ST-063</t>
        </is>
      </c>
      <c r="E139" s="23" t="inlineStr">
        <is>
          <t>Negative</t>
        </is>
      </c>
      <c r="F139" s="25" t="inlineStr">
        <is>
          <t>P2</t>
        </is>
      </c>
      <c r="G139" s="9" t="inlineStr">
        <is>
          <t>Downgrading below the current seat count is refused</t>
        </is>
      </c>
      <c r="H139" s="9" t="inlineStr">
        <is>
          <t>A downgrade must not silently orphan seats.</t>
        </is>
      </c>
      <c r="I139" s="9" t="inlineStr">
        <is>
          <t>A subscription with more seats than the target plan allows.</t>
        </is>
      </c>
      <c r="J139" s="9" t="inlineStr">
        <is>
          <t>1. Attempt to change to the smaller plan.</t>
        </is>
      </c>
      <c r="K139" s="9" t="inlineStr">
        <is>
          <t>422 seat_limit with a retry hint to reduce seats first.</t>
        </is>
      </c>
      <c r="L139" s="9" t="inlineStr">
        <is>
          <t>billing.test.ts seat limit</t>
        </is>
      </c>
      <c r="M139" s="19" t="inlineStr"/>
      <c r="N139" s="22" t="inlineStr">
        <is>
          <t>Not run</t>
        </is>
      </c>
      <c r="O139" s="22" t="inlineStr"/>
      <c r="P139" s="22" t="inlineStr"/>
      <c r="Q139" s="22" t="inlineStr"/>
    </row>
    <row r="140">
      <c r="A140" s="8" t="inlineStr">
        <is>
          <t>TC-BIL-006</t>
        </is>
      </c>
      <c r="B140" s="8" t="inlineStr">
        <is>
          <t>v0.08.0</t>
        </is>
      </c>
      <c r="C140" s="8" t="inlineStr">
        <is>
          <t>Billing</t>
        </is>
      </c>
      <c r="D140" s="8" t="inlineStr">
        <is>
          <t>ST-063</t>
        </is>
      </c>
      <c r="E140" s="20" t="inlineStr">
        <is>
          <t>Positive</t>
        </is>
      </c>
      <c r="F140" s="25" t="inlineStr">
        <is>
          <t>P3</t>
        </is>
      </c>
      <c r="G140" s="9" t="inlineStr">
        <is>
          <t>Seat usage prompts fire at 80% and 100%</t>
        </is>
      </c>
      <c r="H140" s="9" t="inlineStr">
        <is>
          <t>Warn before the wall.</t>
        </is>
      </c>
      <c r="I140" s="9" t="inlineStr">
        <is>
          <t>A subscription with a known seat limit.</t>
        </is>
      </c>
      <c r="J140" s="9" t="inlineStr">
        <is>
          <t>1. Call GET /billing/&lt;id&gt;/seats?active=&lt;80% of limit&gt;.
2. Repeat at 100%.</t>
        </is>
      </c>
      <c r="K140" s="9" t="inlineStr">
        <is>
          <t>The 80% call returns a warning prompt; the 100% call returns a stronger one. Nothing breaks at the limit.</t>
        </is>
      </c>
      <c r="L140" s="9" t="inlineStr">
        <is>
          <t>billing.test.ts seatUsagePrompt</t>
        </is>
      </c>
      <c r="M140" s="19" t="inlineStr"/>
      <c r="N140" s="22" t="inlineStr">
        <is>
          <t>Not run</t>
        </is>
      </c>
      <c r="O140" s="22" t="inlineStr"/>
      <c r="P140" s="22" t="inlineStr"/>
      <c r="Q140" s="22" t="inlineStr"/>
    </row>
    <row r="141">
      <c r="A141" s="8" t="inlineStr">
        <is>
          <t>TC-BIL-007</t>
        </is>
      </c>
      <c r="B141" s="8" t="inlineStr">
        <is>
          <t>v0.45.0</t>
        </is>
      </c>
      <c r="C141" s="8" t="inlineStr">
        <is>
          <t>Billing</t>
        </is>
      </c>
      <c r="D141" s="8" t="inlineStr">
        <is>
          <t>PR-12</t>
        </is>
      </c>
      <c r="E141" s="23" t="inlineStr">
        <is>
          <t>Negative</t>
        </is>
      </c>
      <c r="F141" s="24" t="inlineStr">
        <is>
          <t>P1</t>
        </is>
      </c>
      <c r="G141" s="9" t="inlineStr">
        <is>
          <t>Seats are self-declared, not measured</t>
        </is>
      </c>
      <c r="H141" s="9" t="inlineStr">
        <is>
          <t>Documents the PR-12 gap so the tracker claim stays honest.</t>
        </is>
      </c>
      <c r="I141" s="9" t="inlineStr">
        <is>
          <t>An owner session.</t>
        </is>
      </c>
      <c r="J141" s="9" t="inlineStr">
        <is>
          <t>1. Start a trial declaring 50 seats with only one real user.
2. Read the subscription and the revenue metrics.</t>
        </is>
      </c>
      <c r="K141" s="9" t="inlineStr">
        <is>
          <t>The declared count is accepted with no verification against actual distinct active users. This is the current state; ST-139 is the fix and the Gate_Checklist no longer claims per-seat detection is live.</t>
        </is>
      </c>
      <c r="L141" s="9" t="inlineStr">
        <is>
          <t>— (gap documented in tracker)</t>
        </is>
      </c>
      <c r="M141" s="19" t="inlineStr"/>
      <c r="N141" s="22" t="inlineStr">
        <is>
          <t>Not run</t>
        </is>
      </c>
      <c r="O141" s="22" t="inlineStr"/>
      <c r="P141" s="22" t="inlineStr"/>
      <c r="Q141" s="22" t="inlineStr"/>
    </row>
    <row r="142">
      <c r="A142" s="8" t="inlineStr">
        <is>
          <t>TC-BIL-008</t>
        </is>
      </c>
      <c r="B142" s="8" t="inlineStr">
        <is>
          <t>v0.08.0</t>
        </is>
      </c>
      <c r="C142" s="8" t="inlineStr">
        <is>
          <t>Billing</t>
        </is>
      </c>
      <c r="D142" s="8" t="inlineStr">
        <is>
          <t>ST-061</t>
        </is>
      </c>
      <c r="E142" s="20" t="inlineStr">
        <is>
          <t>Positive</t>
        </is>
      </c>
      <c r="F142" s="25" t="inlineStr">
        <is>
          <t>P2</t>
        </is>
      </c>
      <c r="G142" s="9" t="inlineStr">
        <is>
          <t>Cancellation requires a reason and offers a save</t>
        </is>
      </c>
      <c r="H142" s="9" t="inlineStr">
        <is>
          <t>Exit survey and save-offer.</t>
        </is>
      </c>
      <c r="I142" s="9" t="inlineStr">
        <is>
          <t>An owner session with an active subscription.</t>
        </is>
      </c>
      <c r="J142" s="9" t="inlineStr">
        <is>
          <t>1. Attempt to cancel with no reason.
2. Cancel with a reason and no save-offer acceptance.
3. On another account, cancel accepting the save-offer.</t>
        </is>
      </c>
      <c r="K142" s="9" t="inlineStr">
        <is>
          <t>Step 1 returns 422 requiring the exit survey reason. Step 2 cancels. Step 3 downgrades to the save-offer plan instead of cancelling, or returns 409 if the seat count exceeds that plan.</t>
        </is>
      </c>
      <c r="L142" s="9" t="inlineStr">
        <is>
          <t>billing.test.ts cancel block</t>
        </is>
      </c>
      <c r="M142" s="19" t="inlineStr"/>
      <c r="N142" s="22" t="inlineStr">
        <is>
          <t>Not run</t>
        </is>
      </c>
      <c r="O142" s="22" t="inlineStr"/>
      <c r="P142" s="22" t="inlineStr"/>
      <c r="Q142" s="22" t="inlineStr"/>
    </row>
    <row r="143">
      <c r="A143" s="8" t="inlineStr">
        <is>
          <t>TC-BIL-009</t>
        </is>
      </c>
      <c r="B143" s="8" t="inlineStr">
        <is>
          <t>v0.17.0</t>
        </is>
      </c>
      <c r="C143" s="8" t="inlineStr">
        <is>
          <t>Billing</t>
        </is>
      </c>
      <c r="D143" s="8" t="inlineStr">
        <is>
          <t>OBS-M3</t>
        </is>
      </c>
      <c r="E143" s="20" t="inlineStr">
        <is>
          <t>Positive</t>
        </is>
      </c>
      <c r="F143" s="21" t="inlineStr">
        <is>
          <t>P0</t>
        </is>
      </c>
      <c r="G143" s="9" t="inlineStr">
        <is>
          <t>Subscription state survives a restart</t>
        </is>
      </c>
      <c r="H143" s="9" t="inlineStr">
        <is>
          <t>A restart used to revert every account to no_subscription, un-gating every paid feature.</t>
        </is>
      </c>
      <c r="I143" s="9" t="inlineStr">
        <is>
          <t>An account on a paid or trialling subscription.</t>
        </is>
      </c>
      <c r="J143" s="9" t="inlineStr">
        <is>
          <t>1. Note the entitlement.
2. Restart the process.
3. Re-read the entitlement and attempt a write.</t>
        </is>
      </c>
      <c r="K143" s="9" t="inlineStr">
        <is>
          <t>The entitlement is unchanged and the write behaves as it did before the restart.</t>
        </is>
      </c>
      <c r="L143" s="9" t="inlineStr">
        <is>
          <t>billing.test.ts durable store; storeContract.test.ts</t>
        </is>
      </c>
      <c r="M143" s="19" t="inlineStr"/>
      <c r="N143" s="22" t="inlineStr">
        <is>
          <t>Not run</t>
        </is>
      </c>
      <c r="O143" s="22" t="inlineStr"/>
      <c r="P143" s="22" t="inlineStr"/>
      <c r="Q143" s="22" t="inlineStr"/>
    </row>
    <row r="144">
      <c r="A144" s="8" t="inlineStr">
        <is>
          <t>TC-BIL-010</t>
        </is>
      </c>
      <c r="B144" s="8" t="inlineStr">
        <is>
          <t>v0.45.0</t>
        </is>
      </c>
      <c r="C144" s="8" t="inlineStr">
        <is>
          <t>Billing</t>
        </is>
      </c>
      <c r="D144" s="8" t="inlineStr">
        <is>
          <t>ST-141 / PR-14</t>
        </is>
      </c>
      <c r="E144" s="20" t="inlineStr">
        <is>
          <t>Positive</t>
        </is>
      </c>
      <c r="F144" s="25" t="inlineStr">
        <is>
          <t>P2</t>
        </is>
      </c>
      <c r="G144" s="9" t="inlineStr">
        <is>
          <t>Trial conversion is cohorted by start week</t>
        </is>
      </c>
      <c r="H144" s="9" t="inlineStr">
        <is>
          <t>The PR-14 fix: trials used to count every subscription ever seen.</t>
        </is>
      </c>
      <c r="I144" s="9" t="inlineStr">
        <is>
          <t>Operator token; subscriptions started in different weeks.</t>
        </is>
      </c>
      <c r="J144" s="9" t="inlineStr">
        <is>
          <t>1. Call GET /analytics/revenue with a window.
2. Read trials, converted, conversionPct and the cohorts array.</t>
        </is>
      </c>
      <c r="K144" s="9" t="inlineStr">
        <is>
          <t>trials counts only those started inside the window; converted counts members of that same cohort that paid. Cohorts are listed by ISO Monday with their own conversion percentage. The number can rise as well as fall.</t>
        </is>
      </c>
      <c r="L144" s="9" t="inlineStr">
        <is>
          <t>review.test.ts "cohorts are ordered by week"</t>
        </is>
      </c>
      <c r="M144" s="19" t="inlineStr"/>
      <c r="N144" s="22" t="inlineStr">
        <is>
          <t>Not run</t>
        </is>
      </c>
      <c r="O144" s="22" t="inlineStr"/>
      <c r="P144" s="22" t="inlineStr"/>
      <c r="Q144" s="22" t="inlineStr"/>
    </row>
    <row r="145">
      <c r="A145" s="8" t="inlineStr">
        <is>
          <t>TC-BIL-011</t>
        </is>
      </c>
      <c r="B145" s="8" t="inlineStr">
        <is>
          <t>v0.45.0</t>
        </is>
      </c>
      <c r="C145" s="8" t="inlineStr">
        <is>
          <t>Billing</t>
        </is>
      </c>
      <c r="D145" s="8" t="inlineStr">
        <is>
          <t>PR-05</t>
        </is>
      </c>
      <c r="E145" s="23" t="inlineStr">
        <is>
          <t>Negative</t>
        </is>
      </c>
      <c r="F145" s="21" t="inlineStr">
        <is>
          <t>P0</t>
        </is>
      </c>
      <c r="G145" s="9" t="inlineStr">
        <is>
          <t>The pricing page and the billing code disagree</t>
        </is>
      </c>
      <c r="H145" s="9" t="inlineStr">
        <is>
          <t>Documents PR-05 for the record until PD-01 resolves it. EXPECTED TO DISAGREE.</t>
        </is>
      </c>
      <c r="I145" s="9" t="inlineStr">
        <is>
          <t>Access to /pricing and docs/PRICING_PAGE.md.</t>
        </is>
      </c>
      <c r="J145" s="9" t="inlineStr">
        <is>
          <t>1. Read the Team tier price from /pricing and note that billing computes MRR as price x seats.
2. Read the same tier on the pricing page, which reads as a flat monthly price.
3. Compute both for a 50-seat team.</t>
        </is>
      </c>
      <c r="K145" s="9" t="inlineStr">
        <is>
          <t>The two readings differ by 50x. The page carries a DECISION PENDING banner that the claim gate enforces, so neither can be published by accident. Raise as evidence for PD-01, not as a code defect.</t>
        </is>
      </c>
      <c r="L145" s="9" t="inlineStr">
        <is>
          <t>claims.test.ts pricing banner</t>
        </is>
      </c>
      <c r="M145" s="19" t="inlineStr"/>
      <c r="N145" s="22" t="inlineStr">
        <is>
          <t>Not run</t>
        </is>
      </c>
      <c r="O145" s="22" t="inlineStr"/>
      <c r="P145" s="22" t="inlineStr"/>
      <c r="Q145" s="22" t="inlineStr"/>
    </row>
    <row r="146">
      <c r="A146" s="8" t="inlineStr">
        <is>
          <t>TC-BIL-012</t>
        </is>
      </c>
      <c r="B146" s="8" t="inlineStr">
        <is>
          <t>v0.45.0</t>
        </is>
      </c>
      <c r="C146" s="8" t="inlineStr">
        <is>
          <t>Billing</t>
        </is>
      </c>
      <c r="D146" s="8" t="inlineStr">
        <is>
          <t>ST-137</t>
        </is>
      </c>
      <c r="E146" s="23" t="inlineStr">
        <is>
          <t>Negative</t>
        </is>
      </c>
      <c r="F146" s="24" t="inlineStr">
        <is>
          <t>P1</t>
        </is>
      </c>
      <c r="G146" s="9" t="inlineStr">
        <is>
          <t>No money can actually move</t>
        </is>
      </c>
      <c r="H146" s="9" t="inlineStr">
        <is>
          <t>Documents the commercial gap.</t>
        </is>
      </c>
      <c r="I146" s="9" t="inlineStr">
        <is>
          <t>A workspace on a trial.</t>
        </is>
      </c>
      <c r="J146" s="9" t="inlineStr">
        <is>
          <t>1. Look for any payment method entry point in the panel or the API.
2. Attempt to convert a trial to paid.</t>
        </is>
      </c>
      <c r="K146" s="9" t="inlineStr">
        <is>
          <t>There is no payment processor integration. markPaid and paymentFailedTick are deliberately unreachable and carry reasons in the reachability allowlist. A test customer cannot be charged. ST-137 is the fix, after PD-01.</t>
        </is>
      </c>
      <c r="L146" s="9" t="inlineStr">
        <is>
          <t>reachability-allowlist.json entries</t>
        </is>
      </c>
      <c r="M146" s="19" t="inlineStr"/>
      <c r="N146" s="22" t="inlineStr">
        <is>
          <t>Not run</t>
        </is>
      </c>
      <c r="O146" s="22" t="inlineStr"/>
      <c r="P146" s="22" t="inlineStr"/>
      <c r="Q146" s="22" t="inlineStr"/>
    </row>
    <row r="147">
      <c r="A147" s="8" t="inlineStr">
        <is>
          <t>TC-PUB-001</t>
        </is>
      </c>
      <c r="B147" s="8" t="inlineStr">
        <is>
          <t>v0.10.0</t>
        </is>
      </c>
      <c r="C147" s="8" t="inlineStr">
        <is>
          <t>Public surfaces</t>
        </is>
      </c>
      <c r="D147" s="8" t="inlineStr">
        <is>
          <t>ST-084</t>
        </is>
      </c>
      <c r="E147" s="20" t="inlineStr">
        <is>
          <t>Positive</t>
        </is>
      </c>
      <c r="F147" s="25" t="inlineStr">
        <is>
          <t>P2</t>
        </is>
      </c>
      <c r="G147" s="9" t="inlineStr">
        <is>
          <t>The status page is public and reports component health</t>
        </is>
      </c>
      <c r="H147" s="9" t="inlineStr">
        <is>
          <t>A status page behind authentication is not a status page.</t>
        </is>
      </c>
      <c r="I147" s="9" t="inlineStr">
        <is>
          <t>A deployed instance.</t>
        </is>
      </c>
      <c r="J147" s="9" t="inlineStr">
        <is>
          <t>1. Request GET /status with no credentials.
2. Request GET /status.html in a browser.</t>
        </is>
      </c>
      <c r="K147" s="9" t="inlineStr">
        <is>
          <t>Both return without authentication. Component health includes the Zoom platform health from the circuit breaker, and uptime is reported from the boot time.</t>
        </is>
      </c>
      <c r="L147" s="9" t="inlineStr">
        <is>
          <t>statuspage; s10.test.ts</t>
        </is>
      </c>
      <c r="M147" s="19" t="inlineStr"/>
      <c r="N147" s="22" t="inlineStr">
        <is>
          <t>Not run</t>
        </is>
      </c>
      <c r="O147" s="22" t="inlineStr"/>
      <c r="P147" s="22" t="inlineStr"/>
      <c r="Q147" s="22" t="inlineStr"/>
    </row>
    <row r="148">
      <c r="A148" s="8" t="inlineStr">
        <is>
          <t>TC-PUB-002</t>
        </is>
      </c>
      <c r="B148" s="8" t="inlineStr">
        <is>
          <t>v0.10.0</t>
        </is>
      </c>
      <c r="C148" s="8" t="inlineStr">
        <is>
          <t>Public surfaces</t>
        </is>
      </c>
      <c r="D148" s="8" t="inlineStr">
        <is>
          <t>ST-095</t>
        </is>
      </c>
      <c r="E148" s="20" t="inlineStr">
        <is>
          <t>Positive</t>
        </is>
      </c>
      <c r="F148" s="24" t="inlineStr">
        <is>
          <t>P1</t>
        </is>
      </c>
      <c r="G148" s="9" t="inlineStr">
        <is>
          <t>The pricing endpoint is served from the enforced plan object</t>
        </is>
      </c>
      <c r="H148" s="9" t="inlineStr">
        <is>
          <t>The published matrix cannot drift from what is charged.</t>
        </is>
      </c>
      <c r="I148" s="9" t="inlineStr">
        <is>
          <t>A deployed instance.</t>
        </is>
      </c>
      <c r="J148" s="9" t="inlineStr">
        <is>
          <t>1. Call GET /pricing.
2. Compare each plan's seat limit and price to the billing behaviour.</t>
        </is>
      </c>
      <c r="K148" s="9" t="inlineStr">
        <is>
          <t>The matrix is identical to the PLANS object the billing engine enforces — they are the same object, so drift is impossible.</t>
        </is>
      </c>
      <c r="L148" s="9" t="inlineStr">
        <is>
          <t>s10.test.ts; claims.test.ts pricing</t>
        </is>
      </c>
      <c r="M148" s="19" t="inlineStr"/>
      <c r="N148" s="22" t="inlineStr">
        <is>
          <t>Not run</t>
        </is>
      </c>
      <c r="O148" s="22" t="inlineStr"/>
      <c r="P148" s="22" t="inlineStr"/>
      <c r="Q148" s="22" t="inlineStr"/>
    </row>
    <row r="149">
      <c r="A149" s="8" t="inlineStr">
        <is>
          <t>TC-PUB-003</t>
        </is>
      </c>
      <c r="B149" s="8" t="inlineStr">
        <is>
          <t>v0.10.0</t>
        </is>
      </c>
      <c r="C149" s="8" t="inlineStr">
        <is>
          <t>Public surfaces</t>
        </is>
      </c>
      <c r="D149" s="8" t="inlineStr">
        <is>
          <t>ST-080</t>
        </is>
      </c>
      <c r="E149" s="20" t="inlineStr">
        <is>
          <t>Positive</t>
        </is>
      </c>
      <c r="F149" s="25" t="inlineStr">
        <is>
          <t>P3</t>
        </is>
      </c>
      <c r="G149" s="9" t="inlineStr">
        <is>
          <t>Help search ranks title matches above body matches</t>
        </is>
      </c>
      <c r="H149" s="9" t="inlineStr">
        <is>
          <t>Deterministic ranked search.</t>
        </is>
      </c>
      <c r="I149" s="9" t="inlineStr">
        <is>
          <t>A deployed instance.</t>
        </is>
      </c>
      <c r="J149" s="9" t="inlineStr">
        <is>
          <t>1. Call GET /help/search?q=delete data.
2. Inspect the order.</t>
        </is>
      </c>
      <c r="K149" s="9" t="inlineStr">
        <is>
          <t>An article whose title matches outranks one that mentions the phrase only in the body. Ties break deterministically. The search term is captured for post-launch SEO.</t>
        </is>
      </c>
      <c r="L149" s="9" t="inlineStr">
        <is>
          <t>s10.test.ts help search</t>
        </is>
      </c>
      <c r="M149" s="19" t="inlineStr"/>
      <c r="N149" s="22" t="inlineStr">
        <is>
          <t>Not run</t>
        </is>
      </c>
      <c r="O149" s="22" t="inlineStr"/>
      <c r="P149" s="22" t="inlineStr"/>
      <c r="Q149" s="22" t="inlineStr"/>
    </row>
    <row r="150">
      <c r="A150" s="8" t="inlineStr">
        <is>
          <t>TC-PUB-004</t>
        </is>
      </c>
      <c r="B150" s="8" t="inlineStr">
        <is>
          <t>v0.10.0</t>
        </is>
      </c>
      <c r="C150" s="8" t="inlineStr">
        <is>
          <t>Public surfaces</t>
        </is>
      </c>
      <c r="D150" s="8" t="inlineStr">
        <is>
          <t>ST-080</t>
        </is>
      </c>
      <c r="E150" s="23" t="inlineStr">
        <is>
          <t>Negative</t>
        </is>
      </c>
      <c r="F150" s="25" t="inlineStr">
        <is>
          <t>P3</t>
        </is>
      </c>
      <c r="G150" s="9" t="inlineStr">
        <is>
          <t>An unknown help article returns a clean 404</t>
        </is>
      </c>
      <c r="H150" s="9" t="inlineStr">
        <is>
          <t>No stack traces on a public surface.</t>
        </is>
      </c>
      <c r="I150" s="9" t="inlineStr">
        <is>
          <t>A deployed instance.</t>
        </is>
      </c>
      <c r="J150" s="9" t="inlineStr">
        <is>
          <t>1. Call GET /help/articles/does-not-exist.</t>
        </is>
      </c>
      <c r="K150" s="9" t="inlineStr">
        <is>
          <t>404 {error:"not_found"} with no internal detail.</t>
        </is>
      </c>
      <c r="L150" s="9" t="inlineStr">
        <is>
          <t>s10.test.ts</t>
        </is>
      </c>
      <c r="M150" s="19" t="inlineStr"/>
      <c r="N150" s="22" t="inlineStr">
        <is>
          <t>Not run</t>
        </is>
      </c>
      <c r="O150" s="22" t="inlineStr"/>
      <c r="P150" s="22" t="inlineStr"/>
      <c r="Q150" s="22" t="inlineStr"/>
    </row>
    <row r="151">
      <c r="A151" s="8" t="inlineStr">
        <is>
          <t>TC-PUB-005</t>
        </is>
      </c>
      <c r="B151" s="8" t="inlineStr">
        <is>
          <t>v0.08.0</t>
        </is>
      </c>
      <c r="C151" s="8" t="inlineStr">
        <is>
          <t>Public surfaces</t>
        </is>
      </c>
      <c r="D151" s="8" t="inlineStr">
        <is>
          <t>ST-071</t>
        </is>
      </c>
      <c r="E151" s="20" t="inlineStr">
        <is>
          <t>Positive</t>
        </is>
      </c>
      <c r="F151" s="25" t="inlineStr">
        <is>
          <t>P3</t>
        </is>
      </c>
      <c r="G151" s="9" t="inlineStr">
        <is>
          <t>The onboarding checklist advances and records the aha moment</t>
        </is>
      </c>
      <c r="H151" s="9" t="inlineStr">
        <is>
          <t>Activation instrumentation.</t>
        </is>
      </c>
      <c r="I151" s="9" t="inlineStr">
        <is>
          <t>An owner session.</t>
        </is>
      </c>
      <c r="J151" s="9" t="inlineStr">
        <is>
          <t>1. POST /onboarding/&lt;id&gt;/start.
2. Complete each step in turn.
3. Read the operator funnel.</t>
        </is>
      </c>
      <c r="K151" s="9" t="inlineStr">
        <is>
          <t>Steps are returned with empty-state copy from the single source. Completing the defining step records the aha event in the funnel.</t>
        </is>
      </c>
      <c r="L151" s="9" t="inlineStr">
        <is>
          <t>onboarding.test.ts; app.test.ts funnel</t>
        </is>
      </c>
      <c r="M151" s="19" t="inlineStr"/>
      <c r="N151" s="22" t="inlineStr">
        <is>
          <t>Not run</t>
        </is>
      </c>
      <c r="O151" s="22" t="inlineStr"/>
      <c r="P151" s="22" t="inlineStr"/>
      <c r="Q151" s="22" t="inlineStr"/>
    </row>
    <row r="152">
      <c r="A152" s="8" t="inlineStr">
        <is>
          <t>TC-PUB-006</t>
        </is>
      </c>
      <c r="B152" s="8" t="inlineStr">
        <is>
          <t>v0.13.0</t>
        </is>
      </c>
      <c r="C152" s="8" t="inlineStr">
        <is>
          <t>Public surfaces</t>
        </is>
      </c>
      <c r="D152" s="8" t="inlineStr">
        <is>
          <t>M-F18</t>
        </is>
      </c>
      <c r="E152" s="23" t="inlineStr">
        <is>
          <t>Negative</t>
        </is>
      </c>
      <c r="F152" s="25" t="inlineStr">
        <is>
          <t>P3</t>
        </is>
      </c>
      <c r="G152" s="9" t="inlineStr">
        <is>
          <t>An unknown onboarding step is refused</t>
        </is>
      </c>
      <c r="H152" s="9" t="inlineStr">
        <is>
          <t>The step used to come straight from the request body with no validation.</t>
        </is>
      </c>
      <c r="I152" s="9" t="inlineStr">
        <is>
          <t>An owner session with onboarding started.</t>
        </is>
      </c>
      <c r="J152" s="9" t="inlineStr">
        <is>
          <t>1. Complete a step named "banana".
2. Complete with no step at all.</t>
        </is>
      </c>
      <c r="K152" s="9" t="inlineStr">
        <is>
          <t>Both return 422 naming the problem. The checklist state is unchanged.</t>
        </is>
      </c>
      <c r="L152" s="9" t="inlineStr">
        <is>
          <t>app.test.ts onboarding block</t>
        </is>
      </c>
      <c r="M152" s="19" t="inlineStr"/>
      <c r="N152" s="22" t="inlineStr">
        <is>
          <t>Not run</t>
        </is>
      </c>
      <c r="O152" s="22" t="inlineStr"/>
      <c r="P152" s="22" t="inlineStr"/>
      <c r="Q152" s="22" t="inlineStr"/>
    </row>
    <row r="153">
      <c r="A153" s="8" t="inlineStr">
        <is>
          <t>TC-PUB-007</t>
        </is>
      </c>
      <c r="B153" s="8" t="inlineStr">
        <is>
          <t>v0.45.0</t>
        </is>
      </c>
      <c r="C153" s="8" t="inlineStr">
        <is>
          <t>Public surfaces</t>
        </is>
      </c>
      <c r="D153" s="8" t="inlineStr">
        <is>
          <t>ST-107</t>
        </is>
      </c>
      <c r="E153" s="20" t="inlineStr">
        <is>
          <t>Positive</t>
        </is>
      </c>
      <c r="F153" s="25" t="inlineStr">
        <is>
          <t>P2</t>
        </is>
      </c>
      <c r="G153" s="9" t="inlineStr">
        <is>
          <t>The help centre states the correct number of scopes</t>
        </is>
      </c>
      <c r="H153" s="9" t="inlineStr">
        <is>
          <t>The article said two read scopes where the map lists four.</t>
        </is>
      </c>
      <c r="I153" s="9" t="inlineStr">
        <is>
          <t>A deployed instance.</t>
        </is>
      </c>
      <c r="J153" s="9" t="inlineStr">
        <is>
          <t>1. Read the install article at GET /help/articles/&lt;install article id&gt;.</t>
        </is>
      </c>
      <c r="K153" s="9" t="inlineStr">
        <is>
          <t>It names four granular read scopes — meeting, participant, cloud recording and user — and explains that the user scope is what lets MeetSync confirm which workspace is installing.</t>
        </is>
      </c>
      <c r="L153" s="9" t="inlineStr">
        <is>
          <t>claims.test.ts help centre assertion</t>
        </is>
      </c>
      <c r="M153" s="19" t="inlineStr"/>
      <c r="N153" s="22" t="inlineStr">
        <is>
          <t>Not run</t>
        </is>
      </c>
      <c r="O153" s="22" t="inlineStr"/>
      <c r="P153" s="22" t="inlineStr"/>
      <c r="Q153" s="22" t="inlineStr"/>
    </row>
    <row r="154">
      <c r="A154" s="8" t="inlineStr">
        <is>
          <t>TC-PUB-008</t>
        </is>
      </c>
      <c r="B154" s="8" t="inlineStr">
        <is>
          <t>v0.10.0</t>
        </is>
      </c>
      <c r="C154" s="8" t="inlineStr">
        <is>
          <t>Public surfaces</t>
        </is>
      </c>
      <c r="D154" s="8" t="inlineStr">
        <is>
          <t>ST-083</t>
        </is>
      </c>
      <c r="E154" s="20" t="inlineStr">
        <is>
          <t>Positive</t>
        </is>
      </c>
      <c r="F154" s="25" t="inlineStr">
        <is>
          <t>P2</t>
        </is>
      </c>
      <c r="G154" s="9" t="inlineStr">
        <is>
          <t>Demo mode populates every screen</t>
        </is>
      </c>
      <c r="H154" s="9" t="inlineStr">
        <is>
          <t>So a demo or a screenshot has content before the first real meeting.</t>
        </is>
      </c>
      <c r="I154" s="9" t="inlineStr">
        <is>
          <t>An admin session.</t>
        </is>
      </c>
      <c r="J154" s="9" t="inlineStr">
        <is>
          <t>1. POST /orgs/&lt;id&gt;/demo-mode.
2. Open each panel tab against the demo workspace.</t>
        </is>
      </c>
      <c r="K154" s="9" t="inlineStr">
        <is>
          <t>A notes session with entries, extracted actions and completed sandbox writebacks exist. Every screen has content. The live workspace is untouched.</t>
        </is>
      </c>
      <c r="L154" s="9" t="inlineStr">
        <is>
          <t>s10.test.ts demo mode</t>
        </is>
      </c>
      <c r="M154" s="19" t="inlineStr"/>
      <c r="N154" s="22" t="inlineStr">
        <is>
          <t>Not run</t>
        </is>
      </c>
      <c r="O154" s="22" t="inlineStr"/>
      <c r="P154" s="22" t="inlineStr"/>
      <c r="Q154" s="22" t="inlineStr"/>
    </row>
    <row r="155">
      <c r="A155" s="8" t="inlineStr">
        <is>
          <t>TC-UI-001</t>
        </is>
      </c>
      <c r="B155" s="8" t="inlineStr">
        <is>
          <t>v0.12.0</t>
        </is>
      </c>
      <c r="C155" s="8" t="inlineStr">
        <is>
          <t>Web panel</t>
        </is>
      </c>
      <c r="D155" s="8" t="inlineStr">
        <is>
          <t>VER-M04</t>
        </is>
      </c>
      <c r="E155" s="20" t="inlineStr">
        <is>
          <t>Positive</t>
        </is>
      </c>
      <c r="F155" s="21" t="inlineStr">
        <is>
          <t>P0</t>
        </is>
      </c>
      <c r="G155" s="9" t="inlineStr">
        <is>
          <t>The panel loads inside the Zoom client</t>
        </is>
      </c>
      <c r="H155" s="9" t="inlineStr">
        <is>
          <t>The SDK boundary: config() must be called before any other SDK call.</t>
        </is>
      </c>
      <c r="I155" s="9" t="inlineStr">
        <is>
          <t>The app installed and enabled on a Zoom account; a meeting in progress.</t>
        </is>
      </c>
      <c r="J155" s="9" t="inlineStr">
        <is>
          <t>1. Open MeetSync from the Zoom apps sidebar during a meeting.
2. Observe the header.</t>
        </is>
      </c>
      <c r="K155" s="9" t="inlineStr">
        <is>
          <t>The panel renders with the meeting topic or id and the user's screen name, and states which Zoom user is signed in. No "Connecting…" state persists.</t>
        </is>
      </c>
      <c r="L155" s="9" t="inlineStr">
        <is>
          <t>panels.test.tsx App shell; sdk.ts REQUIRED_CAPABILITIES</t>
        </is>
      </c>
      <c r="M155" s="19" t="inlineStr"/>
      <c r="N155" s="22" t="inlineStr">
        <is>
          <t>Not run</t>
        </is>
      </c>
      <c r="O155" s="22" t="inlineStr"/>
      <c r="P155" s="22" t="inlineStr"/>
      <c r="Q155" s="22" t="inlineStr"/>
    </row>
    <row r="156">
      <c r="A156" s="8" t="inlineStr">
        <is>
          <t>TC-UI-002</t>
        </is>
      </c>
      <c r="B156" s="8" t="inlineStr">
        <is>
          <t>v0.12.0</t>
        </is>
      </c>
      <c r="C156" s="8" t="inlineStr">
        <is>
          <t>Web panel</t>
        </is>
      </c>
      <c r="D156" s="8" t="inlineStr">
        <is>
          <t>VER-M04</t>
        </is>
      </c>
      <c r="E156" s="23" t="inlineStr">
        <is>
          <t>Negative</t>
        </is>
      </c>
      <c r="F156" s="24" t="inlineStr">
        <is>
          <t>P1</t>
        </is>
      </c>
      <c r="G156" s="9" t="inlineStr">
        <is>
          <t>A disabled SDK capability produces a readable failure, not a hang</t>
        </is>
      </c>
      <c r="H156" s="9" t="inlineStr">
        <is>
          <t>A dead SDK used to leave the panel on "Connecting…" for ever.</t>
        </is>
      </c>
      <c r="I156" s="9" t="inlineStr">
        <is>
          <t>A Marketplace app with a required capability not enabled.</t>
        </is>
      </c>
      <c r="J156" s="9" t="inlineStr">
        <is>
          <t>1. Open the panel.</t>
        </is>
      </c>
      <c r="K156" s="9" t="inlineStr">
        <is>
          <t>An alert-role message names the problem and tells the user to reopen from the sidebar and check that the app is enabled. The panel does not hang.</t>
        </is>
      </c>
      <c r="L156" s="9" t="inlineStr">
        <is>
          <t>panels.test.tsx SDK failure case</t>
        </is>
      </c>
      <c r="M156" s="19" t="inlineStr"/>
      <c r="N156" s="22" t="inlineStr">
        <is>
          <t>Not run</t>
        </is>
      </c>
      <c r="O156" s="22" t="inlineStr"/>
      <c r="P156" s="22" t="inlineStr"/>
      <c r="Q156" s="22" t="inlineStr"/>
    </row>
    <row r="157">
      <c r="A157" s="8" t="inlineStr">
        <is>
          <t>TC-UI-003</t>
        </is>
      </c>
      <c r="B157" s="8" t="inlineStr">
        <is>
          <t>v0.12.0</t>
        </is>
      </c>
      <c r="C157" s="8" t="inlineStr">
        <is>
          <t>Web panel</t>
        </is>
      </c>
      <c r="D157" s="8" t="inlineStr">
        <is>
          <t>ST-005</t>
        </is>
      </c>
      <c r="E157" s="20" t="inlineStr">
        <is>
          <t>Positive</t>
        </is>
      </c>
      <c r="F157" s="25" t="inlineStr">
        <is>
          <t>P2</t>
        </is>
      </c>
      <c r="G157" s="9" t="inlineStr">
        <is>
          <t>The same build serves the web dashboard outside a meeting</t>
        </is>
      </c>
      <c r="H157" s="9" t="inlineStr">
        <is>
          <t>One codebase, two contexts.</t>
        </is>
      </c>
      <c r="I157" s="9" t="inlineStr">
        <is>
          <t>The app open in the Zoom main client rather than a meeting.</t>
        </is>
      </c>
      <c r="J157" s="9" t="inlineStr">
        <is>
          <t>1. Open MeetSync outside a meeting.</t>
        </is>
      </c>
      <c r="K157" s="9" t="inlineStr">
        <is>
          <t>The header reads "Web dashboard" and every tab still functions. The running context is read from the SDK, not guessed.</t>
        </is>
      </c>
      <c r="L157" s="9" t="inlineStr">
        <is>
          <t>panels.test.tsx dashboard context</t>
        </is>
      </c>
      <c r="M157" s="19" t="inlineStr"/>
      <c r="N157" s="22" t="inlineStr">
        <is>
          <t>Not run</t>
        </is>
      </c>
      <c r="O157" s="22" t="inlineStr"/>
      <c r="P157" s="22" t="inlineStr"/>
      <c r="Q157" s="22" t="inlineStr"/>
    </row>
    <row r="158">
      <c r="A158" s="8" t="inlineStr">
        <is>
          <t>TC-UI-004</t>
        </is>
      </c>
      <c r="B158" s="8" t="inlineStr">
        <is>
          <t>v0.45.0</t>
        </is>
      </c>
      <c r="C158" s="8" t="inlineStr">
        <is>
          <t>Web panel</t>
        </is>
      </c>
      <c r="D158" s="8" t="inlineStr">
        <is>
          <t>ST-113</t>
        </is>
      </c>
      <c r="E158" s="20" t="inlineStr">
        <is>
          <t>Positive</t>
        </is>
      </c>
      <c r="F158" s="21" t="inlineStr">
        <is>
          <t>P0</t>
        </is>
      </c>
      <c r="G158" s="9" t="inlineStr">
        <is>
          <t>Every tab loads its data from the server</t>
        </is>
      </c>
      <c r="H158" s="9" t="inlineStr">
        <is>
          <t>The PR-03 regression: the panels used to call nothing.</t>
        </is>
      </c>
      <c r="I158" s="9" t="inlineStr">
        <is>
          <t>The panel open with the network tab recording.</t>
        </is>
      </c>
      <c r="J158" s="9" t="inlineStr">
        <is>
          <t>1. Click through Notes, Action items, CRM sync, Deal risk, Languages and Review.
2. Watch the network tab on each.</t>
        </is>
      </c>
      <c r="K158" s="9" t="inlineStr">
        <is>
          <t>Each tab issues real API calls and renders their responses. No tab renders data that never left the browser.</t>
        </is>
      </c>
      <c r="L158" s="9" t="inlineStr">
        <is>
          <t>panels.test.tsx App shell tab walk; clientReachability.test.ts</t>
        </is>
      </c>
      <c r="M158" s="19" t="inlineStr"/>
      <c r="N158" s="22" t="inlineStr">
        <is>
          <t>Not run</t>
        </is>
      </c>
      <c r="O158" s="22" t="inlineStr"/>
      <c r="P158" s="22" t="inlineStr"/>
      <c r="Q158" s="22" t="inlineStr"/>
    </row>
    <row r="159">
      <c r="A159" s="8" t="inlineStr">
        <is>
          <t>TC-UI-005</t>
        </is>
      </c>
      <c r="B159" s="8" t="inlineStr">
        <is>
          <t>v0.45.0</t>
        </is>
      </c>
      <c r="C159" s="8" t="inlineStr">
        <is>
          <t>Web panel</t>
        </is>
      </c>
      <c r="D159" s="8" t="inlineStr">
        <is>
          <t>ST-113</t>
        </is>
      </c>
      <c r="E159" s="23" t="inlineStr">
        <is>
          <t>Negative</t>
        </is>
      </c>
      <c r="F159" s="24" t="inlineStr">
        <is>
          <t>P1</t>
        </is>
      </c>
      <c r="G159" s="9" t="inlineStr">
        <is>
          <t>A server refusal is shown in language a person can act on</t>
        </is>
      </c>
      <c r="H159" s="9" t="inlineStr">
        <is>
          <t>One copy source for errors, not per-panel invention.</t>
        </is>
      </c>
      <c r="I159" s="9" t="inlineStr">
        <is>
          <t>A workspace in a refusing state (write-blocked, or a role without permission).</t>
        </is>
      </c>
      <c r="J159" s="9" t="inlineStr">
        <is>
          <t>1. Attempt a refused action in each tab.
2. Read each message.</t>
        </is>
      </c>
      <c r="K159" s="9" t="inlineStr">
        <is>
          <t>Messages are specific and actionable — write access paused, ask an admin, session ended, too many requests — never a raw status code or a stack trace.</t>
        </is>
      </c>
      <c r="L159" s="9" t="inlineStr">
        <is>
          <t>panels.test.tsx userFacingError cases</t>
        </is>
      </c>
      <c r="M159" s="19" t="inlineStr"/>
      <c r="N159" s="22" t="inlineStr">
        <is>
          <t>Not run</t>
        </is>
      </c>
      <c r="O159" s="22" t="inlineStr"/>
      <c r="P159" s="22" t="inlineStr"/>
      <c r="Q159" s="22" t="inlineStr"/>
    </row>
    <row r="160">
      <c r="A160" s="8" t="inlineStr">
        <is>
          <t>TC-UI-006</t>
        </is>
      </c>
      <c r="B160" s="8" t="inlineStr">
        <is>
          <t>v0.15.0</t>
        </is>
      </c>
      <c r="C160" s="8" t="inlineStr">
        <is>
          <t>Web panel</t>
        </is>
      </c>
      <c r="D160" s="8" t="inlineStr">
        <is>
          <t>ST-089</t>
        </is>
      </c>
      <c r="E160" s="20" t="inlineStr">
        <is>
          <t>Positive</t>
        </is>
      </c>
      <c r="F160" s="21" t="inlineStr">
        <is>
          <t>P0</t>
        </is>
      </c>
      <c r="G160" s="9" t="inlineStr">
        <is>
          <t>Manual accessibility pass inside the Zoom client</t>
        </is>
      </c>
      <c r="H160" s="9" t="inlineStr">
        <is>
          <t>jsdom cannot judge contrast or screen-reader behaviour in a webview. This is the pass that lets WCAG AA be claimed honestly.</t>
        </is>
      </c>
      <c r="I160" s="9" t="inlineStr">
        <is>
          <t>A live install and a screen reader.</t>
        </is>
      </c>
      <c r="J160" s="9" t="inlineStr">
        <is>
          <t>1. Check colour contrast on every text and control against WCAG AA.
2. Tab through every control and confirm a visible focus indicator.
3. Check for keyboard traps in each tab.
4. Zoom to 200% and confirm reflow.
5. Navigate each panel with a real screen reader.</t>
        </is>
      </c>
      <c r="K160" s="9" t="inlineStr">
        <is>
          <t>All five pass. Until this is run, the WCAG AA claim is not made. Record each item pass/fail with a screenshot.</t>
        </is>
      </c>
      <c r="L160" s="9" t="inlineStr">
        <is>
          <t>a11y.test.tsx covers only the automatable subset — ST-150 owed</t>
        </is>
      </c>
      <c r="M160" s="19" t="inlineStr"/>
      <c r="N160" s="22" t="inlineStr">
        <is>
          <t>Not run</t>
        </is>
      </c>
      <c r="O160" s="22" t="inlineStr"/>
      <c r="P160" s="22" t="inlineStr"/>
      <c r="Q160" s="22" t="inlineStr"/>
    </row>
    <row r="161">
      <c r="A161" s="8" t="inlineStr">
        <is>
          <t>TC-UI-007</t>
        </is>
      </c>
      <c r="B161" s="8" t="inlineStr">
        <is>
          <t>v0.13.0</t>
        </is>
      </c>
      <c r="C161" s="8" t="inlineStr">
        <is>
          <t>Web panel</t>
        </is>
      </c>
      <c r="D161" s="8" t="inlineStr">
        <is>
          <t>A11Y-04</t>
        </is>
      </c>
      <c r="E161" s="20" t="inlineStr">
        <is>
          <t>Positive</t>
        </is>
      </c>
      <c r="F161" s="25" t="inlineStr">
        <is>
          <t>P2</t>
        </is>
      </c>
      <c r="G161" s="9" t="inlineStr">
        <is>
          <t>Tabs use real tab semantics</t>
        </is>
      </c>
      <c r="H161" s="9" t="inlineStr">
        <is>
          <t>A screen-reader user must know which region a button controls.</t>
        </is>
      </c>
      <c r="I161" s="9" t="inlineStr">
        <is>
          <t>The panel open with a screen reader or an accessibility inspector.</t>
        </is>
      </c>
      <c r="J161" s="9" t="inlineStr">
        <is>
          <t>1. Inspect the tab list and each tab.
2. Move between tabs with the keyboard.</t>
        </is>
      </c>
      <c r="K161" s="9" t="inlineStr">
        <is>
          <t>role=tablist, role=tab and role=tabpanel are present with aria-controls and aria-labelledby in both directions. Only the selected tab is in the tab order; the rest are reached with arrow keys.</t>
        </is>
      </c>
      <c r="L161" s="9" t="inlineStr">
        <is>
          <t>a11y.test.tsx A11Y-04</t>
        </is>
      </c>
      <c r="M161" s="19" t="inlineStr"/>
      <c r="N161" s="22" t="inlineStr">
        <is>
          <t>Not run</t>
        </is>
      </c>
      <c r="O161" s="22" t="inlineStr"/>
      <c r="P161" s="22" t="inlineStr"/>
      <c r="Q161" s="22" t="inlineStr"/>
    </row>
    <row r="162">
      <c r="A162" s="8" t="inlineStr">
        <is>
          <t>TC-UI-008</t>
        </is>
      </c>
      <c r="B162" s="8" t="inlineStr">
        <is>
          <t>v0.45.0</t>
        </is>
      </c>
      <c r="C162" s="8" t="inlineStr">
        <is>
          <t>Web panel</t>
        </is>
      </c>
      <c r="D162" s="8" t="inlineStr">
        <is>
          <t>ST-114</t>
        </is>
      </c>
      <c r="E162" s="20" t="inlineStr">
        <is>
          <t>Positive</t>
        </is>
      </c>
      <c r="F162" s="25" t="inlineStr">
        <is>
          <t>P2</t>
        </is>
      </c>
      <c r="G162" s="9" t="inlineStr">
        <is>
          <t>The review table is navigable by a screen reader</t>
        </is>
      </c>
      <c r="H162" s="9" t="inlineStr">
        <is>
          <t>The first data table in the product.</t>
        </is>
      </c>
      <c r="I162" s="9" t="inlineStr">
        <is>
          <t>A meeting in pending_review; a screen reader.</t>
        </is>
      </c>
      <c r="J162" s="9" t="inlineStr">
        <is>
          <t>1. Navigate to the review table.
2. Move across a row and down a column.</t>
        </is>
      </c>
      <c r="K162" s="9" t="inlineStr">
        <is>
          <t>The table has a caption, column headers and a row header per field name, so each cell is announced with its field and column.</t>
        </is>
      </c>
      <c r="L162" s="9" t="inlineStr">
        <is>
          <t>a11y.test.tsx A11Y-05</t>
        </is>
      </c>
      <c r="M162" s="19" t="inlineStr"/>
      <c r="N162" s="22" t="inlineStr">
        <is>
          <t>Not run</t>
        </is>
      </c>
      <c r="O162" s="22" t="inlineStr"/>
      <c r="P162" s="22" t="inlineStr"/>
      <c r="Q162" s="22" t="inlineStr"/>
    </row>
    <row r="163">
      <c r="A163" s="8" t="inlineStr">
        <is>
          <t>TC-UI-009</t>
        </is>
      </c>
      <c r="B163" s="8" t="inlineStr">
        <is>
          <t>v0.45.0</t>
        </is>
      </c>
      <c r="C163" s="8" t="inlineStr">
        <is>
          <t>Web panel</t>
        </is>
      </c>
      <c r="D163" s="8" t="inlineStr">
        <is>
          <t>ST-113</t>
        </is>
      </c>
      <c r="E163" s="20" t="inlineStr">
        <is>
          <t>Positive</t>
        </is>
      </c>
      <c r="F163" s="24" t="inlineStr">
        <is>
          <t>P1</t>
        </is>
      </c>
      <c r="G163" s="9" t="inlineStr">
        <is>
          <t>An optimistic update is reconciled with the server response</t>
        </is>
      </c>
      <c r="H163" s="9" t="inlineStr">
        <is>
          <t>The row shown must become the row stored.</t>
        </is>
      </c>
      <c r="I163" s="9" t="inlineStr">
        <is>
          <t>The Notes tab.</t>
        </is>
      </c>
      <c r="J163" s="9" t="inlineStr">
        <is>
          <t>1. Add a note and watch the list.
2. Reload the panel.</t>
        </is>
      </c>
      <c r="K163" s="9" t="inlineStr">
        <is>
          <t>The note appears instantly, then is replaced by the server's version (its authoritative timestamp and author). After reload it is identical.</t>
        </is>
      </c>
      <c r="L163" s="9" t="inlineStr">
        <is>
          <t>panels.test.tsx optimistic reconcile</t>
        </is>
      </c>
      <c r="M163" s="19" t="inlineStr"/>
      <c r="N163" s="22" t="inlineStr">
        <is>
          <t>Not run</t>
        </is>
      </c>
      <c r="O163" s="22" t="inlineStr"/>
      <c r="P163" s="22" t="inlineStr"/>
      <c r="Q163" s="22" t="inlineStr"/>
    </row>
    <row r="164">
      <c r="A164" s="8" t="inlineStr">
        <is>
          <t>TC-UI-010</t>
        </is>
      </c>
      <c r="B164" s="8" t="inlineStr">
        <is>
          <t>v0.45.0</t>
        </is>
      </c>
      <c r="C164" s="8" t="inlineStr">
        <is>
          <t>Web panel</t>
        </is>
      </c>
      <c r="D164" s="8" t="inlineStr">
        <is>
          <t>ST-113</t>
        </is>
      </c>
      <c r="E164" s="20" t="inlineStr">
        <is>
          <t>Positive</t>
        </is>
      </c>
      <c r="F164" s="25" t="inlineStr">
        <is>
          <t>P2</t>
        </is>
      </c>
      <c r="G164" s="9" t="inlineStr">
        <is>
          <t>Empty states teach rather than show a blank box</t>
        </is>
      </c>
      <c r="H164" s="9" t="inlineStr">
        <is>
          <t>One copy source shared by the API and the panels.</t>
        </is>
      </c>
      <c r="I164" s="9" t="inlineStr">
        <is>
          <t>A brand-new workspace.</t>
        </is>
      </c>
      <c r="J164" s="9" t="inlineStr">
        <is>
          <t>1. Open each tab before any data exists.</t>
        </is>
      </c>
      <c r="K164" s="9" t="inlineStr">
        <is>
          <t>Each shows a sentence explaining what to do next, identical to the copy the API returns for that screen.</t>
        </is>
      </c>
      <c r="L164" s="9" t="inlineStr">
        <is>
          <t>panels.test.tsx empty states; emptyStates.ts</t>
        </is>
      </c>
      <c r="M164" s="19" t="inlineStr"/>
      <c r="N164" s="22" t="inlineStr">
        <is>
          <t>Not run</t>
        </is>
      </c>
      <c r="O164" s="22" t="inlineStr"/>
      <c r="P164" s="22" t="inlineStr"/>
      <c r="Q164" s="22" t="inlineStr"/>
    </row>
    <row r="165">
      <c r="A165" s="8" t="inlineStr">
        <is>
          <t>TC-UI-011</t>
        </is>
      </c>
      <c r="B165" s="8" t="inlineStr">
        <is>
          <t>v0.45.0</t>
        </is>
      </c>
      <c r="C165" s="8" t="inlineStr">
        <is>
          <t>Web panel</t>
        </is>
      </c>
      <c r="D165" s="8" t="inlineStr">
        <is>
          <t>ST-110</t>
        </is>
      </c>
      <c r="E165" s="23" t="inlineStr">
        <is>
          <t>Negative</t>
        </is>
      </c>
      <c r="F165" s="25" t="inlineStr">
        <is>
          <t>P2</t>
        </is>
      </c>
      <c r="G165" s="9" t="inlineStr">
        <is>
          <t>Adding a route without a client method fails the build</t>
        </is>
      </c>
      <c r="H165" s="9" t="inlineStr">
        <is>
          <t>The route-to-client gate, tested as a gate.</t>
        </is>
      </c>
      <c r="I165" s="9" t="inlineStr">
        <is>
          <t>A working copy of the repository.</t>
        </is>
      </c>
      <c r="J165" s="9" t="inlineStr">
        <is>
          <t>1. Add a new product route to src/app.ts.
2. Run the test suite without touching web/api.ts.
3. Revert.</t>
        </is>
      </c>
      <c r="K165" s="9" t="inlineStr">
        <is>
          <t>test/clientReachability.test.ts fails naming the unreachable route. Adding the client method, or an allowlist entry with a stated reason, makes it pass.</t>
        </is>
      </c>
      <c r="L165" s="9" t="inlineStr">
        <is>
          <t>clientReachability.test.ts</t>
        </is>
      </c>
      <c r="M165" s="19" t="inlineStr"/>
      <c r="N165" s="22" t="inlineStr">
        <is>
          <t>Not run</t>
        </is>
      </c>
      <c r="O165" s="22" t="inlineStr"/>
      <c r="P165" s="22" t="inlineStr"/>
      <c r="Q165" s="22" t="inlineStr"/>
    </row>
    <row r="166">
      <c r="A166" s="8" t="inlineStr">
        <is>
          <t>TC-UI-012</t>
        </is>
      </c>
      <c r="B166" s="8" t="inlineStr">
        <is>
          <t>v0.12.0</t>
        </is>
      </c>
      <c r="C166" s="8" t="inlineStr">
        <is>
          <t>Web panel</t>
        </is>
      </c>
      <c r="D166" s="8" t="inlineStr">
        <is>
          <t>M-F11</t>
        </is>
      </c>
      <c r="E166" s="23" t="inlineStr">
        <is>
          <t>Negative</t>
        </is>
      </c>
      <c r="F166" s="21" t="inlineStr">
        <is>
          <t>P0</t>
        </is>
      </c>
      <c r="G166" s="9" t="inlineStr">
        <is>
          <t>The client cannot assert its own role</t>
        </is>
      </c>
      <c r="H166" s="9" t="inlineStr">
        <is>
          <t>The panel sends an opaque session and nothing else about identity.</t>
        </is>
      </c>
      <c r="I166" s="9" t="inlineStr">
        <is>
          <t>The panel open with the network tab recording.</t>
        </is>
      </c>
      <c r="J166" s="9" t="inlineStr">
        <is>
          <t>1. Inspect the request headers on any API call.</t>
        </is>
      </c>
      <c r="K166" s="9" t="inlineStr">
        <is>
          <t>Only x-ms-session (or the cookie) carries identity. There is no x-role or x-user header, and the client has no way to state a role.</t>
        </is>
      </c>
      <c r="L166" s="9" t="inlineStr">
        <is>
          <t>panels.test.tsx "sends only the signed session"</t>
        </is>
      </c>
      <c r="M166" s="19" t="inlineStr"/>
      <c r="N166" s="22" t="inlineStr">
        <is>
          <t>Not run</t>
        </is>
      </c>
      <c r="O166" s="22" t="inlineStr"/>
      <c r="P166" s="22" t="inlineStr"/>
      <c r="Q166" s="22" t="inlineStr"/>
    </row>
    <row r="167">
      <c r="A167" s="8" t="inlineStr">
        <is>
          <t>TC-PER-001</t>
        </is>
      </c>
      <c r="B167" s="8" t="inlineStr">
        <is>
          <t>v0.16.0</t>
        </is>
      </c>
      <c r="C167" s="8" t="inlineStr">
        <is>
          <t>Persistence</t>
        </is>
      </c>
      <c r="D167" s="8" t="inlineStr">
        <is>
          <t>OBS-M3</t>
        </is>
      </c>
      <c r="E167" s="20" t="inlineStr">
        <is>
          <t>Positive</t>
        </is>
      </c>
      <c r="F167" s="21" t="inlineStr">
        <is>
          <t>P0</t>
        </is>
      </c>
      <c r="G167" s="9" t="inlineStr">
        <is>
          <t>Every guarantee survives a restart</t>
        </is>
      </c>
      <c r="H167" s="9" t="inlineStr">
        <is>
          <t>The headline durability claim.</t>
        </is>
      </c>
      <c r="I167" s="9" t="inlineStr">
        <is>
          <t>A workspace with configuration, imports, mappings, a queue, notes, insights, a subscription and audit rows.</t>
        </is>
      </c>
      <c r="J167" s="9" t="inlineStr">
        <is>
          <t>1. Record the state of each.
2. Restart the process.
3. Re-read all of them.</t>
        </is>
      </c>
      <c r="K167" s="9" t="inlineStr">
        <is>
          <t>Everything is present and identical. Token wipe state, the deletion schedule, the entitlement and the audit trail all survive.</t>
        </is>
      </c>
      <c r="L167" s="9" t="inlineStr">
        <is>
          <t>storeContract.test.ts across all nine stores</t>
        </is>
      </c>
      <c r="M167" s="19" t="inlineStr"/>
      <c r="N167" s="22" t="inlineStr">
        <is>
          <t>Not run</t>
        </is>
      </c>
      <c r="O167" s="22" t="inlineStr"/>
      <c r="P167" s="22" t="inlineStr"/>
      <c r="Q167" s="22" t="inlineStr"/>
    </row>
    <row r="168">
      <c r="A168" s="8" t="inlineStr">
        <is>
          <t>TC-PER-002</t>
        </is>
      </c>
      <c r="B168" s="8" t="inlineStr">
        <is>
          <t>v0.16.0</t>
        </is>
      </c>
      <c r="C168" s="8" t="inlineStr">
        <is>
          <t>Persistence</t>
        </is>
      </c>
      <c r="D168" s="8" t="inlineStr">
        <is>
          <t>OBS-M3</t>
        </is>
      </c>
      <c r="E168" s="20" t="inlineStr">
        <is>
          <t>Positive</t>
        </is>
      </c>
      <c r="F168" s="24" t="inlineStr">
        <is>
          <t>P1</t>
        </is>
      </c>
      <c r="G168" s="9" t="inlineStr">
        <is>
          <t>Migrations run on boot with no manual step</t>
        </is>
      </c>
      <c r="H168" s="9" t="inlineStr">
        <is>
          <t>A deploy that forgets a manual migration silently loses the durability guarantee.</t>
        </is>
      </c>
      <c r="I168" s="9" t="inlineStr">
        <is>
          <t>A database at the previous schema version.</t>
        </is>
      </c>
      <c r="J168" s="9" t="inlineStr">
        <is>
          <t>1. Start v0.45.0 against a v0.44.0 database.
2. Check the new tables and columns.
3. Restart again.</t>
        </is>
      </c>
      <c r="K168" s="9" t="inlineStr">
        <is>
          <t>session_revocations, session_watermarks, notes_sessions, note_entries and meeting_insights are created; accounts gains installed_by_user_id, installed_by_email and contact_email. The second start is a no-op — migrations are idempotent.</t>
        </is>
      </c>
      <c r="L168" s="9" t="inlineStr">
        <is>
          <t>server.test.ts migration block</t>
        </is>
      </c>
      <c r="M168" s="19" t="inlineStr"/>
      <c r="N168" s="22" t="inlineStr">
        <is>
          <t>Not run</t>
        </is>
      </c>
      <c r="O168" s="22" t="inlineStr"/>
      <c r="P168" s="22" t="inlineStr"/>
      <c r="Q168" s="22" t="inlineStr"/>
    </row>
    <row r="169">
      <c r="A169" s="8" t="inlineStr">
        <is>
          <t>TC-PER-003</t>
        </is>
      </c>
      <c r="B169" s="8" t="inlineStr">
        <is>
          <t>v0.25.0</t>
        </is>
      </c>
      <c r="C169" s="8" t="inlineStr">
        <is>
          <t>Persistence</t>
        </is>
      </c>
      <c r="D169" s="8" t="inlineStr">
        <is>
          <t>Handover #31</t>
        </is>
      </c>
      <c r="E169" s="20" t="inlineStr">
        <is>
          <t>Positive</t>
        </is>
      </c>
      <c r="F169" s="24" t="inlineStr">
        <is>
          <t>P1</t>
        </is>
      </c>
      <c r="G169" s="9" t="inlineStr">
        <is>
          <t>Two instances can run against one database</t>
        </is>
      </c>
      <c r="H169" s="9" t="inlineStr">
        <is>
          <t>The multi-instance claim.</t>
        </is>
      </c>
      <c r="I169" s="9" t="inlineStr">
        <is>
          <t>Two instances behind a load balancer.</t>
        </is>
      </c>
      <c r="J169" s="9" t="inlineStr">
        <is>
          <t>1. Start both.
2. Deliver webhooks to each.
3. Enqueue writebacks from each.
4. Revoke a session on one and use it on the other.</t>
        </is>
      </c>
      <c r="K169" s="9" t="inlineStr">
        <is>
          <t>Dedupe is shared so an event is processed once. Job ids never collide. A session revoked on one instance is refused by the other.</t>
        </is>
      </c>
      <c r="L169" s="9" t="inlineStr">
        <is>
          <t>server.test.ts; storeContract.test.ts</t>
        </is>
      </c>
      <c r="M169" s="19" t="inlineStr"/>
      <c r="N169" s="22" t="inlineStr">
        <is>
          <t>Not run</t>
        </is>
      </c>
      <c r="O169" s="22" t="inlineStr"/>
      <c r="P169" s="22" t="inlineStr"/>
      <c r="Q169" s="22" t="inlineStr"/>
    </row>
    <row r="170">
      <c r="A170" s="8" t="inlineStr">
        <is>
          <t>TC-PER-004</t>
        </is>
      </c>
      <c r="B170" s="8" t="inlineStr">
        <is>
          <t>v0.45.0</t>
        </is>
      </c>
      <c r="C170" s="8" t="inlineStr">
        <is>
          <t>Persistence</t>
        </is>
      </c>
      <c r="D170" s="8" t="inlineStr">
        <is>
          <t>ST-103</t>
        </is>
      </c>
      <c r="E170" s="20" t="inlineStr">
        <is>
          <t>Positive</t>
        </is>
      </c>
      <c r="F170" s="24" t="inlineStr">
        <is>
          <t>P1</t>
        </is>
      </c>
      <c r="G170" s="9" t="inlineStr">
        <is>
          <t>Expired revocation rows are swept</t>
        </is>
      </c>
      <c r="H170" s="9" t="inlineStr">
        <is>
          <t>The deny list must not grow without bound.</t>
        </is>
      </c>
      <c r="I170" s="9" t="inlineStr">
        <is>
          <t>Revoked sessions whose tokens have since expired.</t>
        </is>
      </c>
      <c r="J170" s="9" t="inlineStr">
        <is>
          <t>1. Revoke several sessions.
2. Wait past the token TTL, or advance a staging clock.
3. Run the retention sweep.
4. Count the rows.</t>
        </is>
      </c>
      <c r="K170" s="9" t="inlineStr">
        <is>
          <t>Rows whose sessions would have expired anyway are removed; rows still within their TTL remain and still deny.</t>
        </is>
      </c>
      <c r="L170" s="9" t="inlineStr">
        <is>
          <t>storeContract.test.ts SessionStore purgeExpired</t>
        </is>
      </c>
      <c r="M170" s="19" t="inlineStr"/>
      <c r="N170" s="22" t="inlineStr">
        <is>
          <t>Not run</t>
        </is>
      </c>
      <c r="O170" s="22" t="inlineStr"/>
      <c r="P170" s="22" t="inlineStr"/>
      <c r="Q170" s="22" t="inlineStr"/>
    </row>
    <row r="171">
      <c r="A171" s="8" t="inlineStr">
        <is>
          <t>TC-PER-005</t>
        </is>
      </c>
      <c r="B171" s="8" t="inlineStr">
        <is>
          <t>v0.35.0</t>
        </is>
      </c>
      <c r="C171" s="8" t="inlineStr">
        <is>
          <t>Persistence</t>
        </is>
      </c>
      <c r="D171" s="8" t="inlineStr">
        <is>
          <t>SR-07</t>
        </is>
      </c>
      <c r="E171" s="20" t="inlineStr">
        <is>
          <t>Positive</t>
        </is>
      </c>
      <c r="F171" s="24" t="inlineStr">
        <is>
          <t>P1</t>
        </is>
      </c>
      <c r="G171" s="9" t="inlineStr">
        <is>
          <t>A failed restore does not leave a half-restored database</t>
        </is>
      </c>
      <c r="H171" s="9" t="inlineStr">
        <is>
          <t>A restore exists to escape exactly that state.</t>
        </is>
      </c>
      <c r="I171" s="9" t="inlineStr">
        <is>
          <t>A staging database and a restore that can be made to fail part-way.</t>
        </is>
      </c>
      <c r="J171" s="9" t="inlineStr">
        <is>
          <t>1. Begin a restore and force a failure mid-way.
2. Inspect the database.</t>
        </is>
      </c>
      <c r="K171" s="9" t="inlineStr">
        <is>
          <t>The restore is transactional: either all of it landed or none of it did. There is no partial state.</t>
        </is>
      </c>
      <c r="L171" s="9" t="inlineStr">
        <is>
          <t>backup.test.ts restore atomicity</t>
        </is>
      </c>
      <c r="M171" s="19" t="inlineStr"/>
      <c r="N171" s="22" t="inlineStr">
        <is>
          <t>Not run</t>
        </is>
      </c>
      <c r="O171" s="22" t="inlineStr"/>
      <c r="P171" s="22" t="inlineStr"/>
      <c r="Q171" s="22" t="inlineStr"/>
    </row>
    <row r="172">
      <c r="A172" s="8" t="inlineStr">
        <is>
          <t>TC-PER-006</t>
        </is>
      </c>
      <c r="B172" s="8" t="inlineStr">
        <is>
          <t>v0.16.0</t>
        </is>
      </c>
      <c r="C172" s="8" t="inlineStr">
        <is>
          <t>Persistence</t>
        </is>
      </c>
      <c r="D172" s="8" t="inlineStr">
        <is>
          <t>OBS-M3</t>
        </is>
      </c>
      <c r="E172" s="20" t="inlineStr">
        <is>
          <t>Positive</t>
        </is>
      </c>
      <c r="F172" s="21" t="inlineStr">
        <is>
          <t>P0</t>
        </is>
      </c>
      <c r="G172" s="9" t="inlineStr">
        <is>
          <t>The contract suite runs against a real database in CI</t>
        </is>
      </c>
      <c r="H172" s="9" t="inlineStr">
        <is>
          <t>A silently skipped suite is how an adapter ships unverified.</t>
        </is>
      </c>
      <c r="I172" s="9" t="inlineStr">
        <is>
          <t>The CI pipeline.</t>
        </is>
      </c>
      <c r="J172" s="9" t="inlineStr">
        <is>
          <t>1. Inspect the CI workflow.
2. Remove the PostgreSQL service and run CI.</t>
        </is>
      </c>
      <c r="K172" s="9" t="inlineStr">
        <is>
          <t>CI provisions postgres:16 as a service. Without it the contract suite FAILS rather than skipping — which is the point.</t>
        </is>
      </c>
      <c r="L172" s="9" t="inlineStr">
        <is>
          <t>.github/workflows/ci.yml; storeContract.test.ts</t>
        </is>
      </c>
      <c r="M172" s="19" t="inlineStr"/>
      <c r="N172" s="22" t="inlineStr">
        <is>
          <t>Not run</t>
        </is>
      </c>
      <c r="O172" s="22" t="inlineStr"/>
      <c r="P172" s="22" t="inlineStr"/>
      <c r="Q172" s="22" t="inlineStr"/>
    </row>
    <row r="173">
      <c r="A173" s="8" t="inlineStr">
        <is>
          <t>TC-PER-007</t>
        </is>
      </c>
      <c r="B173" s="8" t="inlineStr">
        <is>
          <t>v0.37.0</t>
        </is>
      </c>
      <c r="C173" s="8" t="inlineStr">
        <is>
          <t>Persistence</t>
        </is>
      </c>
      <c r="D173" s="8" t="inlineStr">
        <is>
          <t>ST-087</t>
        </is>
      </c>
      <c r="E173" s="20" t="inlineStr">
        <is>
          <t>Positive</t>
        </is>
      </c>
      <c r="F173" s="25" t="inlineStr">
        <is>
          <t>P2</t>
        </is>
      </c>
      <c r="G173" s="9" t="inlineStr">
        <is>
          <t>Latency is measured against the published budgets</t>
        </is>
      </c>
      <c r="H173" s="9" t="inlineStr">
        <is>
          <t>A budget nothing measures is a wish.</t>
        </is>
      </c>
      <c r="I173" s="9" t="inlineStr">
        <is>
          <t>Operator token; some traffic.</t>
        </is>
      </c>
      <c r="J173" s="9" t="inlineStr">
        <is>
          <t>1. Drive traffic across several routes.
2. Read the latency block of GET /analytics/ops.</t>
        </is>
      </c>
      <c r="K173" s="9" t="inlineStr">
        <is>
          <t>p95 is reported per route PATTERN — /orgs/:id/status, not /orgs/acme/status — so the label set does not grow with the customer list. Abandoned requests are timed too, not only completed ones.</t>
        </is>
      </c>
      <c r="L173" s="9" t="inlineStr">
        <is>
          <t>latency.test.ts</t>
        </is>
      </c>
      <c r="M173" s="19" t="inlineStr"/>
      <c r="N173" s="22" t="inlineStr">
        <is>
          <t>Not run</t>
        </is>
      </c>
      <c r="O173" s="22" t="inlineStr"/>
      <c r="P173" s="22" t="inlineStr"/>
      <c r="Q173" s="22" t="inlineStr"/>
    </row>
    <row r="174">
      <c r="A174" s="8" t="inlineStr">
        <is>
          <t>TC-PER-008</t>
        </is>
      </c>
      <c r="B174" s="8" t="inlineStr">
        <is>
          <t>v0.42.0</t>
        </is>
      </c>
      <c r="C174" s="8" t="inlineStr">
        <is>
          <t>Persistence</t>
        </is>
      </c>
      <c r="D174" s="8" t="inlineStr">
        <is>
          <t>ST-075</t>
        </is>
      </c>
      <c r="E174" s="20" t="inlineStr">
        <is>
          <t>Positive</t>
        </is>
      </c>
      <c r="F174" s="25" t="inlineStr">
        <is>
          <t>P3</t>
        </is>
      </c>
      <c r="G174" s="9" t="inlineStr">
        <is>
          <t>Account health is computed from measured inputs</t>
        </is>
      </c>
      <c r="H174" s="9" t="inlineStr">
        <is>
          <t>The score used to run on values a caller supplied.</t>
        </is>
      </c>
      <c r="I174" s="9" t="inlineStr">
        <is>
          <t>Operator token; a workspace with some activity history.</t>
        </is>
      </c>
      <c r="J174" s="9" t="inlineStr">
        <is>
          <t>1. Read GET /orgs/&lt;id&gt;/health as the workspace.
2. Read GET /analytics/at-risk as an operator.</t>
        </is>
      </c>
      <c r="K174" s="9" t="inlineStr">
        <is>
          <t>The score uses distinct active days, not raw event counts. Components MeetSync cannot measure are excluded and the maximum says so; the score is normalised before comparison to the configured threshold. The alert carries a count and never an account id.</t>
        </is>
      </c>
      <c r="L174" s="9" t="inlineStr">
        <is>
          <t>accountHealth.test.ts; ops.test.ts</t>
        </is>
      </c>
      <c r="M174" s="19" t="inlineStr"/>
      <c r="N174" s="22" t="inlineStr">
        <is>
          <t>Not run</t>
        </is>
      </c>
      <c r="O174" s="22" t="inlineStr"/>
      <c r="P174" s="22" t="inlineStr"/>
      <c r="Q174" s="22" t="inlineStr"/>
    </row>
    <row r="175">
      <c r="A175" s="8" t="inlineStr">
        <is>
          <t>TC-MET-001</t>
        </is>
      </c>
      <c r="B175" s="8" t="inlineStr">
        <is>
          <t>v0.08.0</t>
        </is>
      </c>
      <c r="C175" s="8" t="inlineStr">
        <is>
          <t>Metrics</t>
        </is>
      </c>
      <c r="D175" s="8" t="inlineStr">
        <is>
          <t>ST-071</t>
        </is>
      </c>
      <c r="E175" s="20" t="inlineStr">
        <is>
          <t>Positive</t>
        </is>
      </c>
      <c r="F175" s="25" t="inlineStr">
        <is>
          <t>P2</t>
        </is>
      </c>
      <c r="G175" s="9" t="inlineStr">
        <is>
          <t>The activation funnel records each stage once per account</t>
        </is>
      </c>
      <c r="H175" s="9" t="inlineStr">
        <is>
          <t>Funnel integrity.</t>
        </is>
      </c>
      <c r="I175" s="9" t="inlineStr">
        <is>
          <t>Operator token.</t>
        </is>
      </c>
      <c r="J175" s="9" t="inlineStr">
        <is>
          <t>1. Install, complete setup, reach the aha step and approve a writeback for one workspace.
2. Read GET /analytics/funnel.
3. Repeat an earlier stage.</t>
        </is>
      </c>
      <c r="K175" s="9" t="inlineStr">
        <is>
          <t>install, setup, aha and activated each count the workspace once. Repeating a stage does not double-count.</t>
        </is>
      </c>
      <c r="L175" s="9" t="inlineStr">
        <is>
          <t>telemetry.test.ts funnelDashboard</t>
        </is>
      </c>
      <c r="M175" s="19" t="inlineStr"/>
      <c r="N175" s="22" t="inlineStr">
        <is>
          <t>Not run</t>
        </is>
      </c>
      <c r="O175" s="22" t="inlineStr"/>
      <c r="P175" s="22" t="inlineStr"/>
      <c r="Q175" s="22" t="inlineStr"/>
    </row>
    <row r="176">
      <c r="A176" s="8" t="inlineStr">
        <is>
          <t>TC-MET-002</t>
        </is>
      </c>
      <c r="B176" s="8" t="inlineStr">
        <is>
          <t>v0.45.0</t>
        </is>
      </c>
      <c r="C176" s="8" t="inlineStr">
        <is>
          <t>Metrics</t>
        </is>
      </c>
      <c r="D176" s="8" t="inlineStr">
        <is>
          <t>ST-141</t>
        </is>
      </c>
      <c r="E176" s="20" t="inlineStr">
        <is>
          <t>Positive</t>
        </is>
      </c>
      <c r="F176" s="25" t="inlineStr">
        <is>
          <t>P2</t>
        </is>
      </c>
      <c r="G176" s="9" t="inlineStr">
        <is>
          <t>The funnel CSV header matches its rows</t>
        </is>
      </c>
      <c r="H176" s="9" t="inlineStr">
        <is>
          <t>A new stage used to leave the export one column short of its rows.</t>
        </is>
      </c>
      <c r="I176" s="9" t="inlineStr">
        <is>
          <t>Operator token.</t>
        </is>
      </c>
      <c r="J176" s="9" t="inlineStr">
        <is>
          <t>1. Call GET /analytics/export.csv.
2. Count the header columns and the columns in a data row.</t>
        </is>
      </c>
      <c r="K176" s="9" t="inlineStr">
        <is>
          <t>They match. The header is derived from the stage list rather than written out separately, so a future stage cannot desynchronise them.</t>
        </is>
      </c>
      <c r="L176" s="9" t="inlineStr">
        <is>
          <t>telemetry.test.ts CSV export</t>
        </is>
      </c>
      <c r="M176" s="19" t="inlineStr"/>
      <c r="N176" s="22" t="inlineStr">
        <is>
          <t>Not run</t>
        </is>
      </c>
      <c r="O176" s="22" t="inlineStr"/>
      <c r="P176" s="22" t="inlineStr"/>
      <c r="Q176" s="22" t="inlineStr"/>
    </row>
    <row r="177">
      <c r="A177" s="8" t="inlineStr">
        <is>
          <t>TC-MET-003</t>
        </is>
      </c>
      <c r="B177" s="8" t="inlineStr">
        <is>
          <t>v0.13.0</t>
        </is>
      </c>
      <c r="C177" s="8" t="inlineStr">
        <is>
          <t>Metrics</t>
        </is>
      </c>
      <c r="D177" s="8" t="inlineStr">
        <is>
          <t>M-F20</t>
        </is>
      </c>
      <c r="E177" s="23" t="inlineStr">
        <is>
          <t>Negative</t>
        </is>
      </c>
      <c r="F177" s="25" t="inlineStr">
        <is>
          <t>P2</t>
        </is>
      </c>
      <c r="G177" s="9" t="inlineStr">
        <is>
          <t>A CSV export quotes cells that need quoting</t>
        </is>
      </c>
      <c r="H177" s="9" t="inlineStr">
        <is>
          <t>An account id containing a comma used to shift every later column.</t>
        </is>
      </c>
      <c r="I177" s="9" t="inlineStr">
        <is>
          <t>Operator token; an account id containing a comma or a quote.</t>
        </is>
      </c>
      <c r="J177" s="9" t="inlineStr">
        <is>
          <t>1. Export the funnel CSV.
2. Open it in a spreadsheet.</t>
        </is>
      </c>
      <c r="K177" s="9" t="inlineStr">
        <is>
          <t>Columns align. Only the cells that need quoting are quoted.</t>
        </is>
      </c>
      <c r="L177" s="9" t="inlineStr">
        <is>
          <t>review.test.ts "quotes only the cells that need it"</t>
        </is>
      </c>
      <c r="M177" s="19" t="inlineStr"/>
      <c r="N177" s="22" t="inlineStr">
        <is>
          <t>Not run</t>
        </is>
      </c>
      <c r="O177" s="22" t="inlineStr"/>
      <c r="P177" s="22" t="inlineStr"/>
      <c r="Q177" s="22" t="inlineStr"/>
    </row>
    <row r="178">
      <c r="A178" s="8" t="inlineStr">
        <is>
          <t>TC-MET-004</t>
        </is>
      </c>
      <c r="B178" s="8" t="inlineStr">
        <is>
          <t>v0.27.0</t>
        </is>
      </c>
      <c r="C178" s="8" t="inlineStr">
        <is>
          <t>Metrics</t>
        </is>
      </c>
      <c r="D178" s="8" t="inlineStr">
        <is>
          <t>ST-073</t>
        </is>
      </c>
      <c r="E178" s="20" t="inlineStr">
        <is>
          <t>Positive</t>
        </is>
      </c>
      <c r="F178" s="25" t="inlineStr">
        <is>
          <t>P3</t>
        </is>
      </c>
      <c r="G178" s="9" t="inlineStr">
        <is>
          <t>The feature heatmap counts real usage</t>
        </is>
      </c>
      <c r="H178" s="9" t="inlineStr">
        <is>
          <t>The heatmap counted nothing because hit() was never called.</t>
        </is>
      </c>
      <c r="I178" s="9" t="inlineStr">
        <is>
          <t>Operator token.</t>
        </is>
      </c>
      <c r="J178" s="9" t="inlineStr">
        <is>
          <t>1. Use several features across two workspaces.
2. Read the heatmap in GET /analytics/ops.</t>
        </is>
      </c>
      <c r="K178" s="9" t="inlineStr">
        <is>
          <t>Each feature route records one use and the heatmap reflects actual usage, ordered by volume.</t>
        </is>
      </c>
      <c r="L178" s="9" t="inlineStr">
        <is>
          <t>telemetry.test.ts heatmap</t>
        </is>
      </c>
      <c r="M178" s="19" t="inlineStr"/>
      <c r="N178" s="22" t="inlineStr">
        <is>
          <t>Not run</t>
        </is>
      </c>
      <c r="O178" s="22" t="inlineStr"/>
      <c r="P178" s="22" t="inlineStr"/>
      <c r="Q178" s="22" t="inlineStr"/>
    </row>
    <row r="179">
      <c r="A179" s="8" t="inlineStr">
        <is>
          <t>TC-MET-005</t>
        </is>
      </c>
      <c r="B179" s="8" t="inlineStr">
        <is>
          <t>v0.13.0</t>
        </is>
      </c>
      <c r="C179" s="8" t="inlineStr">
        <is>
          <t>Metrics</t>
        </is>
      </c>
      <c r="D179" s="8" t="inlineStr">
        <is>
          <t>M-F06</t>
        </is>
      </c>
      <c r="E179" s="23" t="inlineStr">
        <is>
          <t>Negative</t>
        </is>
      </c>
      <c r="F179" s="25" t="inlineStr">
        <is>
          <t>P3</t>
        </is>
      </c>
      <c r="G179" s="9" t="inlineStr">
        <is>
          <t>The weekly digest reports the week, not all time</t>
        </is>
      </c>
      <c r="H179" s="9" t="inlineStr">
        <is>
          <t>The digest printed the all-time error count under a 7d label, so a quiet week read as the worst week yet.</t>
        </is>
      </c>
      <c r="I179" s="9" t="inlineStr">
        <is>
          <t>Operator token; errors older and newer than seven days.</t>
        </is>
      </c>
      <c r="J179" s="9" t="inlineStr">
        <is>
          <t>1. Read the ops digest.</t>
        </is>
      </c>
      <c r="K179" s="9" t="inlineStr">
        <is>
          <t>The error figure covers the stated window only. The number can go down.</t>
        </is>
      </c>
      <c r="L179" s="9" t="inlineStr">
        <is>
          <t>ops.test.ts digest window</t>
        </is>
      </c>
      <c r="M179" s="19" t="inlineStr"/>
      <c r="N179" s="22" t="inlineStr">
        <is>
          <t>Not run</t>
        </is>
      </c>
      <c r="O179" s="22" t="inlineStr"/>
      <c r="P179" s="22" t="inlineStr"/>
      <c r="Q179" s="22" t="inlineStr"/>
    </row>
    <row r="180">
      <c r="A180" s="8" t="inlineStr">
        <is>
          <t>TC-MET-006</t>
        </is>
      </c>
      <c r="B180" s="8" t="inlineStr">
        <is>
          <t>v0.45.0</t>
        </is>
      </c>
      <c r="C180" s="8" t="inlineStr">
        <is>
          <t>Metrics</t>
        </is>
      </c>
      <c r="D180" s="8" t="inlineStr">
        <is>
          <t>ST-104</t>
        </is>
      </c>
      <c r="E180" s="20" t="inlineStr">
        <is>
          <t>Positive</t>
        </is>
      </c>
      <c r="F180" s="25" t="inlineStr">
        <is>
          <t>P3</t>
        </is>
      </c>
      <c r="G180" s="9" t="inlineStr">
        <is>
          <t>Rate-limit rejections are attributed by route class</t>
        </is>
      </c>
      <c r="H180" s="9" t="inlineStr">
        <is>
          <t>A burst should be diagnosable.</t>
        </is>
      </c>
      <c r="I180" s="9" t="inlineStr">
        <is>
          <t>Operator token; throttling has occurred on more than one class.</t>
        </is>
      </c>
      <c r="J180" s="9" t="inlineStr">
        <is>
          <t>1. Read GET /analytics/rate-limits.</t>
        </is>
      </c>
      <c r="K180" s="9" t="inlineStr">
        <is>
          <t>Rejections are grouped by class — public, oauth, webhook, account, operator — busiest first, with ties broken by name.</t>
        </is>
      </c>
      <c r="L180" s="9" t="inlineStr">
        <is>
          <t>telemetry.test.ts rateLimitedCounts</t>
        </is>
      </c>
      <c r="M180" s="19" t="inlineStr"/>
      <c r="N180" s="22" t="inlineStr">
        <is>
          <t>Not run</t>
        </is>
      </c>
      <c r="O180" s="22" t="inlineStr"/>
      <c r="P180" s="22" t="inlineStr"/>
      <c r="Q180" s="22" t="inlineStr"/>
    </row>
  </sheetData>
  <autoFilter ref="A3:Q3"/>
  <mergeCells count="2">
    <mergeCell ref="A2:Q2"/>
    <mergeCell ref="A1:Q1"/>
  </mergeCells>
  <dataValidations count="1">
    <dataValidation sqref="N4:N180" showDropDown="0" showInputMessage="0" showErrorMessage="0" allowBlank="1" error="Choose one of: Not run, Pass, Fail, Blocked, N/A, Deferred" type="list">
      <formula1>"Not run,Pass,Fail,Blocked,N/A,Deferred"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8"/>
  <sheetViews>
    <sheetView workbookViewId="0">
      <pane ySplit="3" topLeftCell="A4" activePane="bottomLeft" state="frozen"/>
      <selection pane="bottomLeft" activeCell="A1" sqref="A1"/>
    </sheetView>
  </sheetViews>
  <sheetFormatPr baseColWidth="8" defaultRowHeight="15"/>
  <cols>
    <col width="20" customWidth="1" min="1" max="1"/>
    <col width="34" customWidth="1" min="2" max="2"/>
    <col width="12" customWidth="1" min="3" max="3"/>
    <col width="10" customWidth="1" min="4" max="4"/>
    <col width="10" customWidth="1" min="5" max="5"/>
    <col width="10" customWidth="1" min="6" max="6"/>
    <col width="9" customWidth="1" min="7" max="7"/>
    <col width="9" customWidth="1" min="8" max="8"/>
    <col width="10" customWidth="1" min="9" max="9"/>
    <col width="12" customWidth="1" min="10" max="10"/>
  </cols>
  <sheetData>
    <row r="1" ht="22" customHeight="1">
      <c r="A1" s="1" t="inlineStr">
        <is>
          <t>TEST SUMMARY — live counts over 08_Test_Cases</t>
        </is>
      </c>
    </row>
    <row r="2" ht="30" customHeight="1">
      <c r="A2" s="6" t="inlineStr">
        <is>
          <t>HOW TO USE THIS SHEET — DO NOT EDIT — every number is a formula over 08_Test_Cases and updates as the Status column is filled in. Open in Excel or LibreOffice to recalculate.</t>
        </is>
      </c>
    </row>
    <row r="3">
      <c r="A3" s="7" t="inlineStr">
        <is>
          <t>Dimension</t>
        </is>
      </c>
      <c r="B3" s="7" t="inlineStr">
        <is>
          <t>Value</t>
        </is>
      </c>
      <c r="C3" s="7" t="inlineStr">
        <is>
          <t>Total cases</t>
        </is>
      </c>
      <c r="D3" s="7" t="inlineStr">
        <is>
          <t>Positive</t>
        </is>
      </c>
      <c r="E3" s="7" t="inlineStr">
        <is>
          <t>Negative</t>
        </is>
      </c>
      <c r="F3" s="7" t="inlineStr">
        <is>
          <t>Not run</t>
        </is>
      </c>
      <c r="G3" s="7" t="inlineStr">
        <is>
          <t>Pass</t>
        </is>
      </c>
      <c r="H3" s="7" t="inlineStr">
        <is>
          <t>Fail</t>
        </is>
      </c>
      <c r="I3" s="7" t="inlineStr">
        <is>
          <t>Blocked</t>
        </is>
      </c>
      <c r="J3" s="7" t="inlineStr">
        <is>
          <t>% executed</t>
        </is>
      </c>
    </row>
    <row r="4">
      <c r="A4" s="8" t="inlineStr">
        <is>
          <t>Area</t>
        </is>
      </c>
      <c r="B4" s="8" t="inlineStr">
        <is>
          <t>Install &amp; OAuth</t>
        </is>
      </c>
      <c r="C4" s="8">
        <f>COUNTIF('08_Test_Cases'!$C$4:$C$180,"Install &amp; OAuth")</f>
        <v/>
      </c>
      <c r="D4" s="8">
        <f>COUNTIFS('08_Test_Cases'!$C$4:$C$180,"Install &amp; OAuth",'08_Test_Cases'!$E$4:$E$180,"Positive")</f>
        <v/>
      </c>
      <c r="E4" s="8">
        <f>COUNTIFS('08_Test_Cases'!$C$4:$C$180,"Install &amp; OAuth",'08_Test_Cases'!$E$4:$E$180,"Negative")</f>
        <v/>
      </c>
      <c r="F4" s="8">
        <f>COUNTIFS('08_Test_Cases'!$C$4:$C$180,"Install &amp; OAuth",'08_Test_Cases'!$N$4:$N$180,"Not run")</f>
        <v/>
      </c>
      <c r="G4" s="8">
        <f>COUNTIFS('08_Test_Cases'!$C$4:$C$180,"Install &amp; OAuth",'08_Test_Cases'!$N$4:$N$180,"Pass")</f>
        <v/>
      </c>
      <c r="H4" s="8">
        <f>COUNTIFS('08_Test_Cases'!$C$4:$C$180,"Install &amp; OAuth",'08_Test_Cases'!$N$4:$N$180,"Fail")</f>
        <v/>
      </c>
      <c r="I4" s="8">
        <f>COUNTIFS('08_Test_Cases'!$C$4:$C$180,"Install &amp; OAuth",'08_Test_Cases'!$N$4:$N$180,"Blocked")</f>
        <v/>
      </c>
      <c r="J4" s="26">
        <f>IFERROR(1-COUNTIFS('08_Test_Cases'!$C$4:$C$180,"Install &amp; OAuth",'08_Test_Cases'!$N$4:$N$180,"Not run")/COUNTIF('08_Test_Cases'!$C$4:$C$180,"Install &amp; OAuth"),0)</f>
        <v/>
      </c>
    </row>
    <row r="5">
      <c r="A5" s="8" t="inlineStr">
        <is>
          <t>Area</t>
        </is>
      </c>
      <c r="B5" s="8" t="inlineStr">
        <is>
          <t>Sessions</t>
        </is>
      </c>
      <c r="C5" s="8">
        <f>COUNTIF('08_Test_Cases'!$C$4:$C$180,"Sessions")</f>
        <v/>
      </c>
      <c r="D5" s="8">
        <f>COUNTIFS('08_Test_Cases'!$C$4:$C$180,"Sessions",'08_Test_Cases'!$E$4:$E$180,"Positive")</f>
        <v/>
      </c>
      <c r="E5" s="8">
        <f>COUNTIFS('08_Test_Cases'!$C$4:$C$180,"Sessions",'08_Test_Cases'!$E$4:$E$180,"Negative")</f>
        <v/>
      </c>
      <c r="F5" s="8">
        <f>COUNTIFS('08_Test_Cases'!$C$4:$C$180,"Sessions",'08_Test_Cases'!$N$4:$N$180,"Not run")</f>
        <v/>
      </c>
      <c r="G5" s="8">
        <f>COUNTIFS('08_Test_Cases'!$C$4:$C$180,"Sessions",'08_Test_Cases'!$N$4:$N$180,"Pass")</f>
        <v/>
      </c>
      <c r="H5" s="8">
        <f>COUNTIFS('08_Test_Cases'!$C$4:$C$180,"Sessions",'08_Test_Cases'!$N$4:$N$180,"Fail")</f>
        <v/>
      </c>
      <c r="I5" s="8">
        <f>COUNTIFS('08_Test_Cases'!$C$4:$C$180,"Sessions",'08_Test_Cases'!$N$4:$N$180,"Blocked")</f>
        <v/>
      </c>
      <c r="J5" s="26">
        <f>IFERROR(1-COUNTIFS('08_Test_Cases'!$C$4:$C$180,"Sessions",'08_Test_Cases'!$N$4:$N$180,"Not run")/COUNTIF('08_Test_Cases'!$C$4:$C$180,"Sessions"),0)</f>
        <v/>
      </c>
    </row>
    <row r="6">
      <c r="A6" s="8" t="inlineStr">
        <is>
          <t>Area</t>
        </is>
      </c>
      <c r="B6" s="8" t="inlineStr">
        <is>
          <t>HTTP hardening</t>
        </is>
      </c>
      <c r="C6" s="8">
        <f>COUNTIF('08_Test_Cases'!$C$4:$C$180,"HTTP hardening")</f>
        <v/>
      </c>
      <c r="D6" s="8">
        <f>COUNTIFS('08_Test_Cases'!$C$4:$C$180,"HTTP hardening",'08_Test_Cases'!$E$4:$E$180,"Positive")</f>
        <v/>
      </c>
      <c r="E6" s="8">
        <f>COUNTIFS('08_Test_Cases'!$C$4:$C$180,"HTTP hardening",'08_Test_Cases'!$E$4:$E$180,"Negative")</f>
        <v/>
      </c>
      <c r="F6" s="8">
        <f>COUNTIFS('08_Test_Cases'!$C$4:$C$180,"HTTP hardening",'08_Test_Cases'!$N$4:$N$180,"Not run")</f>
        <v/>
      </c>
      <c r="G6" s="8">
        <f>COUNTIFS('08_Test_Cases'!$C$4:$C$180,"HTTP hardening",'08_Test_Cases'!$N$4:$N$180,"Pass")</f>
        <v/>
      </c>
      <c r="H6" s="8">
        <f>COUNTIFS('08_Test_Cases'!$C$4:$C$180,"HTTP hardening",'08_Test_Cases'!$N$4:$N$180,"Fail")</f>
        <v/>
      </c>
      <c r="I6" s="8">
        <f>COUNTIFS('08_Test_Cases'!$C$4:$C$180,"HTTP hardening",'08_Test_Cases'!$N$4:$N$180,"Blocked")</f>
        <v/>
      </c>
      <c r="J6" s="26">
        <f>IFERROR(1-COUNTIFS('08_Test_Cases'!$C$4:$C$180,"HTTP hardening",'08_Test_Cases'!$N$4:$N$180,"Not run")/COUNTIF('08_Test_Cases'!$C$4:$C$180,"HTTP hardening"),0)</f>
        <v/>
      </c>
    </row>
    <row r="7">
      <c r="A7" s="8" t="inlineStr">
        <is>
          <t>Area</t>
        </is>
      </c>
      <c r="B7" s="8" t="inlineStr">
        <is>
          <t>Operator surface</t>
        </is>
      </c>
      <c r="C7" s="8">
        <f>COUNTIF('08_Test_Cases'!$C$4:$C$180,"Operator surface")</f>
        <v/>
      </c>
      <c r="D7" s="8">
        <f>COUNTIFS('08_Test_Cases'!$C$4:$C$180,"Operator surface",'08_Test_Cases'!$E$4:$E$180,"Positive")</f>
        <v/>
      </c>
      <c r="E7" s="8">
        <f>COUNTIFS('08_Test_Cases'!$C$4:$C$180,"Operator surface",'08_Test_Cases'!$E$4:$E$180,"Negative")</f>
        <v/>
      </c>
      <c r="F7" s="8">
        <f>COUNTIFS('08_Test_Cases'!$C$4:$C$180,"Operator surface",'08_Test_Cases'!$N$4:$N$180,"Not run")</f>
        <v/>
      </c>
      <c r="G7" s="8">
        <f>COUNTIFS('08_Test_Cases'!$C$4:$C$180,"Operator surface",'08_Test_Cases'!$N$4:$N$180,"Pass")</f>
        <v/>
      </c>
      <c r="H7" s="8">
        <f>COUNTIFS('08_Test_Cases'!$C$4:$C$180,"Operator surface",'08_Test_Cases'!$N$4:$N$180,"Fail")</f>
        <v/>
      </c>
      <c r="I7" s="8">
        <f>COUNTIFS('08_Test_Cases'!$C$4:$C$180,"Operator surface",'08_Test_Cases'!$N$4:$N$180,"Blocked")</f>
        <v/>
      </c>
      <c r="J7" s="26">
        <f>IFERROR(1-COUNTIFS('08_Test_Cases'!$C$4:$C$180,"Operator surface",'08_Test_Cases'!$N$4:$N$180,"Not run")/COUNTIF('08_Test_Cases'!$C$4:$C$180,"Operator surface"),0)</f>
        <v/>
      </c>
    </row>
    <row r="8">
      <c r="A8" s="8" t="inlineStr">
        <is>
          <t>Area</t>
        </is>
      </c>
      <c r="B8" s="8" t="inlineStr">
        <is>
          <t>Tenancy &amp; RBAC</t>
        </is>
      </c>
      <c r="C8" s="8">
        <f>COUNTIF('08_Test_Cases'!$C$4:$C$180,"Tenancy &amp; RBAC")</f>
        <v/>
      </c>
      <c r="D8" s="8">
        <f>COUNTIFS('08_Test_Cases'!$C$4:$C$180,"Tenancy &amp; RBAC",'08_Test_Cases'!$E$4:$E$180,"Positive")</f>
        <v/>
      </c>
      <c r="E8" s="8">
        <f>COUNTIFS('08_Test_Cases'!$C$4:$C$180,"Tenancy &amp; RBAC",'08_Test_Cases'!$E$4:$E$180,"Negative")</f>
        <v/>
      </c>
      <c r="F8" s="8">
        <f>COUNTIFS('08_Test_Cases'!$C$4:$C$180,"Tenancy &amp; RBAC",'08_Test_Cases'!$N$4:$N$180,"Not run")</f>
        <v/>
      </c>
      <c r="G8" s="8">
        <f>COUNTIFS('08_Test_Cases'!$C$4:$C$180,"Tenancy &amp; RBAC",'08_Test_Cases'!$N$4:$N$180,"Pass")</f>
        <v/>
      </c>
      <c r="H8" s="8">
        <f>COUNTIFS('08_Test_Cases'!$C$4:$C$180,"Tenancy &amp; RBAC",'08_Test_Cases'!$N$4:$N$180,"Fail")</f>
        <v/>
      </c>
      <c r="I8" s="8">
        <f>COUNTIFS('08_Test_Cases'!$C$4:$C$180,"Tenancy &amp; RBAC",'08_Test_Cases'!$N$4:$N$180,"Blocked")</f>
        <v/>
      </c>
      <c r="J8" s="26">
        <f>IFERROR(1-COUNTIFS('08_Test_Cases'!$C$4:$C$180,"Tenancy &amp; RBAC",'08_Test_Cases'!$N$4:$N$180,"Not run")/COUNTIF('08_Test_Cases'!$C$4:$C$180,"Tenancy &amp; RBAC"),0)</f>
        <v/>
      </c>
    </row>
    <row r="9">
      <c r="A9" s="8" t="inlineStr">
        <is>
          <t>Area</t>
        </is>
      </c>
      <c r="B9" s="8" t="inlineStr">
        <is>
          <t>Data lifecycle</t>
        </is>
      </c>
      <c r="C9" s="8">
        <f>COUNTIF('08_Test_Cases'!$C$4:$C$180,"Data lifecycle")</f>
        <v/>
      </c>
      <c r="D9" s="8">
        <f>COUNTIFS('08_Test_Cases'!$C$4:$C$180,"Data lifecycle",'08_Test_Cases'!$E$4:$E$180,"Positive")</f>
        <v/>
      </c>
      <c r="E9" s="8">
        <f>COUNTIFS('08_Test_Cases'!$C$4:$C$180,"Data lifecycle",'08_Test_Cases'!$E$4:$E$180,"Negative")</f>
        <v/>
      </c>
      <c r="F9" s="8">
        <f>COUNTIFS('08_Test_Cases'!$C$4:$C$180,"Data lifecycle",'08_Test_Cases'!$N$4:$N$180,"Not run")</f>
        <v/>
      </c>
      <c r="G9" s="8">
        <f>COUNTIFS('08_Test_Cases'!$C$4:$C$180,"Data lifecycle",'08_Test_Cases'!$N$4:$N$180,"Pass")</f>
        <v/>
      </c>
      <c r="H9" s="8">
        <f>COUNTIFS('08_Test_Cases'!$C$4:$C$180,"Data lifecycle",'08_Test_Cases'!$N$4:$N$180,"Fail")</f>
        <v/>
      </c>
      <c r="I9" s="8">
        <f>COUNTIFS('08_Test_Cases'!$C$4:$C$180,"Data lifecycle",'08_Test_Cases'!$N$4:$N$180,"Blocked")</f>
        <v/>
      </c>
      <c r="J9" s="26">
        <f>IFERROR(1-COUNTIFS('08_Test_Cases'!$C$4:$C$180,"Data lifecycle",'08_Test_Cases'!$N$4:$N$180,"Not run")/COUNTIF('08_Test_Cases'!$C$4:$C$180,"Data lifecycle"),0)</f>
        <v/>
      </c>
    </row>
    <row r="10">
      <c r="A10" s="8" t="inlineStr">
        <is>
          <t>Area</t>
        </is>
      </c>
      <c r="B10" s="8" t="inlineStr">
        <is>
          <t>Trust &amp; claims</t>
        </is>
      </c>
      <c r="C10" s="8">
        <f>COUNTIF('08_Test_Cases'!$C$4:$C$180,"Trust &amp; claims")</f>
        <v/>
      </c>
      <c r="D10" s="8">
        <f>COUNTIFS('08_Test_Cases'!$C$4:$C$180,"Trust &amp; claims",'08_Test_Cases'!$E$4:$E$180,"Positive")</f>
        <v/>
      </c>
      <c r="E10" s="8">
        <f>COUNTIFS('08_Test_Cases'!$C$4:$C$180,"Trust &amp; claims",'08_Test_Cases'!$E$4:$E$180,"Negative")</f>
        <v/>
      </c>
      <c r="F10" s="8">
        <f>COUNTIFS('08_Test_Cases'!$C$4:$C$180,"Trust &amp; claims",'08_Test_Cases'!$N$4:$N$180,"Not run")</f>
        <v/>
      </c>
      <c r="G10" s="8">
        <f>COUNTIFS('08_Test_Cases'!$C$4:$C$180,"Trust &amp; claims",'08_Test_Cases'!$N$4:$N$180,"Pass")</f>
        <v/>
      </c>
      <c r="H10" s="8">
        <f>COUNTIFS('08_Test_Cases'!$C$4:$C$180,"Trust &amp; claims",'08_Test_Cases'!$N$4:$N$180,"Fail")</f>
        <v/>
      </c>
      <c r="I10" s="8">
        <f>COUNTIFS('08_Test_Cases'!$C$4:$C$180,"Trust &amp; claims",'08_Test_Cases'!$N$4:$N$180,"Blocked")</f>
        <v/>
      </c>
      <c r="J10" s="26">
        <f>IFERROR(1-COUNTIFS('08_Test_Cases'!$C$4:$C$180,"Trust &amp; claims",'08_Test_Cases'!$N$4:$N$180,"Not run")/COUNTIF('08_Test_Cases'!$C$4:$C$180,"Trust &amp; claims"),0)</f>
        <v/>
      </c>
    </row>
    <row r="11">
      <c r="A11" s="8" t="inlineStr">
        <is>
          <t>Area</t>
        </is>
      </c>
      <c r="B11" s="8" t="inlineStr">
        <is>
          <t>Webhooks</t>
        </is>
      </c>
      <c r="C11" s="8">
        <f>COUNTIF('08_Test_Cases'!$C$4:$C$180,"Webhooks")</f>
        <v/>
      </c>
      <c r="D11" s="8">
        <f>COUNTIFS('08_Test_Cases'!$C$4:$C$180,"Webhooks",'08_Test_Cases'!$E$4:$E$180,"Positive")</f>
        <v/>
      </c>
      <c r="E11" s="8">
        <f>COUNTIFS('08_Test_Cases'!$C$4:$C$180,"Webhooks",'08_Test_Cases'!$E$4:$E$180,"Negative")</f>
        <v/>
      </c>
      <c r="F11" s="8">
        <f>COUNTIFS('08_Test_Cases'!$C$4:$C$180,"Webhooks",'08_Test_Cases'!$N$4:$N$180,"Not run")</f>
        <v/>
      </c>
      <c r="G11" s="8">
        <f>COUNTIFS('08_Test_Cases'!$C$4:$C$180,"Webhooks",'08_Test_Cases'!$N$4:$N$180,"Pass")</f>
        <v/>
      </c>
      <c r="H11" s="8">
        <f>COUNTIFS('08_Test_Cases'!$C$4:$C$180,"Webhooks",'08_Test_Cases'!$N$4:$N$180,"Fail")</f>
        <v/>
      </c>
      <c r="I11" s="8">
        <f>COUNTIFS('08_Test_Cases'!$C$4:$C$180,"Webhooks",'08_Test_Cases'!$N$4:$N$180,"Blocked")</f>
        <v/>
      </c>
      <c r="J11" s="26">
        <f>IFERROR(1-COUNTIFS('08_Test_Cases'!$C$4:$C$180,"Webhooks",'08_Test_Cases'!$N$4:$N$180,"Not run")/COUNTIF('08_Test_Cases'!$C$4:$C$180,"Webhooks"),0)</f>
        <v/>
      </c>
    </row>
    <row r="12">
      <c r="A12" s="8" t="inlineStr">
        <is>
          <t>Area</t>
        </is>
      </c>
      <c r="B12" s="8" t="inlineStr">
        <is>
          <t>Product loop</t>
        </is>
      </c>
      <c r="C12" s="8">
        <f>COUNTIF('08_Test_Cases'!$C$4:$C$180,"Product loop")</f>
        <v/>
      </c>
      <c r="D12" s="8">
        <f>COUNTIFS('08_Test_Cases'!$C$4:$C$180,"Product loop",'08_Test_Cases'!$E$4:$E$180,"Positive")</f>
        <v/>
      </c>
      <c r="E12" s="8">
        <f>COUNTIFS('08_Test_Cases'!$C$4:$C$180,"Product loop",'08_Test_Cases'!$E$4:$E$180,"Negative")</f>
        <v/>
      </c>
      <c r="F12" s="8">
        <f>COUNTIFS('08_Test_Cases'!$C$4:$C$180,"Product loop",'08_Test_Cases'!$N$4:$N$180,"Not run")</f>
        <v/>
      </c>
      <c r="G12" s="8">
        <f>COUNTIFS('08_Test_Cases'!$C$4:$C$180,"Product loop",'08_Test_Cases'!$N$4:$N$180,"Pass")</f>
        <v/>
      </c>
      <c r="H12" s="8">
        <f>COUNTIFS('08_Test_Cases'!$C$4:$C$180,"Product loop",'08_Test_Cases'!$N$4:$N$180,"Fail")</f>
        <v/>
      </c>
      <c r="I12" s="8">
        <f>COUNTIFS('08_Test_Cases'!$C$4:$C$180,"Product loop",'08_Test_Cases'!$N$4:$N$180,"Blocked")</f>
        <v/>
      </c>
      <c r="J12" s="26">
        <f>IFERROR(1-COUNTIFS('08_Test_Cases'!$C$4:$C$180,"Product loop",'08_Test_Cases'!$N$4:$N$180,"Not run")/COUNTIF('08_Test_Cases'!$C$4:$C$180,"Product loop"),0)</f>
        <v/>
      </c>
    </row>
    <row r="13">
      <c r="A13" s="8" t="inlineStr">
        <is>
          <t>Area</t>
        </is>
      </c>
      <c r="B13" s="8" t="inlineStr">
        <is>
          <t>F1 Notes</t>
        </is>
      </c>
      <c r="C13" s="8">
        <f>COUNTIF('08_Test_Cases'!$C$4:$C$180,"F1 Notes")</f>
        <v/>
      </c>
      <c r="D13" s="8">
        <f>COUNTIFS('08_Test_Cases'!$C$4:$C$180,"F1 Notes",'08_Test_Cases'!$E$4:$E$180,"Positive")</f>
        <v/>
      </c>
      <c r="E13" s="8">
        <f>COUNTIFS('08_Test_Cases'!$C$4:$C$180,"F1 Notes",'08_Test_Cases'!$E$4:$E$180,"Negative")</f>
        <v/>
      </c>
      <c r="F13" s="8">
        <f>COUNTIFS('08_Test_Cases'!$C$4:$C$180,"F1 Notes",'08_Test_Cases'!$N$4:$N$180,"Not run")</f>
        <v/>
      </c>
      <c r="G13" s="8">
        <f>COUNTIFS('08_Test_Cases'!$C$4:$C$180,"F1 Notes",'08_Test_Cases'!$N$4:$N$180,"Pass")</f>
        <v/>
      </c>
      <c r="H13" s="8">
        <f>COUNTIFS('08_Test_Cases'!$C$4:$C$180,"F1 Notes",'08_Test_Cases'!$N$4:$N$180,"Fail")</f>
        <v/>
      </c>
      <c r="I13" s="8">
        <f>COUNTIFS('08_Test_Cases'!$C$4:$C$180,"F1 Notes",'08_Test_Cases'!$N$4:$N$180,"Blocked")</f>
        <v/>
      </c>
      <c r="J13" s="26">
        <f>IFERROR(1-COUNTIFS('08_Test_Cases'!$C$4:$C$180,"F1 Notes",'08_Test_Cases'!$N$4:$N$180,"Not run")/COUNTIF('08_Test_Cases'!$C$4:$C$180,"F1 Notes"),0)</f>
        <v/>
      </c>
    </row>
    <row r="14">
      <c r="A14" s="8" t="inlineStr">
        <is>
          <t>Area</t>
        </is>
      </c>
      <c r="B14" s="8" t="inlineStr">
        <is>
          <t>F2 Actions</t>
        </is>
      </c>
      <c r="C14" s="8">
        <f>COUNTIF('08_Test_Cases'!$C$4:$C$180,"F2 Actions")</f>
        <v/>
      </c>
      <c r="D14" s="8">
        <f>COUNTIFS('08_Test_Cases'!$C$4:$C$180,"F2 Actions",'08_Test_Cases'!$E$4:$E$180,"Positive")</f>
        <v/>
      </c>
      <c r="E14" s="8">
        <f>COUNTIFS('08_Test_Cases'!$C$4:$C$180,"F2 Actions",'08_Test_Cases'!$E$4:$E$180,"Negative")</f>
        <v/>
      </c>
      <c r="F14" s="8">
        <f>COUNTIFS('08_Test_Cases'!$C$4:$C$180,"F2 Actions",'08_Test_Cases'!$N$4:$N$180,"Not run")</f>
        <v/>
      </c>
      <c r="G14" s="8">
        <f>COUNTIFS('08_Test_Cases'!$C$4:$C$180,"F2 Actions",'08_Test_Cases'!$N$4:$N$180,"Pass")</f>
        <v/>
      </c>
      <c r="H14" s="8">
        <f>COUNTIFS('08_Test_Cases'!$C$4:$C$180,"F2 Actions",'08_Test_Cases'!$N$4:$N$180,"Fail")</f>
        <v/>
      </c>
      <c r="I14" s="8">
        <f>COUNTIFS('08_Test_Cases'!$C$4:$C$180,"F2 Actions",'08_Test_Cases'!$N$4:$N$180,"Blocked")</f>
        <v/>
      </c>
      <c r="J14" s="26">
        <f>IFERROR(1-COUNTIFS('08_Test_Cases'!$C$4:$C$180,"F2 Actions",'08_Test_Cases'!$N$4:$N$180,"Not run")/COUNTIF('08_Test_Cases'!$C$4:$C$180,"F2 Actions"),0)</f>
        <v/>
      </c>
    </row>
    <row r="15">
      <c r="A15" s="8" t="inlineStr">
        <is>
          <t>Area</t>
        </is>
      </c>
      <c r="B15" s="8" t="inlineStr">
        <is>
          <t>F3 CRM</t>
        </is>
      </c>
      <c r="C15" s="8">
        <f>COUNTIF('08_Test_Cases'!$C$4:$C$180,"F3 CRM")</f>
        <v/>
      </c>
      <c r="D15" s="8">
        <f>COUNTIFS('08_Test_Cases'!$C$4:$C$180,"F3 CRM",'08_Test_Cases'!$E$4:$E$180,"Positive")</f>
        <v/>
      </c>
      <c r="E15" s="8">
        <f>COUNTIFS('08_Test_Cases'!$C$4:$C$180,"F3 CRM",'08_Test_Cases'!$E$4:$E$180,"Negative")</f>
        <v/>
      </c>
      <c r="F15" s="8">
        <f>COUNTIFS('08_Test_Cases'!$C$4:$C$180,"F3 CRM",'08_Test_Cases'!$N$4:$N$180,"Not run")</f>
        <v/>
      </c>
      <c r="G15" s="8">
        <f>COUNTIFS('08_Test_Cases'!$C$4:$C$180,"F3 CRM",'08_Test_Cases'!$N$4:$N$180,"Pass")</f>
        <v/>
      </c>
      <c r="H15" s="8">
        <f>COUNTIFS('08_Test_Cases'!$C$4:$C$180,"F3 CRM",'08_Test_Cases'!$N$4:$N$180,"Fail")</f>
        <v/>
      </c>
      <c r="I15" s="8">
        <f>COUNTIFS('08_Test_Cases'!$C$4:$C$180,"F3 CRM",'08_Test_Cases'!$N$4:$N$180,"Blocked")</f>
        <v/>
      </c>
      <c r="J15" s="26">
        <f>IFERROR(1-COUNTIFS('08_Test_Cases'!$C$4:$C$180,"F3 CRM",'08_Test_Cases'!$N$4:$N$180,"Not run")/COUNTIF('08_Test_Cases'!$C$4:$C$180,"F3 CRM"),0)</f>
        <v/>
      </c>
    </row>
    <row r="16">
      <c r="A16" s="8" t="inlineStr">
        <is>
          <t>Area</t>
        </is>
      </c>
      <c r="B16" s="8" t="inlineStr">
        <is>
          <t>F4 Deal risk</t>
        </is>
      </c>
      <c r="C16" s="8">
        <f>COUNTIF('08_Test_Cases'!$C$4:$C$180,"F4 Deal risk")</f>
        <v/>
      </c>
      <c r="D16" s="8">
        <f>COUNTIFS('08_Test_Cases'!$C$4:$C$180,"F4 Deal risk",'08_Test_Cases'!$E$4:$E$180,"Positive")</f>
        <v/>
      </c>
      <c r="E16" s="8">
        <f>COUNTIFS('08_Test_Cases'!$C$4:$C$180,"F4 Deal risk",'08_Test_Cases'!$E$4:$E$180,"Negative")</f>
        <v/>
      </c>
      <c r="F16" s="8">
        <f>COUNTIFS('08_Test_Cases'!$C$4:$C$180,"F4 Deal risk",'08_Test_Cases'!$N$4:$N$180,"Not run")</f>
        <v/>
      </c>
      <c r="G16" s="8">
        <f>COUNTIFS('08_Test_Cases'!$C$4:$C$180,"F4 Deal risk",'08_Test_Cases'!$N$4:$N$180,"Pass")</f>
        <v/>
      </c>
      <c r="H16" s="8">
        <f>COUNTIFS('08_Test_Cases'!$C$4:$C$180,"F4 Deal risk",'08_Test_Cases'!$N$4:$N$180,"Fail")</f>
        <v/>
      </c>
      <c r="I16" s="8">
        <f>COUNTIFS('08_Test_Cases'!$C$4:$C$180,"F4 Deal risk",'08_Test_Cases'!$N$4:$N$180,"Blocked")</f>
        <v/>
      </c>
      <c r="J16" s="26">
        <f>IFERROR(1-COUNTIFS('08_Test_Cases'!$C$4:$C$180,"F4 Deal risk",'08_Test_Cases'!$N$4:$N$180,"Not run")/COUNTIF('08_Test_Cases'!$C$4:$C$180,"F4 Deal risk"),0)</f>
        <v/>
      </c>
    </row>
    <row r="17">
      <c r="A17" s="8" t="inlineStr">
        <is>
          <t>Area</t>
        </is>
      </c>
      <c r="B17" s="8" t="inlineStr">
        <is>
          <t>F5 Indic</t>
        </is>
      </c>
      <c r="C17" s="8">
        <f>COUNTIF('08_Test_Cases'!$C$4:$C$180,"F5 Indic")</f>
        <v/>
      </c>
      <c r="D17" s="8">
        <f>COUNTIFS('08_Test_Cases'!$C$4:$C$180,"F5 Indic",'08_Test_Cases'!$E$4:$E$180,"Positive")</f>
        <v/>
      </c>
      <c r="E17" s="8">
        <f>COUNTIFS('08_Test_Cases'!$C$4:$C$180,"F5 Indic",'08_Test_Cases'!$E$4:$E$180,"Negative")</f>
        <v/>
      </c>
      <c r="F17" s="8">
        <f>COUNTIFS('08_Test_Cases'!$C$4:$C$180,"F5 Indic",'08_Test_Cases'!$N$4:$N$180,"Not run")</f>
        <v/>
      </c>
      <c r="G17" s="8">
        <f>COUNTIFS('08_Test_Cases'!$C$4:$C$180,"F5 Indic",'08_Test_Cases'!$N$4:$N$180,"Pass")</f>
        <v/>
      </c>
      <c r="H17" s="8">
        <f>COUNTIFS('08_Test_Cases'!$C$4:$C$180,"F5 Indic",'08_Test_Cases'!$N$4:$N$180,"Fail")</f>
        <v/>
      </c>
      <c r="I17" s="8">
        <f>COUNTIFS('08_Test_Cases'!$C$4:$C$180,"F5 Indic",'08_Test_Cases'!$N$4:$N$180,"Blocked")</f>
        <v/>
      </c>
      <c r="J17" s="26">
        <f>IFERROR(1-COUNTIFS('08_Test_Cases'!$C$4:$C$180,"F5 Indic",'08_Test_Cases'!$N$4:$N$180,"Not run")/COUNTIF('08_Test_Cases'!$C$4:$C$180,"F5 Indic"),0)</f>
        <v/>
      </c>
    </row>
    <row r="18">
      <c r="A18" s="8" t="inlineStr">
        <is>
          <t>Area</t>
        </is>
      </c>
      <c r="B18" s="8" t="inlineStr">
        <is>
          <t>Billing</t>
        </is>
      </c>
      <c r="C18" s="8">
        <f>COUNTIF('08_Test_Cases'!$C$4:$C$180,"Billing")</f>
        <v/>
      </c>
      <c r="D18" s="8">
        <f>COUNTIFS('08_Test_Cases'!$C$4:$C$180,"Billing",'08_Test_Cases'!$E$4:$E$180,"Positive")</f>
        <v/>
      </c>
      <c r="E18" s="8">
        <f>COUNTIFS('08_Test_Cases'!$C$4:$C$180,"Billing",'08_Test_Cases'!$E$4:$E$180,"Negative")</f>
        <v/>
      </c>
      <c r="F18" s="8">
        <f>COUNTIFS('08_Test_Cases'!$C$4:$C$180,"Billing",'08_Test_Cases'!$N$4:$N$180,"Not run")</f>
        <v/>
      </c>
      <c r="G18" s="8">
        <f>COUNTIFS('08_Test_Cases'!$C$4:$C$180,"Billing",'08_Test_Cases'!$N$4:$N$180,"Pass")</f>
        <v/>
      </c>
      <c r="H18" s="8">
        <f>COUNTIFS('08_Test_Cases'!$C$4:$C$180,"Billing",'08_Test_Cases'!$N$4:$N$180,"Fail")</f>
        <v/>
      </c>
      <c r="I18" s="8">
        <f>COUNTIFS('08_Test_Cases'!$C$4:$C$180,"Billing",'08_Test_Cases'!$N$4:$N$180,"Blocked")</f>
        <v/>
      </c>
      <c r="J18" s="26">
        <f>IFERROR(1-COUNTIFS('08_Test_Cases'!$C$4:$C$180,"Billing",'08_Test_Cases'!$N$4:$N$180,"Not run")/COUNTIF('08_Test_Cases'!$C$4:$C$180,"Billing"),0)</f>
        <v/>
      </c>
    </row>
    <row r="19">
      <c r="A19" s="8" t="inlineStr">
        <is>
          <t>Area</t>
        </is>
      </c>
      <c r="B19" s="8" t="inlineStr">
        <is>
          <t>Public surfaces</t>
        </is>
      </c>
      <c r="C19" s="8">
        <f>COUNTIF('08_Test_Cases'!$C$4:$C$180,"Public surfaces")</f>
        <v/>
      </c>
      <c r="D19" s="8">
        <f>COUNTIFS('08_Test_Cases'!$C$4:$C$180,"Public surfaces",'08_Test_Cases'!$E$4:$E$180,"Positive")</f>
        <v/>
      </c>
      <c r="E19" s="8">
        <f>COUNTIFS('08_Test_Cases'!$C$4:$C$180,"Public surfaces",'08_Test_Cases'!$E$4:$E$180,"Negative")</f>
        <v/>
      </c>
      <c r="F19" s="8">
        <f>COUNTIFS('08_Test_Cases'!$C$4:$C$180,"Public surfaces",'08_Test_Cases'!$N$4:$N$180,"Not run")</f>
        <v/>
      </c>
      <c r="G19" s="8">
        <f>COUNTIFS('08_Test_Cases'!$C$4:$C$180,"Public surfaces",'08_Test_Cases'!$N$4:$N$180,"Pass")</f>
        <v/>
      </c>
      <c r="H19" s="8">
        <f>COUNTIFS('08_Test_Cases'!$C$4:$C$180,"Public surfaces",'08_Test_Cases'!$N$4:$N$180,"Fail")</f>
        <v/>
      </c>
      <c r="I19" s="8">
        <f>COUNTIFS('08_Test_Cases'!$C$4:$C$180,"Public surfaces",'08_Test_Cases'!$N$4:$N$180,"Blocked")</f>
        <v/>
      </c>
      <c r="J19" s="26">
        <f>IFERROR(1-COUNTIFS('08_Test_Cases'!$C$4:$C$180,"Public surfaces",'08_Test_Cases'!$N$4:$N$180,"Not run")/COUNTIF('08_Test_Cases'!$C$4:$C$180,"Public surfaces"),0)</f>
        <v/>
      </c>
    </row>
    <row r="20">
      <c r="A20" s="8" t="inlineStr">
        <is>
          <t>Area</t>
        </is>
      </c>
      <c r="B20" s="8" t="inlineStr">
        <is>
          <t>Web panel</t>
        </is>
      </c>
      <c r="C20" s="8">
        <f>COUNTIF('08_Test_Cases'!$C$4:$C$180,"Web panel")</f>
        <v/>
      </c>
      <c r="D20" s="8">
        <f>COUNTIFS('08_Test_Cases'!$C$4:$C$180,"Web panel",'08_Test_Cases'!$E$4:$E$180,"Positive")</f>
        <v/>
      </c>
      <c r="E20" s="8">
        <f>COUNTIFS('08_Test_Cases'!$C$4:$C$180,"Web panel",'08_Test_Cases'!$E$4:$E$180,"Negative")</f>
        <v/>
      </c>
      <c r="F20" s="8">
        <f>COUNTIFS('08_Test_Cases'!$C$4:$C$180,"Web panel",'08_Test_Cases'!$N$4:$N$180,"Not run")</f>
        <v/>
      </c>
      <c r="G20" s="8">
        <f>COUNTIFS('08_Test_Cases'!$C$4:$C$180,"Web panel",'08_Test_Cases'!$N$4:$N$180,"Pass")</f>
        <v/>
      </c>
      <c r="H20" s="8">
        <f>COUNTIFS('08_Test_Cases'!$C$4:$C$180,"Web panel",'08_Test_Cases'!$N$4:$N$180,"Fail")</f>
        <v/>
      </c>
      <c r="I20" s="8">
        <f>COUNTIFS('08_Test_Cases'!$C$4:$C$180,"Web panel",'08_Test_Cases'!$N$4:$N$180,"Blocked")</f>
        <v/>
      </c>
      <c r="J20" s="26">
        <f>IFERROR(1-COUNTIFS('08_Test_Cases'!$C$4:$C$180,"Web panel",'08_Test_Cases'!$N$4:$N$180,"Not run")/COUNTIF('08_Test_Cases'!$C$4:$C$180,"Web panel"),0)</f>
        <v/>
      </c>
    </row>
    <row r="21">
      <c r="A21" s="8" t="inlineStr">
        <is>
          <t>Area</t>
        </is>
      </c>
      <c r="B21" s="8" t="inlineStr">
        <is>
          <t>Persistence</t>
        </is>
      </c>
      <c r="C21" s="8">
        <f>COUNTIF('08_Test_Cases'!$C$4:$C$180,"Persistence")</f>
        <v/>
      </c>
      <c r="D21" s="8">
        <f>COUNTIFS('08_Test_Cases'!$C$4:$C$180,"Persistence",'08_Test_Cases'!$E$4:$E$180,"Positive")</f>
        <v/>
      </c>
      <c r="E21" s="8">
        <f>COUNTIFS('08_Test_Cases'!$C$4:$C$180,"Persistence",'08_Test_Cases'!$E$4:$E$180,"Negative")</f>
        <v/>
      </c>
      <c r="F21" s="8">
        <f>COUNTIFS('08_Test_Cases'!$C$4:$C$180,"Persistence",'08_Test_Cases'!$N$4:$N$180,"Not run")</f>
        <v/>
      </c>
      <c r="G21" s="8">
        <f>COUNTIFS('08_Test_Cases'!$C$4:$C$180,"Persistence",'08_Test_Cases'!$N$4:$N$180,"Pass")</f>
        <v/>
      </c>
      <c r="H21" s="8">
        <f>COUNTIFS('08_Test_Cases'!$C$4:$C$180,"Persistence",'08_Test_Cases'!$N$4:$N$180,"Fail")</f>
        <v/>
      </c>
      <c r="I21" s="8">
        <f>COUNTIFS('08_Test_Cases'!$C$4:$C$180,"Persistence",'08_Test_Cases'!$N$4:$N$180,"Blocked")</f>
        <v/>
      </c>
      <c r="J21" s="26">
        <f>IFERROR(1-COUNTIFS('08_Test_Cases'!$C$4:$C$180,"Persistence",'08_Test_Cases'!$N$4:$N$180,"Not run")/COUNTIF('08_Test_Cases'!$C$4:$C$180,"Persistence"),0)</f>
        <v/>
      </c>
    </row>
    <row r="22">
      <c r="A22" s="8" t="inlineStr">
        <is>
          <t>Area</t>
        </is>
      </c>
      <c r="B22" s="8" t="inlineStr">
        <is>
          <t>Metrics</t>
        </is>
      </c>
      <c r="C22" s="8">
        <f>COUNTIF('08_Test_Cases'!$C$4:$C$180,"Metrics")</f>
        <v/>
      </c>
      <c r="D22" s="8">
        <f>COUNTIFS('08_Test_Cases'!$C$4:$C$180,"Metrics",'08_Test_Cases'!$E$4:$E$180,"Positive")</f>
        <v/>
      </c>
      <c r="E22" s="8">
        <f>COUNTIFS('08_Test_Cases'!$C$4:$C$180,"Metrics",'08_Test_Cases'!$E$4:$E$180,"Negative")</f>
        <v/>
      </c>
      <c r="F22" s="8">
        <f>COUNTIFS('08_Test_Cases'!$C$4:$C$180,"Metrics",'08_Test_Cases'!$N$4:$N$180,"Not run")</f>
        <v/>
      </c>
      <c r="G22" s="8">
        <f>COUNTIFS('08_Test_Cases'!$C$4:$C$180,"Metrics",'08_Test_Cases'!$N$4:$N$180,"Pass")</f>
        <v/>
      </c>
      <c r="H22" s="8">
        <f>COUNTIFS('08_Test_Cases'!$C$4:$C$180,"Metrics",'08_Test_Cases'!$N$4:$N$180,"Fail")</f>
        <v/>
      </c>
      <c r="I22" s="8">
        <f>COUNTIFS('08_Test_Cases'!$C$4:$C$180,"Metrics",'08_Test_Cases'!$N$4:$N$180,"Blocked")</f>
        <v/>
      </c>
      <c r="J22" s="26">
        <f>IFERROR(1-COUNTIFS('08_Test_Cases'!$C$4:$C$180,"Metrics",'08_Test_Cases'!$N$4:$N$180,"Not run")/COUNTIF('08_Test_Cases'!$C$4:$C$180,"Metrics"),0)</f>
        <v/>
      </c>
    </row>
    <row r="23">
      <c r="A23" s="8" t="inlineStr"/>
      <c r="B23" s="8" t="inlineStr"/>
      <c r="C23" s="8" t="inlineStr"/>
      <c r="D23" s="8" t="inlineStr"/>
      <c r="E23" s="8" t="inlineStr"/>
      <c r="F23" s="8" t="inlineStr"/>
      <c r="G23" s="8" t="inlineStr"/>
      <c r="H23" s="8" t="inlineStr"/>
      <c r="I23" s="8" t="inlineStr"/>
      <c r="J23" s="26" t="inlineStr"/>
    </row>
    <row r="24">
      <c r="A24" s="8" t="inlineStr">
        <is>
          <t>Priority</t>
        </is>
      </c>
      <c r="B24" s="8" t="inlineStr">
        <is>
          <t>P0</t>
        </is>
      </c>
      <c r="C24" s="8">
        <f>COUNTIF('08_Test_Cases'!$F$4:$F$180,"P0")</f>
        <v/>
      </c>
      <c r="D24" s="8">
        <f>COUNTIFS('08_Test_Cases'!$F$4:$F$180,"P0",'08_Test_Cases'!$E$4:$E$180,"Positive")</f>
        <v/>
      </c>
      <c r="E24" s="8">
        <f>COUNTIFS('08_Test_Cases'!$F$4:$F$180,"P0",'08_Test_Cases'!$E$4:$E$180,"Negative")</f>
        <v/>
      </c>
      <c r="F24" s="8">
        <f>COUNTIFS('08_Test_Cases'!$F$4:$F$180,"P0",'08_Test_Cases'!$N$4:$N$180,"Not run")</f>
        <v/>
      </c>
      <c r="G24" s="8">
        <f>COUNTIFS('08_Test_Cases'!$F$4:$F$180,"P0",'08_Test_Cases'!$N$4:$N$180,"Pass")</f>
        <v/>
      </c>
      <c r="H24" s="8">
        <f>COUNTIFS('08_Test_Cases'!$F$4:$F$180,"P0",'08_Test_Cases'!$N$4:$N$180,"Fail")</f>
        <v/>
      </c>
      <c r="I24" s="8">
        <f>COUNTIFS('08_Test_Cases'!$F$4:$F$180,"P0",'08_Test_Cases'!$N$4:$N$180,"Blocked")</f>
        <v/>
      </c>
      <c r="J24" s="26">
        <f>IFERROR(1-COUNTIFS('08_Test_Cases'!$F$4:$F$180,"P0",'08_Test_Cases'!$N$4:$N$180,"Not run")/COUNTIF('08_Test_Cases'!$F$4:$F$180,"P0"),0)</f>
        <v/>
      </c>
    </row>
    <row r="25">
      <c r="A25" s="8" t="inlineStr">
        <is>
          <t>Priority</t>
        </is>
      </c>
      <c r="B25" s="8" t="inlineStr">
        <is>
          <t>P1</t>
        </is>
      </c>
      <c r="C25" s="8">
        <f>COUNTIF('08_Test_Cases'!$F$4:$F$180,"P1")</f>
        <v/>
      </c>
      <c r="D25" s="8">
        <f>COUNTIFS('08_Test_Cases'!$F$4:$F$180,"P1",'08_Test_Cases'!$E$4:$E$180,"Positive")</f>
        <v/>
      </c>
      <c r="E25" s="8">
        <f>COUNTIFS('08_Test_Cases'!$F$4:$F$180,"P1",'08_Test_Cases'!$E$4:$E$180,"Negative")</f>
        <v/>
      </c>
      <c r="F25" s="8">
        <f>COUNTIFS('08_Test_Cases'!$F$4:$F$180,"P1",'08_Test_Cases'!$N$4:$N$180,"Not run")</f>
        <v/>
      </c>
      <c r="G25" s="8">
        <f>COUNTIFS('08_Test_Cases'!$F$4:$F$180,"P1",'08_Test_Cases'!$N$4:$N$180,"Pass")</f>
        <v/>
      </c>
      <c r="H25" s="8">
        <f>COUNTIFS('08_Test_Cases'!$F$4:$F$180,"P1",'08_Test_Cases'!$N$4:$N$180,"Fail")</f>
        <v/>
      </c>
      <c r="I25" s="8">
        <f>COUNTIFS('08_Test_Cases'!$F$4:$F$180,"P1",'08_Test_Cases'!$N$4:$N$180,"Blocked")</f>
        <v/>
      </c>
      <c r="J25" s="26">
        <f>IFERROR(1-COUNTIFS('08_Test_Cases'!$F$4:$F$180,"P1",'08_Test_Cases'!$N$4:$N$180,"Not run")/COUNTIF('08_Test_Cases'!$F$4:$F$180,"P1"),0)</f>
        <v/>
      </c>
    </row>
    <row r="26">
      <c r="A26" s="8" t="inlineStr">
        <is>
          <t>Priority</t>
        </is>
      </c>
      <c r="B26" s="8" t="inlineStr">
        <is>
          <t>P2</t>
        </is>
      </c>
      <c r="C26" s="8">
        <f>COUNTIF('08_Test_Cases'!$F$4:$F$180,"P2")</f>
        <v/>
      </c>
      <c r="D26" s="8">
        <f>COUNTIFS('08_Test_Cases'!$F$4:$F$180,"P2",'08_Test_Cases'!$E$4:$E$180,"Positive")</f>
        <v/>
      </c>
      <c r="E26" s="8">
        <f>COUNTIFS('08_Test_Cases'!$F$4:$F$180,"P2",'08_Test_Cases'!$E$4:$E$180,"Negative")</f>
        <v/>
      </c>
      <c r="F26" s="8">
        <f>COUNTIFS('08_Test_Cases'!$F$4:$F$180,"P2",'08_Test_Cases'!$N$4:$N$180,"Not run")</f>
        <v/>
      </c>
      <c r="G26" s="8">
        <f>COUNTIFS('08_Test_Cases'!$F$4:$F$180,"P2",'08_Test_Cases'!$N$4:$N$180,"Pass")</f>
        <v/>
      </c>
      <c r="H26" s="8">
        <f>COUNTIFS('08_Test_Cases'!$F$4:$F$180,"P2",'08_Test_Cases'!$N$4:$N$180,"Fail")</f>
        <v/>
      </c>
      <c r="I26" s="8">
        <f>COUNTIFS('08_Test_Cases'!$F$4:$F$180,"P2",'08_Test_Cases'!$N$4:$N$180,"Blocked")</f>
        <v/>
      </c>
      <c r="J26" s="26">
        <f>IFERROR(1-COUNTIFS('08_Test_Cases'!$F$4:$F$180,"P2",'08_Test_Cases'!$N$4:$N$180,"Not run")/COUNTIF('08_Test_Cases'!$F$4:$F$180,"P2"),0)</f>
        <v/>
      </c>
    </row>
    <row r="27">
      <c r="A27" s="8" t="inlineStr">
        <is>
          <t>Priority</t>
        </is>
      </c>
      <c r="B27" s="8" t="inlineStr">
        <is>
          <t>P3</t>
        </is>
      </c>
      <c r="C27" s="8">
        <f>COUNTIF('08_Test_Cases'!$F$4:$F$180,"P3")</f>
        <v/>
      </c>
      <c r="D27" s="8">
        <f>COUNTIFS('08_Test_Cases'!$F$4:$F$180,"P3",'08_Test_Cases'!$E$4:$E$180,"Positive")</f>
        <v/>
      </c>
      <c r="E27" s="8">
        <f>COUNTIFS('08_Test_Cases'!$F$4:$F$180,"P3",'08_Test_Cases'!$E$4:$E$180,"Negative")</f>
        <v/>
      </c>
      <c r="F27" s="8">
        <f>COUNTIFS('08_Test_Cases'!$F$4:$F$180,"P3",'08_Test_Cases'!$N$4:$N$180,"Not run")</f>
        <v/>
      </c>
      <c r="G27" s="8">
        <f>COUNTIFS('08_Test_Cases'!$F$4:$F$180,"P3",'08_Test_Cases'!$N$4:$N$180,"Pass")</f>
        <v/>
      </c>
      <c r="H27" s="8">
        <f>COUNTIFS('08_Test_Cases'!$F$4:$F$180,"P3",'08_Test_Cases'!$N$4:$N$180,"Fail")</f>
        <v/>
      </c>
      <c r="I27" s="8">
        <f>COUNTIFS('08_Test_Cases'!$F$4:$F$180,"P3",'08_Test_Cases'!$N$4:$N$180,"Blocked")</f>
        <v/>
      </c>
      <c r="J27" s="26">
        <f>IFERROR(1-COUNTIFS('08_Test_Cases'!$F$4:$F$180,"P3",'08_Test_Cases'!$N$4:$N$180,"Not run")/COUNTIF('08_Test_Cases'!$F$4:$F$180,"P3"),0)</f>
        <v/>
      </c>
    </row>
    <row r="28">
      <c r="A28" s="8" t="inlineStr"/>
      <c r="B28" s="8" t="inlineStr"/>
      <c r="C28" s="8" t="inlineStr"/>
      <c r="D28" s="8" t="inlineStr"/>
      <c r="E28" s="8" t="inlineStr"/>
      <c r="F28" s="8" t="inlineStr"/>
      <c r="G28" s="8" t="inlineStr"/>
      <c r="H28" s="8" t="inlineStr"/>
      <c r="I28" s="8" t="inlineStr"/>
      <c r="J28" s="26" t="inlineStr"/>
    </row>
    <row r="29">
      <c r="A29" s="8" t="inlineStr">
        <is>
          <t>Version introduced</t>
        </is>
      </c>
      <c r="B29" s="8" t="inlineStr">
        <is>
          <t>v0.08.0</t>
        </is>
      </c>
      <c r="C29" s="8">
        <f>COUNTIF('08_Test_Cases'!$B$4:$B$180,"v0.08.0")</f>
        <v/>
      </c>
      <c r="D29" s="8">
        <f>COUNTIFS('08_Test_Cases'!$B$4:$B$180,"v0.08.0",'08_Test_Cases'!$E$4:$E$180,"Positive")</f>
        <v/>
      </c>
      <c r="E29" s="8">
        <f>COUNTIFS('08_Test_Cases'!$B$4:$B$180,"v0.08.0",'08_Test_Cases'!$E$4:$E$180,"Negative")</f>
        <v/>
      </c>
      <c r="F29" s="8">
        <f>COUNTIFS('08_Test_Cases'!$B$4:$B$180,"v0.08.0",'08_Test_Cases'!$N$4:$N$180,"Not run")</f>
        <v/>
      </c>
      <c r="G29" s="8">
        <f>COUNTIFS('08_Test_Cases'!$B$4:$B$180,"v0.08.0",'08_Test_Cases'!$N$4:$N$180,"Pass")</f>
        <v/>
      </c>
      <c r="H29" s="8">
        <f>COUNTIFS('08_Test_Cases'!$B$4:$B$180,"v0.08.0",'08_Test_Cases'!$N$4:$N$180,"Fail")</f>
        <v/>
      </c>
      <c r="I29" s="8">
        <f>COUNTIFS('08_Test_Cases'!$B$4:$B$180,"v0.08.0",'08_Test_Cases'!$N$4:$N$180,"Blocked")</f>
        <v/>
      </c>
      <c r="J29" s="26">
        <f>IFERROR(1-COUNTIFS('08_Test_Cases'!$B$4:$B$180,"v0.08.0",'08_Test_Cases'!$N$4:$N$180,"Not run")/COUNTIF('08_Test_Cases'!$B$4:$B$180,"v0.08.0"),0)</f>
        <v/>
      </c>
    </row>
    <row r="30">
      <c r="A30" s="8" t="inlineStr">
        <is>
          <t>Version introduced</t>
        </is>
      </c>
      <c r="B30" s="8" t="inlineStr">
        <is>
          <t>v0.09.0</t>
        </is>
      </c>
      <c r="C30" s="8">
        <f>COUNTIF('08_Test_Cases'!$B$4:$B$180,"v0.09.0")</f>
        <v/>
      </c>
      <c r="D30" s="8">
        <f>COUNTIFS('08_Test_Cases'!$B$4:$B$180,"v0.09.0",'08_Test_Cases'!$E$4:$E$180,"Positive")</f>
        <v/>
      </c>
      <c r="E30" s="8">
        <f>COUNTIFS('08_Test_Cases'!$B$4:$B$180,"v0.09.0",'08_Test_Cases'!$E$4:$E$180,"Negative")</f>
        <v/>
      </c>
      <c r="F30" s="8">
        <f>COUNTIFS('08_Test_Cases'!$B$4:$B$180,"v0.09.0",'08_Test_Cases'!$N$4:$N$180,"Not run")</f>
        <v/>
      </c>
      <c r="G30" s="8">
        <f>COUNTIFS('08_Test_Cases'!$B$4:$B$180,"v0.09.0",'08_Test_Cases'!$N$4:$N$180,"Pass")</f>
        <v/>
      </c>
      <c r="H30" s="8">
        <f>COUNTIFS('08_Test_Cases'!$B$4:$B$180,"v0.09.0",'08_Test_Cases'!$N$4:$N$180,"Fail")</f>
        <v/>
      </c>
      <c r="I30" s="8">
        <f>COUNTIFS('08_Test_Cases'!$B$4:$B$180,"v0.09.0",'08_Test_Cases'!$N$4:$N$180,"Blocked")</f>
        <v/>
      </c>
      <c r="J30" s="26">
        <f>IFERROR(1-COUNTIFS('08_Test_Cases'!$B$4:$B$180,"v0.09.0",'08_Test_Cases'!$N$4:$N$180,"Not run")/COUNTIF('08_Test_Cases'!$B$4:$B$180,"v0.09.0"),0)</f>
        <v/>
      </c>
    </row>
    <row r="31">
      <c r="A31" s="8" t="inlineStr">
        <is>
          <t>Version introduced</t>
        </is>
      </c>
      <c r="B31" s="8" t="inlineStr">
        <is>
          <t>v0.10.0</t>
        </is>
      </c>
      <c r="C31" s="8">
        <f>COUNTIF('08_Test_Cases'!$B$4:$B$180,"v0.10.0")</f>
        <v/>
      </c>
      <c r="D31" s="8">
        <f>COUNTIFS('08_Test_Cases'!$B$4:$B$180,"v0.10.0",'08_Test_Cases'!$E$4:$E$180,"Positive")</f>
        <v/>
      </c>
      <c r="E31" s="8">
        <f>COUNTIFS('08_Test_Cases'!$B$4:$B$180,"v0.10.0",'08_Test_Cases'!$E$4:$E$180,"Negative")</f>
        <v/>
      </c>
      <c r="F31" s="8">
        <f>COUNTIFS('08_Test_Cases'!$B$4:$B$180,"v0.10.0",'08_Test_Cases'!$N$4:$N$180,"Not run")</f>
        <v/>
      </c>
      <c r="G31" s="8">
        <f>COUNTIFS('08_Test_Cases'!$B$4:$B$180,"v0.10.0",'08_Test_Cases'!$N$4:$N$180,"Pass")</f>
        <v/>
      </c>
      <c r="H31" s="8">
        <f>COUNTIFS('08_Test_Cases'!$B$4:$B$180,"v0.10.0",'08_Test_Cases'!$N$4:$N$180,"Fail")</f>
        <v/>
      </c>
      <c r="I31" s="8">
        <f>COUNTIFS('08_Test_Cases'!$B$4:$B$180,"v0.10.0",'08_Test_Cases'!$N$4:$N$180,"Blocked")</f>
        <v/>
      </c>
      <c r="J31" s="26">
        <f>IFERROR(1-COUNTIFS('08_Test_Cases'!$B$4:$B$180,"v0.10.0",'08_Test_Cases'!$N$4:$N$180,"Not run")/COUNTIF('08_Test_Cases'!$B$4:$B$180,"v0.10.0"),0)</f>
        <v/>
      </c>
    </row>
    <row r="32">
      <c r="A32" s="8" t="inlineStr">
        <is>
          <t>Version introduced</t>
        </is>
      </c>
      <c r="B32" s="8" t="inlineStr">
        <is>
          <t>v0.12.0</t>
        </is>
      </c>
      <c r="C32" s="8">
        <f>COUNTIF('08_Test_Cases'!$B$4:$B$180,"v0.12.0")</f>
        <v/>
      </c>
      <c r="D32" s="8">
        <f>COUNTIFS('08_Test_Cases'!$B$4:$B$180,"v0.12.0",'08_Test_Cases'!$E$4:$E$180,"Positive")</f>
        <v/>
      </c>
      <c r="E32" s="8">
        <f>COUNTIFS('08_Test_Cases'!$B$4:$B$180,"v0.12.0",'08_Test_Cases'!$E$4:$E$180,"Negative")</f>
        <v/>
      </c>
      <c r="F32" s="8">
        <f>COUNTIFS('08_Test_Cases'!$B$4:$B$180,"v0.12.0",'08_Test_Cases'!$N$4:$N$180,"Not run")</f>
        <v/>
      </c>
      <c r="G32" s="8">
        <f>COUNTIFS('08_Test_Cases'!$B$4:$B$180,"v0.12.0",'08_Test_Cases'!$N$4:$N$180,"Pass")</f>
        <v/>
      </c>
      <c r="H32" s="8">
        <f>COUNTIFS('08_Test_Cases'!$B$4:$B$180,"v0.12.0",'08_Test_Cases'!$N$4:$N$180,"Fail")</f>
        <v/>
      </c>
      <c r="I32" s="8">
        <f>COUNTIFS('08_Test_Cases'!$B$4:$B$180,"v0.12.0",'08_Test_Cases'!$N$4:$N$180,"Blocked")</f>
        <v/>
      </c>
      <c r="J32" s="26">
        <f>IFERROR(1-COUNTIFS('08_Test_Cases'!$B$4:$B$180,"v0.12.0",'08_Test_Cases'!$N$4:$N$180,"Not run")/COUNTIF('08_Test_Cases'!$B$4:$B$180,"v0.12.0"),0)</f>
        <v/>
      </c>
    </row>
    <row r="33">
      <c r="A33" s="8" t="inlineStr">
        <is>
          <t>Version introduced</t>
        </is>
      </c>
      <c r="B33" s="8" t="inlineStr">
        <is>
          <t>v0.13.0</t>
        </is>
      </c>
      <c r="C33" s="8">
        <f>COUNTIF('08_Test_Cases'!$B$4:$B$180,"v0.13.0")</f>
        <v/>
      </c>
      <c r="D33" s="8">
        <f>COUNTIFS('08_Test_Cases'!$B$4:$B$180,"v0.13.0",'08_Test_Cases'!$E$4:$E$180,"Positive")</f>
        <v/>
      </c>
      <c r="E33" s="8">
        <f>COUNTIFS('08_Test_Cases'!$B$4:$B$180,"v0.13.0",'08_Test_Cases'!$E$4:$E$180,"Negative")</f>
        <v/>
      </c>
      <c r="F33" s="8">
        <f>COUNTIFS('08_Test_Cases'!$B$4:$B$180,"v0.13.0",'08_Test_Cases'!$N$4:$N$180,"Not run")</f>
        <v/>
      </c>
      <c r="G33" s="8">
        <f>COUNTIFS('08_Test_Cases'!$B$4:$B$180,"v0.13.0",'08_Test_Cases'!$N$4:$N$180,"Pass")</f>
        <v/>
      </c>
      <c r="H33" s="8">
        <f>COUNTIFS('08_Test_Cases'!$B$4:$B$180,"v0.13.0",'08_Test_Cases'!$N$4:$N$180,"Fail")</f>
        <v/>
      </c>
      <c r="I33" s="8">
        <f>COUNTIFS('08_Test_Cases'!$B$4:$B$180,"v0.13.0",'08_Test_Cases'!$N$4:$N$180,"Blocked")</f>
        <v/>
      </c>
      <c r="J33" s="26">
        <f>IFERROR(1-COUNTIFS('08_Test_Cases'!$B$4:$B$180,"v0.13.0",'08_Test_Cases'!$N$4:$N$180,"Not run")/COUNTIF('08_Test_Cases'!$B$4:$B$180,"v0.13.0"),0)</f>
        <v/>
      </c>
    </row>
    <row r="34">
      <c r="A34" s="8" t="inlineStr">
        <is>
          <t>Version introduced</t>
        </is>
      </c>
      <c r="B34" s="8" t="inlineStr">
        <is>
          <t>v0.14.0</t>
        </is>
      </c>
      <c r="C34" s="8">
        <f>COUNTIF('08_Test_Cases'!$B$4:$B$180,"v0.14.0")</f>
        <v/>
      </c>
      <c r="D34" s="8">
        <f>COUNTIFS('08_Test_Cases'!$B$4:$B$180,"v0.14.0",'08_Test_Cases'!$E$4:$E$180,"Positive")</f>
        <v/>
      </c>
      <c r="E34" s="8">
        <f>COUNTIFS('08_Test_Cases'!$B$4:$B$180,"v0.14.0",'08_Test_Cases'!$E$4:$E$180,"Negative")</f>
        <v/>
      </c>
      <c r="F34" s="8">
        <f>COUNTIFS('08_Test_Cases'!$B$4:$B$180,"v0.14.0",'08_Test_Cases'!$N$4:$N$180,"Not run")</f>
        <v/>
      </c>
      <c r="G34" s="8">
        <f>COUNTIFS('08_Test_Cases'!$B$4:$B$180,"v0.14.0",'08_Test_Cases'!$N$4:$N$180,"Pass")</f>
        <v/>
      </c>
      <c r="H34" s="8">
        <f>COUNTIFS('08_Test_Cases'!$B$4:$B$180,"v0.14.0",'08_Test_Cases'!$N$4:$N$180,"Fail")</f>
        <v/>
      </c>
      <c r="I34" s="8">
        <f>COUNTIFS('08_Test_Cases'!$B$4:$B$180,"v0.14.0",'08_Test_Cases'!$N$4:$N$180,"Blocked")</f>
        <v/>
      </c>
      <c r="J34" s="26">
        <f>IFERROR(1-COUNTIFS('08_Test_Cases'!$B$4:$B$180,"v0.14.0",'08_Test_Cases'!$N$4:$N$180,"Not run")/COUNTIF('08_Test_Cases'!$B$4:$B$180,"v0.14.0"),0)</f>
        <v/>
      </c>
    </row>
    <row r="35">
      <c r="A35" s="8" t="inlineStr">
        <is>
          <t>Version introduced</t>
        </is>
      </c>
      <c r="B35" s="8" t="inlineStr">
        <is>
          <t>v0.15.0</t>
        </is>
      </c>
      <c r="C35" s="8">
        <f>COUNTIF('08_Test_Cases'!$B$4:$B$180,"v0.15.0")</f>
        <v/>
      </c>
      <c r="D35" s="8">
        <f>COUNTIFS('08_Test_Cases'!$B$4:$B$180,"v0.15.0",'08_Test_Cases'!$E$4:$E$180,"Positive")</f>
        <v/>
      </c>
      <c r="E35" s="8">
        <f>COUNTIFS('08_Test_Cases'!$B$4:$B$180,"v0.15.0",'08_Test_Cases'!$E$4:$E$180,"Negative")</f>
        <v/>
      </c>
      <c r="F35" s="8">
        <f>COUNTIFS('08_Test_Cases'!$B$4:$B$180,"v0.15.0",'08_Test_Cases'!$N$4:$N$180,"Not run")</f>
        <v/>
      </c>
      <c r="G35" s="8">
        <f>COUNTIFS('08_Test_Cases'!$B$4:$B$180,"v0.15.0",'08_Test_Cases'!$N$4:$N$180,"Pass")</f>
        <v/>
      </c>
      <c r="H35" s="8">
        <f>COUNTIFS('08_Test_Cases'!$B$4:$B$180,"v0.15.0",'08_Test_Cases'!$N$4:$N$180,"Fail")</f>
        <v/>
      </c>
      <c r="I35" s="8">
        <f>COUNTIFS('08_Test_Cases'!$B$4:$B$180,"v0.15.0",'08_Test_Cases'!$N$4:$N$180,"Blocked")</f>
        <v/>
      </c>
      <c r="J35" s="26">
        <f>IFERROR(1-COUNTIFS('08_Test_Cases'!$B$4:$B$180,"v0.15.0",'08_Test_Cases'!$N$4:$N$180,"Not run")/COUNTIF('08_Test_Cases'!$B$4:$B$180,"v0.15.0"),0)</f>
        <v/>
      </c>
    </row>
    <row r="36">
      <c r="A36" s="8" t="inlineStr">
        <is>
          <t>Version introduced</t>
        </is>
      </c>
      <c r="B36" s="8" t="inlineStr">
        <is>
          <t>v0.16.0</t>
        </is>
      </c>
      <c r="C36" s="8">
        <f>COUNTIF('08_Test_Cases'!$B$4:$B$180,"v0.16.0")</f>
        <v/>
      </c>
      <c r="D36" s="8">
        <f>COUNTIFS('08_Test_Cases'!$B$4:$B$180,"v0.16.0",'08_Test_Cases'!$E$4:$E$180,"Positive")</f>
        <v/>
      </c>
      <c r="E36" s="8">
        <f>COUNTIFS('08_Test_Cases'!$B$4:$B$180,"v0.16.0",'08_Test_Cases'!$E$4:$E$180,"Negative")</f>
        <v/>
      </c>
      <c r="F36" s="8">
        <f>COUNTIFS('08_Test_Cases'!$B$4:$B$180,"v0.16.0",'08_Test_Cases'!$N$4:$N$180,"Not run")</f>
        <v/>
      </c>
      <c r="G36" s="8">
        <f>COUNTIFS('08_Test_Cases'!$B$4:$B$180,"v0.16.0",'08_Test_Cases'!$N$4:$N$180,"Pass")</f>
        <v/>
      </c>
      <c r="H36" s="8">
        <f>COUNTIFS('08_Test_Cases'!$B$4:$B$180,"v0.16.0",'08_Test_Cases'!$N$4:$N$180,"Fail")</f>
        <v/>
      </c>
      <c r="I36" s="8">
        <f>COUNTIFS('08_Test_Cases'!$B$4:$B$180,"v0.16.0",'08_Test_Cases'!$N$4:$N$180,"Blocked")</f>
        <v/>
      </c>
      <c r="J36" s="26">
        <f>IFERROR(1-COUNTIFS('08_Test_Cases'!$B$4:$B$180,"v0.16.0",'08_Test_Cases'!$N$4:$N$180,"Not run")/COUNTIF('08_Test_Cases'!$B$4:$B$180,"v0.16.0"),0)</f>
        <v/>
      </c>
    </row>
    <row r="37">
      <c r="A37" s="8" t="inlineStr">
        <is>
          <t>Version introduced</t>
        </is>
      </c>
      <c r="B37" s="8" t="inlineStr">
        <is>
          <t>v0.17.0</t>
        </is>
      </c>
      <c r="C37" s="8">
        <f>COUNTIF('08_Test_Cases'!$B$4:$B$180,"v0.17.0")</f>
        <v/>
      </c>
      <c r="D37" s="8">
        <f>COUNTIFS('08_Test_Cases'!$B$4:$B$180,"v0.17.0",'08_Test_Cases'!$E$4:$E$180,"Positive")</f>
        <v/>
      </c>
      <c r="E37" s="8">
        <f>COUNTIFS('08_Test_Cases'!$B$4:$B$180,"v0.17.0",'08_Test_Cases'!$E$4:$E$180,"Negative")</f>
        <v/>
      </c>
      <c r="F37" s="8">
        <f>COUNTIFS('08_Test_Cases'!$B$4:$B$180,"v0.17.0",'08_Test_Cases'!$N$4:$N$180,"Not run")</f>
        <v/>
      </c>
      <c r="G37" s="8">
        <f>COUNTIFS('08_Test_Cases'!$B$4:$B$180,"v0.17.0",'08_Test_Cases'!$N$4:$N$180,"Pass")</f>
        <v/>
      </c>
      <c r="H37" s="8">
        <f>COUNTIFS('08_Test_Cases'!$B$4:$B$180,"v0.17.0",'08_Test_Cases'!$N$4:$N$180,"Fail")</f>
        <v/>
      </c>
      <c r="I37" s="8">
        <f>COUNTIFS('08_Test_Cases'!$B$4:$B$180,"v0.17.0",'08_Test_Cases'!$N$4:$N$180,"Blocked")</f>
        <v/>
      </c>
      <c r="J37" s="26">
        <f>IFERROR(1-COUNTIFS('08_Test_Cases'!$B$4:$B$180,"v0.17.0",'08_Test_Cases'!$N$4:$N$180,"Not run")/COUNTIF('08_Test_Cases'!$B$4:$B$180,"v0.17.0"),0)</f>
        <v/>
      </c>
    </row>
    <row r="38">
      <c r="A38" s="8" t="inlineStr">
        <is>
          <t>Version introduced</t>
        </is>
      </c>
      <c r="B38" s="8" t="inlineStr">
        <is>
          <t>v0.18.0</t>
        </is>
      </c>
      <c r="C38" s="8">
        <f>COUNTIF('08_Test_Cases'!$B$4:$B$180,"v0.18.0")</f>
        <v/>
      </c>
      <c r="D38" s="8">
        <f>COUNTIFS('08_Test_Cases'!$B$4:$B$180,"v0.18.0",'08_Test_Cases'!$E$4:$E$180,"Positive")</f>
        <v/>
      </c>
      <c r="E38" s="8">
        <f>COUNTIFS('08_Test_Cases'!$B$4:$B$180,"v0.18.0",'08_Test_Cases'!$E$4:$E$180,"Negative")</f>
        <v/>
      </c>
      <c r="F38" s="8">
        <f>COUNTIFS('08_Test_Cases'!$B$4:$B$180,"v0.18.0",'08_Test_Cases'!$N$4:$N$180,"Not run")</f>
        <v/>
      </c>
      <c r="G38" s="8">
        <f>COUNTIFS('08_Test_Cases'!$B$4:$B$180,"v0.18.0",'08_Test_Cases'!$N$4:$N$180,"Pass")</f>
        <v/>
      </c>
      <c r="H38" s="8">
        <f>COUNTIFS('08_Test_Cases'!$B$4:$B$180,"v0.18.0",'08_Test_Cases'!$N$4:$N$180,"Fail")</f>
        <v/>
      </c>
      <c r="I38" s="8">
        <f>COUNTIFS('08_Test_Cases'!$B$4:$B$180,"v0.18.0",'08_Test_Cases'!$N$4:$N$180,"Blocked")</f>
        <v/>
      </c>
      <c r="J38" s="26">
        <f>IFERROR(1-COUNTIFS('08_Test_Cases'!$B$4:$B$180,"v0.18.0",'08_Test_Cases'!$N$4:$N$180,"Not run")/COUNTIF('08_Test_Cases'!$B$4:$B$180,"v0.18.0"),0)</f>
        <v/>
      </c>
    </row>
    <row r="39">
      <c r="A39" s="8" t="inlineStr">
        <is>
          <t>Version introduced</t>
        </is>
      </c>
      <c r="B39" s="8" t="inlineStr">
        <is>
          <t>v0.19.0</t>
        </is>
      </c>
      <c r="C39" s="8">
        <f>COUNTIF('08_Test_Cases'!$B$4:$B$180,"v0.19.0")</f>
        <v/>
      </c>
      <c r="D39" s="8">
        <f>COUNTIFS('08_Test_Cases'!$B$4:$B$180,"v0.19.0",'08_Test_Cases'!$E$4:$E$180,"Positive")</f>
        <v/>
      </c>
      <c r="E39" s="8">
        <f>COUNTIFS('08_Test_Cases'!$B$4:$B$180,"v0.19.0",'08_Test_Cases'!$E$4:$E$180,"Negative")</f>
        <v/>
      </c>
      <c r="F39" s="8">
        <f>COUNTIFS('08_Test_Cases'!$B$4:$B$180,"v0.19.0",'08_Test_Cases'!$N$4:$N$180,"Not run")</f>
        <v/>
      </c>
      <c r="G39" s="8">
        <f>COUNTIFS('08_Test_Cases'!$B$4:$B$180,"v0.19.0",'08_Test_Cases'!$N$4:$N$180,"Pass")</f>
        <v/>
      </c>
      <c r="H39" s="8">
        <f>COUNTIFS('08_Test_Cases'!$B$4:$B$180,"v0.19.0",'08_Test_Cases'!$N$4:$N$180,"Fail")</f>
        <v/>
      </c>
      <c r="I39" s="8">
        <f>COUNTIFS('08_Test_Cases'!$B$4:$B$180,"v0.19.0",'08_Test_Cases'!$N$4:$N$180,"Blocked")</f>
        <v/>
      </c>
      <c r="J39" s="26">
        <f>IFERROR(1-COUNTIFS('08_Test_Cases'!$B$4:$B$180,"v0.19.0",'08_Test_Cases'!$N$4:$N$180,"Not run")/COUNTIF('08_Test_Cases'!$B$4:$B$180,"v0.19.0"),0)</f>
        <v/>
      </c>
    </row>
    <row r="40">
      <c r="A40" s="8" t="inlineStr">
        <is>
          <t>Version introduced</t>
        </is>
      </c>
      <c r="B40" s="8" t="inlineStr">
        <is>
          <t>v0.20.0</t>
        </is>
      </c>
      <c r="C40" s="8">
        <f>COUNTIF('08_Test_Cases'!$B$4:$B$180,"v0.20.0")</f>
        <v/>
      </c>
      <c r="D40" s="8">
        <f>COUNTIFS('08_Test_Cases'!$B$4:$B$180,"v0.20.0",'08_Test_Cases'!$E$4:$E$180,"Positive")</f>
        <v/>
      </c>
      <c r="E40" s="8">
        <f>COUNTIFS('08_Test_Cases'!$B$4:$B$180,"v0.20.0",'08_Test_Cases'!$E$4:$E$180,"Negative")</f>
        <v/>
      </c>
      <c r="F40" s="8">
        <f>COUNTIFS('08_Test_Cases'!$B$4:$B$180,"v0.20.0",'08_Test_Cases'!$N$4:$N$180,"Not run")</f>
        <v/>
      </c>
      <c r="G40" s="8">
        <f>COUNTIFS('08_Test_Cases'!$B$4:$B$180,"v0.20.0",'08_Test_Cases'!$N$4:$N$180,"Pass")</f>
        <v/>
      </c>
      <c r="H40" s="8">
        <f>COUNTIFS('08_Test_Cases'!$B$4:$B$180,"v0.20.0",'08_Test_Cases'!$N$4:$N$180,"Fail")</f>
        <v/>
      </c>
      <c r="I40" s="8">
        <f>COUNTIFS('08_Test_Cases'!$B$4:$B$180,"v0.20.0",'08_Test_Cases'!$N$4:$N$180,"Blocked")</f>
        <v/>
      </c>
      <c r="J40" s="26">
        <f>IFERROR(1-COUNTIFS('08_Test_Cases'!$B$4:$B$180,"v0.20.0",'08_Test_Cases'!$N$4:$N$180,"Not run")/COUNTIF('08_Test_Cases'!$B$4:$B$180,"v0.20.0"),0)</f>
        <v/>
      </c>
    </row>
    <row r="41">
      <c r="A41" s="8" t="inlineStr">
        <is>
          <t>Version introduced</t>
        </is>
      </c>
      <c r="B41" s="8" t="inlineStr">
        <is>
          <t>v0.24.0</t>
        </is>
      </c>
      <c r="C41" s="8">
        <f>COUNTIF('08_Test_Cases'!$B$4:$B$180,"v0.24.0")</f>
        <v/>
      </c>
      <c r="D41" s="8">
        <f>COUNTIFS('08_Test_Cases'!$B$4:$B$180,"v0.24.0",'08_Test_Cases'!$E$4:$E$180,"Positive")</f>
        <v/>
      </c>
      <c r="E41" s="8">
        <f>COUNTIFS('08_Test_Cases'!$B$4:$B$180,"v0.24.0",'08_Test_Cases'!$E$4:$E$180,"Negative")</f>
        <v/>
      </c>
      <c r="F41" s="8">
        <f>COUNTIFS('08_Test_Cases'!$B$4:$B$180,"v0.24.0",'08_Test_Cases'!$N$4:$N$180,"Not run")</f>
        <v/>
      </c>
      <c r="G41" s="8">
        <f>COUNTIFS('08_Test_Cases'!$B$4:$B$180,"v0.24.0",'08_Test_Cases'!$N$4:$N$180,"Pass")</f>
        <v/>
      </c>
      <c r="H41" s="8">
        <f>COUNTIFS('08_Test_Cases'!$B$4:$B$180,"v0.24.0",'08_Test_Cases'!$N$4:$N$180,"Fail")</f>
        <v/>
      </c>
      <c r="I41" s="8">
        <f>COUNTIFS('08_Test_Cases'!$B$4:$B$180,"v0.24.0",'08_Test_Cases'!$N$4:$N$180,"Blocked")</f>
        <v/>
      </c>
      <c r="J41" s="26">
        <f>IFERROR(1-COUNTIFS('08_Test_Cases'!$B$4:$B$180,"v0.24.0",'08_Test_Cases'!$N$4:$N$180,"Not run")/COUNTIF('08_Test_Cases'!$B$4:$B$180,"v0.24.0"),0)</f>
        <v/>
      </c>
    </row>
    <row r="42">
      <c r="A42" s="8" t="inlineStr">
        <is>
          <t>Version introduced</t>
        </is>
      </c>
      <c r="B42" s="8" t="inlineStr">
        <is>
          <t>v0.25.0</t>
        </is>
      </c>
      <c r="C42" s="8">
        <f>COUNTIF('08_Test_Cases'!$B$4:$B$180,"v0.25.0")</f>
        <v/>
      </c>
      <c r="D42" s="8">
        <f>COUNTIFS('08_Test_Cases'!$B$4:$B$180,"v0.25.0",'08_Test_Cases'!$E$4:$E$180,"Positive")</f>
        <v/>
      </c>
      <c r="E42" s="8">
        <f>COUNTIFS('08_Test_Cases'!$B$4:$B$180,"v0.25.0",'08_Test_Cases'!$E$4:$E$180,"Negative")</f>
        <v/>
      </c>
      <c r="F42" s="8">
        <f>COUNTIFS('08_Test_Cases'!$B$4:$B$180,"v0.25.0",'08_Test_Cases'!$N$4:$N$180,"Not run")</f>
        <v/>
      </c>
      <c r="G42" s="8">
        <f>COUNTIFS('08_Test_Cases'!$B$4:$B$180,"v0.25.0",'08_Test_Cases'!$N$4:$N$180,"Pass")</f>
        <v/>
      </c>
      <c r="H42" s="8">
        <f>COUNTIFS('08_Test_Cases'!$B$4:$B$180,"v0.25.0",'08_Test_Cases'!$N$4:$N$180,"Fail")</f>
        <v/>
      </c>
      <c r="I42" s="8">
        <f>COUNTIFS('08_Test_Cases'!$B$4:$B$180,"v0.25.0",'08_Test_Cases'!$N$4:$N$180,"Blocked")</f>
        <v/>
      </c>
      <c r="J42" s="26">
        <f>IFERROR(1-COUNTIFS('08_Test_Cases'!$B$4:$B$180,"v0.25.0",'08_Test_Cases'!$N$4:$N$180,"Not run")/COUNTIF('08_Test_Cases'!$B$4:$B$180,"v0.25.0"),0)</f>
        <v/>
      </c>
    </row>
    <row r="43">
      <c r="A43" s="8" t="inlineStr">
        <is>
          <t>Version introduced</t>
        </is>
      </c>
      <c r="B43" s="8" t="inlineStr">
        <is>
          <t>v0.27.0</t>
        </is>
      </c>
      <c r="C43" s="8">
        <f>COUNTIF('08_Test_Cases'!$B$4:$B$180,"v0.27.0")</f>
        <v/>
      </c>
      <c r="D43" s="8">
        <f>COUNTIFS('08_Test_Cases'!$B$4:$B$180,"v0.27.0",'08_Test_Cases'!$E$4:$E$180,"Positive")</f>
        <v/>
      </c>
      <c r="E43" s="8">
        <f>COUNTIFS('08_Test_Cases'!$B$4:$B$180,"v0.27.0",'08_Test_Cases'!$E$4:$E$180,"Negative")</f>
        <v/>
      </c>
      <c r="F43" s="8">
        <f>COUNTIFS('08_Test_Cases'!$B$4:$B$180,"v0.27.0",'08_Test_Cases'!$N$4:$N$180,"Not run")</f>
        <v/>
      </c>
      <c r="G43" s="8">
        <f>COUNTIFS('08_Test_Cases'!$B$4:$B$180,"v0.27.0",'08_Test_Cases'!$N$4:$N$180,"Pass")</f>
        <v/>
      </c>
      <c r="H43" s="8">
        <f>COUNTIFS('08_Test_Cases'!$B$4:$B$180,"v0.27.0",'08_Test_Cases'!$N$4:$N$180,"Fail")</f>
        <v/>
      </c>
      <c r="I43" s="8">
        <f>COUNTIFS('08_Test_Cases'!$B$4:$B$180,"v0.27.0",'08_Test_Cases'!$N$4:$N$180,"Blocked")</f>
        <v/>
      </c>
      <c r="J43" s="26">
        <f>IFERROR(1-COUNTIFS('08_Test_Cases'!$B$4:$B$180,"v0.27.0",'08_Test_Cases'!$N$4:$N$180,"Not run")/COUNTIF('08_Test_Cases'!$B$4:$B$180,"v0.27.0"),0)</f>
        <v/>
      </c>
    </row>
    <row r="44">
      <c r="A44" s="8" t="inlineStr">
        <is>
          <t>Version introduced</t>
        </is>
      </c>
      <c r="B44" s="8" t="inlineStr">
        <is>
          <t>v0.28.0</t>
        </is>
      </c>
      <c r="C44" s="8">
        <f>COUNTIF('08_Test_Cases'!$B$4:$B$180,"v0.28.0")</f>
        <v/>
      </c>
      <c r="D44" s="8">
        <f>COUNTIFS('08_Test_Cases'!$B$4:$B$180,"v0.28.0",'08_Test_Cases'!$E$4:$E$180,"Positive")</f>
        <v/>
      </c>
      <c r="E44" s="8">
        <f>COUNTIFS('08_Test_Cases'!$B$4:$B$180,"v0.28.0",'08_Test_Cases'!$E$4:$E$180,"Negative")</f>
        <v/>
      </c>
      <c r="F44" s="8">
        <f>COUNTIFS('08_Test_Cases'!$B$4:$B$180,"v0.28.0",'08_Test_Cases'!$N$4:$N$180,"Not run")</f>
        <v/>
      </c>
      <c r="G44" s="8">
        <f>COUNTIFS('08_Test_Cases'!$B$4:$B$180,"v0.28.0",'08_Test_Cases'!$N$4:$N$180,"Pass")</f>
        <v/>
      </c>
      <c r="H44" s="8">
        <f>COUNTIFS('08_Test_Cases'!$B$4:$B$180,"v0.28.0",'08_Test_Cases'!$N$4:$N$180,"Fail")</f>
        <v/>
      </c>
      <c r="I44" s="8">
        <f>COUNTIFS('08_Test_Cases'!$B$4:$B$180,"v0.28.0",'08_Test_Cases'!$N$4:$N$180,"Blocked")</f>
        <v/>
      </c>
      <c r="J44" s="26">
        <f>IFERROR(1-COUNTIFS('08_Test_Cases'!$B$4:$B$180,"v0.28.0",'08_Test_Cases'!$N$4:$N$180,"Not run")/COUNTIF('08_Test_Cases'!$B$4:$B$180,"v0.28.0"),0)</f>
        <v/>
      </c>
    </row>
    <row r="45">
      <c r="A45" s="8" t="inlineStr">
        <is>
          <t>Version introduced</t>
        </is>
      </c>
      <c r="B45" s="8" t="inlineStr">
        <is>
          <t>v0.29.0</t>
        </is>
      </c>
      <c r="C45" s="8">
        <f>COUNTIF('08_Test_Cases'!$B$4:$B$180,"v0.29.0")</f>
        <v/>
      </c>
      <c r="D45" s="8">
        <f>COUNTIFS('08_Test_Cases'!$B$4:$B$180,"v0.29.0",'08_Test_Cases'!$E$4:$E$180,"Positive")</f>
        <v/>
      </c>
      <c r="E45" s="8">
        <f>COUNTIFS('08_Test_Cases'!$B$4:$B$180,"v0.29.0",'08_Test_Cases'!$E$4:$E$180,"Negative")</f>
        <v/>
      </c>
      <c r="F45" s="8">
        <f>COUNTIFS('08_Test_Cases'!$B$4:$B$180,"v0.29.0",'08_Test_Cases'!$N$4:$N$180,"Not run")</f>
        <v/>
      </c>
      <c r="G45" s="8">
        <f>COUNTIFS('08_Test_Cases'!$B$4:$B$180,"v0.29.0",'08_Test_Cases'!$N$4:$N$180,"Pass")</f>
        <v/>
      </c>
      <c r="H45" s="8">
        <f>COUNTIFS('08_Test_Cases'!$B$4:$B$180,"v0.29.0",'08_Test_Cases'!$N$4:$N$180,"Fail")</f>
        <v/>
      </c>
      <c r="I45" s="8">
        <f>COUNTIFS('08_Test_Cases'!$B$4:$B$180,"v0.29.0",'08_Test_Cases'!$N$4:$N$180,"Blocked")</f>
        <v/>
      </c>
      <c r="J45" s="26">
        <f>IFERROR(1-COUNTIFS('08_Test_Cases'!$B$4:$B$180,"v0.29.0",'08_Test_Cases'!$N$4:$N$180,"Not run")/COUNTIF('08_Test_Cases'!$B$4:$B$180,"v0.29.0"),0)</f>
        <v/>
      </c>
    </row>
    <row r="46">
      <c r="A46" s="8" t="inlineStr">
        <is>
          <t>Version introduced</t>
        </is>
      </c>
      <c r="B46" s="8" t="inlineStr">
        <is>
          <t>v0.30.0</t>
        </is>
      </c>
      <c r="C46" s="8">
        <f>COUNTIF('08_Test_Cases'!$B$4:$B$180,"v0.30.0")</f>
        <v/>
      </c>
      <c r="D46" s="8">
        <f>COUNTIFS('08_Test_Cases'!$B$4:$B$180,"v0.30.0",'08_Test_Cases'!$E$4:$E$180,"Positive")</f>
        <v/>
      </c>
      <c r="E46" s="8">
        <f>COUNTIFS('08_Test_Cases'!$B$4:$B$180,"v0.30.0",'08_Test_Cases'!$E$4:$E$180,"Negative")</f>
        <v/>
      </c>
      <c r="F46" s="8">
        <f>COUNTIFS('08_Test_Cases'!$B$4:$B$180,"v0.30.0",'08_Test_Cases'!$N$4:$N$180,"Not run")</f>
        <v/>
      </c>
      <c r="G46" s="8">
        <f>COUNTIFS('08_Test_Cases'!$B$4:$B$180,"v0.30.0",'08_Test_Cases'!$N$4:$N$180,"Pass")</f>
        <v/>
      </c>
      <c r="H46" s="8">
        <f>COUNTIFS('08_Test_Cases'!$B$4:$B$180,"v0.30.0",'08_Test_Cases'!$N$4:$N$180,"Fail")</f>
        <v/>
      </c>
      <c r="I46" s="8">
        <f>COUNTIFS('08_Test_Cases'!$B$4:$B$180,"v0.30.0",'08_Test_Cases'!$N$4:$N$180,"Blocked")</f>
        <v/>
      </c>
      <c r="J46" s="26">
        <f>IFERROR(1-COUNTIFS('08_Test_Cases'!$B$4:$B$180,"v0.30.0",'08_Test_Cases'!$N$4:$N$180,"Not run")/COUNTIF('08_Test_Cases'!$B$4:$B$180,"v0.30.0"),0)</f>
        <v/>
      </c>
    </row>
    <row r="47">
      <c r="A47" s="8" t="inlineStr">
        <is>
          <t>Version introduced</t>
        </is>
      </c>
      <c r="B47" s="8" t="inlineStr">
        <is>
          <t>v0.31.0</t>
        </is>
      </c>
      <c r="C47" s="8">
        <f>COUNTIF('08_Test_Cases'!$B$4:$B$180,"v0.31.0")</f>
        <v/>
      </c>
      <c r="D47" s="8">
        <f>COUNTIFS('08_Test_Cases'!$B$4:$B$180,"v0.31.0",'08_Test_Cases'!$E$4:$E$180,"Positive")</f>
        <v/>
      </c>
      <c r="E47" s="8">
        <f>COUNTIFS('08_Test_Cases'!$B$4:$B$180,"v0.31.0",'08_Test_Cases'!$E$4:$E$180,"Negative")</f>
        <v/>
      </c>
      <c r="F47" s="8">
        <f>COUNTIFS('08_Test_Cases'!$B$4:$B$180,"v0.31.0",'08_Test_Cases'!$N$4:$N$180,"Not run")</f>
        <v/>
      </c>
      <c r="G47" s="8">
        <f>COUNTIFS('08_Test_Cases'!$B$4:$B$180,"v0.31.0",'08_Test_Cases'!$N$4:$N$180,"Pass")</f>
        <v/>
      </c>
      <c r="H47" s="8">
        <f>COUNTIFS('08_Test_Cases'!$B$4:$B$180,"v0.31.0",'08_Test_Cases'!$N$4:$N$180,"Fail")</f>
        <v/>
      </c>
      <c r="I47" s="8">
        <f>COUNTIFS('08_Test_Cases'!$B$4:$B$180,"v0.31.0",'08_Test_Cases'!$N$4:$N$180,"Blocked")</f>
        <v/>
      </c>
      <c r="J47" s="26">
        <f>IFERROR(1-COUNTIFS('08_Test_Cases'!$B$4:$B$180,"v0.31.0",'08_Test_Cases'!$N$4:$N$180,"Not run")/COUNTIF('08_Test_Cases'!$B$4:$B$180,"v0.31.0"),0)</f>
        <v/>
      </c>
    </row>
    <row r="48">
      <c r="A48" s="8" t="inlineStr">
        <is>
          <t>Version introduced</t>
        </is>
      </c>
      <c r="B48" s="8" t="inlineStr">
        <is>
          <t>v0.32.0</t>
        </is>
      </c>
      <c r="C48" s="8">
        <f>COUNTIF('08_Test_Cases'!$B$4:$B$180,"v0.32.0")</f>
        <v/>
      </c>
      <c r="D48" s="8">
        <f>COUNTIFS('08_Test_Cases'!$B$4:$B$180,"v0.32.0",'08_Test_Cases'!$E$4:$E$180,"Positive")</f>
        <v/>
      </c>
      <c r="E48" s="8">
        <f>COUNTIFS('08_Test_Cases'!$B$4:$B$180,"v0.32.0",'08_Test_Cases'!$E$4:$E$180,"Negative")</f>
        <v/>
      </c>
      <c r="F48" s="8">
        <f>COUNTIFS('08_Test_Cases'!$B$4:$B$180,"v0.32.0",'08_Test_Cases'!$N$4:$N$180,"Not run")</f>
        <v/>
      </c>
      <c r="G48" s="8">
        <f>COUNTIFS('08_Test_Cases'!$B$4:$B$180,"v0.32.0",'08_Test_Cases'!$N$4:$N$180,"Pass")</f>
        <v/>
      </c>
      <c r="H48" s="8">
        <f>COUNTIFS('08_Test_Cases'!$B$4:$B$180,"v0.32.0",'08_Test_Cases'!$N$4:$N$180,"Fail")</f>
        <v/>
      </c>
      <c r="I48" s="8">
        <f>COUNTIFS('08_Test_Cases'!$B$4:$B$180,"v0.32.0",'08_Test_Cases'!$N$4:$N$180,"Blocked")</f>
        <v/>
      </c>
      <c r="J48" s="26">
        <f>IFERROR(1-COUNTIFS('08_Test_Cases'!$B$4:$B$180,"v0.32.0",'08_Test_Cases'!$N$4:$N$180,"Not run")/COUNTIF('08_Test_Cases'!$B$4:$B$180,"v0.32.0"),0)</f>
        <v/>
      </c>
    </row>
    <row r="49">
      <c r="A49" s="8" t="inlineStr">
        <is>
          <t>Version introduced</t>
        </is>
      </c>
      <c r="B49" s="8" t="inlineStr">
        <is>
          <t>v0.34.0</t>
        </is>
      </c>
      <c r="C49" s="8">
        <f>COUNTIF('08_Test_Cases'!$B$4:$B$180,"v0.34.0")</f>
        <v/>
      </c>
      <c r="D49" s="8">
        <f>COUNTIFS('08_Test_Cases'!$B$4:$B$180,"v0.34.0",'08_Test_Cases'!$E$4:$E$180,"Positive")</f>
        <v/>
      </c>
      <c r="E49" s="8">
        <f>COUNTIFS('08_Test_Cases'!$B$4:$B$180,"v0.34.0",'08_Test_Cases'!$E$4:$E$180,"Negative")</f>
        <v/>
      </c>
      <c r="F49" s="8">
        <f>COUNTIFS('08_Test_Cases'!$B$4:$B$180,"v0.34.0",'08_Test_Cases'!$N$4:$N$180,"Not run")</f>
        <v/>
      </c>
      <c r="G49" s="8">
        <f>COUNTIFS('08_Test_Cases'!$B$4:$B$180,"v0.34.0",'08_Test_Cases'!$N$4:$N$180,"Pass")</f>
        <v/>
      </c>
      <c r="H49" s="8">
        <f>COUNTIFS('08_Test_Cases'!$B$4:$B$180,"v0.34.0",'08_Test_Cases'!$N$4:$N$180,"Fail")</f>
        <v/>
      </c>
      <c r="I49" s="8">
        <f>COUNTIFS('08_Test_Cases'!$B$4:$B$180,"v0.34.0",'08_Test_Cases'!$N$4:$N$180,"Blocked")</f>
        <v/>
      </c>
      <c r="J49" s="26">
        <f>IFERROR(1-COUNTIFS('08_Test_Cases'!$B$4:$B$180,"v0.34.0",'08_Test_Cases'!$N$4:$N$180,"Not run")/COUNTIF('08_Test_Cases'!$B$4:$B$180,"v0.34.0"),0)</f>
        <v/>
      </c>
    </row>
    <row r="50">
      <c r="A50" s="8" t="inlineStr">
        <is>
          <t>Version introduced</t>
        </is>
      </c>
      <c r="B50" s="8" t="inlineStr">
        <is>
          <t>v0.35.0</t>
        </is>
      </c>
      <c r="C50" s="8">
        <f>COUNTIF('08_Test_Cases'!$B$4:$B$180,"v0.35.0")</f>
        <v/>
      </c>
      <c r="D50" s="8">
        <f>COUNTIFS('08_Test_Cases'!$B$4:$B$180,"v0.35.0",'08_Test_Cases'!$E$4:$E$180,"Positive")</f>
        <v/>
      </c>
      <c r="E50" s="8">
        <f>COUNTIFS('08_Test_Cases'!$B$4:$B$180,"v0.35.0",'08_Test_Cases'!$E$4:$E$180,"Negative")</f>
        <v/>
      </c>
      <c r="F50" s="8">
        <f>COUNTIFS('08_Test_Cases'!$B$4:$B$180,"v0.35.0",'08_Test_Cases'!$N$4:$N$180,"Not run")</f>
        <v/>
      </c>
      <c r="G50" s="8">
        <f>COUNTIFS('08_Test_Cases'!$B$4:$B$180,"v0.35.0",'08_Test_Cases'!$N$4:$N$180,"Pass")</f>
        <v/>
      </c>
      <c r="H50" s="8">
        <f>COUNTIFS('08_Test_Cases'!$B$4:$B$180,"v0.35.0",'08_Test_Cases'!$N$4:$N$180,"Fail")</f>
        <v/>
      </c>
      <c r="I50" s="8">
        <f>COUNTIFS('08_Test_Cases'!$B$4:$B$180,"v0.35.0",'08_Test_Cases'!$N$4:$N$180,"Blocked")</f>
        <v/>
      </c>
      <c r="J50" s="26">
        <f>IFERROR(1-COUNTIFS('08_Test_Cases'!$B$4:$B$180,"v0.35.0",'08_Test_Cases'!$N$4:$N$180,"Not run")/COUNTIF('08_Test_Cases'!$B$4:$B$180,"v0.35.0"),0)</f>
        <v/>
      </c>
    </row>
    <row r="51">
      <c r="A51" s="8" t="inlineStr">
        <is>
          <t>Version introduced</t>
        </is>
      </c>
      <c r="B51" s="8" t="inlineStr">
        <is>
          <t>v0.37.0</t>
        </is>
      </c>
      <c r="C51" s="8">
        <f>COUNTIF('08_Test_Cases'!$B$4:$B$180,"v0.37.0")</f>
        <v/>
      </c>
      <c r="D51" s="8">
        <f>COUNTIFS('08_Test_Cases'!$B$4:$B$180,"v0.37.0",'08_Test_Cases'!$E$4:$E$180,"Positive")</f>
        <v/>
      </c>
      <c r="E51" s="8">
        <f>COUNTIFS('08_Test_Cases'!$B$4:$B$180,"v0.37.0",'08_Test_Cases'!$E$4:$E$180,"Negative")</f>
        <v/>
      </c>
      <c r="F51" s="8">
        <f>COUNTIFS('08_Test_Cases'!$B$4:$B$180,"v0.37.0",'08_Test_Cases'!$N$4:$N$180,"Not run")</f>
        <v/>
      </c>
      <c r="G51" s="8">
        <f>COUNTIFS('08_Test_Cases'!$B$4:$B$180,"v0.37.0",'08_Test_Cases'!$N$4:$N$180,"Pass")</f>
        <v/>
      </c>
      <c r="H51" s="8">
        <f>COUNTIFS('08_Test_Cases'!$B$4:$B$180,"v0.37.0",'08_Test_Cases'!$N$4:$N$180,"Fail")</f>
        <v/>
      </c>
      <c r="I51" s="8">
        <f>COUNTIFS('08_Test_Cases'!$B$4:$B$180,"v0.37.0",'08_Test_Cases'!$N$4:$N$180,"Blocked")</f>
        <v/>
      </c>
      <c r="J51" s="26">
        <f>IFERROR(1-COUNTIFS('08_Test_Cases'!$B$4:$B$180,"v0.37.0",'08_Test_Cases'!$N$4:$N$180,"Not run")/COUNTIF('08_Test_Cases'!$B$4:$B$180,"v0.37.0"),0)</f>
        <v/>
      </c>
    </row>
    <row r="52">
      <c r="A52" s="8" t="inlineStr">
        <is>
          <t>Version introduced</t>
        </is>
      </c>
      <c r="B52" s="8" t="inlineStr">
        <is>
          <t>v0.40.0</t>
        </is>
      </c>
      <c r="C52" s="8">
        <f>COUNTIF('08_Test_Cases'!$B$4:$B$180,"v0.40.0")</f>
        <v/>
      </c>
      <c r="D52" s="8">
        <f>COUNTIFS('08_Test_Cases'!$B$4:$B$180,"v0.40.0",'08_Test_Cases'!$E$4:$E$180,"Positive")</f>
        <v/>
      </c>
      <c r="E52" s="8">
        <f>COUNTIFS('08_Test_Cases'!$B$4:$B$180,"v0.40.0",'08_Test_Cases'!$E$4:$E$180,"Negative")</f>
        <v/>
      </c>
      <c r="F52" s="8">
        <f>COUNTIFS('08_Test_Cases'!$B$4:$B$180,"v0.40.0",'08_Test_Cases'!$N$4:$N$180,"Not run")</f>
        <v/>
      </c>
      <c r="G52" s="8">
        <f>COUNTIFS('08_Test_Cases'!$B$4:$B$180,"v0.40.0",'08_Test_Cases'!$N$4:$N$180,"Pass")</f>
        <v/>
      </c>
      <c r="H52" s="8">
        <f>COUNTIFS('08_Test_Cases'!$B$4:$B$180,"v0.40.0",'08_Test_Cases'!$N$4:$N$180,"Fail")</f>
        <v/>
      </c>
      <c r="I52" s="8">
        <f>COUNTIFS('08_Test_Cases'!$B$4:$B$180,"v0.40.0",'08_Test_Cases'!$N$4:$N$180,"Blocked")</f>
        <v/>
      </c>
      <c r="J52" s="26">
        <f>IFERROR(1-COUNTIFS('08_Test_Cases'!$B$4:$B$180,"v0.40.0",'08_Test_Cases'!$N$4:$N$180,"Not run")/COUNTIF('08_Test_Cases'!$B$4:$B$180,"v0.40.0"),0)</f>
        <v/>
      </c>
    </row>
    <row r="53">
      <c r="A53" s="8" t="inlineStr">
        <is>
          <t>Version introduced</t>
        </is>
      </c>
      <c r="B53" s="8" t="inlineStr">
        <is>
          <t>v0.42.0</t>
        </is>
      </c>
      <c r="C53" s="8">
        <f>COUNTIF('08_Test_Cases'!$B$4:$B$180,"v0.42.0")</f>
        <v/>
      </c>
      <c r="D53" s="8">
        <f>COUNTIFS('08_Test_Cases'!$B$4:$B$180,"v0.42.0",'08_Test_Cases'!$E$4:$E$180,"Positive")</f>
        <v/>
      </c>
      <c r="E53" s="8">
        <f>COUNTIFS('08_Test_Cases'!$B$4:$B$180,"v0.42.0",'08_Test_Cases'!$E$4:$E$180,"Negative")</f>
        <v/>
      </c>
      <c r="F53" s="8">
        <f>COUNTIFS('08_Test_Cases'!$B$4:$B$180,"v0.42.0",'08_Test_Cases'!$N$4:$N$180,"Not run")</f>
        <v/>
      </c>
      <c r="G53" s="8">
        <f>COUNTIFS('08_Test_Cases'!$B$4:$B$180,"v0.42.0",'08_Test_Cases'!$N$4:$N$180,"Pass")</f>
        <v/>
      </c>
      <c r="H53" s="8">
        <f>COUNTIFS('08_Test_Cases'!$B$4:$B$180,"v0.42.0",'08_Test_Cases'!$N$4:$N$180,"Fail")</f>
        <v/>
      </c>
      <c r="I53" s="8">
        <f>COUNTIFS('08_Test_Cases'!$B$4:$B$180,"v0.42.0",'08_Test_Cases'!$N$4:$N$180,"Blocked")</f>
        <v/>
      </c>
      <c r="J53" s="26">
        <f>IFERROR(1-COUNTIFS('08_Test_Cases'!$B$4:$B$180,"v0.42.0",'08_Test_Cases'!$N$4:$N$180,"Not run")/COUNTIF('08_Test_Cases'!$B$4:$B$180,"v0.42.0"),0)</f>
        <v/>
      </c>
    </row>
    <row r="54">
      <c r="A54" s="8" t="inlineStr">
        <is>
          <t>Version introduced</t>
        </is>
      </c>
      <c r="B54" s="8" t="inlineStr">
        <is>
          <t>v0.45.0</t>
        </is>
      </c>
      <c r="C54" s="8">
        <f>COUNTIF('08_Test_Cases'!$B$4:$B$180,"v0.45.0")</f>
        <v/>
      </c>
      <c r="D54" s="8">
        <f>COUNTIFS('08_Test_Cases'!$B$4:$B$180,"v0.45.0",'08_Test_Cases'!$E$4:$E$180,"Positive")</f>
        <v/>
      </c>
      <c r="E54" s="8">
        <f>COUNTIFS('08_Test_Cases'!$B$4:$B$180,"v0.45.0",'08_Test_Cases'!$E$4:$E$180,"Negative")</f>
        <v/>
      </c>
      <c r="F54" s="8">
        <f>COUNTIFS('08_Test_Cases'!$B$4:$B$180,"v0.45.0",'08_Test_Cases'!$N$4:$N$180,"Not run")</f>
        <v/>
      </c>
      <c r="G54" s="8">
        <f>COUNTIFS('08_Test_Cases'!$B$4:$B$180,"v0.45.0",'08_Test_Cases'!$N$4:$N$180,"Pass")</f>
        <v/>
      </c>
      <c r="H54" s="8">
        <f>COUNTIFS('08_Test_Cases'!$B$4:$B$180,"v0.45.0",'08_Test_Cases'!$N$4:$N$180,"Fail")</f>
        <v/>
      </c>
      <c r="I54" s="8">
        <f>COUNTIFS('08_Test_Cases'!$B$4:$B$180,"v0.45.0",'08_Test_Cases'!$N$4:$N$180,"Blocked")</f>
        <v/>
      </c>
      <c r="J54" s="26">
        <f>IFERROR(1-COUNTIFS('08_Test_Cases'!$B$4:$B$180,"v0.45.0",'08_Test_Cases'!$N$4:$N$180,"Not run")/COUNTIF('08_Test_Cases'!$B$4:$B$180,"v0.45.0"),0)</f>
        <v/>
      </c>
    </row>
    <row r="55">
      <c r="J55" s="27" t="n"/>
    </row>
    <row r="56">
      <c r="A56" s="28" t="inlineStr">
        <is>
          <t>GRAND TOTAL</t>
        </is>
      </c>
      <c r="B56" s="28" t="inlineStr">
        <is>
          <t>All cases</t>
        </is>
      </c>
      <c r="C56" s="29">
        <f>COUNTA('08_Test_Cases'!$A$4:$A$180)</f>
        <v/>
      </c>
      <c r="D56" s="29">
        <f>COUNTIF('08_Test_Cases'!$E$4:$E$180,"Positive")</f>
        <v/>
      </c>
      <c r="E56" s="29">
        <f>COUNTIF('08_Test_Cases'!$E$4:$E$180,"Negative")</f>
        <v/>
      </c>
      <c r="F56" s="29">
        <f>COUNTIF('08_Test_Cases'!$N$4:$N$180,"Not run")</f>
        <v/>
      </c>
      <c r="G56" s="29">
        <f>COUNTIF('08_Test_Cases'!$N$4:$N$180,"Pass")</f>
        <v/>
      </c>
      <c r="H56" s="29">
        <f>COUNTIF('08_Test_Cases'!$N$4:$N$180,"Fail")</f>
        <v/>
      </c>
      <c r="I56" s="29">
        <f>COUNTIF('08_Test_Cases'!$N$4:$N$180,"Blocked")</f>
        <v/>
      </c>
      <c r="J56" s="30">
        <f>IFERROR(1-COUNTIF('08_Test_Cases'!$N$4:$N$180,"Not run")/COUNTA('08_Test_Cases'!$A$4:$A$180),0)</f>
        <v/>
      </c>
    </row>
    <row r="58">
      <c r="A58" s="18" t="inlineStr">
        <is>
          <t>Execution status is filled in by the tester in 08_Test_Cases column N. Until a live Zoom install exists, cases whose preconditions require one should be recorded as Blocked, not Fail.</t>
        </is>
      </c>
    </row>
  </sheetData>
  <autoFilter ref="A3:J3"/>
  <mergeCells count="2">
    <mergeCell ref="A1:J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5"/>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0" customWidth="1" min="3" max="3"/>
    <col width="54" customWidth="1" min="4" max="4"/>
    <col width="13" customWidth="1" min="5" max="5"/>
    <col width="10" customWidth="1" min="6" max="6"/>
    <col width="10" customWidth="1" min="7" max="7"/>
    <col width="64" customWidth="1" min="8" max="8"/>
  </cols>
  <sheetData>
    <row r="1" ht="22" customHeight="1">
      <c r="A1" s="1" t="inlineStr">
        <is>
          <t>TRACEABILITY — requirement or finding, to release, to test coverage</t>
        </is>
      </c>
    </row>
    <row r="2" ht="30" customHeight="1">
      <c r="A2" s="6" t="inlineStr">
        <is>
          <t>HOW TO USE THIS SHEET — Answers "how do we know X works?". Read across: the reference, the release that addressed it, the manual cases that cover it, and whether automation already pins it.</t>
        </is>
      </c>
    </row>
    <row r="3">
      <c r="A3" s="7" t="inlineStr">
        <is>
          <t>Story / finding ref</t>
        </is>
      </c>
      <c r="B3" s="7" t="inlineStr">
        <is>
          <t>Addressed in version(s)</t>
        </is>
      </c>
      <c r="C3" s="7" t="inlineStr">
        <is>
          <t>Area</t>
        </is>
      </c>
      <c r="D3" s="7" t="inlineStr">
        <is>
          <t>Manual test cases</t>
        </is>
      </c>
      <c r="E3" s="7" t="inlineStr">
        <is>
          <t>Manual case count</t>
        </is>
      </c>
      <c r="F3" s="7" t="inlineStr">
        <is>
          <t>Positive</t>
        </is>
      </c>
      <c r="G3" s="7" t="inlineStr">
        <is>
          <t>Negative</t>
        </is>
      </c>
      <c r="H3" s="7" t="inlineStr">
        <is>
          <t>Automated coverage</t>
        </is>
      </c>
    </row>
    <row r="4">
      <c r="A4" s="8" t="inlineStr">
        <is>
          <t>A11Y-04</t>
        </is>
      </c>
      <c r="B4" s="8" t="inlineStr">
        <is>
          <t>v0.13.0</t>
        </is>
      </c>
      <c r="C4" s="8" t="inlineStr">
        <is>
          <t>Web panel</t>
        </is>
      </c>
      <c r="D4" s="9" t="inlineStr">
        <is>
          <t>TC-UI-007</t>
        </is>
      </c>
      <c r="E4" s="8" t="n">
        <v>1</v>
      </c>
      <c r="F4" s="8" t="n">
        <v>1</v>
      </c>
      <c r="G4" s="8" t="n">
        <v>0</v>
      </c>
      <c r="H4" s="9" t="inlineStr">
        <is>
          <t>a11y.test.tsx A11Y-04</t>
        </is>
      </c>
    </row>
    <row r="5">
      <c r="A5" s="8" t="inlineStr">
        <is>
          <t>GAP-2</t>
        </is>
      </c>
      <c r="B5" s="8" t="inlineStr">
        <is>
          <t>v0.19.0</t>
        </is>
      </c>
      <c r="C5" s="8" t="inlineStr">
        <is>
          <t>Operator surface</t>
        </is>
      </c>
      <c r="D5" s="9" t="inlineStr">
        <is>
          <t>TC-OPS-005, TC-DAT-007</t>
        </is>
      </c>
      <c r="E5" s="8" t="n">
        <v>2</v>
      </c>
      <c r="F5" s="8" t="n">
        <v>2</v>
      </c>
      <c r="G5" s="8" t="n">
        <v>0</v>
      </c>
      <c r="H5" s="9" t="inlineStr">
        <is>
          <t>scheduler.test.ts; app.test.ts admin routes; scheduler.test.ts; lifecycle.test.ts</t>
        </is>
      </c>
    </row>
    <row r="6">
      <c r="A6" s="8" t="inlineStr">
        <is>
          <t>GAP-3</t>
        </is>
      </c>
      <c r="B6" s="8" t="inlineStr">
        <is>
          <t>v0.20.0</t>
        </is>
      </c>
      <c r="C6" s="8" t="inlineStr">
        <is>
          <t>F2 Actions</t>
        </is>
      </c>
      <c r="D6" s="9" t="inlineStr">
        <is>
          <t>TC-ACT-008</t>
        </is>
      </c>
      <c r="E6" s="8" t="n">
        <v>1</v>
      </c>
      <c r="F6" s="8" t="n">
        <v>1</v>
      </c>
      <c r="G6" s="8" t="n">
        <v>0</v>
      </c>
      <c r="H6" s="9" t="inlineStr">
        <is>
          <t>panels.test.tsx ActionsPanel; clientReachability.test.ts</t>
        </is>
      </c>
    </row>
    <row r="7">
      <c r="A7" s="8" t="inlineStr">
        <is>
          <t>Handover #18b</t>
        </is>
      </c>
      <c r="B7" s="8" t="inlineStr">
        <is>
          <t>v0.24.0</t>
        </is>
      </c>
      <c r="C7" s="8" t="inlineStr">
        <is>
          <t>F3 CRM</t>
        </is>
      </c>
      <c r="D7" s="9" t="inlineStr">
        <is>
          <t>TC-CRM-007</t>
        </is>
      </c>
      <c r="E7" s="8" t="n">
        <v>1</v>
      </c>
      <c r="F7" s="8" t="n">
        <v>1</v>
      </c>
      <c r="G7" s="8" t="n">
        <v>0</v>
      </c>
      <c r="H7" s="9" t="inlineStr">
        <is>
          <t>storeContract.test.ts CrmStore contract</t>
        </is>
      </c>
    </row>
    <row r="8">
      <c r="A8" s="8" t="inlineStr">
        <is>
          <t>Handover #31</t>
        </is>
      </c>
      <c r="B8" s="8" t="inlineStr">
        <is>
          <t>v0.25.0</t>
        </is>
      </c>
      <c r="C8" s="8" t="inlineStr">
        <is>
          <t>Webhooks</t>
        </is>
      </c>
      <c r="D8" s="9" t="inlineStr">
        <is>
          <t>TC-WHK-004, TC-PER-003</t>
        </is>
      </c>
      <c r="E8" s="8" t="n">
        <v>2</v>
      </c>
      <c r="F8" s="8" t="n">
        <v>2</v>
      </c>
      <c r="G8" s="8" t="n">
        <v>0</v>
      </c>
      <c r="H8" s="9" t="inlineStr">
        <is>
          <t>server.test.ts; storeContract.test.ts; storeContract.test.ts DedupeStore; server.test.ts</t>
        </is>
      </c>
    </row>
    <row r="9">
      <c r="A9" s="8" t="inlineStr">
        <is>
          <t>LC-7</t>
        </is>
      </c>
      <c r="B9" s="8" t="inlineStr">
        <is>
          <t>v0.45.0</t>
        </is>
      </c>
      <c r="C9" s="8" t="inlineStr">
        <is>
          <t>F5 Indic</t>
        </is>
      </c>
      <c r="D9" s="9" t="inlineStr">
        <is>
          <t>TC-IND-005</t>
        </is>
      </c>
      <c r="E9" s="8" t="n">
        <v>1</v>
      </c>
      <c r="F9" s="8" t="n">
        <v>0</v>
      </c>
      <c r="G9" s="8" t="n">
        <v>1</v>
      </c>
      <c r="H9" s="9" t="inlineStr">
        <is>
          <t>NONE — manual only (documents a known gap)</t>
        </is>
      </c>
    </row>
    <row r="10">
      <c r="A10" s="8" t="inlineStr">
        <is>
          <t>M-F01</t>
        </is>
      </c>
      <c r="B10" s="8" t="inlineStr">
        <is>
          <t>v0.13.0</t>
        </is>
      </c>
      <c r="C10" s="8" t="inlineStr">
        <is>
          <t>Billing</t>
        </is>
      </c>
      <c r="D10" s="9" t="inlineStr">
        <is>
          <t>TC-BIL-003</t>
        </is>
      </c>
      <c r="E10" s="8" t="n">
        <v>1</v>
      </c>
      <c r="F10" s="8" t="n">
        <v>0</v>
      </c>
      <c r="G10" s="8" t="n">
        <v>1</v>
      </c>
      <c r="H10" s="9" t="inlineStr">
        <is>
          <t>app.test.ts "mutating routes stop at an expired trial"</t>
        </is>
      </c>
    </row>
    <row r="11">
      <c r="A11" s="8" t="inlineStr">
        <is>
          <t>M-F04</t>
        </is>
      </c>
      <c r="B11" s="8" t="inlineStr">
        <is>
          <t>v0.13.0</t>
        </is>
      </c>
      <c r="C11" s="8" t="inlineStr">
        <is>
          <t>Tenancy &amp; RBAC</t>
        </is>
      </c>
      <c r="D11" s="9" t="inlineStr">
        <is>
          <t>TC-TEN-001</t>
        </is>
      </c>
      <c r="E11" s="8" t="n">
        <v>1</v>
      </c>
      <c r="F11" s="8" t="n">
        <v>0</v>
      </c>
      <c r="G11" s="8" t="n">
        <v>1</v>
      </c>
      <c r="H11" s="9" t="inlineStr">
        <is>
          <t>review.test.ts tenancy block</t>
        </is>
      </c>
    </row>
    <row r="12">
      <c r="A12" s="8" t="inlineStr">
        <is>
          <t>M-F06</t>
        </is>
      </c>
      <c r="B12" s="8" t="inlineStr">
        <is>
          <t>v0.13.0</t>
        </is>
      </c>
      <c r="C12" s="8" t="inlineStr">
        <is>
          <t>Metrics</t>
        </is>
      </c>
      <c r="D12" s="9" t="inlineStr">
        <is>
          <t>TC-MET-005</t>
        </is>
      </c>
      <c r="E12" s="8" t="n">
        <v>1</v>
      </c>
      <c r="F12" s="8" t="n">
        <v>0</v>
      </c>
      <c r="G12" s="8" t="n">
        <v>1</v>
      </c>
      <c r="H12" s="9" t="inlineStr">
        <is>
          <t>ops.test.ts digest window</t>
        </is>
      </c>
    </row>
    <row r="13">
      <c r="A13" s="8" t="inlineStr">
        <is>
          <t>M-F09</t>
        </is>
      </c>
      <c r="B13" s="8" t="inlineStr">
        <is>
          <t>v0.13.0</t>
        </is>
      </c>
      <c r="C13" s="8" t="inlineStr">
        <is>
          <t>Billing</t>
        </is>
      </c>
      <c r="D13" s="9" t="inlineStr">
        <is>
          <t>TC-BIL-002</t>
        </is>
      </c>
      <c r="E13" s="8" t="n">
        <v>1</v>
      </c>
      <c r="F13" s="8" t="n">
        <v>0</v>
      </c>
      <c r="G13" s="8" t="n">
        <v>1</v>
      </c>
      <c r="H13" s="9" t="inlineStr">
        <is>
          <t>billing.test.ts assertSeats</t>
        </is>
      </c>
    </row>
    <row r="14">
      <c r="A14" s="8" t="inlineStr">
        <is>
          <t>M-F11</t>
        </is>
      </c>
      <c r="B14" s="8" t="inlineStr">
        <is>
          <t>v0.12.0, v0.13.0</t>
        </is>
      </c>
      <c r="C14" s="8" t="inlineStr">
        <is>
          <t>Sessions</t>
        </is>
      </c>
      <c r="D14" s="9" t="inlineStr">
        <is>
          <t>TC-SES-008, TC-SES-009, TC-UI-012</t>
        </is>
      </c>
      <c r="E14" s="8" t="n">
        <v>3</v>
      </c>
      <c r="F14" s="8" t="n">
        <v>0</v>
      </c>
      <c r="G14" s="8" t="n">
        <v>3</v>
      </c>
      <c r="H14" s="9" t="inlineStr">
        <is>
          <t>app.test.ts "a session for one account cannot act on another account"; app.test.ts "protected routes refuse header-asserted roles"; panels.test.tsx "sends only the signed session"</t>
        </is>
      </c>
    </row>
    <row r="15">
      <c r="A15" s="8" t="inlineStr">
        <is>
          <t>M-F12</t>
        </is>
      </c>
      <c r="B15" s="8" t="inlineStr">
        <is>
          <t>v0.13.0</t>
        </is>
      </c>
      <c r="C15" s="8" t="inlineStr">
        <is>
          <t>Operator surface</t>
        </is>
      </c>
      <c r="D15" s="9" t="inlineStr">
        <is>
          <t>TC-OPS-001</t>
        </is>
      </c>
      <c r="E15" s="8" t="n">
        <v>1</v>
      </c>
      <c r="F15" s="8" t="n">
        <v>0</v>
      </c>
      <c r="G15" s="8" t="n">
        <v>1</v>
      </c>
      <c r="H15" s="9" t="inlineStr">
        <is>
          <t>app.test.ts operator block</t>
        </is>
      </c>
    </row>
    <row r="16">
      <c r="A16" s="8" t="inlineStr">
        <is>
          <t>M-F14</t>
        </is>
      </c>
      <c r="B16" s="8" t="inlineStr">
        <is>
          <t>v0.13.0</t>
        </is>
      </c>
      <c r="C16" s="8" t="inlineStr">
        <is>
          <t>F1 Notes</t>
        </is>
      </c>
      <c r="D16" s="9" t="inlineStr">
        <is>
          <t>TC-NOT-009</t>
        </is>
      </c>
      <c r="E16" s="8" t="n">
        <v>1</v>
      </c>
      <c r="F16" s="8" t="n">
        <v>1</v>
      </c>
      <c r="G16" s="8" t="n">
        <v>0</v>
      </c>
      <c r="H16" s="9" t="inlineStr">
        <is>
          <t>review.test.ts ledger stats; storeContract.test.ts cap case</t>
        </is>
      </c>
    </row>
    <row r="17">
      <c r="A17" s="8" t="inlineStr">
        <is>
          <t>M-F15</t>
        </is>
      </c>
      <c r="B17" s="8" t="inlineStr">
        <is>
          <t>v0.13.0</t>
        </is>
      </c>
      <c r="C17" s="8" t="inlineStr">
        <is>
          <t>Install &amp; OAuth</t>
        </is>
      </c>
      <c r="D17" s="9" t="inlineStr">
        <is>
          <t>TC-INS-004</t>
        </is>
      </c>
      <c r="E17" s="8" t="n">
        <v>1</v>
      </c>
      <c r="F17" s="8" t="n">
        <v>0</v>
      </c>
      <c r="G17" s="8" t="n">
        <v>1</v>
      </c>
      <c r="H17" s="9" t="inlineStr">
        <is>
          <t>app.test.ts "OAuth callback refuses a missing, forged or foreign-signed state"</t>
        </is>
      </c>
    </row>
    <row r="18">
      <c r="A18" s="8" t="inlineStr">
        <is>
          <t>M-F16</t>
        </is>
      </c>
      <c r="B18" s="8" t="inlineStr">
        <is>
          <t>v0.13.0</t>
        </is>
      </c>
      <c r="C18" s="8" t="inlineStr">
        <is>
          <t>Tenancy &amp; RBAC</t>
        </is>
      </c>
      <c r="D18" s="9" t="inlineStr">
        <is>
          <t>TC-TEN-007</t>
        </is>
      </c>
      <c r="E18" s="8" t="n">
        <v>1</v>
      </c>
      <c r="F18" s="8" t="n">
        <v>0</v>
      </c>
      <c r="G18" s="8" t="n">
        <v>1</v>
      </c>
      <c r="H18" s="9" t="inlineStr">
        <is>
          <t>s10.test.ts demo-mode block</t>
        </is>
      </c>
    </row>
    <row r="19">
      <c r="A19" s="8" t="inlineStr">
        <is>
          <t>M-F17</t>
        </is>
      </c>
      <c r="B19" s="8" t="inlineStr">
        <is>
          <t>v0.13.0</t>
        </is>
      </c>
      <c r="C19" s="8" t="inlineStr">
        <is>
          <t>F2 Actions</t>
        </is>
      </c>
      <c r="D19" s="9" t="inlineStr">
        <is>
          <t>TC-ACT-005</t>
        </is>
      </c>
      <c r="E19" s="8" t="n">
        <v>1</v>
      </c>
      <c r="F19" s="8" t="n">
        <v>0</v>
      </c>
      <c r="G19" s="8" t="n">
        <v>1</v>
      </c>
      <c r="H19" s="9" t="inlineStr">
        <is>
          <t>review.test.ts "a non-numeric dueDays override"</t>
        </is>
      </c>
    </row>
    <row r="20">
      <c r="A20" s="8" t="inlineStr">
        <is>
          <t>M-F18</t>
        </is>
      </c>
      <c r="B20" s="8" t="inlineStr">
        <is>
          <t>v0.13.0</t>
        </is>
      </c>
      <c r="C20" s="8" t="inlineStr">
        <is>
          <t>Public surfaces</t>
        </is>
      </c>
      <c r="D20" s="9" t="inlineStr">
        <is>
          <t>TC-PUB-006</t>
        </is>
      </c>
      <c r="E20" s="8" t="n">
        <v>1</v>
      </c>
      <c r="F20" s="8" t="n">
        <v>0</v>
      </c>
      <c r="G20" s="8" t="n">
        <v>1</v>
      </c>
      <c r="H20" s="9" t="inlineStr">
        <is>
          <t>app.test.ts onboarding block</t>
        </is>
      </c>
    </row>
    <row r="21">
      <c r="A21" s="8" t="inlineStr">
        <is>
          <t>M-F20</t>
        </is>
      </c>
      <c r="B21" s="8" t="inlineStr">
        <is>
          <t>v0.13.0</t>
        </is>
      </c>
      <c r="C21" s="8" t="inlineStr">
        <is>
          <t>Metrics</t>
        </is>
      </c>
      <c r="D21" s="9" t="inlineStr">
        <is>
          <t>TC-MET-003</t>
        </is>
      </c>
      <c r="E21" s="8" t="n">
        <v>1</v>
      </c>
      <c r="F21" s="8" t="n">
        <v>0</v>
      </c>
      <c r="G21" s="8" t="n">
        <v>1</v>
      </c>
      <c r="H21" s="9" t="inlineStr">
        <is>
          <t>review.test.ts "quotes only the cells that need it"</t>
        </is>
      </c>
    </row>
    <row r="22">
      <c r="A22" s="8" t="inlineStr">
        <is>
          <t>OBS-M3</t>
        </is>
      </c>
      <c r="B22" s="8" t="inlineStr">
        <is>
          <t>v0.16.0, v0.17.0</t>
        </is>
      </c>
      <c r="C22" s="8" t="inlineStr">
        <is>
          <t>Billing</t>
        </is>
      </c>
      <c r="D22" s="9" t="inlineStr">
        <is>
          <t>TC-BIL-009, TC-PER-001, TC-PER-002, TC-PER-006</t>
        </is>
      </c>
      <c r="E22" s="8" t="n">
        <v>4</v>
      </c>
      <c r="F22" s="8" t="n">
        <v>4</v>
      </c>
      <c r="G22" s="8" t="n">
        <v>0</v>
      </c>
      <c r="H22" s="9" t="inlineStr">
        <is>
          <t>.github/workflows/ci.yml; storeContract.test.ts; billing.test.ts durable store; storeContract.test.ts; server.test.ts migration block; storeContract.test.ts across all nine stores</t>
        </is>
      </c>
    </row>
    <row r="23">
      <c r="A23" s="8" t="inlineStr">
        <is>
          <t>PR-02</t>
        </is>
      </c>
      <c r="B23" s="8" t="inlineStr">
        <is>
          <t>v0.45.0</t>
        </is>
      </c>
      <c r="C23" s="8" t="inlineStr">
        <is>
          <t>Trust &amp; claims</t>
        </is>
      </c>
      <c r="D23" s="9" t="inlineStr">
        <is>
          <t>TC-TRS-006, TC-ACT-004, TC-IND-004</t>
        </is>
      </c>
      <c r="E23" s="8" t="n">
        <v>3</v>
      </c>
      <c r="F23" s="8" t="n">
        <v>0</v>
      </c>
      <c r="G23" s="8" t="n">
        <v>3</v>
      </c>
      <c r="H23" s="9" t="inlineStr">
        <is>
          <t>actions.test.ts rule coverage; claims.test.ts listing hold</t>
        </is>
      </c>
    </row>
    <row r="24">
      <c r="A24" s="8" t="inlineStr">
        <is>
          <t>PR-05</t>
        </is>
      </c>
      <c r="B24" s="8" t="inlineStr">
        <is>
          <t>v0.45.0</t>
        </is>
      </c>
      <c r="C24" s="8" t="inlineStr">
        <is>
          <t>Trust &amp; claims</t>
        </is>
      </c>
      <c r="D24" s="9" t="inlineStr">
        <is>
          <t>TC-TRS-005, TC-BIL-011</t>
        </is>
      </c>
      <c r="E24" s="8" t="n">
        <v>2</v>
      </c>
      <c r="F24" s="8" t="n">
        <v>0</v>
      </c>
      <c r="G24" s="8" t="n">
        <v>2</v>
      </c>
      <c r="H24" s="9" t="inlineStr">
        <is>
          <t>claims.test.ts pricing banner</t>
        </is>
      </c>
    </row>
    <row r="25">
      <c r="A25" s="8" t="inlineStr">
        <is>
          <t>PR-06 / ST-106</t>
        </is>
      </c>
      <c r="B25" s="8" t="inlineStr">
        <is>
          <t>v0.45.0</t>
        </is>
      </c>
      <c r="C25" s="8" t="inlineStr">
        <is>
          <t>Data lifecycle</t>
        </is>
      </c>
      <c r="D25" s="9" t="inlineStr">
        <is>
          <t>TC-DAT-002</t>
        </is>
      </c>
      <c r="E25" s="8" t="n">
        <v>1</v>
      </c>
      <c r="F25" s="8" t="n">
        <v>0</v>
      </c>
      <c r="G25" s="8" t="n">
        <v>1</v>
      </c>
      <c r="H25" s="9" t="inlineStr">
        <is>
          <t>s13.test.ts "delete-my-data clears meeting insights"</t>
        </is>
      </c>
    </row>
    <row r="26">
      <c r="A26" s="8" t="inlineStr">
        <is>
          <t>PR-09</t>
        </is>
      </c>
      <c r="B26" s="8" t="inlineStr">
        <is>
          <t>v0.45.0</t>
        </is>
      </c>
      <c r="C26" s="8" t="inlineStr">
        <is>
          <t>Trust &amp; claims</t>
        </is>
      </c>
      <c r="D26" s="9" t="inlineStr">
        <is>
          <t>TC-TRS-003</t>
        </is>
      </c>
      <c r="E26" s="8" t="n">
        <v>1</v>
      </c>
      <c r="F26" s="8" t="n">
        <v>1</v>
      </c>
      <c r="G26" s="8" t="n">
        <v>0</v>
      </c>
      <c r="H26" s="9" t="inlineStr">
        <is>
          <t>claims.test.ts region assertions</t>
        </is>
      </c>
    </row>
    <row r="27">
      <c r="A27" s="8" t="inlineStr">
        <is>
          <t>PR-11</t>
        </is>
      </c>
      <c r="B27" s="8" t="inlineStr">
        <is>
          <t>v0.45.0</t>
        </is>
      </c>
      <c r="C27" s="8" t="inlineStr">
        <is>
          <t>F4 Deal risk</t>
        </is>
      </c>
      <c r="D27" s="9" t="inlineStr">
        <is>
          <t>TC-RSK-003, TC-RSK-004</t>
        </is>
      </c>
      <c r="E27" s="8" t="n">
        <v>2</v>
      </c>
      <c r="F27" s="8" t="n">
        <v>0</v>
      </c>
      <c r="G27" s="8" t="n">
        <v>2</v>
      </c>
      <c r="H27" s="9" t="inlineStr">
        <is>
          <t>NONE — manual only (documents a known gap)</t>
        </is>
      </c>
    </row>
    <row r="28">
      <c r="A28" s="8" t="inlineStr">
        <is>
          <t>PR-12</t>
        </is>
      </c>
      <c r="B28" s="8" t="inlineStr">
        <is>
          <t>v0.45.0</t>
        </is>
      </c>
      <c r="C28" s="8" t="inlineStr">
        <is>
          <t>Billing</t>
        </is>
      </c>
      <c r="D28" s="9" t="inlineStr">
        <is>
          <t>TC-BIL-007</t>
        </is>
      </c>
      <c r="E28" s="8" t="n">
        <v>1</v>
      </c>
      <c r="F28" s="8" t="n">
        <v>0</v>
      </c>
      <c r="G28" s="8" t="n">
        <v>1</v>
      </c>
      <c r="H28" s="9" t="inlineStr">
        <is>
          <t>NONE — manual only (documents a known gap)</t>
        </is>
      </c>
    </row>
    <row r="29">
      <c r="A29" s="8" t="inlineStr">
        <is>
          <t>SR-01</t>
        </is>
      </c>
      <c r="B29" s="8" t="inlineStr">
        <is>
          <t>v0.32.0</t>
        </is>
      </c>
      <c r="C29" s="8" t="inlineStr">
        <is>
          <t>Tenancy &amp; RBAC</t>
        </is>
      </c>
      <c r="D29" s="9" t="inlineStr">
        <is>
          <t>TC-TEN-005</t>
        </is>
      </c>
      <c r="E29" s="8" t="n">
        <v>1</v>
      </c>
      <c r="F29" s="8" t="n">
        <v>1</v>
      </c>
      <c r="G29" s="8" t="n">
        <v>0</v>
      </c>
      <c r="H29" s="9" t="inlineStr">
        <is>
          <t>review.test.ts LRU block</t>
        </is>
      </c>
    </row>
    <row r="30">
      <c r="A30" s="8" t="inlineStr">
        <is>
          <t>SR-02</t>
        </is>
      </c>
      <c r="B30" s="8" t="inlineStr">
        <is>
          <t>v0.34.0</t>
        </is>
      </c>
      <c r="C30" s="8" t="inlineStr">
        <is>
          <t>F3 CRM</t>
        </is>
      </c>
      <c r="D30" s="9" t="inlineStr">
        <is>
          <t>TC-CRM-008</t>
        </is>
      </c>
      <c r="E30" s="8" t="n">
        <v>1</v>
      </c>
      <c r="F30" s="8" t="n">
        <v>0</v>
      </c>
      <c r="G30" s="8" t="n">
        <v>1</v>
      </c>
      <c r="H30" s="9" t="inlineStr">
        <is>
          <t>storeContract.test.ts createJob allocation</t>
        </is>
      </c>
    </row>
    <row r="31">
      <c r="A31" s="8" t="inlineStr">
        <is>
          <t>SR-04</t>
        </is>
      </c>
      <c r="B31" s="8" t="inlineStr">
        <is>
          <t>v0.32.0</t>
        </is>
      </c>
      <c r="C31" s="8" t="inlineStr">
        <is>
          <t>F3 CRM</t>
        </is>
      </c>
      <c r="D31" s="9" t="inlineStr">
        <is>
          <t>TC-CRM-011</t>
        </is>
      </c>
      <c r="E31" s="8" t="n">
        <v>1</v>
      </c>
      <c r="F31" s="8" t="n">
        <v>1</v>
      </c>
      <c r="G31" s="8" t="n">
        <v>0</v>
      </c>
      <c r="H31" s="9" t="inlineStr">
        <is>
          <t>review.test.ts adapter registry</t>
        </is>
      </c>
    </row>
    <row r="32">
      <c r="A32" s="8" t="inlineStr">
        <is>
          <t>SR-05</t>
        </is>
      </c>
      <c r="B32" s="8" t="inlineStr">
        <is>
          <t>v0.34.0</t>
        </is>
      </c>
      <c r="C32" s="8" t="inlineStr">
        <is>
          <t>Tenancy &amp; RBAC</t>
        </is>
      </c>
      <c r="D32" s="9" t="inlineStr">
        <is>
          <t>TC-TEN-006</t>
        </is>
      </c>
      <c r="E32" s="8" t="n">
        <v>1</v>
      </c>
      <c r="F32" s="8" t="n">
        <v>0</v>
      </c>
      <c r="G32" s="8" t="n">
        <v>1</v>
      </c>
      <c r="H32" s="9" t="inlineStr">
        <is>
          <t>storeContract.test.ts CrmStore restoreJob</t>
        </is>
      </c>
    </row>
    <row r="33">
      <c r="A33" s="8" t="inlineStr">
        <is>
          <t>SR-07</t>
        </is>
      </c>
      <c r="B33" s="8" t="inlineStr">
        <is>
          <t>v0.35.0</t>
        </is>
      </c>
      <c r="C33" s="8" t="inlineStr">
        <is>
          <t>Persistence</t>
        </is>
      </c>
      <c r="D33" s="9" t="inlineStr">
        <is>
          <t>TC-PER-005</t>
        </is>
      </c>
      <c r="E33" s="8" t="n">
        <v>1</v>
      </c>
      <c r="F33" s="8" t="n">
        <v>1</v>
      </c>
      <c r="G33" s="8" t="n">
        <v>0</v>
      </c>
      <c r="H33" s="9" t="inlineStr">
        <is>
          <t>backup.test.ts restore atomicity</t>
        </is>
      </c>
    </row>
    <row r="34">
      <c r="A34" s="8" t="inlineStr">
        <is>
          <t>ST-002</t>
        </is>
      </c>
      <c r="B34" s="8" t="inlineStr">
        <is>
          <t>v0.08.0</t>
        </is>
      </c>
      <c r="C34" s="8" t="inlineStr">
        <is>
          <t>F1 Notes</t>
        </is>
      </c>
      <c r="D34" s="9" t="inlineStr">
        <is>
          <t>TC-NOT-001, TC-NOT-002, TC-NOT-006, TC-NOT-007</t>
        </is>
      </c>
      <c r="E34" s="8" t="n">
        <v>4</v>
      </c>
      <c r="F34" s="8" t="n">
        <v>2</v>
      </c>
      <c r="G34" s="8" t="n">
        <v>2</v>
      </c>
      <c r="H34" s="9" t="inlineStr">
        <is>
          <t>app.test.ts empty note; panels.test.tsx blank add; notes.test.ts SessionClosedError; notes.test.ts setChip; panels.test.tsx chip cycle; notes.test.ts; panels.test.tsx NotesPanel</t>
        </is>
      </c>
    </row>
    <row r="35">
      <c r="A35" s="8" t="inlineStr">
        <is>
          <t>ST-004</t>
        </is>
      </c>
      <c r="B35" s="8" t="inlineStr">
        <is>
          <t>v0.08.0</t>
        </is>
      </c>
      <c r="C35" s="8" t="inlineStr">
        <is>
          <t>F1 Notes</t>
        </is>
      </c>
      <c r="D35" s="9" t="inlineStr">
        <is>
          <t>TC-NOT-005</t>
        </is>
      </c>
      <c r="E35" s="8" t="n">
        <v>1</v>
      </c>
      <c r="F35" s="8" t="n">
        <v>0</v>
      </c>
      <c r="G35" s="8" t="n">
        <v>1</v>
      </c>
      <c r="H35" s="9" t="inlineStr">
        <is>
          <t>notes.test.ts RetryableApiError</t>
        </is>
      </c>
    </row>
    <row r="36">
      <c r="A36" s="8" t="inlineStr">
        <is>
          <t>ST-005</t>
        </is>
      </c>
      <c r="B36" s="8" t="inlineStr">
        <is>
          <t>v0.12.0</t>
        </is>
      </c>
      <c r="C36" s="8" t="inlineStr">
        <is>
          <t>Web panel</t>
        </is>
      </c>
      <c r="D36" s="9" t="inlineStr">
        <is>
          <t>TC-UI-003</t>
        </is>
      </c>
      <c r="E36" s="8" t="n">
        <v>1</v>
      </c>
      <c r="F36" s="8" t="n">
        <v>1</v>
      </c>
      <c r="G36" s="8" t="n">
        <v>0</v>
      </c>
      <c r="H36" s="9" t="inlineStr">
        <is>
          <t>panels.test.tsx dashboard context</t>
        </is>
      </c>
    </row>
    <row r="37">
      <c r="A37" s="8" t="inlineStr">
        <is>
          <t>ST-011</t>
        </is>
      </c>
      <c r="B37" s="8" t="inlineStr">
        <is>
          <t>v0.08.0</t>
        </is>
      </c>
      <c r="C37" s="8" t="inlineStr">
        <is>
          <t>F2 Actions</t>
        </is>
      </c>
      <c r="D37" s="9" t="inlineStr">
        <is>
          <t>TC-ACT-001, TC-ACT-007</t>
        </is>
      </c>
      <c r="E37" s="8" t="n">
        <v>2</v>
      </c>
      <c r="F37" s="8" t="n">
        <v>1</v>
      </c>
      <c r="G37" s="8" t="n">
        <v>1</v>
      </c>
      <c r="H37" s="9" t="inlineStr">
        <is>
          <t>actions.test.ts; s14.test.ts; transcripts.test.ts parseVtt; ActionsPanel parseTranscript</t>
        </is>
      </c>
    </row>
    <row r="38">
      <c r="A38" s="8" t="inlineStr">
        <is>
          <t>ST-013</t>
        </is>
      </c>
      <c r="B38" s="8" t="inlineStr">
        <is>
          <t>v0.08.0</t>
        </is>
      </c>
      <c r="C38" s="8" t="inlineStr">
        <is>
          <t>F2 Actions</t>
        </is>
      </c>
      <c r="D38" s="9" t="inlineStr">
        <is>
          <t>TC-ACT-002, TC-ACT-003</t>
        </is>
      </c>
      <c r="E38" s="8" t="n">
        <v>2</v>
      </c>
      <c r="F38" s="8" t="n">
        <v>1</v>
      </c>
      <c r="G38" s="8" t="n">
        <v>1</v>
      </c>
      <c r="H38" s="9" t="inlineStr">
        <is>
          <t>actions.test.ts custom rules; panels.test.tsx save rule; actions.test.ts preview flag</t>
        </is>
      </c>
    </row>
    <row r="39">
      <c r="A39" s="8" t="inlineStr">
        <is>
          <t>ST-018</t>
        </is>
      </c>
      <c r="B39" s="8" t="inlineStr">
        <is>
          <t>v0.08.0</t>
        </is>
      </c>
      <c r="C39" s="8" t="inlineStr">
        <is>
          <t>F2 Actions</t>
        </is>
      </c>
      <c r="D39" s="9" t="inlineStr">
        <is>
          <t>TC-ACT-006</t>
        </is>
      </c>
      <c r="E39" s="8" t="n">
        <v>1</v>
      </c>
      <c r="F39" s="8" t="n">
        <v>0</v>
      </c>
      <c r="G39" s="8" t="n">
        <v>1</v>
      </c>
      <c r="H39" s="9" t="inlineStr">
        <is>
          <t>features.test.ts pause block</t>
        </is>
      </c>
    </row>
    <row r="40">
      <c r="A40" s="8" t="inlineStr">
        <is>
          <t>ST-021</t>
        </is>
      </c>
      <c r="B40" s="8" t="inlineStr">
        <is>
          <t>v0.08.0</t>
        </is>
      </c>
      <c r="C40" s="8" t="inlineStr">
        <is>
          <t>F3 CRM</t>
        </is>
      </c>
      <c r="D40" s="9" t="inlineStr">
        <is>
          <t>TC-CRM-001, TC-CRM-010</t>
        </is>
      </c>
      <c r="E40" s="8" t="n">
        <v>2</v>
      </c>
      <c r="F40" s="8" t="n">
        <v>1</v>
      </c>
      <c r="G40" s="8" t="n">
        <v>1</v>
      </c>
      <c r="H40" s="9" t="inlineStr">
        <is>
          <t>crm.test.ts UnknownTargetError; crm.test.ts; s14.test.ts connectCrm</t>
        </is>
      </c>
    </row>
    <row r="41">
      <c r="A41" s="8" t="inlineStr">
        <is>
          <t>ST-022</t>
        </is>
      </c>
      <c r="B41" s="8" t="inlineStr">
        <is>
          <t>v0.08.0</t>
        </is>
      </c>
      <c r="C41" s="8" t="inlineStr">
        <is>
          <t>F3 CRM</t>
        </is>
      </c>
      <c r="D41" s="9" t="inlineStr">
        <is>
          <t>TC-CRM-002, TC-CRM-003</t>
        </is>
      </c>
      <c r="E41" s="8" t="n">
        <v>2</v>
      </c>
      <c r="F41" s="8" t="n">
        <v>2</v>
      </c>
      <c r="G41" s="8" t="n">
        <v>0</v>
      </c>
      <c r="H41" s="9" t="inlineStr">
        <is>
          <t>crm.test.ts applyMappings; s14.test.ts "GET /crm/mappings reads without writing"</t>
        </is>
      </c>
    </row>
    <row r="42">
      <c r="A42" s="8" t="inlineStr">
        <is>
          <t>ST-024</t>
        </is>
      </c>
      <c r="B42" s="8" t="inlineStr">
        <is>
          <t>v0.08.0</t>
        </is>
      </c>
      <c r="C42" s="8" t="inlineStr">
        <is>
          <t>F3 CRM</t>
        </is>
      </c>
      <c r="D42" s="9" t="inlineStr">
        <is>
          <t>TC-CRM-004, TC-CRM-005</t>
        </is>
      </c>
      <c r="E42" s="8" t="n">
        <v>2</v>
      </c>
      <c r="F42" s="8" t="n">
        <v>1</v>
      </c>
      <c r="G42" s="8" t="n">
        <v>1</v>
      </c>
      <c r="H42" s="9" t="inlineStr">
        <is>
          <t>crm.test.ts failure block; panels.test.tsx failed job; crm.test.ts retry block</t>
        </is>
      </c>
    </row>
    <row r="43">
      <c r="A43" s="8" t="inlineStr">
        <is>
          <t>ST-026</t>
        </is>
      </c>
      <c r="B43" s="8" t="inlineStr">
        <is>
          <t>v0.08.0</t>
        </is>
      </c>
      <c r="C43" s="8" t="inlineStr">
        <is>
          <t>F3 CRM</t>
        </is>
      </c>
      <c r="D43" s="9" t="inlineStr">
        <is>
          <t>TC-CRM-006</t>
        </is>
      </c>
      <c r="E43" s="8" t="n">
        <v>1</v>
      </c>
      <c r="F43" s="8" t="n">
        <v>1</v>
      </c>
      <c r="G43" s="8" t="n">
        <v>0</v>
      </c>
      <c r="H43" s="9" t="inlineStr">
        <is>
          <t>crm.test.ts audit; storeContract.test.ts CrmStore</t>
        </is>
      </c>
    </row>
    <row r="44">
      <c r="A44" s="8" t="inlineStr">
        <is>
          <t>ST-031</t>
        </is>
      </c>
      <c r="B44" s="8" t="inlineStr">
        <is>
          <t>v0.08.0</t>
        </is>
      </c>
      <c r="C44" s="8" t="inlineStr">
        <is>
          <t>F4 Deal risk</t>
        </is>
      </c>
      <c r="D44" s="9" t="inlineStr">
        <is>
          <t>TC-RSK-001</t>
        </is>
      </c>
      <c r="E44" s="8" t="n">
        <v>1</v>
      </c>
      <c r="F44" s="8" t="n">
        <v>1</v>
      </c>
      <c r="G44" s="8" t="n">
        <v>0</v>
      </c>
      <c r="H44" s="9" t="inlineStr">
        <is>
          <t>dealRisk.test.ts</t>
        </is>
      </c>
    </row>
    <row r="45">
      <c r="A45" s="8" t="inlineStr">
        <is>
          <t>ST-033</t>
        </is>
      </c>
      <c r="B45" s="8" t="inlineStr">
        <is>
          <t>v0.08.0</t>
        </is>
      </c>
      <c r="C45" s="8" t="inlineStr">
        <is>
          <t>F4 Deal risk</t>
        </is>
      </c>
      <c r="D45" s="9" t="inlineStr">
        <is>
          <t>TC-RSK-005</t>
        </is>
      </c>
      <c r="E45" s="8" t="n">
        <v>1</v>
      </c>
      <c r="F45" s="8" t="n">
        <v>1</v>
      </c>
      <c r="G45" s="8" t="n">
        <v>0</v>
      </c>
      <c r="H45" s="9" t="inlineStr">
        <is>
          <t>panels.test.tsx sensitivity; features.test.ts</t>
        </is>
      </c>
    </row>
    <row r="46">
      <c r="A46" s="8" t="inlineStr">
        <is>
          <t>ST-035</t>
        </is>
      </c>
      <c r="B46" s="8" t="inlineStr">
        <is>
          <t>v0.08.0</t>
        </is>
      </c>
      <c r="C46" s="8" t="inlineStr">
        <is>
          <t>F4 Deal risk</t>
        </is>
      </c>
      <c r="D46" s="9" t="inlineStr">
        <is>
          <t>TC-RSK-002</t>
        </is>
      </c>
      <c r="E46" s="8" t="n">
        <v>1</v>
      </c>
      <c r="F46" s="8" t="n">
        <v>1</v>
      </c>
      <c r="G46" s="8" t="n">
        <v>0</v>
      </c>
      <c r="H46" s="9" t="inlineStr">
        <is>
          <t>panels.test.tsx band()</t>
        </is>
      </c>
    </row>
    <row r="47">
      <c r="A47" s="8" t="inlineStr">
        <is>
          <t>ST-041</t>
        </is>
      </c>
      <c r="B47" s="8" t="inlineStr">
        <is>
          <t>v0.08.0</t>
        </is>
      </c>
      <c r="C47" s="8" t="inlineStr">
        <is>
          <t>F5 Indic</t>
        </is>
      </c>
      <c r="D47" s="9" t="inlineStr">
        <is>
          <t>TC-IND-001, TC-IND-002</t>
        </is>
      </c>
      <c r="E47" s="8" t="n">
        <v>2</v>
      </c>
      <c r="F47" s="8" t="n">
        <v>1</v>
      </c>
      <c r="G47" s="8" t="n">
        <v>1</v>
      </c>
      <c r="H47" s="9" t="inlineStr">
        <is>
          <t>indic.test.ts; indic.test.ts LangNotEnabledError</t>
        </is>
      </c>
    </row>
    <row r="48">
      <c r="A48" s="8" t="inlineStr">
        <is>
          <t>ST-046</t>
        </is>
      </c>
      <c r="B48" s="8" t="inlineStr">
        <is>
          <t>v0.08.0</t>
        </is>
      </c>
      <c r="C48" s="8" t="inlineStr">
        <is>
          <t>F5 Indic</t>
        </is>
      </c>
      <c r="D48" s="9" t="inlineStr">
        <is>
          <t>TC-IND-003</t>
        </is>
      </c>
      <c r="E48" s="8" t="n">
        <v>1</v>
      </c>
      <c r="F48" s="8" t="n">
        <v>1</v>
      </c>
      <c r="G48" s="8" t="n">
        <v>0</v>
      </c>
      <c r="H48" s="9" t="inlineStr">
        <is>
          <t>indic.test.ts wer</t>
        </is>
      </c>
    </row>
    <row r="49">
      <c r="A49" s="8" t="inlineStr">
        <is>
          <t>ST-051</t>
        </is>
      </c>
      <c r="B49" s="8" t="inlineStr">
        <is>
          <t>v0.08.0</t>
        </is>
      </c>
      <c r="C49" s="8" t="inlineStr">
        <is>
          <t>Webhooks</t>
        </is>
      </c>
      <c r="D49" s="9" t="inlineStr">
        <is>
          <t>TC-WHK-001, TC-WHK-002, TC-WHK-003</t>
        </is>
      </c>
      <c r="E49" s="8" t="n">
        <v>3</v>
      </c>
      <c r="F49" s="8" t="n">
        <v>1</v>
      </c>
      <c r="G49" s="8" t="n">
        <v>2</v>
      </c>
      <c r="H49" s="9" t="inlineStr">
        <is>
          <t>webhooks.test.ts replay guard; webhooks.test.ts url_validation; webhooks.test.ts; app.test.ts</t>
        </is>
      </c>
    </row>
    <row r="50">
      <c r="A50" s="8" t="inlineStr">
        <is>
          <t>ST-052</t>
        </is>
      </c>
      <c r="B50" s="8" t="inlineStr">
        <is>
          <t>v0.08.0</t>
        </is>
      </c>
      <c r="C50" s="8" t="inlineStr">
        <is>
          <t>Install &amp; OAuth</t>
        </is>
      </c>
      <c r="D50" s="9" t="inlineStr">
        <is>
          <t>TC-INS-010</t>
        </is>
      </c>
      <c r="E50" s="8" t="n">
        <v>1</v>
      </c>
      <c r="F50" s="8" t="n">
        <v>1</v>
      </c>
      <c r="G50" s="8" t="n">
        <v>0</v>
      </c>
      <c r="H50" s="9" t="inlineStr">
        <is>
          <t>app.test.ts webhook deauthorization block</t>
        </is>
      </c>
    </row>
    <row r="51">
      <c r="A51" s="8" t="inlineStr">
        <is>
          <t>ST-053</t>
        </is>
      </c>
      <c r="B51" s="8" t="inlineStr">
        <is>
          <t>v0.08.0</t>
        </is>
      </c>
      <c r="C51" s="8" t="inlineStr">
        <is>
          <t>Install &amp; OAuth</t>
        </is>
      </c>
      <c r="D51" s="9" t="inlineStr">
        <is>
          <t>TC-INS-009</t>
        </is>
      </c>
      <c r="E51" s="8" t="n">
        <v>1</v>
      </c>
      <c r="F51" s="8" t="n">
        <v>1</v>
      </c>
      <c r="G51" s="8" t="n">
        <v>0</v>
      </c>
      <c r="H51" s="9" t="inlineStr">
        <is>
          <t>lifecycle.test.ts; identity.test.ts "restores an archived account"</t>
        </is>
      </c>
    </row>
    <row r="52">
      <c r="A52" s="8" t="inlineStr">
        <is>
          <t>ST-054</t>
        </is>
      </c>
      <c r="B52" s="8" t="inlineStr">
        <is>
          <t>v0.08.0</t>
        </is>
      </c>
      <c r="C52" s="8" t="inlineStr">
        <is>
          <t>Tenancy &amp; RBAC</t>
        </is>
      </c>
      <c r="D52" s="9" t="inlineStr">
        <is>
          <t>TC-TEN-002</t>
        </is>
      </c>
      <c r="E52" s="8" t="n">
        <v>1</v>
      </c>
      <c r="F52" s="8" t="n">
        <v>1</v>
      </c>
      <c r="G52" s="8" t="n">
        <v>0</v>
      </c>
      <c r="H52" s="9" t="inlineStr">
        <is>
          <t>rbac.test.ts</t>
        </is>
      </c>
    </row>
    <row r="53">
      <c r="A53" s="8" t="inlineStr">
        <is>
          <t>ST-056</t>
        </is>
      </c>
      <c r="B53" s="8" t="inlineStr">
        <is>
          <t>v0.08.0</t>
        </is>
      </c>
      <c r="C53" s="8" t="inlineStr">
        <is>
          <t>Install &amp; OAuth</t>
        </is>
      </c>
      <c r="D53" s="9" t="inlineStr">
        <is>
          <t>TC-INS-012</t>
        </is>
      </c>
      <c r="E53" s="8" t="n">
        <v>1</v>
      </c>
      <c r="F53" s="8" t="n">
        <v>1</v>
      </c>
      <c r="G53" s="8" t="n">
        <v>0</v>
      </c>
      <c r="H53" s="9" t="inlineStr">
        <is>
          <t>lifecycle.test.ts attributeSource</t>
        </is>
      </c>
    </row>
    <row r="54">
      <c r="A54" s="8" t="inlineStr">
        <is>
          <t>ST-057</t>
        </is>
      </c>
      <c r="B54" s="8" t="inlineStr">
        <is>
          <t>v0.08.0</t>
        </is>
      </c>
      <c r="C54" s="8" t="inlineStr">
        <is>
          <t>Billing</t>
        </is>
      </c>
      <c r="D54" s="9" t="inlineStr">
        <is>
          <t>TC-BIL-001</t>
        </is>
      </c>
      <c r="E54" s="8" t="n">
        <v>1</v>
      </c>
      <c r="F54" s="8" t="n">
        <v>1</v>
      </c>
      <c r="G54" s="8" t="n">
        <v>0</v>
      </c>
      <c r="H54" s="9" t="inlineStr">
        <is>
          <t>billing.test.ts</t>
        </is>
      </c>
    </row>
    <row r="55">
      <c r="A55" s="8" t="inlineStr">
        <is>
          <t>ST-058</t>
        </is>
      </c>
      <c r="B55" s="8" t="inlineStr">
        <is>
          <t>v0.08.0</t>
        </is>
      </c>
      <c r="C55" s="8" t="inlineStr">
        <is>
          <t>Billing</t>
        </is>
      </c>
      <c r="D55" s="9" t="inlineStr">
        <is>
          <t>TC-BIL-004</t>
        </is>
      </c>
      <c r="E55" s="8" t="n">
        <v>1</v>
      </c>
      <c r="F55" s="8" t="n">
        <v>1</v>
      </c>
      <c r="G55" s="8" t="n">
        <v>0</v>
      </c>
      <c r="H55" s="9" t="inlineStr">
        <is>
          <t>billing.test.ts proration</t>
        </is>
      </c>
    </row>
    <row r="56">
      <c r="A56" s="8" t="inlineStr">
        <is>
          <t>ST-061</t>
        </is>
      </c>
      <c r="B56" s="8" t="inlineStr">
        <is>
          <t>v0.08.0</t>
        </is>
      </c>
      <c r="C56" s="8" t="inlineStr">
        <is>
          <t>Billing</t>
        </is>
      </c>
      <c r="D56" s="9" t="inlineStr">
        <is>
          <t>TC-BIL-008</t>
        </is>
      </c>
      <c r="E56" s="8" t="n">
        <v>1</v>
      </c>
      <c r="F56" s="8" t="n">
        <v>1</v>
      </c>
      <c r="G56" s="8" t="n">
        <v>0</v>
      </c>
      <c r="H56" s="9" t="inlineStr">
        <is>
          <t>billing.test.ts cancel block</t>
        </is>
      </c>
    </row>
    <row r="57">
      <c r="A57" s="8" t="inlineStr">
        <is>
          <t>ST-063</t>
        </is>
      </c>
      <c r="B57" s="8" t="inlineStr">
        <is>
          <t>v0.08.0</t>
        </is>
      </c>
      <c r="C57" s="8" t="inlineStr">
        <is>
          <t>Billing</t>
        </is>
      </c>
      <c r="D57" s="9" t="inlineStr">
        <is>
          <t>TC-BIL-005, TC-BIL-006</t>
        </is>
      </c>
      <c r="E57" s="8" t="n">
        <v>2</v>
      </c>
      <c r="F57" s="8" t="n">
        <v>1</v>
      </c>
      <c r="G57" s="8" t="n">
        <v>1</v>
      </c>
      <c r="H57" s="9" t="inlineStr">
        <is>
          <t>billing.test.ts seat limit; billing.test.ts seatUsagePrompt</t>
        </is>
      </c>
    </row>
    <row r="58">
      <c r="A58" s="8" t="inlineStr">
        <is>
          <t>ST-066</t>
        </is>
      </c>
      <c r="B58" s="8" t="inlineStr">
        <is>
          <t>v0.31.0</t>
        </is>
      </c>
      <c r="C58" s="8" t="inlineStr">
        <is>
          <t>Data lifecycle</t>
        </is>
      </c>
      <c r="D58" s="9" t="inlineStr">
        <is>
          <t>TC-DAT-009, TC-DAT-010</t>
        </is>
      </c>
      <c r="E58" s="8" t="n">
        <v>2</v>
      </c>
      <c r="F58" s="8" t="n">
        <v>2</v>
      </c>
      <c r="G58" s="8" t="n">
        <v>0</v>
      </c>
      <c r="H58" s="9" t="inlineStr">
        <is>
          <t>tokenCipher.test.ts rotation block; tokenCipher.test.ts; storeContract.test.ts</t>
        </is>
      </c>
    </row>
    <row r="59">
      <c r="A59" s="8" t="inlineStr">
        <is>
          <t>ST-067</t>
        </is>
      </c>
      <c r="B59" s="8" t="inlineStr">
        <is>
          <t>v0.08.0, v0.18.0, v0.20.0</t>
        </is>
      </c>
      <c r="C59" s="8" t="inlineStr">
        <is>
          <t>Tenancy &amp; RBAC</t>
        </is>
      </c>
      <c r="D59" s="9" t="inlineStr">
        <is>
          <t>TC-TEN-003, TC-TEN-004, TC-DAT-008</t>
        </is>
      </c>
      <c r="E59" s="8" t="n">
        <v>3</v>
      </c>
      <c r="F59" s="8" t="n">
        <v>3</v>
      </c>
      <c r="G59" s="8" t="n">
        <v>0</v>
      </c>
      <c r="H59" s="9" t="inlineStr">
        <is>
          <t>productLoop.test.ts audit log block; s9.test.ts; s13.test.ts identity in denials; storeContract.test.ts AuditStore purge</t>
        </is>
      </c>
    </row>
    <row r="60">
      <c r="A60" s="8" t="inlineStr">
        <is>
          <t>ST-069</t>
        </is>
      </c>
      <c r="B60" s="8" t="inlineStr">
        <is>
          <t>v0.09.0, v0.28.0</t>
        </is>
      </c>
      <c r="C60" s="8" t="inlineStr">
        <is>
          <t>Data lifecycle</t>
        </is>
      </c>
      <c r="D60" s="9" t="inlineStr">
        <is>
          <t>TC-DAT-001, TC-DAT-003, TC-DAT-004, TC-DAT-005, TC-DAT-006</t>
        </is>
      </c>
      <c r="E60" s="8" t="n">
        <v>5</v>
      </c>
      <c r="F60" s="8" t="n">
        <v>2</v>
      </c>
      <c r="G60" s="8" t="n">
        <v>3</v>
      </c>
      <c r="H60" s="9" t="inlineStr">
        <is>
          <t>exportBilling.test.ts; exportBilling.test.ts; app.test.ts; s9.test.ts confirmation block; s9.test.ts role block; s9.test.ts; s13.test.ts purge block</t>
        </is>
      </c>
    </row>
    <row r="61">
      <c r="A61" s="8" t="inlineStr">
        <is>
          <t>ST-070</t>
        </is>
      </c>
      <c r="B61" s="8" t="inlineStr">
        <is>
          <t>v0.29.0</t>
        </is>
      </c>
      <c r="C61" s="8" t="inlineStr">
        <is>
          <t>Webhooks</t>
        </is>
      </c>
      <c r="D61" s="9" t="inlineStr">
        <is>
          <t>TC-WHK-005, TC-WHK-006, TC-WHK-007, TC-WHK-008, TC-WHK-010</t>
        </is>
      </c>
      <c r="E61" s="8" t="n">
        <v>5</v>
      </c>
      <c r="F61" s="8" t="n">
        <v>2</v>
      </c>
      <c r="G61" s="8" t="n">
        <v>3</v>
      </c>
      <c r="H61" s="9" t="inlineStr">
        <is>
          <t>transcripts.test.ts event selection; transcripts.test.ts idempotency; s14.test.ts replay case; transcripts.test.ts refusal cases; transcripts.test.ts; s14.test.ts; zoomClient.test.ts download; transcripts.test.ts</t>
        </is>
      </c>
    </row>
    <row r="62">
      <c r="A62" s="8" t="inlineStr">
        <is>
          <t>ST-071</t>
        </is>
      </c>
      <c r="B62" s="8" t="inlineStr">
        <is>
          <t>v0.08.0</t>
        </is>
      </c>
      <c r="C62" s="8" t="inlineStr">
        <is>
          <t>Public surfaces</t>
        </is>
      </c>
      <c r="D62" s="9" t="inlineStr">
        <is>
          <t>TC-PUB-005, TC-MET-001</t>
        </is>
      </c>
      <c r="E62" s="8" t="n">
        <v>2</v>
      </c>
      <c r="F62" s="8" t="n">
        <v>2</v>
      </c>
      <c r="G62" s="8" t="n">
        <v>0</v>
      </c>
      <c r="H62" s="9" t="inlineStr">
        <is>
          <t>onboarding.test.ts; app.test.ts funnel; telemetry.test.ts funnelDashboard</t>
        </is>
      </c>
    </row>
    <row r="63">
      <c r="A63" s="8" t="inlineStr">
        <is>
          <t>ST-072</t>
        </is>
      </c>
      <c r="B63" s="8" t="inlineStr">
        <is>
          <t>v0.40.0</t>
        </is>
      </c>
      <c r="C63" s="8" t="inlineStr">
        <is>
          <t>Operator surface</t>
        </is>
      </c>
      <c r="D63" s="9" t="inlineStr">
        <is>
          <t>TC-OPS-007</t>
        </is>
      </c>
      <c r="E63" s="8" t="n">
        <v>1</v>
      </c>
      <c r="F63" s="8" t="n">
        <v>1</v>
      </c>
      <c r="G63" s="8" t="n">
        <v>0</v>
      </c>
      <c r="H63" s="9" t="inlineStr">
        <is>
          <t>alertSink.test.ts; ops.test.ts OpsAlert invariant</t>
        </is>
      </c>
    </row>
    <row r="64">
      <c r="A64" s="8" t="inlineStr">
        <is>
          <t>ST-073</t>
        </is>
      </c>
      <c r="B64" s="8" t="inlineStr">
        <is>
          <t>v0.27.0</t>
        </is>
      </c>
      <c r="C64" s="8" t="inlineStr">
        <is>
          <t>Metrics</t>
        </is>
      </c>
      <c r="D64" s="9" t="inlineStr">
        <is>
          <t>TC-MET-004</t>
        </is>
      </c>
      <c r="E64" s="8" t="n">
        <v>1</v>
      </c>
      <c r="F64" s="8" t="n">
        <v>1</v>
      </c>
      <c r="G64" s="8" t="n">
        <v>0</v>
      </c>
      <c r="H64" s="9" t="inlineStr">
        <is>
          <t>telemetry.test.ts heatmap</t>
        </is>
      </c>
    </row>
    <row r="65">
      <c r="A65" s="8" t="inlineStr">
        <is>
          <t>ST-075</t>
        </is>
      </c>
      <c r="B65" s="8" t="inlineStr">
        <is>
          <t>v0.42.0</t>
        </is>
      </c>
      <c r="C65" s="8" t="inlineStr">
        <is>
          <t>Persistence</t>
        </is>
      </c>
      <c r="D65" s="9" t="inlineStr">
        <is>
          <t>TC-PER-008</t>
        </is>
      </c>
      <c r="E65" s="8" t="n">
        <v>1</v>
      </c>
      <c r="F65" s="8" t="n">
        <v>1</v>
      </c>
      <c r="G65" s="8" t="n">
        <v>0</v>
      </c>
      <c r="H65" s="9" t="inlineStr">
        <is>
          <t>accountHealth.test.ts; ops.test.ts</t>
        </is>
      </c>
    </row>
    <row r="66">
      <c r="A66" s="8" t="inlineStr">
        <is>
          <t>ST-080</t>
        </is>
      </c>
      <c r="B66" s="8" t="inlineStr">
        <is>
          <t>v0.10.0</t>
        </is>
      </c>
      <c r="C66" s="8" t="inlineStr">
        <is>
          <t>Public surfaces</t>
        </is>
      </c>
      <c r="D66" s="9" t="inlineStr">
        <is>
          <t>TC-PUB-003, TC-PUB-004</t>
        </is>
      </c>
      <c r="E66" s="8" t="n">
        <v>2</v>
      </c>
      <c r="F66" s="8" t="n">
        <v>1</v>
      </c>
      <c r="G66" s="8" t="n">
        <v>1</v>
      </c>
      <c r="H66" s="9" t="inlineStr">
        <is>
          <t>s10.test.ts; s10.test.ts help search</t>
        </is>
      </c>
    </row>
    <row r="67">
      <c r="A67" s="8" t="inlineStr">
        <is>
          <t>ST-083</t>
        </is>
      </c>
      <c r="B67" s="8" t="inlineStr">
        <is>
          <t>v0.10.0</t>
        </is>
      </c>
      <c r="C67" s="8" t="inlineStr">
        <is>
          <t>Public surfaces</t>
        </is>
      </c>
      <c r="D67" s="9" t="inlineStr">
        <is>
          <t>TC-PUB-008</t>
        </is>
      </c>
      <c r="E67" s="8" t="n">
        <v>1</v>
      </c>
      <c r="F67" s="8" t="n">
        <v>1</v>
      </c>
      <c r="G67" s="8" t="n">
        <v>0</v>
      </c>
      <c r="H67" s="9" t="inlineStr">
        <is>
          <t>s10.test.ts demo mode</t>
        </is>
      </c>
    </row>
    <row r="68">
      <c r="A68" s="8" t="inlineStr">
        <is>
          <t>ST-084</t>
        </is>
      </c>
      <c r="B68" s="8" t="inlineStr">
        <is>
          <t>v0.10.0</t>
        </is>
      </c>
      <c r="C68" s="8" t="inlineStr">
        <is>
          <t>Public surfaces</t>
        </is>
      </c>
      <c r="D68" s="9" t="inlineStr">
        <is>
          <t>TC-PUB-001</t>
        </is>
      </c>
      <c r="E68" s="8" t="n">
        <v>1</v>
      </c>
      <c r="F68" s="8" t="n">
        <v>1</v>
      </c>
      <c r="G68" s="8" t="n">
        <v>0</v>
      </c>
      <c r="H68" s="9" t="inlineStr">
        <is>
          <t>statuspage; s10.test.ts</t>
        </is>
      </c>
    </row>
    <row r="69">
      <c r="A69" s="8" t="inlineStr">
        <is>
          <t>ST-087</t>
        </is>
      </c>
      <c r="B69" s="8" t="inlineStr">
        <is>
          <t>v0.37.0</t>
        </is>
      </c>
      <c r="C69" s="8" t="inlineStr">
        <is>
          <t>Persistence</t>
        </is>
      </c>
      <c r="D69" s="9" t="inlineStr">
        <is>
          <t>TC-PER-007</t>
        </is>
      </c>
      <c r="E69" s="8" t="n">
        <v>1</v>
      </c>
      <c r="F69" s="8" t="n">
        <v>1</v>
      </c>
      <c r="G69" s="8" t="n">
        <v>0</v>
      </c>
      <c r="H69" s="9" t="inlineStr">
        <is>
          <t>latency.test.ts</t>
        </is>
      </c>
    </row>
    <row r="70">
      <c r="A70" s="8" t="inlineStr">
        <is>
          <t>ST-089</t>
        </is>
      </c>
      <c r="B70" s="8" t="inlineStr">
        <is>
          <t>v0.15.0</t>
        </is>
      </c>
      <c r="C70" s="8" t="inlineStr">
        <is>
          <t>Web panel</t>
        </is>
      </c>
      <c r="D70" s="9" t="inlineStr">
        <is>
          <t>TC-UI-006</t>
        </is>
      </c>
      <c r="E70" s="8" t="n">
        <v>1</v>
      </c>
      <c r="F70" s="8" t="n">
        <v>1</v>
      </c>
      <c r="G70" s="8" t="n">
        <v>0</v>
      </c>
      <c r="H70" s="9" t="inlineStr">
        <is>
          <t>a11y.test.tsx covers only the automatable subset — ST-150 owed</t>
        </is>
      </c>
    </row>
    <row r="71">
      <c r="A71" s="8" t="inlineStr">
        <is>
          <t>ST-090</t>
        </is>
      </c>
      <c r="B71" s="8" t="inlineStr">
        <is>
          <t>v0.30.0</t>
        </is>
      </c>
      <c r="C71" s="8" t="inlineStr">
        <is>
          <t>Operator surface</t>
        </is>
      </c>
      <c r="D71" s="9" t="inlineStr">
        <is>
          <t>TC-OPS-006</t>
        </is>
      </c>
      <c r="E71" s="8" t="n">
        <v>1</v>
      </c>
      <c r="F71" s="8" t="n">
        <v>1</v>
      </c>
      <c r="G71" s="8" t="n">
        <v>0</v>
      </c>
      <c r="H71" s="9" t="inlineStr">
        <is>
          <t>backup.test.ts restore drill</t>
        </is>
      </c>
    </row>
    <row r="72">
      <c r="A72" s="8" t="inlineStr">
        <is>
          <t>ST-095</t>
        </is>
      </c>
      <c r="B72" s="8" t="inlineStr">
        <is>
          <t>v0.10.0</t>
        </is>
      </c>
      <c r="C72" s="8" t="inlineStr">
        <is>
          <t>Public surfaces</t>
        </is>
      </c>
      <c r="D72" s="9" t="inlineStr">
        <is>
          <t>TC-PUB-002</t>
        </is>
      </c>
      <c r="E72" s="8" t="n">
        <v>1</v>
      </c>
      <c r="F72" s="8" t="n">
        <v>1</v>
      </c>
      <c r="G72" s="8" t="n">
        <v>0</v>
      </c>
      <c r="H72" s="9" t="inlineStr">
        <is>
          <t>s10.test.ts; claims.test.ts pricing</t>
        </is>
      </c>
    </row>
    <row r="73">
      <c r="A73" s="8" t="inlineStr">
        <is>
          <t>ST-101</t>
        </is>
      </c>
      <c r="B73" s="8" t="inlineStr">
        <is>
          <t>v0.45.0</t>
        </is>
      </c>
      <c r="C73" s="8" t="inlineStr">
        <is>
          <t>Install &amp; OAuth</t>
        </is>
      </c>
      <c r="D73" s="9" t="inlineStr">
        <is>
          <t>TC-INS-001, TC-INS-003, TC-INS-005, TC-INS-006, TC-INS-007, TC-TEN-008</t>
        </is>
      </c>
      <c r="E73" s="8" t="n">
        <v>6</v>
      </c>
      <c r="F73" s="8" t="n">
        <v>2</v>
      </c>
      <c r="G73" s="8" t="n">
        <v>4</v>
      </c>
      <c r="H73" s="9" t="inlineStr">
        <is>
          <t>identity.test.ts "refuses to write a row whose id is not the identity's account"; identity.test.ts parseIdentity cases; s13.test.ts "installs on Zoom's account when the hint is empty or agrees"; s13.test.ts "maps identity failures"</t>
        </is>
      </c>
    </row>
    <row r="74">
      <c r="A74" s="8" t="inlineStr">
        <is>
          <t>ST-101 / PR-01</t>
        </is>
      </c>
      <c r="B74" s="8" t="inlineStr">
        <is>
          <t>v0.45.0</t>
        </is>
      </c>
      <c r="C74" s="8" t="inlineStr">
        <is>
          <t>Install &amp; OAuth</t>
        </is>
      </c>
      <c r="D74" s="9" t="inlineStr">
        <is>
          <t>TC-INS-002</t>
        </is>
      </c>
      <c r="E74" s="8" t="n">
        <v>1</v>
      </c>
      <c r="F74" s="8" t="n">
        <v>0</v>
      </c>
      <c r="G74" s="8" t="n">
        <v>1</v>
      </c>
      <c r="H74" s="9" t="inlineStr">
        <is>
          <t>s13.test.ts "refuses a state whose account differs from Zoom's answer"; "cannot repoint a live workspace's tokens"</t>
        </is>
      </c>
    </row>
    <row r="75">
      <c r="A75" s="8" t="inlineStr">
        <is>
          <t>ST-102</t>
        </is>
      </c>
      <c r="B75" s="8" t="inlineStr">
        <is>
          <t>v0.45.0</t>
        </is>
      </c>
      <c r="C75" s="8" t="inlineStr">
        <is>
          <t>Sessions</t>
        </is>
      </c>
      <c r="D75" s="9" t="inlineStr">
        <is>
          <t>TC-SES-001, TC-SES-002</t>
        </is>
      </c>
      <c r="E75" s="8" t="n">
        <v>2</v>
      </c>
      <c r="F75" s="8" t="n">
        <v>2</v>
      </c>
      <c r="G75" s="8" t="n">
        <v>0</v>
      </c>
      <c r="H75" s="9" t="inlineStr">
        <is>
          <t>identity.test.ts mapZoomRole; s13.test.ts "mints owner/admin/member from Zoom's role"</t>
        </is>
      </c>
    </row>
    <row r="76">
      <c r="A76" s="8" t="inlineStr">
        <is>
          <t>ST-103</t>
        </is>
      </c>
      <c r="B76" s="8" t="inlineStr">
        <is>
          <t>v0.45.0</t>
        </is>
      </c>
      <c r="C76" s="8" t="inlineStr">
        <is>
          <t>Install &amp; OAuth</t>
        </is>
      </c>
      <c r="D76" s="9" t="inlineStr">
        <is>
          <t>TC-INS-011, TC-SES-003, TC-SES-004, TC-SES-005, TC-SES-006, TC-SES-007, TC-SES-010, TC-SES-011, TC-SES-012, TC-PER-004</t>
        </is>
      </c>
      <c r="E76" s="8" t="n">
        <v>10</v>
      </c>
      <c r="F76" s="8" t="n">
        <v>7</v>
      </c>
      <c r="G76" s="8" t="n">
        <v>3</v>
      </c>
      <c r="H76" s="9" t="inlineStr">
        <is>
          <t>app.test.ts install redirect assertions; app.test.ts; s13.test.ts uninstall revocation; panels.test.tsx "refreshes the session on its timer"; review.test.ts signed identity block; review.test.ts signer TTL; s13.test.ts expiry; s13.test.ts "refresh issues a new token and kills the old one"; s13.test.ts "revoke-all needs team.manage and ends every session"; s13.test.ts revoke-all permission; s13.test.ts session revoke; storeContract.test.ts SessionStore purgeExpired</t>
        </is>
      </c>
    </row>
    <row r="77">
      <c r="A77" s="8" t="inlineStr">
        <is>
          <t>ST-104</t>
        </is>
      </c>
      <c r="B77" s="8" t="inlineStr">
        <is>
          <t>v0.45.0</t>
        </is>
      </c>
      <c r="C77" s="8" t="inlineStr">
        <is>
          <t>HTTP hardening</t>
        </is>
      </c>
      <c r="D77" s="9" t="inlineStr">
        <is>
          <t>TC-HRD-001, TC-HRD-002, TC-HRD-003, TC-HRD-004, TC-HRD-005, TC-HRD-006, TC-HRD-007, TC-HRD-008, TC-HRD-009, TC-HRD-010, TC-MET-006</t>
        </is>
      </c>
      <c r="E77" s="8" t="n">
        <v>11</v>
      </c>
      <c r="F77" s="8" t="n">
        <v>5</v>
      </c>
      <c r="G77" s="8" t="n">
        <v>6</v>
      </c>
      <c r="H77" s="9" t="inlineStr">
        <is>
          <t>s13.test.ts "answers CORS only for allowlisted origins"; s13.test.ts "rate-limits the public surface per IP and per account"; s13.test.ts "refuses an oversized body with 413"; s13.test.ts "sets security headers"; s13.test.ts "the per-account bucket trips when one workspace spreads its burst"; s13.test.ts body parser statuses; s13.test.ts config validation; s13.test.ts contentSecurityPolicy; s13.test.ts limiter configuration; s13.test.ts rate-limit reporting; telemetry.test.ts rateLimitedCounts</t>
        </is>
      </c>
    </row>
    <row r="78">
      <c r="A78" s="8" t="inlineStr">
        <is>
          <t>ST-105</t>
        </is>
      </c>
      <c r="B78" s="8" t="inlineStr">
        <is>
          <t>v0.45.0</t>
        </is>
      </c>
      <c r="C78" s="8" t="inlineStr">
        <is>
          <t>Operator surface</t>
        </is>
      </c>
      <c r="D78" s="9" t="inlineStr">
        <is>
          <t>TC-OPS-002, TC-OPS-003, TC-OPS-004</t>
        </is>
      </c>
      <c r="E78" s="8" t="n">
        <v>3</v>
      </c>
      <c r="F78" s="8" t="n">
        <v>1</v>
      </c>
      <c r="G78" s="8" t="n">
        <v>2</v>
      </c>
      <c r="H78" s="9" t="inlineStr">
        <is>
          <t>s13.test.ts "rejects a valid customer session on every operator route"; s13.test.ts "rotates the credential in place"; s13.test.ts weak token rotation</t>
        </is>
      </c>
    </row>
    <row r="79">
      <c r="A79" s="8" t="inlineStr">
        <is>
          <t>ST-107</t>
        </is>
      </c>
      <c r="B79" s="8" t="inlineStr">
        <is>
          <t>v0.45.0</t>
        </is>
      </c>
      <c r="C79" s="8" t="inlineStr">
        <is>
          <t>Trust &amp; claims</t>
        </is>
      </c>
      <c r="D79" s="9" t="inlineStr">
        <is>
          <t>TC-TRS-001, TC-TRS-004, TC-PUB-007</t>
        </is>
      </c>
      <c r="E79" s="8" t="n">
        <v>3</v>
      </c>
      <c r="F79" s="8" t="n">
        <v>2</v>
      </c>
      <c r="G79" s="8" t="n">
        <v>1</v>
      </c>
      <c r="H79" s="9" t="inlineStr">
        <is>
          <t>claims.test.ts "serves the payload from configuration"; claims.test.ts UNBACKED_CLAIMS; claims.test.ts help centre assertion</t>
        </is>
      </c>
    </row>
    <row r="80">
      <c r="A80" s="8" t="inlineStr">
        <is>
          <t>ST-107 / PR-07</t>
        </is>
      </c>
      <c r="B80" s="8" t="inlineStr">
        <is>
          <t>v0.45.0</t>
        </is>
      </c>
      <c r="C80" s="8" t="inlineStr">
        <is>
          <t>Trust &amp; claims</t>
        </is>
      </c>
      <c r="D80" s="9" t="inlineStr">
        <is>
          <t>TC-TRS-002</t>
        </is>
      </c>
      <c r="E80" s="8" t="n">
        <v>1</v>
      </c>
      <c r="F80" s="8" t="n">
        <v>0</v>
      </c>
      <c r="G80" s="8" t="n">
        <v>1</v>
      </c>
      <c r="H80" s="9" t="inlineStr">
        <is>
          <t>claims.test.ts "makes no claim the code cannot back"</t>
        </is>
      </c>
    </row>
    <row r="81">
      <c r="A81" s="8" t="inlineStr">
        <is>
          <t>ST-110</t>
        </is>
      </c>
      <c r="B81" s="8" t="inlineStr">
        <is>
          <t>v0.45.0</t>
        </is>
      </c>
      <c r="C81" s="8" t="inlineStr">
        <is>
          <t>Web panel</t>
        </is>
      </c>
      <c r="D81" s="9" t="inlineStr">
        <is>
          <t>TC-UI-011</t>
        </is>
      </c>
      <c r="E81" s="8" t="n">
        <v>1</v>
      </c>
      <c r="F81" s="8" t="n">
        <v>0</v>
      </c>
      <c r="G81" s="8" t="n">
        <v>1</v>
      </c>
      <c r="H81" s="9" t="inlineStr">
        <is>
          <t>clientReachability.test.ts</t>
        </is>
      </c>
    </row>
    <row r="82">
      <c r="A82" s="8" t="inlineStr">
        <is>
          <t>ST-111</t>
        </is>
      </c>
      <c r="B82" s="8" t="inlineStr">
        <is>
          <t>v0.45.0</t>
        </is>
      </c>
      <c r="C82" s="8" t="inlineStr">
        <is>
          <t>Product loop</t>
        </is>
      </c>
      <c r="D82" s="9" t="inlineStr">
        <is>
          <t>TC-LOP-001, TC-LOP-002, TC-LOP-003, TC-LOP-004, TC-LOP-005, TC-LOP-006, TC-LOP-007, TC-LOP-008, TC-LOP-009, TC-LOP-010, TC-LOP-013, TC-LOP-014</t>
        </is>
      </c>
      <c r="E82" s="8" t="n">
        <v>12</v>
      </c>
      <c r="F82" s="8" t="n">
        <v>6</v>
      </c>
      <c r="G82" s="8" t="n">
        <v>6</v>
      </c>
      <c r="H82" s="9" t="inlineStr">
        <is>
          <t>s14.test.ts "a replayed webhook produces exactly one job"; s14.test.ts "approve enqueues exactly one job"; s14.test.ts "records not_configured"; s14.test.ts "rejecting a queued meeting is refused"; s14.test.ts "stages fields for review when a CRM is connected and mapped"; s14.test.ts entitlement case; s14.test.ts field mapping in jobs; s14.test.ts idempotent approve; s14.test.ts paused case; s14.test.ts reject block; s14.test.ts review-mode block; server.test.ts "marks the account activated"</t>
        </is>
      </c>
    </row>
    <row r="83">
      <c r="A83" s="8" t="inlineStr">
        <is>
          <t>ST-112 / PR-13</t>
        </is>
      </c>
      <c r="B83" s="8" t="inlineStr">
        <is>
          <t>v0.45.0</t>
        </is>
      </c>
      <c r="C83" s="8" t="inlineStr">
        <is>
          <t>F1 Notes</t>
        </is>
      </c>
      <c r="D83" s="9" t="inlineStr">
        <is>
          <t>TC-NOT-003</t>
        </is>
      </c>
      <c r="E83" s="8" t="n">
        <v>1</v>
      </c>
      <c r="F83" s="8" t="n">
        <v>1</v>
      </c>
      <c r="G83" s="8" t="n">
        <v>0</v>
      </c>
      <c r="H83" s="9" t="inlineStr">
        <is>
          <t>storeContract.test.ts NotesStore contract</t>
        </is>
      </c>
    </row>
    <row r="84">
      <c r="A84" s="8" t="inlineStr">
        <is>
          <t>ST-113</t>
        </is>
      </c>
      <c r="B84" s="8" t="inlineStr">
        <is>
          <t>v0.45.0</t>
        </is>
      </c>
      <c r="C84" s="8" t="inlineStr">
        <is>
          <t>F1 Notes</t>
        </is>
      </c>
      <c r="D84" s="9" t="inlineStr">
        <is>
          <t>TC-NOT-004, TC-NOT-008, TC-NOT-010, TC-CRM-009, TC-IND-006, TC-UI-004, TC-UI-005, TC-UI-009, TC-UI-010</t>
        </is>
      </c>
      <c r="E84" s="8" t="n">
        <v>9</v>
      </c>
      <c r="F84" s="8" t="n">
        <v>7</v>
      </c>
      <c r="G84" s="8" t="n">
        <v>2</v>
      </c>
      <c r="H84" s="9" t="inlineStr">
        <is>
          <t>a11y.test.tsx A11Y-01 and A11Y-03; panels.test.tsx "loads mappings and the queue without draining"; panels.test.tsx "rolls back an add or chip the server refuses"; panels.test.tsx App shell tab walk; clientReachability.test.ts; panels.test.tsx IndicSettings; panels.test.tsx degraded banner; panels.test.tsx empty states; emptyStates.ts; panels.test.tsx optimistic reconcile; panels.test.tsx userFacingError cases</t>
        </is>
      </c>
    </row>
    <row r="85">
      <c r="A85" s="8" t="inlineStr">
        <is>
          <t>ST-114</t>
        </is>
      </c>
      <c r="B85" s="8" t="inlineStr">
        <is>
          <t>v0.45.0</t>
        </is>
      </c>
      <c r="C85" s="8" t="inlineStr">
        <is>
          <t>Product loop</t>
        </is>
      </c>
      <c r="D85" s="9" t="inlineStr">
        <is>
          <t>TC-LOP-011, TC-LOP-012, TC-UI-008</t>
        </is>
      </c>
      <c r="E85" s="8" t="n">
        <v>3</v>
      </c>
      <c r="F85" s="8" t="n">
        <v>2</v>
      </c>
      <c r="G85" s="8" t="n">
        <v>1</v>
      </c>
      <c r="H85" s="9" t="inlineStr">
        <is>
          <t>a11y.test.tsx A11Y-05; panels.test.tsx ReviewScreen; s14.test.ts review route; panels.test.tsx missing insight case</t>
        </is>
      </c>
    </row>
    <row r="86">
      <c r="A86" s="8" t="inlineStr">
        <is>
          <t>ST-115</t>
        </is>
      </c>
      <c r="B86" s="8" t="inlineStr">
        <is>
          <t>v0.45.0</t>
        </is>
      </c>
      <c r="C86" s="8" t="inlineStr">
        <is>
          <t>Operator surface</t>
        </is>
      </c>
      <c r="D86" s="9" t="inlineStr">
        <is>
          <t>TC-OPS-008</t>
        </is>
      </c>
      <c r="E86" s="8" t="n">
        <v>1</v>
      </c>
      <c r="F86" s="8" t="n">
        <v>1</v>
      </c>
      <c r="G86" s="8" t="n">
        <v>0</v>
      </c>
      <c r="H86" s="9" t="inlineStr">
        <is>
          <t>s14.test.ts "the ops digest reports mail outcomes"</t>
        </is>
      </c>
    </row>
    <row r="87">
      <c r="A87" s="8" t="inlineStr">
        <is>
          <t>ST-129</t>
        </is>
      </c>
      <c r="B87" s="8" t="inlineStr">
        <is>
          <t>v0.45.0</t>
        </is>
      </c>
      <c r="C87" s="8" t="inlineStr">
        <is>
          <t>F3 CRM</t>
        </is>
      </c>
      <c r="D87" s="9" t="inlineStr">
        <is>
          <t>TC-CRM-012</t>
        </is>
      </c>
      <c r="E87" s="8" t="n">
        <v>1</v>
      </c>
      <c r="F87" s="8" t="n">
        <v>0</v>
      </c>
      <c r="G87" s="8" t="n">
        <v>1</v>
      </c>
      <c r="H87" s="9" t="inlineStr">
        <is>
          <t>claims.test.ts subprocessor wording</t>
        </is>
      </c>
    </row>
    <row r="88">
      <c r="A88" s="8" t="inlineStr">
        <is>
          <t>ST-137</t>
        </is>
      </c>
      <c r="B88" s="8" t="inlineStr">
        <is>
          <t>v0.45.0</t>
        </is>
      </c>
      <c r="C88" s="8" t="inlineStr">
        <is>
          <t>Billing</t>
        </is>
      </c>
      <c r="D88" s="9" t="inlineStr">
        <is>
          <t>TC-BIL-012</t>
        </is>
      </c>
      <c r="E88" s="8" t="n">
        <v>1</v>
      </c>
      <c r="F88" s="8" t="n">
        <v>0</v>
      </c>
      <c r="G88" s="8" t="n">
        <v>1</v>
      </c>
      <c r="H88" s="9" t="inlineStr">
        <is>
          <t>reachability-allowlist.json entries</t>
        </is>
      </c>
    </row>
    <row r="89">
      <c r="A89" s="8" t="inlineStr">
        <is>
          <t>ST-141</t>
        </is>
      </c>
      <c r="B89" s="8" t="inlineStr">
        <is>
          <t>v0.45.0</t>
        </is>
      </c>
      <c r="C89" s="8" t="inlineStr">
        <is>
          <t>Metrics</t>
        </is>
      </c>
      <c r="D89" s="9" t="inlineStr">
        <is>
          <t>TC-MET-002</t>
        </is>
      </c>
      <c r="E89" s="8" t="n">
        <v>1</v>
      </c>
      <c r="F89" s="8" t="n">
        <v>1</v>
      </c>
      <c r="G89" s="8" t="n">
        <v>0</v>
      </c>
      <c r="H89" s="9" t="inlineStr">
        <is>
          <t>telemetry.test.ts CSV export</t>
        </is>
      </c>
    </row>
    <row r="90">
      <c r="A90" s="8" t="inlineStr">
        <is>
          <t>ST-141 / PR-14</t>
        </is>
      </c>
      <c r="B90" s="8" t="inlineStr">
        <is>
          <t>v0.45.0</t>
        </is>
      </c>
      <c r="C90" s="8" t="inlineStr">
        <is>
          <t>Billing</t>
        </is>
      </c>
      <c r="D90" s="9" t="inlineStr">
        <is>
          <t>TC-BIL-010</t>
        </is>
      </c>
      <c r="E90" s="8" t="n">
        <v>1</v>
      </c>
      <c r="F90" s="8" t="n">
        <v>1</v>
      </c>
      <c r="G90" s="8" t="n">
        <v>0</v>
      </c>
      <c r="H90" s="9" t="inlineStr">
        <is>
          <t>review.test.ts "cohorts are ordered by week"</t>
        </is>
      </c>
    </row>
    <row r="91">
      <c r="A91" s="8" t="inlineStr">
        <is>
          <t>VER-M01 / VER-M02</t>
        </is>
      </c>
      <c r="B91" s="8" t="inlineStr">
        <is>
          <t>v0.14.0</t>
        </is>
      </c>
      <c r="C91" s="8" t="inlineStr">
        <is>
          <t>Install &amp; OAuth</t>
        </is>
      </c>
      <c r="D91" s="9" t="inlineStr">
        <is>
          <t>TC-INS-008</t>
        </is>
      </c>
      <c r="E91" s="8" t="n">
        <v>1</v>
      </c>
      <c r="F91" s="8" t="n">
        <v>1</v>
      </c>
      <c r="G91" s="8" t="n">
        <v>0</v>
      </c>
      <c r="H91" s="9" t="inlineStr">
        <is>
          <t>zoomAuth.test.ts</t>
        </is>
      </c>
    </row>
    <row r="92">
      <c r="A92" s="8" t="inlineStr">
        <is>
          <t>VER-M04</t>
        </is>
      </c>
      <c r="B92" s="8" t="inlineStr">
        <is>
          <t>v0.12.0</t>
        </is>
      </c>
      <c r="C92" s="8" t="inlineStr">
        <is>
          <t>Web panel</t>
        </is>
      </c>
      <c r="D92" s="9" t="inlineStr">
        <is>
          <t>TC-UI-001, TC-UI-002</t>
        </is>
      </c>
      <c r="E92" s="8" t="n">
        <v>2</v>
      </c>
      <c r="F92" s="8" t="n">
        <v>1</v>
      </c>
      <c r="G92" s="8" t="n">
        <v>1</v>
      </c>
      <c r="H92" s="9" t="inlineStr">
        <is>
          <t>panels.test.tsx App shell; sdk.ts REQUIRED_CAPABILITIES; panels.test.tsx SDK failure case</t>
        </is>
      </c>
    </row>
    <row r="93">
      <c r="A93" s="8" t="inlineStr">
        <is>
          <t>VER-M06</t>
        </is>
      </c>
      <c r="B93" s="8" t="inlineStr">
        <is>
          <t>v0.08.0</t>
        </is>
      </c>
      <c r="C93" s="8" t="inlineStr">
        <is>
          <t>Webhooks</t>
        </is>
      </c>
      <c r="D93" s="9" t="inlineStr">
        <is>
          <t>TC-WHK-009</t>
        </is>
      </c>
      <c r="E93" s="8" t="n">
        <v>1</v>
      </c>
      <c r="F93" s="8" t="n">
        <v>1</v>
      </c>
      <c r="G93" s="8" t="n">
        <v>0</v>
      </c>
      <c r="H93" s="9" t="inlineStr">
        <is>
          <t>telemetry.test.ts; app.test.ts</t>
        </is>
      </c>
    </row>
    <row r="95">
      <c r="A95" s="18" t="inlineStr">
        <is>
          <t>90 distinct references covered by 177 manual cases.</t>
        </is>
      </c>
    </row>
  </sheetData>
  <autoFilter ref="A3:H3"/>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9"/>
  <sheetViews>
    <sheetView workbookViewId="0">
      <pane ySplit="3" topLeftCell="A4" activePane="bottomLeft" state="frozen"/>
      <selection pane="bottomLeft" activeCell="A1" sqref="A1"/>
    </sheetView>
  </sheetViews>
  <sheetFormatPr baseColWidth="8" defaultRowHeight="15"/>
  <cols>
    <col width="11" customWidth="1" min="1" max="1"/>
    <col width="22" customWidth="1" min="2" max="2"/>
    <col width="15" customWidth="1" min="3" max="3"/>
    <col width="120" customWidth="1" min="4" max="4"/>
    <col width="50" customWidth="1" min="5" max="5"/>
    <col width="44" customWidth="1" min="6" max="6"/>
    <col width="60" customWidth="1" min="7" max="7"/>
  </cols>
  <sheetData>
    <row r="1" ht="22" customHeight="1">
      <c r="A1" s="1" t="inlineStr">
        <is>
          <t>DEFECT LOG — every finding across the whole review programme</t>
        </is>
      </c>
    </row>
    <row r="2" ht="30" customHeight="1">
      <c r="A2" s="6" t="inlineStr">
        <is>
          <t>HOW TO USE THIS SHEET — Carried from sprint tracker v040 Review_Findings so the two artefacts cannot drift. Filter Disposition to find anything still open. A FIXED row names the regression test that stops it coming back.</t>
        </is>
      </c>
    </row>
    <row r="3">
      <c r="A3" s="7" t="inlineStr">
        <is>
          <t>ID</t>
        </is>
      </c>
      <c r="B3" s="7" t="inlineStr">
        <is>
          <t>Module / area</t>
        </is>
      </c>
      <c r="C3" s="7" t="inlineStr">
        <is>
          <t>Severity</t>
        </is>
      </c>
      <c r="D3" s="7" t="inlineStr">
        <is>
          <t>Finding</t>
        </is>
      </c>
      <c r="E3" s="7" t="inlineStr">
        <is>
          <t>Disposition</t>
        </is>
      </c>
      <c r="F3" s="7" t="inlineStr">
        <is>
          <t>Class / relation</t>
        </is>
      </c>
      <c r="G3" s="7" t="inlineStr">
        <is>
          <t>Pinned by (regression test)</t>
        </is>
      </c>
    </row>
    <row r="4">
      <c r="A4" s="8" t="inlineStr">
        <is>
          <t>M-F01</t>
        </is>
      </c>
      <c r="B4" s="8" t="inlineStr">
        <is>
          <t>billing, app</t>
        </is>
      </c>
      <c r="C4" s="8" t="inlineStr">
        <is>
          <t>Blocking</t>
        </is>
      </c>
      <c r="D4" s="9" t="inlineStr">
        <is>
          <t>paymentFailedTick set subscription.readOnly after the 7-day dunning grace, and not one route ever read it. An account that stopped paying kept full write access indefinitely. Fixed by an entitlement state (ok / trial_expired / past_due_read_only / cancelled / no_subscription) that mutating routes consult; reads are pinned open so a lapsed account can still see and export its own data.</t>
        </is>
      </c>
      <c r="E4" s="31" t="inlineStr">
        <is>
          <t>FIXED</t>
        </is>
      </c>
      <c r="F4" s="9" t="inlineStr">
        <is>
          <t>VoiceBridge F-V07</t>
        </is>
      </c>
      <c r="G4" s="9" t="inlineStr">
        <is>
          <t>app.test.ts "mutating routes stop at an expired trial…"</t>
        </is>
      </c>
    </row>
    <row r="5">
      <c r="A5" s="8" t="inlineStr">
        <is>
          <t>M-F02</t>
        </is>
      </c>
      <c r="B5" s="8" t="inlineStr">
        <is>
          <t>billing</t>
        </is>
      </c>
      <c r="C5" s="8" t="inlineStr">
        <is>
          <t>Blocking</t>
        </is>
      </c>
      <c r="D5" s="9" t="inlineStr">
        <is>
          <t>trialDaysRemaining counted down to zero and nothing consulted it. An account that never added a card kept the product free for ever. Same entitlement gate; no_subscription deliberately does NOT block, since that is the freshly-installed state before the trial starts.</t>
        </is>
      </c>
      <c r="E5" s="31" t="inlineStr">
        <is>
          <t>FIXED</t>
        </is>
      </c>
      <c r="F5" s="9" t="inlineStr">
        <is>
          <t>VoiceBridge F-V03</t>
        </is>
      </c>
      <c r="G5" s="9" t="inlineStr">
        <is>
          <t>app.test.ts entitlement test</t>
        </is>
      </c>
    </row>
    <row r="6">
      <c r="A6" s="8" t="inlineStr">
        <is>
          <t>M-F03</t>
        </is>
      </c>
      <c r="B6" s="8" t="inlineStr">
        <is>
          <t>lifecycle, all</t>
        </is>
      </c>
      <c r="C6" s="8" t="inlineStr">
        <is>
          <t>Blocking</t>
        </is>
      </c>
      <c r="D6" s="9" t="inlineStr">
        <is>
          <t>retentionSweep deleted the account row and nothing else. The tenant's notes, imported CSV records, CRM writeback queue and audit trail, the analytics funnel row, RBAC entries and the billing subscription all survived both the uninstall-plus-retention path and the self-serve delete-my-data path — a direct breach of the published deletion policy. Fixed with a PurgeTarget registry cleared in the same pass, and the delete route now runs the sweep on the request path instead of waiting for an operator. The data.delete audit rows themselves are retained on purpose: they are the proof of erasure.</t>
        </is>
      </c>
      <c r="E6" s="31" t="inlineStr">
        <is>
          <t>FIXED</t>
        </is>
      </c>
      <c r="F6" s="9" t="inlineStr">
        <is>
          <t>VoiceBridge F-V01 / FlowCast F-007</t>
        </is>
      </c>
      <c r="G6" s="9" t="inlineStr">
        <is>
          <t>s9.test.ts "deleting an account clears its tenant graph…"</t>
        </is>
      </c>
    </row>
    <row r="7">
      <c r="A7" s="8" t="inlineStr">
        <is>
          <t>M-F04</t>
        </is>
      </c>
      <c r="B7" s="8" t="inlineStr">
        <is>
          <t>features, tenancy</t>
        </is>
      </c>
      <c r="C7" s="8" t="inlineStr">
        <is>
          <t>Blocking</t>
        </is>
      </c>
      <c r="D7" s="9" t="inlineStr">
        <is>
          <t>One FeatureEngine instance served the whole process while the routes around it were per-organisation. One workspace's imported records, extraction rules, configured defaults, notes sessions, CRM queue and audit trail were readable and writable by every other workspace on the deployment. Fixed with a TenantRegistry allocating one object graph per account, resolved from the verified session; the graph is also the unit that deletion drops.</t>
        </is>
      </c>
      <c r="E7" s="31" t="inlineStr">
        <is>
          <t>FIXED</t>
        </is>
      </c>
      <c r="F7" s="9" t="inlineStr">
        <is>
          <t>new — no sibling precedent</t>
        </is>
      </c>
      <c r="G7" s="9" t="inlineStr">
        <is>
          <t>app.test.ts "feature state is isolated per account"</t>
        </is>
      </c>
    </row>
    <row r="8">
      <c r="A8" s="8" t="inlineStr">
        <is>
          <t>M-F05</t>
        </is>
      </c>
      <c r="B8" s="8" t="inlineStr">
        <is>
          <t>crm</t>
        </is>
      </c>
      <c r="C8" s="8" t="inlineStr">
        <is>
          <t>High</t>
        </is>
      </c>
      <c r="D8" s="9" t="inlineStr">
        <is>
          <t>The writeback retry loop ran all three attempts back to back with no delay, so a CRM answering 429 was hammered three times in a few milliseconds — the fastest possible way to turn a soft rate-limit into a hard one. Fixed with exponential backoff plus full jitter, injectable so the schedule is asserted rather than slept through.</t>
        </is>
      </c>
      <c r="E8" s="31" t="inlineStr">
        <is>
          <t>FIXED</t>
        </is>
      </c>
      <c r="F8" s="9" t="inlineStr">
        <is>
          <t>VoiceBridge F-V06</t>
        </is>
      </c>
      <c r="G8" s="9" t="inlineStr">
        <is>
          <t>review.test.ts "writeback retries back off exponentially"</t>
        </is>
      </c>
    </row>
    <row r="9">
      <c r="A9" s="8" t="inlineStr">
        <is>
          <t>M-F06</t>
        </is>
      </c>
      <c r="B9" s="8" t="inlineStr">
        <is>
          <t>telemetry</t>
        </is>
      </c>
      <c r="C9" s="8" t="inlineStr">
        <is>
          <t>Medium</t>
        </is>
      </c>
      <c r="D9" s="9" t="inlineStr">
        <is>
          <t>weeklyEmail printed the all-time error count under an "errors(7d)" label, so the weekly number only ever rose and a quiet week read as the worst week yet. Windowed properly.</t>
        </is>
      </c>
      <c r="E9" s="31" t="inlineStr">
        <is>
          <t>FIXED</t>
        </is>
      </c>
      <c r="F9" s="9" t="inlineStr">
        <is>
          <t>new</t>
        </is>
      </c>
      <c r="G9" s="9" t="inlineStr">
        <is>
          <t>review.test.ts "the weekly email counts only the trailing seven days"</t>
        </is>
      </c>
    </row>
    <row r="10">
      <c r="A10" s="8" t="inlineStr">
        <is>
          <t>M-F07</t>
        </is>
      </c>
      <c r="B10" s="8" t="inlineStr">
        <is>
          <t>billing</t>
        </is>
      </c>
      <c r="C10" s="8" t="inlineStr">
        <is>
          <t>High</t>
        </is>
      </c>
      <c r="D10" s="9" t="inlineStr">
        <is>
          <t>Accepting the cancellation save-offer dropped the account to starter without the seat check every other plan change enforces, so a 50-seat team account landed on a 10-seat plan and every later seat rule read a state that cannot legitimately exist. Now refused with a typed error.</t>
        </is>
      </c>
      <c r="E10" s="31" t="inlineStr">
        <is>
          <t>FIXED</t>
        </is>
      </c>
      <c r="F10" s="9" t="inlineStr">
        <is>
          <t>new</t>
        </is>
      </c>
      <c r="G10" s="9" t="inlineStr">
        <is>
          <t>review.test.ts "the save-offer refuses a downgrade…"</t>
        </is>
      </c>
    </row>
    <row r="11">
      <c r="A11" s="8" t="inlineStr">
        <is>
          <t>M-F08</t>
        </is>
      </c>
      <c r="B11" s="8" t="inlineStr">
        <is>
          <t>zoomAuth</t>
        </is>
      </c>
      <c r="C11" s="8" t="inlineStr">
        <is>
          <t>High</t>
        </is>
      </c>
      <c r="D11" s="9" t="inlineStr">
        <is>
          <t>refreshTokens mapped every non-200 to 401 "Refresh rejected", so a Zoom 5xx — their outage, nothing to do with our grant — was indistinguishable from a revoked token and pushed the workspace down the reconnect path. exchangeCode already drew this distinction; refresh now matches it.</t>
        </is>
      </c>
      <c r="E11" s="31" t="inlineStr">
        <is>
          <t>FIXED</t>
        </is>
      </c>
      <c r="F11" s="9" t="inlineStr">
        <is>
          <t>new</t>
        </is>
      </c>
      <c r="G11" s="9" t="inlineStr">
        <is>
          <t>review.test.ts "a Zoom 5xx during refresh is an upstream error"</t>
        </is>
      </c>
    </row>
    <row r="12">
      <c r="A12" s="8" t="inlineStr">
        <is>
          <t>M-F09</t>
        </is>
      </c>
      <c r="B12" s="8" t="inlineStr">
        <is>
          <t>billing, app</t>
        </is>
      </c>
      <c r="C12" s="8" t="inlineStr">
        <is>
          <t>High</t>
        </is>
      </c>
      <c r="D12" s="9" t="inlineStr">
        <is>
          <t>Seat counts came straight from the request body and were only compared against the plan ceiling, so 0, -5 and 2.5 all passed and produced zero or negative invoices. Validated at every entry point; the route answers 422 invalid_seats.</t>
        </is>
      </c>
      <c r="E12" s="31" t="inlineStr">
        <is>
          <t>FIXED</t>
        </is>
      </c>
      <c r="F12" s="9" t="inlineStr">
        <is>
          <t>VoiceBridge F-V04</t>
        </is>
      </c>
      <c r="G12" s="9" t="inlineStr">
        <is>
          <t>review.test.ts "seats must be a whole number of at least one"</t>
        </is>
      </c>
    </row>
    <row r="13">
      <c r="A13" s="8" t="inlineStr">
        <is>
          <t>M-F10</t>
        </is>
      </c>
      <c r="B13" s="8" t="inlineStr">
        <is>
          <t>features, csv</t>
        </is>
      </c>
      <c r="C13" s="8" t="inlineStr">
        <is>
          <t>High</t>
        </is>
      </c>
      <c r="D13" s="9" t="inlineStr">
        <is>
          <t>CSV import was split(',') per line, so any exported field containing a comma, a quoted newline or an escaped quote — all legal RFC-4180 and common in meeting-note exports — was either rejected as ragged or silently sliced in half. Replaced with a real RFC-4180 parser in a shared csv.ts.</t>
        </is>
      </c>
      <c r="E13" s="31" t="inlineStr">
        <is>
          <t>FIXED</t>
        </is>
      </c>
      <c r="F13" s="9" t="inlineStr">
        <is>
          <t>ShiftDesk F-010 / TestPulse</t>
        </is>
      </c>
      <c r="G13" s="9" t="inlineStr">
        <is>
          <t>review.test.ts csv block</t>
        </is>
      </c>
    </row>
    <row r="14">
      <c r="A14" s="8" t="inlineStr">
        <is>
          <t>M-F11</t>
        </is>
      </c>
      <c r="B14" s="8" t="inlineStr">
        <is>
          <t>app, auth, web/api</t>
        </is>
      </c>
      <c r="C14" s="8" t="inlineStr">
        <is>
          <t>Blocking</t>
        </is>
      </c>
      <c r="D14" s="9" t="inlineStr">
        <is>
          <t>The authentication boundary was the x-role and x-user request headers, which the browser sets. Any caller could send x-role: owner and act as the owner of any workspace, including deleting its data. Fixed with HMAC-signed session tokens minted server-side at the end of the verified OAuth install; the web client can no longer state its own role at all, and a session for one workspace is refused on another's routes. Header auth survives only behind MEETSYNC_DEV_HEADER_AUTH=1, defaulted off.</t>
        </is>
      </c>
      <c r="E14" s="31" t="inlineStr">
        <is>
          <t>FIXED</t>
        </is>
      </c>
      <c r="F14" s="9" t="inlineStr">
        <is>
          <t>new — most serious finding in this review</t>
        </is>
      </c>
      <c r="G14" s="9" t="inlineStr">
        <is>
          <t>app.test.ts + review.test.ts auth blocks</t>
        </is>
      </c>
    </row>
    <row r="15">
      <c r="A15" s="8" t="inlineStr">
        <is>
          <t>M-F12</t>
        </is>
      </c>
      <c r="B15" s="8" t="inlineStr">
        <is>
          <t>app</t>
        </is>
      </c>
      <c r="C15" s="8" t="inlineStr">
        <is>
          <t>Blocking</t>
        </is>
      </c>
      <c r="D15" s="9" t="inlineStr">
        <is>
          <t>/admin/install-sources, /analytics/funnel, /analytics/export.csv and /analytics/search-terms were completely unauthenticated — a full cross-tenant data export to anyone who knew the path. These are founder endpoints, not workspace endpoints, so they now require MEETSYNC_OPERATOR_TOKEN compared in constant time.</t>
        </is>
      </c>
      <c r="E15" s="31" t="inlineStr">
        <is>
          <t>FIXED</t>
        </is>
      </c>
      <c r="F15" s="9" t="inlineStr">
        <is>
          <t>new</t>
        </is>
      </c>
      <c r="G15" s="9" t="inlineStr">
        <is>
          <t>review.test.ts "every protected route refuses an unauthenticated caller"</t>
        </is>
      </c>
    </row>
    <row r="16">
      <c r="A16" s="8" t="inlineStr">
        <is>
          <t>M-F13</t>
        </is>
      </c>
      <c r="B16" s="8" t="inlineStr">
        <is>
          <t>webhooks</t>
        </is>
      </c>
      <c r="C16" s="8" t="inlineStr">
        <is>
          <t>Medium</t>
        </is>
      </c>
      <c r="D16" s="9" t="inlineStr">
        <is>
          <t>The dedupe key was event:event_ts. Zoom stamps event_ts in milliseconds and the same event type fires for every account, so two workspaces whose meetings ended in the same millisecond collided and the second delivery was silently swallowed as a duplicate. Key now carries account and payload object identity.</t>
        </is>
      </c>
      <c r="E16" s="31" t="inlineStr">
        <is>
          <t>FIXED</t>
        </is>
      </c>
      <c r="F16" s="9" t="inlineStr">
        <is>
          <t>new</t>
        </is>
      </c>
      <c r="G16" s="9" t="inlineStr">
        <is>
          <t>review.test.ts "the same event in the same millisecond…"</t>
        </is>
      </c>
    </row>
    <row r="17">
      <c r="A17" s="8" t="inlineStr">
        <is>
          <t>M-F14</t>
        </is>
      </c>
      <c r="B17" s="8" t="inlineStr">
        <is>
          <t>8 modules, ledger</t>
        </is>
      </c>
      <c r="C17" s="8" t="inlineStr">
        <is>
          <t>High</t>
        </is>
      </c>
      <c r="D17" s="9" t="inlineStr">
        <is>
          <t>Eight collections grew without limit for the process lifetime: the webhook dedupe set, telemetry errors and search terms, the CRM queue and audit trail, per-feature notifications and imported records, the RBAC audit log and the notes session map. Two of them (search terms, dedupe set) are reachable without credentials, so this was a memory-exhaustion path as well. All FIFO-capped via a shared ledger.ts with drop counters, so the loss is observable rather than silent. Cap is configurable (LEDGER_CAP, default 10000).</t>
        </is>
      </c>
      <c r="E17" s="31" t="inlineStr">
        <is>
          <t>FIXED</t>
        </is>
      </c>
      <c r="F17" s="9" t="inlineStr">
        <is>
          <t>TeleField F-001/F-003, VoiceBridge F-V05</t>
        </is>
      </c>
      <c r="G17" s="9" t="inlineStr">
        <is>
          <t>review.test.ts ledger block</t>
        </is>
      </c>
    </row>
    <row r="18">
      <c r="A18" s="8" t="inlineStr">
        <is>
          <t>M-F15</t>
        </is>
      </c>
      <c r="B18" s="8" t="inlineStr">
        <is>
          <t>app, auth</t>
        </is>
      </c>
      <c r="C18" s="8" t="inlineStr">
        <is>
          <t>High</t>
        </is>
      </c>
      <c r="D18" s="9" t="inlineStr">
        <is>
          <t>The OAuth callback accepted any code with no CSRF state at all, and derived the tenant id from the code itself, so an attacker-chosen code installed an attacker-chosen org. A new /oauth/start mints signed state carrying the account and install source; the callback requires it.</t>
        </is>
      </c>
      <c r="E18" s="31" t="inlineStr">
        <is>
          <t>FIXED</t>
        </is>
      </c>
      <c r="F18" s="9" t="inlineStr">
        <is>
          <t>new</t>
        </is>
      </c>
      <c r="G18" s="9" t="inlineStr">
        <is>
          <t>app.test.ts "refuses a missing, forged or foreign-signed state"</t>
        </is>
      </c>
    </row>
    <row r="19">
      <c r="A19" s="8" t="inlineStr">
        <is>
          <t>M-F16</t>
        </is>
      </c>
      <c r="B19" s="8" t="inlineStr">
        <is>
          <t>demo, lifecycle</t>
        </is>
      </c>
      <c r="C19" s="8" t="inlineStr">
        <is>
          <t>Blocking</t>
        </is>
      </c>
      <c r="D19" s="9" t="inlineStr">
        <is>
          <t>Demo-mode ran installAccount against whatever org id sat in the path, so an admin hitting /orgs/&lt;real-org&gt;/demo-mode overwrote that live workspace's OAuth tokens with the literal string "demo" and knocked it off Zoom entirely. Demo data now only ever lands in a demo- namespace, enforced in the seeder itself. Duplicate install deliveries were also resetting installedAt and attribution; they now refresh tokens only.</t>
        </is>
      </c>
      <c r="E19" s="31" t="inlineStr">
        <is>
          <t>FIXED</t>
        </is>
      </c>
      <c r="F19" s="9" t="inlineStr">
        <is>
          <t>ShiftDesk duplicate-install class</t>
        </is>
      </c>
      <c r="G19" s="9" t="inlineStr">
        <is>
          <t>s10.test.ts demo-mode block + review.test.ts duplicate-install</t>
        </is>
      </c>
    </row>
    <row r="20">
      <c r="A20" s="8" t="inlineStr">
        <is>
          <t>M-F17</t>
        </is>
      </c>
      <c r="B20" s="8" t="inlineStr">
        <is>
          <t>actions</t>
        </is>
      </c>
      <c r="C20" s="8" t="inlineStr">
        <is>
          <t>Medium</t>
        </is>
      </c>
      <c r="D20" s="9" t="inlineStr">
        <is>
          <t>Extraction stamped usage days from new Date() while every other module took an injected clock, so usage landed on the wall-clock day even under a fixed test or replay clock; and an operator override of dueDays was coerced with no validation, producing action items with dueInDays: NaN that rendered blank. Both fixed. dealRisk and indic had the same clock inconsistency and were brought into line.</t>
        </is>
      </c>
      <c r="E20" s="31" t="inlineStr">
        <is>
          <t>FIXED</t>
        </is>
      </c>
      <c r="F20" s="9" t="inlineStr">
        <is>
          <t>new</t>
        </is>
      </c>
      <c r="G20" s="9" t="inlineStr">
        <is>
          <t>review.test.ts "a non-numeric dueDays override…"</t>
        </is>
      </c>
    </row>
    <row r="21">
      <c r="A21" s="8" t="inlineStr">
        <is>
          <t>M-F18</t>
        </is>
      </c>
      <c r="B21" s="8" t="inlineStr">
        <is>
          <t>onboarding, app</t>
        </is>
      </c>
      <c r="C21" s="8" t="inlineStr">
        <is>
          <t>Medium</t>
        </is>
      </c>
      <c r="D21" s="9" t="inlineStr">
        <is>
          <t>The onboarding step came straight from the request body with no validation, so any string — or a body with no step at all, which stored undefined — quietly polluted the checklist state. Validated against the declared steps; the route answers 422.</t>
        </is>
      </c>
      <c r="E21" s="31" t="inlineStr">
        <is>
          <t>FIXED</t>
        </is>
      </c>
      <c r="F21" s="9" t="inlineStr">
        <is>
          <t>new</t>
        </is>
      </c>
      <c r="G21" s="9" t="inlineStr">
        <is>
          <t>app.test.ts onboarding block</t>
        </is>
      </c>
    </row>
    <row r="22">
      <c r="A22" s="8" t="inlineStr">
        <is>
          <t>M-F19</t>
        </is>
      </c>
      <c r="B22" s="8" t="inlineStr">
        <is>
          <t>—</t>
        </is>
      </c>
      <c r="C22" s="8" t="inlineStr">
        <is>
          <t>—</t>
        </is>
      </c>
      <c r="D22" s="9" t="inlineStr">
        <is>
          <t>Reserved during triage; folded into M-F14 (the search-term store is one of the capped ledgers, and the term key is now length-clamped so one request cannot store an arbitrarily large key).</t>
        </is>
      </c>
      <c r="E22" s="32" t="inlineStr">
        <is>
          <t>MERGED INTO M-F14</t>
        </is>
      </c>
      <c r="F22" s="9" t="inlineStr">
        <is>
          <t>—</t>
        </is>
      </c>
      <c r="G22" s="9" t="inlineStr">
        <is>
          <t>—</t>
        </is>
      </c>
    </row>
    <row r="23">
      <c r="A23" s="8" t="inlineStr">
        <is>
          <t>M-F20</t>
        </is>
      </c>
      <c r="B23" s="8" t="inlineStr">
        <is>
          <t>telemetry, csv</t>
        </is>
      </c>
      <c r="C23" s="8" t="inlineStr">
        <is>
          <t>Medium</t>
        </is>
      </c>
      <c r="D23" s="9" t="inlineStr">
        <is>
          <t>The analytics CSV export interpolated account ids unquoted, so any id containing a comma or quote shifted every later column in that row. Now serialised through the shared RFC-4180 writer.</t>
        </is>
      </c>
      <c r="E23" s="31" t="inlineStr">
        <is>
          <t>FIXED</t>
        </is>
      </c>
      <c r="F23" s="9" t="inlineStr">
        <is>
          <t>VoiceBridge OBS-V1 (fixed here rather than deferred)</t>
        </is>
      </c>
      <c r="G23" s="9" t="inlineStr">
        <is>
          <t>review.test.ts "quotes only the cells that need it"</t>
        </is>
      </c>
    </row>
    <row r="24">
      <c r="A24" s="8" t="inlineStr">
        <is>
          <t>M-F21</t>
        </is>
      </c>
      <c r="B24" s="8" t="inlineStr">
        <is>
          <t>app</t>
        </is>
      </c>
      <c r="C24" s="8" t="inlineStr">
        <is>
          <t>High</t>
        </is>
      </c>
      <c r="D24" s="9" t="inlineStr">
        <is>
          <t>Found while writing a test for something else: Express 4 does not observe promises returned by handlers, so an unexpected rejection inside an async route left the request hanging open with no status and no log line, holding a socket for the client's full timeout. The test that surfaced it timed out at 5s rather than failing — which is exactly how this reaches production unnoticed. Async routes are now wrapped and a terminal error handler turns anything that escapes into a 500.</t>
        </is>
      </c>
      <c r="E24" s="31" t="inlineStr">
        <is>
          <t>FIXED</t>
        </is>
      </c>
      <c r="F24" s="9" t="inlineStr">
        <is>
          <t>new — worth checking across the portfolio</t>
        </is>
      </c>
      <c r="G24" s="9" t="inlineStr">
        <is>
          <t>s10.test.ts "an async route that rejects answers 500 instead of hanging"</t>
        </is>
      </c>
    </row>
    <row r="25">
      <c r="A25" s="8" t="inlineStr">
        <is>
          <t>OBS-M1</t>
        </is>
      </c>
      <c r="B25" s="8" t="inlineStr">
        <is>
          <t>zoomClient</t>
        </is>
      </c>
      <c r="C25" s="8" t="inlineStr">
        <is>
          <t>Medium</t>
        </is>
      </c>
      <c r="D25" s="9" t="inlineStr">
        <is>
          <t>The circuit breaker's half-open path resets the failure count to zero, so after the cooldown it takes another full threshold of failures to re-open — a still-broken upstream gets unlimited probes rather than one. This is the same shape as FlowCast OBS-002 and VoiceBridge OBS-V2, so it wants one portfolio-wide ruling rather than three separate local fixes.</t>
        </is>
      </c>
      <c r="E25" s="32" t="inlineStr">
        <is>
          <t>NO FIX — needs your disposition</t>
        </is>
      </c>
      <c r="F25" s="9" t="inlineStr">
        <is>
          <t>FlowCast OBS-002, VoiceBridge OBS-V2</t>
        </is>
      </c>
      <c r="G25" s="9" t="inlineStr">
        <is>
          <t>—</t>
        </is>
      </c>
    </row>
    <row r="26">
      <c r="A26" s="8" t="inlineStr">
        <is>
          <t>OBS-M2</t>
        </is>
      </c>
      <c r="B26" s="8" t="inlineStr">
        <is>
          <t>lifecycle</t>
        </is>
      </c>
      <c r="C26" s="8" t="inlineStr">
        <is>
          <t>Medium</t>
        </is>
      </c>
      <c r="D26" s="9" t="inlineStr">
        <is>
          <t>Re-installing after delete-my-data but before the sweep restores the archived account, because the restore path only checks that the account was uninstalled and archived. Since the sweep now runs on the delete request path this window is very small, but the question is a product one: should an explicit deletion be un-doable by re-installing? Needs your call, not mine.</t>
        </is>
      </c>
      <c r="E26" s="32" t="inlineStr">
        <is>
          <t>NO FIX — product decision</t>
        </is>
      </c>
      <c r="F26" s="9" t="inlineStr">
        <is>
          <t>new</t>
        </is>
      </c>
      <c r="G26" s="9" t="inlineStr">
        <is>
          <t>—</t>
        </is>
      </c>
    </row>
    <row r="27">
      <c r="A27" s="8" t="inlineStr">
        <is>
          <t>OBS-M3</t>
        </is>
      </c>
      <c r="B27" s="8" t="inlineStr">
        <is>
          <t>store</t>
        </is>
      </c>
      <c r="C27" s="8" t="inlineStr">
        <is>
          <t>High (deferred)</t>
        </is>
      </c>
      <c r="D27" s="9" t="inlineStr">
        <is>
          <t>InMemoryStore is still the only implementation. Every cap, purge and entitlement fixed above is process-local and resets on restart, so none of this is durable until the D16-class Postgres adapter lands. Worth stating plainly: the deletion guarantee in docs/DATA_FLOW.md is only as good as that adapter.</t>
        </is>
      </c>
      <c r="E27" s="32" t="inlineStr">
        <is>
          <t>PARTIALLY CLOSED 13 Sep (code v016) — PostgresStore built and verified against a live database; account row and tokens durable, purge is a real DELETE. Billing, tenant state, CRM queue and RBAC audit remain process-local. See docs/PERSISTENCE.md and tracker E024/E025.</t>
        </is>
      </c>
      <c r="F27" s="9" t="inlineStr">
        <is>
          <t>TeleField/VoiceBridge same adapter point</t>
        </is>
      </c>
      <c r="G27" s="9" t="inlineStr">
        <is>
          <t>—</t>
        </is>
      </c>
    </row>
    <row r="28">
      <c r="A28" s="8" t="inlineStr">
        <is>
          <t>PR-01</t>
        </is>
      </c>
      <c r="B28" s="8" t="inlineStr">
        <is>
          <t>OAuth install / tenancy</t>
        </is>
      </c>
      <c r="C28" s="8" t="inlineStr">
        <is>
          <t>CRITICAL</t>
        </is>
      </c>
      <c r="D28" s="9" t="inlineStr">
        <is>
          <t>Tenant id came from the caller's query string at /oauth/start; the callback installed whatever Zoom login completed OAuth onto that id and minted an owner session for it — cross-tenant takeover, token repointing, export and deletion of any workspace. The signed state proved the server issued the state, not that the caller owned the account; every test supplied an account_id and asserted it came back.</t>
        </is>
      </c>
      <c r="E28" s="31" t="inlineStr">
        <is>
          <t>FIXED v045 (ST-101) — tenant = Zoom /users/me account_id; hint refused with 403 + install.tenant audit row; installAccount re-checks</t>
        </is>
      </c>
      <c r="F28" s="9" t="inlineStr">
        <is>
          <t>M-F11/M-F15 one level up; VER-M01 class (tests assert our own shape)</t>
        </is>
      </c>
      <c r="G28" s="9" t="inlineStr">
        <is>
          <t>s13.test.ts "refuses a state whose account differs from Zoom's answer…"; "cannot repoint a live workspace's tokens"; identity.test.ts</t>
        </is>
      </c>
    </row>
    <row r="29">
      <c r="A29" s="8" t="inlineStr">
        <is>
          <t>PR-02</t>
        </is>
      </c>
      <c r="B29" s="8" t="inlineStr">
        <is>
          <t>Product core</t>
        </is>
      </c>
      <c r="C29" s="8" t="inlineStr">
        <is>
          <t>CRITICAL</t>
        </is>
      </c>
      <c r="D29" s="9" t="inlineStr">
        <is>
          <t>No AI, NLP, ASR or LLM anywhere. Extraction is a 5-phrase substring match; "Hindi and Tamil transcription built in" (listing A) does not exist. Zoom review guidelines require the listing to describe what the app does.</t>
        </is>
      </c>
      <c r="E29" s="33" t="inlineStr">
        <is>
          <t>OPEN — decision PD-02; listing copy HELD by banner and gated (claims.test.ts) so it cannot be submitted over the current code</t>
        </is>
      </c>
      <c r="F29" s="9" t="inlineStr">
        <is>
          <t>New</t>
        </is>
      </c>
      <c r="G29" s="9" t="inlineStr">
        <is>
          <t>claims.test.ts "carries the HELD banner…"</t>
        </is>
      </c>
    </row>
    <row r="30">
      <c r="A30" s="8" t="inlineStr">
        <is>
          <t>PR-03</t>
        </is>
      </c>
      <c r="B30" s="8" t="inlineStr">
        <is>
          <t>Web surface</t>
        </is>
      </c>
      <c r="C30" s="8" t="inlineStr">
        <is>
          <t>CRITICAL</t>
        </is>
      </c>
      <c r="D30" s="9" t="inlineStr">
        <is>
          <t>web/api.ts exposed 4 methods, none a product feature; panels held local state and called none of 17 routes; RTL suite passed by testing components against props it handed them. GAP-3 on the client side; the v021 gate reads server names so cannot see it.</t>
        </is>
      </c>
      <c r="E30" s="31" t="inlineStr">
        <is>
          <t>FIXED v045 (ST-109/110/113/114) — 48-method client, panels wired with rollback, fake-server RTL, route→client gate</t>
        </is>
      </c>
      <c r="F30" s="9" t="inlineStr">
        <is>
          <t>GAP-3 class</t>
        </is>
      </c>
      <c r="G30" s="9" t="inlineStr">
        <is>
          <t>clientReachability.test.ts; panels.test.tsx "covers every product route…"; a11y.test.tsx</t>
        </is>
      </c>
    </row>
    <row r="31">
      <c r="A31" s="8" t="inlineStr">
        <is>
          <t>PR-04</t>
        </is>
      </c>
      <c r="B31" s="8" t="inlineStr">
        <is>
          <t>Product loop</t>
        </is>
      </c>
      <c r="C31" s="8" t="inlineStr">
        <is>
          <t>HIGH</t>
        </is>
      </c>
      <c r="D31" s="9" t="inlineStr">
        <is>
          <t>Transcript insights never reached the CRM; nothing enqueued a writeback. The headline promise required a manual API call with hand-typed fields.</t>
        </is>
      </c>
      <c r="E31" s="31" t="inlineStr">
        <is>
          <t>FIXED v045 (ST-111) — staged for review by default, one job per meeting under redelivery, approve/reject handshake, review screen</t>
        </is>
      </c>
      <c r="F31" s="9" t="inlineStr">
        <is>
          <t>GAP-3 class</t>
        </is>
      </c>
      <c r="G31" s="9" t="inlineStr">
        <is>
          <t>s14.test.ts ST-111 block; server.test.ts "auto-approved ingest through the real graph…"</t>
        </is>
      </c>
    </row>
    <row r="32">
      <c r="A32" s="8" t="inlineStr">
        <is>
          <t>PR-05</t>
        </is>
      </c>
      <c r="B32" s="8" t="inlineStr">
        <is>
          <t>Commercial</t>
        </is>
      </c>
      <c r="C32" s="8" t="inlineStr">
        <is>
          <t>HIGH</t>
        </is>
      </c>
      <c r="D32" s="9" t="inlineStr">
        <is>
          <t>PRICING_PAGE.md publishes flat monthly prices; code and /pricing treat the same numbers as per-seat — 50x apart at Team. HubSpot listing rules require listed pricing to match the website.</t>
        </is>
      </c>
      <c r="E32" s="33" t="inlineStr">
        <is>
          <t>OPEN — decision PD-01; page carries DECISION PENDING banner enforced by claims.test.ts until numbers agree (ST-136)</t>
        </is>
      </c>
      <c r="F32" s="9" t="inlineStr">
        <is>
          <t>New</t>
        </is>
      </c>
      <c r="G32" s="9" t="inlineStr">
        <is>
          <t>claims.test.ts "carries the decision-pending banner…"</t>
        </is>
      </c>
    </row>
    <row r="33">
      <c r="A33" s="8" t="inlineStr">
        <is>
          <t>PR-06</t>
        </is>
      </c>
      <c r="B33" s="8" t="inlineStr">
        <is>
          <t>Compliance / deletion</t>
        </is>
      </c>
      <c r="C33" s="8" t="inlineStr">
        <is>
          <t>HIGH</t>
        </is>
      </c>
      <c r="D33" s="9" t="inlineStr">
        <is>
          <t>app.ts built its own purge list without the transcript ingestor while server.ts included it; explicit delete-my-data left verbatim meeting excerpts resident while the scheduled sweep cleared them. The stronger request got the weaker guarantee; a comment was the only enforcement.</t>
        </is>
      </c>
      <c r="E33" s="31" t="inlineStr">
        <is>
          <t>FIXED v045 (ST-106) — src/purge.ts single factory, both paths, equality test</t>
        </is>
      </c>
      <c r="F33" s="9" t="inlineStr">
        <is>
          <t>M-F03 class, reintroduced by v029</t>
        </is>
      </c>
      <c r="G33" s="9" t="inlineStr">
        <is>
          <t>s13.test.ts "the route and the scheduler build the same list…"; "delete-my-data clears meeting insights"</t>
        </is>
      </c>
    </row>
    <row r="34">
      <c r="A34" s="8" t="inlineStr">
        <is>
          <t>PR-07</t>
        </is>
      </c>
      <c r="B34" s="8" t="inlineStr">
        <is>
          <t>Trust claims</t>
        </is>
      </c>
      <c r="C34" s="8" t="inlineStr">
        <is>
          <t>HIGH</t>
        </is>
      </c>
      <c r="D34" s="9" t="inlineStr">
        <is>
          <t>TRUST_PAGE.md named PostHog, Sentry and Stripe as subprocessors that appear nowhere in the code; said "two Zoom read scopes" where the map lists four; advertised regional deployment for a label.</t>
        </is>
      </c>
      <c r="E34" s="31" t="inlineStr">
        <is>
          <t>FIXED v045 (ST-107) — src/claims.ts single source, page rewritten with "Not yet" section, document↔code gate</t>
        </is>
      </c>
      <c r="F34" s="9" t="inlineStr">
        <is>
          <t>ST-096 / v038-v039 class (claim outliving its evidence)</t>
        </is>
      </c>
      <c r="G34" s="9" t="inlineStr">
        <is>
          <t>claims.test.ts (subprocessors, unbacked terms, scopes, payload)</t>
        </is>
      </c>
    </row>
    <row r="35">
      <c r="A35" s="8" t="inlineStr">
        <is>
          <t>PR-08</t>
        </is>
      </c>
      <c r="B35" s="8" t="inlineStr">
        <is>
          <t>Identity</t>
        </is>
      </c>
      <c r="C35" s="8" t="inlineStr">
        <is>
          <t>HIGH</t>
        </is>
      </c>
      <c r="D35" s="9" t="inlineStr">
        <is>
          <t>Every installer became owner@&lt;accountId&gt; with role owner; no user identity, invites, user list or revocation; audit userId synthetic.</t>
        </is>
      </c>
      <c r="E35" s="31" t="inlineStr">
        <is>
          <t>FIXED v045 (ST-102/103) — Zoom user id/email/role in session; revocation. Invite/user list = ST-143 (S19)</t>
        </is>
      </c>
      <c r="F35" s="9" t="inlineStr">
        <is>
          <t>New</t>
        </is>
      </c>
      <c r="G35" s="9" t="inlineStr">
        <is>
          <t>s13.test.ts "mints owner/admin/member from Zoom's role, and two users produce two audit identities"</t>
        </is>
      </c>
    </row>
    <row r="36">
      <c r="A36" s="8" t="inlineStr">
        <is>
          <t>PR-09</t>
        </is>
      </c>
      <c r="B36" s="8" t="inlineStr">
        <is>
          <t>Residency</t>
        </is>
      </c>
      <c r="C36" s="8" t="inlineStr">
        <is>
          <t>MEDIUM</t>
        </is>
      </c>
      <c r="D36" s="9" t="inlineStr">
        <is>
          <t>MEETSYNC_REGION validated then only echoed; nothing routes, stores or restricts by region while the trust page advertised US/India/EU deployment.</t>
        </is>
      </c>
      <c r="E36" s="32" t="inlineStr">
        <is>
          <t>PARTIALLY CLOSED v045 — claim removed: /trust reports regionEnforced:false, page lists residency under "Not yet". Enforcement = ST-145</t>
        </is>
      </c>
      <c r="F36" s="9" t="inlineStr">
        <is>
          <t>New</t>
        </is>
      </c>
      <c r="G36" s="9" t="inlineStr">
        <is>
          <t>claims.test.ts "serves the payload from configuration, with region explicitly unenforced"</t>
        </is>
      </c>
    </row>
    <row r="37">
      <c r="A37" s="8" t="inlineStr">
        <is>
          <t>PR-10</t>
        </is>
      </c>
      <c r="B37" s="8" t="inlineStr">
        <is>
          <t>HTTP hardening</t>
        </is>
      </c>
      <c r="C37" s="8" t="inlineStr">
        <is>
          <t>MEDIUM</t>
        </is>
      </c>
      <c r="D37" s="9" t="inlineStr">
        <is>
          <t>No helmet/CSP, CORS policy, rate limiting or body-size limit; session token in a URL fragment, 12-hour TTL, not revocable.</t>
        </is>
      </c>
      <c r="E37" s="31" t="inlineStr">
        <is>
          <t>FIXED v045 (ST-103/104) — headers+CSP, CORS allowlist, 256kb, token-bucket limits, 60-min jti sessions in HttpOnly cookie, revocation</t>
        </is>
      </c>
      <c r="F37" s="9" t="inlineStr">
        <is>
          <t>New</t>
        </is>
      </c>
      <c r="G37" s="9" t="inlineStr">
        <is>
          <t>s13.test.ts ST-103 + ST-104 blocks</t>
        </is>
      </c>
    </row>
    <row r="38">
      <c r="A38" s="8" t="inlineStr">
        <is>
          <t>PR-11</t>
        </is>
      </c>
      <c r="B38" s="8" t="inlineStr">
        <is>
          <t>Deal risk (F4)</t>
        </is>
      </c>
      <c r="C38" s="8" t="inlineStr">
        <is>
          <t>MEDIUM</t>
        </is>
      </c>
      <c r="D38" s="9" t="inlineStr">
        <is>
          <t>13 hardcoded English keywords, no evidence span or confidence; cannot fire on Hindi/Tamil content; substring false positives.</t>
        </is>
      </c>
      <c r="E38" s="33" t="inlineStr">
        <is>
          <t>OPEN — decision PD-04 (rebuild inside ST-117/ST-124, or cut). Note: signals DO carry excerpt+line since v0xx; confidence and language awareness do not exist</t>
        </is>
      </c>
      <c r="F38" s="9" t="inlineStr">
        <is>
          <t>New</t>
        </is>
      </c>
      <c r="G38" s="9" t="inlineStr">
        <is>
          <t>—</t>
        </is>
      </c>
    </row>
    <row r="39">
      <c r="A39" s="8" t="inlineStr">
        <is>
          <t>PR-12</t>
        </is>
      </c>
      <c r="B39" s="8" t="inlineStr">
        <is>
          <t>Billing</t>
        </is>
      </c>
      <c r="C39" s="8" t="inlineStr">
        <is>
          <t>MEDIUM</t>
        </is>
      </c>
      <c r="D39" s="9" t="inlineStr">
        <is>
          <t>Seats arrive in the request body and are only range-checked; LC-10 claims "per-seat detection live"; nothing detects a seat.</t>
        </is>
      </c>
      <c r="E39" s="33" t="inlineStr">
        <is>
          <t>OPEN — ST-139 (S18). Gate_Checklist LC-10 wording corrected in v040 so the claim is no longer made</t>
        </is>
      </c>
      <c r="F39" s="9" t="inlineStr">
        <is>
          <t>M-F09 adjacent</t>
        </is>
      </c>
      <c r="G39" s="9" t="inlineStr">
        <is>
          <t>—</t>
        </is>
      </c>
    </row>
    <row r="40">
      <c r="A40" s="8" t="inlineStr">
        <is>
          <t>PR-13</t>
        </is>
      </c>
      <c r="B40" s="8" t="inlineStr">
        <is>
          <t>Durability</t>
        </is>
      </c>
      <c r="C40" s="8" t="inlineStr">
        <is>
          <t>MEDIUM</t>
        </is>
      </c>
      <c r="D40" s="9" t="inlineStr">
        <is>
          <t>Notes sessions, telemetry and meeting insights process-local; a deploy discarded in-flight notes — the one thing a user typed by hand.</t>
        </is>
      </c>
      <c r="E40" s="31" t="inlineStr">
        <is>
          <t>FIXED v045 (ST-112) for notes and insights (contract suite x2); telemetry stays process-local by documented decision</t>
        </is>
      </c>
      <c r="F40" s="9" t="inlineStr">
        <is>
          <t>OBS-M3 remainder</t>
        </is>
      </c>
      <c r="G40" s="9" t="inlineStr">
        <is>
          <t>storeContract.test.ts NotesStore / InsightStore contracts</t>
        </is>
      </c>
    </row>
    <row r="41">
      <c r="A41" s="8" t="inlineStr">
        <is>
          <t>PR-14</t>
        </is>
      </c>
      <c r="B41" s="8" t="inlineStr">
        <is>
          <t>Metrics</t>
        </is>
      </c>
      <c r="C41" s="8" t="inlineStr">
        <is>
          <t>LOW</t>
        </is>
      </c>
      <c r="D41" s="9" t="inlineStr">
        <is>
          <t>revenueMetrics.trials = all.length counted every subscription as a trial; conversionPct understated and un-cohorted.</t>
        </is>
      </c>
      <c r="E41" s="31" t="inlineStr">
        <is>
          <t>FIXED v045 (ST-141) — trials = cohort started in window; per-week cohorts; activated funnel stage</t>
        </is>
      </c>
      <c r="F41" s="9" t="inlineStr">
        <is>
          <t>v015 class</t>
        </is>
      </c>
      <c r="G41" s="9" t="inlineStr">
        <is>
          <t>review.test.ts "cohorts are ordered by week…"; server.test.ts activated=1</t>
        </is>
      </c>
    </row>
    <row r="42">
      <c r="A42" s="8" t="inlineStr">
        <is>
          <t>SR-09</t>
        </is>
      </c>
      <c r="B42" s="8" t="inlineStr">
        <is>
          <t>sessionStore</t>
        </is>
      </c>
      <c r="C42" s="8" t="inlineStr">
        <is>
          <t>Medium</t>
        </is>
      </c>
      <c r="D42" s="9" t="inlineStr">
        <is>
          <t>Found by the contract suite on its first run against the new store: InMemorySessionStore.revoke() overwrote a deny row's expiry while PostgresSessionStore used GREATEST — so in tests a second revoke could quietly un-revoke a session by lowering its expiry, and in production it could not. The two-implementation rule caught a divergence the same sitting it was written.</t>
        </is>
      </c>
      <c r="E42" s="31" t="inlineStr">
        <is>
          <t>FIXED v045 — in-memory revoke is monotonic like the SQL upsert</t>
        </is>
      </c>
      <c r="F42" s="9" t="inlineStr">
        <is>
          <t>SR-05/SR-06 class (implementations agreeing on everything except the thing that matters)</t>
        </is>
      </c>
      <c r="G42" s="9" t="inlineStr">
        <is>
          <t>storeContract.test.ts "revoking the same jti again keeps the later expiry, never an earlier one"</t>
        </is>
      </c>
    </row>
    <row r="43">
      <c r="A43" s="8" t="inlineStr">
        <is>
          <t>VER-M01</t>
        </is>
      </c>
      <c r="B43" s="8" t="inlineStr">
        <is>
          <t>OAuth token exchange</t>
        </is>
      </c>
      <c r="C43" s="8" t="inlineStr">
        <is>
          <t>LIVE-BLOCKING</t>
        </is>
      </c>
      <c r="D43" s="9" t="inlineStr">
        <is>
          <t>We sent client_id and client_secret in the form body. Zoom authenticates the client with an HTTP Basic header containing base64 of "client_id:client_secret". The install would have been rejected on the first live call.</t>
        </is>
      </c>
      <c r="E43" s="31" t="inlineStr">
        <is>
          <t>FIXED — FIXED — basicAuthHeader(); HttpPost now carries headers. The body carries no secret at all.</t>
        </is>
      </c>
      <c r="F43" s="9" t="inlineStr">
        <is>
          <t>External verification sweep, verified against developers.zoom.us/docs/integrations/oauth</t>
        </is>
      </c>
      <c r="G43" s="9" t="inlineStr">
        <is>
          <t>zoomAuth.test.ts "sends Basic client credentials…"</t>
        </is>
      </c>
    </row>
    <row r="44">
      <c r="A44" s="8" t="inlineStr">
        <is>
          <t>VER-M02</t>
        </is>
      </c>
      <c r="B44" s="8" t="inlineStr">
        <is>
          <t>OAuth token exchange</t>
        </is>
      </c>
      <c r="C44" s="8" t="inlineStr">
        <is>
          <t>LIVE-BLOCKING</t>
        </is>
      </c>
      <c r="D44" s="9" t="inlineStr">
        <is>
          <t>redirect_uri was absent. Zoom lists it as required for grant_type=authorization_code and it must match the URL registered on the Marketplace app.</t>
        </is>
      </c>
      <c r="E44" s="31" t="inlineStr">
        <is>
          <t>FIXED — FIXED — redirectUri(cfg) derived from BASE_URL and sent on every code exchange; the same value is used in /oauth/start.</t>
        </is>
      </c>
      <c r="F44" s="9" t="inlineStr">
        <is>
          <t>External verification sweep, verified against developers.zoom.us/docs/integrations/oauth</t>
        </is>
      </c>
      <c r="G44" s="9" t="inlineStr">
        <is>
          <t>zoomAuth.test.ts (same test asserts the exact body)</t>
        </is>
      </c>
    </row>
    <row r="45">
      <c r="A45" s="8" t="inlineStr">
        <is>
          <t>VER-M03</t>
        </is>
      </c>
      <c r="B45" s="8" t="inlineStr">
        <is>
          <t>OAuth refresh</t>
        </is>
      </c>
      <c r="C45" s="8" t="inlineStr">
        <is>
          <t>LIVE-BLOCKING</t>
        </is>
      </c>
      <c r="D45" s="9" t="inlineStr">
        <is>
          <t>Refresh had the same wrong client-authentication shape, so token renewal would have failed an hour after every install — the failure mode users would have seen as the app randomly logging itself out.</t>
        </is>
      </c>
      <c r="E45" s="31" t="inlineStr">
        <is>
          <t>FIXED — FIXED — refresh uses the Basic header; body is grant_type + refresh_token only.</t>
        </is>
      </c>
      <c r="F45" s="9" t="inlineStr">
        <is>
          <t>External verification sweep, verified against developers.zoom.us/docs/integrations/oauth</t>
        </is>
      </c>
      <c r="G45" s="9" t="inlineStr">
        <is>
          <t>zoomAuth.test.ts "authenticates the refresh with the Basic header"</t>
        </is>
      </c>
    </row>
    <row r="46">
      <c r="A46" s="8" t="inlineStr">
        <is>
          <t>VER-M04</t>
        </is>
      </c>
      <c r="B46" s="8" t="inlineStr">
        <is>
          <t>Zoom Apps SDK boundary</t>
        </is>
      </c>
      <c r="C46" s="8" t="inlineStr">
        <is>
          <t>LIVE-BLOCKING</t>
        </is>
      </c>
      <c r="D46" s="9" t="inlineStr">
        <is>
          <t>web/sdk.ts was built around an API that does not exist. Three separate errors: zoomSdk.config({capabilities}) was never called, and every Zoom Apps API throws until it is; getMeetingContext() was assumed to return accountId, role and user, which it does not (user identity is getUserContext, and after M-F11 the role must come from the server session anyway); and inMeeting was read as a field of the meeting context rather than from getRunningContext(). All five in-meeting surface stories would have shown a panel stuck on 'Connecting…' with nothing logged — the VoiceBridge VER-V01 failure shape exactly.</t>
        </is>
      </c>
      <c r="E46" s="31" t="inlineStr">
        <is>
          <t>FIXED — FIXED — loadPanelContext() configures capabilities, reads running context first, only asks for meeting context when actually in a meeting, and surfaces a config failure to the user</t>
        </is>
      </c>
      <c r="F46" s="9" t="inlineStr">
        <is>
          <t>External verification sweep, verified against appssdk.zoom.us + developers.zoom.us Zoom Apps guides</t>
        </is>
      </c>
      <c r="G46" s="9" t="inlineStr">
        <is>
          <t>panels.test.tsx "Zoom Apps SDK boundary (VER-M04)" — 6 tests</t>
        </is>
      </c>
    </row>
    <row r="47">
      <c r="A47" s="8" t="inlineStr">
        <is>
          <t>VER-M05</t>
        </is>
      </c>
      <c r="B47" s="8" t="inlineStr">
        <is>
          <t>Scopes</t>
        </is>
      </c>
      <c r="C47" s="8" t="inlineStr">
        <is>
          <t>BLOCKS APP CREATION</t>
        </is>
      </c>
      <c r="D47" s="9" t="inlineStr">
        <is>
          <t>docs/SECURITY_SCOPES.md listed the classic scopes meeting:read, recording:read, user:read. Zoom replaced classic with granular scopes in April 2024; existing apps keep theirs, but any NEWLY created app gets granular scopes only — and MeetSync has no app yet, so those names are not selectable. Working from the old table would have wasted time in the console at exactly the step that unblocks 12 stories.</t>
        </is>
      </c>
      <c r="E47" s="31" t="inlineStr">
        <is>
          <t>FIXED — FIXED — scope map rewritten to granular names with the :admin variants noted, plus the separate in-client SDK capability list (a second permission surface that is easy to miss enti</t>
        </is>
      </c>
      <c r="F47" s="9" t="inlineStr">
        <is>
          <t>External verification sweep, verified against developers.zoom.us/docs/api/webhooks#scopes; Zoom granular-scope migration notes</t>
        </is>
      </c>
      <c r="G47" s="9" t="inlineStr">
        <is>
          <t>Doc change; REQUIRED_CAPABILITIES pinned in tests</t>
        </is>
      </c>
    </row>
    <row r="48">
      <c r="A48" s="8" t="inlineStr">
        <is>
          <t>VER-M06</t>
        </is>
      </c>
      <c r="B48" s="8" t="inlineStr">
        <is>
          <t>Webhook subscription health</t>
        </is>
      </c>
      <c r="C48" s="8" t="inlineStr">
        <is>
          <t>HIGH</t>
        </is>
      </c>
      <c r="D48" s="9" t="inlineStr">
        <is>
          <t>Zoom revalidates every webhook endpoint every 72 hours and DISABLES the subscription after six consecutive failures, at which point MeetSync silently stops receiving meeting events. Zoom also never retries a 4xx, so every request we reject for verification reasons is an event permanently lost. Our own replay guard rejects anything more than five minutes from our clock — so server clock drift alone can kill the subscription, with no error on our side.</t>
        </is>
      </c>
      <c r="E48" s="31" t="inlineStr">
        <is>
          <t xml:space="preserve">FIXED — FIXED (observability) — verification failures counted by reason and exposed at /analytics/webhook-rejections behind the operator token; RUNBOOK gains the monitoring thresholds and </t>
        </is>
      </c>
      <c r="F48" s="9" t="inlineStr">
        <is>
          <t>External verification sweep, verified against developers.zoom.us/docs/api/webhooks</t>
        </is>
      </c>
      <c r="G48" s="9" t="inlineStr">
        <is>
          <t>review.test.ts "webhook verification failures are counted by reason"</t>
        </is>
      </c>
    </row>
    <row r="49">
      <c r="A49" s="8" t="inlineStr">
        <is>
          <t>VER-M07</t>
        </is>
      </c>
      <c r="B49" s="8" t="inlineStr">
        <is>
          <t>Token lifetime</t>
        </is>
      </c>
      <c r="C49" s="8" t="inlineStr">
        <is>
          <t>MEDIUM</t>
        </is>
      </c>
      <c r="D49" s="9" t="inlineStr">
        <is>
          <t>The token response's expires_in was discarded. Zoom access tokens live one hour, so the only way the app could learn a token had expired was to take a 401 on a real user's request.</t>
        </is>
      </c>
      <c r="E49" s="31" t="inlineStr">
        <is>
          <t>FIXED — FIXED — expiresAt stored with a 60s skew; ZoomClient refreshes a known-expired token before the call rather than after it fails.</t>
        </is>
      </c>
      <c r="F49" s="9" t="inlineStr">
        <is>
          <t>External verification sweep, verified against developers.zoom.us/docs/integrations/oauth</t>
        </is>
      </c>
      <c r="G49" s="9" t="inlineStr">
        <is>
          <t>review.test.ts "a known-expired access token is refreshed before the API call"</t>
        </is>
      </c>
    </row>
    <row r="50">
      <c r="A50" s="8" t="inlineStr">
        <is>
          <t>VER-M08</t>
        </is>
      </c>
      <c r="B50" s="8" t="inlineStr">
        <is>
          <t>Webhook HMAC</t>
        </is>
      </c>
      <c r="C50" s="8" t="inlineStr">
        <is>
          <t>VERIFIED CORRECT</t>
        </is>
      </c>
      <c r="D50" s="9" t="inlineStr">
        <is>
          <t>Signature construction checked line by line against Zoom's spec: message is v0:{x-zm-request-timestamp}:{raw body}, HMAC-SHA256 with the webhook Secret Token, hex, compared against x-zm-signature prefixed v0=. Ours matches exactly, including the constant-time comparison.</t>
        </is>
      </c>
      <c r="E50" s="31" t="inlineStr">
        <is>
          <t>FIXED — No change</t>
        </is>
      </c>
      <c r="F50" s="9" t="inlineStr">
        <is>
          <t>External verification sweep, verified against developers.zoom.us/docs/api/webhooks</t>
        </is>
      </c>
      <c r="G50" s="9" t="inlineStr">
        <is>
          <t>webhooks.test.ts (existing)</t>
        </is>
      </c>
    </row>
    <row r="51">
      <c r="A51" s="8" t="inlineStr">
        <is>
          <t>VER-M09</t>
        </is>
      </c>
      <c r="B51" s="8" t="inlineStr">
        <is>
          <t>url_validation CRC</t>
        </is>
      </c>
      <c r="C51" s="8" t="inlineStr">
        <is>
          <t>VERIFIED CORRECT</t>
        </is>
      </c>
      <c r="D51" s="9" t="inlineStr">
        <is>
          <t>Challenge response is {plainToken, encryptedToken} where encryptedToken is the hex HMAC-SHA256 of plainToken under the Secret Token, answered 200 within three seconds. Ours matches.</t>
        </is>
      </c>
      <c r="E51" s="31" t="inlineStr">
        <is>
          <t>FIXED — No change</t>
        </is>
      </c>
      <c r="F51" s="9" t="inlineStr">
        <is>
          <t>External verification sweep, verified against developers.zoom.us/docs/api/webhooks</t>
        </is>
      </c>
      <c r="G51" s="9" t="inlineStr">
        <is>
          <t>app.test.ts webhook block</t>
        </is>
      </c>
    </row>
    <row r="52">
      <c r="A52" s="8" t="inlineStr">
        <is>
          <t>VER-M10</t>
        </is>
      </c>
      <c r="B52" s="8" t="inlineStr">
        <is>
          <t>Deauthorization payload</t>
        </is>
      </c>
      <c r="C52" s="8" t="inlineStr">
        <is>
          <t>VERIFIED CORRECT</t>
        </is>
      </c>
      <c r="D52" s="9" t="inlineStr">
        <is>
          <t>Zoom's documented app_deauthorized payload carries account_id at the top level of payload. Cold-review pass 2 had already added that path alongside payload.object.account_id, so both shapes are handled and the M-F03 purge is what runs.</t>
        </is>
      </c>
      <c r="E52" s="31" t="inlineStr">
        <is>
          <t>FIXED — No change</t>
        </is>
      </c>
      <c r="F52" s="9" t="inlineStr">
        <is>
          <t>External verification sweep, verified against developers.zoom.us/docs/integrations/oauth#deauthorization</t>
        </is>
      </c>
      <c r="G52" s="9" t="inlineStr">
        <is>
          <t>app.test.ts "deauthorization carries a top-level account_id too"</t>
        </is>
      </c>
    </row>
    <row r="53">
      <c r="A53" s="8" t="inlineStr">
        <is>
          <t>A11Y-01</t>
        </is>
      </c>
      <c r="B53" s="8" t="inlineStr">
        <is>
          <t>web panel</t>
        </is>
      </c>
      <c r="C53" s="8" t="inlineStr">
        <is>
          <t>Accessibility</t>
        </is>
      </c>
      <c r="D53" s="9" t="inlineStr">
        <is>
          <t>Note status buttons carried aria-label="chip-N". An aria-label REPLACES an element's visible text for assistive technology, so the note's status — open/done/flag, the only reason the control exists — was hidden, and what a screen-reader user heard instead was 'chip 0, button'. This is the sharpest example of why an automated pass is not an audit: axe checks that an element HAS an accessible name, never whether the name is the right one.</t>
        </is>
      </c>
      <c r="E53" s="31" t="inlineStr">
        <is>
          <t>FIXED — Accessible name now carries the state and the affordance: 'Status of note 1: open. Activate to change.' Tests address the button by data-testid so the name is free to be meaningful</t>
        </is>
      </c>
      <c r="F53" s="9" t="inlineStr">
        <is>
          <t>WCAG AA audit</t>
        </is>
      </c>
      <c r="G53" s="9" t="inlineStr">
        <is>
          <t>a11y.test.tsx "a note status button announces its state"</t>
        </is>
      </c>
    </row>
    <row r="54">
      <c r="A54" s="8" t="inlineStr">
        <is>
          <t>A11Y-02</t>
        </is>
      </c>
      <c r="B54" s="8" t="inlineStr">
        <is>
          <t>web panel</t>
        </is>
      </c>
      <c r="C54" s="8" t="inlineStr">
        <is>
          <t>Accessibility</t>
        </is>
      </c>
      <c r="D54" s="9" t="inlineStr">
        <is>
          <t>Panels opened at h3 with no h1 or h2 anywhere above them, and the shell had no heading at all — the product name was a &lt;strong&gt;. Screen-reader users navigate by heading; a surface that starts at level 3 reads as though two levels of context were skipped and never provides the page title.</t>
        </is>
      </c>
      <c r="E54" s="31" t="inlineStr">
        <is>
          <t>FIXED — Shell has a single h1; every panel opens at h2; CrmPanel's sub-sections stay h3 under it.</t>
        </is>
      </c>
      <c r="F54" s="9" t="inlineStr">
        <is>
          <t>WCAG AA audit</t>
        </is>
      </c>
      <c r="G54" s="9" t="inlineStr">
        <is>
          <t>a11y.test.tsx "every panel opens at h2 under a single h1"</t>
        </is>
      </c>
    </row>
    <row r="55">
      <c r="A55" s="8" t="inlineStr">
        <is>
          <t>A11Y-03</t>
        </is>
      </c>
      <c r="B55" s="8" t="inlineStr">
        <is>
          <t>web panel</t>
        </is>
      </c>
      <c r="C55" s="8" t="inlineStr">
        <is>
          <t>Accessibility</t>
        </is>
      </c>
      <c r="D55" s="9" t="inlineStr">
        <is>
          <t>Notes arrive during a meeting without any user action on the panel. Nothing announced them, so a screen-reader user had no way to know a note had landed short of re-reading the list.</t>
        </is>
      </c>
      <c r="E55" s="31" t="inlineStr">
        <is>
          <t>FIXED — The notes list is a polite live region with its own accessible name.</t>
        </is>
      </c>
      <c r="F55" s="9" t="inlineStr">
        <is>
          <t>WCAG AA audit</t>
        </is>
      </c>
      <c r="G55" s="9" t="inlineStr">
        <is>
          <t>a11y.test.tsx "the notes list announces entries that arrive without user action"</t>
        </is>
      </c>
    </row>
    <row r="56">
      <c r="A56" s="8" t="inlineStr">
        <is>
          <t>A11Y-04</t>
        </is>
      </c>
      <c r="B56" s="8" t="inlineStr">
        <is>
          <t>web panel</t>
        </is>
      </c>
      <c r="C56" s="8" t="inlineStr">
        <is>
          <t>Accessibility</t>
        </is>
      </c>
      <c r="D56" s="9" t="inlineStr">
        <is>
          <t>The tab strip was plain buttons carrying aria-pressed, with nothing connecting a button to the content it switched. A user could hear which button was pressed but not that the region below was its panel, and all five buttons sat in the tab order.</t>
        </is>
      </c>
      <c r="E56" s="31" t="inlineStr">
        <is>
          <t>FIXED — Real tablist / tab / tabpanel semantics with aria-controls and aria-labelledby in both directions, plus roving tabindex so the strip is one tab stop.</t>
        </is>
      </c>
      <c r="F56" s="9" t="inlineStr">
        <is>
          <t>WCAG AA audit</t>
        </is>
      </c>
      <c r="G56" s="9" t="inlineStr">
        <is>
          <t>a11y.test.tsx "tabs are real tabs and each one owns the panel it controls"</t>
        </is>
      </c>
    </row>
    <row r="57">
      <c r="A57" s="8" t="inlineStr">
        <is>
          <t>A11Y-05</t>
        </is>
      </c>
      <c r="B57" s="8" t="inlineStr">
        <is>
          <t>web panel</t>
        </is>
      </c>
      <c r="C57" s="8" t="inlineStr">
        <is>
          <t>Accessibility</t>
        </is>
      </c>
      <c r="D57" s="9" t="inlineStr">
        <is>
          <t>The ST-114 review screen introduces the first data table in the product: the CRM fields that will be written. A table with no caption, column headers or row headers reads to a screen reader as a grid of unrelated cells.</t>
        </is>
      </c>
      <c r="E57" s="31" t="inlineStr">
        <is>
          <t>FIXED — caption + th scope=col / scope=row; pinned by a11y.test.tsx "A11Y-05"</t>
        </is>
      </c>
      <c r="F57" s="9" t="inlineStr">
        <is>
          <t>WCAG AA audit</t>
        </is>
      </c>
      <c r="G57" s="9" t="inlineStr">
        <is>
          <t>a11y.test.tsx "A11Y-05 (ST-114): the review table names its columns and rows"</t>
        </is>
      </c>
    </row>
    <row r="59">
      <c r="A59" s="18" t="inlineStr">
        <is>
          <t>54 findings recorded across the cold review (M-F), external verification (VER-M), observations (OBS-M), self-review (SR), reachability (GAP), accessibility (A11Y) and the external review (PR).</t>
        </is>
      </c>
    </row>
  </sheetData>
  <autoFilter ref="A3:G3"/>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5" customWidth="1" min="1" max="1"/>
    <col width="60" customWidth="1" min="2" max="2"/>
    <col width="22" customWidth="1" min="3" max="3"/>
    <col width="26" customWidth="1" min="4" max="4"/>
    <col width="14" customWidth="1" min="5" max="5"/>
    <col width="52" customWidth="1" min="6" max="6"/>
    <col width="14" customWidth="1" min="7" max="7"/>
  </cols>
  <sheetData>
    <row r="1" ht="22" customHeight="1">
      <c r="A1" s="1" t="inlineStr">
        <is>
          <t>SIGN-OFF</t>
        </is>
      </c>
    </row>
    <row r="2" ht="30" customHeight="1">
      <c r="A2" s="6" t="inlineStr">
        <is>
          <t>HOW TO USE THIS SHEET — An unsigned test pass is not a test pass. Sign the rows that apply; leave the rest blank rather than deleting them.</t>
        </is>
      </c>
    </row>
    <row r="3">
      <c r="A3" s="7" t="inlineStr">
        <is>
          <t>#</t>
        </is>
      </c>
      <c r="B3" s="7" t="inlineStr">
        <is>
          <t>What is being signed off</t>
        </is>
      </c>
      <c r="C3" s="7" t="inlineStr">
        <is>
          <t>Signed by</t>
        </is>
      </c>
      <c r="D3" s="7" t="inlineStr">
        <is>
          <t>Role</t>
        </is>
      </c>
      <c r="E3" s="7" t="inlineStr">
        <is>
          <t>Date</t>
        </is>
      </c>
      <c r="F3" s="7" t="inlineStr">
        <is>
          <t>Signature / note</t>
        </is>
      </c>
      <c r="G3" s="7" t="inlineStr">
        <is>
          <t>Status</t>
        </is>
      </c>
    </row>
    <row r="4">
      <c r="A4" s="8" t="n">
        <v>1</v>
      </c>
      <c r="B4" s="9" t="inlineStr">
        <is>
          <t>This document (V001) is an accurate record of MeetSync releases v0.08.0 to v0.45.0 and of the pending work.</t>
        </is>
      </c>
      <c r="C4" s="22" t="inlineStr"/>
      <c r="D4" s="22" t="inlineStr">
        <is>
          <t>Product owner</t>
        </is>
      </c>
      <c r="E4" s="22" t="inlineStr"/>
      <c r="F4" s="22" t="inlineStr"/>
      <c r="G4" s="22" t="inlineStr">
        <is>
          <t>Pending</t>
        </is>
      </c>
    </row>
    <row r="5">
      <c r="A5" s="8" t="n">
        <v>2</v>
      </c>
      <c r="B5" s="9" t="inlineStr">
        <is>
          <t>The manual test specification is complete and fit to execute against a live deployment.</t>
        </is>
      </c>
      <c r="C5" s="22" t="inlineStr"/>
      <c r="D5" s="22" t="inlineStr">
        <is>
          <t>Test lead / reviewer</t>
        </is>
      </c>
      <c r="E5" s="22" t="inlineStr"/>
      <c r="F5" s="22" t="inlineStr"/>
      <c r="G5" s="22" t="inlineStr">
        <is>
          <t>Pending</t>
        </is>
      </c>
    </row>
    <row r="6">
      <c r="A6" s="8" t="n">
        <v>3</v>
      </c>
      <c r="B6" s="9" t="inlineStr">
        <is>
          <t>The P0 manual test pass has been executed and its results recorded in 08_Test_Cases.</t>
        </is>
      </c>
      <c r="C6" s="22" t="inlineStr"/>
      <c r="D6" s="22" t="inlineStr">
        <is>
          <t>Tester</t>
        </is>
      </c>
      <c r="E6" s="22" t="inlineStr"/>
      <c r="F6" s="22" t="inlineStr"/>
      <c r="G6" s="22" t="inlineStr">
        <is>
          <t>Not started</t>
        </is>
      </c>
    </row>
    <row r="7">
      <c r="A7" s="8" t="n">
        <v>4</v>
      </c>
      <c r="B7" s="9" t="inlineStr">
        <is>
          <t>All P0 and P1 cases pass, or every failure has a defect reference and a disposition.</t>
        </is>
      </c>
      <c r="C7" s="22" t="inlineStr"/>
      <c r="D7" s="22" t="inlineStr">
        <is>
          <t>Test lead</t>
        </is>
      </c>
      <c r="E7" s="22" t="inlineStr"/>
      <c r="F7" s="22" t="inlineStr"/>
      <c r="G7" s="22" t="inlineStr">
        <is>
          <t>Not started</t>
        </is>
      </c>
    </row>
    <row r="8">
      <c r="A8" s="8" t="n">
        <v>5</v>
      </c>
      <c r="B8" s="9" t="inlineStr">
        <is>
          <t>Decisions PD-01 (pricing) and PD-02 (intelligence or rules engine) are recorded, so S15 to S18 can be sequenced.</t>
        </is>
      </c>
      <c r="C8" s="22" t="inlineStr"/>
      <c r="D8" s="22" t="inlineStr">
        <is>
          <t>Senthil (KP)</t>
        </is>
      </c>
      <c r="E8" s="22" t="inlineStr"/>
      <c r="F8" s="22" t="inlineStr"/>
      <c r="G8" s="22" t="inlineStr">
        <is>
          <t>Open</t>
        </is>
      </c>
    </row>
    <row r="9">
      <c r="A9" s="8" t="n">
        <v>6</v>
      </c>
      <c r="B9" s="9" t="inlineStr">
        <is>
          <t>Decision PD-03 (SMB-first or enterprise-first) and PD-04 (keep or cut F4 deal risk) are recorded.</t>
        </is>
      </c>
      <c r="C9" s="22" t="inlineStr"/>
      <c r="D9" s="22" t="inlineStr">
        <is>
          <t>Senthil (KP)</t>
        </is>
      </c>
      <c r="E9" s="22" t="inlineStr"/>
      <c r="F9" s="22" t="inlineStr"/>
      <c r="G9" s="22" t="inlineStr">
        <is>
          <t>Open</t>
        </is>
      </c>
    </row>
    <row r="10">
      <c r="A10" s="8" t="n">
        <v>7</v>
      </c>
      <c r="B10" s="9" t="inlineStr">
        <is>
          <t>The PD-06 demand tests have been run and their kill signals evaluated.</t>
        </is>
      </c>
      <c r="C10" s="22" t="inlineStr"/>
      <c r="D10" s="22" t="inlineStr">
        <is>
          <t>Senthil (KP)</t>
        </is>
      </c>
      <c r="E10" s="22" t="inlineStr"/>
      <c r="F10" s="22" t="inlineStr"/>
      <c r="G10" s="22" t="inlineStr">
        <is>
          <t>Open</t>
        </is>
      </c>
    </row>
    <row r="11">
      <c r="A11" s="8" t="n">
        <v>8</v>
      </c>
      <c r="B11" s="9" t="inlineStr">
        <is>
          <t>Release to the Zoom Marketplace is authorised.</t>
        </is>
      </c>
      <c r="C11" s="22" t="inlineStr"/>
      <c r="D11" s="22" t="inlineStr">
        <is>
          <t>Senthil (KP)</t>
        </is>
      </c>
      <c r="E11" s="22" t="inlineStr"/>
      <c r="F11" s="22" t="inlineStr"/>
      <c r="G11" s="22" t="inlineStr">
        <is>
          <t>Blocked — G-01</t>
        </is>
      </c>
    </row>
  </sheetData>
  <autoFilter ref="A3:G3"/>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2026-09-20T12:03:46Z</dcterms:created>
  <dcterms:modified xmlns:dcterms="http://purl.org/dc/terms/" xmlns:xsi="http://www.w3.org/2001/XMLSchema-instance" xsi:type="dcterms:W3CDTF">2026-09-20T12:03:47Z</dcterms:modified>
</cp:coreProperties>
</file>