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rsion_Control" sheetId="1" state="visible" r:id="rId3"/>
    <sheet name="Sprint_Tracker_Log" sheetId="2" state="visible" r:id="rId4"/>
    <sheet name="Decisions" sheetId="3" state="visible" r:id="rId5"/>
    <sheet name="Release_Build_Boards" sheetId="4" state="visible" r:id="rId6"/>
    <sheet name="Traceability_Matrix" sheetId="5" state="visible" r:id="rId7"/>
    <sheet name="Sprint_Status_Rollup" sheetId="6" state="visible" r:id="rId8"/>
    <sheet name="RAID_Carryover" sheetId="7" state="visible" r:id="rId9"/>
    <sheet name="Gate_Checklist" sheetId="8" state="visible" r:id="rId10"/>
    <sheet name="Review_Findings"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<sst xmlns="http://schemas.openxmlformats.org/spreadsheetml/2006/main" count="3302" uniqueCount="1501">
  <si>
    <t xml:space="preserve">VERSION CONTROL — FlowCast Sprint Tracker &amp; Traceability</t>
  </si>
  <si>
    <t xml:space="preserve">File naming: claude_v&lt;NNN&gt;_&lt;proper file name&gt;_YYYYMMDD_HHMI. Consolidates the v008–v013 product-workbook run (10 Sep 2026, 22:01–23:03).</t>
  </si>
  <si>
    <t xml:space="preserve">Version</t>
  </si>
  <si>
    <t xml:space="preserve">Date/Time</t>
  </si>
  <si>
    <t xml:space="preserve">Author</t>
  </si>
  <si>
    <t xml:space="preserve">Change Description</t>
  </si>
  <si>
    <t xml:space="preserve">Status</t>
  </si>
  <si>
    <t xml:space="preserve">v001</t>
  </si>
  <si>
    <t xml:space="preserve">2026-09-10 23:08</t>
  </si>
  <si>
    <t xml:space="preserve">Claude for Senthil/KP</t>
  </si>
  <si>
    <t xml:space="preserve">THIS FILE — Live execution tracker for FlowCast (portfolio rank 12, Xero App Store): full event log of the v008–v013 build run, per-release build boards, 106-row traceability with done-in-version stamps, live status rollup, decisions, RAID, and the D7 completion gate. Source of truth for story data remains the product workbook (v013).</t>
  </si>
  <si>
    <t xml:space="preserve">Released</t>
  </si>
  <si>
    <t xml:space="preserve">v002</t>
  </si>
  <si>
    <t xml:space="preserve">2026-09-11 11:09</t>
  </si>
  <si>
    <t xml:space="preserve">Cold-review pass 1 + security sprint (workbook v014): 5 defects F-001..F-005 found+fixed with regressions (Review_Findings sheet added for Senthil dispositions); ST-066 encryption-at-rest module built; security evidence pack (sandbox half of ST-068) + REVIEW_PACK.md for external second reviewer. 18 suites / 207 tests at 100% zero pragmas. Statuses: ST-066 -&gt; Code-complete pending live, ST-068 -&gt; In progress. 78 Done-equivalent unchanged (honest-status rule: neither flips to Done)</t>
  </si>
  <si>
    <t xml:space="preserve">v003</t>
  </si>
  <si>
    <t xml:space="preserve">2026-09-11 12:47</t>
  </si>
  <si>
    <t xml:space="preserve">Cold-review pass 2 (workbook v015): 4 defects F-006..F-009 fixed with regressions across nudges/install/forecast/scenarios; 2 no-fix observations (OBS-001 backoff jitter, OBS-002 half-open probe concurrency) logged for disposition. 19 suites / 219 tests at 100% zero pragmas. Cold review complete across all 27 modules. Story statuses unchanged (fix work lands under existing Done stories; honest-status rule)</t>
  </si>
  <si>
    <t xml:space="preserve">v004</t>
  </si>
  <si>
    <t xml:space="preserve">2026-09-11 15:27</t>
  </si>
  <si>
    <t xml:space="preserve">Code-phase-completion wave (workbook v016): ST-081 chat+SLA engine (chat-vendor decision now optional — logged D-F6), ST-099 SEO engine half, ST-100 partner tracker with honest exit math, ST-080 help search + manifest gate, ST-095 pricing drift gate. All five Backlog/Drafted/In-progress codeable halves -&gt; Code-complete pending live. Backlog ZERO. 20 suites / 243 tests at 100% zero pragmas. FLOWCAST CODE PHASE COMPLETE — no further code sprints planned; v005 opens on live evidence, dispositions, or reviewer findings</t>
  </si>
  <si>
    <t xml:space="preserve">v005</t>
  </si>
  <si>
    <t xml:space="preserve">2026-09-11 22:08</t>
  </si>
  <si>
    <t xml:space="preserve">External verification sweep + artifact-gap audit (workbook v017): VER-001 live-blocking webhook body fixed, VER-002 daily budget added, VER-003 scope-audit self-consistency fixed, GAP-1/2 CI + blue/green artifacts built. 21 suites / 256 tests at 100% zero pragmas. Story statuses unchanged (verification hardening under existing stories). Sweep step 4 would have failed live without this pass</t>
  </si>
  <si>
    <t xml:space="preserve">v006</t>
  </si>
  <si>
    <t xml:space="preserve">2026-09-13 10:25</t>
  </si>
  <si>
    <t xml:space="preserve">Integration + artifact audit (workbook v018): GAP-F1 critical — no runnable application existed behind the documented boot/deploy path; INT-F1/F2 critical — the v014 plan-limit fix and the ST-066 token sealing had no callers; INT-F3/F5 — role matrix and read-only mode enforced nothing. Composition root + real HTTP app built and verified by booting the artifact. 22 suites / 283 tests at 100% zero pragmas. Story positions unchanged (integration correctness, not new stories). Lesson L-F1 logged</t>
  </si>
  <si>
    <t xml:space="preserve">v007</t>
  </si>
  <si>
    <t xml:space="preserve">2026-09-13 10:38</t>
  </si>
  <si>
    <t xml:space="preserve">Cold-review pass 3 (workbook v019) over the HTTP layer and composition root that v018 created: F3-01 no OAuth install routes (critical), F3-02 queue never drained + unbounded (critical), F3-03 OAuth CSRF state, F3-04 public /health leak. Dedupe tenant-scoping verified clean. R-F9 opened: no real XeroOAuthClient exists, so the routing half of sweep step 2 is closed but the client half remains. 23 suites / 317 tests at 100% zero pragmas. Story positions unchanged. Lesson L-F2 logged</t>
  </si>
  <si>
    <t xml:space="preserve">v008</t>
  </si>
  <si>
    <t xml:space="preserve">2026-09-13 10:55</t>
  </si>
  <si>
    <t xml:space="preserve">Portable reachability gate ported + wired into CI (workbook v020); first run found GAP-F2 (no scheduler existed — six periodic behaviours undriven, incl. the daily nudge cycle and the entire bank-poll mechanism) and R-F10 (TLS guard never called); 3 dead helpers deleted rather than exempted; R-F9 closed with the real Xero OAuth client. 25 suites / 348 tests at 100% zero pragmas. Story positions unchanged. Lesson L-F3 logged</t>
  </si>
  <si>
    <t xml:space="preserve">v009</t>
  </si>
  <si>
    <t xml:space="preserve">2026-09-13 11:07</t>
  </si>
  <si>
    <t xml:space="preserve">R-F10 closed with the Xero accounting-API client (paced + protected, safe date handling, single-fetch) and the published-claims gate ported (workbook v021). The claims gate did not work when first written — comments satisfied it; fixed across both gates and re-proved by deliberately breaking a promise. 27 suites / 377 tests at 100% zero pragmas. Story positions unchanged. Lesson L-F4</t>
  </si>
  <si>
    <t xml:space="preserve">v010</t>
  </si>
  <si>
    <t xml:space="preserve">2026-09-13 11:15</t>
  </si>
  <si>
    <t xml:space="preserve">Cold-review pass 4 (workbook v022) over the scheduler and accounting client built in the previous two sittings, under the L-F2 standing rule: 4 defects, all mine — F4-01 critical (only the first tenant was ever polled), F4-02 dunning counter not persisted, F4-03 full history fetched every poll, F4-04 failed drain lost its batch. Regressions proved against the reintroduced defect. 28 suites / 388 tests at 100% zero pragmas. Story positions unchanged. Lesson L-F5</t>
  </si>
  <si>
    <t xml:space="preserve">v011</t>
  </si>
  <si>
    <t xml:space="preserve">2026-09-13 11:20</t>
  </si>
  <si>
    <t xml:space="preserve">Tenant-isolation gate built and wired into CI (workbook v023), automating the F4-01 class. The gate passed twice against the reintroduced real defect before two of its own bugs were found and fixed — both made it silently permissive. 29 suites / 394 tests at 100% zero pragmas; three gates in CI. Story positions unchanged. Lesson L-F6</t>
  </si>
  <si>
    <t xml:space="preserve">v012</t>
  </si>
  <si>
    <t xml:space="preserve">2026-09-13 11:54</t>
  </si>
  <si>
    <t xml:space="preserve">Gate audit (workbook v024) acting on the L-F6 recommendation: both the reachability and published-claims gates FAILED their first proof against real reintroduced defects — an unused import counted as a caller (HOLE-1) and satisfied a published claim (HOLE-2). Both fixed and re-proved; known limits documented rather than hidden. 29 suites / 395 tests at 100% zero pragmas; all three gates proved. Story positions unchanged. Lesson L-F7</t>
  </si>
  <si>
    <t xml:space="preserve">v013</t>
  </si>
  <si>
    <t xml:space="preserve">2026-09-13 11:58</t>
  </si>
  <si>
    <t xml:space="preserve">Portable gate pack + proof harness (workbook v025): npm run prove:gates reintroduces each gate own real defect into real source and requires the gate to fail; all three proved; harness meta-proved and STALE-guarded; README porting guide with honest limits. Now in CI. 29 suites / 395 tests at 100% zero pragmas. Story positions unchanged. Lesson L-F8</t>
  </si>
  <si>
    <t xml:space="preserve">v014</t>
  </si>
  <si>
    <t xml:space="preserve">2026-09-13 12:03</t>
  </si>
  <si>
    <t xml:space="preserve">As-built verification + Senthil_Handover sheet (workbook v026). No code change. 7 stories had sat at Done while their behaviour had no driver or no enforcement; all true today, each annotated with the release that actually made it true. Counts verified unchanged (77/16/2/5). Handover consolidates the 12 remaining items, none codeable, ordered by leverage. Lesson L-F9</t>
  </si>
  <si>
    <t xml:space="preserve">v015</t>
  </si>
  <si>
    <t xml:space="preserve">2026-09-13 16:24</t>
  </si>
  <si>
    <t xml:space="preserve">GAP-F3 closed — persistence layer (workbook v027). All durable state was in process memory, and blue/green restarts by design, so every deploy silently reverted six earlier correctness fixes. Schema with cascading deletes, Repository seam (in-memory + Postgres, one shared suite), real pg driver, hydration, graceful shutdown, durableStore on /health. Reachability gate failed the build twice on this sitting own code. 30 suites / 433 tests at 100% zero pragmas. Lesson L-F10</t>
  </si>
  <si>
    <t xml:space="preserve">v016</t>
  </si>
  <si>
    <t xml:space="preserve">2026-09-13 16:38</t>
  </si>
  <si>
    <t xml:space="preserve">Environment-assumptions review (workbook v028): ENV-1 critical (scheduler assumed one process; blue/green runs two, so every customer got N nudges), ENV-2 critical (accepted events lost on restart after an ACK Xero never repeats), ENV-3 major (UTC vs local business hours breaking the published SLA for non-UTC desks). All fixed with regressions; OBS-003/OBS-004 logged for disposition. 31 suites / 453 tests at 100% zero pragmas. Lesson L-F11</t>
  </si>
  <si>
    <t xml:space="preserve">v017</t>
  </si>
  <si>
    <t xml:space="preserve">2026-09-13 16:47</t>
  </si>
  <si>
    <t xml:space="preserve">Ops-artifact review (workbook v029): OPS-1 + OPS-3 critical and compounding (pipeline never migrated; /health answered from memory yet gated the switch, so a broken slot would have been certified and given traffic), OPS-2 major (no expand/contract discipline under blue/green). Fourth gate added enforcing additive-only migrations; rollback contract written into the runbook; backup drill made concrete against the real schema. 33 suites / 465 tests at 100% zero pragmas. Lesson L-F12</t>
  </si>
  <si>
    <t xml:space="preserve">v018</t>
  </si>
  <si>
    <t xml:space="preserve">2026-09-13 16:52</t>
  </si>
  <si>
    <t xml:space="preserve">Chaos review (workbook v030): CHAOS-1 critical — two void-promise calls on the database path, one on the webhook fast-ack route, would have terminated the process on any Postgres blip (verified on node v22), taking both blue/green slots down together; CHAOS-2 major — the chaos runbook covered only Xero. Both fixed with regressions; degraded state now visible on /ready. 35 suites / 478 tests at 100% zero pragmas. Lesson L-F13</t>
  </si>
  <si>
    <t xml:space="preserve">v019</t>
  </si>
  <si>
    <t xml:space="preserve">2026-09-13 17:23</t>
  </si>
  <si>
    <t xml:space="preserve">Critical-path document review (workbook v031): the security pack mentioned the database zero times and the review pack one of eight new modules, though both feed people on the launch path. Both rewritten; SEC-2 credential redaction fixed in code with three new gate-enforced claims; latency budgets updated. 35 suites / 485 tests at 100% zero pragmas. Lesson L-F14</t>
  </si>
  <si>
    <t xml:space="preserve">v020</t>
  </si>
  <si>
    <t xml:space="preserve">2026-09-13 17:29</t>
  </si>
  <si>
    <t xml:space="preserve">Doc-freshness gate (workbook v032) closing L-F14 mechanically: outsider-facing documents must acknowledge the modules they describe, or the build fails. Fired on first run against documents rewritten six minutes earlier; both completed. Harness caught a weak mutation rather than a weak gate. 36 suites / 492 tests at 100% zero pragmas; five gates in CI. Lesson L-F15</t>
  </si>
  <si>
    <t xml:space="preserve">v021</t>
  </si>
  <si>
    <t xml:space="preserve">2026-09-13 18:48</t>
  </si>
  <si>
    <t xml:space="preserve">Async-ownership gate + review playbook (workbook v033). Real defect first: worker drain failures were unhandled rejections invisible to the degradation counter. Sixth gate proved against the CHAOS-1 shape. Playbook records the eight review passes and the rules behind ~40 defects found in code already at 100%. 36 suites / 500 tests at 100% zero pragmas; six gates in CI. Stopping point recommended</t>
  </si>
  <si>
    <t xml:space="preserve">v022</t>
  </si>
  <si>
    <t xml:space="preserve">PLANNED: opens on live evidence or dispositions — no further sandbox sprints recommended</t>
  </si>
  <si>
    <t xml:space="preserve">Planned</t>
  </si>
  <si>
    <t xml:space="preserve">SPRINT TRACKER LOG — every execution event of the v008–v013 run, newest last</t>
  </si>
  <si>
    <t xml:space="preserve">Version column ties each event to the product-workbook release that recorded it.</t>
  </si>
  <si>
    <t xml:space="preserve">ID</t>
  </si>
  <si>
    <t xml:space="preserve">Sprint</t>
  </si>
  <si>
    <t xml:space="preserve">What happened</t>
  </si>
  <si>
    <t xml:space="preserve">Refs</t>
  </si>
  <si>
    <t xml:space="preserve">State changes</t>
  </si>
  <si>
    <t xml:space="preserve">Blockers</t>
  </si>
  <si>
    <t xml:space="preserve">Next</t>
  </si>
  <si>
    <t xml:space="preserve">E001</t>
  </si>
  <si>
    <t xml:space="preserve">2026-09-10 22:01</t>
  </si>
  <si>
    <t xml:space="preserve">—</t>
  </si>
  <si>
    <t xml:space="preserve">RUN OPENED — Senthil directive: create sprint tracker + traceability, develop per sprint under D13 (100% coverage gate supersedes ≥70%); ST-085 amended accordingly</t>
  </si>
  <si>
    <t xml:space="preserve">D13, ST-085</t>
  </si>
  <si>
    <t xml:space="preserve">v008 opened from v007 baseline</t>
  </si>
  <si>
    <t xml:space="preserve">None</t>
  </si>
  <si>
    <t xml:space="preserve">E002</t>
  </si>
  <si>
    <t xml:space="preserve">S1</t>
  </si>
  <si>
    <t xml:space="preserve">FOUNDATION BUILT (TypeScript): OAuth install/uninstall/reinstall-within-retention, rotation-safe token refresh, install source attribution, owner/admin/member permission matrix + audit log. Xero OAuth client mocked</t>
  </si>
  <si>
    <t xml:space="preserve">ST-051..056, ST-054, ST-067</t>
  </si>
  <si>
    <t xml:space="preserve">S1 done-in-code</t>
  </si>
  <si>
    <t xml:space="preserve">Live install = Xero dev org (Senthil)</t>
  </si>
  <si>
    <t xml:space="preserve">E003</t>
  </si>
  <si>
    <t xml:space="preserve">S2-S3</t>
  </si>
  <si>
    <t xml:space="preserve">FORECAST + SCENARIOS: 13-week bucketing engine, traffic lights, validation, pause-without-loss; scenario levers + validation + preview</t>
  </si>
  <si>
    <t xml:space="preserve">ST-001/002/004/008, ST-011..014</t>
  </si>
  <si>
    <t xml:space="preserve">Core F1/F2 done-in-code</t>
  </si>
  <si>
    <t xml:space="preserve">E004</t>
  </si>
  <si>
    <t xml:space="preserve">S5-S8</t>
  </si>
  <si>
    <t xml:space="preserve">NUDGES, PORTAL, BILLING, ANOMALIES, COMPLIANCE, TELEMETRY, ONBOARDING: rule-ladder chasing w/ test mode + retry, multi-client book + CSV importer, trial/proration/rails/dunning/limits/GST-VAT/cancellation, z-score + duplicate detection, scope audit + export/delete + backoff/breaker, funnel/errors/heatmap/health, checklist + empty states + review ask + incident comms</t>
  </si>
  <si>
    <t xml:space="preserve">ST-021..085 (code subset)</t>
  </si>
  <si>
    <t xml:space="preserve">58 stories Done at v008</t>
  </si>
  <si>
    <t xml:space="preserve">E005</t>
  </si>
  <si>
    <t xml:space="preserve">D13 GATE MET: 11 suites, 120 tests, 100% stmts/branches/funcs/lines, threshold enforced in jest.config.js</t>
  </si>
  <si>
    <t xml:space="preserve">D13</t>
  </si>
  <si>
    <t xml:space="preserve">Evidence: coverage-summary.json</t>
  </si>
  <si>
    <t xml:space="preserve">E006</t>
  </si>
  <si>
    <t xml:space="preserve">2026-09-10 22:20</t>
  </si>
  <si>
    <t xml:space="preserve">S2</t>
  </si>
  <si>
    <t xml:space="preserve">ST-003 COMPLETED: full rule builder (min_balance / amber_floor / week_drop_pct over week ranges)</t>
  </si>
  <si>
    <t xml:space="preserve">ST-003</t>
  </si>
  <si>
    <t xml:space="preserve">In progress -&gt; Done</t>
  </si>
  <si>
    <t xml:space="preserve">E007</t>
  </si>
  <si>
    <t xml:space="preserve">S3-S8</t>
  </si>
  <si>
    <t xml:space="preserve">UI SURFACES (React + RTL): Forecast, Scenario, Nudges, Portal, Anomalies screens with Xero deep links + empty states; MetricsPanel; per-feature metrics/trends; notifications w/ per-type mute + digest; pause toggles; portal workflow rules</t>
  </si>
  <si>
    <t xml:space="preserve">ST-005/015/025/035/045, ST-006/016/026/036/046, ST-010/050, ST-018/038, ST-033</t>
  </si>
  <si>
    <t xml:space="preserve">16 more stories Done (74 total)</t>
  </si>
  <si>
    <t xml:space="preserve">E008</t>
  </si>
  <si>
    <t xml:space="preserve">S4</t>
  </si>
  <si>
    <t xml:space="preserve">ST-086 CI WIRING: GitHub Actions workflow (push/PR/deployment) runs typecheck + jest with 100% gate</t>
  </si>
  <si>
    <t xml:space="preserve">ST-086</t>
  </si>
  <si>
    <t xml:space="preserve">In progress -&gt; Code-complete pending repo hookup</t>
  </si>
  <si>
    <t xml:space="preserve">Real repo = Senthil</t>
  </si>
  <si>
    <t xml:space="preserve">E009</t>
  </si>
  <si>
    <t xml:space="preserve">D13 GATE MET: 13 suites, 148 tests, 100% incl. React components; tsc clean</t>
  </si>
  <si>
    <t xml:space="preserve">E010</t>
  </si>
  <si>
    <t xml:space="preserve">2026-09-10 22:27</t>
  </si>
  <si>
    <t xml:space="preserve">S4/S6</t>
  </si>
  <si>
    <t xml:space="preserve">ST-020/ST-040: scenario + portal notification event types</t>
  </si>
  <si>
    <t xml:space="preserve">ST-020, ST-040</t>
  </si>
  <si>
    <t xml:space="preserve">2 more Done</t>
  </si>
  <si>
    <t xml:space="preserve">E011</t>
  </si>
  <si>
    <t xml:space="preserve">S8</t>
  </si>
  <si>
    <t xml:space="preserve">RELIABILITY + A11Y: p95 budgets per surface + evaluator; degradation levels + honest user comms + DegradedBanner; jest-axe WCAG — zero violations on all 7 surfaces</t>
  </si>
  <si>
    <t xml:space="preserve">ST-087, ST-089, ST-091</t>
  </si>
  <si>
    <t xml:space="preserve">3 -&gt; Code-complete pending live</t>
  </si>
  <si>
    <t xml:space="preserve">Live monitoring/chaos/audit = infra</t>
  </si>
  <si>
    <t xml:space="preserve">E012</t>
  </si>
  <si>
    <t xml:space="preserve">S10</t>
  </si>
  <si>
    <t xml:space="preserve">DEMO MODE coded (deterministic red-week story arc) + 2-min video script/shot list; 15 help articles; chat SLA + canned pack</t>
  </si>
  <si>
    <t xml:space="preserve">ST-083, ST-080, ST-081</t>
  </si>
  <si>
    <t xml:space="preserve">Content drafted</t>
  </si>
  <si>
    <t xml:space="preserve">Video recording + chat vendor = Senthil</t>
  </si>
  <si>
    <t xml:space="preserve">E013</t>
  </si>
  <si>
    <t xml:space="preserve">S9-S11</t>
  </si>
  <si>
    <t xml:space="preserve">LISTING CONTENT: copy A+B (product-name-only per external-content rule), asset specs + shot plan, pricing + FAQ, security/trust page; launch-day runbook (ST-098 Done); backup/restore drill runbook</t>
  </si>
  <si>
    <t xml:space="preserve">ST-093..098, ST-090</t>
  </si>
  <si>
    <t xml:space="preserve">ST-098 Done; 7 drafted</t>
  </si>
  <si>
    <t xml:space="preserve">Copy review = Senthil</t>
  </si>
  <si>
    <t xml:space="preserve">E014</t>
  </si>
  <si>
    <t xml:space="preserve">S9</t>
  </si>
  <si>
    <t xml:space="preserve">SUBMISSION DRY-RUN (first pass) vs Launch_Checklist: 2 HARD GAPS — (a) dev org, (b) content webhooks not coded</t>
  </si>
  <si>
    <t xml:space="preserve">ST-097</t>
  </si>
  <si>
    <t xml:space="preserve">Gap (b) queued for v011</t>
  </si>
  <si>
    <t xml:space="preserve">Dev org = Senthil</t>
  </si>
  <si>
    <t xml:space="preserve">E015</t>
  </si>
  <si>
    <t xml:space="preserve">2026-09-10 22:51</t>
  </si>
  <si>
    <t xml:space="preserve">WEBHOOKS BUILT (gap b closed): HMAC-SHA256 verify (constant-time, intent-to-receive), fast-ack idempotent queue with retry/dead-letter/redelivery-heal, payment event auto-cancels nudges. PLATFORM CONSTRAINT: Xero has no bank-txn webhook -&gt; 15-min polling behind shared breaker, documented</t>
  </si>
  <si>
    <t xml:space="preserve">WBH-001, LC#4</t>
  </si>
  <si>
    <t xml:space="preserve">Checklist #4 code-complete</t>
  </si>
  <si>
    <t xml:space="preserve">Live wiring = dev org</t>
  </si>
  <si>
    <t xml:space="preserve">E016</t>
  </si>
  <si>
    <t xml:space="preserve">Launch_Checklist all 10 items moved from "Open" to honest statuses</t>
  </si>
  <si>
    <t xml:space="preserve">LC#1-10</t>
  </si>
  <si>
    <t xml:space="preserve">E017</t>
  </si>
  <si>
    <t xml:space="preserve">2026-09-10 22:56</t>
  </si>
  <si>
    <t xml:space="preserve">RATE LIMITER: proactive per-tenant 60/min sliding window + paced execution (complements reactive backoff/breaker); HTTP wiring layer (fast-ack route + /health)</t>
  </si>
  <si>
    <t xml:space="preserve">WBH-002, WBH-003, LC#3</t>
  </si>
  <si>
    <t xml:space="preserve">Checklist #3 code-complete</t>
  </si>
  <si>
    <t xml:space="preserve">E018</t>
  </si>
  <si>
    <t xml:space="preserve">QA DRILLS EXECUTED: 20-client portal drill PASSED; 12-month anomaly QA FOUND A REAL DEFECT — lone outliers hidden in isolated small batches (sigma self-inflation) — FIXED via detectWithHistory (trailing-window scanning); all planted faults caught, FPs &lt;= 2</t>
  </si>
  <si>
    <t xml:space="preserve">QA-007, QA-008, LC#7, LC#8</t>
  </si>
  <si>
    <t xml:space="preserve">Defect found + fixed; checklists 7/8 done at logic level</t>
  </si>
  <si>
    <t xml:space="preserve">Live-feed QA = dev org</t>
  </si>
  <si>
    <t xml:space="preserve">E019</t>
  </si>
  <si>
    <t xml:space="preserve">ST-088 k6 load harness (steady / 25 rps burst / webhook storm; thresholds = p95 budgets); ST-092 blue/green deploy workflow (100%-gate, health gate, atomic swap, warm rollback)</t>
  </si>
  <si>
    <t xml:space="preserve">ST-088, ST-092</t>
  </si>
  <si>
    <t xml:space="preserve">2 -&gt; Code-complete pending live</t>
  </si>
  <si>
    <t xml:space="preserve">Staging = infra</t>
  </si>
  <si>
    <t xml:space="preserve">E020</t>
  </si>
  <si>
    <t xml:space="preserve">2026-09-10 23:03</t>
  </si>
  <si>
    <t xml:space="preserve">Readiness</t>
  </si>
  <si>
    <t xml:space="preserve">LIVE-SWEEP PACK: typed config loader + .env.example (all credentials named, validated at boot), 30-min dev-org setup guide, 12-step scripted verification sweep with pass criteria + story-flip mapping</t>
  </si>
  <si>
    <t xml:space="preserve">CFG-001</t>
  </si>
  <si>
    <t xml:space="preserve">Handoff fully scripted</t>
  </si>
  <si>
    <t xml:space="preserve">E021</t>
  </si>
  <si>
    <t xml:space="preserve">Portfolio</t>
  </si>
  <si>
    <t xml:space="preserve">8-PRODUCT ACTION BOARD issued (separate workbook): every Senthil-blocked item, effort estimates, D15 framed (hold-serial vs formal-parallel), day-scale external queues flagged (Meta verification, GCP consent)</t>
  </si>
  <si>
    <t xml:space="preserve">D15</t>
  </si>
  <si>
    <t xml:space="preserve">D15 = Senthil</t>
  </si>
  <si>
    <t xml:space="preserve">E022</t>
  </si>
  <si>
    <t xml:space="preserve">v001 (this file)</t>
  </si>
  <si>
    <t xml:space="preserve">THIS TRACKER CREATED per 23:08 directive, modeled on TeleField tracker: consolidated event log, per-release build boards, done-in-version traceability, live rollup, RAID, gate</t>
  </si>
  <si>
    <t xml:space="preserve">Final state: 77 Done / 10 CCPL / 7 drafted / 2 in progress / 4 backlog; 17 suites / 186 tests / 100%</t>
  </si>
  <si>
    <t xml:space="preserve">Everything remaining = Senthil inputs</t>
  </si>
  <si>
    <t xml:space="preserve">v002 on live sweep</t>
  </si>
  <si>
    <t xml:space="preserve">E023</t>
  </si>
  <si>
    <t xml:space="preserve">RUN CONTINUED — Senthil directive 10:49/11:08: continue next sprint. Baseline v013 re-verified in fresh session: 17 suites / 186 tests / 100%, tsc clean</t>
  </si>
  <si>
    <t xml:space="preserve">v014 opened from v013</t>
  </si>
  <si>
    <t xml:space="preserve">E024</t>
  </si>
  <si>
    <t xml:space="preserve">COLD-REVIEW PASS 1: 5 real defects found + fixed with regression tests — F-001 unbounded webhook idempotency ledger (FIFO 10,000 cap + seenSize monitor); F-002 signed-but-malformed payload crashed fast-ack (guarded parse/shape, ack 0 + parseError flag); F-003 rate-limiter idle tenants never evicted (prune() + trackedTenants); F-004 duplicate anomaly repeated per txn with 3+ matching txns (deduped per txn); F-005 nudgesPerMonth unenforceable — no cycle-scoped counter/reset existed (UsageCycle: boundary-anchored rollover, refuse-at-cap, 80% prompt)</t>
  </si>
  <si>
    <t xml:space="preserve">F-001..F-005</t>
  </si>
  <si>
    <t xml:space="preserve">Review_Findings sheet added; same defect classes as OnCall/EngageOS pass-1 findings</t>
  </si>
  <si>
    <t xml:space="preserve">E025</t>
  </si>
  <si>
    <t xml:space="preserve">ST-066 BUILT (Backlog -&gt; Code-complete pending live): src/security.ts — AES-256-GCM field envelope (fresh 12-byte IV, auth tag, versioned), SecretsVault boundary (EnvVault sandbox, KMS swaps at deploy), sealToken/openToken at storage boundary, requireTls production assertion, encryptionEvidence self-verifying drill</t>
  </si>
  <si>
    <t xml:space="preserve">ST-066</t>
  </si>
  <si>
    <t xml:space="preserve">Traceability + workbook updated</t>
  </si>
  <si>
    <t xml:space="preserve">Live vault (KMS) + deployed TLS probe = dev org</t>
  </si>
  <si>
    <t xml:space="preserve">E026</t>
  </si>
  <si>
    <t xml:space="preserve">S9-S10</t>
  </si>
  <si>
    <t xml:space="preserve">SECURITY EVIDENCE PACK compiled (sandbox half of ST-068 -&gt; In progress): docs/security/SECURITY_EVIDENCE.md with per-control source+test citations across auth, encryption, webhooks, abuse protection, data lifecycle. REVIEW_PACK.md for external second reviewer — ST-097 stays In progress (same-AI review not independent). LC-5 status updated</t>
  </si>
  <si>
    <t xml:space="preserve">ST-068, ST-097, LC-5</t>
  </si>
  <si>
    <t xml:space="preserve">Gate checklist LC-5 updated</t>
  </si>
  <si>
    <t xml:space="preserve">Pen-test vendor + external reviewer = Senthil</t>
  </si>
  <si>
    <t xml:space="preserve">E027</t>
  </si>
  <si>
    <t xml:space="preserve">D13 GATE MET: 18 suites, 207 tests, 100% stmts/branches/funcs/lines, zero pragmas, tsc clean. One pre-existing webhook assertion extended for the F-002 response shape (parseError field) — behaviour otherwise unchanged. Position: 77 Done / 11 CCPL / 7 drafted / 3 in progress / 2 backlog (ST-099 SEO, ST-100 design partners — both external). Sandbox-codeable backlog now EXHAUSTED again</t>
  </si>
  <si>
    <t xml:space="preserve">Tracker v002 + workbook v014 released</t>
  </si>
  <si>
    <t xml:space="preserve">v003 on live sweep or dispositions</t>
  </si>
  <si>
    <t xml:space="preserve">E028</t>
  </si>
  <si>
    <t xml:space="preserve">RUN CONTINUED — 12:47 directive. Backlog sandbox-exhausted, but pass 1 only deep-read 4/26 modules -&gt; pass 2 scoped over the remaining 10 core modules</t>
  </si>
  <si>
    <t xml:space="preserve">v015 opened from v014</t>
  </si>
  <si>
    <t xml:space="preserve">E029</t>
  </si>
  <si>
    <t xml:space="preserve">S5</t>
  </si>
  <si>
    <t xml:space="preserve">F-006 FIXED (Major, invoiceNudges): planner had no sent-history — every daily run re-nudged every overdue invoice at its current tier (customer spam: gentle on day 3,4,5,6...). SentHistory added: each tier fires exactly once per invoice; test-mode dry runs not recorded (real send still owed); failed sends not recorded (retried next run); clearInvoice on payment</t>
  </si>
  <si>
    <t xml:space="preserve">F-006</t>
  </si>
  <si>
    <t xml:space="preserve">regressions: once-only, escalation, test-mode, flaky-retry, clear</t>
  </si>
  <si>
    <t xml:space="preserve">E030</t>
  </si>
  <si>
    <t xml:space="preserve">F-007 FIXED (Major/compliance, installFlow): purgeExpired set status=purged but retained the full account record (tenant data) in memory indefinitely — contradicting the 30-day deletion policy (ST-052) and growing unboundedly. Purge now DELETES the record (idempotent); unproducible purged status removed from the type; post-purge reinstall verified as clean fresh install</t>
  </si>
  <si>
    <t xml:space="preserve">F-007</t>
  </si>
  <si>
    <t xml:space="preserve">regressions: record gone, idempotent re-run, fresh reinstall</t>
  </si>
  <si>
    <t xml:space="preserve">E031</t>
  </si>
  <si>
    <t xml:space="preserve">F-008 FIXED (Major, forecastEngine): a non-finite dueDate (bad platform data) made weekIndex return NaN and inflows[NaN]+= silently DROPPED the item from every week — no error, forecast quietly wrong; the opposite of ST-004 (clear errors on bad platform data). Dates + weekStart now validated finite with named failures. F-008b (Minor): traffic light was judged on the unrounded balance while the cell displays the rounded one — light now matches the displayed figure</t>
  </si>
  <si>
    <t xml:space="preserve">F-008</t>
  </si>
  <si>
    <t xml:space="preserve">regressions: NaN invoice/outflow/weekStart throw; light-display consistency</t>
  </si>
  <si>
    <t xml:space="preserve">E032</t>
  </si>
  <si>
    <t xml:space="preserve">F-009 FIXED (Major, scenarioSliders): extraMonthlyCost emitted 3 occurrences (days 0/28/56) but the 13-week horizon is 91 days — the 4th occurrence (day 84, week 13) was omitted, biasing recurring-hire scenarios optimistic by one month at the horizon edge. Now 4 occurrences; one pre-existing assertion updated (it encoded the defect)</t>
  </si>
  <si>
    <t xml:space="preserve">F-009</t>
  </si>
  <si>
    <t xml:space="preserve">regressions: 4 lines incl day 84; week-13 closing corrected</t>
  </si>
  <si>
    <t xml:space="preserve">E033</t>
  </si>
  <si>
    <t xml:space="preserve">OBSERVATIONS (no fix, disposition Senthil): OBS-001 backoffDelayMs has no jitter (synchronized retry herds under multi-tenant outage recovery — fix changes timing-sensitive test contracts); OBS-002 CircuitBreaker half_open admits unlimited concurrent probes (standard simple-breaker trade-off). compliance, portal, notifications, telemetry, onboarding, permissions, featureMetrics otherwise clean</t>
  </si>
  <si>
    <t xml:space="preserve">OBS-001, OBS-002</t>
  </si>
  <si>
    <t xml:space="preserve">Review_Findings</t>
  </si>
  <si>
    <t xml:space="preserve">E034</t>
  </si>
  <si>
    <t xml:space="preserve">D13 GATE MET: 19 suites, 219 tests, 100% all metrics, zero pragmas, tsc clean. COLD REVIEW COMPLETE across all 27 modules: 9 defects (5 Major-class among them) found+fixed with regressions over passes 1-2. Position unchanged: 77 Done / 11 CCPL / 7 drafted / 3 in progress / 2 backlog. Sandbox work genuinely exhausted — external reviewer (REVIEW_PACK.md) is the remaining independence control</t>
  </si>
  <si>
    <t xml:space="preserve">Tracker v003 + workbook v015 released</t>
  </si>
  <si>
    <t xml:space="preserve">Everything remaining = Senthil</t>
  </si>
  <si>
    <t xml:space="preserve">v004 on live sweep or dispositions</t>
  </si>
  <si>
    <t xml:space="preserve">E035</t>
  </si>
  <si>
    <t xml:space="preserve">S10-S12</t>
  </si>
  <si>
    <t xml:space="preserve">RUN CONTINUED — 15:27 directive. Sibling check against the refreshed portfolio state: TeleField (12:47) and VoiceBridge (13:32) reached CODE PHASE COMPLETE via the S10-S12 codeable halves FlowCast still held open. Wave scoped: ST-081/099/100/080/095</t>
  </si>
  <si>
    <t xml:space="preserve">v016 opened from v015</t>
  </si>
  <si>
    <t xml:space="preserve">E036</t>
  </si>
  <si>
    <t xml:space="preserve">ST-081 BUILT (In progress -&gt; Code-complete pending live): src/chatSla.ts — configurable business-hours calendar, first-response deadline accumulating BUSINESS hours across days/weekends, thread lifecycle, met/due/at_risk/breached status, breach queue tightest-deadline-first. Chat-vendor decision now OPTIONAL — swap transport later without touching SLA logic; logged as D-F6 for ratification</t>
  </si>
  <si>
    <t xml:space="preserve">ST-081</t>
  </si>
  <si>
    <t xml:space="preserve">regressions incl. epoch-weekday math (one test constant corrected during build: epoch day 0 = Thursday), guard exhaustion, sparse 1h/week calendar</t>
  </si>
  <si>
    <t xml:space="preserve">Vendor decision (optional) = Senthil</t>
  </si>
  <si>
    <t xml:space="preserve">E037</t>
  </si>
  <si>
    <t xml:space="preserve">S12</t>
  </si>
  <si>
    <t xml:space="preserve">ST-099 BUILT (Backlog -&gt; Code-complete pending live): seoSuggestions — promote-to-title / add-keyword / demote rules on install-rate over a 100-impression thin-data floor (insufficient_data below it, never a conclusion); in-title high-converters stay keyword-level. Live half = post-launch search-term data</t>
  </si>
  <si>
    <t xml:space="preserve">ST-099</t>
  </si>
  <si>
    <t xml:space="preserve">regressions: floor, promote/keyword/demote, in-title, sort order, validation</t>
  </si>
  <si>
    <t xml:space="preserve">Post-launch data = live</t>
  </si>
  <si>
    <t xml:space="preserve">E038</t>
  </si>
  <si>
    <t xml:space="preserve">S11</t>
  </si>
  <si>
    <t xml:space="preserve">ST-100 BUILT (Backlog -&gt; Code-complete pending live): PartnerTracker — 10 slots, 7-day stale-nudge on in-play partners only, honest exit math: reviewed count progresses ST-100 but ONLY isPaying partners count toward G-02 (10 paying strangers); g02Remaining computed from paying only</t>
  </si>
  <si>
    <t xml:space="preserve">ST-100</t>
  </si>
  <si>
    <t xml:space="preserve">regressions: bounds/dupes, stale filter, partial updates, exit-math separation</t>
  </si>
  <si>
    <t xml:space="preserve">Outreach = Senthil</t>
  </si>
  <si>
    <t xml:space="preserve">E039</t>
  </si>
  <si>
    <t xml:space="preserve">ST-080 search half BUILT (Drafted -&gt; Code-complete pending live): ranked help search (title 3x body term frequency) + HELP_MANIFEST test-gated against docs/help directory AND each file H1 — manifest cannot drift from the 15 articles. Hosting/publish remains the live half</t>
  </si>
  <si>
    <t xml:space="preserve">ST-080</t>
  </si>
  <si>
    <t xml:space="preserve">regressions: manifest-vs-directory, title-over-body ranking, multi-term/limit/empty</t>
  </si>
  <si>
    <t xml:space="preserve">Hosting = Senthil</t>
  </si>
  <si>
    <t xml:space="preserve">E040</t>
  </si>
  <si>
    <t xml:space="preserve">ST-095 BUILT (Drafted -&gt; Code-complete pending live): renderPricingMatrix from the ENFORCED billing.ts constants; generated verification block appended to pricing-page.md; DRIFT GATE test asserts the published page contains the generated block verbatim AND the hand-written header prices match PLAN_PRICE — page/limits drift now breaks the build</t>
  </si>
  <si>
    <t xml:space="preserve">ST-095</t>
  </si>
  <si>
    <t xml:space="preserve">drift-gate + verbatim-constants regressions</t>
  </si>
  <si>
    <t xml:space="preserve">Publish = Senthil</t>
  </si>
  <si>
    <t xml:space="preserve">E041</t>
  </si>
  <si>
    <t xml:space="preserve">D13 GATE MET: 20 suites, 243 tests, 100% all metrics, zero pragmas, tsc clean. BACKLOG ZERO. FLOWCAST CODE PHASE COMPLETE — third product after TeleField (12:47) and VoiceBridge (13:32). Position: 77 Done / 16 CCPL / 5 drafted / 2 in progress / 0 backlog. No further code sprints planned; remaining chain all Senthil live halves: dev org -&gt; 12-step sweep -&gt; dispositions -&gt; external reviewer -&gt; copy A/B -&gt; pen-test -&gt; (optional D-F6) -&gt; launch runbook -&gt; partner outreach; D15 open</t>
  </si>
  <si>
    <t xml:space="preserve">D13, D7</t>
  </si>
  <si>
    <t xml:space="preserve">Tracker v004 + workbook v016 released</t>
  </si>
  <si>
    <t xml:space="preserve">v005 on live evidence</t>
  </si>
  <si>
    <t xml:space="preserve">E042</t>
  </si>
  <si>
    <t xml:space="preserve">RUN CONTINUED — 22:08 directive. Post-code-phase sibling patterns applied: TestPulse external verification sweep (caught wrong runtime/dead API/wrong asset spec) + VoiceBridge doc-artifact gap closure (2GP source). Neither had run on FlowCast</t>
  </si>
  <si>
    <t xml:space="preserve">v017 opened from v016</t>
  </si>
  <si>
    <t xml:space="preserve">E043</t>
  </si>
  <si>
    <t xml:space="preserve">VER-001 FIXED (CRITICAL/live-blocking, server.ts): our 200 webhook response carried {"accepted":N} JSON — external docs confirm Xero REJECTS webhook responses containing a body ("Response contained a body" failure on intent-to-receive even with correct status). Sweep step 4 would have failed on the day. Both 200 and 401 now empty-body; accepted count is /health telemetry (ctx.lastAccepted). One pre-existing route assertion updated (encoded the body)</t>
  </si>
  <si>
    <t xml:space="preserve">VER-001</t>
  </si>
  <si>
    <t xml:space="preserve">regressions: valid delivery, intent-to-receive positive/negative, F-002 malformed path — all empty-body</t>
  </si>
  <si>
    <t xml:space="preserve">E044</t>
  </si>
  <si>
    <t xml:space="preserve">VER-002 FIXED (Major, rateLimiter.ts): Xero enforces 5 concurrent + 60/min + 5,000/day per org; only 60/min was paced — a busy day would hit the daily 429 wall blind. UTC-day budget added (XERO_DAILY_LIMIT=5000): refuses with time-to-day-boundary, per-minute refusals do not consume budget, dailyUsed() telemetry, prune() clears stale buckets. Concurrency ≤5 naturally bounded by worker model — flagged for live-sweep observation. VER-003 FIXED (Major, compliance.ts): dev-org guide mandates offline_access but FEATURE_SCOPES had no home for it — our own ST-064 audit flagged our own guide as unjustified; PLATFORM_SCOPES=[offline_access] now always required; one pre-existing audit assertion updated</t>
  </si>
  <si>
    <t xml:space="preserve">VER-002, VER-003</t>
  </si>
  <si>
    <t xml:space="preserve">regressions: daily cap/reset/refusal-not-counted/prune; guide-scope round-trip, missing-offline_access, still-flags-payroll</t>
  </si>
  <si>
    <t xml:space="preserve">E045</t>
  </si>
  <si>
    <t xml:space="preserve">GAP-1/GAP-2 CLOSED (artifact-gap audit): sweep steps 10/12 referenced a CI workflow and a blue/green pipeline that DID NOT EXIST (same class as VoiceBridge missing 2GP source, TestPulse missing Custom UI resource). Built: .github/workflows/ci.yml (tsc + jest 100% gate + zero-pragma check, Node 22 per Node-20-EOL sibling finding), deploy.yml (build-and-stage -&gt; approval-gated switch -&gt; post-switch smoke), scripts/deploy-slot.sh + verify-slot.sh + switch-traffic.sh (rollback = router re-point). YAML + bash parse verified. 5 platform claims verified CORRECT (V-OK1..5: signature scheme, 5s window, batching, token timing, billing-region wording). Evidence table: docs/live-sweep/external-verification-20260911.md</t>
  </si>
  <si>
    <t xml:space="preserve">GAP-1, GAP-2, V-OK1..5</t>
  </si>
  <si>
    <t xml:space="preserve">sweep doc steps 4/6/10/12 rewritten</t>
  </si>
  <si>
    <t xml:space="preserve">Live regions re-check at partner onboarding</t>
  </si>
  <si>
    <t xml:space="preserve">E046</t>
  </si>
  <si>
    <t xml:space="preserve">D13 GATE MET: 21 suites, 256 tests, 100% all metrics, zero pragmas, tsc clean. Story position unchanged (verification hardening under existing stories, VoiceBridge v011 precedent). FlowCast now has BOTH post-completion sibling passes. Sandbox genuinely exhausted at a higher bar: the one live-blocking defect that survived two cold reviews was found by checking OUR claims against THEIR docs — external verification catches what internal review cannot</t>
  </si>
  <si>
    <t xml:space="preserve">Tracker v005 + workbook v017 released</t>
  </si>
  <si>
    <t xml:space="preserve">v006 on live evidence</t>
  </si>
  <si>
    <t xml:space="preserve">E047</t>
  </si>
  <si>
    <t xml:space="preserve">RUN CONTINUED — 13 Sep 10:25. Sibling audits that landed today applied to FlowCast for the first time: OnCall GAP-OC1/OC2 (no HTTP app, no schema behind documented routes, lesson L-OC3), EngageOS F-009/F-010 (shipped modules no path ever called, lesson L-E1), MeetSync M-F11/M-F12 (identity from caller headers). Mechanical check: grep every exported guard for a caller outside its own tests; try to run what the docs tell the operator to run</t>
  </si>
  <si>
    <t xml:space="preserve">v018 opened from v017</t>
  </si>
  <si>
    <t xml:space="preserve">E048</t>
  </si>
  <si>
    <t xml:space="preserve">GAP-F1 FIXED (CRITICAL): NO RUNNABLE APPLICATION EXISTED. server.ts held pure handlers plus a comment describing deploy-time binding; package.json had only a test script; no build. Meanwhile v017 deploy scripts restart a flowcast service and curl /health, the 30-min guide says boot with filled .env, and live-sweep STEP 1 checks /health — the sweep would have died on its first row on dev-org day. Built src/httpServer.ts (real http.createServer, raw-body capture for signature bytes, 1MB cap, 413/500 rather than hanging sockets — MeetSync M-F21 class), src/main.ts + bootFromEnv, npm run build/start, tsconfig.build.json. VERIFIED END TO END: built artifact booted, curl returned {"ok":true,"release":"v018"}</t>
  </si>
  <si>
    <t xml:space="preserve">GAP-F1</t>
  </si>
  <si>
    <t xml:space="preserve">tests/integrationAudit.test.ts — /health, signed webhook over a socket, forged 401, 413, query-strip, 404, boot path</t>
  </si>
  <si>
    <t xml:space="preserve">E049</t>
  </si>
  <si>
    <t xml:space="preserve">INT-F1 FIXED (CRITICAL): recordNudge/UsageCycle — MY OWN v014 F-005 FIX — was called by nothing. The plan limit was still unenforceable in the running product: the fix shipped as a module, not as an integration, and a 100% suite proved only that the module worked in isolation. FlowCastApp.sendNudgeBatch now records every send, refuses at the cap before the sender is touched, returns the slot on failed sends, and resets with the cycle</t>
  </si>
  <si>
    <t xml:space="preserve">INT-F1</t>
  </si>
  <si>
    <t xml:space="preserve">regressions: cap refusal at 50, sender never called on the 51st, failed-send slot return, cycle reset</t>
  </si>
  <si>
    <t xml:space="preserve">E050</t>
  </si>
  <si>
    <t xml:space="preserve">INT-F2 FIXED (CRITICAL): sealToken/encryptField (ST-066, built v014) had no callers — Xero refresh tokens sat in memory as PLAINTEXT while SECURITY_EVIDENCE.md claimed token-at-rest sealing as certification evidence. InstallService now takes a SecretsVault: tokens sealed at rest, opened only for the rotation call, rotated tokens re-sealed; sealsAtRest() reports the truth. Security pack corrected by dated ADDENDUM rather than a silent edit</t>
  </si>
  <si>
    <t xml:space="preserve">INT-F2</t>
  </si>
  <si>
    <t xml:space="preserve">regressions: no plaintext in stored bytes, refresh rotates, reinstall seals, no-vault honest signal</t>
  </si>
  <si>
    <t xml:space="preserve">Evidence-integrity note for the pen-test vendor</t>
  </si>
  <si>
    <t xml:space="preserve">E051</t>
  </si>
  <si>
    <t xml:space="preserve">S6</t>
  </si>
  <si>
    <t xml:space="preserve">INT-F3 FIXED (Major): authorize()/can() guarded NO entry point — the role matrix was decorative and a member could mutate portal clients. INT-F5 FIXED (Major): accessLevel() returned read_only after grace and nothing blocked writes, while the pricing page promises exactly that behaviour. Both wired through the new composition root: requirePermission + requireWrite on every mutation, reads deliberately left open at all levels. INT-F4 investigated and NOT raised (limiter is reached via executeWithRateLimit; no real Xero HTTP client exists to wire yet — R-F4 deliberate)</t>
  </si>
  <si>
    <t xml:space="preserve">INT-F3, INT-F5</t>
  </si>
  <si>
    <t xml:space="preserve">regressions: member denied/owner allowed, audit log records both, grace writes vs read-only refusal, recovery restores</t>
  </si>
  <si>
    <t xml:space="preserve">E052</t>
  </si>
  <si>
    <t xml:space="preserve">D13 GATE MET: 22 suites, 283 tests, 100% all metrics, zero pragmas, tsc clean, npm run build emits dist/main.js, live boot verified. Two defensive-unreachable branches refactored into tested helpers (toHttpRequest, errorStatus) rather than pragma-suppressed — MeetSync precedent. Story positions unchanged (integration correctness). LESSON L-F1: nine cold-review defects, three verification findings and 100% coverage across 27 modules never revealed that five modules were wired to nothing and the product had no way to start. Unit coverage proves a module executes; it cannot prove the product exists or that anything calls it</t>
  </si>
  <si>
    <t xml:space="preserve">Tracker v006 + workbook v018 released</t>
  </si>
  <si>
    <t xml:space="preserve">v007 on live evidence</t>
  </si>
  <si>
    <t xml:space="preserve">E053</t>
  </si>
  <si>
    <t xml:space="preserve">RUN CONTINUED — 10:38. Trigger: OnCall ran cold-review pass 3 over its own new HTTP layer an hour earlier and found 2 criticals (no multi-tenancy, OAuth CSRF), logging L-OC4 "new surfaces inherit old blind spots". FlowCast had built httpServer.ts/app.ts/main.ts 13 minutes before and shipped them unreviewed — pass 3 scoped to v018-authored code only</t>
  </si>
  <si>
    <t xml:space="preserve">v019 opened from v018</t>
  </si>
  <si>
    <t xml:space="preserve">E054</t>
  </si>
  <si>
    <t xml:space="preserve">F3-01 FIXED (CRITICAL): NO OAUTH INSTALL ROUTES EXISTED. config REQUIRES OAUTH_REDIRECT_URI, the 30-min guide registers that URL with Xero, security.ts even comments about serving callbacks, and live-sweep STEP 2 expects "callback lands, tokens stored" — but the app served only /health and /webhooks/xero, so the install would have dead-ended on a 404. Root cause: v018 built the app around the two routes server.ts already had and never asked which routes the DOCS promise. Built src/oauth.ts (/auth/start authorize-URL builder, /auth/callback exchange) behind a new async routeAsync; real 302 Location; full round trip verified over a socket</t>
  </si>
  <si>
    <t xml:space="preserve">F3-01</t>
  </si>
  <si>
    <t xml:space="preserve">tests/coldReviewPass3.test.ts — start URL params, callback stores install with source, decline/malformed 400, unconfigured 503, socket round trip</t>
  </si>
  <si>
    <t xml:space="preserve">R-F9: needs the real client</t>
  </si>
  <si>
    <t xml:space="preserve">E055</t>
  </si>
  <si>
    <t xml:space="preserve">F3-02 FIXED (CRITICAL): NOTHING DRAINED THE QUEUE. processQueue had no caller outside its own tests — every verified webhook ACKed 200, landed in ctx.queue and evaporated: a paid invoice never cancelled its nudges, an edited invoice never replanned. The queue was also unbounded. This is INT-F1 recurring one layer up: the v018 audit fixed the modules it examined and created a new unwired seam in the same breath. src/worker.ts built — bounded enqueue (50k ceiling, oldest shed and counted), drainOnce with batch bound, non-overlapping startWorker loop that unrefs so a pending drain cannot hold the process open</t>
  </si>
  <si>
    <t xml:space="preserve">F3-02</t>
  </si>
  <si>
    <t xml:space="preserve">regressions: drain empties queue and emits actions, paid invoice cancels nudges, shed at ceiling, batch bound, no double-drain, real-timer defaults</t>
  </si>
  <si>
    <t xml:space="preserve">E056</t>
  </si>
  <si>
    <t xml:space="preserve">F3-03 FIXED (Major): the new callback needed CSRF protection or any site could walk a victim through an install — single-use OAuthStateStore, 10-min TTL, FIFO cap, constant-time compare; unknown/expired/replayed state =&gt; 403. F3-04 FIXED (Major): /health was fully public and returned the exact release string and live queue depth (OnCall F-017 class) — liveness stays public for load balancers, detail now requires x-flowcast-operator; scripts/verify-slot.sh updated to pass it; two pre-existing health assertions updated. VERIFIED CLEAN: webhook dedupe key is already tenant-scoped, so the OnCall F-014 / MeetSync M-F04 cross-tenant collision class does not apply — pinned with a two-tenant regression</t>
  </si>
  <si>
    <t xml:space="preserve">F3-03, F3-04</t>
  </si>
  <si>
    <t xml:space="preserve">state replay/expiry/cap/prune, public-vs-operator health over the wire</t>
  </si>
  <si>
    <t xml:space="preserve">E057</t>
  </si>
  <si>
    <t xml:space="preserve">D13 GATE MET: 23 suites, 317 tests, 100% all metrics, zero pragmas, tsc clean; built artifact re-verified live (public {"ok":true}, operator gets release/queued/shed). R-F9 OPENED HONESTLY: /auth/start 503s in the running binary because main.ts has no XeroOAuthClient to wire — no real Xero HTTP client exists anywhere (R-F4, same reason INT-F4 was not raised). Pass 3 closed the ROUTING half of sweep step 2; the CLIENT half is the largest genuinely codeable work left and was deliberately not half-built in this sitting. LESSON L-F2: second consecutive sitting where the previous sitting own new code held a critical defect — standing rule adopted, anything built in a session gets reviewed in the next by the same checklist used on inherited code</t>
  </si>
  <si>
    <t xml:space="preserve">D13, R-F9</t>
  </si>
  <si>
    <t xml:space="preserve">Tracker v007 + workbook v019 released</t>
  </si>
  <si>
    <t xml:space="preserve">Client build = next sprint; rest = Senthil</t>
  </si>
  <si>
    <t xml:space="preserve">v008 on R-F9 or live evidence</t>
  </si>
  <si>
    <t xml:space="preserve">E058</t>
  </si>
  <si>
    <t xml:space="preserve">RUN CONTINUED — 10:55. TestPulse pass 5 shipped portable review gates and left "port to the other 10 products" open; that gate is the machinery version of FlowCast L-F2 (anything built in a session gets reviewed in the next). Ported tests/reachabilityGate.test.ts: fails the build when a src export has no production caller; tests explicitly do NOT count as callers</t>
  </si>
  <si>
    <t xml:space="preserve">v020 opened from v019</t>
  </si>
  <si>
    <t xml:space="preserve">E059</t>
  </si>
  <si>
    <t xml:space="preserve">GATE DESIGN HARDENED MID-BUILD: the first version passed only after I file-level-exempted 8 feature modules, which would have pardoned every future export in them — self-corrected to per-export SURFACES entries named one at a time, plus KNOWN_GAPS entries that must cite a live RAID risk id, and removed an escape hatch that skipped stale exemptions. Reasons containing later/todo/tbd/wire now FAIL the gate</t>
  </si>
  <si>
    <t xml:space="preserve">tests/reachabilityGate.test.ts</t>
  </si>
  <si>
    <t xml:space="preserve">E060</t>
  </si>
  <si>
    <t xml:space="preserve">S5, S8</t>
  </si>
  <si>
    <t xml:space="preserve">GAP-F2 FIXED (CRITICAL, found by the gate first run): THERE WAS NO SCHEDULER IN THE CODEBASE. Everything periodic had no driver — planNudges/defaultRules (THE DAILY NUDGE CYCLE NEVER RAN; the headline feature had no driver, v019 sendNudgeBatch could only send nudges someone else had planned and nothing planned any), pollBankTxns (bank-feed anomaly alerts never polled — polling is the ENTIRE mechanism since D-F4 accepted it precisely because Xero has no bank-txn webhook), dunningEmailDue (day-0/3/6 emails never sent), trialDaysRemaining (trials never expired — VoiceBridge F-V03 class), purgeExpired (30-day deletion never ran — OnCall L-OC1 again), limiter.prune + state prune (F-003/F3-03 eviction paths never called). src/scheduler.ts built: per-tenant error isolation so a capped or read-only tenant cannot stop the cycle, all jobs through the v018 app gates</t>
  </si>
  <si>
    <t xml:space="preserve">GAP-F2</t>
  </si>
  <si>
    <t xml:space="preserve">16 regressions: cycle plans/sends once per tier, capped+read-only tenants skipped with reasons, poll detects anomalies, interval respected, dunning advances once, trial expiry, housekeeping purge/evict/prune, scheduler registers 4 jobs and isolates failures</t>
  </si>
  <si>
    <t xml:space="preserve">E061</t>
  </si>
  <si>
    <t xml:space="preserve">R-F10 FIXED: requireTls shipped in v014 and nothing ever called it — production could have served OAuth callbacks over plain http; now enforced at boot. clearInvoice wired to payment so a re-issued invoice starts at the gentle tier instead of being permanently muted by F-006. DEAD CODE DELETED not exempted: statesMatch, sealToken, openToken — all written by me in earlier sittings and never used (the sealing path calls encryptField/decryptField directly); removed with their tests</t>
  </si>
  <si>
    <t xml:space="preserve">R-F10</t>
  </si>
  <si>
    <t xml:space="preserve">TLS production guard, invoice-paid re-nudge</t>
  </si>
  <si>
    <t xml:space="preserve">E062</t>
  </si>
  <si>
    <t xml:space="preserve">R-F9 CLOSED: src/xeroClient.ts — real OAuth client against identity.xero.com/connect/token (HTTP Basic client auth) and api.xero.com/connections for the tenantId, with injected fetch so success, HTTP failure, malformed JSON, missing fields and no-authorised-org are all tested without network. Failures never echo the response body (it can contain the code or refresh token). TenantResolver exchanges the SINGLE-USE code once and hands those tokens to the install rather than burning it twice. Live-sweep step 2 now has both halves; new remaining gap R-F10 recorded honestly in the gate KNOWN_GAPS: executeWithRateLimit still has no caller because no Xero ACCOUNTING-API client exists yet</t>
  </si>
  <si>
    <t xml:space="preserve">R-F9</t>
  </si>
  <si>
    <t xml:space="preserve">13 client regressions incl. single-use-code proof</t>
  </si>
  <si>
    <t xml:space="preserve">E063</t>
  </si>
  <si>
    <t xml:space="preserve">D13 GATE MET: 25 suites, 348 tests, 100% all metrics, zero pragmas, tsc clean, reachability gate green and named explicitly in ci.yml. Story positions unchanged (correctness + infrastructure). LESSON L-F3: two sittings running, the highest-value finding came from a mechanical check rather than closer reading — judgement found the defects once, the gate finds this whole class every build without anyone remembering to look. The gate is portable: copy the file, empty the three lists, expect 15-40 first-run hits — worth porting to the remaining products</t>
  </si>
  <si>
    <t xml:space="preserve">Tracker v008 + workbook v020 released</t>
  </si>
  <si>
    <t xml:space="preserve">Accounting-API client = next; rest = Senthil</t>
  </si>
  <si>
    <t xml:space="preserve">v009 on R-F10 or live evidence</t>
  </si>
  <si>
    <t xml:space="preserve">E064</t>
  </si>
  <si>
    <t xml:space="preserve">S2, S5, S8</t>
  </si>
  <si>
    <t xml:space="preserve">R-F10 CLOSED: src/xeroApi.ts built — open invoices (forecast), overdue receivables (nudges), bank transactions (anomalies). Every call goes through executeWithRateLimit THEN callWithProtection, so proactive pacing (60/min + the VER-002 5,000/day org budget) and reactive breaker/backoff both apply and a slow Xero cannot become a 429 storm. Xero /Date(1699999999999+0000)/ parsing isolated in one tested function returning null rather than NaN — F-008 showed a NaN date silently drops items — and unusable rows are RETURNED as skipped rather than discarded quietly. Paging follows until a short page with a hard 50-page stop</t>
  </si>
  <si>
    <t xml:space="preserve">17 regressions incl. header/token/tenant, budget consumption, pacing under saturation, failure/malformed/wrong-shape, sign conventions, paging</t>
  </si>
  <si>
    <t xml:space="preserve">E065</t>
  </si>
  <si>
    <t xml:space="preserve">SELF-CAUGHT IN DRAFT: my first overdueInvoices implementation fetched the same invoice pages TWICE (once via openInvoices, once for contact names) — it would have double-spent the very per-org rate budget VER-002 exists to protect. Refactored to a single shared fetch before writing tests; a regression now pins request count at 1</t>
  </si>
  <si>
    <t xml:space="preserve">one-fetch regression</t>
  </si>
  <si>
    <t xml:space="preserve">E066</t>
  </si>
  <si>
    <t xml:space="preserve">PUBLISHED-CLAIMS GATE ported (second TestPulse pass-5 gate): 7 customer promises checked against backing code, and for POLICIES both the function and its driver — because all three of FlowCast false published statements (INT-F2 sealing claimed but uncalled, GAP-F2 30-day deletion with no driver, INT-F5 read-only enforced nowhere) were exactly that shape</t>
  </si>
  <si>
    <t xml:space="preserve">tests/publishedClaimsGate.test.ts</t>
  </si>
  <si>
    <t xml:space="preserve">E067</t>
  </si>
  <si>
    <t xml:space="preserve">THE GATE DID NOT WORK WHEN FIRST WRITTEN — the important finding of this sitting. Proving it by deleting the purge driver, it STILL PASSED: the word purgeExpired remained in that file header COMMENT and satisfied a naive text match. A gate satisfied by a comment is decorative. Both gates now strip comments before matching, pinned by a test that constructs the comment-only case; re-proved to fail with a message naming what broke for the customer. The stricter matching then IMMEDIATELY caught a real second thing — the freshly written xeroApi.ts was not yet wired into the scheduler</t>
  </si>
  <si>
    <t xml:space="preserve">stripComments in both gates + comment-only regression</t>
  </si>
  <si>
    <t xml:space="preserve">E068</t>
  </si>
  <si>
    <t xml:space="preserve">D13 GATE MET: 27 suites, 377 tests, 100% all metrics, zero pragmas, tsc clean; both gates green and named individually in ci.yml. Two defensive-unreachable branches resolved by construction rather than pragma (contact map default removed as genuinely unreachable; sleep default hoisted into a real, exercised realSleep). LESSON L-F4: a gate you have never seen fail is not a gate — deliberately breaking what it protects, and checking the failure message names the customer impact, is now part of writing one. Both gates are portable; write claims from the DOCUMENT outward, never from the code inward</t>
  </si>
  <si>
    <t xml:space="preserve">Tracker v009 + workbook v021 released</t>
  </si>
  <si>
    <t xml:space="preserve">All remaining = Senthil</t>
  </si>
  <si>
    <t xml:space="preserve">v010 on live evidence</t>
  </si>
  <si>
    <t xml:space="preserve">E069</t>
  </si>
  <si>
    <t xml:space="preserve">RUN CONTINUED — 11:15. Triggered by my own standing rule L-F2 (anything built in a session is reviewed in the next): v020 built scheduler.ts, v021 built xeroApi.ts and the two gates, and none of it had been reviewed. Pass 4 scoped to exactly that code using the accumulated portfolio defect classes</t>
  </si>
  <si>
    <t xml:space="preserve">v022 opened from v021</t>
  </si>
  <si>
    <t xml:space="preserve">E070</t>
  </si>
  <si>
    <t xml:space="preserve">F4-01 FIXED (CRITICAL): ONLY THE FIRST TENANT WAS EVER BANK-POLLED. runBankPoll threaded ONE PollState through the tenant loop — the first org poll set lastPolledAt to now, so every later org pollDue() returned false and was skipped. Bank-feed anomaly alerts, a headline feature, ran for exactly one customer. Same multi-tenancy class as OnCall F-014 and MeetSync M-F04, written into new code the day after those were logged. Per-tenant PollStates map; an unconfigured tenant is now skipped without abandoning the rest</t>
  </si>
  <si>
    <t xml:space="preserve">F4-01</t>
  </si>
  <si>
    <t xml:space="preserve">4 regressions incl. all-tenants-polled, per-tenant since-window, per-tenant anomaly attribution — PROVED by reintroducing the defect (3 fail, then pass)</t>
  </si>
  <si>
    <t xml:space="preserve">E071</t>
  </si>
  <si>
    <t xml:space="preserve">F4-02 FIXED (Major): runBillingCycle advanced the dunning counter by MUTATING the object tenants() returned. That only works if the getter hands back the same instance; a store-backed getter returning fresh objects — the realistic production shape — discards it, so the same dunning email would send every hour forever. Explicit recordDunningEmailSent persistence callback added alongside the in-memory view</t>
  </si>
  <si>
    <t xml:space="preserve">F4-02</t>
  </si>
  <si>
    <t xml:space="preserve">store-backed-getter regression asserting the durable record</t>
  </si>
  <si>
    <t xml:space="preserve">E072</t>
  </si>
  <si>
    <t xml:space="preserve">F4-03 FIXED (Major): bankTransactions fetched EVERY page of bank history on every 15-minute poll and filtered client-side — at the 50-page ceiling ~4,800 calls/day for a single org against the 5,000/day budget VER-002 exists to protect. The rate-limit fix I shipped would have been defeated by the client I shipped to use it. Server-side If-Modified-Since filter added. F4-04 FIXED (Major): drainOnce spliced the batch out BEFORE processing, so anything thrown above per-event handling destroyed those events permanently — already gone from the queue and already ACKed to Xero, so no redelivery could heal them; batch is now restored to the front on throw, order preserved</t>
  </si>
  <si>
    <t xml:space="preserve">F4-03, F4-04</t>
  </si>
  <si>
    <t xml:space="preserve">header-filter regression; throwing-processor restore-and-order regressions</t>
  </si>
  <si>
    <t xml:space="preserve">E073</t>
  </si>
  <si>
    <t xml:space="preserve">D13 GATE MET: 28 suites, 388 tests, 100% all metrics, zero pragmas, tsc clean, both gates green. One duplicated default parameter removed rather than pragma-suppressed. LESSON L-F5: F4-01 is the uncomfortable one — I fixed this exact class in app.ts two sittings ago, wrote up the sibling findings that named it, then reproduced it in new code the next day. Knowing a defect class does not stop you writing it; only a check that RUNS against the new code does. The reachability and claims gates automate two classes — a tenant-isolation gate (shared mutable state across a tenant loop) is the obvious next piece and is planned for v023</t>
  </si>
  <si>
    <t xml:space="preserve">Tracker v010 + workbook v022 released</t>
  </si>
  <si>
    <t xml:space="preserve">All else = Senthil</t>
  </si>
  <si>
    <t xml:space="preserve">v011 on the tenant gate or live evidence</t>
  </si>
  <si>
    <t xml:space="preserve">E074</t>
  </si>
  <si>
    <t xml:space="preserve">v023</t>
  </si>
  <si>
    <t xml:space="preserve">RUN CONTINUED — 11:20, executing the v023 plan: build the tenant-isolation gate so the F4-01 class cannot recur silently. Rule enforced: inside a loop over tenants, a variable declared OUTSIDE the loop may not be both assigned and read in the body — that is tenant N value deciding tenant N+1 behaviour. Pure accumulators (count += 1, arr.push) exempt as write-only from the loop perspective. Documented as a lint not a proof: source text, no AST, cannot see aliasing or across calls</t>
  </si>
  <si>
    <t xml:space="preserve">tests/tenantIsolationGate.test.ts</t>
  </si>
  <si>
    <t xml:space="preserve">E075</t>
  </si>
  <si>
    <t xml:space="preserve">GATE BUG 1 (found by proving it, per L-F4): run against the REAL scheduler.ts with F4-01 reintroduced, the gate PASSED. Cause: read-detection stripped the whole assignment statement, which also erased "current = next.get(...) ?? current" — a self-referential assignment is PRECISELY the carry-forward shape the gate exists to catch. Fixed to strip only the left-hand assignment target</t>
  </si>
  <si>
    <t xml:space="preserve">self-referential-carry regression added</t>
  </si>
  <si>
    <t xml:space="preserve">E076</t>
  </si>
  <si>
    <t xml:space="preserve">GATE BUG 2: after fixing bug 1 the gate STILL passed on the real file. Cause: loop offsets came from source.indexOf(line), which returns the FIRST occurrence — and scheduler.ts has three identical "for (const work of deps.tenants()) {" headers, so the gate analysed the same loop three times and two tenant loops were never examined at all. Fixed by tracking real offsets while walking lines. Only after BOTH fixes does the reintroduced defect fail, naming the leaked variable</t>
  </si>
  <si>
    <t xml:space="preserve">proof re-run on the real file</t>
  </si>
  <si>
    <t xml:space="preserve">E077</t>
  </si>
  <si>
    <t xml:space="preserve">D13 GATE MET: 29 suites, 394 tests, 100% all metrics, zero pragmas, tsc clean; three gates (reachability, published-claims, tenant-isolation) green and named individually in ci.yml. LESSON L-F6: both of this gate bugs made it SILENTLY PERMISSIVE — never noisy. That is the failure mode to expect from static checks: a broken gate does not complain, it approves. The fixture test passed from the very first run while the gate was blind to the real file, so proving against a reintroduced defect IN THE REAL FILE — not a fixture — is the only thing that separates a working gate from a decorative one. Applies to the gates already ported to other products</t>
  </si>
  <si>
    <t xml:space="preserve">Tracker v011 + workbook v023 released</t>
  </si>
  <si>
    <t xml:space="preserve">v012 on live evidence</t>
  </si>
  <si>
    <t xml:space="preserve">E078</t>
  </si>
  <si>
    <t xml:space="preserve">v024</t>
  </si>
  <si>
    <t xml:space="preserve">RUN CONTINUED — 11:54, acting on my own unactioned L-F6 recommendation: the reachability and published-claims gates had only ever been proved against FIXTURES, never against a real reintroduced defect in the real file. Audited both the way the tenant gate was audited</t>
  </si>
  <si>
    <t xml:space="preserve">v024 opened from v023</t>
  </si>
  <si>
    <t xml:space="preserve">E079</t>
  </si>
  <si>
    <t xml:space="preserve">HOLE-1 FOUND AND FIXED (reachability gate): probe = unwire recordNudge from the send path in app.ts, the exact INT-F1 defect. THE GATE PASSED. Deleting the call left "import { recordNudge } from ./billing" in place and that line satisfied the caller search — the gate would have reported a fully wired product while the plan limit went unenforced all over again. Fixed by stripping import statements before the caller search, keeping TWO deliberate views per file because the module-import check legitimately needs import lines. Re-proved: unwiring now fails, naming billing.ts:recordNudge</t>
  </si>
  <si>
    <t xml:space="preserve">HOLE-1</t>
  </si>
  <si>
    <t xml:space="preserve">import-only probe + re-proof on the real file</t>
  </si>
  <si>
    <t xml:space="preserve">E080</t>
  </si>
  <si>
    <t xml:space="preserve">HOLE-2 FOUND AND FIXED (published-claims gate): probe = gut the encryption call in installFlow.ts, the exact INT-F2 defect. THE GATE PASSED — "import { encryptField }" matched the claim pattern while the storage path stored plaintext, so the trust-page claim stayed "true" with the product no longer encrypting. Same fix: a claim must be backed by a USE, never an import. Re-proved: the failure now names the claim id, the document and the customer impact</t>
  </si>
  <si>
    <t xml:space="preserve">HOLE-2</t>
  </si>
  <si>
    <t xml:space="preserve">import-only construction test + re-proof on the real file</t>
  </si>
  <si>
    <t xml:space="preserve">E081</t>
  </si>
  <si>
    <t xml:space="preserve">KNOWN LIMITS DOCUMENTED rather than hidden: (a) dead clusters are flagged at the ROOT not per member — probed with an orphan pair, orphanCaller surfaces but orphanHelper does not, which is enough to surface the cluster so left deliberately; (b) file-level ENTRY_POINTS pardon every export in that module — the first dead-cluster probe proved nothing because it ran in demoData.ts which is exempt wholesale, and the probe had to be redone in a non-exempt file; (c) all three gates are text lints, blind to aliasing, dynamic dispatch and cross-function flow</t>
  </si>
  <si>
    <t xml:space="preserve">docs/live-sweep/gate-audit-20260913.md</t>
  </si>
  <si>
    <t xml:space="preserve">E082</t>
  </si>
  <si>
    <t xml:space="preserve">D13 GATE MET: 29 suites, 395 tests, 100% all metrics, zero pragmas, tsc clean; three gates green AND all three now proved against reintroduced real defects. LESSON L-F7: three gates, four silently-permissive bugs (HOLE-1, HOLE-2 and the tenant gate two), and EVERY ONE passed its own fixture test from the first run. The fixture tests what the author imagined; the reintroduced defect tests what actually broke. A gate is not finished when it is green — it is finished when it has been seen to fail for the right reason IN THE REAL FILE. This applies directly to the gates already ported to other products: they were shipped green and have never been proved</t>
  </si>
  <si>
    <t xml:space="preserve">Tracker v012 + workbook v024 released</t>
  </si>
  <si>
    <t xml:space="preserve">v013 on live evidence</t>
  </si>
  <si>
    <t xml:space="preserve">E083</t>
  </si>
  <si>
    <t xml:space="preserve">v025</t>
  </si>
  <si>
    <t xml:space="preserve">RUN CONTINUED — 11:58. The portfolio open item is porting the gates to the other products; L-F7 made that dangerous rather than merely pending, because a ported gate arrives GREEN and green means nothing — four of the three gates bugs here were silently permissive on their first green run. Built the missing piece: a proof harness that makes greenness earnable</t>
  </si>
  <si>
    <t xml:space="preserve">gates/prove-gates.js</t>
  </si>
  <si>
    <t xml:space="preserve">E084</t>
  </si>
  <si>
    <t xml:space="preserve">HARNESS BUILT: for each gate it takes a REAL source file, applies a mutation reintroducing the REAL defect that gate exists to catch (reachability = unwire recordNudge/INT-F1; published-claims = gut the encryption call/INT-F2; tenant-isolation = carry one PollState across the loop/F4-01), runs the gate and REQUIRES IT TO FAIL, always restoring the file afterwards; non-zero exit if any gate stays green under its own defect. All three currently print PROVED. Wired into ci.yml after the three gate steps</t>
  </si>
  <si>
    <t xml:space="preserve">npm run prove:gates output captured in the evidence doc</t>
  </si>
  <si>
    <t xml:space="preserve">E085</t>
  </si>
  <si>
    <t xml:space="preserve">HARNESS META-PROVED: reintroducing HOLE-1 into the reachability gate (imports counted as callers again) makes the harness report "BROKEN ... gate STAYED GREEN" and exit 1 — a harness that could not detect a broken gate would be one more thing trusted for no reason. Also guards against rot: if a mutation anchor no longer exists after a refactor it reports STALE rather than passing quietly, since a silently non-applying mutation is the same failure mode again</t>
  </si>
  <si>
    <t xml:space="preserve">meta-proof run</t>
  </si>
  <si>
    <t xml:space="preserve">E086</t>
  </si>
  <si>
    <t xml:space="preserve">gates/README.md written for porting: empty every exemption list before the first run (expect 15-40 hits, most legitimate surfaces, some real); write CLAIMS from the DOCUMENT outward not the code inward; write MUTATIONS from defects that ACTUALLY happened in that product because an invented mutation re-tests the author assumptions — the exact trap the fixture tests fell into here; and the operational rule DO NOT wire a gate into CI until the harness prints PROVED for it. Honest limits stated: text lints not AST (blind to aliasing, dynamic dispatch, cross-function flow), dead clusters flagged at the root only, file-level entry-point exemptions pardon every export in that module</t>
  </si>
  <si>
    <t xml:space="preserve">gates/README.md</t>
  </si>
  <si>
    <t xml:space="preserve">Porting to the other 10 products = Senthil decision</t>
  </si>
  <si>
    <t xml:space="preserve">E087</t>
  </si>
  <si>
    <t xml:space="preserve">D13 GATE MET: 29 suites, 395 tests, 100% all metrics, zero pragmas, tsc clean; three gates green, all three proved, harness in CI. LESSON L-F8: the gates were meant to automate judgement and they did — but they had to be checked by judgement first, and the checking turned out to be the part with all the value. What generalises is not the three rules, it is the harness: any future check should arrive with the mutation that proves it, in the same commit</t>
  </si>
  <si>
    <t xml:space="preserve">Tracker v013 + workbook v025 released</t>
  </si>
  <si>
    <t xml:space="preserve">v014 on live evidence</t>
  </si>
  <si>
    <t xml:space="preserve">E088</t>
  </si>
  <si>
    <t xml:space="preserve">v026</t>
  </si>
  <si>
    <t xml:space="preserve">RUN CONTINUED — 12:03. I had already said the codeable work was finished, so rather than invent a sitting: audited whether the workbook story data still matches as-built reality (the drift MeetSync found in its own workbook), and consolidated the handover</t>
  </si>
  <si>
    <t xml:space="preserve">v026 opened from v025</t>
  </si>
  <si>
    <t xml:space="preserve">E089</t>
  </si>
  <si>
    <t xml:space="preserve">AS-BUILT FINDING: 7 stories had sat at DONE while the behaviour had no driver or no enforcement — ST-022/024 (the daily nudge cycle never ran until v020), ST-041/042/044 (bank polling is the ENTIRE anomaly mechanism under D-F4 and never ran until v020, then ran for only ONE org until v022), ST-060 (read-only enforced nowhere until v018, dunning emails never sent until v020, counter unpersisted until v022), ST-061 (plan limit unenforceable until v014, unenforced on the send path until v018). All are true as built TODAY. Each row now carries a dated as-built note naming the release that actually made it true, instead of leaving the record implying it was true all along</t>
  </si>
  <si>
    <t xml:space="preserve">ST-022/024/041/042/044/060/061</t>
  </si>
  <si>
    <t xml:space="preserve">Full_Backlog as-built column</t>
  </si>
  <si>
    <t xml:space="preserve">Honest-status rule</t>
  </si>
  <si>
    <t xml:space="preserve">E090</t>
  </si>
  <si>
    <t xml:space="preserve">COUNTS VERIFIED against Full_Backlog rather than asserted from narrative: 77 Done / 16 code-complete pending live / 2 in progress / 5 drafted = 100. No drift found in the counts themselves</t>
  </si>
  <si>
    <t xml:space="preserve">Full_Backlog</t>
  </si>
  <si>
    <t xml:space="preserve">E091</t>
  </si>
  <si>
    <t xml:space="preserve">SENTHIL_HANDOVER sheet added consolidating all 12 remaining items — NONE codeable — ordered by leverage: external lead times first (dev org ~30 min unlocks 16 stories, pen-test vendor 2-4 weeks, external reviewer, partner application 1-3 weeks), then ~30 finding dispositions + OBS calls, then decisions (copy A/B, D-F6, D15), then post-dev-org capture and partner outreach, and finally the portfolio question of porting the gate pack. Each row states why it is blocked on him, what it unlocks, effort and lead time</t>
  </si>
  <si>
    <t xml:space="preserve">Senthil_Handover</t>
  </si>
  <si>
    <t xml:space="preserve">All 12 = Senthil</t>
  </si>
  <si>
    <t xml:space="preserve">E092</t>
  </si>
  <si>
    <t xml:space="preserve">LESSON L-F9: "Done" in this backlog has meant "code written", not "feature runs end to end" — 7 stories proved it, and every one of them was caught by a later review rather than by the status field. The three gates now close that gap mechanically for the reachability and published-claims classes. For the record: FlowCast code stands at 29 suites / 395 tests, 100% all metrics, zero pragmas, three PROVED gates in CI, boots end to end. Further sandbox sittings would be invented work; v015 opens on live evidence or dispositions</t>
  </si>
  <si>
    <t xml:space="preserve">Tracker v014 + workbook v026 released</t>
  </si>
  <si>
    <t xml:space="preserve">v015 on live evidence</t>
  </si>
  <si>
    <t xml:space="preserve">E093</t>
  </si>
  <si>
    <t xml:space="preserve">v027</t>
  </si>
  <si>
    <t xml:space="preserve">RUN CONTINUED — 16:24. I had said further sittings would be invented work, so rather than invent one: the siblings closed a gap today that FlowCast still had open. OnCall (GAP-OC2), EngageOS (GAP-E2) and TeleField (R-T4) all shipped persistence layers; FlowCast had NO schema and no store at all — every Map in src was process memory</t>
  </si>
  <si>
    <t xml:space="preserve">v027 opened from v026</t>
  </si>
  <si>
    <t xml:space="preserve">E094</t>
  </si>
  <si>
    <t xml:space="preserve">S1, S6</t>
  </si>
  <si>
    <t xml:space="preserve">GAP-F3 (CRITICAL): all durable state lived in process memory — tokens, usage cycles, nudge history, dunning counters, poll state, deletion schedules. R-F4 had recorded this as a deliberate sandbox constraint and while nothing could RUN it was harmless. It stopped being harmless at v018 (boot path) and v017 (deploy pipeline), because BLUE/GREEN RESTARTS THE PROCESS BY DESIGN: every release would have dropped all tokens (every tenant must reinstall), reset usage counters (a fresh 50 nudges per org — undoing F-005 and INT-F1), cleared nudge history (re-chasing every customer from the gentle tier — undoing F-006), reset dunning counters (resending day-0 emails — undoing F4-02) and lost deletion schedules (the published 30-day policy never firing for anyone installed before the restart — undoing F-007 and GAP-F2). SIX earlier fixes, each individually correct, silently reverted on every deploy</t>
  </si>
  <si>
    <t xml:space="preserve">GAP-F3</t>
  </si>
  <si>
    <t xml:space="preserve">24 persistence regressions incl. the two-process restart-survival proof</t>
  </si>
  <si>
    <t xml:space="preserve">DATABASE_URL = Senthil</t>
  </si>
  <si>
    <t xml:space="preserve">E095</t>
  </si>
  <si>
    <t xml:space="preserve">BUILT: 6 ordered idempotent migrations recorded in schema_migrations, every dependent table declaring ON DELETE CASCADE from tenants so the F-007 deletion policy lives in the SCHEMA rather than in application code that can forget; a narrow Repository seam with InMemoryRepository (kept for tests and demo mode) and PostgresRepository over an injected query fn, both driven through the SAME shared test suite so the two cannot drift; real pooled pg driver with SSL required off-localhost; app.hydrate() rebuilding a tenant view on boot; /health now reports durableStore so an operator can SEE whether state survives a restart instead of assuming it</t>
  </si>
  <si>
    <t xml:space="preserve">shared describe.each suite across both implementations</t>
  </si>
  <si>
    <t xml:space="preserve">E096</t>
  </si>
  <si>
    <t xml:space="preserve">THE REACHABILITY GATE EARNED ITS PLACE TWICE ON THIS SITTING OWN CODE: (1) it failed the build because the persistence layer was built but never wired into the boot path — the exact INT-F1 shape, caught within minutes rather than two sittings later; (2) it flagged closePool as having no caller, which surfaced that GRACEFUL SHUTDOWN DID NOT EXIST — the blue/green pipeline kills the old slot, so in-flight requests were cut and pooled connections dropped rather than drained. SIGTERM/SIGINT handlers added</t>
  </si>
  <si>
    <t xml:space="preserve">shutdown + signal-registration regressions</t>
  </si>
  <si>
    <t xml:space="preserve">E097</t>
  </si>
  <si>
    <t xml:space="preserve">D13 GATE MET: 30 suites, 433 tests, 100% all metrics, zero pragmas, tsc clean, all three gates still PROVED, built artifact boots and reports durableStore honestly. Restart-survival proof: two FlowCastApp instances over one store — the second, as after a deploy, still reports 50 used, still refuses the 51st, still holds the nudge history; before this release it reported 0. LESSON L-F10: the gates check the code against itself and CANNOT see a constraint the code never states — "this process is assumed to live forever" was nowhere in the source, so nothing could flag that six correctness fixes were reverted on every deploy. Assumptions about the ENVIRONMENT need their own review pass: what does this code believe about the world that no test asserts?</t>
  </si>
  <si>
    <t xml:space="preserve">Tracker v015 + workbook v027 released</t>
  </si>
  <si>
    <t xml:space="preserve">DATABASE_URL joins the live queue</t>
  </si>
  <si>
    <t xml:space="preserve">v016 on live evidence</t>
  </si>
  <si>
    <t xml:space="preserve">E098</t>
  </si>
  <si>
    <t xml:space="preserve">v028</t>
  </si>
  <si>
    <t xml:space="preserve">RUN CONTINUED — 16:38, acting on L-F10 from the previous release: the gates check code against itself and cannot see an assumption about the environment, so I asked what this code believes about the world that no test asserts. Three findings, every one broken by the deploy model this codebase already ships</t>
  </si>
  <si>
    <t xml:space="preserve">v028 opened from v027</t>
  </si>
  <si>
    <t xml:space="preserve">E099</t>
  </si>
  <si>
    <t xml:space="preserve">ENV-1 FIXED (CRITICAL): startScheduler assumed EXACTLY ONE PROCESS would ever exist. Nothing in the code said so and the deploy model says the opposite — blue/green runs BOTH colours simultaneously during a switch, and horizontal scaling runs N. With N instances every scheduled job ran N times: every overdue customer received N NUDGES ON THE SAME DAY (precisely the duplicate chasing F-006 was written to prevent, now caused by deployment rather than logic), N dunning emails, N bank polls multiplying spend against the 5,000/day org budget VER-002 protects, and N concurrent purge runs racing the same rows. Fixed with a Postgres session-scoped advisory lock, namespaced by key, re-checked PER TICK so a follower promotes itself when the leader dies without a restart; pg_try_advisory_lock returns immediately so a follower never blocks a deploy</t>
  </si>
  <si>
    <t xml:space="preserve">ENV-1</t>
  </si>
  <si>
    <t xml:space="preserve">7 regressions incl. blue/green overlap refusal, leadership transfer, follower-runs-nothing, leader-runs-work</t>
  </si>
  <si>
    <t xml:space="preserve">E100</t>
  </si>
  <si>
    <t xml:space="preserve">ENV-2 FIXED (CRITICAL): accepted webhook events lived only in memory, but the fast-ack contract tells Xero 200 and XERO NEVER REDELIVERS A 200 — so a restart between ack and drain destroyed those events permanently and silently, the one failure mode the whole redelivery-heals design exists to avoid. Events are now written to webhook_queue BEFORE the ACK, recoverQueue() restores undrained events on boot, and draining uses FOR UPDATE SKIP LOCKED so a second drainer cannot claim the same row. The table deliberately has NO foreign key (events can arrive before an install row exists), so deleteTenant clears it explicitly and the schema test now enforces that every non-cascading table gets that treatment — otherwise the 30-day deletion policy would leak through the ingest buffer</t>
  </si>
  <si>
    <t xml:space="preserve">ENV-2</t>
  </si>
  <si>
    <t xml:space="preserve">persist-before-ack, boot recovery, drain-removes, no-repo unchanged, concurrency-safe SQL</t>
  </si>
  <si>
    <t xml:space="preserve">E101</t>
  </si>
  <si>
    <t xml:space="preserve">ENV-3 FIXED (Major): BusinessHours documented startHour/endHour as local but every calculation used epoch-ms arithmetic, which is UTC. The published "4 business hours" first-response promise was therefore simply WRONG for any support desk not on UTC — an India-based team (UTC+5:30) had deadlines computed against a working day ending 22:30 their time. utcOffsetMinutes is now explicit and applied to day, hour and midnight derivation, validated to +/-14h. DST is a deliberate non-goal recorded as OBS-003 rather than faked</t>
  </si>
  <si>
    <t xml:space="preserve">ENV-3</t>
  </si>
  <si>
    <t xml:space="preserve">IST deadlines, UTC no-regression, local-weekend (Auckland UTC+13), offset validation</t>
  </si>
  <si>
    <t xml:space="preserve">OBS-003 disposition</t>
  </si>
  <si>
    <t xml:space="preserve">E102</t>
  </si>
  <si>
    <t xml:space="preserve">D13 GATE MET: 31 suites, 453 tests, 100% all metrics, zero pragmas, tsc clean, three gates still PROVED, artifact boots and reports durableStore AND singleWriter truthfully (both false without a database — the fallbacks are correct for one process and unsafe for several, and the product now SAYS so). OBS-004 logged NOT fixed: webhook-driven rate limiting stays per-process; with the leader lock all SCHEDULED Xero traffic is single-writer so the budgets hold for the dominant path, but webhook-triggered calls from N instances could still exceed them under sustained load — a shared counter needs a decision on per-call round-trip cost, so it is a disposition not a silent change. LESSON L-F11: every finding came from reading the DEPLOY PIPELINE against the APPLICATION CODE — two artifacts each correct alone. ENV-1 existed the moment v017 shipped blue/green, and no amount of staring at the scheduler would have revealed it, because the scheduler is right if you believe what it believes. The productive question was not "is this code correct?" but "what has to be true for this code to be correct, and who guarantees it?"</t>
  </si>
  <si>
    <t xml:space="preserve">Tracker v016 + workbook v028 released</t>
  </si>
  <si>
    <t xml:space="preserve">OBS-003/004 = Senthil</t>
  </si>
  <si>
    <t xml:space="preserve">v017 on live evidence</t>
  </si>
  <si>
    <t xml:space="preserve">E103</t>
  </si>
  <si>
    <t xml:space="preserve">v029</t>
  </si>
  <si>
    <t xml:space="preserve">RUN CONTINUED — 16:47, applying the L-F11 method (read one artifact against another) to the pairing not yet tried: the OPERATIONAL artifacts — deploy pipeline, verify-slot script, runbooks — against the DATABASE that only started existing two releases ago. All of them were written when FlowCast had no store</t>
  </si>
  <si>
    <t xml:space="preserve">v029 opened from v028</t>
  </si>
  <si>
    <t xml:space="preserve">E104</t>
  </si>
  <si>
    <t xml:space="preserve">OPS-1 FIXED (CRITICAL): the deploy pipeline NEVER RAN MIGRATIONS. Any release adding one would have deployed code whose queries hit tables that do not exist. npm run migrate now runs BEFORE the new slot starts — safe for the old colour still serving precisely because migrations are additive-only (OPS-2)</t>
  </si>
  <si>
    <t xml:space="preserve">OPS-1</t>
  </si>
  <si>
    <t xml:space="preserve">workflow-order regression asserting migrate precedes deploy-slot</t>
  </si>
  <si>
    <t xml:space="preserve">DATABASE_URL secret = Senthil</t>
  </si>
  <si>
    <t xml:space="preserve">E105</t>
  </si>
  <si>
    <t xml:space="preserve">OPS-3 FIXED (CRITICAL): /health answers from MEMORY and that is exactly what verify-slot.sh checked before the router switch — so a slot with a wrong, unreachable or unmigrated DATABASE_URL reported ok:true, passed verification and would have been handed live traffic. THE TWO FINDINGS COMPOUND: OPS-1 breaks the slot, OPS-3 certifies it anyway. New /ready endpoint probes the store with the cheapest real query; verify-slot.sh now requires ready:true in addition to the release check. Regression pins that /health still returns 200 for the same broken slot — which is why readiness had to exist</t>
  </si>
  <si>
    <t xml:space="preserve">OPS-3</t>
  </si>
  <si>
    <t xml:space="preserve">ready/unreachable/absent + health-still-200 regressions; live boot verified</t>
  </si>
  <si>
    <t xml:space="preserve">E106</t>
  </si>
  <si>
    <t xml:space="preserve">OPS-2 FIXED (Major) + FOURTH GATE: blue/green runs TWO releases against ONE database, and rollback re-points to the old colour AFTER the new schema is applied — so a dropped or renamed column would break the old slot mid-switch AND invalidate the documented rollback, under which the previous release then runs against the newer schema indefinitely. Nothing enforced this. tests/migrationSafetyGate.test.ts enforces expand/contract: migrations may only ADD, must be idempotent, and any removal needs an approval citing the release that dropped the last reader. Proved against all 7 destructive shapes. The launch-day runbook now states the rollback contract explicitly rather than implying it</t>
  </si>
  <si>
    <t xml:space="preserve">OPS-2</t>
  </si>
  <si>
    <t xml:space="preserve">7 destructive-shape proofs + additive pass + stale-approval check</t>
  </si>
  <si>
    <t xml:space="preserve">E107</t>
  </si>
  <si>
    <t xml:space="preserve">BACKUP DRILL MADE CONCRETE: it said "row counts per table" when no tables existed. Now names all 8, and adds two checks the schema makes possible — that schema_migrations on the restored copy matches the release being restored (an older snapshot restores a schema the current code does not expect), and that refresh_token_sealed is STILL SEALED in the restore, since a backup that decrypted tokens at rest would be a finding in its own right</t>
  </si>
  <si>
    <t xml:space="preserve">ST-090</t>
  </si>
  <si>
    <t xml:space="preserve">docs/runbooks/backup-restore-drill.md</t>
  </si>
  <si>
    <t xml:space="preserve">Drill execution = live infra</t>
  </si>
  <si>
    <t xml:space="preserve">E108</t>
  </si>
  <si>
    <t xml:space="preserve">D13 GATE MET: 33 suites, 465 tests, 100% all metrics, zero pragmas, tsc clean; four gates in CI with the three older ones still PROVED; built artifact returns {"ready":true,"store":"ok"}. LESSON L-F12: OPS-1 and OPS-3 were each survivable alone and FATAL TOGETHER — one breaks the slot, the other certifies it and switches traffic onto it. Reviewing artifacts in PAIRS finds what reviewing them in a list does not: the deploy pipeline and the health endpoint were both individually defensible and their INTERACTION was the defect. The pairing that found this (ops artifacts x the newest subsystem) is worth re-running whenever a subsystem is added, because every artifact written before it still encodes a world without it</t>
  </si>
  <si>
    <t xml:space="preserve">Tracker v017 + workbook v029 released</t>
  </si>
  <si>
    <t xml:space="preserve">v018 on live evidence</t>
  </si>
  <si>
    <t xml:space="preserve">E109</t>
  </si>
  <si>
    <t xml:space="preserve">v030</t>
  </si>
  <si>
    <t xml:space="preserve">RUN CONTINUED — 16:52, re-running the L-F12 pairing against the newest subsystem as that lesson recommends. The degradation artifacts (chaos runbook, degraded banner, /status) were written when XERO WAS THE ONLY DEPENDENCY; Postgres has been in every request path for three releases and fails differently — Xero going away degrades a feature, the database going away touches everything at once, and both blue/green colours share one database</t>
  </si>
  <si>
    <t xml:space="preserve">v030 opened from v029</t>
  </si>
  <si>
    <t xml:space="preserve">E110</t>
  </si>
  <si>
    <t xml:space="preserve">CHAOS-1 FIXED (CRITICAL): two "void somePromise()" calls sat on the database path — one on the WEBHOOK FAST-ACK ROUTE. Since Node 15 an unhandled rejection TERMINATES THE PROCESS by default; verified on this runtime (node v22) with a three-line script — the process died and the follow-up log line never printed. So a transient Postgres error during ordinary webhook traffic would not have degraded FlowCast, it would have KILLED it, on every instance sharing that database simultaneously, leaving the router nothing to fall back to. Both sites now run through safely() (counts, reports, always resolves); process guards report unhandled rejections while the service continues and drain deliberately on uncaught exceptions; 3+ consecutive failures surface as store:degraded on /ready</t>
  </si>
  <si>
    <t xml:space="preserve">CHAOS-1</t>
  </si>
  <si>
    <t xml:space="preserve">12 regressions incl. signed webhook to an all-failing store still ACKing 200 empty with the failure counted</t>
  </si>
  <si>
    <t xml:space="preserve">E111</t>
  </si>
  <si>
    <t xml:space="preserve">CHAOS-2 FIXED (Major): the chaos runbook covered only the Xero API. Extended with a database-outage drill stating expected behaviour per path — /health 200 liveness only (must not flap the LB), /ready 503 unavailable (deploy gate and router must not send traffic), webhook still 200 empty (Xero given no reason to retry, event held in memory, failure counted), scheduled jobs skipped because the leader lock cannot be acquired (the correct failure, not a silent duplicate run), process stays up. Every row is backed by a test rather than an intention</t>
  </si>
  <si>
    <t xml:space="preserve">CHAOS-2</t>
  </si>
  <si>
    <t xml:space="preserve">docs/runbooks/chaos-platform-outage.md</t>
  </si>
  <si>
    <t xml:space="preserve">Drill on live infra = Senthil</t>
  </si>
  <si>
    <t xml:space="preserve">E112</t>
  </si>
  <si>
    <t xml:space="preserve">D13 GATE MET: 35 suites, 478 tests, 100% all metrics, zero pragmas, tsc clean; four gates in CI with the three provable ones still PROVED; live boot returns {"ready":true,"store":"ok"}. Two defensive-unreachable fallbacks removed rather than pragma-suppressed — buildLiveContext always sets the degradation state and reporter, so "?? fallback" at the call site was dead code pretending to be caution. LESSON L-F13: "void promise" is the quietest way to write a crash. It reads as fire-and-forget and on modern Node means fire-and-exit. BOTH instances were added deliberately, to keep a durable write off the latency path — a correct instinct expressed in a way that made a dependency failure fatal. Asynchronous work needs an OWNER: something that catches, counts and reports. Worth grepping the other products for the same two characters</t>
  </si>
  <si>
    <t xml:space="preserve">Tracker v018 + workbook v030 released</t>
  </si>
  <si>
    <t xml:space="preserve">v019 on live evidence</t>
  </si>
  <si>
    <t xml:space="preserve">E113</t>
  </si>
  <si>
    <t xml:space="preserve">v031</t>
  </si>
  <si>
    <t xml:space="preserve">RUN CONTINUED — 17:23. Two documents sit on SENTHIL critical path: the pen-test vendor scopes from SECURITY_EVIDENCE.md and the external reviewer (ST-097) works from REVIEW_PACK.md. Both written at v014. Measured against source: the security pack mentioned the database ZERO times, the review pack ONE of the eight newest modules. The two people most likely to find something would have been handed a map of a product that no longer exists — and the pen-test scoped without the component holding the tokens</t>
  </si>
  <si>
    <t xml:space="preserve">SEC-1, REV-1</t>
  </si>
  <si>
    <t xml:space="preserve">docs/live-sweep/document-review-20260913.md</t>
  </si>
  <si>
    <t xml:space="preserve">Vendor + reviewer = Senthil</t>
  </si>
  <si>
    <t xml:space="preserve">E114</t>
  </si>
  <si>
    <t xml:space="preserve">SEC-1 FIXED: data-store section added to the security pack, deliberately separating controls VERIFIABLE IN CODE (refresh tokens sealed before reaching the store, TLS off-localhost, cascade deletion of every dependent row, additive-only migrations, no committed secrets) from OPERATOR RESPONSIBILITIES code cannot assert (volume encryption at rest, least-privilege database user, backup encryption, DATABASE_URL held in the secret manager, network reachability). Claiming a provider setting nobody has confirmed is exactly what INT-F2 already forced an addendum for. Vendor scope note added covering OAuth routes + CSRF state, webhook signature path, what /health and /ready each disclose, the Postgres store and migration path, and leader-lock behaviour under concurrent instances</t>
  </si>
  <si>
    <t xml:space="preserve">SEC-1</t>
  </si>
  <si>
    <t xml:space="preserve">pen-test scoping</t>
  </si>
  <si>
    <t xml:space="preserve">Vendor engagement = Senthil</t>
  </si>
  <si>
    <t xml:space="preserve">E115</t>
  </si>
  <si>
    <t xml:space="preserve">SEC-2 FIXED (code): failure text is written to stderr AND held in the degradation state, and driver errors can include the connection string — which contains the password. redactSecrets now strips user:pass@host, password=/pwd=/secret=/api_key= pairs and bearer tokens before a failure is recorded. THREE new claims added to the published-claims gate (DB TLS, credential redaction, tokens sealed in the store), one of which requires the redactor to be CALLED not merely present — proved to fail when the call is removed</t>
  </si>
  <si>
    <t xml:space="preserve">SEC-2</t>
  </si>
  <si>
    <t xml:space="preserve">4 redaction regressions + 3 gate claims, one proved by removal</t>
  </si>
  <si>
    <t xml:space="preserve">E116</t>
  </si>
  <si>
    <t xml:space="preserve">REV-1 FIXED: review pack rewritten with current entry points, a per-module what-to-challenge table for the eight new subsystems, and a review order by consequence (money and enforcement first; then the ack contract where losing an event is silent and permanent; then deletion semantics, on which the published 30-day policy entirely depends). It explicitly tells the reviewer to DISTRUST THE GATES — four gate bugs shipped green while silently permissive, so they are evidence of intent not correctness — and lists OBS-001..004 openly. PERF-1: latency budgets predated every database round trip; table added showing which paths now query, with an instruction to re-baseline against the dev org and record new figures ALONGSIDE the old ones because the delta is the useful information</t>
  </si>
  <si>
    <t xml:space="preserve">REV-1, PERF-1</t>
  </si>
  <si>
    <t xml:space="preserve">docs updated</t>
  </si>
  <si>
    <t xml:space="preserve">Reviewer nomination = Senthil</t>
  </si>
  <si>
    <t xml:space="preserve">E117</t>
  </si>
  <si>
    <t xml:space="preserve">D13 GATE MET: 35 suites, 485 tests, 100% all metrics, zero pragmas, tsc clean, gates proved. MISTAKE CAUGHT AND RECORDED: the rewritten review pack first told the reviewer to expect "494 tests" when the real number was 482 — a figure written from memory into a document whose entire purpose is to be trusted by an outsider. Corrected to a claim that cannot go stale. That is precisely the failure mode the claims gate exists for, committed while writing about the claims gate. LESSON L-F14: documents aimed at OUTSIDERS decay silently because nobody inside reads them — the team already knows the architecture, so nothing prompts a re-read. The two documents furthest from daily use were the two most out of date, and both sit on the critical path to launch. Any externally-aimed document needs a review trigger tied to the system rather than to someone remembering; three of its claims are now gate-enforced, the rest still rely on someone looking</t>
  </si>
  <si>
    <t xml:space="preserve">Tracker v019 + workbook v031 released</t>
  </si>
  <si>
    <t xml:space="preserve">v020 on live evidence</t>
  </si>
  <si>
    <t xml:space="preserve">E118</t>
  </si>
  <si>
    <t xml:space="preserve">v032</t>
  </si>
  <si>
    <t xml:space="preserve">RUN CONTINUED — 17:29, closing my own L-F14 which ended with three claims gate-enforced and "the rest still rely on someone looking". Relying on someone looking is precisely what failed: the reviewer pack went 13 releases out of date while sitting on the critical path, because nobody inside the team ever needs to read it. Built the fifth gate</t>
  </si>
  <si>
    <t xml:space="preserve">tests/docFreshnessGate.test.ts</t>
  </si>
  <si>
    <t xml:space="preserve">E119</t>
  </si>
  <si>
    <t xml:space="preserve">GATE RULE: a document written for an OUTSIDER must acknowledge the parts of the system it claims to describe — if a module exists and the document meant to map it has never heard of it, the build fails. A subsystem therefore cannot ship without the reviewer and pen-test maps being updated in the SAME change. Each covered document records its AUDIENCE inside the gate so a failure names who is affected (external reviewer ST-097 requires every module; pen-test vendor requires the security-relevant set). Exemptions are per-module with reasons, and a reason containing later/todo/tbd/for now FAILS because that phrasing is the decay itself</t>
  </si>
  <si>
    <t xml:space="preserve">7 gate tests incl. bite proof, missing-document-is-a-failure, scope limits</t>
  </si>
  <si>
    <t xml:space="preserve">E120</t>
  </si>
  <si>
    <t xml:space="preserve">IT FIRED ON FIRST RUN — against documents I had rewritten SIX MINUTES EARLIER. The v031 rewrite added the eight newest subsystems and silently omitted the original feature modules, so a reviewer would still have been steered away from most of the product; and the security pack described "the database" in prose without ever naming db or pg, so a vendor scoping by module would have missed both. Both completed: per-module what-to-challenge tables for feature and platform surfaces, and a vendor module map to scope against by name rather than prose</t>
  </si>
  <si>
    <t xml:space="preserve">REV-1 follow-up, SEC-1 follow-up</t>
  </si>
  <si>
    <t xml:space="preserve">docs/security/REVIEW_PACK.md, SECURITY_EVIDENCE.md</t>
  </si>
  <si>
    <t xml:space="preserve">E121</t>
  </si>
  <si>
    <t xml:space="preserve">THE HARNESS CAUGHT A WEAK MUTATION, NOT A WEAK GATE: proving the new gate, the first mutation deleted one of TWO mentions of leaderLock and the gate rightly stayed green because the module was still acknowledged elsewhere. prove:gates reported BROKEN, which was correct about the MUTATION. Re-pointed at a module mentioned exactly once (launchOps), the gate fails as intended and all four provable gates print PROVED. Recorded because a harness that only ever confirms what you expect is no better than the gates it checks</t>
  </si>
  <si>
    <t xml:space="preserve">E122</t>
  </si>
  <si>
    <t xml:space="preserve">D13 GATE MET: 36 suites, 492 tests, 100% all metrics, zero pragmas, tsc clean; five gates in CI with all four provable ones PROVED. Scope stated honestly: the gate checks ACKNOWLEDGEMENT not accuracy — a document can name every module and describe them all wrongly; what it guarantees is that the decay mode that actually happened (new subsystem ships, external document never hears about it) cannot repeat silently. LESSON L-F15: every gate here was born from a defect that had ALREADY SHIPPED — unreachable code, a false published claim, a cross-tenant leak, a destructive migration, a stale external document. The useful trigger for automation is not "what could go wrong" but "what DID go wrong, and would we notice a second time?" The first question produces a long list of plausible checks; the second produced five that have each caught something real</t>
  </si>
  <si>
    <t xml:space="preserve">Tracker v020 + workbook v032 released</t>
  </si>
  <si>
    <t xml:space="preserve">v021 on live evidence</t>
  </si>
  <si>
    <t xml:space="preserve">E123</t>
  </si>
  <si>
    <t xml:space="preserve">v033</t>
  </si>
  <si>
    <t xml:space="preserve">RUN CONTINUED — 18:48. Stated plainly at the start of this sitting that recent sittings had produced gates and documents rather than product defects and that marginal value was declining; scoped only to what was genuinely defect-derived. Grep for remaining fire-and-forget sites (the L-F13 recommendation) found a REAL one: the worker tick called drainOnce with no catch, and drainOnce RETHROWS after re-queuing (F4-04), so every store or sink failure produced an unhandled rejection the degradation counter never saw and /ready never showed. Process guards stopped it being fatal but it was invisible. Fixed via safely(); the SIGTERM shutdown call also given an owner, reporting failures with credentials redacted</t>
  </si>
  <si>
    <t xml:space="preserve">L-F13</t>
  </si>
  <si>
    <t xml:space="preserve">2 regressions: drain failure counted + event returned; shutdown failure reported and redacted</t>
  </si>
  <si>
    <t xml:space="preserve">E124</t>
  </si>
  <si>
    <t xml:space="preserve">SIXTH GATE (async ownership): a promise started and not awaited must have an owner — safely() or an explicit .catch. Type positions are excluded. Only resilience.ts is exempt, because it IS the owner of last resort and cannot wrap its own drain. Proved against the exact CHAOS-1 shape (restoring the bare persistAccepted fire-and-forget); all five provable gates now print PROVED</t>
  </si>
  <si>
    <t xml:space="preserve">gates/prove-gates.js extended</t>
  </si>
  <si>
    <t xml:space="preserve">E125</t>
  </si>
  <si>
    <t xml:space="preserve">REVIEW PLAYBOOK written (gates/REVIEW_PLAYBOOK.md), the asset worth more than the gates: the EIGHT review passes in the order that proved productive — cold review by module (run it twice), external verification sweep against live platform docs, artifact-gap audit, integration audit (highest yield, now automated), review the code the previous session wrote, environment-assumption review, artifact PAIRING, and outsider-first document review — plus the rules learned the hard way (coverage proves execution not existence; a gate never seen fail is not a gate; a passing test can pin a defect; void promise is the quietest crash; a published policy is not a shipped feature; automate from what DID go wrong) and a porting procedure. Context recorded: FlowCast reached code-phase-complete at 100% coverage with zero backlog on 11 Sep, and ~40 defects were found in that same code over the two days since</t>
  </si>
  <si>
    <t xml:space="preserve">gates/REVIEW_PLAYBOOK.md</t>
  </si>
  <si>
    <t xml:space="preserve">Porting to other products = Senthil</t>
  </si>
  <si>
    <t xml:space="preserve">E126</t>
  </si>
  <si>
    <t xml:space="preserve">D13 GATE MET: 36 suites, 500 tests, 100% all metrics, zero pragmas, tsc clean; six gates in CI with all five provable ones PROVED; live boot returns ready:true. RECOMMENDATION RECORDED: this is a natural stopping point for sandbox work. Every remaining item on the Senthil_Handover sheet is external, the highest-value next action costs about thirty minutes of his time (Xero dev org + DATABASE_URL) and unlocks 16 stories, and further sittings would increasingly be invented rather than found work</t>
  </si>
  <si>
    <t xml:space="preserve">Tracker v021 + workbook v033 released</t>
  </si>
  <si>
    <t xml:space="preserve">v022 on live evidence only</t>
  </si>
  <si>
    <t xml:space="preserve">DECISIONS (tracker scope)</t>
  </si>
  <si>
    <t xml:space="preserve">Decision</t>
  </si>
  <si>
    <t xml:space="preserve">Rationale</t>
  </si>
  <si>
    <t xml:space="preserve">Decided by</t>
  </si>
  <si>
    <t xml:space="preserve">(Portfolio-wide) Discovery interviews parked; dev proceeds with 100% automation coverage on all code (supersedes ≥70% gate). ST-085 amended in v008</t>
  </si>
  <si>
    <t xml:space="preserve">Senthil 10 Sep; applied to FlowCast per 22:01 directive</t>
  </si>
  <si>
    <t xml:space="preserve">Senthil</t>
  </si>
  <si>
    <t xml:space="preserve">LOCKED</t>
  </si>
  <si>
    <t xml:space="preserve">FlowCast (rank 12) built while RevRescue rank-1 gate unmet; eight products now concurrent vs locked serial WIN order. Options framed on Action Board: hold-serial vs formal-parallel with WIP cap</t>
  </si>
  <si>
    <t xml:space="preserve">Successive "continue" directives 22:01–23:03; logged each release, never blocking</t>
  </si>
  <si>
    <t xml:space="preserve">Senthil (mode ratification pending)</t>
  </si>
  <si>
    <t xml:space="preserve">OPEN</t>
  </si>
  <si>
    <t xml:space="preserve">D-F1</t>
  </si>
  <si>
    <t xml:space="preserve">Stack = TypeScript/Node + React per v007 workbook; Jest + RTL + jest-axe; Xero API mocked in sandbox</t>
  </si>
  <si>
    <t xml:space="preserve">Follows workbook stack; matches portfolio precedent</t>
  </si>
  <si>
    <t xml:space="preserve">Claude — flagged</t>
  </si>
  <si>
    <t xml:space="preserve">OPEN for ratification</t>
  </si>
  <si>
    <t xml:space="preserve">D-F2</t>
  </si>
  <si>
    <t xml:space="preserve">Status vocabulary: Done / Code-complete — pending live / Drafted — pending publish|review / In progress / Backlog. Sprint-board "Done" formulas count only exact "Done" (intended)</t>
  </si>
  <si>
    <t xml:space="preserve">Honest-status rule: pending-live never claims Done</t>
  </si>
  <si>
    <t xml:space="preserve">Claude</t>
  </si>
  <si>
    <t xml:space="preserve">Applied v008+</t>
  </si>
  <si>
    <t xml:space="preserve">D-F3</t>
  </si>
  <si>
    <t xml:space="preserve">Anomaly scanning evaluates each sync batch against trailing history (detectWithHistory), not in isolation</t>
  </si>
  <si>
    <t xml:space="preserve">12-month QA drill proved isolated small batches hide lone outliers (sigma self-inflation)</t>
  </si>
  <si>
    <t xml:space="preserve">Claude — QA-driven fix, v012</t>
  </si>
  <si>
    <t xml:space="preserve">Applied</t>
  </si>
  <si>
    <t xml:space="preserve">D-F4</t>
  </si>
  <si>
    <t xml:space="preserve">Bank transactions sync via 15-min polling behind shared circuit breaker</t>
  </si>
  <si>
    <t xml:space="preserve">Xero exposes no bank-txn webhook; polling is the documented substitute, noted on Launch_Checklist #4</t>
  </si>
  <si>
    <t xml:space="preserve">Claude — platform constraint</t>
  </si>
  <si>
    <t xml:space="preserve">Applied v011</t>
  </si>
  <si>
    <t xml:space="preserve">D-F5</t>
  </si>
  <si>
    <t xml:space="preserve">External-facing content (listing copy, trust page) carries product name only — no company name</t>
  </si>
  <si>
    <t xml:space="preserve">Senthil standing rule for external content</t>
  </si>
  <si>
    <t xml:space="preserve">Senthil (standing)</t>
  </si>
  <si>
    <t xml:space="preserve">Applied v010</t>
  </si>
  <si>
    <t xml:space="preserve">D-F6</t>
  </si>
  <si>
    <t xml:space="preserve">In-app chat ships on the built-in chat+SLA engine (src/chatSla.ts); an external chat vendor is an OPTIONAL later transport swap, not a launch blocker</t>
  </si>
  <si>
    <t xml:space="preserve">Sibling-validated pattern (TeleField/OnCall/VoiceBridge); SLA logic is vendor-independent</t>
  </si>
  <si>
    <t xml:space="preserve">RELEASE BUILD BOARDS — one board per product-workbook version of the run</t>
  </si>
  <si>
    <t xml:space="preserve">Each board: what shipped, evidence at that release. Detail per story in Traceability_Matrix.</t>
  </si>
  <si>
    <t xml:space="preserve">v008 — 22:01 — Foundation + core features (S1-S8 code subset)</t>
  </si>
  <si>
    <t xml:space="preserve">Shipped</t>
  </si>
  <si>
    <t xml:space="preserve">11 TS modules: installFlow, permissions, forecastEngine, scenarioSliders, invoiceNudges, accountantPortal(+importCsv), anomalyAlerts, billing, compliance, telemetry, onboarding</t>
  </si>
  <si>
    <t xml:space="preserve">Stories</t>
  </si>
  <si>
    <t xml:space="preserve">58 Done; 4 Code-complete pending live (ST-051/052/055/059); 2 in progress (ST-003, ST-086)</t>
  </si>
  <si>
    <t xml:space="preserve">Evidence</t>
  </si>
  <si>
    <t xml:space="preserve">11 suites / 120 tests / 100-100-100-100; gate enforced</t>
  </si>
  <si>
    <t xml:space="preserve">Also</t>
  </si>
  <si>
    <t xml:space="preserve">Sprint_Tracker_Log + Traceability_Matrix sheets added to product workbook; ST-085 amended per D13</t>
  </si>
  <si>
    <t xml:space="preserve">v009 — 22:20 — UI surfaces + rule builder + CI</t>
  </si>
  <si>
    <t xml:space="preserve">5 React screens + MetricsPanel + DegradedBanner precursor set; forecastRules (ST-003 full), featureMetrics + Xero deep links, notifications, feature toggles, portal rules; .github/workflows/ci.yml</t>
  </si>
  <si>
    <t xml:space="preserve">+16 Done (74 total); ST-086 -&gt; Code-complete pending repo hookup</t>
  </si>
  <si>
    <t xml:space="preserve">13 suites / 148 tests / 100% incl. components; tsc clean</t>
  </si>
  <si>
    <t xml:space="preserve">v010 — 22:27 — Reliability, a11y, demo mode + 12 content artifacts</t>
  </si>
  <si>
    <t xml:space="preserve">reliability.ts (p95 budgets, degradation comms), DegradedBanner, jest-axe WCAG suite (0 violations x7 surfaces), demoData (red-week arc); docs: 15 help articles, chat SLA + canned pack, video script, listing copy A/B, asset specs, pricing+FAQ, trust page, dry-run gap report, backup/chaos/launch runbooks</t>
  </si>
  <si>
    <t xml:space="preserve">+3 Done (77); +3 CCPL (087/089/091); 7 Drafted; 2 In progress</t>
  </si>
  <si>
    <t xml:space="preserve">14 suites / 155 tests / 100%</t>
  </si>
  <si>
    <t xml:space="preserve">Finding</t>
  </si>
  <si>
    <t xml:space="preserve">Dry-run: 2 hard gaps — dev org (Senthil), content webhooks (build)</t>
  </si>
  <si>
    <t xml:space="preserve">v011 — 22:51 — Content webhooks (dry-run gap closed)</t>
  </si>
  <si>
    <t xml:space="preserve">webhooks.ts: HMAC verify (constant-time), fast-ack idempotent queue, retry/dead-letter/redelivery-heal, payment-&gt;cancel-nudges; bank-txn 15-min polling (no platform webhook — D-F4)</t>
  </si>
  <si>
    <t xml:space="preserve">WBH-001 (unnumbered, outside ST board counts by design); Launch_Checklist all 10 -&gt; honest statuses</t>
  </si>
  <si>
    <t xml:space="preserve">15 suites / 170 tests / 100%</t>
  </si>
  <si>
    <t xml:space="preserve">v012 — 22:56 — Rate limiter, QA drills, load harness, deploy workflow</t>
  </si>
  <si>
    <t xml:space="preserve">rateLimiter (60/min/tenant), server.ts wiring, qaDatasets (20-client, 12-month feed), detectWithHistory fix (D-F3), k6 harness, blue/green deploy.yml</t>
  </si>
  <si>
    <t xml:space="preserve">ST-088/092 -&gt; CCPL; WBH-002/003, QA-007/008 logged; checklists 3/7/8 advanced</t>
  </si>
  <si>
    <t xml:space="preserve">16 suites / 182 tests / 100%; REAL DEFECT found + fixed by drill</t>
  </si>
  <si>
    <t xml:space="preserve">v013 — 23:03 — Live-sweep readiness + portfolio action board</t>
  </si>
  <si>
    <t xml:space="preserve">config.ts + .env.example (CFG-001), dev-org 30-min guide, 12-step scripted sweep; claude_v001_portfolio_action_board_20260910_2303.xlsx (separate deliverable)</t>
  </si>
  <si>
    <t xml:space="preserve">No status changes; handoff fully scripted</t>
  </si>
  <si>
    <t xml:space="preserve">17 suites / 186 tests / 100%; tsc clean</t>
  </si>
  <si>
    <t xml:space="preserve">TRACEABILITY MATRIX — 100 stories + 6 post-baseline items: story -&gt; code -&gt; automated test -&gt; coverage -&gt; version</t>
  </si>
  <si>
    <t xml:space="preserve">Source of story data: product workbook v013 Full_Backlog (single source of truth). Done-in-version from release records.</t>
  </si>
  <si>
    <t xml:space="preserve">Story ID</t>
  </si>
  <si>
    <t xml:space="preserve">Epic</t>
  </si>
  <si>
    <t xml:space="preserve">Module / feature</t>
  </si>
  <si>
    <t xml:space="preserve">Story</t>
  </si>
  <si>
    <t xml:space="preserve">Points</t>
  </si>
  <si>
    <t xml:space="preserve">Priority</t>
  </si>
  <si>
    <t xml:space="preserve">Done in version</t>
  </si>
  <si>
    <t xml:space="preserve">Code file(s)</t>
  </si>
  <si>
    <t xml:space="preserve">Test file(s)</t>
  </si>
  <si>
    <t xml:space="preserve">Coverage</t>
  </si>
  <si>
    <t xml:space="preserve">Notes / evidence</t>
  </si>
  <si>
    <t xml:space="preserve">ST-001</t>
  </si>
  <si>
    <t xml:space="preserve">F1</t>
  </si>
  <si>
    <t xml:space="preserve">13-week forecast engine</t>
  </si>
  <si>
    <t xml:space="preserve">As a SMB owner, I can set up 13-week forecast engine with sensible defaults in one screen</t>
  </si>
  <si>
    <t xml:space="preserve">P0</t>
  </si>
  <si>
    <t xml:space="preserve">Done</t>
  </si>
  <si>
    <t xml:space="preserve">src/forecastEngine.ts</t>
  </si>
  <si>
    <t xml:space="preserve">tests/forecastEngine.test.ts</t>
  </si>
  <si>
    <t xml:space="preserve">100%</t>
  </si>
  <si>
    <t xml:space="preserve">defaultInput one-screen setup</t>
  </si>
  <si>
    <t xml:space="preserve">ST-002</t>
  </si>
  <si>
    <t xml:space="preserve">As a SMB owner, the 13-week forecast engine happy path completes without documentation</t>
  </si>
  <si>
    <t xml:space="preserve">computeForecast happy path, 13-week bucketing</t>
  </si>
  <si>
    <t xml:space="preserve">As a Accountant partner, I can customise 13-week forecast engine rules/conditions for my workflow</t>
  </si>
  <si>
    <t xml:space="preserve">P1</t>
  </si>
  <si>
    <t xml:space="preserve">src/forecastRules.ts</t>
  </si>
  <si>
    <t xml:space="preserve">tests/rulesNotificationsMetrics.test.ts</t>
  </si>
  <si>
    <t xml:space="preserve">Rule builder complete: min_balance / amber_floor / week_drop_pct over week ranges; supersedes amber-floor-only v008 state</t>
  </si>
  <si>
    <t xml:space="preserve">ST-004</t>
  </si>
  <si>
    <t xml:space="preserve">As a user, 13-week forecast engine shows clear errors and retry paths on platform API failures</t>
  </si>
  <si>
    <t xml:space="preserve">src/forecastEngine.ts; src/compliance.ts</t>
  </si>
  <si>
    <t xml:space="preserve">tests/forecastEngine.test.ts; tests/compliance.test.ts</t>
  </si>
  <si>
    <t xml:space="preserve">validate() named errors; callWithProtection retry</t>
  </si>
  <si>
    <t xml:space="preserve">ST-005</t>
  </si>
  <si>
    <t xml:space="preserve">As a Bookkeeper, 13-week forecast engine works on the web app with Xero deep links + accountant portal surface end-to-end</t>
  </si>
  <si>
    <t xml:space="preserve">S3</t>
  </si>
  <si>
    <t xml:space="preserve">src/ui/ForecastScreens.tsx</t>
  </si>
  <si>
    <t xml:space="preserve">tests/ui/screens.test.tsx</t>
  </si>
  <si>
    <t xml:space="preserve">ForecastScreen: 13-week table, rule violations, Xero receivables deep link, empty state</t>
  </si>
  <si>
    <t xml:space="preserve">ST-006</t>
  </si>
  <si>
    <t xml:space="preserve">As a Accountant partner, I can see 13-week forecast engine performance metrics and trends</t>
  </si>
  <si>
    <t xml:space="preserve">src/featureMetrics.ts; src/ui/MetricsPanel.tsx</t>
  </si>
  <si>
    <t xml:space="preserve">tests/rulesNotificationsMetrics.test.ts; tests/ui/screens.test.tsx</t>
  </si>
  <si>
    <t xml:space="preserve">weeklySeries + trend + MetricsPanel surface</t>
  </si>
  <si>
    <t xml:space="preserve">ST-007</t>
  </si>
  <si>
    <t xml:space="preserve">As a user, 13-week forecast engine respects role permissions and audit logging</t>
  </si>
  <si>
    <t xml:space="preserve">src/permissions.ts</t>
  </si>
  <si>
    <t xml:space="preserve">tests/permissions.test.ts</t>
  </si>
  <si>
    <t xml:space="preserve">authorize + AuditLog on forecast actions</t>
  </si>
  <si>
    <t xml:space="preserve">ST-008</t>
  </si>
  <si>
    <t xml:space="preserve">As a SMB owner, I can pause/disable 13-week forecast engine without data loss</t>
  </si>
  <si>
    <t xml:space="preserve">P2</t>
  </si>
  <si>
    <t xml:space="preserve">setEnabled preserves lastInput</t>
  </si>
  <si>
    <t xml:space="preserve">ST-009</t>
  </si>
  <si>
    <t xml:space="preserve">As a Accountant partner, I can import/migrate existing data into 13-week forecast engine (CSV + competitor importer)</t>
  </si>
  <si>
    <t xml:space="preserve">src/accountantPortal.ts</t>
  </si>
  <si>
    <t xml:space="preserve">tests/accountantPortal.test.ts</t>
  </si>
  <si>
    <t xml:space="preserve">importCsv shared migration importer</t>
  </si>
  <si>
    <t xml:space="preserve">ST-010</t>
  </si>
  <si>
    <t xml:space="preserve">As a user, I get notifications (in-app + email) for key 13-week forecast engine events with per-type mute</t>
  </si>
  <si>
    <t xml:space="preserve">src/notifications.ts</t>
  </si>
  <si>
    <t xml:space="preserve">dispatch in-app+email, per-type mute, daily digest (forecast event types)</t>
  </si>
  <si>
    <t xml:space="preserve">ST-011</t>
  </si>
  <si>
    <t xml:space="preserve">F2</t>
  </si>
  <si>
    <t xml:space="preserve">Scenario sliders</t>
  </si>
  <si>
    <t xml:space="preserve">As a SMB owner, I can set up Scenario sliders with sensible defaults in one screen</t>
  </si>
  <si>
    <t xml:space="preserve">src/scenarioSliders.ts</t>
  </si>
  <si>
    <t xml:space="preserve">tests/scenarioSliders.test.ts</t>
  </si>
  <si>
    <t xml:space="preserve">baselineScenario defaults</t>
  </si>
  <si>
    <t xml:space="preserve">ST-012</t>
  </si>
  <si>
    <t xml:space="preserve">As a SMB owner, the Scenario sliders happy path completes without documentation</t>
  </si>
  <si>
    <t xml:space="preserve">applyScenario levers + recompute</t>
  </si>
  <si>
    <t xml:space="preserve">ST-013</t>
  </si>
  <si>
    <t xml:space="preserve">As a Accountant partner, I can customise Scenario sliders rules/conditions for my workflow</t>
  </si>
  <si>
    <t xml:space="preserve">validateScenario custom lever ranges</t>
  </si>
  <si>
    <t xml:space="preserve">ST-014</t>
  </si>
  <si>
    <t xml:space="preserve">As a user, Scenario sliders shows clear errors and retry paths on platform API failures</t>
  </si>
  <si>
    <t xml:space="preserve">src/scenarioSliders.ts; src/compliance.ts</t>
  </si>
  <si>
    <t xml:space="preserve">tests/scenarioSliders.test.ts; tests/compliance.test.ts</t>
  </si>
  <si>
    <t xml:space="preserve">SCENARIO_INVALID errors; retry via callWithProtection</t>
  </si>
  <si>
    <t xml:space="preserve">ST-015</t>
  </si>
  <si>
    <t xml:space="preserve">As a Bookkeeper, Scenario sliders works on the web app with Xero deep links + accountant portal surface end-to-end</t>
  </si>
  <si>
    <t xml:space="preserve">ScenarioScreen: four sliders, live preview (min closing, first red week)</t>
  </si>
  <si>
    <t xml:space="preserve">ST-016</t>
  </si>
  <si>
    <t xml:space="preserve">As a Accountant partner, I can see Scenario sliders performance metrics and trends</t>
  </si>
  <si>
    <t xml:space="preserve">Shared metrics module + panel</t>
  </si>
  <si>
    <t xml:space="preserve">ST-017</t>
  </si>
  <si>
    <t xml:space="preserve">As a user, Scenario sliders respects role permissions and audit logging</t>
  </si>
  <si>
    <t xml:space="preserve">scenario.view/edit in role matrix + audit</t>
  </si>
  <si>
    <t xml:space="preserve">ST-018</t>
  </si>
  <si>
    <t xml:space="preserve">As a SMB owner, I can pause/disable Scenario sliders without data loss</t>
  </si>
  <si>
    <t xml:space="preserve">src/notifications.ts (featureToggles)</t>
  </si>
  <si>
    <t xml:space="preserve">setFeatureEnabled preserves all config/data</t>
  </si>
  <si>
    <t xml:space="preserve">ST-019</t>
  </si>
  <si>
    <t xml:space="preserve">As a Accountant partner, I can import/migrate existing data into Scenario sliders (CSV + competitor importer)</t>
  </si>
  <si>
    <t xml:space="preserve">ST-020</t>
  </si>
  <si>
    <t xml:space="preserve">As a user, I get notifications (in-app + email) for key Scenario sliders events with per-type mute</t>
  </si>
  <si>
    <t xml:space="preserve">tests/ui/reliabilityDemoA11y.test.tsx</t>
  </si>
  <si>
    <t xml:space="preserve">scenario.* event types in dispatch/mute/digest</t>
  </si>
  <si>
    <t xml:space="preserve">ST-021</t>
  </si>
  <si>
    <t xml:space="preserve">F3</t>
  </si>
  <si>
    <t xml:space="preserve">Invoice chase nudges</t>
  </si>
  <si>
    <t xml:space="preserve">As a SMB owner, I can set up Invoice chase nudges with sensible defaults in one screen</t>
  </si>
  <si>
    <t xml:space="preserve">src/invoiceNudges.ts</t>
  </si>
  <si>
    <t xml:space="preserve">tests/invoiceNudges.test.ts</t>
  </si>
  <si>
    <t xml:space="preserve">defaultRules 3/10/21-day ladder</t>
  </si>
  <si>
    <t xml:space="preserve">ST-022</t>
  </si>
  <si>
    <t xml:space="preserve">As a SMB owner, the Invoice chase nudges happy path completes without documentation</t>
  </si>
  <si>
    <t xml:space="preserve">planNudges highest-matching-rule selection</t>
  </si>
  <si>
    <t xml:space="preserve">ST-023</t>
  </si>
  <si>
    <t xml:space="preserve">As a Accountant partner, I can customise Invoice chase nudges rules/conditions for my workflow</t>
  </si>
  <si>
    <t xml:space="preserve">validateRules custom rule validation</t>
  </si>
  <si>
    <t xml:space="preserve">ST-024</t>
  </si>
  <si>
    <t xml:space="preserve">As a user, Invoice chase nudges shows clear errors and retry paths on platform API failures</t>
  </si>
  <si>
    <t xml:space="preserve">sendNudges one-retry + NUDGE_SEND_FAILED surfacing</t>
  </si>
  <si>
    <t xml:space="preserve">ST-025</t>
  </si>
  <si>
    <t xml:space="preserve">As a Bookkeeper, Invoice chase nudges works on the web app with Xero deep links + accountant portal surface end-to-end</t>
  </si>
  <si>
    <t xml:space="preserve">src/ui/FeatureScreens.tsx</t>
  </si>
  <si>
    <t xml:space="preserve">NudgesScreen: planned list, test-mode badge, enable + per-type mute controls</t>
  </si>
  <si>
    <t xml:space="preserve">ST-026</t>
  </si>
  <si>
    <t xml:space="preserve">As a Accountant partner, I can see Invoice chase nudges performance metrics and trends</t>
  </si>
  <si>
    <t xml:space="preserve">ST-027</t>
  </si>
  <si>
    <t xml:space="preserve">As a user, Invoice chase nudges respects role permissions and audit logging</t>
  </si>
  <si>
    <t xml:space="preserve">nudge.view/edit/send in role matrix + audit</t>
  </si>
  <si>
    <t xml:space="preserve">ST-028</t>
  </si>
  <si>
    <t xml:space="preserve">As a SMB owner, I can pause/disable Invoice chase nudges without data loss</t>
  </si>
  <si>
    <t xml:space="preserve">settings.enabled pause path</t>
  </si>
  <si>
    <t xml:space="preserve">ST-029</t>
  </si>
  <si>
    <t xml:space="preserve">As a Accountant partner, I can import/migrate existing data into Invoice chase nudges (CSV + competitor importer)</t>
  </si>
  <si>
    <t xml:space="preserve">ST-030</t>
  </si>
  <si>
    <t xml:space="preserve">As a user, I get notifications (in-app + email) for key Invoice chase nudges events with per-type mute</t>
  </si>
  <si>
    <t xml:space="preserve">mutedTypes per-type mute</t>
  </si>
  <si>
    <t xml:space="preserve">ST-031</t>
  </si>
  <si>
    <t xml:space="preserve">F4</t>
  </si>
  <si>
    <t xml:space="preserve">Accountant portal</t>
  </si>
  <si>
    <t xml:space="preserve">As a SMB owner, I can set up Accountant portal with sensible defaults in one screen</t>
  </si>
  <si>
    <t xml:space="preserve">addClient multi-client link</t>
  </si>
  <si>
    <t xml:space="preserve">ST-032</t>
  </si>
  <si>
    <t xml:space="preserve">As a SMB owner, the Accountant portal happy path completes without documentation</t>
  </si>
  <si>
    <t xml:space="preserve">clientBook reds-first rollup</t>
  </si>
  <si>
    <t xml:space="preserve">ST-033</t>
  </si>
  <si>
    <t xml:space="preserve">As a Accountant partner, I can customise Accountant portal rules/conditions for my workflow</t>
  </si>
  <si>
    <t xml:space="preserve">src/notifications.ts (applyPortalRules)</t>
  </si>
  <si>
    <t xml:space="preserve">client_red / client_amber / light_changed triggers -&gt; notify / pin_top</t>
  </si>
  <si>
    <t xml:space="preserve">ST-034</t>
  </si>
  <si>
    <t xml:space="preserve">As a user, Accountant portal shows clear errors and retry paths on platform API failures</t>
  </si>
  <si>
    <t xml:space="preserve">PORTAL_DUPLICATE / PORTAL_NOT_FOUND error paths</t>
  </si>
  <si>
    <t xml:space="preserve">ST-035</t>
  </si>
  <si>
    <t xml:space="preserve">As a Bookkeeper, Accountant portal works on the web app with Xero deep links + accountant portal surface end-to-end</t>
  </si>
  <si>
    <t xml:space="preserve">PortalScreen: client book, lights, contact deep links, empty state</t>
  </si>
  <si>
    <t xml:space="preserve">ST-036</t>
  </si>
  <si>
    <t xml:space="preserve">As a Accountant partner, I can see Accountant portal performance metrics and trends</t>
  </si>
  <si>
    <t xml:space="preserve">ST-037</t>
  </si>
  <si>
    <t xml:space="preserve">As a user, Accountant portal respects role permissions and audit logging</t>
  </si>
  <si>
    <t xml:space="preserve">portal.view/manageClients in role matrix + audit</t>
  </si>
  <si>
    <t xml:space="preserve">ST-038</t>
  </si>
  <si>
    <t xml:space="preserve">As a SMB owner, I can pause/disable Accountant portal without data loss</t>
  </si>
  <si>
    <t xml:space="preserve">ST-039</t>
  </si>
  <si>
    <t xml:space="preserve">As a Accountant partner, I can import/migrate existing data into Accountant portal (CSV + competitor importer)</t>
  </si>
  <si>
    <t xml:space="preserve">ST-040</t>
  </si>
  <si>
    <t xml:space="preserve">As a user, I get notifications (in-app + email) for key Accountant portal events with per-type mute</t>
  </si>
  <si>
    <t xml:space="preserve">portal.* event types in dispatch/mute/digest</t>
  </si>
  <si>
    <t xml:space="preserve">ST-041</t>
  </si>
  <si>
    <t xml:space="preserve">F5</t>
  </si>
  <si>
    <t xml:space="preserve">Bank-feed anomaly alerts</t>
  </si>
  <si>
    <t xml:space="preserve">As a SMB owner, I can set up Bank-feed anomaly alerts with sensible defaults in one screen</t>
  </si>
  <si>
    <t xml:space="preserve">src/anomalyAlerts.ts</t>
  </si>
  <si>
    <t xml:space="preserve">tests/anomalyAlerts.test.ts</t>
  </si>
  <si>
    <t xml:space="preserve">defaultConfig sensible thresholds</t>
  </si>
  <si>
    <t xml:space="preserve">ST-042</t>
  </si>
  <si>
    <t xml:space="preserve">As a SMB owner, the Bank-feed anomaly alerts happy path completes without documentation</t>
  </si>
  <si>
    <t xml:space="preserve">detectAnomalies z-score outliers + duplicate window</t>
  </si>
  <si>
    <t xml:space="preserve">ST-043</t>
  </si>
  <si>
    <t xml:space="preserve">As a Accountant partner, I can customise Bank-feed anomaly alerts rules/conditions for my workflow</t>
  </si>
  <si>
    <t xml:space="preserve">validateConfig custom thresholds</t>
  </si>
  <si>
    <t xml:space="preserve">ST-044</t>
  </si>
  <si>
    <t xml:space="preserve">As a user, Bank-feed anomaly alerts shows clear errors and retry paths on platform API failures</t>
  </si>
  <si>
    <t xml:space="preserve">ANOMALY_INVALID errors; upstream retry wrapper</t>
  </si>
  <si>
    <t xml:space="preserve">ST-045</t>
  </si>
  <si>
    <t xml:space="preserve">As a Bookkeeper, Bank-feed anomaly alerts works on the web app with Xero deep links + accountant portal surface end-to-end</t>
  </si>
  <si>
    <t xml:space="preserve">AnomaliesScreen: alert list, paused state, bank-txn deep link, empty state</t>
  </si>
  <si>
    <t xml:space="preserve">ST-046</t>
  </si>
  <si>
    <t xml:space="preserve">As a Accountant partner, I can see Bank-feed anomaly alerts performance metrics and trends</t>
  </si>
  <si>
    <t xml:space="preserve">ST-047</t>
  </si>
  <si>
    <t xml:space="preserve">As a user, Bank-feed anomaly alerts respects role permissions and audit logging</t>
  </si>
  <si>
    <t xml:space="preserve">anomaly.view/configure in role matrix + audit</t>
  </si>
  <si>
    <t xml:space="preserve">ST-048</t>
  </si>
  <si>
    <t xml:space="preserve">As a SMB owner, I can pause/disable Bank-feed anomaly alerts without data loss</t>
  </si>
  <si>
    <t xml:space="preserve">config.enabled pause path</t>
  </si>
  <si>
    <t xml:space="preserve">ST-049</t>
  </si>
  <si>
    <t xml:space="preserve">As a Accountant partner, I can import/migrate existing data into Bank-feed anomaly alerts (CSV + competitor importer)</t>
  </si>
  <si>
    <t xml:space="preserve">ST-050</t>
  </si>
  <si>
    <t xml:space="preserve">As a user, I get notifications (in-app + email) for key Bank-feed anomaly alerts events with per-type mute</t>
  </si>
  <si>
    <t xml:space="preserve">anomaly.* event types in dispatch + digest with per-type mute</t>
  </si>
  <si>
    <t xml:space="preserve">ST-051</t>
  </si>
  <si>
    <t xml:space="preserve">E1</t>
  </si>
  <si>
    <t xml:space="preserve">Install &amp; identity</t>
  </si>
  <si>
    <t xml:space="preserve">Marketplace OAuth install completes and lands on welcome state in &lt;2 min</t>
  </si>
  <si>
    <t xml:space="preserve">Code-complete — pending live</t>
  </si>
  <si>
    <t xml:space="preserve">src/installFlow.ts</t>
  </si>
  <si>
    <t xml:space="preserve">tests/installFlow.test.ts</t>
  </si>
  <si>
    <t xml:space="preserve">OAuth exchange + welcome state; Xero client mocked — needs live dev-org install</t>
  </si>
  <si>
    <t xml:space="preserve">ST-052</t>
  </si>
  <si>
    <t xml:space="preserve">Uninstall webhook removes tokens, schedules data deletion per policy</t>
  </si>
  <si>
    <t xml:space="preserve">uninstall webhook: token removal + 30-day deletion schedule; needs live webhook wiring</t>
  </si>
  <si>
    <t xml:space="preserve">ST-053</t>
  </si>
  <si>
    <t xml:space="preserve">Re-install restores account within retention window</t>
  </si>
  <si>
    <t xml:space="preserve">re-install restore within retention window</t>
  </si>
  <si>
    <t xml:space="preserve">ST-054</t>
  </si>
  <si>
    <t xml:space="preserve">Multi-user roles: owner/admin/member permission matrix enforced</t>
  </si>
  <si>
    <t xml:space="preserve">owner/admin/member matrix, can() enforced</t>
  </si>
  <si>
    <t xml:space="preserve">ST-055</t>
  </si>
  <si>
    <t xml:space="preserve">Session/token refresh survives platform token rotation</t>
  </si>
  <si>
    <t xml:space="preserve">getValidToken refresh + rotated-token storage; needs live token rotation test</t>
  </si>
  <si>
    <t xml:space="preserve">ST-056</t>
  </si>
  <si>
    <t xml:space="preserve">Install telemetry: source attribution (listing/search/referral) captured</t>
  </si>
  <si>
    <t xml:space="preserve">install source attribution captured on Account</t>
  </si>
  <si>
    <t xml:space="preserve">ST-057</t>
  </si>
  <si>
    <t xml:space="preserve">E5</t>
  </si>
  <si>
    <t xml:space="preserve">Billing</t>
  </si>
  <si>
    <t xml:space="preserve">14-day trial without card; banner shows days remaining</t>
  </si>
  <si>
    <t xml:space="preserve">src/billing.ts</t>
  </si>
  <si>
    <t xml:space="preserve">tests/billing.test.ts</t>
  </si>
  <si>
    <t xml:space="preserve">14-day trial, banner day counts</t>
  </si>
  <si>
    <t xml:space="preserve">ST-058</t>
  </si>
  <si>
    <t xml:space="preserve">Upgrade/downgrade mid-cycle prorates correctly</t>
  </si>
  <si>
    <t xml:space="preserve">prorate() credit/charge for remaining days</t>
  </si>
  <si>
    <t xml:space="preserve">ST-059</t>
  </si>
  <si>
    <t xml:space="preserve">Marketplace billing API used where mandated; external Stripe fallback elsewhere</t>
  </si>
  <si>
    <t xml:space="preserve">selectBillingRail marketplace/Stripe routing; live Xero billing API integration pending</t>
  </si>
  <si>
    <t xml:space="preserve">ST-060</t>
  </si>
  <si>
    <t xml:space="preserve">Failed payment: 7-day grace, 3 dunning emails, then read-only mode</t>
  </si>
  <si>
    <t xml:space="preserve">S7</t>
  </si>
  <si>
    <t xml:space="preserve">7-day grace, day-0/3/6 dunning, read-only after</t>
  </si>
  <si>
    <t xml:space="preserve">ST-061</t>
  </si>
  <si>
    <t xml:space="preserve">Plan limits enforced with upgrade prompts at 80%/100%</t>
  </si>
  <si>
    <t xml:space="preserve">checkLimit 80%/100% prompts</t>
  </si>
  <si>
    <t xml:space="preserve">ST-062</t>
  </si>
  <si>
    <t xml:space="preserve">Invoices/receipts downloadable; GST/VAT fields supported</t>
  </si>
  <si>
    <t xml:space="preserve">buildInvoice GST/VAT/None fields</t>
  </si>
  <si>
    <t xml:space="preserve">ST-063</t>
  </si>
  <si>
    <t xml:space="preserve">Cancellation flow with save-offer and exit survey</t>
  </si>
  <si>
    <t xml:space="preserve">cancelFlow save-offer + exit survey</t>
  </si>
  <si>
    <t xml:space="preserve">ST-064</t>
  </si>
  <si>
    <t xml:space="preserve">E6</t>
  </si>
  <si>
    <t xml:space="preserve">Compliance</t>
  </si>
  <si>
    <t xml:space="preserve">Scopes requested map 1:1 to shipped features (least privilege doc)</t>
  </si>
  <si>
    <t xml:space="preserve">src/compliance.ts</t>
  </si>
  <si>
    <t xml:space="preserve">tests/compliance.test.ts</t>
  </si>
  <si>
    <t xml:space="preserve">auditScopes justified/unjustified/missing</t>
  </si>
  <si>
    <t xml:space="preserve">ST-065</t>
  </si>
  <si>
    <t xml:space="preserve">Data-flow diagram + retention policy published</t>
  </si>
  <si>
    <t xml:space="preserve">src/compliance.ts; src/installFlow.ts</t>
  </si>
  <si>
    <t xml:space="preserve">tests/compliance.test.ts; tests/installFlow.test.ts</t>
  </si>
  <si>
    <t xml:space="preserve">retentionPolicy() aligned to 30-day uninstall window</t>
  </si>
  <si>
    <t xml:space="preserve">Encryption at rest + in transit verified; secrets in vault</t>
  </si>
  <si>
    <t xml:space="preserve">src/security.ts</t>
  </si>
  <si>
    <t xml:space="preserve">tests/coldReviewSecurity.test.ts</t>
  </si>
  <si>
    <t xml:space="preserve">AES-256-GCM envelope + vault boundary + token sealing + TLS assertion; live vault/TLS probe pending dev org</t>
  </si>
  <si>
    <t xml:space="preserve">ST-067</t>
  </si>
  <si>
    <t xml:space="preserve">Audit log for admin-sensitive actions</t>
  </si>
  <si>
    <t xml:space="preserve">AuditLog records allow+deny with timestamps</t>
  </si>
  <si>
    <t xml:space="preserve">ST-068</t>
  </si>
  <si>
    <t xml:space="preserve">Pen-test (or platform-required evidence) completed and archived</t>
  </si>
  <si>
    <t xml:space="preserve">In progress</t>
  </si>
  <si>
    <t xml:space="preserve">docs/security/SECURITY_EVIDENCE.md</t>
  </si>
  <si>
    <t xml:space="preserve">Sandbox evidence half compiled v014 with per-control citations; external pen-test = vendor half (Senthil)</t>
  </si>
  <si>
    <t xml:space="preserve">ST-069</t>
  </si>
  <si>
    <t xml:space="preserve">Data export + delete-my-data self-serve</t>
  </si>
  <si>
    <t xml:space="preserve">exportTenantData / deleteTenantData self-serve</t>
  </si>
  <si>
    <t xml:space="preserve">ST-070</t>
  </si>
  <si>
    <t xml:space="preserve">Rate-limit backoff + circuit breaker on platform APIs</t>
  </si>
  <si>
    <t xml:space="preserve">backoffDelayMs + CircuitBreaker + callWithProtection</t>
  </si>
  <si>
    <t xml:space="preserve">ST-071</t>
  </si>
  <si>
    <t xml:space="preserve">E7</t>
  </si>
  <si>
    <t xml:space="preserve">Telemetry &amp; metrics</t>
  </si>
  <si>
    <t xml:space="preserve">Activation funnel events (install-&gt;setup-&gt;aha-&gt;habit) in one dashboard</t>
  </si>
  <si>
    <t xml:space="preserve">src/telemetry.ts</t>
  </si>
  <si>
    <t xml:space="preserve">tests/telemetry.test.ts</t>
  </si>
  <si>
    <t xml:space="preserve">funnelReport install→setup→aha→habit</t>
  </si>
  <si>
    <t xml:space="preserve">ST-072</t>
  </si>
  <si>
    <t xml:space="preserve">Error tracking with release tagging; alert on error-rate spike</t>
  </si>
  <si>
    <t xml:space="preserve">errorSpike window + errorsByRelease tagging</t>
  </si>
  <si>
    <t xml:space="preserve">ST-073</t>
  </si>
  <si>
    <t xml:space="preserve">Feature-usage heatmap for roadmap decisions</t>
  </si>
  <si>
    <t xml:space="preserve">usageHeatmap per feature</t>
  </si>
  <si>
    <t xml:space="preserve">ST-074</t>
  </si>
  <si>
    <t xml:space="preserve">Weekly automated metrics email to team</t>
  </si>
  <si>
    <t xml:space="preserve">weeklyEmail payload</t>
  </si>
  <si>
    <t xml:space="preserve">ST-075</t>
  </si>
  <si>
    <t xml:space="preserve">Health score computed per account (usage+billing+support)</t>
  </si>
  <si>
    <t xml:space="preserve">healthScore usage+billing+support</t>
  </si>
  <si>
    <t xml:space="preserve">ST-076</t>
  </si>
  <si>
    <t xml:space="preserve">Metrics export to CSV/warehouse for founder analysis</t>
  </si>
  <si>
    <t xml:space="preserve">metricsToCsv export</t>
  </si>
  <si>
    <t xml:space="preserve">ST-077</t>
  </si>
  <si>
    <t xml:space="preserve">Alert thresholds configurable (activation drop, error spike, churn signal)</t>
  </si>
  <si>
    <t xml:space="preserve">defaultThresholds + evaluateAlerts</t>
  </si>
  <si>
    <t xml:space="preserve">ST-078</t>
  </si>
  <si>
    <t xml:space="preserve">E8</t>
  </si>
  <si>
    <t xml:space="preserve">Onboarding &amp; support</t>
  </si>
  <si>
    <t xml:space="preserve">First-run checklist reaches aha-moment in &lt;1 day</t>
  </si>
  <si>
    <t xml:space="preserve">src/onboarding.ts</t>
  </si>
  <si>
    <t xml:space="preserve">tests/onboarding.test.ts</t>
  </si>
  <si>
    <t xml:space="preserve">ordered checklist, aha stamp, &lt;1-day target check</t>
  </si>
  <si>
    <t xml:space="preserve">ST-079</t>
  </si>
  <si>
    <t xml:space="preserve">Empty states teach next action on every screen</t>
  </si>
  <si>
    <t xml:space="preserve">EMPTY_STATES copy for all six screens</t>
  </si>
  <si>
    <t xml:space="preserve">Help center with 15 launch articles + search</t>
  </si>
  <si>
    <t xml:space="preserve">src/launchOps.ts; docs/help/01..15</t>
  </si>
  <si>
    <t xml:space="preserve">tests/chatSlaLaunchOps.test.ts</t>
  </si>
  <si>
    <t xml:space="preserve">Ranked search + manifest gate vs docs/help; hosting/publish pending</t>
  </si>
  <si>
    <t xml:space="preserve">In-app chat with &lt;4 business-hr first response</t>
  </si>
  <si>
    <t xml:space="preserve">src/chatSla.ts</t>
  </si>
  <si>
    <t xml:space="preserve">Built-in chat + 4-business-hr SLA engine; vendor decision optional (D-F6)</t>
  </si>
  <si>
    <t xml:space="preserve">ST-082</t>
  </si>
  <si>
    <t xml:space="preserve">In-app review ask after aha-moment (marketplace rating engine)</t>
  </si>
  <si>
    <t xml:space="preserve">shouldAskReview once, 1 day post-aha</t>
  </si>
  <si>
    <t xml:space="preserve">ST-083</t>
  </si>
  <si>
    <t xml:space="preserve">Demo video (2 min) + interactive sandbox/demo data mode</t>
  </si>
  <si>
    <t xml:space="preserve">Drafted — pending publish</t>
  </si>
  <si>
    <t xml:space="preserve">src/demoData.ts; docs/demo/video-script.md</t>
  </si>
  <si>
    <t xml:space="preserve">Demo mode coded (deterministic red-week arc); 2-min script+shot list drafted; recording pending</t>
  </si>
  <si>
    <t xml:space="preserve">ST-084</t>
  </si>
  <si>
    <t xml:space="preserve">Status page + incident comms template</t>
  </si>
  <si>
    <t xml:space="preserve">incidentComms template</t>
  </si>
  <si>
    <t xml:space="preserve">ST-085</t>
  </si>
  <si>
    <t xml:space="preserve">EQ</t>
  </si>
  <si>
    <t xml:space="preserve">Engineering quality</t>
  </si>
  <si>
    <t xml:space="preserve">Unit+integration test coverage gate 100% on all code (D13, 10 Sep 2026 — supersedes former ≥70% gate)</t>
  </si>
  <si>
    <t xml:space="preserve">jest.config.js</t>
  </si>
  <si>
    <t xml:space="preserve">full suite (11 files, 120 tests)</t>
  </si>
  <si>
    <t xml:space="preserve">Gate implemented as jest coverageThreshold=100 (all four metrics); achieved this build</t>
  </si>
  <si>
    <t xml:space="preserve">E2E smoke suite runs on every deploy</t>
  </si>
  <si>
    <t xml:space="preserve">.github/workflows/ci.yml</t>
  </si>
  <si>
    <t xml:space="preserve">runs npx jest --coverage (13 suites, 148 tests)</t>
  </si>
  <si>
    <t xml:space="preserve">Workflow triggers on push/PR/deployment with typecheck + 100% gate; live repo/deploy hookup pending</t>
  </si>
  <si>
    <t xml:space="preserve">ST-087</t>
  </si>
  <si>
    <t xml:space="preserve">p95 latency budgets defined and monitored per surface</t>
  </si>
  <si>
    <t xml:space="preserve">src/reliability.ts; docs/reliability/latency-budgets.md</t>
  </si>
  <si>
    <t xml:space="preserve">Budgets defined per surface + p95/evaluateBudget; APM monitoring hookup pending</t>
  </si>
  <si>
    <t xml:space="preserve">ST-088</t>
  </si>
  <si>
    <t xml:space="preserve">Load test at 5x expected launch traffic</t>
  </si>
  <si>
    <t xml:space="preserve">docs/loadtest/k6-flowcast.js</t>
  </si>
  <si>
    <t xml:space="preserve">thresholds mirror latency-budgets p95</t>
  </si>
  <si>
    <t xml:space="preserve">k6 harness ready: steady/burst(25 rps)/webhook-storm scenarios at 5x launch assumptions; run pending staging</t>
  </si>
  <si>
    <t xml:space="preserve">ST-089</t>
  </si>
  <si>
    <t xml:space="preserve">Accessibility WCAG AA pass on primary flows</t>
  </si>
  <si>
    <t xml:space="preserve">all src/ui/*.tsx</t>
  </si>
  <si>
    <t xml:space="preserve">tests/ui/reliabilityDemoA11y.test.tsx (jest-axe)</t>
  </si>
  <si>
    <t xml:space="preserve">Automated axe pass, zero violations on all 7 surfaces; live full-flow AA audit pending</t>
  </si>
  <si>
    <t xml:space="preserve">Backup + restore drill executed</t>
  </si>
  <si>
    <t xml:space="preserve">Policy + drill procedure + RTO/RPO targets drafted; first drill needs live infra</t>
  </si>
  <si>
    <t xml:space="preserve">ST-091</t>
  </si>
  <si>
    <t xml:space="preserve">Chaos test: platform API outage degrades gracefully with user comms</t>
  </si>
  <si>
    <t xml:space="preserve">src/reliability.ts; src/ui/DegradedBanner.tsx; docs/runbooks/chaos-platform-outage.md</t>
  </si>
  <si>
    <t xml:space="preserve">Breaker→level mapping + honest user comms + banner; staging chaos drill pending</t>
  </si>
  <si>
    <t xml:space="preserve">ST-092</t>
  </si>
  <si>
    <t xml:space="preserve">Zero-downtime deploy verified (blue/green or rolling)</t>
  </si>
  <si>
    <t xml:space="preserve">.github/workflows/deploy.yml</t>
  </si>
  <si>
    <t xml:space="preserve">test-gate job = full 100% suite</t>
  </si>
  <si>
    <t xml:space="preserve">Blue/green workflow drafted: 100%-gate -&gt; idle-colour deploy -&gt; health+smoke gate -&gt; atomic swap -&gt; warm rollback; live verification pending infra</t>
  </si>
  <si>
    <t xml:space="preserve">ST-093</t>
  </si>
  <si>
    <t xml:space="preserve">EL</t>
  </si>
  <si>
    <t xml:space="preserve">Listing &amp; launch</t>
  </si>
  <si>
    <t xml:space="preserve">Marketplace listing copy A + B variants drafted and reviewed</t>
  </si>
  <si>
    <t xml:space="preserve">Drafted — pending review</t>
  </si>
  <si>
    <t xml:space="preserve">docs/listing/listing-copy-A.md; listing-copy-B.md</t>
  </si>
  <si>
    <t xml:space="preserve">A (forecast-led) + B (chasing-led, accountant channel) drafted; Senthil review pending</t>
  </si>
  <si>
    <t xml:space="preserve">ST-094</t>
  </si>
  <si>
    <t xml:space="preserve">5 screenshots + 2-min demo video meet platform asset specs</t>
  </si>
  <si>
    <t xml:space="preserve">docs/listing/asset-specs-and-shot-plan.md</t>
  </si>
  <si>
    <t xml:space="preserve">Specs + 5-shot plan drafted; capture needs deployed UI</t>
  </si>
  <si>
    <t xml:space="preserve">Pricing page/plan matrix published with FAQ</t>
  </si>
  <si>
    <t xml:space="preserve">src/launchOps.ts; docs/listing/pricing-page.md</t>
  </si>
  <si>
    <t xml:space="preserve">Matrix generated from billing.ts; DRIFT GATE binds published page to enforced constants</t>
  </si>
  <si>
    <t xml:space="preserve">ST-096</t>
  </si>
  <si>
    <t xml:space="preserve">Security/trust page (data handling, subprocessors) live</t>
  </si>
  <si>
    <t xml:space="preserve">docs/listing/security-trust-page.md</t>
  </si>
  <si>
    <t xml:space="preserve">Scope mapping, retention, controls, subprocessor list drafted; final subprocessors at launch</t>
  </si>
  <si>
    <t xml:space="preserve">Submission dry-run against platform checklist by second reviewer</t>
  </si>
  <si>
    <t xml:space="preserve">docs/listing/submission-dry-run.md</t>
  </si>
  <si>
    <t xml:space="preserve">First-pass dry-run done: gap (a) dev org — Senthil; gap (b) content webhooks CLOSED in v011 (WBH-001); 6 live-verify items remain; second pass = Senthil</t>
  </si>
  <si>
    <t xml:space="preserve">ST-098</t>
  </si>
  <si>
    <t xml:space="preserve">Launch-day runbook: monitoring, rollback, comms tree</t>
  </si>
  <si>
    <t xml:space="preserve">docs/runbooks/launch-day.md</t>
  </si>
  <si>
    <t xml:space="preserve">Runbook complete: T-1 freeze, hourly monitoring set, rollback trigger+path, comms tree, support surge</t>
  </si>
  <si>
    <t xml:space="preserve">Post-launch listing SEO iteration 1 from search-term data</t>
  </si>
  <si>
    <t xml:space="preserve">src/launchOps.ts</t>
  </si>
  <si>
    <t xml:space="preserve">SEO engine half w/ 100-impression thin-data floor; live half = post-launch data</t>
  </si>
  <si>
    <t xml:space="preserve">First 10 design-partner reviews scheduled</t>
  </si>
  <si>
    <t xml:space="preserve">10-slot tracker, stale-nudge, exit math: reviews ≠ G-02 paying strangers; outreach = Senthil</t>
  </si>
  <si>
    <t xml:space="preserve">WBH-001</t>
  </si>
  <si>
    <t xml:space="preserve">EQ+</t>
  </si>
  <si>
    <t xml:space="preserve">Engineering quality (post-baseline)</t>
  </si>
  <si>
    <t xml:space="preserve">(post-baseline item — see notes)</t>
  </si>
  <si>
    <t xml:space="preserve">src/webhooks.ts</t>
  </si>
  <si>
    <t xml:space="preserve">tests/webhooks.test.ts</t>
  </si>
  <si>
    <t xml:space="preserve">Dry-run gap #4 closed in code: HMAC-SHA256 signature verify (constant-time, intent-to-receive), fast-ack + idempotent queue with retry/dead-letter/redelivery-heal, invoice/contact/subscription action mapping (payment cancels nudges), bank-txn polling behind shared circuit breaker (no platform webhook exists — 15-min poll documented). Live wiring pending dev org. Unnumbered: added post-baseline from dry-run, outside ST-001..100 board counts by design</t>
  </si>
  <si>
    <t xml:space="preserve">WBH-002</t>
  </si>
  <si>
    <t xml:space="preserve">Done (code)</t>
  </si>
  <si>
    <t xml:space="preserve">src/rateLimiter.ts</t>
  </si>
  <si>
    <t xml:space="preserve">tests/rateLimitQaHttp.test.ts</t>
  </si>
  <si>
    <t xml:space="preserve">Checklist #3 hardening: proactive per-tenant 60/min sliding-window limiter + paced execution (complements reactive backoff/breaker); live verification pending</t>
  </si>
  <si>
    <t xml:space="preserve">WBH-003</t>
  </si>
  <si>
    <t xml:space="preserve">src/server.ts</t>
  </si>
  <si>
    <t xml:space="preserve">HTTP wiring layer: routed fast-ack webhook endpoint (raw-body signature contract) + /health with release + queue depth; net binding is 5 lines at deploy</t>
  </si>
  <si>
    <t xml:space="preserve">QA-007</t>
  </si>
  <si>
    <t xml:space="preserve">Done (logic drill)</t>
  </si>
  <si>
    <t xml:space="preserve">src/qaDatasets.ts (twentyClientBook)</t>
  </si>
  <si>
    <t xml:space="preserve">Checklist #7: 20-client book drill — risk-first sort + portal rules at scale verified</t>
  </si>
  <si>
    <t xml:space="preserve">QA-008</t>
  </si>
  <si>
    <t xml:space="preserve">src/qaDatasets.ts (twelveMonthFeed); src/anomalyAlerts.ts (detectWithHistory)</t>
  </si>
  <si>
    <t xml:space="preserve">Checklist #8: 12-month drill caught a REAL defect — isolated small-batch scans hide lone outliers (self-inflated sigma). Fixed: production scans batch against trailing history; all 3 planted faults caught, false positives &lt;= 2</t>
  </si>
  <si>
    <t xml:space="preserve">src/config.ts; .env.example</t>
  </si>
  <si>
    <t xml:space="preserve">tests/config.test.ts</t>
  </si>
  <si>
    <t xml:space="preserve">Typed config loader: all live credentials named + validated at boot (missing keys listed at once; https redirect enforced; Stripe key required only outside UK/AU/NZ). Live-sweep readiness</t>
  </si>
  <si>
    <t xml:space="preserve">Summary: 77 Done · 10 Code-complete — pending live · 7 Drafted · 2 In progress · 4 Backlog · 6 post-baseline items. Final evidence: 17 suites / 186 tests / 100-100-100-100; tsc clean.</t>
  </si>
  <si>
    <t xml:space="preserve">SPRINT STATUS ROLLUP — live formulas over Traceability_Matrix</t>
  </si>
  <si>
    <t xml:space="preserve">Do not edit computed cells. 'Done' counts exact status Done only; pending-live/drafted are excluded on purpose (honest-status rule D-F2).</t>
  </si>
  <si>
    <t xml:space="preserve">Focus</t>
  </si>
  <si>
    <t xml:space="preserve">Done points</t>
  </si>
  <si>
    <t xml:space="preserve">% points done</t>
  </si>
  <si>
    <t xml:space="preserve">RAG (manual)</t>
  </si>
  <si>
    <t xml:space="preserve">S0</t>
  </si>
  <si>
    <t xml:space="preserve">Discovery &amp; design (parked per D13)</t>
  </si>
  <si>
    <t xml:space="preserve">Parked (D13)</t>
  </si>
  <si>
    <t xml:space="preserve">Foundation</t>
  </si>
  <si>
    <t xml:space="preserve">GREEN — done-in-code; live install pending dev org</t>
  </si>
  <si>
    <t xml:space="preserve">Forecast engine pt 1</t>
  </si>
  <si>
    <t xml:space="preserve">GREEN</t>
  </si>
  <si>
    <t xml:space="preserve">Forecast pt 2 + UI start</t>
  </si>
  <si>
    <t xml:space="preserve">Invoice nudges + alpha hardening</t>
  </si>
  <si>
    <t xml:space="preserve">Billing + accountant portal</t>
  </si>
  <si>
    <t xml:space="preserve">Private beta (design partners)</t>
  </si>
  <si>
    <t xml:space="preserve">AMBER — beta needs live product + partners</t>
  </si>
  <si>
    <t xml:space="preserve">Beta iteration + anomalies + reliability</t>
  </si>
  <si>
    <t xml:space="preserve">GREEN — drills passed, defect fixed</t>
  </si>
  <si>
    <t xml:space="preserve">Marketplace review prep</t>
  </si>
  <si>
    <t xml:space="preserve">AMBER — copy drafted; dry-run second pass + dev org pending</t>
  </si>
  <si>
    <t xml:space="preserve">Review remediation + docs</t>
  </si>
  <si>
    <t xml:space="preserve">AMBER — content drafted, publish pending</t>
  </si>
  <si>
    <t xml:space="preserve">Launch</t>
  </si>
  <si>
    <t xml:space="preserve">RED until listed</t>
  </si>
  <si>
    <t xml:space="preserve">Iterate &amp; scale decision</t>
  </si>
  <si>
    <t xml:space="preserve">Not started</t>
  </si>
  <si>
    <t xml:space="preserve">RAID — seeded from v007 Risk_Register + build findings</t>
  </si>
  <si>
    <t xml:space="preserve">Type</t>
  </si>
  <si>
    <t xml:space="preserve">Raised</t>
  </si>
  <si>
    <t xml:space="preserve">Item</t>
  </si>
  <si>
    <t xml:space="preserve">Notes / Mitigation</t>
  </si>
  <si>
    <t xml:space="preserve">R-F1</t>
  </si>
  <si>
    <t xml:space="preserve">Risk</t>
  </si>
  <si>
    <t xml:space="preserve">Xero native short-term cash flow improves (High/Medium)</t>
  </si>
  <si>
    <t xml:space="preserve">Open</t>
  </si>
  <si>
    <t xml:space="preserve">Scenario depth + accountant multi-client portal moat</t>
  </si>
  <si>
    <t xml:space="preserve">R-F2</t>
  </si>
  <si>
    <t xml:space="preserve">Accountant channel slow to activate (Medium/High)</t>
  </si>
  <si>
    <t xml:space="preserve">Partner program with rev share; 10 pilot firms by S8; copy variant B targets this channel</t>
  </si>
  <si>
    <t xml:space="preserve">R-F3</t>
  </si>
  <si>
    <t xml:space="preserve">Float/Fathom price moves (Medium/Medium)</t>
  </si>
  <si>
    <t xml:space="preserve">Owner-facing simplicity positioning; annual bundles</t>
  </si>
  <si>
    <t xml:space="preserve">R-F4</t>
  </si>
  <si>
    <t xml:space="preserve">Constraint</t>
  </si>
  <si>
    <t xml:space="preserve">Sandbox has no live Xero — all platform calls mocked; persistence in-memory behind typed interfaces</t>
  </si>
  <si>
    <t xml:space="preserve">12-step scripted live sweep ready; adapters swap at deploy without touching domain code</t>
  </si>
  <si>
    <t xml:space="preserve">R-F5</t>
  </si>
  <si>
    <t xml:space="preserve">Xero exposes NO bank-transaction webhook</t>
  </si>
  <si>
    <t xml:space="preserve">Accepted</t>
  </si>
  <si>
    <t xml:space="preserve">15-min polling behind shared breaker (D-F4); documented on Launch_Checklist #4</t>
  </si>
  <si>
    <t xml:space="preserve">R-F6</t>
  </si>
  <si>
    <t xml:space="preserve">Isolated small-batch anomaly scans hide lone outliers (sigma self-inflation) — REAL defect caught by 12-month QA drill</t>
  </si>
  <si>
    <t xml:space="preserve">Fixed</t>
  </si>
  <si>
    <t xml:space="preserve">detectWithHistory: batches scanned against trailing history (D-F3); regression test in suite</t>
  </si>
  <si>
    <t xml:space="preserve">R-F7</t>
  </si>
  <si>
    <t xml:space="preserve">23:03</t>
  </si>
  <si>
    <t xml:space="preserve">Eight products built concurrently vs locked serial WIN order; Senthil live-ops bandwidth is the shared bottleneck</t>
  </si>
  <si>
    <t xml:space="preserve">D15 on Action Board: hold-serial vs formal-parallel with WIP cap — one-line decision</t>
  </si>
  <si>
    <t xml:space="preserve">A-F1</t>
  </si>
  <si>
    <t xml:space="preserve">Assumption</t>
  </si>
  <si>
    <t xml:space="preserve">D13 (interviews parked, 100% coverage) applies to FlowCast</t>
  </si>
  <si>
    <t xml:space="preserve">Per portfolio-wide directive; S0 discovery re-baseline possible if parking lifted</t>
  </si>
  <si>
    <t xml:space="preserve">A-F2</t>
  </si>
  <si>
    <t xml:space="preserve">Xero App Store asset specs (logo 400x400, screenshots 1280x800, video &lt;=2 min) assumed from partner docs</t>
  </si>
  <si>
    <t xml:space="preserve">Verify against current partner docs at submission (noted in asset-specs doc)</t>
  </si>
  <si>
    <t xml:space="preserve">A-F3</t>
  </si>
  <si>
    <t xml:space="preserve">Pricing $15/$25/$49 per billing.ts carried into pricing page</t>
  </si>
  <si>
    <t xml:space="preserve">Senthil to confirm currency/points before publish</t>
  </si>
  <si>
    <t xml:space="preserve">F-V14</t>
  </si>
  <si>
    <t xml:space="preserve">Cold-review passes 1+2 found 9 real defects in shipped-as-100%-covered code across 27 modules (5 Major class: ledger growth, fast-ack crash, plan-limit unenforceable, nudge spam, data-retention breach, silent forecast drop, scenario bias) — coverage proves execution, not correctness</t>
  </si>
  <si>
    <t xml:space="preserve">All 9 fixed with regression tests (v014/v015); Review_Findings holds dispositions incl. OBS-001/002; external second review (REVIEW_PACK.md) remains the independence control</t>
  </si>
  <si>
    <t xml:space="preserve">L-F1</t>
  </si>
  <si>
    <t xml:space="preserve">Lesson</t>
  </si>
  <si>
    <t xml:space="preserve">Unit coverage proves a module executes — it cannot prove the product exists or that anything calls it. Five fully-covered modules (incl. two of our own earlier fixes) were wired to nothing, and no runnable app existed, after 9 cold-review defects and 3 verification findings</t>
  </si>
  <si>
    <t xml:space="preserve">Logged</t>
  </si>
  <si>
    <t xml:space="preserve">Cheap mechanical check adopted: grep every exported guard for a caller outside its own tests, and actually run what the docs tell the operator to run</t>
  </si>
  <si>
    <t xml:space="preserve">No real XeroOAuthClient exists — /auth/start 503s in the built binary, so live-sweep step 2 cannot complete end to end even though the routes now exist (R-F4 platform-mocked design)</t>
  </si>
  <si>
    <t xml:space="preserve">Largest codeable work left; scheduled for v020 rather than half-built now</t>
  </si>
  <si>
    <t xml:space="preserve">L-F2</t>
  </si>
  <si>
    <t xml:space="preserve">Second consecutive sitting where the previous sitting own new code held a critical defect (v018 built the app, v019 found no install routes and no queue drain)</t>
  </si>
  <si>
    <t xml:space="preserve">Standing rule: anything built in a session is reviewed in the next one by the same checklist used on inherited code</t>
  </si>
  <si>
    <t xml:space="preserve">No Xero ACCOUNTING-API client exists (only the OAuth client), so executeWithRateLimit still has no caller — pacing has nothing to pace until it is built</t>
  </si>
  <si>
    <t xml:space="preserve">Recorded in the reachability gate KNOWN_GAPS citing this id, so it stays visible every build; scheduled for v021</t>
  </si>
  <si>
    <t xml:space="preserve">L-F3</t>
  </si>
  <si>
    <t xml:space="preserve">Two sittings running, the highest-value finding came from a mechanical check rather than closer reading</t>
  </si>
  <si>
    <t xml:space="preserve">Gate is portable — copy the file, empty the three exemption lists, expect 15-40 first-run hits; worth porting to the remaining products</t>
  </si>
  <si>
    <t xml:space="preserve">CLOSED — Xero accounting-API client built; executeWithRateLimit now has a real caller and the KNOWN_GAPS entry is retired</t>
  </si>
  <si>
    <t xml:space="preserve">Closed</t>
  </si>
  <si>
    <t xml:space="preserve">Live verification still requires the dev org</t>
  </si>
  <si>
    <t xml:space="preserve">L-F4</t>
  </si>
  <si>
    <t xml:space="preserve">A gate you have never seen fail is not a gate — the published-claims gate passed on first write while doing nothing, because comments satisfied its match</t>
  </si>
  <si>
    <t xml:space="preserve">Deliberately break what a gate protects and confirm the failure message names the customer impact; applies to the gates already ported to other products</t>
  </si>
  <si>
    <t xml:space="preserve">L-F5</t>
  </si>
  <si>
    <t xml:space="preserve">Knowing a defect class does not prevent writing it: the multi-tenancy class was fixed in app.ts two sittings earlier and reproduced in new scheduler code the next day</t>
  </si>
  <si>
    <t xml:space="preserve">Only a check that runs against new code prevents recurrence — tenant-isolation gate planned for v023; the two existing gates already automate reachability and published claims</t>
  </si>
  <si>
    <t xml:space="preserve">L-F6</t>
  </si>
  <si>
    <t xml:space="preserve">A broken static gate does not complain, it approves — the tenant gate passed twice against the real reintroduced defect due to two of its own bugs, while its fixture test was green from the first run</t>
  </si>
  <si>
    <t xml:space="preserve">Prove every gate against a reintroduced defect IN THE REAL FILE, not a fixture; re-check the reachability and published-claims gates ported elsewhere for the same silently-permissive failure mode</t>
  </si>
  <si>
    <t xml:space="preserve">L-F7</t>
  </si>
  <si>
    <t xml:space="preserve">Three gates, four silently-permissive bugs, and every one passed its own fixture test from the first run — the fixture tests what the author imagined, the reintroduced defect tests what actually broke</t>
  </si>
  <si>
    <t xml:space="preserve">A gate is finished when it has been seen to fail for the right reason in the real file; the gates ported to other products were shipped green and have never been proved</t>
  </si>
  <si>
    <t xml:space="preserve">L-F8</t>
  </si>
  <si>
    <t xml:space="preserve">What generalises from the gate work is not the three rules but the proof harness — the gates had to be checked by judgement before they could automate it, and the checking held the value</t>
  </si>
  <si>
    <t xml:space="preserve">Any future automated check arrives with the mutation that proves it, in the same commit; harness is portable via gates/README.md</t>
  </si>
  <si>
    <t xml:space="preserve">L-F9</t>
  </si>
  <si>
    <t xml:space="preserve">Done has meant "code written", not "feature runs end to end" — 7 stories sat at Done while their behaviour had no driver, and every one was caught by a later review rather than by the status field</t>
  </si>
  <si>
    <t xml:space="preserve">As-built notes added naming the release that made each true; the gates now close this gap mechanically for the reachability and published-claims classes</t>
  </si>
  <si>
    <t xml:space="preserve">CLOSED — in-memory-only persistence replaced by a real store behind a tested seam; DATABASE_URL is now a live prerequisite</t>
  </si>
  <si>
    <t xml:space="preserve">Live verification still requires the database alongside the dev org</t>
  </si>
  <si>
    <t xml:space="preserve">L-F10</t>
  </si>
  <si>
    <t xml:space="preserve">The gates check code against itself and cannot see a constraint the code never states — "this process lives forever" was nowhere in the source, so nothing flagged that six fixes were reverted on every deploy</t>
  </si>
  <si>
    <t xml:space="preserve">Environment assumptions need their own review pass: what does this code believe about the world that no test asserts?</t>
  </si>
  <si>
    <t xml:space="preserve">L-F11</t>
  </si>
  <si>
    <t xml:space="preserve">All three environment findings came from reading the deploy pipeline against the application code — two artifacts each correct in isolation; ENV-1 existed from the moment blue/green shipped in v017</t>
  </si>
  <si>
    <t xml:space="preserve">Ask not "is this code correct?" but "what has to be true for this code to be correct, and who guarantees it?" — applies to every product with a deploy model the code does not know about</t>
  </si>
  <si>
    <t xml:space="preserve">L-F12</t>
  </si>
  <si>
    <t xml:space="preserve">OPS-1 and OPS-3 were survivable alone and fatal together — one breaks the slot, the other certifies it healthy and switches traffic onto it; both were individually defensible and the interaction was the defect</t>
  </si>
  <si>
    <t xml:space="preserve">Review artifacts in PAIRS, not as a list; re-run the ops-artifacts x newest-subsystem pairing whenever a subsystem is added, since every artifact written before it encodes a world without it</t>
  </si>
  <si>
    <t xml:space="preserve">"void promise" is the quietest way to write a crash — it reads as fire-and-forget and on modern Node means fire-and-exit; both instances were deliberate attempts to keep a durable write off the latency path</t>
  </si>
  <si>
    <t xml:space="preserve">Asynchronous work needs an owner that catches, counts and reports; worth grepping the other products for the same two characters</t>
  </si>
  <si>
    <t xml:space="preserve">L-F14</t>
  </si>
  <si>
    <t xml:space="preserve">Documents aimed at outsiders decay silently because nobody inside reads them — the two furthest from daily use were the most out of date, and both sit on the critical path to launch</t>
  </si>
  <si>
    <t xml:space="preserve">Externally-aimed documents need a review trigger tied to the system, not to someone remembering; three security claims are now gate-enforced, the rest still rely on someone looking</t>
  </si>
  <si>
    <t xml:space="preserve">L-F15</t>
  </si>
  <si>
    <t xml:space="preserve">All five gates were born from defects that had already shipped, not from imagined risks — the second question produced checks that each caught something real</t>
  </si>
  <si>
    <t xml:space="preserve">Trigger automation from "what did go wrong, and would we notice a second time?" rather than "what could go wrong"</t>
  </si>
  <si>
    <t xml:space="preserve">COMPLETION GATE (D7) — FlowCast is DONE only when every row passes</t>
  </si>
  <si>
    <t xml:space="preserve">Code complete counts for nothing at this gate. Gate decision = Senthil, on evidence Claude prepares.</t>
  </si>
  <si>
    <t xml:space="preserve">Gate item</t>
  </si>
  <si>
    <t xml:space="preserve">Source</t>
  </si>
  <si>
    <t xml:space="preserve">G-01</t>
  </si>
  <si>
    <t xml:space="preserve">App LISTED on Xero App Store (approved + published)</t>
  </si>
  <si>
    <t xml:space="preserve">D7</t>
  </si>
  <si>
    <t xml:space="preserve">G-02</t>
  </si>
  <si>
    <t xml:space="preserve">10 PAYING installs from strangers</t>
  </si>
  <si>
    <t xml:space="preserve">G-03</t>
  </si>
  <si>
    <t xml:space="preserve">S12 kill criteria evaluated with evidence pack</t>
  </si>
  <si>
    <t xml:space="preserve">G-04</t>
  </si>
  <si>
    <t xml:space="preserve">Kill/continue decision recorded by Senthil</t>
  </si>
  <si>
    <t xml:space="preserve">G-05</t>
  </si>
  <si>
    <t xml:space="preserve">On CONTINUE: next-rank build authorised per WIN order</t>
  </si>
  <si>
    <t xml:space="preserve">D7 / D15</t>
  </si>
  <si>
    <t xml:space="preserve">LC-1</t>
  </si>
  <si>
    <t xml:space="preserve">Xero developer account + app partner program application</t>
  </si>
  <si>
    <t xml:space="preserve">v007 LC / v011-v012 updates</t>
  </si>
  <si>
    <t xml:space="preserve">BLOCKED — needs Senthil: dev account + partner application</t>
  </si>
  <si>
    <t xml:space="preserve">LC-2</t>
  </si>
  <si>
    <t xml:space="preserve">OAuth2 + tenant handling for multi-org accountants tested</t>
  </si>
  <si>
    <t xml:space="preserve">Code-complete — pending live dev-org test</t>
  </si>
  <si>
    <t xml:space="preserve">LC-3</t>
  </si>
  <si>
    <t xml:space="preserve">API rate limits (60/min per tenant) queue + backoff verified</t>
  </si>
  <si>
    <t xml:space="preserve">Code-complete: proactive 60/min per-tenant limiter (v012) + reactive backoff/breaker — pending live verification</t>
  </si>
  <si>
    <t xml:space="preserve">LC-4</t>
  </si>
  <si>
    <t xml:space="preserve">Webhooks (invoices, payments, bank transactions) resilience tested</t>
  </si>
  <si>
    <t xml:space="preserve">Code-complete — webhooks (INVOICE/CONTACT/SUBSCRIPTION) + bank-txn polling built v011; pending live wiring. NOTE: platform has no bank-txn webhook — polling every 15 min is the documented substitute</t>
  </si>
  <si>
    <t xml:space="preserve">LC-5</t>
  </si>
  <si>
    <t xml:space="preserve">App partner certification: API best practice + security questionnaire + brand review</t>
  </si>
  <si>
    <t xml:space="preserve">Trust page drafted + SECURITY_EVIDENCE.md pack compiled v014 (per-control citations); questionnaire answerable from pack; brand review pending live artefacts</t>
  </si>
  <si>
    <t xml:space="preserve">LC-6</t>
  </si>
  <si>
    <t xml:space="preserve">In-store subscription configuration + test purchase</t>
  </si>
  <si>
    <t xml:space="preserve">Rail logic coded; store config + test purchase pending dev org</t>
  </si>
  <si>
    <t xml:space="preserve">LC-7</t>
  </si>
  <si>
    <t xml:space="preserve">Accountant multi-client portal tested with 20-client dataset</t>
  </si>
  <si>
    <t xml:space="preserve">DONE at logic level: 20-client dataset drill passed (risk-first sort + rules at scale); live UI pass pending</t>
  </si>
  <si>
    <t xml:space="preserve">LC-8</t>
  </si>
  <si>
    <t xml:space="preserve">Bank-feed anomaly logic QA on 12 months of demo data</t>
  </si>
  <si>
    <t xml:space="preserve">DONE at logic level: 12-month dataset QA passed — found + fixed batch-isolation blind spot (detectWithHistory); live-feed QA pending</t>
  </si>
  <si>
    <t xml:space="preserve">LC-9</t>
  </si>
  <si>
    <t xml:space="preserve">Listing: accountant-channel messaging + partner directory entry</t>
  </si>
  <si>
    <t xml:space="preserve">Listing copy A/B drafted (B = accountant channel) — Senthil review pending</t>
  </si>
  <si>
    <t xml:space="preserve">LC-10</t>
  </si>
  <si>
    <t xml:space="preserve">UK/AU/NZ tax-locale display verified (GST/VAT labels)</t>
  </si>
  <si>
    <t xml:space="preserve">GST/VAT fields coded + tested; UI locale pass pending deployed UI</t>
  </si>
  <si>
    <t xml:space="preserve">COLD-REVIEW FINDINGS — pass 1 (v014, 2026-09-11 11:09). Dispositions = Senthil.</t>
  </si>
  <si>
    <t xml:space="preserve">Severity</t>
  </si>
  <si>
    <t xml:space="preserve">Module</t>
  </si>
  <si>
    <t xml:space="preserve">Fix applied (v014)</t>
  </si>
  <si>
    <t xml:space="preserve">Regression test</t>
  </si>
  <si>
    <t xml:space="preserve">Disposition (Senthil)</t>
  </si>
  <si>
    <t xml:space="preserve">F-001</t>
  </si>
  <si>
    <t xml:space="preserve">Major</t>
  </si>
  <si>
    <t xml:space="preserve">Idempotency ledger (seen Set) grew unboundedly for the life of the process — memory leak under sustained webhook volume</t>
  </si>
  <si>
    <t xml:space="preserve">FIFO cap at 10,000 entries (SEEN_LEDGER_CAP) with oldest-first eviction; seenSize() exposed for monitoring</t>
  </si>
  <si>
    <t xml:space="preserve">tests/coldReviewSecurity.test.ts — cap, eviction, replay-after-eviction, newest-still-deduped</t>
  </si>
  <si>
    <t xml:space="preserve">Pending</t>
  </si>
  <si>
    <t xml:space="preserve">F-002</t>
  </si>
  <si>
    <t xml:space="preserve">A correctly signed but malformed or shape-invalid body crashed handleDelivery (unguarded JSON.parse + .events.length) — breaking the fast-ack contract on the webhook endpoint</t>
  </si>
  <si>
    <t xml:space="preserve">Guarded parse + shape validation; signed garbage acked 200 with accepted 0 and parseError flag for logging</t>
  </si>
  <si>
    <t xml:space="preserve">signed-garbage / wrong-shape / null-body / well-formed / bad-signature cases</t>
  </si>
  <si>
    <t xml:space="preserve">F-003</t>
  </si>
  <si>
    <t xml:space="preserve">Minor</t>
  </si>
  <si>
    <t xml:space="preserve">Tenant entries never evicted once a tenant stopped calling — map grew with every tenant ever seen (stale stamps only pruned on that tenant's next call)</t>
  </si>
  <si>
    <t xml:space="preserve">prune(now) evicts all-stale tenants (scheduler tick); trackedTenants() exposed for capacity dashboards</t>
  </si>
  <si>
    <t xml:space="preserve">eviction of idle tenant while active tenant retained; no-op prune on live map</t>
  </si>
  <si>
    <t xml:space="preserve">F-004</t>
  </si>
  <si>
    <t xml:space="preserve">With 3+ matching txns the pairwise duplicate scan flagged the same txn once per earlier match — duplicate alert noise (3 matches -&gt; 3 alerts instead of 2)</t>
  </si>
  <si>
    <t xml:space="preserve">Each txn flagged at most once, against its first matching predecessor</t>
  </si>
  <si>
    <t xml:space="preserve">three-matching-txns yields exactly 2 anomalies; history+batch dedupe preserved</t>
  </si>
  <si>
    <t xml:space="preserve">F-005</t>
  </si>
  <si>
    <t xml:space="preserve">nudgesPerMonth plan limit was unenforceable as shipped: checkLimit took `used` as a parameter but no cycle-scoped counter with per-cycle reset existed anywhere in the codebase (same class as OnCall F-006)</t>
  </si>
  <si>
    <t xml:space="preserve">UsageCycle: freshCycle/rolloverIfDue (boundary-anchored, drift-free)/recordNudge (refuse at cap, 80% upgrade prompt, refused sends not counted); CYCLE_MS=30d sandbox anchor — live rail supplies real cycle dates</t>
  </si>
  <si>
    <t xml:space="preserve">cap refusal, 80% prompt, boundary reset, multi-cycle anchor, refused-send-not-counted</t>
  </si>
  <si>
    <t xml:space="preserve">No per-invoice sent-history: the daily planner re-nudged every overdue invoice at its current tier on every run — customers chased daily at the same tier until escalation</t>
  </si>
  <si>
    <t xml:space="preserve">SentHistory (invoiceId:type): tier fires once; test-mode not recorded; failed sends not recorded (retried); clearInvoice on payment; sendNudges records on success</t>
  </si>
  <si>
    <t xml:space="preserve">tests/coldReviewPass2.test.ts — once-only, escalation, test-mode, flaky-retry, failure-retry, clear-per-invoice</t>
  </si>
  <si>
    <t xml:space="preserve">purgeExpired marked accounts purged but never deleted the record — tenant data retained in memory indefinitely after the 30-day deletion deadline (contradicts ST-052 deletion policy); map grew unboundedly</t>
  </si>
  <si>
    <t xml:space="preserve">Purge deletes the record (idempotent); unproducible purged status removed from Account type; one pre-existing assertion updated accordingly</t>
  </si>
  <si>
    <t xml:space="preserve">record undefined after purge; idempotent second run; clean post-purge reinstall</t>
  </si>
  <si>
    <t xml:space="preserve">Non-finite dueDate -&gt; weekIndex NaN -&gt; inflows[NaN] += silently dropped the item from all 13 weeks with no error — forecast quietly wrong on bad platform data (opposite of ST-004 contract). Sub-finding F-008b (Minor): light computed on unrounded balance vs rounded displayed figure</t>
  </si>
  <si>
    <t xml:space="preserve">validate() checks weekStart + all dueDates finite with named FORECAST_INVALID errors; lightFor now takes the rounded (displayed) closing</t>
  </si>
  <si>
    <t xml:space="preserve">NaN/Infinity invoice, outflow, weekStart all throw; light-display consistency property</t>
  </si>
  <si>
    <t xml:space="preserve">extraMonthlyCost emitted 3 monthly occurrences (days 0/28/56) but the 13-week horizon spans 91 days — the 4th (day 84, week 13) was omitted; recurring-hire scenarios optimistically overstated week-13 cash by one month of the cost</t>
  </si>
  <si>
    <t xml:space="preserve">4 occurrences (days 0/28/56/84); pre-existing 3-occurrence assertion updated (it encoded the defect)</t>
  </si>
  <si>
    <t xml:space="preserve">4 lines emitted; week-13 closing = -4x cost; week 12 unchanged</t>
  </si>
  <si>
    <t xml:space="preserve">OBS-001</t>
  </si>
  <si>
    <t xml:space="preserve">Observation</t>
  </si>
  <si>
    <t xml:space="preserve">backoffDelayMs has no jitter — synchronized retry herds possible when many tenants recover from a shared outage simultaneously</t>
  </si>
  <si>
    <t xml:space="preserve">No fix this pass: adding jitter changes timing-deterministic test contracts; live APM data should size it</t>
  </si>
  <si>
    <t xml:space="preserve">OBS-002</t>
  </si>
  <si>
    <t xml:space="preserve">CircuitBreaker half_open admits unlimited concurrent probe requests (single-probe half-open is the stricter pattern)</t>
  </si>
  <si>
    <t xml:space="preserve">No fix this pass: standard simple-breaker trade-off; acceptable at launch traffic</t>
  </si>
  <si>
    <t xml:space="preserve">Critical (live)</t>
  </si>
  <si>
    <t xml:space="preserve">200 webhook response carried a JSON body — Xero rejects webhook responses containing a body; intent-to-receive would have failed on the live sweep</t>
  </si>
  <si>
    <t xml:space="preserve">Empty body on 200 and 401; accepted count moved to /health telemetry</t>
  </si>
  <si>
    <t xml:space="preserve">tests/externalVerification.test.ts — all four response paths empty-body</t>
  </si>
  <si>
    <t xml:space="preserve">VER-002</t>
  </si>
  <si>
    <t xml:space="preserve">Daily 5,000 calls/org Xero limit untracked (only 60/min paced) — busy day hits the 429 wall blind</t>
  </si>
  <si>
    <t xml:space="preserve">UTC-day budget, day-boundary retry, dailyUsed telemetry, stale-bucket prune</t>
  </si>
  <si>
    <t xml:space="preserve">daily cap, reset, refusal-not-counted, prune</t>
  </si>
  <si>
    <t xml:space="preserve">VER-003</t>
  </si>
  <si>
    <t xml:space="preserve">Scope audit had no justification home for offline_access — flagged our own dev-org guide as unjustified</t>
  </si>
  <si>
    <t xml:space="preserve">PLATFORM_SCOPES always required in audit</t>
  </si>
  <si>
    <t xml:space="preserve">guide round-trip, missing detection, payroll still flagged</t>
  </si>
  <si>
    <t xml:space="preserve">GAP-1</t>
  </si>
  <si>
    <t xml:space="preserve">Sweep step 10 referenced a CI workflow that did not exist</t>
  </si>
  <si>
    <t xml:space="preserve">Workflow built: tsc + jest 100% gate + zero-pragma check, Node 22</t>
  </si>
  <si>
    <t xml:space="preserve">YAML parse + local gate equivalence</t>
  </si>
  <si>
    <t xml:space="preserve">GAP-2</t>
  </si>
  <si>
    <t xml:space="preserve">.github/workflows/deploy.yml + scripts/</t>
  </si>
  <si>
    <t xml:space="preserve">Sweep step 12 referenced blue/green swap + rollback with no source anywhere</t>
  </si>
  <si>
    <t xml:space="preserve">Approval-gated deploy workflow + 3 slot scripts; rollback = router re-point</t>
  </si>
  <si>
    <t xml:space="preserve">YAML + bash -n parse</t>
  </si>
  <si>
    <t xml:space="preserve">Critical</t>
  </si>
  <si>
    <t xml:space="preserve">src/httpServer.ts, src/main.ts, package.json</t>
  </si>
  <si>
    <t xml:space="preserve">No runnable application existed — pure handlers + a comment, no build, no start script, while deploy scripts/30-min guide/live-sweep step 1 all assumed a bootable app</t>
  </si>
  <si>
    <t xml:space="preserve">Real HTTP server with raw-body capture + size limit + no-hang error path; bootFromEnv; npm run build/start; verified by booting the artifact and curling /health</t>
  </si>
  <si>
    <t xml:space="preserve">tests/integrationAudit.test.ts — socket-level health, webhook, 401, 413, 404, boot</t>
  </si>
  <si>
    <t xml:space="preserve">src/app.ts (billing.ts fix from v014)</t>
  </si>
  <si>
    <t xml:space="preserve">The v014 F-005 plan-limit fix had NO callers — nudgesPerMonth still unenforceable in the running product</t>
  </si>
  <si>
    <t xml:space="preserve">sendNudgeBatch records usage, refuses at cap before sending, returns slot on failure</t>
  </si>
  <si>
    <t xml:space="preserve">cap/sender-not-called/slot-return/cycle-reset</t>
  </si>
  <si>
    <t xml:space="preserve">src/installFlow.ts (security.ts from v014)</t>
  </si>
  <si>
    <t xml:space="preserve">ST-066 sealing had no callers — refresh tokens plaintext while the security pack claimed sealing as certification evidence</t>
  </si>
  <si>
    <t xml:space="preserve">Vault-backed sealing at rest, open only for rotation, re-seal rotated; sealsAtRest() truthful; dated addendum in SECURITY_EVIDENCE.md</t>
  </si>
  <si>
    <t xml:space="preserve">no-plaintext bytes, rotation, reinstall, no-vault signal</t>
  </si>
  <si>
    <t xml:space="preserve">INT-F3</t>
  </si>
  <si>
    <t xml:space="preserve">src/app.ts (permissions.ts)</t>
  </si>
  <si>
    <t xml:space="preserve">Role matrix guarded no entry point — a member could mutate portal clients</t>
  </si>
  <si>
    <t xml:space="preserve">requirePermission on role-gated entry points; all attempts audited</t>
  </si>
  <si>
    <t xml:space="preserve">member denied, owner allowed, audit records both</t>
  </si>
  <si>
    <t xml:space="preserve">INT-F5</t>
  </si>
  <si>
    <t xml:space="preserve">src/app.ts (billing.ts)</t>
  </si>
  <si>
    <t xml:space="preserve">read_only after grace blocked nothing, though the pricing page promises read-only mode</t>
  </si>
  <si>
    <t xml:space="preserve">requireWrite on all mutations; reads stay open by design</t>
  </si>
  <si>
    <t xml:space="preserve">grace writes, read-only refusal, recovery restores</t>
  </si>
  <si>
    <t xml:space="preserve">src/oauth.ts, src/server.ts</t>
  </si>
  <si>
    <t xml:space="preserve">No OAuth install routes existed though config, the dev-org guide and live-sweep step 2 all require them — install would 404</t>
  </si>
  <si>
    <t xml:space="preserve">/auth/start + /auth/callback via routeAsync, real 302 Location</t>
  </si>
  <si>
    <t xml:space="preserve">pass3 suite incl. full socket round trip</t>
  </si>
  <si>
    <t xml:space="preserve">src/worker.ts</t>
  </si>
  <si>
    <t xml:space="preserve">processQueue had no caller — accepted webhooks ACKed 200 and evaporated; queue unbounded</t>
  </si>
  <si>
    <t xml:space="preserve">Bounded enqueue with shed counter, drainOnce, non-overlapping unref-ed worker loop</t>
  </si>
  <si>
    <t xml:space="preserve">drain/actions, paid-cancels-nudges, ceiling shed, batch bound, no overlap</t>
  </si>
  <si>
    <t xml:space="preserve">F3-03</t>
  </si>
  <si>
    <t xml:space="preserve">src/oauth.ts</t>
  </si>
  <si>
    <t xml:space="preserve">Callback without CSRF state allows install fixation</t>
  </si>
  <si>
    <t xml:space="preserve">Single-use 10-min FIFO-capped state store, constant-time compare, 403 on bad state</t>
  </si>
  <si>
    <t xml:space="preserve">replay, expiry, cap, prune, forged state</t>
  </si>
  <si>
    <t xml:space="preserve">F3-04</t>
  </si>
  <si>
    <t xml:space="preserve">Public /health returned exact release string and live queue depth — free reconnaissance</t>
  </si>
  <si>
    <t xml:space="preserve">Liveness public; detail behind x-flowcast-operator; verify-slot.sh updated</t>
  </si>
  <si>
    <t xml:space="preserve">public vs operator payloads over the wire</t>
  </si>
  <si>
    <t xml:space="preserve">src/scheduler.ts</t>
  </si>
  <si>
    <t xml:space="preserve">No scheduler existed — daily nudge cycle, bank polling, dunning emails, trial expiry, 30-day purge and both eviction paths had no driver</t>
  </si>
  <si>
    <t xml:space="preserve">scheduler.ts with per-tenant error isolation; all jobs routed through the app gates</t>
  </si>
  <si>
    <t xml:space="preserve">tests/schedulerXeroClient.test.ts — 16 regressions</t>
  </si>
  <si>
    <t xml:space="preserve">R-F10a</t>
  </si>
  <si>
    <t xml:space="preserve">src/httpServer.ts</t>
  </si>
  <si>
    <t xml:space="preserve">requireTls existed since v014 with no caller — production could serve OAuth callbacks over plain http</t>
  </si>
  <si>
    <t xml:space="preserve">Enforced at boot in buildContextFromEnv</t>
  </si>
  <si>
    <t xml:space="preserve">production plain-http boot throws TLS_REQUIRED</t>
  </si>
  <si>
    <t xml:space="preserve">DEAD-1</t>
  </si>
  <si>
    <t xml:space="preserve">src/oauth.ts, src/security.ts</t>
  </si>
  <si>
    <t xml:space="preserve">statesMatch, sealToken, openToken written in earlier sittings and never used</t>
  </si>
  <si>
    <t xml:space="preserve">Deleted with their tests rather than added to an exemption list</t>
  </si>
  <si>
    <t xml:space="preserve">n/a — removal verified by the gate</t>
  </si>
  <si>
    <t xml:space="preserve">One shared PollState across the tenant loop — only the first org was ever bank-polled; every other customer had no anomaly alerts</t>
  </si>
  <si>
    <t xml:space="preserve">Per-tenant PollStates map; unconfigured tenants skipped without abandoning others</t>
  </si>
  <si>
    <t xml:space="preserve">tests/coldReviewPass4.test.ts — proved against the reintroduced defect</t>
  </si>
  <si>
    <t xml:space="preserve">Dunning counter advanced by mutating the object tenants() returned; a store-backed getter would lose it and resend hourly forever</t>
  </si>
  <si>
    <t xml:space="preserve">Explicit recordDunningEmailSent persistence callback</t>
  </si>
  <si>
    <t xml:space="preserve">store-backed-getter regression</t>
  </si>
  <si>
    <t xml:space="preserve">F4-03</t>
  </si>
  <si>
    <t xml:space="preserve">src/xeroApi.ts</t>
  </si>
  <si>
    <t xml:space="preserve">Every 15-min poll fetched all bank history and filtered client-side — up to ~4,800 calls/day/org against the 5,000 budget</t>
  </si>
  <si>
    <t xml:space="preserve">Server-side If-Modified-Since filter</t>
  </si>
  <si>
    <t xml:space="preserve">header-filter regression; invoices unaffected</t>
  </si>
  <si>
    <t xml:space="preserve">F4-04</t>
  </si>
  <si>
    <t xml:space="preserve">Failed drain destroyed its batch — spliced before processing, already ACKed to Xero so redelivery could not heal</t>
  </si>
  <si>
    <t xml:space="preserve">Batch restored to the queue front on throw, order preserved</t>
  </si>
  <si>
    <t xml:space="preserve">throwing-processor regressions</t>
  </si>
  <si>
    <t xml:space="preserve">An unused import counted as a caller — unwiring recordNudge (the INT-F1 defect) left the gate green</t>
  </si>
  <si>
    <t xml:space="preserve">Imports stripped before the caller search; two views per file</t>
  </si>
  <si>
    <t xml:space="preserve">re-proof against the real unwiring</t>
  </si>
  <si>
    <t xml:space="preserve">An unused import satisfied a published claim — gutting encryption (the INT-F2 defect) left the claim "true"</t>
  </si>
  <si>
    <t xml:space="preserve">Imports stripped before claim matching</t>
  </si>
  <si>
    <t xml:space="preserve">import-only construction test + real-file re-proof</t>
  </si>
  <si>
    <t xml:space="preserve">src/db.ts, src/pg.ts, src/app.ts</t>
  </si>
  <si>
    <t xml:space="preserve">All durable state in process memory while blue/green restarts by design — every deploy silently reverted six earlier correctness fixes</t>
  </si>
  <si>
    <t xml:space="preserve">Schema with cascading deletes, Repository seam (in-memory + Postgres), pg driver, hydration, graceful shutdown, durableStore on /health</t>
  </si>
  <si>
    <t xml:space="preserve">tests/persistence.test.ts — shared suite across both stores + two-process restart proof</t>
  </si>
  <si>
    <t xml:space="preserve">GAP-F4</t>
  </si>
  <si>
    <t xml:space="preserve">Graceful shutdown did not exist — the deploy kills the old slot, cutting in-flight requests and dropping pooled connections (found by the reachability gate flagging closePool)</t>
  </si>
  <si>
    <t xml:space="preserve">SIGTERM/SIGINT handlers closing the server then draining the pool</t>
  </si>
  <si>
    <t xml:space="preserve">src/leaderLock.ts, src/scheduler.ts</t>
  </si>
  <si>
    <t xml:space="preserve">Scheduler assumed one process; blue/green runs two, so every customer got N nudges per day plus N dunning emails, polls and purge runs</t>
  </si>
  <si>
    <t xml:space="preserve">Postgres advisory lock re-checked per tick; follower promotes itself on leader death</t>
  </si>
  <si>
    <t xml:space="preserve">tests/environmentReview.test.ts — 7 regressions</t>
  </si>
  <si>
    <t xml:space="preserve">src/worker.ts, src/db.ts, src/server.ts</t>
  </si>
  <si>
    <t xml:space="preserve">Accepted events lived only in memory after a 200 Xero never repeats — a restart destroyed them silently</t>
  </si>
  <si>
    <t xml:space="preserve">Persist before ACK, boot recovery, SKIP LOCKED draining, explicit ingest-buffer deletion</t>
  </si>
  <si>
    <t xml:space="preserve">persist/recover/drain/concurrency regressions</t>
  </si>
  <si>
    <t xml:space="preserve">Business hours published as local but computed in UTC — the 4-business-hour SLA was wrong for every non-UTC desk</t>
  </si>
  <si>
    <t xml:space="preserve">Explicit utcOffsetMinutes applied to day/hour/midnight, validated</t>
  </si>
  <si>
    <t xml:space="preserve">IST, UTC no-regression, Auckland weekend, validation</t>
  </si>
  <si>
    <t xml:space="preserve">OBS-003</t>
  </si>
  <si>
    <t xml:space="preserve">Fixed UTC offset only — DST transitions shift the working day by an hour twice a year</t>
  </si>
  <si>
    <t xml:space="preserve">No fix: needs a tz database and a decision on dependency weight</t>
  </si>
  <si>
    <t xml:space="preserve">OBS-004</t>
  </si>
  <si>
    <t xml:space="preserve">Webhook-driven rate limiting remains per-process; N instances could exceed 60/min or 5,000/day under sustained load (scheduled traffic is single-writer via ENV-1)</t>
  </si>
  <si>
    <t xml:space="preserve">No fix: a shared counter costs a round trip per call — your call</t>
  </si>
  <si>
    <t xml:space="preserve">The deploy pipeline never ran migrations — a release adding one deploys code querying tables that do not exist</t>
  </si>
  <si>
    <t xml:space="preserve">npm run migrate before the slot starts (safe for the old colour: additive-only)</t>
  </si>
  <si>
    <t xml:space="preserve">workflow-order regression</t>
  </si>
  <si>
    <t xml:space="preserve">src/server.ts, scripts/verify-slot.sh</t>
  </si>
  <si>
    <t xml:space="preserve">/health answers from memory yet gated the traffic switch — a slot that cannot reach its schema was certified healthy and would take traffic</t>
  </si>
  <si>
    <t xml:space="preserve">New /ready probes the store; verify-slot.sh requires it</t>
  </si>
  <si>
    <t xml:space="preserve">ready/unreachable/absent + health-still-200</t>
  </si>
  <si>
    <t xml:space="preserve">tests/migrationSafetyGate.test.ts, docs/runbooks/launch-day.md</t>
  </si>
  <si>
    <t xml:space="preserve">Blue/green runs two releases on one database and rollback re-points after the new schema is applied; nothing enforced additive-only schema changes</t>
  </si>
  <si>
    <t xml:space="preserve">Fourth gate enforcing expand/contract + rollback contract documented</t>
  </si>
  <si>
    <t xml:space="preserve">7 destructive-shape proofs</t>
  </si>
  <si>
    <t xml:space="preserve">src/resilience.ts, src/server.ts, src/app.ts</t>
  </si>
  <si>
    <t xml:space="preserve">Two void-promise calls on the database path (one on the webhook fast-ack route) — an unhandled rejection terminates the process on Node 15+, so a Postgres blip would kill every instance at once</t>
  </si>
  <si>
    <t xml:space="preserve">safely() wrapper counting and reporting; process guards; degraded state on /ready</t>
  </si>
  <si>
    <t xml:space="preserve">tests/chaosReview.test.ts — 12 regressions incl. all-failing store still ACKing 200</t>
  </si>
  <si>
    <t xml:space="preserve">The chaos runbook covered only Xero though Postgres is in every request path and both slots share it</t>
  </si>
  <si>
    <t xml:space="preserve">Database-outage drill with expected behaviour per path, each row test-backed</t>
  </si>
  <si>
    <t xml:space="preserve">behaviour table pinned by tests</t>
  </si>
  <si>
    <t xml:space="preserve">The security pack mentioned the database zero times — a pen-test scoped from it would exclude the component holding the tokens</t>
  </si>
  <si>
    <t xml:space="preserve">Data-store section separating code-verifiable controls from operator responsibilities; vendor scope note</t>
  </si>
  <si>
    <t xml:space="preserve">claims gate entries for TLS, redaction, sealed tokens</t>
  </si>
  <si>
    <t xml:space="preserve">src/resilience.ts</t>
  </si>
  <si>
    <t xml:space="preserve">Failure text written to stderr and held in state could carry the connection string password from driver errors</t>
  </si>
  <si>
    <t xml:space="preserve">redactSecrets applied at recordFailure; gate claim requires it to be CALLED</t>
  </si>
  <si>
    <t xml:space="preserve">4 redaction regressions; claim proved by removing the call</t>
  </si>
  <si>
    <t xml:space="preserve">REV-1</t>
  </si>
  <si>
    <t xml:space="preserve">docs/security/REVIEW_PACK.md</t>
  </si>
  <si>
    <t xml:space="preserve">The external reviewer pack described a product that no longer exists — one of eight new modules mentioned</t>
  </si>
  <si>
    <t xml:space="preserve">Rewritten: entry points, per-module challenges, consequence-ordered review, distrust-the-gates note</t>
  </si>
  <si>
    <t xml:space="preserve">PERF-1</t>
  </si>
  <si>
    <t xml:space="preserve">docs/reliability/latency-budgets.md</t>
  </si>
  <si>
    <t xml:space="preserve">Budgets measured in-process before any database round trip existed</t>
  </si>
  <si>
    <t xml:space="preserve">Round-trip table + re-baseline instruction recording deltas</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</si>
</sst>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sz val="10"/>
      <name val="Arial"/>
      <family val="0"/>
      <charset val="1"/>
    </font>
    <font>
      <b val="true"/>
      <sz val="11"/>
      <color rgb="FFFFFFFF"/>
      <name val="Arial"/>
      <family val="0"/>
      <charset val="1"/>
    </font>
    <font>
      <b val="true"/>
      <sz val="10"/>
      <name val="Arial"/>
      <family val="0"/>
      <charset val="1"/>
    </font>
    <font>
      <b val="true"/>
      <sz val="12"/>
      <name val="Arial"/>
      <family val="0"/>
      <charset val="1"/>
    </font>
    <font>
      <sz val="11"/>
      <name val="Arial"/>
      <family val="0"/>
      <charset val="1"/>
    </font>
  </fonts>
  <fills count="4">
    <fill>
      <patternFill patternType="none"/>
    </fill>
    <fill>
      <patternFill patternType="gray125"/>
    </fill>
    <fill>
      <patternFill patternType="solid">
        <fgColor rgb="FF2F5496"/>
        <bgColor rgb="FF666699"/>
      </patternFill>
    </fill>
    <fill>
      <patternFill patternType="solid">
        <fgColor rgb="FFDEEBF7"/>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3" borderId="0"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7"/>
    <col collapsed="false" customWidth="true" hidden="false" outlineLevel="0" max="3" min="3" style="1" width="20"/>
    <col collapsed="false" customWidth="true" hidden="false" outlineLevel="0" max="4" min="4" style="1" width="95"/>
    <col collapsed="false" customWidth="true" hidden="false" outlineLevel="0" max="5" min="5" style="1" width="10"/>
  </cols>
  <sheetData>
    <row r="1" customFormat="false" ht="15.7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4" t="s">
        <v>2</v>
      </c>
      <c r="B3" s="4" t="s">
        <v>3</v>
      </c>
      <c r="C3" s="4" t="s">
        <v>4</v>
      </c>
      <c r="D3" s="4" t="s">
        <v>5</v>
      </c>
      <c r="E3" s="4" t="s">
        <v>6</v>
      </c>
    </row>
    <row r="4" customFormat="false" ht="34.5" hidden="false" customHeight="true" outlineLevel="0" collapsed="false">
      <c r="A4" s="5" t="s">
        <v>7</v>
      </c>
      <c r="B4" s="5" t="s">
        <v>8</v>
      </c>
      <c r="C4" s="5" t="s">
        <v>9</v>
      </c>
      <c r="D4" s="5" t="s">
        <v>10</v>
      </c>
      <c r="E4" s="5" t="s">
        <v>11</v>
      </c>
    </row>
    <row r="5" customFormat="false" ht="23.25" hidden="false" customHeight="true" outlineLevel="0" collapsed="false">
      <c r="A5" s="5" t="s">
        <v>12</v>
      </c>
      <c r="B5" s="5" t="s">
        <v>13</v>
      </c>
      <c r="C5" s="5" t="s">
        <v>9</v>
      </c>
      <c r="D5" s="5" t="s">
        <v>14</v>
      </c>
      <c r="E5" s="5" t="s">
        <v>11</v>
      </c>
    </row>
    <row r="6" customFormat="false" ht="23.25" hidden="false" customHeight="true" outlineLevel="0" collapsed="false">
      <c r="A6" s="5" t="s">
        <v>15</v>
      </c>
      <c r="B6" s="5" t="s">
        <v>16</v>
      </c>
      <c r="C6" s="5" t="s">
        <v>9</v>
      </c>
      <c r="D6" s="5" t="s">
        <v>17</v>
      </c>
      <c r="E6" s="5" t="s">
        <v>11</v>
      </c>
    </row>
    <row r="7" customFormat="false" ht="15" hidden="false" customHeight="true" outlineLevel="0" collapsed="false">
      <c r="A7" s="5" t="s">
        <v>18</v>
      </c>
      <c r="B7" s="5" t="s">
        <v>19</v>
      </c>
      <c r="C7" s="5" t="s">
        <v>9</v>
      </c>
      <c r="D7" s="5" t="s">
        <v>20</v>
      </c>
      <c r="E7" s="5" t="s">
        <v>11</v>
      </c>
    </row>
    <row r="8" customFormat="false" ht="23.25" hidden="false" customHeight="true" outlineLevel="0" collapsed="false">
      <c r="A8" s="5" t="s">
        <v>21</v>
      </c>
      <c r="B8" s="5" t="s">
        <v>22</v>
      </c>
      <c r="C8" s="5" t="s">
        <v>9</v>
      </c>
      <c r="D8" s="5" t="s">
        <v>23</v>
      </c>
      <c r="E8" s="5" t="s">
        <v>11</v>
      </c>
    </row>
    <row r="9" customFormat="false" ht="23.25" hidden="false" customHeight="true" outlineLevel="0" collapsed="false">
      <c r="A9" s="5" t="s">
        <v>24</v>
      </c>
      <c r="B9" s="5" t="s">
        <v>25</v>
      </c>
      <c r="C9" s="5" t="s">
        <v>9</v>
      </c>
      <c r="D9" s="5" t="s">
        <v>26</v>
      </c>
      <c r="E9" s="5" t="s">
        <v>11</v>
      </c>
    </row>
    <row r="10" customFormat="false" ht="23.25" hidden="false" customHeight="true" outlineLevel="0" collapsed="false">
      <c r="A10" s="5" t="s">
        <v>27</v>
      </c>
      <c r="B10" s="5" t="s">
        <v>28</v>
      </c>
      <c r="C10" s="5" t="s">
        <v>9</v>
      </c>
      <c r="D10" s="5" t="s">
        <v>29</v>
      </c>
      <c r="E10" s="5" t="s">
        <v>11</v>
      </c>
    </row>
    <row r="11" customFormat="false" ht="15" hidden="false" customHeight="true" outlineLevel="0" collapsed="false">
      <c r="A11" s="5" t="s">
        <v>30</v>
      </c>
      <c r="B11" s="5" t="s">
        <v>31</v>
      </c>
      <c r="C11" s="5" t="s">
        <v>9</v>
      </c>
      <c r="D11" s="5" t="s">
        <v>32</v>
      </c>
      <c r="E11" s="5" t="s">
        <v>11</v>
      </c>
    </row>
    <row r="12" customFormat="false" ht="15" hidden="false" customHeight="true" outlineLevel="0" collapsed="false">
      <c r="A12" s="5" t="s">
        <v>33</v>
      </c>
      <c r="B12" s="5" t="s">
        <v>34</v>
      </c>
      <c r="C12" s="5" t="s">
        <v>9</v>
      </c>
      <c r="D12" s="5" t="s">
        <v>35</v>
      </c>
      <c r="E12" s="5" t="s">
        <v>11</v>
      </c>
    </row>
    <row r="13" customFormat="false" ht="15" hidden="false" customHeight="true" outlineLevel="0" collapsed="false">
      <c r="A13" s="5" t="s">
        <v>36</v>
      </c>
      <c r="B13" s="5" t="s">
        <v>37</v>
      </c>
      <c r="C13" s="5" t="s">
        <v>9</v>
      </c>
      <c r="D13" s="5" t="s">
        <v>38</v>
      </c>
      <c r="E13" s="5" t="s">
        <v>11</v>
      </c>
    </row>
    <row r="14" customFormat="false" ht="15" hidden="false" customHeight="true" outlineLevel="0" collapsed="false">
      <c r="A14" s="5" t="s">
        <v>39</v>
      </c>
      <c r="B14" s="5" t="s">
        <v>40</v>
      </c>
      <c r="C14" s="5" t="s">
        <v>9</v>
      </c>
      <c r="D14" s="5" t="s">
        <v>41</v>
      </c>
      <c r="E14" s="5" t="s">
        <v>11</v>
      </c>
    </row>
    <row r="15" customFormat="false" ht="15" hidden="false" customHeight="true" outlineLevel="0" collapsed="false">
      <c r="A15" s="5" t="s">
        <v>42</v>
      </c>
      <c r="B15" s="5" t="s">
        <v>43</v>
      </c>
      <c r="C15" s="5" t="s">
        <v>9</v>
      </c>
      <c r="D15" s="5" t="s">
        <v>44</v>
      </c>
      <c r="E15" s="5" t="s">
        <v>11</v>
      </c>
    </row>
    <row r="16" customFormat="false" ht="15" hidden="false" customHeight="true" outlineLevel="0" collapsed="false">
      <c r="A16" s="5" t="s">
        <v>45</v>
      </c>
      <c r="B16" s="5" t="s">
        <v>46</v>
      </c>
      <c r="C16" s="5" t="s">
        <v>9</v>
      </c>
      <c r="D16" s="5" t="s">
        <v>47</v>
      </c>
      <c r="E16" s="5" t="s">
        <v>11</v>
      </c>
    </row>
    <row r="17" customFormat="false" ht="15" hidden="false" customHeight="true" outlineLevel="0" collapsed="false">
      <c r="A17" s="5" t="s">
        <v>48</v>
      </c>
      <c r="B17" s="5" t="s">
        <v>49</v>
      </c>
      <c r="C17" s="5" t="s">
        <v>9</v>
      </c>
      <c r="D17" s="5" t="s">
        <v>50</v>
      </c>
      <c r="E17" s="5" t="s">
        <v>11</v>
      </c>
    </row>
    <row r="18" customFormat="false" ht="15" hidden="false" customHeight="true" outlineLevel="0" collapsed="false">
      <c r="A18" s="5" t="s">
        <v>51</v>
      </c>
      <c r="B18" s="5" t="s">
        <v>52</v>
      </c>
      <c r="C18" s="5" t="s">
        <v>9</v>
      </c>
      <c r="D18" s="5" t="s">
        <v>53</v>
      </c>
      <c r="E18" s="5" t="s">
        <v>11</v>
      </c>
    </row>
    <row r="19" customFormat="false" ht="15" hidden="false" customHeight="true" outlineLevel="0" collapsed="false">
      <c r="A19" s="5" t="s">
        <v>54</v>
      </c>
      <c r="B19" s="5" t="s">
        <v>55</v>
      </c>
      <c r="C19" s="5" t="s">
        <v>9</v>
      </c>
      <c r="D19" s="5" t="s">
        <v>56</v>
      </c>
      <c r="E19" s="5" t="s">
        <v>11</v>
      </c>
    </row>
    <row r="20" customFormat="false" ht="15" hidden="false" customHeight="true" outlineLevel="0" collapsed="false">
      <c r="A20" s="5" t="s">
        <v>57</v>
      </c>
      <c r="B20" s="5" t="s">
        <v>58</v>
      </c>
      <c r="C20" s="5" t="s">
        <v>9</v>
      </c>
      <c r="D20" s="5" t="s">
        <v>59</v>
      </c>
      <c r="E20" s="5" t="s">
        <v>11</v>
      </c>
    </row>
    <row r="21" customFormat="false" ht="15" hidden="false" customHeight="true" outlineLevel="0" collapsed="false">
      <c r="A21" s="5" t="s">
        <v>60</v>
      </c>
      <c r="B21" s="5" t="s">
        <v>61</v>
      </c>
      <c r="C21" s="5" t="s">
        <v>9</v>
      </c>
      <c r="D21" s="5" t="s">
        <v>62</v>
      </c>
      <c r="E21" s="5" t="s">
        <v>11</v>
      </c>
    </row>
    <row r="22" customFormat="false" ht="15" hidden="false" customHeight="true" outlineLevel="0" collapsed="false">
      <c r="A22" s="5" t="s">
        <v>63</v>
      </c>
      <c r="B22" s="5" t="s">
        <v>64</v>
      </c>
      <c r="C22" s="5" t="s">
        <v>9</v>
      </c>
      <c r="D22" s="5" t="s">
        <v>65</v>
      </c>
      <c r="E22" s="5" t="s">
        <v>11</v>
      </c>
    </row>
    <row r="23" customFormat="false" ht="15" hidden="false" customHeight="true" outlineLevel="0" collapsed="false">
      <c r="A23" s="5" t="s">
        <v>66</v>
      </c>
      <c r="B23" s="5" t="s">
        <v>67</v>
      </c>
      <c r="C23" s="5" t="s">
        <v>9</v>
      </c>
      <c r="D23" s="5" t="s">
        <v>68</v>
      </c>
      <c r="E23" s="5" t="s">
        <v>11</v>
      </c>
    </row>
    <row r="24" customFormat="false" ht="15" hidden="false" customHeight="true" outlineLevel="0" collapsed="false">
      <c r="A24" s="5" t="s">
        <v>69</v>
      </c>
      <c r="B24" s="5" t="s">
        <v>70</v>
      </c>
      <c r="C24" s="5" t="s">
        <v>9</v>
      </c>
      <c r="D24" s="5" t="s">
        <v>71</v>
      </c>
      <c r="E24" s="5" t="s">
        <v>11</v>
      </c>
    </row>
    <row r="25" customFormat="false" ht="15" hidden="false" customHeight="false" outlineLevel="0" collapsed="false">
      <c r="A25" s="5" t="s">
        <v>72</v>
      </c>
      <c r="B25" s="5"/>
      <c r="C25" s="5"/>
      <c r="D25" s="5" t="s">
        <v>73</v>
      </c>
      <c r="E25" s="5" t="s">
        <v>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17"/>
    <col collapsed="false" customWidth="true" hidden="false" outlineLevel="0" max="4" min="3" style="1" width="10"/>
    <col collapsed="false" customWidth="true" hidden="false" outlineLevel="0" max="5" min="5" style="1" width="80"/>
    <col collapsed="false" customWidth="true" hidden="false" outlineLevel="0" max="6" min="6" style="1" width="26"/>
    <col collapsed="false" customWidth="true" hidden="false" outlineLevel="0" max="7" min="7" style="1" width="30"/>
    <col collapsed="false" customWidth="true" hidden="false" outlineLevel="0" max="8" min="8" style="1" width="26"/>
    <col collapsed="false" customWidth="true" hidden="false" outlineLevel="0" max="9" min="9" style="1" width="14"/>
  </cols>
  <sheetData>
    <row r="1" customFormat="false" ht="15.75" hidden="false" customHeight="true" outlineLevel="0" collapsed="false">
      <c r="A1" s="2" t="s">
        <v>75</v>
      </c>
    </row>
    <row r="2" customFormat="false" ht="15" hidden="false" customHeight="true" outlineLevel="0" collapsed="false">
      <c r="A2" s="3" t="s">
        <v>76</v>
      </c>
    </row>
    <row r="3" customFormat="false" ht="15" hidden="false" customHeight="true" outlineLevel="0" collapsed="false">
      <c r="A3" s="4" t="s">
        <v>77</v>
      </c>
      <c r="B3" s="4" t="s">
        <v>3</v>
      </c>
      <c r="C3" s="4" t="s">
        <v>2</v>
      </c>
      <c r="D3" s="4" t="s">
        <v>78</v>
      </c>
      <c r="E3" s="4" t="s">
        <v>79</v>
      </c>
      <c r="F3" s="4" t="s">
        <v>80</v>
      </c>
      <c r="G3" s="4" t="s">
        <v>81</v>
      </c>
      <c r="H3" s="4" t="s">
        <v>82</v>
      </c>
      <c r="I3" s="4" t="s">
        <v>83</v>
      </c>
    </row>
    <row r="4" customFormat="false" ht="23.25" hidden="false" customHeight="true" outlineLevel="0" collapsed="false">
      <c r="A4" s="5" t="s">
        <v>84</v>
      </c>
      <c r="B4" s="5" t="s">
        <v>85</v>
      </c>
      <c r="C4" s="5" t="s">
        <v>30</v>
      </c>
      <c r="D4" s="5" t="s">
        <v>86</v>
      </c>
      <c r="E4" s="5" t="s">
        <v>87</v>
      </c>
      <c r="F4" s="5" t="s">
        <v>88</v>
      </c>
      <c r="G4" s="5" t="s">
        <v>89</v>
      </c>
      <c r="H4" s="5" t="s">
        <v>90</v>
      </c>
      <c r="I4" s="5" t="s">
        <v>91</v>
      </c>
    </row>
    <row r="5" customFormat="false" ht="34.5" hidden="false" customHeight="true" outlineLevel="0" collapsed="false">
      <c r="A5" s="5" t="s">
        <v>91</v>
      </c>
      <c r="B5" s="5" t="s">
        <v>85</v>
      </c>
      <c r="C5" s="5" t="s">
        <v>30</v>
      </c>
      <c r="D5" s="5" t="s">
        <v>92</v>
      </c>
      <c r="E5" s="5" t="s">
        <v>93</v>
      </c>
      <c r="F5" s="5" t="s">
        <v>94</v>
      </c>
      <c r="G5" s="5" t="s">
        <v>95</v>
      </c>
      <c r="H5" s="5" t="s">
        <v>96</v>
      </c>
      <c r="I5" s="5" t="s">
        <v>97</v>
      </c>
    </row>
    <row r="6" customFormat="false" ht="23.25" hidden="false" customHeight="true" outlineLevel="0" collapsed="false">
      <c r="A6" s="5" t="s">
        <v>97</v>
      </c>
      <c r="B6" s="5" t="s">
        <v>85</v>
      </c>
      <c r="C6" s="5" t="s">
        <v>30</v>
      </c>
      <c r="D6" s="5" t="s">
        <v>98</v>
      </c>
      <c r="E6" s="5" t="s">
        <v>99</v>
      </c>
      <c r="F6" s="5" t="s">
        <v>100</v>
      </c>
      <c r="G6" s="5" t="s">
        <v>101</v>
      </c>
      <c r="H6" s="5" t="s">
        <v>90</v>
      </c>
      <c r="I6" s="5" t="s">
        <v>102</v>
      </c>
    </row>
    <row r="7" customFormat="false" ht="57" hidden="false" customHeight="true" outlineLevel="0" collapsed="false">
      <c r="A7" s="5" t="s">
        <v>102</v>
      </c>
      <c r="B7" s="5" t="s">
        <v>85</v>
      </c>
      <c r="C7" s="5" t="s">
        <v>30</v>
      </c>
      <c r="D7" s="5" t="s">
        <v>103</v>
      </c>
      <c r="E7" s="5" t="s">
        <v>104</v>
      </c>
      <c r="F7" s="5" t="s">
        <v>105</v>
      </c>
      <c r="G7" s="5" t="s">
        <v>106</v>
      </c>
      <c r="H7" s="5" t="s">
        <v>90</v>
      </c>
      <c r="I7" s="5" t="s">
        <v>107</v>
      </c>
    </row>
    <row r="8" customFormat="false" ht="23.25" hidden="false" customHeight="true" outlineLevel="0" collapsed="false">
      <c r="A8" s="5" t="s">
        <v>107</v>
      </c>
      <c r="B8" s="5" t="s">
        <v>85</v>
      </c>
      <c r="C8" s="5" t="s">
        <v>30</v>
      </c>
      <c r="D8" s="5" t="s">
        <v>86</v>
      </c>
      <c r="E8" s="5" t="s">
        <v>108</v>
      </c>
      <c r="F8" s="5" t="s">
        <v>109</v>
      </c>
      <c r="G8" s="5" t="s">
        <v>110</v>
      </c>
      <c r="H8" s="5" t="s">
        <v>90</v>
      </c>
      <c r="I8" s="5" t="s">
        <v>111</v>
      </c>
    </row>
    <row r="9" customFormat="false" ht="23.25" hidden="false" customHeight="true" outlineLevel="0" collapsed="false">
      <c r="A9" s="5" t="s">
        <v>111</v>
      </c>
      <c r="B9" s="5" t="s">
        <v>112</v>
      </c>
      <c r="C9" s="5" t="s">
        <v>33</v>
      </c>
      <c r="D9" s="5" t="s">
        <v>113</v>
      </c>
      <c r="E9" s="5" t="s">
        <v>114</v>
      </c>
      <c r="F9" s="5" t="s">
        <v>115</v>
      </c>
      <c r="G9" s="5" t="s">
        <v>116</v>
      </c>
      <c r="H9" s="5" t="s">
        <v>90</v>
      </c>
      <c r="I9" s="5" t="s">
        <v>117</v>
      </c>
    </row>
    <row r="10" customFormat="false" ht="34.5" hidden="false" customHeight="true" outlineLevel="0" collapsed="false">
      <c r="A10" s="5" t="s">
        <v>117</v>
      </c>
      <c r="B10" s="5" t="s">
        <v>112</v>
      </c>
      <c r="C10" s="5" t="s">
        <v>33</v>
      </c>
      <c r="D10" s="5" t="s">
        <v>118</v>
      </c>
      <c r="E10" s="5" t="s">
        <v>119</v>
      </c>
      <c r="F10" s="5" t="s">
        <v>120</v>
      </c>
      <c r="G10" s="5" t="s">
        <v>121</v>
      </c>
      <c r="H10" s="5" t="s">
        <v>90</v>
      </c>
      <c r="I10" s="5" t="s">
        <v>122</v>
      </c>
    </row>
    <row r="11" customFormat="false" ht="23.25" hidden="false" customHeight="true" outlineLevel="0" collapsed="false">
      <c r="A11" s="5" t="s">
        <v>122</v>
      </c>
      <c r="B11" s="5" t="s">
        <v>112</v>
      </c>
      <c r="C11" s="5" t="s">
        <v>33</v>
      </c>
      <c r="D11" s="5" t="s">
        <v>123</v>
      </c>
      <c r="E11" s="5" t="s">
        <v>124</v>
      </c>
      <c r="F11" s="5" t="s">
        <v>125</v>
      </c>
      <c r="G11" s="5" t="s">
        <v>126</v>
      </c>
      <c r="H11" s="5" t="s">
        <v>127</v>
      </c>
      <c r="I11" s="5" t="s">
        <v>128</v>
      </c>
    </row>
    <row r="12" customFormat="false" ht="15" hidden="false" customHeight="true" outlineLevel="0" collapsed="false">
      <c r="A12" s="5" t="s">
        <v>128</v>
      </c>
      <c r="B12" s="5" t="s">
        <v>112</v>
      </c>
      <c r="C12" s="5" t="s">
        <v>33</v>
      </c>
      <c r="D12" s="5" t="s">
        <v>86</v>
      </c>
      <c r="E12" s="5" t="s">
        <v>129</v>
      </c>
      <c r="F12" s="5" t="s">
        <v>109</v>
      </c>
      <c r="G12" s="5" t="s">
        <v>86</v>
      </c>
      <c r="H12" s="5" t="s">
        <v>90</v>
      </c>
      <c r="I12" s="5" t="s">
        <v>130</v>
      </c>
    </row>
    <row r="13" customFormat="false" ht="15" hidden="false" customHeight="true" outlineLevel="0" collapsed="false">
      <c r="A13" s="5" t="s">
        <v>130</v>
      </c>
      <c r="B13" s="5" t="s">
        <v>131</v>
      </c>
      <c r="C13" s="5" t="s">
        <v>36</v>
      </c>
      <c r="D13" s="5" t="s">
        <v>132</v>
      </c>
      <c r="E13" s="5" t="s">
        <v>133</v>
      </c>
      <c r="F13" s="5" t="s">
        <v>134</v>
      </c>
      <c r="G13" s="5" t="s">
        <v>135</v>
      </c>
      <c r="H13" s="5" t="s">
        <v>90</v>
      </c>
      <c r="I13" s="5" t="s">
        <v>136</v>
      </c>
    </row>
    <row r="14" customFormat="false" ht="23.25" hidden="false" customHeight="true" outlineLevel="0" collapsed="false">
      <c r="A14" s="5" t="s">
        <v>136</v>
      </c>
      <c r="B14" s="5" t="s">
        <v>131</v>
      </c>
      <c r="C14" s="5" t="s">
        <v>36</v>
      </c>
      <c r="D14" s="5" t="s">
        <v>137</v>
      </c>
      <c r="E14" s="5" t="s">
        <v>138</v>
      </c>
      <c r="F14" s="5" t="s">
        <v>139</v>
      </c>
      <c r="G14" s="5" t="s">
        <v>140</v>
      </c>
      <c r="H14" s="5" t="s">
        <v>141</v>
      </c>
      <c r="I14" s="5" t="s">
        <v>142</v>
      </c>
    </row>
    <row r="15" customFormat="false" ht="23.25" hidden="false" customHeight="true" outlineLevel="0" collapsed="false">
      <c r="A15" s="5" t="s">
        <v>142</v>
      </c>
      <c r="B15" s="5" t="s">
        <v>131</v>
      </c>
      <c r="C15" s="5" t="s">
        <v>36</v>
      </c>
      <c r="D15" s="5" t="s">
        <v>143</v>
      </c>
      <c r="E15" s="5" t="s">
        <v>144</v>
      </c>
      <c r="F15" s="5" t="s">
        <v>145</v>
      </c>
      <c r="G15" s="5" t="s">
        <v>146</v>
      </c>
      <c r="H15" s="5" t="s">
        <v>147</v>
      </c>
      <c r="I15" s="5" t="s">
        <v>148</v>
      </c>
    </row>
    <row r="16" customFormat="false" ht="34.5" hidden="false" customHeight="true" outlineLevel="0" collapsed="false">
      <c r="A16" s="5" t="s">
        <v>148</v>
      </c>
      <c r="B16" s="5" t="s">
        <v>131</v>
      </c>
      <c r="C16" s="5" t="s">
        <v>36</v>
      </c>
      <c r="D16" s="5" t="s">
        <v>149</v>
      </c>
      <c r="E16" s="5" t="s">
        <v>150</v>
      </c>
      <c r="F16" s="5" t="s">
        <v>151</v>
      </c>
      <c r="G16" s="5" t="s">
        <v>152</v>
      </c>
      <c r="H16" s="5" t="s">
        <v>153</v>
      </c>
      <c r="I16" s="5" t="s">
        <v>154</v>
      </c>
    </row>
    <row r="17" customFormat="false" ht="23.25" hidden="false" customHeight="true" outlineLevel="0" collapsed="false">
      <c r="A17" s="5" t="s">
        <v>154</v>
      </c>
      <c r="B17" s="5" t="s">
        <v>131</v>
      </c>
      <c r="C17" s="5" t="s">
        <v>36</v>
      </c>
      <c r="D17" s="5" t="s">
        <v>155</v>
      </c>
      <c r="E17" s="5" t="s">
        <v>156</v>
      </c>
      <c r="F17" s="5" t="s">
        <v>157</v>
      </c>
      <c r="G17" s="5" t="s">
        <v>158</v>
      </c>
      <c r="H17" s="5" t="s">
        <v>159</v>
      </c>
      <c r="I17" s="5" t="s">
        <v>160</v>
      </c>
    </row>
    <row r="18" customFormat="false" ht="45.75" hidden="false" customHeight="true" outlineLevel="0" collapsed="false">
      <c r="A18" s="5" t="s">
        <v>160</v>
      </c>
      <c r="B18" s="5" t="s">
        <v>161</v>
      </c>
      <c r="C18" s="5" t="s">
        <v>39</v>
      </c>
      <c r="D18" s="5" t="s">
        <v>137</v>
      </c>
      <c r="E18" s="5" t="s">
        <v>162</v>
      </c>
      <c r="F18" s="5" t="s">
        <v>163</v>
      </c>
      <c r="G18" s="5" t="s">
        <v>164</v>
      </c>
      <c r="H18" s="5" t="s">
        <v>165</v>
      </c>
      <c r="I18" s="5" t="s">
        <v>166</v>
      </c>
    </row>
    <row r="19" customFormat="false" ht="15" hidden="false" customHeight="true" outlineLevel="0" collapsed="false">
      <c r="A19" s="5" t="s">
        <v>166</v>
      </c>
      <c r="B19" s="5" t="s">
        <v>161</v>
      </c>
      <c r="C19" s="5" t="s">
        <v>39</v>
      </c>
      <c r="D19" s="5" t="s">
        <v>155</v>
      </c>
      <c r="E19" s="5" t="s">
        <v>167</v>
      </c>
      <c r="F19" s="5" t="s">
        <v>168</v>
      </c>
      <c r="G19" s="5" t="s">
        <v>86</v>
      </c>
      <c r="H19" s="5" t="s">
        <v>90</v>
      </c>
      <c r="I19" s="5" t="s">
        <v>169</v>
      </c>
    </row>
    <row r="20" customFormat="false" ht="23.25" hidden="false" customHeight="true" outlineLevel="0" collapsed="false">
      <c r="A20" s="5" t="s">
        <v>169</v>
      </c>
      <c r="B20" s="5" t="s">
        <v>170</v>
      </c>
      <c r="C20" s="5" t="s">
        <v>42</v>
      </c>
      <c r="D20" s="5" t="s">
        <v>137</v>
      </c>
      <c r="E20" s="5" t="s">
        <v>171</v>
      </c>
      <c r="F20" s="5" t="s">
        <v>172</v>
      </c>
      <c r="G20" s="5" t="s">
        <v>173</v>
      </c>
      <c r="H20" s="5" t="s">
        <v>90</v>
      </c>
      <c r="I20" s="5" t="s">
        <v>174</v>
      </c>
    </row>
    <row r="21" customFormat="false" ht="34.5" hidden="false" customHeight="true" outlineLevel="0" collapsed="false">
      <c r="A21" s="5" t="s">
        <v>174</v>
      </c>
      <c r="B21" s="5" t="s">
        <v>170</v>
      </c>
      <c r="C21" s="5" t="s">
        <v>42</v>
      </c>
      <c r="D21" s="5" t="s">
        <v>137</v>
      </c>
      <c r="E21" s="5" t="s">
        <v>175</v>
      </c>
      <c r="F21" s="5" t="s">
        <v>176</v>
      </c>
      <c r="G21" s="5" t="s">
        <v>177</v>
      </c>
      <c r="H21" s="5" t="s">
        <v>178</v>
      </c>
      <c r="I21" s="5" t="s">
        <v>179</v>
      </c>
    </row>
    <row r="22" customFormat="false" ht="23.25" hidden="false" customHeight="true" outlineLevel="0" collapsed="false">
      <c r="A22" s="5" t="s">
        <v>179</v>
      </c>
      <c r="B22" s="5" t="s">
        <v>170</v>
      </c>
      <c r="C22" s="5" t="s">
        <v>42</v>
      </c>
      <c r="D22" s="5" t="s">
        <v>137</v>
      </c>
      <c r="E22" s="5" t="s">
        <v>180</v>
      </c>
      <c r="F22" s="5" t="s">
        <v>181</v>
      </c>
      <c r="G22" s="5" t="s">
        <v>182</v>
      </c>
      <c r="H22" s="5" t="s">
        <v>183</v>
      </c>
      <c r="I22" s="5" t="s">
        <v>184</v>
      </c>
    </row>
    <row r="23" customFormat="false" ht="34.5" hidden="false" customHeight="true" outlineLevel="0" collapsed="false">
      <c r="A23" s="5" t="s">
        <v>184</v>
      </c>
      <c r="B23" s="5" t="s">
        <v>185</v>
      </c>
      <c r="C23" s="5" t="s">
        <v>45</v>
      </c>
      <c r="D23" s="5" t="s">
        <v>186</v>
      </c>
      <c r="E23" s="5" t="s">
        <v>187</v>
      </c>
      <c r="F23" s="5" t="s">
        <v>188</v>
      </c>
      <c r="G23" s="5" t="s">
        <v>189</v>
      </c>
      <c r="H23" s="5" t="s">
        <v>159</v>
      </c>
      <c r="I23" s="5" t="s">
        <v>190</v>
      </c>
    </row>
    <row r="24" customFormat="false" ht="34.5" hidden="false" customHeight="true" outlineLevel="0" collapsed="false">
      <c r="A24" s="5" t="s">
        <v>190</v>
      </c>
      <c r="B24" s="5" t="s">
        <v>185</v>
      </c>
      <c r="C24" s="5" t="s">
        <v>45</v>
      </c>
      <c r="D24" s="5" t="s">
        <v>191</v>
      </c>
      <c r="E24" s="5" t="s">
        <v>192</v>
      </c>
      <c r="F24" s="5" t="s">
        <v>193</v>
      </c>
      <c r="G24" s="5" t="s">
        <v>86</v>
      </c>
      <c r="H24" s="5" t="s">
        <v>194</v>
      </c>
      <c r="I24" s="5" t="s">
        <v>195</v>
      </c>
    </row>
    <row r="25" customFormat="false" ht="34.5" hidden="false" customHeight="true" outlineLevel="0" collapsed="false">
      <c r="A25" s="5" t="s">
        <v>195</v>
      </c>
      <c r="B25" s="5" t="s">
        <v>8</v>
      </c>
      <c r="C25" s="5" t="s">
        <v>196</v>
      </c>
      <c r="D25" s="5" t="s">
        <v>86</v>
      </c>
      <c r="E25" s="5" t="s">
        <v>197</v>
      </c>
      <c r="F25" s="5" t="s">
        <v>86</v>
      </c>
      <c r="G25" s="5" t="s">
        <v>198</v>
      </c>
      <c r="H25" s="5" t="s">
        <v>199</v>
      </c>
      <c r="I25" s="5" t="s">
        <v>200</v>
      </c>
    </row>
    <row r="26" customFormat="false" ht="23.25" hidden="false" customHeight="true" outlineLevel="0" collapsed="false">
      <c r="A26" s="5" t="s">
        <v>201</v>
      </c>
      <c r="B26" s="5" t="s">
        <v>13</v>
      </c>
      <c r="C26" s="5" t="s">
        <v>48</v>
      </c>
      <c r="D26" s="5" t="s">
        <v>86</v>
      </c>
      <c r="E26" s="5" t="s">
        <v>202</v>
      </c>
      <c r="F26" s="5" t="s">
        <v>109</v>
      </c>
      <c r="G26" s="5" t="s">
        <v>203</v>
      </c>
      <c r="H26" s="5" t="s">
        <v>86</v>
      </c>
      <c r="I26" s="5" t="s">
        <v>204</v>
      </c>
    </row>
    <row r="27" customFormat="false" ht="68.25" hidden="false" customHeight="true" outlineLevel="0" collapsed="false">
      <c r="A27" s="5" t="s">
        <v>204</v>
      </c>
      <c r="B27" s="5" t="s">
        <v>13</v>
      </c>
      <c r="C27" s="5" t="s">
        <v>48</v>
      </c>
      <c r="D27" s="5" t="s">
        <v>137</v>
      </c>
      <c r="E27" s="5" t="s">
        <v>205</v>
      </c>
      <c r="F27" s="5" t="s">
        <v>206</v>
      </c>
      <c r="G27" s="5" t="s">
        <v>207</v>
      </c>
      <c r="H27" s="5" t="s">
        <v>86</v>
      </c>
      <c r="I27" s="5" t="s">
        <v>208</v>
      </c>
    </row>
    <row r="28" customFormat="false" ht="45.75" hidden="false" customHeight="true" outlineLevel="0" collapsed="false">
      <c r="A28" s="5" t="s">
        <v>208</v>
      </c>
      <c r="B28" s="5" t="s">
        <v>13</v>
      </c>
      <c r="C28" s="5" t="s">
        <v>48</v>
      </c>
      <c r="D28" s="5" t="s">
        <v>137</v>
      </c>
      <c r="E28" s="5" t="s">
        <v>209</v>
      </c>
      <c r="F28" s="5" t="s">
        <v>210</v>
      </c>
      <c r="G28" s="5" t="s">
        <v>211</v>
      </c>
      <c r="H28" s="5" t="s">
        <v>212</v>
      </c>
      <c r="I28" s="5" t="s">
        <v>213</v>
      </c>
    </row>
    <row r="29" customFormat="false" ht="45.75" hidden="false" customHeight="true" outlineLevel="0" collapsed="false">
      <c r="A29" s="5" t="s">
        <v>213</v>
      </c>
      <c r="B29" s="5" t="s">
        <v>13</v>
      </c>
      <c r="C29" s="5" t="s">
        <v>48</v>
      </c>
      <c r="D29" s="5" t="s">
        <v>214</v>
      </c>
      <c r="E29" s="5" t="s">
        <v>215</v>
      </c>
      <c r="F29" s="5" t="s">
        <v>216</v>
      </c>
      <c r="G29" s="5" t="s">
        <v>217</v>
      </c>
      <c r="H29" s="5" t="s">
        <v>218</v>
      </c>
      <c r="I29" s="5" t="s">
        <v>219</v>
      </c>
    </row>
    <row r="30" customFormat="false" ht="57" hidden="false" customHeight="true" outlineLevel="0" collapsed="false">
      <c r="A30" s="5" t="s">
        <v>219</v>
      </c>
      <c r="B30" s="5" t="s">
        <v>13</v>
      </c>
      <c r="C30" s="5" t="s">
        <v>48</v>
      </c>
      <c r="D30" s="5" t="s">
        <v>86</v>
      </c>
      <c r="E30" s="5" t="s">
        <v>220</v>
      </c>
      <c r="F30" s="5" t="s">
        <v>109</v>
      </c>
      <c r="G30" s="5" t="s">
        <v>221</v>
      </c>
      <c r="H30" s="5" t="s">
        <v>199</v>
      </c>
      <c r="I30" s="5" t="s">
        <v>222</v>
      </c>
    </row>
    <row r="31" customFormat="false" ht="23.25" hidden="false" customHeight="true" outlineLevel="0" collapsed="false">
      <c r="A31" s="5" t="s">
        <v>223</v>
      </c>
      <c r="B31" s="5" t="s">
        <v>16</v>
      </c>
      <c r="C31" s="5" t="s">
        <v>51</v>
      </c>
      <c r="D31" s="5" t="s">
        <v>86</v>
      </c>
      <c r="E31" s="5" t="s">
        <v>224</v>
      </c>
      <c r="F31" s="5" t="s">
        <v>86</v>
      </c>
      <c r="G31" s="5" t="s">
        <v>225</v>
      </c>
      <c r="H31" s="5" t="s">
        <v>86</v>
      </c>
      <c r="I31" s="5" t="s">
        <v>226</v>
      </c>
    </row>
    <row r="32" customFormat="false" ht="45.75" hidden="false" customHeight="true" outlineLevel="0" collapsed="false">
      <c r="A32" s="5" t="s">
        <v>226</v>
      </c>
      <c r="B32" s="5" t="s">
        <v>16</v>
      </c>
      <c r="C32" s="5" t="s">
        <v>51</v>
      </c>
      <c r="D32" s="5" t="s">
        <v>227</v>
      </c>
      <c r="E32" s="5" t="s">
        <v>228</v>
      </c>
      <c r="F32" s="5" t="s">
        <v>229</v>
      </c>
      <c r="G32" s="5" t="s">
        <v>230</v>
      </c>
      <c r="H32" s="5" t="s">
        <v>86</v>
      </c>
      <c r="I32" s="5" t="s">
        <v>231</v>
      </c>
    </row>
    <row r="33" customFormat="false" ht="45.75" hidden="false" customHeight="true" outlineLevel="0" collapsed="false">
      <c r="A33" s="5" t="s">
        <v>231</v>
      </c>
      <c r="B33" s="5" t="s">
        <v>16</v>
      </c>
      <c r="C33" s="5" t="s">
        <v>51</v>
      </c>
      <c r="D33" s="5" t="s">
        <v>92</v>
      </c>
      <c r="E33" s="5" t="s">
        <v>232</v>
      </c>
      <c r="F33" s="5" t="s">
        <v>233</v>
      </c>
      <c r="G33" s="5" t="s">
        <v>234</v>
      </c>
      <c r="H33" s="5" t="s">
        <v>86</v>
      </c>
      <c r="I33" s="5" t="s">
        <v>235</v>
      </c>
    </row>
    <row r="34" customFormat="false" ht="57" hidden="false" customHeight="true" outlineLevel="0" collapsed="false">
      <c r="A34" s="5" t="s">
        <v>235</v>
      </c>
      <c r="B34" s="5" t="s">
        <v>16</v>
      </c>
      <c r="C34" s="5" t="s">
        <v>51</v>
      </c>
      <c r="D34" s="5" t="s">
        <v>113</v>
      </c>
      <c r="E34" s="5" t="s">
        <v>236</v>
      </c>
      <c r="F34" s="5" t="s">
        <v>237</v>
      </c>
      <c r="G34" s="5" t="s">
        <v>238</v>
      </c>
      <c r="H34" s="5" t="s">
        <v>86</v>
      </c>
      <c r="I34" s="5" t="s">
        <v>239</v>
      </c>
    </row>
    <row r="35" customFormat="false" ht="45.75" hidden="false" customHeight="true" outlineLevel="0" collapsed="false">
      <c r="A35" s="5" t="s">
        <v>239</v>
      </c>
      <c r="B35" s="5" t="s">
        <v>16</v>
      </c>
      <c r="C35" s="5" t="s">
        <v>51</v>
      </c>
      <c r="D35" s="5" t="s">
        <v>123</v>
      </c>
      <c r="E35" s="5" t="s">
        <v>240</v>
      </c>
      <c r="F35" s="5" t="s">
        <v>241</v>
      </c>
      <c r="G35" s="5" t="s">
        <v>242</v>
      </c>
      <c r="H35" s="5" t="s">
        <v>86</v>
      </c>
      <c r="I35" s="5" t="s">
        <v>243</v>
      </c>
    </row>
    <row r="36" customFormat="false" ht="57" hidden="false" customHeight="true" outlineLevel="0" collapsed="false">
      <c r="A36" s="5" t="s">
        <v>243</v>
      </c>
      <c r="B36" s="5" t="s">
        <v>16</v>
      </c>
      <c r="C36" s="5" t="s">
        <v>51</v>
      </c>
      <c r="D36" s="5" t="s">
        <v>137</v>
      </c>
      <c r="E36" s="5" t="s">
        <v>244</v>
      </c>
      <c r="F36" s="5" t="s">
        <v>245</v>
      </c>
      <c r="G36" s="5" t="s">
        <v>246</v>
      </c>
      <c r="H36" s="5" t="s">
        <v>86</v>
      </c>
      <c r="I36" s="5" t="s">
        <v>247</v>
      </c>
    </row>
    <row r="37" customFormat="false" ht="57" hidden="false" customHeight="true" outlineLevel="0" collapsed="false">
      <c r="A37" s="5" t="s">
        <v>247</v>
      </c>
      <c r="B37" s="5" t="s">
        <v>16</v>
      </c>
      <c r="C37" s="5" t="s">
        <v>51</v>
      </c>
      <c r="D37" s="5" t="s">
        <v>86</v>
      </c>
      <c r="E37" s="5" t="s">
        <v>248</v>
      </c>
      <c r="F37" s="5" t="s">
        <v>109</v>
      </c>
      <c r="G37" s="5" t="s">
        <v>249</v>
      </c>
      <c r="H37" s="5" t="s">
        <v>250</v>
      </c>
      <c r="I37" s="5" t="s">
        <v>251</v>
      </c>
    </row>
    <row r="38" customFormat="false" ht="34.5" hidden="false" customHeight="true" outlineLevel="0" collapsed="false">
      <c r="A38" s="5" t="s">
        <v>252</v>
      </c>
      <c r="B38" s="5" t="s">
        <v>19</v>
      </c>
      <c r="C38" s="5" t="s">
        <v>54</v>
      </c>
      <c r="D38" s="5" t="s">
        <v>253</v>
      </c>
      <c r="E38" s="5" t="s">
        <v>254</v>
      </c>
      <c r="F38" s="5" t="s">
        <v>86</v>
      </c>
      <c r="G38" s="5" t="s">
        <v>255</v>
      </c>
      <c r="H38" s="5" t="s">
        <v>86</v>
      </c>
      <c r="I38" s="5" t="s">
        <v>256</v>
      </c>
    </row>
    <row r="39" customFormat="false" ht="57" hidden="false" customHeight="true" outlineLevel="0" collapsed="false">
      <c r="A39" s="5" t="s">
        <v>256</v>
      </c>
      <c r="B39" s="5" t="s">
        <v>19</v>
      </c>
      <c r="C39" s="5" t="s">
        <v>54</v>
      </c>
      <c r="D39" s="5" t="s">
        <v>143</v>
      </c>
      <c r="E39" s="5" t="s">
        <v>257</v>
      </c>
      <c r="F39" s="5" t="s">
        <v>258</v>
      </c>
      <c r="G39" s="5" t="s">
        <v>259</v>
      </c>
      <c r="H39" s="5" t="s">
        <v>260</v>
      </c>
      <c r="I39" s="5" t="s">
        <v>261</v>
      </c>
    </row>
    <row r="40" customFormat="false" ht="45.75" hidden="false" customHeight="true" outlineLevel="0" collapsed="false">
      <c r="A40" s="5" t="s">
        <v>261</v>
      </c>
      <c r="B40" s="5" t="s">
        <v>19</v>
      </c>
      <c r="C40" s="5" t="s">
        <v>54</v>
      </c>
      <c r="D40" s="5" t="s">
        <v>262</v>
      </c>
      <c r="E40" s="5" t="s">
        <v>263</v>
      </c>
      <c r="F40" s="5" t="s">
        <v>264</v>
      </c>
      <c r="G40" s="5" t="s">
        <v>265</v>
      </c>
      <c r="H40" s="5" t="s">
        <v>266</v>
      </c>
      <c r="I40" s="5" t="s">
        <v>267</v>
      </c>
    </row>
    <row r="41" customFormat="false" ht="45.75" hidden="false" customHeight="true" outlineLevel="0" collapsed="false">
      <c r="A41" s="5" t="s">
        <v>267</v>
      </c>
      <c r="B41" s="5" t="s">
        <v>19</v>
      </c>
      <c r="C41" s="5" t="s">
        <v>54</v>
      </c>
      <c r="D41" s="5" t="s">
        <v>268</v>
      </c>
      <c r="E41" s="5" t="s">
        <v>269</v>
      </c>
      <c r="F41" s="5" t="s">
        <v>270</v>
      </c>
      <c r="G41" s="5" t="s">
        <v>271</v>
      </c>
      <c r="H41" s="5" t="s">
        <v>272</v>
      </c>
      <c r="I41" s="5" t="s">
        <v>273</v>
      </c>
    </row>
    <row r="42" customFormat="false" ht="34.5" hidden="false" customHeight="true" outlineLevel="0" collapsed="false">
      <c r="A42" s="5" t="s">
        <v>273</v>
      </c>
      <c r="B42" s="5" t="s">
        <v>19</v>
      </c>
      <c r="C42" s="5" t="s">
        <v>54</v>
      </c>
      <c r="D42" s="5" t="s">
        <v>143</v>
      </c>
      <c r="E42" s="5" t="s">
        <v>274</v>
      </c>
      <c r="F42" s="5" t="s">
        <v>275</v>
      </c>
      <c r="G42" s="5" t="s">
        <v>276</v>
      </c>
      <c r="H42" s="5" t="s">
        <v>277</v>
      </c>
      <c r="I42" s="5" t="s">
        <v>278</v>
      </c>
    </row>
    <row r="43" customFormat="false" ht="45.75" hidden="false" customHeight="true" outlineLevel="0" collapsed="false">
      <c r="A43" s="5" t="s">
        <v>278</v>
      </c>
      <c r="B43" s="5" t="s">
        <v>19</v>
      </c>
      <c r="C43" s="5" t="s">
        <v>54</v>
      </c>
      <c r="D43" s="5" t="s">
        <v>143</v>
      </c>
      <c r="E43" s="5" t="s">
        <v>279</v>
      </c>
      <c r="F43" s="5" t="s">
        <v>280</v>
      </c>
      <c r="G43" s="5" t="s">
        <v>281</v>
      </c>
      <c r="H43" s="5" t="s">
        <v>282</v>
      </c>
      <c r="I43" s="5" t="s">
        <v>283</v>
      </c>
    </row>
    <row r="44" customFormat="false" ht="68.25" hidden="false" customHeight="true" outlineLevel="0" collapsed="false">
      <c r="A44" s="5" t="s">
        <v>283</v>
      </c>
      <c r="B44" s="5" t="s">
        <v>19</v>
      </c>
      <c r="C44" s="5" t="s">
        <v>54</v>
      </c>
      <c r="D44" s="5" t="s">
        <v>86</v>
      </c>
      <c r="E44" s="5" t="s">
        <v>284</v>
      </c>
      <c r="F44" s="5" t="s">
        <v>285</v>
      </c>
      <c r="G44" s="5" t="s">
        <v>286</v>
      </c>
      <c r="H44" s="5" t="s">
        <v>250</v>
      </c>
      <c r="I44" s="5" t="s">
        <v>287</v>
      </c>
    </row>
    <row r="45" customFormat="false" ht="34.5" hidden="false" customHeight="true" outlineLevel="0" collapsed="false">
      <c r="A45" s="5" t="s">
        <v>288</v>
      </c>
      <c r="B45" s="5" t="s">
        <v>22</v>
      </c>
      <c r="C45" s="5" t="s">
        <v>57</v>
      </c>
      <c r="D45" s="5" t="s">
        <v>86</v>
      </c>
      <c r="E45" s="5" t="s">
        <v>289</v>
      </c>
      <c r="F45" s="5" t="s">
        <v>86</v>
      </c>
      <c r="G45" s="5" t="s">
        <v>290</v>
      </c>
      <c r="H45" s="5" t="s">
        <v>86</v>
      </c>
      <c r="I45" s="5" t="s">
        <v>291</v>
      </c>
    </row>
    <row r="46" customFormat="false" ht="57" hidden="false" customHeight="true" outlineLevel="0" collapsed="false">
      <c r="A46" s="5" t="s">
        <v>291</v>
      </c>
      <c r="B46" s="5" t="s">
        <v>22</v>
      </c>
      <c r="C46" s="5" t="s">
        <v>57</v>
      </c>
      <c r="D46" s="5" t="s">
        <v>86</v>
      </c>
      <c r="E46" s="5" t="s">
        <v>292</v>
      </c>
      <c r="F46" s="5" t="s">
        <v>293</v>
      </c>
      <c r="G46" s="5" t="s">
        <v>294</v>
      </c>
      <c r="H46" s="5" t="s">
        <v>86</v>
      </c>
      <c r="I46" s="5" t="s">
        <v>295</v>
      </c>
    </row>
    <row r="47" customFormat="false" ht="102" hidden="false" customHeight="true" outlineLevel="0" collapsed="false">
      <c r="A47" s="5" t="s">
        <v>295</v>
      </c>
      <c r="B47" s="5" t="s">
        <v>22</v>
      </c>
      <c r="C47" s="5" t="s">
        <v>57</v>
      </c>
      <c r="D47" s="5" t="s">
        <v>86</v>
      </c>
      <c r="E47" s="5" t="s">
        <v>296</v>
      </c>
      <c r="F47" s="5" t="s">
        <v>297</v>
      </c>
      <c r="G47" s="5" t="s">
        <v>298</v>
      </c>
      <c r="H47" s="5" t="s">
        <v>86</v>
      </c>
      <c r="I47" s="5" t="s">
        <v>299</v>
      </c>
    </row>
    <row r="48" customFormat="false" ht="90.75" hidden="false" customHeight="true" outlineLevel="0" collapsed="false">
      <c r="A48" s="5" t="s">
        <v>299</v>
      </c>
      <c r="B48" s="5" t="s">
        <v>22</v>
      </c>
      <c r="C48" s="5" t="s">
        <v>57</v>
      </c>
      <c r="D48" s="5" t="s">
        <v>86</v>
      </c>
      <c r="E48" s="5" t="s">
        <v>300</v>
      </c>
      <c r="F48" s="5" t="s">
        <v>301</v>
      </c>
      <c r="G48" s="5" t="s">
        <v>302</v>
      </c>
      <c r="H48" s="5" t="s">
        <v>303</v>
      </c>
      <c r="I48" s="5" t="s">
        <v>304</v>
      </c>
    </row>
    <row r="49" customFormat="false" ht="57" hidden="false" customHeight="true" outlineLevel="0" collapsed="false">
      <c r="A49" s="5" t="s">
        <v>304</v>
      </c>
      <c r="B49" s="5" t="s">
        <v>22</v>
      </c>
      <c r="C49" s="5" t="s">
        <v>57</v>
      </c>
      <c r="D49" s="5" t="s">
        <v>86</v>
      </c>
      <c r="E49" s="5" t="s">
        <v>305</v>
      </c>
      <c r="F49" s="5" t="s">
        <v>109</v>
      </c>
      <c r="G49" s="5" t="s">
        <v>306</v>
      </c>
      <c r="H49" s="5" t="s">
        <v>250</v>
      </c>
      <c r="I49" s="5" t="s">
        <v>307</v>
      </c>
    </row>
    <row r="50" customFormat="false" ht="57" hidden="false" customHeight="true" outlineLevel="0" collapsed="false">
      <c r="A50" s="5" t="s">
        <v>308</v>
      </c>
      <c r="B50" s="5" t="s">
        <v>25</v>
      </c>
      <c r="C50" s="5" t="s">
        <v>60</v>
      </c>
      <c r="D50" s="5" t="s">
        <v>86</v>
      </c>
      <c r="E50" s="5" t="s">
        <v>309</v>
      </c>
      <c r="F50" s="5" t="s">
        <v>86</v>
      </c>
      <c r="G50" s="5" t="s">
        <v>310</v>
      </c>
      <c r="H50" s="5" t="s">
        <v>86</v>
      </c>
      <c r="I50" s="5" t="s">
        <v>311</v>
      </c>
    </row>
    <row r="51" customFormat="false" ht="90.75" hidden="false" customHeight="true" outlineLevel="0" collapsed="false">
      <c r="A51" s="5" t="s">
        <v>311</v>
      </c>
      <c r="B51" s="5" t="s">
        <v>25</v>
      </c>
      <c r="C51" s="5" t="s">
        <v>60</v>
      </c>
      <c r="D51" s="5" t="s">
        <v>86</v>
      </c>
      <c r="E51" s="5" t="s">
        <v>312</v>
      </c>
      <c r="F51" s="5" t="s">
        <v>313</v>
      </c>
      <c r="G51" s="5" t="s">
        <v>314</v>
      </c>
      <c r="H51" s="5" t="s">
        <v>86</v>
      </c>
      <c r="I51" s="5" t="s">
        <v>315</v>
      </c>
    </row>
    <row r="52" customFormat="false" ht="57" hidden="false" customHeight="true" outlineLevel="0" collapsed="false">
      <c r="A52" s="5" t="s">
        <v>315</v>
      </c>
      <c r="B52" s="5" t="s">
        <v>25</v>
      </c>
      <c r="C52" s="5" t="s">
        <v>60</v>
      </c>
      <c r="D52" s="5" t="s">
        <v>227</v>
      </c>
      <c r="E52" s="5" t="s">
        <v>316</v>
      </c>
      <c r="F52" s="5" t="s">
        <v>317</v>
      </c>
      <c r="G52" s="5" t="s">
        <v>318</v>
      </c>
      <c r="H52" s="5" t="s">
        <v>86</v>
      </c>
      <c r="I52" s="5" t="s">
        <v>319</v>
      </c>
    </row>
    <row r="53" customFormat="false" ht="57" hidden="false" customHeight="true" outlineLevel="0" collapsed="false">
      <c r="A53" s="5" t="s">
        <v>319</v>
      </c>
      <c r="B53" s="5" t="s">
        <v>25</v>
      </c>
      <c r="C53" s="5" t="s">
        <v>60</v>
      </c>
      <c r="D53" s="5" t="s">
        <v>92</v>
      </c>
      <c r="E53" s="5" t="s">
        <v>320</v>
      </c>
      <c r="F53" s="5" t="s">
        <v>321</v>
      </c>
      <c r="G53" s="5" t="s">
        <v>322</v>
      </c>
      <c r="H53" s="5" t="s">
        <v>323</v>
      </c>
      <c r="I53" s="5" t="s">
        <v>324</v>
      </c>
    </row>
    <row r="54" customFormat="false" ht="79.5" hidden="false" customHeight="true" outlineLevel="0" collapsed="false">
      <c r="A54" s="5" t="s">
        <v>324</v>
      </c>
      <c r="B54" s="5" t="s">
        <v>25</v>
      </c>
      <c r="C54" s="5" t="s">
        <v>60</v>
      </c>
      <c r="D54" s="5" t="s">
        <v>325</v>
      </c>
      <c r="E54" s="5" t="s">
        <v>326</v>
      </c>
      <c r="F54" s="5" t="s">
        <v>327</v>
      </c>
      <c r="G54" s="5" t="s">
        <v>328</v>
      </c>
      <c r="H54" s="5" t="s">
        <v>86</v>
      </c>
      <c r="I54" s="5" t="s">
        <v>329</v>
      </c>
    </row>
    <row r="55" customFormat="false" ht="79.5" hidden="false" customHeight="true" outlineLevel="0" collapsed="false">
      <c r="A55" s="5" t="s">
        <v>329</v>
      </c>
      <c r="B55" s="5" t="s">
        <v>25</v>
      </c>
      <c r="C55" s="5" t="s">
        <v>60</v>
      </c>
      <c r="D55" s="5" t="s">
        <v>86</v>
      </c>
      <c r="E55" s="5" t="s">
        <v>330</v>
      </c>
      <c r="F55" s="5" t="s">
        <v>109</v>
      </c>
      <c r="G55" s="5" t="s">
        <v>331</v>
      </c>
      <c r="H55" s="5" t="s">
        <v>250</v>
      </c>
      <c r="I55" s="5" t="s">
        <v>332</v>
      </c>
    </row>
    <row r="56" customFormat="false" ht="45.75" hidden="false" customHeight="true" outlineLevel="0" collapsed="false">
      <c r="A56" s="5" t="s">
        <v>333</v>
      </c>
      <c r="B56" s="5" t="s">
        <v>28</v>
      </c>
      <c r="C56" s="5" t="s">
        <v>63</v>
      </c>
      <c r="D56" s="5" t="s">
        <v>86</v>
      </c>
      <c r="E56" s="5" t="s">
        <v>334</v>
      </c>
      <c r="F56" s="5" t="s">
        <v>86</v>
      </c>
      <c r="G56" s="5" t="s">
        <v>335</v>
      </c>
      <c r="H56" s="5" t="s">
        <v>86</v>
      </c>
      <c r="I56" s="5" t="s">
        <v>336</v>
      </c>
    </row>
    <row r="57" customFormat="false" ht="79.5" hidden="false" customHeight="true" outlineLevel="0" collapsed="false">
      <c r="A57" s="5" t="s">
        <v>336</v>
      </c>
      <c r="B57" s="5" t="s">
        <v>28</v>
      </c>
      <c r="C57" s="5" t="s">
        <v>63</v>
      </c>
      <c r="D57" s="5" t="s">
        <v>92</v>
      </c>
      <c r="E57" s="5" t="s">
        <v>337</v>
      </c>
      <c r="F57" s="5" t="s">
        <v>338</v>
      </c>
      <c r="G57" s="5" t="s">
        <v>339</v>
      </c>
      <c r="H57" s="5" t="s">
        <v>340</v>
      </c>
      <c r="I57" s="5" t="s">
        <v>341</v>
      </c>
    </row>
    <row r="58" customFormat="false" ht="79.5" hidden="false" customHeight="true" outlineLevel="0" collapsed="false">
      <c r="A58" s="5" t="s">
        <v>341</v>
      </c>
      <c r="B58" s="5" t="s">
        <v>28</v>
      </c>
      <c r="C58" s="5" t="s">
        <v>63</v>
      </c>
      <c r="D58" s="5" t="s">
        <v>137</v>
      </c>
      <c r="E58" s="5" t="s">
        <v>342</v>
      </c>
      <c r="F58" s="5" t="s">
        <v>343</v>
      </c>
      <c r="G58" s="5" t="s">
        <v>344</v>
      </c>
      <c r="H58" s="5" t="s">
        <v>86</v>
      </c>
      <c r="I58" s="5" t="s">
        <v>345</v>
      </c>
    </row>
    <row r="59" customFormat="false" ht="90.75" hidden="false" customHeight="true" outlineLevel="0" collapsed="false">
      <c r="A59" s="5" t="s">
        <v>345</v>
      </c>
      <c r="B59" s="5" t="s">
        <v>28</v>
      </c>
      <c r="C59" s="5" t="s">
        <v>63</v>
      </c>
      <c r="D59" s="5" t="s">
        <v>92</v>
      </c>
      <c r="E59" s="5" t="s">
        <v>346</v>
      </c>
      <c r="F59" s="5" t="s">
        <v>347</v>
      </c>
      <c r="G59" s="5" t="s">
        <v>348</v>
      </c>
      <c r="H59" s="5" t="s">
        <v>86</v>
      </c>
      <c r="I59" s="5" t="s">
        <v>349</v>
      </c>
    </row>
    <row r="60" customFormat="false" ht="90.75" hidden="false" customHeight="true" outlineLevel="0" collapsed="false">
      <c r="A60" s="5" t="s">
        <v>349</v>
      </c>
      <c r="B60" s="5" t="s">
        <v>28</v>
      </c>
      <c r="C60" s="5" t="s">
        <v>63</v>
      </c>
      <c r="D60" s="5" t="s">
        <v>86</v>
      </c>
      <c r="E60" s="5" t="s">
        <v>350</v>
      </c>
      <c r="F60" s="5" t="s">
        <v>351</v>
      </c>
      <c r="G60" s="5" t="s">
        <v>352</v>
      </c>
      <c r="H60" s="5" t="s">
        <v>353</v>
      </c>
      <c r="I60" s="5" t="s">
        <v>354</v>
      </c>
    </row>
    <row r="61" customFormat="false" ht="45.75" hidden="false" customHeight="true" outlineLevel="0" collapsed="false">
      <c r="A61" s="5" t="s">
        <v>355</v>
      </c>
      <c r="B61" s="5" t="s">
        <v>31</v>
      </c>
      <c r="C61" s="5" t="s">
        <v>66</v>
      </c>
      <c r="D61" s="5" t="s">
        <v>86</v>
      </c>
      <c r="E61" s="5" t="s">
        <v>356</v>
      </c>
      <c r="F61" s="5" t="s">
        <v>86</v>
      </c>
      <c r="G61" s="5" t="s">
        <v>357</v>
      </c>
      <c r="H61" s="5" t="s">
        <v>86</v>
      </c>
      <c r="I61" s="5" t="s">
        <v>358</v>
      </c>
    </row>
    <row r="62" customFormat="false" ht="57" hidden="false" customHeight="true" outlineLevel="0" collapsed="false">
      <c r="A62" s="5" t="s">
        <v>358</v>
      </c>
      <c r="B62" s="5" t="s">
        <v>31</v>
      </c>
      <c r="C62" s="5" t="s">
        <v>66</v>
      </c>
      <c r="D62" s="5" t="s">
        <v>86</v>
      </c>
      <c r="E62" s="5" t="s">
        <v>359</v>
      </c>
      <c r="F62" s="5" t="s">
        <v>86</v>
      </c>
      <c r="G62" s="5" t="s">
        <v>360</v>
      </c>
      <c r="H62" s="5" t="s">
        <v>86</v>
      </c>
      <c r="I62" s="5" t="s">
        <v>361</v>
      </c>
    </row>
    <row r="63" customFormat="false" ht="113.25" hidden="false" customHeight="true" outlineLevel="0" collapsed="false">
      <c r="A63" s="5" t="s">
        <v>361</v>
      </c>
      <c r="B63" s="5" t="s">
        <v>31</v>
      </c>
      <c r="C63" s="5" t="s">
        <v>66</v>
      </c>
      <c r="D63" s="5" t="s">
        <v>362</v>
      </c>
      <c r="E63" s="5" t="s">
        <v>363</v>
      </c>
      <c r="F63" s="5" t="s">
        <v>364</v>
      </c>
      <c r="G63" s="5" t="s">
        <v>365</v>
      </c>
      <c r="H63" s="5" t="s">
        <v>86</v>
      </c>
      <c r="I63" s="5" t="s">
        <v>366</v>
      </c>
    </row>
    <row r="64" customFormat="false" ht="68.25" hidden="false" customHeight="true" outlineLevel="0" collapsed="false">
      <c r="A64" s="5" t="s">
        <v>366</v>
      </c>
      <c r="B64" s="5" t="s">
        <v>31</v>
      </c>
      <c r="C64" s="5" t="s">
        <v>66</v>
      </c>
      <c r="D64" s="5" t="s">
        <v>92</v>
      </c>
      <c r="E64" s="5" t="s">
        <v>367</v>
      </c>
      <c r="F64" s="5" t="s">
        <v>368</v>
      </c>
      <c r="G64" s="5" t="s">
        <v>369</v>
      </c>
      <c r="H64" s="5" t="s">
        <v>86</v>
      </c>
      <c r="I64" s="5" t="s">
        <v>370</v>
      </c>
    </row>
    <row r="65" customFormat="false" ht="90.75" hidden="false" customHeight="true" outlineLevel="0" collapsed="false">
      <c r="A65" s="5" t="s">
        <v>370</v>
      </c>
      <c r="B65" s="5" t="s">
        <v>31</v>
      </c>
      <c r="C65" s="5" t="s">
        <v>66</v>
      </c>
      <c r="D65" s="5" t="s">
        <v>92</v>
      </c>
      <c r="E65" s="5" t="s">
        <v>371</v>
      </c>
      <c r="F65" s="5" t="s">
        <v>372</v>
      </c>
      <c r="G65" s="5" t="s">
        <v>373</v>
      </c>
      <c r="H65" s="5" t="s">
        <v>159</v>
      </c>
      <c r="I65" s="5" t="s">
        <v>374</v>
      </c>
    </row>
    <row r="66" customFormat="false" ht="68.25" hidden="false" customHeight="true" outlineLevel="0" collapsed="false">
      <c r="A66" s="5" t="s">
        <v>374</v>
      </c>
      <c r="B66" s="5" t="s">
        <v>31</v>
      </c>
      <c r="C66" s="5" t="s">
        <v>66</v>
      </c>
      <c r="D66" s="5" t="s">
        <v>86</v>
      </c>
      <c r="E66" s="5" t="s">
        <v>375</v>
      </c>
      <c r="F66" s="5" t="s">
        <v>109</v>
      </c>
      <c r="G66" s="5" t="s">
        <v>376</v>
      </c>
      <c r="H66" s="5" t="s">
        <v>377</v>
      </c>
      <c r="I66" s="5" t="s">
        <v>378</v>
      </c>
    </row>
    <row r="67" customFormat="false" ht="79.5" hidden="false" customHeight="true" outlineLevel="0" collapsed="false">
      <c r="A67" s="5" t="s">
        <v>379</v>
      </c>
      <c r="B67" s="5" t="s">
        <v>34</v>
      </c>
      <c r="C67" s="5" t="s">
        <v>69</v>
      </c>
      <c r="D67" s="5" t="s">
        <v>380</v>
      </c>
      <c r="E67" s="5" t="s">
        <v>381</v>
      </c>
      <c r="F67" s="5" t="s">
        <v>368</v>
      </c>
      <c r="G67" s="5" t="s">
        <v>382</v>
      </c>
      <c r="H67" s="5" t="s">
        <v>159</v>
      </c>
      <c r="I67" s="5" t="s">
        <v>383</v>
      </c>
    </row>
    <row r="68" customFormat="false" ht="45.75" hidden="false" customHeight="true" outlineLevel="0" collapsed="false">
      <c r="A68" s="5" t="s">
        <v>383</v>
      </c>
      <c r="B68" s="5" t="s">
        <v>34</v>
      </c>
      <c r="C68" s="5" t="s">
        <v>69</v>
      </c>
      <c r="D68" s="5" t="s">
        <v>86</v>
      </c>
      <c r="E68" s="5" t="s">
        <v>384</v>
      </c>
      <c r="F68" s="5" t="s">
        <v>368</v>
      </c>
      <c r="G68" s="5" t="s">
        <v>385</v>
      </c>
      <c r="H68" s="5" t="s">
        <v>86</v>
      </c>
      <c r="I68" s="5" t="s">
        <v>386</v>
      </c>
    </row>
    <row r="69" customFormat="false" ht="45.75" hidden="false" customHeight="true" outlineLevel="0" collapsed="false">
      <c r="A69" s="5" t="s">
        <v>386</v>
      </c>
      <c r="B69" s="5" t="s">
        <v>34</v>
      </c>
      <c r="C69" s="5" t="s">
        <v>69</v>
      </c>
      <c r="D69" s="5" t="s">
        <v>86</v>
      </c>
      <c r="E69" s="5" t="s">
        <v>387</v>
      </c>
      <c r="F69" s="5" t="s">
        <v>86</v>
      </c>
      <c r="G69" s="5" t="s">
        <v>388</v>
      </c>
      <c r="H69" s="5" t="s">
        <v>86</v>
      </c>
      <c r="I69" s="5" t="s">
        <v>389</v>
      </c>
    </row>
    <row r="70" customFormat="false" ht="79.5" hidden="false" customHeight="true" outlineLevel="0" collapsed="false">
      <c r="A70" s="5" t="s">
        <v>389</v>
      </c>
      <c r="B70" s="5" t="s">
        <v>34</v>
      </c>
      <c r="C70" s="5" t="s">
        <v>69</v>
      </c>
      <c r="D70" s="5" t="s">
        <v>86</v>
      </c>
      <c r="E70" s="5" t="s">
        <v>390</v>
      </c>
      <c r="F70" s="5" t="s">
        <v>86</v>
      </c>
      <c r="G70" s="5" t="s">
        <v>391</v>
      </c>
      <c r="H70" s="5" t="s">
        <v>86</v>
      </c>
      <c r="I70" s="5" t="s">
        <v>392</v>
      </c>
    </row>
    <row r="71" customFormat="false" ht="79.5" hidden="false" customHeight="true" outlineLevel="0" collapsed="false">
      <c r="A71" s="5" t="s">
        <v>392</v>
      </c>
      <c r="B71" s="5" t="s">
        <v>34</v>
      </c>
      <c r="C71" s="5" t="s">
        <v>69</v>
      </c>
      <c r="D71" s="5" t="s">
        <v>86</v>
      </c>
      <c r="E71" s="5" t="s">
        <v>393</v>
      </c>
      <c r="F71" s="5" t="s">
        <v>109</v>
      </c>
      <c r="G71" s="5" t="s">
        <v>394</v>
      </c>
      <c r="H71" s="5" t="s">
        <v>395</v>
      </c>
      <c r="I71" s="5" t="s">
        <v>396</v>
      </c>
    </row>
    <row r="72" customFormat="false" ht="45.75" hidden="false" customHeight="true" outlineLevel="0" collapsed="false">
      <c r="A72" s="5" t="s">
        <v>397</v>
      </c>
      <c r="B72" s="5" t="s">
        <v>37</v>
      </c>
      <c r="C72" s="5" t="s">
        <v>72</v>
      </c>
      <c r="D72" s="5" t="s">
        <v>86</v>
      </c>
      <c r="E72" s="5" t="s">
        <v>398</v>
      </c>
      <c r="F72" s="5" t="s">
        <v>86</v>
      </c>
      <c r="G72" s="5" t="s">
        <v>399</v>
      </c>
      <c r="H72" s="5" t="s">
        <v>86</v>
      </c>
      <c r="I72" s="5" t="s">
        <v>400</v>
      </c>
    </row>
    <row r="73" customFormat="false" ht="68.25" hidden="false" customHeight="true" outlineLevel="0" collapsed="false">
      <c r="A73" s="5" t="s">
        <v>400</v>
      </c>
      <c r="B73" s="5" t="s">
        <v>37</v>
      </c>
      <c r="C73" s="5" t="s">
        <v>72</v>
      </c>
      <c r="D73" s="5" t="s">
        <v>137</v>
      </c>
      <c r="E73" s="5" t="s">
        <v>401</v>
      </c>
      <c r="F73" s="5" t="s">
        <v>402</v>
      </c>
      <c r="G73" s="5" t="s">
        <v>403</v>
      </c>
      <c r="H73" s="5" t="s">
        <v>86</v>
      </c>
      <c r="I73" s="5" t="s">
        <v>404</v>
      </c>
    </row>
    <row r="74" customFormat="false" ht="57" hidden="false" customHeight="true" outlineLevel="0" collapsed="false">
      <c r="A74" s="5" t="s">
        <v>404</v>
      </c>
      <c r="B74" s="5" t="s">
        <v>37</v>
      </c>
      <c r="C74" s="5" t="s">
        <v>72</v>
      </c>
      <c r="D74" s="5" t="s">
        <v>325</v>
      </c>
      <c r="E74" s="5" t="s">
        <v>405</v>
      </c>
      <c r="F74" s="5" t="s">
        <v>406</v>
      </c>
      <c r="G74" s="5" t="s">
        <v>407</v>
      </c>
      <c r="H74" s="5" t="s">
        <v>86</v>
      </c>
      <c r="I74" s="5" t="s">
        <v>408</v>
      </c>
    </row>
    <row r="75" customFormat="false" ht="90.75" hidden="false" customHeight="true" outlineLevel="0" collapsed="false">
      <c r="A75" s="5" t="s">
        <v>408</v>
      </c>
      <c r="B75" s="5" t="s">
        <v>37</v>
      </c>
      <c r="C75" s="5" t="s">
        <v>72</v>
      </c>
      <c r="D75" s="5" t="s">
        <v>137</v>
      </c>
      <c r="E75" s="5" t="s">
        <v>409</v>
      </c>
      <c r="F75" s="5" t="s">
        <v>410</v>
      </c>
      <c r="G75" s="5" t="s">
        <v>411</v>
      </c>
      <c r="H75" s="5" t="s">
        <v>86</v>
      </c>
      <c r="I75" s="5" t="s">
        <v>412</v>
      </c>
    </row>
    <row r="76" customFormat="false" ht="79.5" hidden="false" customHeight="true" outlineLevel="0" collapsed="false">
      <c r="A76" s="5" t="s">
        <v>412</v>
      </c>
      <c r="B76" s="5" t="s">
        <v>37</v>
      </c>
      <c r="C76" s="5" t="s">
        <v>72</v>
      </c>
      <c r="D76" s="5" t="s">
        <v>86</v>
      </c>
      <c r="E76" s="5" t="s">
        <v>413</v>
      </c>
      <c r="F76" s="5" t="s">
        <v>109</v>
      </c>
      <c r="G76" s="5" t="s">
        <v>414</v>
      </c>
      <c r="H76" s="5" t="s">
        <v>415</v>
      </c>
      <c r="I76" s="5" t="s">
        <v>416</v>
      </c>
    </row>
    <row r="77" customFormat="false" ht="68.25" hidden="false" customHeight="true" outlineLevel="0" collapsed="false">
      <c r="A77" s="5" t="s">
        <v>417</v>
      </c>
      <c r="B77" s="5" t="s">
        <v>40</v>
      </c>
      <c r="C77" s="5" t="s">
        <v>418</v>
      </c>
      <c r="D77" s="5" t="s">
        <v>86</v>
      </c>
      <c r="E77" s="5" t="s">
        <v>419</v>
      </c>
      <c r="F77" s="5" t="s">
        <v>86</v>
      </c>
      <c r="G77" s="5" t="s">
        <v>420</v>
      </c>
      <c r="H77" s="5" t="s">
        <v>86</v>
      </c>
      <c r="I77" s="5" t="s">
        <v>421</v>
      </c>
    </row>
    <row r="78" customFormat="false" ht="57" hidden="false" customHeight="true" outlineLevel="0" collapsed="false">
      <c r="A78" s="5" t="s">
        <v>421</v>
      </c>
      <c r="B78" s="5" t="s">
        <v>40</v>
      </c>
      <c r="C78" s="5" t="s">
        <v>418</v>
      </c>
      <c r="D78" s="5" t="s">
        <v>86</v>
      </c>
      <c r="E78" s="5" t="s">
        <v>422</v>
      </c>
      <c r="F78" s="5" t="s">
        <v>86</v>
      </c>
      <c r="G78" s="5" t="s">
        <v>423</v>
      </c>
      <c r="H78" s="5" t="s">
        <v>86</v>
      </c>
      <c r="I78" s="5" t="s">
        <v>424</v>
      </c>
    </row>
    <row r="79" customFormat="false" ht="57" hidden="false" customHeight="true" outlineLevel="0" collapsed="false">
      <c r="A79" s="5" t="s">
        <v>424</v>
      </c>
      <c r="B79" s="5" t="s">
        <v>40</v>
      </c>
      <c r="C79" s="5" t="s">
        <v>418</v>
      </c>
      <c r="D79" s="5" t="s">
        <v>86</v>
      </c>
      <c r="E79" s="5" t="s">
        <v>425</v>
      </c>
      <c r="F79" s="5" t="s">
        <v>86</v>
      </c>
      <c r="G79" s="5" t="s">
        <v>426</v>
      </c>
      <c r="H79" s="5" t="s">
        <v>86</v>
      </c>
      <c r="I79" s="5" t="s">
        <v>427</v>
      </c>
    </row>
    <row r="80" customFormat="false" ht="79.5" hidden="false" customHeight="true" outlineLevel="0" collapsed="false">
      <c r="A80" s="5" t="s">
        <v>427</v>
      </c>
      <c r="B80" s="5" t="s">
        <v>40</v>
      </c>
      <c r="C80" s="5" t="s">
        <v>418</v>
      </c>
      <c r="D80" s="5" t="s">
        <v>86</v>
      </c>
      <c r="E80" s="5" t="s">
        <v>428</v>
      </c>
      <c r="F80" s="5" t="s">
        <v>109</v>
      </c>
      <c r="G80" s="5" t="s">
        <v>429</v>
      </c>
      <c r="H80" s="5" t="s">
        <v>395</v>
      </c>
      <c r="I80" s="5" t="s">
        <v>430</v>
      </c>
    </row>
    <row r="81" customFormat="false" ht="34.5" hidden="false" customHeight="true" outlineLevel="0" collapsed="false">
      <c r="A81" s="5" t="s">
        <v>431</v>
      </c>
      <c r="B81" s="5" t="s">
        <v>43</v>
      </c>
      <c r="C81" s="5" t="s">
        <v>432</v>
      </c>
      <c r="D81" s="5" t="s">
        <v>86</v>
      </c>
      <c r="E81" s="5" t="s">
        <v>433</v>
      </c>
      <c r="F81" s="5" t="s">
        <v>86</v>
      </c>
      <c r="G81" s="5" t="s">
        <v>434</v>
      </c>
      <c r="H81" s="5" t="s">
        <v>86</v>
      </c>
      <c r="I81" s="5" t="s">
        <v>435</v>
      </c>
    </row>
    <row r="82" customFormat="false" ht="79.5" hidden="false" customHeight="true" outlineLevel="0" collapsed="false">
      <c r="A82" s="5" t="s">
        <v>435</v>
      </c>
      <c r="B82" s="5" t="s">
        <v>43</v>
      </c>
      <c r="C82" s="5" t="s">
        <v>432</v>
      </c>
      <c r="D82" s="5" t="s">
        <v>86</v>
      </c>
      <c r="E82" s="5" t="s">
        <v>436</v>
      </c>
      <c r="F82" s="5" t="s">
        <v>437</v>
      </c>
      <c r="G82" s="5" t="s">
        <v>438</v>
      </c>
      <c r="H82" s="5" t="s">
        <v>86</v>
      </c>
      <c r="I82" s="5" t="s">
        <v>439</v>
      </c>
    </row>
    <row r="83" customFormat="false" ht="57" hidden="false" customHeight="true" outlineLevel="0" collapsed="false">
      <c r="A83" s="5" t="s">
        <v>439</v>
      </c>
      <c r="B83" s="5" t="s">
        <v>43</v>
      </c>
      <c r="C83" s="5" t="s">
        <v>432</v>
      </c>
      <c r="D83" s="5" t="s">
        <v>86</v>
      </c>
      <c r="E83" s="5" t="s">
        <v>440</v>
      </c>
      <c r="F83" s="5" t="s">
        <v>441</v>
      </c>
      <c r="G83" s="5" t="s">
        <v>442</v>
      </c>
      <c r="H83" s="5" t="s">
        <v>86</v>
      </c>
      <c r="I83" s="5" t="s">
        <v>443</v>
      </c>
    </row>
    <row r="84" customFormat="false" ht="68.25" hidden="false" customHeight="true" outlineLevel="0" collapsed="false">
      <c r="A84" s="5" t="s">
        <v>443</v>
      </c>
      <c r="B84" s="5" t="s">
        <v>43</v>
      </c>
      <c r="C84" s="5" t="s">
        <v>432</v>
      </c>
      <c r="D84" s="5" t="s">
        <v>86</v>
      </c>
      <c r="E84" s="5" t="s">
        <v>444</v>
      </c>
      <c r="F84" s="5" t="s">
        <v>86</v>
      </c>
      <c r="G84" s="5" t="s">
        <v>445</v>
      </c>
      <c r="H84" s="5" t="s">
        <v>86</v>
      </c>
      <c r="I84" s="5" t="s">
        <v>446</v>
      </c>
    </row>
    <row r="85" customFormat="false" ht="79.5" hidden="false" customHeight="true" outlineLevel="0" collapsed="false">
      <c r="A85" s="5" t="s">
        <v>446</v>
      </c>
      <c r="B85" s="5" t="s">
        <v>43</v>
      </c>
      <c r="C85" s="5" t="s">
        <v>432</v>
      </c>
      <c r="D85" s="5" t="s">
        <v>86</v>
      </c>
      <c r="E85" s="5" t="s">
        <v>447</v>
      </c>
      <c r="F85" s="5" t="s">
        <v>109</v>
      </c>
      <c r="G85" s="5" t="s">
        <v>448</v>
      </c>
      <c r="H85" s="5" t="s">
        <v>395</v>
      </c>
      <c r="I85" s="5" t="s">
        <v>449</v>
      </c>
    </row>
    <row r="86" customFormat="false" ht="45.75" hidden="false" customHeight="true" outlineLevel="0" collapsed="false">
      <c r="A86" s="5" t="s">
        <v>450</v>
      </c>
      <c r="B86" s="5" t="s">
        <v>46</v>
      </c>
      <c r="C86" s="5" t="s">
        <v>451</v>
      </c>
      <c r="D86" s="5" t="s">
        <v>86</v>
      </c>
      <c r="E86" s="5" t="s">
        <v>452</v>
      </c>
      <c r="F86" s="5" t="s">
        <v>86</v>
      </c>
      <c r="G86" s="5" t="s">
        <v>453</v>
      </c>
      <c r="H86" s="5" t="s">
        <v>86</v>
      </c>
      <c r="I86" s="5" t="s">
        <v>454</v>
      </c>
    </row>
    <row r="87" customFormat="false" ht="68.25" hidden="false" customHeight="true" outlineLevel="0" collapsed="false">
      <c r="A87" s="5" t="s">
        <v>454</v>
      </c>
      <c r="B87" s="5" t="s">
        <v>46</v>
      </c>
      <c r="C87" s="5" t="s">
        <v>451</v>
      </c>
      <c r="D87" s="5" t="s">
        <v>86</v>
      </c>
      <c r="E87" s="5" t="s">
        <v>455</v>
      </c>
      <c r="F87" s="5" t="s">
        <v>86</v>
      </c>
      <c r="G87" s="5" t="s">
        <v>456</v>
      </c>
      <c r="H87" s="5" t="s">
        <v>86</v>
      </c>
      <c r="I87" s="5" t="s">
        <v>457</v>
      </c>
    </row>
    <row r="88" customFormat="false" ht="57" hidden="false" customHeight="true" outlineLevel="0" collapsed="false">
      <c r="A88" s="5" t="s">
        <v>457</v>
      </c>
      <c r="B88" s="5" t="s">
        <v>46</v>
      </c>
      <c r="C88" s="5" t="s">
        <v>451</v>
      </c>
      <c r="D88" s="5" t="s">
        <v>86</v>
      </c>
      <c r="E88" s="5" t="s">
        <v>458</v>
      </c>
      <c r="F88" s="5" t="s">
        <v>86</v>
      </c>
      <c r="G88" s="5" t="s">
        <v>459</v>
      </c>
      <c r="H88" s="5" t="s">
        <v>86</v>
      </c>
      <c r="I88" s="5" t="s">
        <v>460</v>
      </c>
    </row>
    <row r="89" customFormat="false" ht="90.75" hidden="false" customHeight="true" outlineLevel="0" collapsed="false">
      <c r="A89" s="5" t="s">
        <v>460</v>
      </c>
      <c r="B89" s="5" t="s">
        <v>46</v>
      </c>
      <c r="C89" s="5" t="s">
        <v>451</v>
      </c>
      <c r="D89" s="5" t="s">
        <v>86</v>
      </c>
      <c r="E89" s="5" t="s">
        <v>461</v>
      </c>
      <c r="F89" s="5" t="s">
        <v>86</v>
      </c>
      <c r="G89" s="5" t="s">
        <v>462</v>
      </c>
      <c r="H89" s="5" t="s">
        <v>463</v>
      </c>
      <c r="I89" s="5" t="s">
        <v>464</v>
      </c>
    </row>
    <row r="90" customFormat="false" ht="57" hidden="false" customHeight="true" outlineLevel="0" collapsed="false">
      <c r="A90" s="5" t="s">
        <v>464</v>
      </c>
      <c r="B90" s="5" t="s">
        <v>46</v>
      </c>
      <c r="C90" s="5" t="s">
        <v>451</v>
      </c>
      <c r="D90" s="5" t="s">
        <v>86</v>
      </c>
      <c r="E90" s="5" t="s">
        <v>465</v>
      </c>
      <c r="F90" s="5" t="s">
        <v>109</v>
      </c>
      <c r="G90" s="5" t="s">
        <v>466</v>
      </c>
      <c r="H90" s="5" t="s">
        <v>395</v>
      </c>
      <c r="I90" s="5" t="s">
        <v>467</v>
      </c>
    </row>
    <row r="91" customFormat="false" ht="34.5" hidden="false" customHeight="true" outlineLevel="0" collapsed="false">
      <c r="A91" s="5" t="s">
        <v>468</v>
      </c>
      <c r="B91" s="5" t="s">
        <v>49</v>
      </c>
      <c r="C91" s="5" t="s">
        <v>469</v>
      </c>
      <c r="D91" s="5" t="s">
        <v>86</v>
      </c>
      <c r="E91" s="5" t="s">
        <v>470</v>
      </c>
      <c r="F91" s="5" t="s">
        <v>86</v>
      </c>
      <c r="G91" s="5" t="s">
        <v>471</v>
      </c>
      <c r="H91" s="5" t="s">
        <v>86</v>
      </c>
      <c r="I91" s="5" t="s">
        <v>472</v>
      </c>
    </row>
    <row r="92" customFormat="false" ht="90.75" hidden="false" customHeight="true" outlineLevel="0" collapsed="false">
      <c r="A92" s="5" t="s">
        <v>472</v>
      </c>
      <c r="B92" s="5" t="s">
        <v>49</v>
      </c>
      <c r="C92" s="5" t="s">
        <v>469</v>
      </c>
      <c r="D92" s="5" t="s">
        <v>86</v>
      </c>
      <c r="E92" s="5" t="s">
        <v>473</v>
      </c>
      <c r="F92" s="5" t="s">
        <v>474</v>
      </c>
      <c r="G92" s="5" t="s">
        <v>475</v>
      </c>
      <c r="H92" s="5" t="s">
        <v>476</v>
      </c>
      <c r="I92" s="5"/>
    </row>
    <row r="93" customFormat="false" ht="23.25" hidden="false" customHeight="true" outlineLevel="0" collapsed="false">
      <c r="A93" s="5" t="s">
        <v>477</v>
      </c>
      <c r="B93" s="5" t="s">
        <v>49</v>
      </c>
      <c r="C93" s="5" t="s">
        <v>469</v>
      </c>
      <c r="D93" s="5" t="s">
        <v>86</v>
      </c>
      <c r="E93" s="5" t="s">
        <v>478</v>
      </c>
      <c r="F93" s="5" t="s">
        <v>86</v>
      </c>
      <c r="G93" s="5" t="s">
        <v>479</v>
      </c>
      <c r="H93" s="5" t="s">
        <v>86</v>
      </c>
      <c r="I93" s="5"/>
    </row>
    <row r="94" customFormat="false" ht="68.25" hidden="false" customHeight="true" outlineLevel="0" collapsed="false">
      <c r="A94" s="5" t="s">
        <v>480</v>
      </c>
      <c r="B94" s="5" t="s">
        <v>49</v>
      </c>
      <c r="C94" s="5" t="s">
        <v>469</v>
      </c>
      <c r="D94" s="5" t="s">
        <v>86</v>
      </c>
      <c r="E94" s="5" t="s">
        <v>481</v>
      </c>
      <c r="F94" s="5" t="s">
        <v>86</v>
      </c>
      <c r="G94" s="5" t="s">
        <v>482</v>
      </c>
      <c r="H94" s="5" t="s">
        <v>483</v>
      </c>
      <c r="I94" s="5"/>
    </row>
    <row r="95" customFormat="false" ht="68.25" hidden="false" customHeight="true" outlineLevel="0" collapsed="false">
      <c r="A95" s="5" t="s">
        <v>484</v>
      </c>
      <c r="B95" s="5" t="s">
        <v>49</v>
      </c>
      <c r="C95" s="5" t="s">
        <v>469</v>
      </c>
      <c r="D95" s="5" t="s">
        <v>86</v>
      </c>
      <c r="E95" s="5" t="s">
        <v>485</v>
      </c>
      <c r="F95" s="5" t="s">
        <v>86</v>
      </c>
      <c r="G95" s="5" t="s">
        <v>486</v>
      </c>
      <c r="H95" s="5" t="s">
        <v>395</v>
      </c>
      <c r="I95" s="5" t="s">
        <v>487</v>
      </c>
    </row>
    <row r="96" customFormat="false" ht="45.75" hidden="false" customHeight="true" outlineLevel="0" collapsed="false">
      <c r="A96" s="5" t="s">
        <v>488</v>
      </c>
      <c r="B96" s="5" t="s">
        <v>52</v>
      </c>
      <c r="C96" s="5" t="s">
        <v>489</v>
      </c>
      <c r="D96" s="5" t="s">
        <v>86</v>
      </c>
      <c r="E96" s="5" t="s">
        <v>490</v>
      </c>
      <c r="F96" s="5" t="s">
        <v>86</v>
      </c>
      <c r="G96" s="5" t="s">
        <v>491</v>
      </c>
      <c r="H96" s="5" t="s">
        <v>86</v>
      </c>
      <c r="I96" s="5" t="s">
        <v>492</v>
      </c>
    </row>
    <row r="97" customFormat="false" ht="113.25" hidden="false" customHeight="true" outlineLevel="0" collapsed="false">
      <c r="A97" s="5" t="s">
        <v>492</v>
      </c>
      <c r="B97" s="5" t="s">
        <v>52</v>
      </c>
      <c r="C97" s="5" t="s">
        <v>489</v>
      </c>
      <c r="D97" s="5" t="s">
        <v>493</v>
      </c>
      <c r="E97" s="5" t="s">
        <v>494</v>
      </c>
      <c r="F97" s="5" t="s">
        <v>495</v>
      </c>
      <c r="G97" s="5" t="s">
        <v>496</v>
      </c>
      <c r="H97" s="5" t="s">
        <v>497</v>
      </c>
      <c r="I97" s="5" t="s">
        <v>498</v>
      </c>
    </row>
    <row r="98" customFormat="false" ht="79.5" hidden="false" customHeight="true" outlineLevel="0" collapsed="false">
      <c r="A98" s="5" t="s">
        <v>498</v>
      </c>
      <c r="B98" s="5" t="s">
        <v>52</v>
      </c>
      <c r="C98" s="5" t="s">
        <v>489</v>
      </c>
      <c r="D98" s="5" t="s">
        <v>92</v>
      </c>
      <c r="E98" s="5" t="s">
        <v>499</v>
      </c>
      <c r="F98" s="5" t="s">
        <v>495</v>
      </c>
      <c r="G98" s="5" t="s">
        <v>500</v>
      </c>
      <c r="H98" s="5" t="s">
        <v>86</v>
      </c>
      <c r="I98" s="5" t="s">
        <v>501</v>
      </c>
    </row>
    <row r="99" customFormat="false" ht="68.25" hidden="false" customHeight="true" outlineLevel="0" collapsed="false">
      <c r="A99" s="5" t="s">
        <v>501</v>
      </c>
      <c r="B99" s="5" t="s">
        <v>52</v>
      </c>
      <c r="C99" s="5" t="s">
        <v>489</v>
      </c>
      <c r="D99" s="5" t="s">
        <v>86</v>
      </c>
      <c r="E99" s="5" t="s">
        <v>502</v>
      </c>
      <c r="F99" s="5" t="s">
        <v>495</v>
      </c>
      <c r="G99" s="5" t="s">
        <v>503</v>
      </c>
      <c r="H99" s="5" t="s">
        <v>86</v>
      </c>
      <c r="I99" s="5" t="s">
        <v>504</v>
      </c>
    </row>
    <row r="100" customFormat="false" ht="90.75" hidden="false" customHeight="true" outlineLevel="0" collapsed="false">
      <c r="A100" s="5" t="s">
        <v>504</v>
      </c>
      <c r="B100" s="5" t="s">
        <v>52</v>
      </c>
      <c r="C100" s="5" t="s">
        <v>489</v>
      </c>
      <c r="D100" s="5" t="s">
        <v>86</v>
      </c>
      <c r="E100" s="5" t="s">
        <v>505</v>
      </c>
      <c r="F100" s="5" t="s">
        <v>109</v>
      </c>
      <c r="G100" s="5" t="s">
        <v>506</v>
      </c>
      <c r="H100" s="5" t="s">
        <v>507</v>
      </c>
      <c r="I100" s="5" t="s">
        <v>508</v>
      </c>
    </row>
    <row r="101" customFormat="false" ht="45.75" hidden="false" customHeight="true" outlineLevel="0" collapsed="false">
      <c r="A101" s="5" t="s">
        <v>509</v>
      </c>
      <c r="B101" s="5" t="s">
        <v>55</v>
      </c>
      <c r="C101" s="5" t="s">
        <v>510</v>
      </c>
      <c r="D101" s="5" t="s">
        <v>86</v>
      </c>
      <c r="E101" s="5" t="s">
        <v>511</v>
      </c>
      <c r="F101" s="5" t="s">
        <v>86</v>
      </c>
      <c r="G101" s="5" t="s">
        <v>512</v>
      </c>
      <c r="H101" s="5" t="s">
        <v>86</v>
      </c>
      <c r="I101" s="5" t="s">
        <v>513</v>
      </c>
    </row>
    <row r="102" customFormat="false" ht="113.25" hidden="false" customHeight="true" outlineLevel="0" collapsed="false">
      <c r="A102" s="5" t="s">
        <v>513</v>
      </c>
      <c r="B102" s="5" t="s">
        <v>55</v>
      </c>
      <c r="C102" s="5" t="s">
        <v>510</v>
      </c>
      <c r="D102" s="5" t="s">
        <v>137</v>
      </c>
      <c r="E102" s="5" t="s">
        <v>514</v>
      </c>
      <c r="F102" s="5" t="s">
        <v>515</v>
      </c>
      <c r="G102" s="5" t="s">
        <v>516</v>
      </c>
      <c r="H102" s="5" t="s">
        <v>86</v>
      </c>
      <c r="I102" s="5" t="s">
        <v>517</v>
      </c>
    </row>
    <row r="103" customFormat="false" ht="102" hidden="false" customHeight="true" outlineLevel="0" collapsed="false">
      <c r="A103" s="5" t="s">
        <v>517</v>
      </c>
      <c r="B103" s="5" t="s">
        <v>55</v>
      </c>
      <c r="C103" s="5" t="s">
        <v>510</v>
      </c>
      <c r="D103" s="5" t="s">
        <v>137</v>
      </c>
      <c r="E103" s="5" t="s">
        <v>518</v>
      </c>
      <c r="F103" s="5" t="s">
        <v>519</v>
      </c>
      <c r="G103" s="5" t="s">
        <v>520</v>
      </c>
      <c r="H103" s="5" t="s">
        <v>86</v>
      </c>
      <c r="I103" s="5" t="s">
        <v>521</v>
      </c>
    </row>
    <row r="104" customFormat="false" ht="68.25" hidden="false" customHeight="true" outlineLevel="0" collapsed="false">
      <c r="A104" s="5" t="s">
        <v>521</v>
      </c>
      <c r="B104" s="5" t="s">
        <v>55</v>
      </c>
      <c r="C104" s="5" t="s">
        <v>510</v>
      </c>
      <c r="D104" s="5" t="s">
        <v>143</v>
      </c>
      <c r="E104" s="5" t="s">
        <v>522</v>
      </c>
      <c r="F104" s="5" t="s">
        <v>523</v>
      </c>
      <c r="G104" s="5" t="s">
        <v>524</v>
      </c>
      <c r="H104" s="5" t="s">
        <v>525</v>
      </c>
      <c r="I104" s="5" t="s">
        <v>526</v>
      </c>
    </row>
    <row r="105" customFormat="false" ht="135.75" hidden="false" customHeight="true" outlineLevel="0" collapsed="false">
      <c r="A105" s="5" t="s">
        <v>526</v>
      </c>
      <c r="B105" s="5" t="s">
        <v>55</v>
      </c>
      <c r="C105" s="5" t="s">
        <v>510</v>
      </c>
      <c r="D105" s="5" t="s">
        <v>86</v>
      </c>
      <c r="E105" s="5" t="s">
        <v>527</v>
      </c>
      <c r="F105" s="5" t="s">
        <v>109</v>
      </c>
      <c r="G105" s="5" t="s">
        <v>528</v>
      </c>
      <c r="H105" s="5" t="s">
        <v>529</v>
      </c>
      <c r="I105" s="5" t="s">
        <v>530</v>
      </c>
    </row>
    <row r="106" customFormat="false" ht="45.75" hidden="false" customHeight="true" outlineLevel="0" collapsed="false">
      <c r="A106" s="5" t="s">
        <v>531</v>
      </c>
      <c r="B106" s="5" t="s">
        <v>58</v>
      </c>
      <c r="C106" s="5" t="s">
        <v>532</v>
      </c>
      <c r="D106" s="5" t="s">
        <v>86</v>
      </c>
      <c r="E106" s="5" t="s">
        <v>533</v>
      </c>
      <c r="F106" s="5" t="s">
        <v>86</v>
      </c>
      <c r="G106" s="5" t="s">
        <v>534</v>
      </c>
      <c r="H106" s="5" t="s">
        <v>86</v>
      </c>
      <c r="I106" s="5" t="s">
        <v>535</v>
      </c>
    </row>
    <row r="107" customFormat="false" ht="45.75" hidden="false" customHeight="true" outlineLevel="0" collapsed="false">
      <c r="A107" s="5" t="s">
        <v>535</v>
      </c>
      <c r="B107" s="5" t="s">
        <v>58</v>
      </c>
      <c r="C107" s="5" t="s">
        <v>532</v>
      </c>
      <c r="D107" s="5" t="s">
        <v>137</v>
      </c>
      <c r="E107" s="5" t="s">
        <v>536</v>
      </c>
      <c r="F107" s="5" t="s">
        <v>537</v>
      </c>
      <c r="G107" s="5" t="s">
        <v>538</v>
      </c>
      <c r="H107" s="5" t="s">
        <v>539</v>
      </c>
      <c r="I107" s="5" t="s">
        <v>540</v>
      </c>
    </row>
    <row r="108" customFormat="false" ht="79.5" hidden="false" customHeight="true" outlineLevel="0" collapsed="false">
      <c r="A108" s="5" t="s">
        <v>540</v>
      </c>
      <c r="B108" s="5" t="s">
        <v>58</v>
      </c>
      <c r="C108" s="5" t="s">
        <v>532</v>
      </c>
      <c r="D108" s="5" t="s">
        <v>137</v>
      </c>
      <c r="E108" s="5" t="s">
        <v>541</v>
      </c>
      <c r="F108" s="5" t="s">
        <v>542</v>
      </c>
      <c r="G108" s="5" t="s">
        <v>543</v>
      </c>
      <c r="H108" s="5" t="s">
        <v>86</v>
      </c>
      <c r="I108" s="5" t="s">
        <v>544</v>
      </c>
    </row>
    <row r="109" customFormat="false" ht="90.75" hidden="false" customHeight="true" outlineLevel="0" collapsed="false">
      <c r="A109" s="5" t="s">
        <v>544</v>
      </c>
      <c r="B109" s="5" t="s">
        <v>58</v>
      </c>
      <c r="C109" s="5" t="s">
        <v>532</v>
      </c>
      <c r="D109" s="5" t="s">
        <v>137</v>
      </c>
      <c r="E109" s="5" t="s">
        <v>545</v>
      </c>
      <c r="F109" s="5" t="s">
        <v>546</v>
      </c>
      <c r="G109" s="5" t="s">
        <v>547</v>
      </c>
      <c r="H109" s="5" t="s">
        <v>86</v>
      </c>
      <c r="I109" s="5" t="s">
        <v>548</v>
      </c>
    </row>
    <row r="110" customFormat="false" ht="57" hidden="false" customHeight="true" outlineLevel="0" collapsed="false">
      <c r="A110" s="5" t="s">
        <v>548</v>
      </c>
      <c r="B110" s="5" t="s">
        <v>58</v>
      </c>
      <c r="C110" s="5" t="s">
        <v>532</v>
      </c>
      <c r="D110" s="5" t="s">
        <v>86</v>
      </c>
      <c r="E110" s="5" t="s">
        <v>549</v>
      </c>
      <c r="F110" s="5" t="s">
        <v>550</v>
      </c>
      <c r="G110" s="5" t="s">
        <v>551</v>
      </c>
      <c r="H110" s="5" t="s">
        <v>552</v>
      </c>
      <c r="I110" s="5"/>
    </row>
    <row r="111" customFormat="false" ht="90.75" hidden="false" customHeight="true" outlineLevel="0" collapsed="false">
      <c r="A111" s="5" t="s">
        <v>553</v>
      </c>
      <c r="B111" s="5" t="s">
        <v>58</v>
      </c>
      <c r="C111" s="5" t="s">
        <v>532</v>
      </c>
      <c r="D111" s="5" t="s">
        <v>86</v>
      </c>
      <c r="E111" s="5" t="s">
        <v>554</v>
      </c>
      <c r="F111" s="5" t="s">
        <v>109</v>
      </c>
      <c r="G111" s="5" t="s">
        <v>555</v>
      </c>
      <c r="H111" s="5" t="s">
        <v>395</v>
      </c>
      <c r="I111" s="5" t="s">
        <v>556</v>
      </c>
    </row>
    <row r="112" customFormat="false" ht="57" hidden="false" customHeight="true" outlineLevel="0" collapsed="false">
      <c r="A112" s="5" t="s">
        <v>557</v>
      </c>
      <c r="B112" s="5" t="s">
        <v>61</v>
      </c>
      <c r="C112" s="5" t="s">
        <v>558</v>
      </c>
      <c r="D112" s="5" t="s">
        <v>86</v>
      </c>
      <c r="E112" s="5" t="s">
        <v>559</v>
      </c>
      <c r="F112" s="5" t="s">
        <v>86</v>
      </c>
      <c r="G112" s="5" t="s">
        <v>560</v>
      </c>
      <c r="H112" s="5" t="s">
        <v>86</v>
      </c>
      <c r="I112" s="5" t="s">
        <v>561</v>
      </c>
    </row>
    <row r="113" customFormat="false" ht="102" hidden="false" customHeight="true" outlineLevel="0" collapsed="false">
      <c r="A113" s="5" t="s">
        <v>561</v>
      </c>
      <c r="B113" s="5" t="s">
        <v>61</v>
      </c>
      <c r="C113" s="5" t="s">
        <v>558</v>
      </c>
      <c r="D113" s="5" t="s">
        <v>137</v>
      </c>
      <c r="E113" s="5" t="s">
        <v>562</v>
      </c>
      <c r="F113" s="5" t="s">
        <v>563</v>
      </c>
      <c r="G113" s="5" t="s">
        <v>564</v>
      </c>
      <c r="H113" s="5" t="s">
        <v>86</v>
      </c>
      <c r="I113" s="5" t="s">
        <v>565</v>
      </c>
    </row>
    <row r="114" customFormat="false" ht="68.25" hidden="false" customHeight="true" outlineLevel="0" collapsed="false">
      <c r="A114" s="5" t="s">
        <v>565</v>
      </c>
      <c r="B114" s="5" t="s">
        <v>61</v>
      </c>
      <c r="C114" s="5" t="s">
        <v>558</v>
      </c>
      <c r="D114" s="5" t="s">
        <v>137</v>
      </c>
      <c r="E114" s="5" t="s">
        <v>566</v>
      </c>
      <c r="F114" s="5" t="s">
        <v>567</v>
      </c>
      <c r="G114" s="5" t="s">
        <v>568</v>
      </c>
      <c r="H114" s="5" t="s">
        <v>569</v>
      </c>
      <c r="I114" s="5"/>
    </row>
    <row r="115" customFormat="false" ht="102" hidden="false" customHeight="true" outlineLevel="0" collapsed="false">
      <c r="A115" s="5" t="s">
        <v>570</v>
      </c>
      <c r="B115" s="5" t="s">
        <v>61</v>
      </c>
      <c r="C115" s="5" t="s">
        <v>558</v>
      </c>
      <c r="D115" s="5" t="s">
        <v>86</v>
      </c>
      <c r="E115" s="5" t="s">
        <v>571</v>
      </c>
      <c r="F115" s="5" t="s">
        <v>109</v>
      </c>
      <c r="G115" s="5" t="s">
        <v>572</v>
      </c>
      <c r="H115" s="5" t="s">
        <v>395</v>
      </c>
      <c r="I115" s="5" t="s">
        <v>573</v>
      </c>
    </row>
    <row r="116" customFormat="false" ht="68.25" hidden="false" customHeight="true" outlineLevel="0" collapsed="false">
      <c r="A116" s="5" t="s">
        <v>574</v>
      </c>
      <c r="B116" s="5" t="s">
        <v>64</v>
      </c>
      <c r="C116" s="5" t="s">
        <v>575</v>
      </c>
      <c r="D116" s="5" t="s">
        <v>155</v>
      </c>
      <c r="E116" s="5" t="s">
        <v>576</v>
      </c>
      <c r="F116" s="5" t="s">
        <v>577</v>
      </c>
      <c r="G116" s="5" t="s">
        <v>578</v>
      </c>
      <c r="H116" s="5" t="s">
        <v>579</v>
      </c>
      <c r="I116" s="5" t="s">
        <v>580</v>
      </c>
    </row>
    <row r="117" customFormat="false" ht="102" hidden="false" customHeight="true" outlineLevel="0" collapsed="false">
      <c r="A117" s="5" t="s">
        <v>580</v>
      </c>
      <c r="B117" s="5" t="s">
        <v>64</v>
      </c>
      <c r="C117" s="5" t="s">
        <v>575</v>
      </c>
      <c r="D117" s="5" t="s">
        <v>155</v>
      </c>
      <c r="E117" s="5" t="s">
        <v>581</v>
      </c>
      <c r="F117" s="5" t="s">
        <v>582</v>
      </c>
      <c r="G117" s="5" t="s">
        <v>583</v>
      </c>
      <c r="H117" s="5" t="s">
        <v>584</v>
      </c>
      <c r="I117" s="5" t="s">
        <v>585</v>
      </c>
    </row>
    <row r="118" customFormat="false" ht="68.25" hidden="false" customHeight="true" outlineLevel="0" collapsed="false">
      <c r="A118" s="5" t="s">
        <v>585</v>
      </c>
      <c r="B118" s="5" t="s">
        <v>64</v>
      </c>
      <c r="C118" s="5" t="s">
        <v>575</v>
      </c>
      <c r="D118" s="5" t="s">
        <v>155</v>
      </c>
      <c r="E118" s="5" t="s">
        <v>586</v>
      </c>
      <c r="F118" s="5" t="s">
        <v>587</v>
      </c>
      <c r="G118" s="5" t="s">
        <v>588</v>
      </c>
      <c r="H118" s="5" t="s">
        <v>86</v>
      </c>
      <c r="I118" s="5" t="s">
        <v>589</v>
      </c>
    </row>
    <row r="119" customFormat="false" ht="102" hidden="false" customHeight="true" outlineLevel="0" collapsed="false">
      <c r="A119" s="5" t="s">
        <v>589</v>
      </c>
      <c r="B119" s="5" t="s">
        <v>64</v>
      </c>
      <c r="C119" s="5" t="s">
        <v>575</v>
      </c>
      <c r="D119" s="5" t="s">
        <v>155</v>
      </c>
      <c r="E119" s="5" t="s">
        <v>590</v>
      </c>
      <c r="F119" s="5" t="s">
        <v>591</v>
      </c>
      <c r="G119" s="5" t="s">
        <v>592</v>
      </c>
      <c r="H119" s="5" t="s">
        <v>593</v>
      </c>
      <c r="I119" s="5" t="s">
        <v>594</v>
      </c>
    </row>
    <row r="120" customFormat="false" ht="124.5" hidden="false" customHeight="true" outlineLevel="0" collapsed="false">
      <c r="A120" s="5" t="s">
        <v>594</v>
      </c>
      <c r="B120" s="5" t="s">
        <v>64</v>
      </c>
      <c r="C120" s="5" t="s">
        <v>575</v>
      </c>
      <c r="D120" s="5" t="s">
        <v>86</v>
      </c>
      <c r="E120" s="5" t="s">
        <v>595</v>
      </c>
      <c r="F120" s="5" t="s">
        <v>109</v>
      </c>
      <c r="G120" s="5" t="s">
        <v>596</v>
      </c>
      <c r="H120" s="5" t="s">
        <v>395</v>
      </c>
      <c r="I120" s="5" t="s">
        <v>597</v>
      </c>
    </row>
    <row r="121" customFormat="false" ht="45.75" hidden="false" customHeight="true" outlineLevel="0" collapsed="false">
      <c r="A121" s="5" t="s">
        <v>598</v>
      </c>
      <c r="B121" s="5" t="s">
        <v>67</v>
      </c>
      <c r="C121" s="5" t="s">
        <v>599</v>
      </c>
      <c r="D121" s="5" t="s">
        <v>155</v>
      </c>
      <c r="E121" s="5" t="s">
        <v>600</v>
      </c>
      <c r="F121" s="5" t="s">
        <v>86</v>
      </c>
      <c r="G121" s="5" t="s">
        <v>601</v>
      </c>
      <c r="H121" s="5" t="s">
        <v>86</v>
      </c>
      <c r="I121" s="5" t="s">
        <v>602</v>
      </c>
    </row>
    <row r="122" customFormat="false" ht="79.5" hidden="false" customHeight="true" outlineLevel="0" collapsed="false">
      <c r="A122" s="5" t="s">
        <v>602</v>
      </c>
      <c r="B122" s="5" t="s">
        <v>67</v>
      </c>
      <c r="C122" s="5" t="s">
        <v>599</v>
      </c>
      <c r="D122" s="5" t="s">
        <v>155</v>
      </c>
      <c r="E122" s="5" t="s">
        <v>603</v>
      </c>
      <c r="F122" s="5" t="s">
        <v>86</v>
      </c>
      <c r="G122" s="5" t="s">
        <v>604</v>
      </c>
      <c r="H122" s="5" t="s">
        <v>86</v>
      </c>
      <c r="I122" s="5" t="s">
        <v>605</v>
      </c>
    </row>
    <row r="123" customFormat="false" ht="68.25" hidden="false" customHeight="true" outlineLevel="0" collapsed="false">
      <c r="A123" s="5" t="s">
        <v>605</v>
      </c>
      <c r="B123" s="5" t="s">
        <v>67</v>
      </c>
      <c r="C123" s="5" t="s">
        <v>599</v>
      </c>
      <c r="D123" s="5" t="s">
        <v>155</v>
      </c>
      <c r="E123" s="5" t="s">
        <v>606</v>
      </c>
      <c r="F123" s="5" t="s">
        <v>607</v>
      </c>
      <c r="G123" s="5" t="s">
        <v>608</v>
      </c>
      <c r="H123" s="5" t="s">
        <v>86</v>
      </c>
      <c r="I123" s="5" t="s">
        <v>609</v>
      </c>
    </row>
    <row r="124" customFormat="false" ht="68.25" hidden="false" customHeight="true" outlineLevel="0" collapsed="false">
      <c r="A124" s="5" t="s">
        <v>609</v>
      </c>
      <c r="B124" s="5" t="s">
        <v>67</v>
      </c>
      <c r="C124" s="5" t="s">
        <v>599</v>
      </c>
      <c r="D124" s="5" t="s">
        <v>86</v>
      </c>
      <c r="E124" s="5" t="s">
        <v>610</v>
      </c>
      <c r="F124" s="5" t="s">
        <v>86</v>
      </c>
      <c r="G124" s="5" t="s">
        <v>453</v>
      </c>
      <c r="H124" s="5" t="s">
        <v>86</v>
      </c>
      <c r="I124" s="5" t="s">
        <v>611</v>
      </c>
    </row>
    <row r="125" customFormat="false" ht="113.25" hidden="false" customHeight="true" outlineLevel="0" collapsed="false">
      <c r="A125" s="5" t="s">
        <v>611</v>
      </c>
      <c r="B125" s="5" t="s">
        <v>67</v>
      </c>
      <c r="C125" s="5" t="s">
        <v>599</v>
      </c>
      <c r="D125" s="5" t="s">
        <v>86</v>
      </c>
      <c r="E125" s="5" t="s">
        <v>612</v>
      </c>
      <c r="F125" s="5" t="s">
        <v>109</v>
      </c>
      <c r="G125" s="5" t="s">
        <v>613</v>
      </c>
      <c r="H125" s="5" t="s">
        <v>395</v>
      </c>
      <c r="I125" s="5" t="s">
        <v>614</v>
      </c>
    </row>
    <row r="126" customFormat="false" ht="91" hidden="false" customHeight="false" outlineLevel="0" collapsed="false">
      <c r="A126" s="5" t="s">
        <v>615</v>
      </c>
      <c r="B126" s="5" t="s">
        <v>70</v>
      </c>
      <c r="C126" s="5" t="s">
        <v>616</v>
      </c>
      <c r="D126" s="5" t="s">
        <v>137</v>
      </c>
      <c r="E126" s="5" t="s">
        <v>617</v>
      </c>
      <c r="F126" s="5" t="s">
        <v>618</v>
      </c>
      <c r="G126" s="5" t="s">
        <v>619</v>
      </c>
      <c r="H126" s="5" t="s">
        <v>86</v>
      </c>
      <c r="I126" s="5" t="s">
        <v>620</v>
      </c>
    </row>
    <row r="127" customFormat="false" ht="57.45" hidden="false" customHeight="false" outlineLevel="0" collapsed="false">
      <c r="A127" s="5" t="s">
        <v>620</v>
      </c>
      <c r="B127" s="5" t="s">
        <v>70</v>
      </c>
      <c r="C127" s="5" t="s">
        <v>616</v>
      </c>
      <c r="D127" s="5" t="s">
        <v>137</v>
      </c>
      <c r="E127" s="5" t="s">
        <v>621</v>
      </c>
      <c r="F127" s="5" t="s">
        <v>86</v>
      </c>
      <c r="G127" s="5" t="s">
        <v>622</v>
      </c>
      <c r="H127" s="5" t="s">
        <v>86</v>
      </c>
      <c r="I127" s="5" t="s">
        <v>623</v>
      </c>
    </row>
    <row r="128" customFormat="false" ht="113.4" hidden="false" customHeight="false" outlineLevel="0" collapsed="false">
      <c r="A128" s="5" t="s">
        <v>623</v>
      </c>
      <c r="B128" s="5" t="s">
        <v>70</v>
      </c>
      <c r="C128" s="5" t="s">
        <v>616</v>
      </c>
      <c r="D128" s="5" t="s">
        <v>86</v>
      </c>
      <c r="E128" s="5" t="s">
        <v>624</v>
      </c>
      <c r="F128" s="5" t="s">
        <v>86</v>
      </c>
      <c r="G128" s="5" t="s">
        <v>625</v>
      </c>
      <c r="H128" s="5" t="s">
        <v>626</v>
      </c>
      <c r="I128" s="5"/>
    </row>
    <row r="129" customFormat="false" ht="68.65" hidden="false" customHeight="false" outlineLevel="0" collapsed="false">
      <c r="A129" s="5" t="s">
        <v>627</v>
      </c>
      <c r="B129" s="5" t="s">
        <v>70</v>
      </c>
      <c r="C129" s="5" t="s">
        <v>616</v>
      </c>
      <c r="D129" s="5" t="s">
        <v>86</v>
      </c>
      <c r="E129" s="5" t="s">
        <v>628</v>
      </c>
      <c r="F129" s="5" t="s">
        <v>109</v>
      </c>
      <c r="G129" s="5" t="s">
        <v>629</v>
      </c>
      <c r="H129" s="5" t="s">
        <v>395</v>
      </c>
      <c r="I129" s="5" t="s">
        <v>630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70"/>
    <col collapsed="false" customWidth="true" hidden="false" outlineLevel="0" max="3" min="3" style="1" width="50"/>
    <col collapsed="false" customWidth="true" hidden="false" outlineLevel="0" max="4" min="4" style="1" width="26"/>
    <col collapsed="false" customWidth="true" hidden="false" outlineLevel="0" max="5" min="5" style="1" width="22"/>
  </cols>
  <sheetData>
    <row r="1" customFormat="false" ht="15.75" hidden="false" customHeight="true" outlineLevel="0" collapsed="false">
      <c r="A1" s="2" t="s">
        <v>631</v>
      </c>
    </row>
    <row r="2" customFormat="false" ht="15" hidden="false" customHeight="true" outlineLevel="0" collapsed="false">
      <c r="A2" s="4" t="s">
        <v>77</v>
      </c>
      <c r="B2" s="4" t="s">
        <v>632</v>
      </c>
      <c r="C2" s="4" t="s">
        <v>633</v>
      </c>
      <c r="D2" s="4" t="s">
        <v>634</v>
      </c>
      <c r="E2" s="4" t="s">
        <v>6</v>
      </c>
    </row>
    <row r="3" customFormat="false" ht="23.25" hidden="false" customHeight="true" outlineLevel="0" collapsed="false">
      <c r="A3" s="5" t="s">
        <v>109</v>
      </c>
      <c r="B3" s="5" t="s">
        <v>635</v>
      </c>
      <c r="C3" s="5" t="s">
        <v>636</v>
      </c>
      <c r="D3" s="5" t="s">
        <v>637</v>
      </c>
      <c r="E3" s="5" t="s">
        <v>638</v>
      </c>
    </row>
    <row r="4" customFormat="false" ht="34.5" hidden="false" customHeight="true" outlineLevel="0" collapsed="false">
      <c r="A4" s="5" t="s">
        <v>193</v>
      </c>
      <c r="B4" s="5" t="s">
        <v>639</v>
      </c>
      <c r="C4" s="5" t="s">
        <v>640</v>
      </c>
      <c r="D4" s="5" t="s">
        <v>641</v>
      </c>
      <c r="E4" s="5" t="s">
        <v>642</v>
      </c>
    </row>
    <row r="5" customFormat="false" ht="23.25" hidden="false" customHeight="true" outlineLevel="0" collapsed="false">
      <c r="A5" s="5" t="s">
        <v>643</v>
      </c>
      <c r="B5" s="5" t="s">
        <v>644</v>
      </c>
      <c r="C5" s="5" t="s">
        <v>645</v>
      </c>
      <c r="D5" s="5" t="s">
        <v>646</v>
      </c>
      <c r="E5" s="5" t="s">
        <v>647</v>
      </c>
    </row>
    <row r="6" customFormat="false" ht="34.5" hidden="false" customHeight="true" outlineLevel="0" collapsed="false">
      <c r="A6" s="5" t="s">
        <v>648</v>
      </c>
      <c r="B6" s="5" t="s">
        <v>649</v>
      </c>
      <c r="C6" s="5" t="s">
        <v>650</v>
      </c>
      <c r="D6" s="5" t="s">
        <v>651</v>
      </c>
      <c r="E6" s="5" t="s">
        <v>652</v>
      </c>
    </row>
    <row r="7" customFormat="false" ht="23.25" hidden="false" customHeight="true" outlineLevel="0" collapsed="false">
      <c r="A7" s="5" t="s">
        <v>653</v>
      </c>
      <c r="B7" s="5" t="s">
        <v>654</v>
      </c>
      <c r="C7" s="5" t="s">
        <v>655</v>
      </c>
      <c r="D7" s="5" t="s">
        <v>656</v>
      </c>
      <c r="E7" s="5" t="s">
        <v>657</v>
      </c>
    </row>
    <row r="8" customFormat="false" ht="23.25" hidden="false" customHeight="true" outlineLevel="0" collapsed="false">
      <c r="A8" s="5" t="s">
        <v>658</v>
      </c>
      <c r="B8" s="5" t="s">
        <v>659</v>
      </c>
      <c r="C8" s="5" t="s">
        <v>660</v>
      </c>
      <c r="D8" s="5" t="s">
        <v>661</v>
      </c>
      <c r="E8" s="5" t="s">
        <v>662</v>
      </c>
    </row>
    <row r="9" customFormat="false" ht="23.25" hidden="false" customHeight="true" outlineLevel="0" collapsed="false">
      <c r="A9" s="5" t="s">
        <v>663</v>
      </c>
      <c r="B9" s="5" t="s">
        <v>664</v>
      </c>
      <c r="C9" s="5" t="s">
        <v>665</v>
      </c>
      <c r="D9" s="5" t="s">
        <v>666</v>
      </c>
      <c r="E9" s="5" t="s">
        <v>667</v>
      </c>
    </row>
    <row r="10" customFormat="false" ht="23.25" hidden="false" customHeight="true" outlineLevel="0" collapsed="false">
      <c r="A10" s="5" t="s">
        <v>668</v>
      </c>
      <c r="B10" s="5" t="s">
        <v>669</v>
      </c>
      <c r="C10" s="5" t="s">
        <v>670</v>
      </c>
      <c r="D10" s="5" t="s">
        <v>646</v>
      </c>
      <c r="E10" s="5" t="s">
        <v>647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20"/>
  </cols>
  <sheetData>
    <row r="1" customFormat="false" ht="15.75" hidden="false" customHeight="true" outlineLevel="0" collapsed="false">
      <c r="A1" s="2" t="s">
        <v>671</v>
      </c>
    </row>
    <row r="2" customFormat="false" ht="15" hidden="false" customHeight="true" outlineLevel="0" collapsed="false">
      <c r="A2" s="3" t="s">
        <v>672</v>
      </c>
    </row>
    <row r="3" customFormat="false" ht="15" hidden="false" customHeight="true" outlineLevel="0" collapsed="false">
      <c r="A3" s="6" t="s">
        <v>673</v>
      </c>
      <c r="B3" s="6"/>
    </row>
    <row r="4" customFormat="false" ht="23.25" hidden="false" customHeight="true" outlineLevel="0" collapsed="false">
      <c r="A4" s="5" t="s">
        <v>674</v>
      </c>
      <c r="B4" s="5" t="s">
        <v>675</v>
      </c>
    </row>
    <row r="5" customFormat="false" ht="15" hidden="false" customHeight="true" outlineLevel="0" collapsed="false">
      <c r="A5" s="5" t="s">
        <v>676</v>
      </c>
      <c r="B5" s="5" t="s">
        <v>677</v>
      </c>
    </row>
    <row r="6" customFormat="false" ht="15" hidden="false" customHeight="true" outlineLevel="0" collapsed="false">
      <c r="A6" s="5" t="s">
        <v>678</v>
      </c>
      <c r="B6" s="5" t="s">
        <v>679</v>
      </c>
    </row>
    <row r="7" customFormat="false" ht="15" hidden="false" customHeight="true" outlineLevel="0" collapsed="false">
      <c r="A7" s="5" t="s">
        <v>680</v>
      </c>
      <c r="B7" s="5" t="s">
        <v>681</v>
      </c>
    </row>
    <row r="9" customFormat="false" ht="15" hidden="false" customHeight="true" outlineLevel="0" collapsed="false">
      <c r="A9" s="6" t="s">
        <v>682</v>
      </c>
      <c r="B9" s="6"/>
    </row>
    <row r="10" customFormat="false" ht="23.25" hidden="false" customHeight="true" outlineLevel="0" collapsed="false">
      <c r="A10" s="5" t="s">
        <v>674</v>
      </c>
      <c r="B10" s="5" t="s">
        <v>683</v>
      </c>
    </row>
    <row r="11" customFormat="false" ht="15" hidden="false" customHeight="true" outlineLevel="0" collapsed="false">
      <c r="A11" s="5" t="s">
        <v>676</v>
      </c>
      <c r="B11" s="5" t="s">
        <v>684</v>
      </c>
    </row>
    <row r="12" customFormat="false" ht="15" hidden="false" customHeight="true" outlineLevel="0" collapsed="false">
      <c r="A12" s="5" t="s">
        <v>678</v>
      </c>
      <c r="B12" s="5" t="s">
        <v>685</v>
      </c>
    </row>
    <row r="14" customFormat="false" ht="15" hidden="false" customHeight="true" outlineLevel="0" collapsed="false">
      <c r="A14" s="6" t="s">
        <v>686</v>
      </c>
      <c r="B14" s="6"/>
    </row>
    <row r="15" customFormat="false" ht="34.5" hidden="false" customHeight="true" outlineLevel="0" collapsed="false">
      <c r="A15" s="5" t="s">
        <v>674</v>
      </c>
      <c r="B15" s="5" t="s">
        <v>687</v>
      </c>
    </row>
    <row r="16" customFormat="false" ht="15" hidden="false" customHeight="true" outlineLevel="0" collapsed="false">
      <c r="A16" s="5" t="s">
        <v>676</v>
      </c>
      <c r="B16" s="5" t="s">
        <v>688</v>
      </c>
    </row>
    <row r="17" customFormat="false" ht="15" hidden="false" customHeight="true" outlineLevel="0" collapsed="false">
      <c r="A17" s="5" t="s">
        <v>678</v>
      </c>
      <c r="B17" s="5" t="s">
        <v>689</v>
      </c>
    </row>
    <row r="18" customFormat="false" ht="15" hidden="false" customHeight="true" outlineLevel="0" collapsed="false">
      <c r="A18" s="5" t="s">
        <v>690</v>
      </c>
      <c r="B18" s="5" t="s">
        <v>691</v>
      </c>
    </row>
    <row r="20" customFormat="false" ht="15" hidden="false" customHeight="true" outlineLevel="0" collapsed="false">
      <c r="A20" s="6" t="s">
        <v>692</v>
      </c>
      <c r="B20" s="6"/>
    </row>
    <row r="21" customFormat="false" ht="23.25" hidden="false" customHeight="true" outlineLevel="0" collapsed="false">
      <c r="A21" s="5" t="s">
        <v>674</v>
      </c>
      <c r="B21" s="5" t="s">
        <v>693</v>
      </c>
    </row>
    <row r="22" customFormat="false" ht="15" hidden="false" customHeight="true" outlineLevel="0" collapsed="false">
      <c r="A22" s="5" t="s">
        <v>676</v>
      </c>
      <c r="B22" s="5" t="s">
        <v>694</v>
      </c>
    </row>
    <row r="23" customFormat="false" ht="15" hidden="false" customHeight="true" outlineLevel="0" collapsed="false">
      <c r="A23" s="5" t="s">
        <v>678</v>
      </c>
      <c r="B23" s="5" t="s">
        <v>695</v>
      </c>
    </row>
    <row r="25" customFormat="false" ht="15" hidden="false" customHeight="true" outlineLevel="0" collapsed="false">
      <c r="A25" s="6" t="s">
        <v>696</v>
      </c>
      <c r="B25" s="6"/>
    </row>
    <row r="26" customFormat="false" ht="15" hidden="false" customHeight="true" outlineLevel="0" collapsed="false">
      <c r="A26" s="5" t="s">
        <v>674</v>
      </c>
      <c r="B26" s="5" t="s">
        <v>697</v>
      </c>
    </row>
    <row r="27" customFormat="false" ht="15" hidden="false" customHeight="true" outlineLevel="0" collapsed="false">
      <c r="A27" s="5" t="s">
        <v>676</v>
      </c>
      <c r="B27" s="5" t="s">
        <v>698</v>
      </c>
    </row>
    <row r="28" customFormat="false" ht="15" hidden="false" customHeight="true" outlineLevel="0" collapsed="false">
      <c r="A28" s="5" t="s">
        <v>678</v>
      </c>
      <c r="B28" s="5" t="s">
        <v>699</v>
      </c>
    </row>
    <row r="30" customFormat="false" ht="15" hidden="false" customHeight="true" outlineLevel="0" collapsed="false">
      <c r="A30" s="6" t="s">
        <v>700</v>
      </c>
      <c r="B30" s="6"/>
    </row>
    <row r="31" customFormat="false" ht="23.25" hidden="false" customHeight="true" outlineLevel="0" collapsed="false">
      <c r="A31" s="5" t="s">
        <v>674</v>
      </c>
      <c r="B31" s="5" t="s">
        <v>701</v>
      </c>
    </row>
    <row r="32" customFormat="false" ht="15" hidden="false" customHeight="true" outlineLevel="0" collapsed="false">
      <c r="A32" s="5" t="s">
        <v>676</v>
      </c>
      <c r="B32" s="5" t="s">
        <v>702</v>
      </c>
    </row>
    <row r="33" customFormat="false" ht="15" hidden="false" customHeight="true" outlineLevel="0" collapsed="false">
      <c r="A33" s="5" t="s">
        <v>678</v>
      </c>
      <c r="B33" s="5" t="s">
        <v>703</v>
      </c>
    </row>
  </sheetData>
  <mergeCells count="6">
    <mergeCell ref="A3:B3"/>
    <mergeCell ref="A9:B9"/>
    <mergeCell ref="A14:B14"/>
    <mergeCell ref="A20:B20"/>
    <mergeCell ref="A25:B25"/>
    <mergeCell ref="A30:B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6"/>
    <col collapsed="false" customWidth="true" hidden="false" outlineLevel="0" max="3" min="3" style="1" width="22"/>
    <col collapsed="false" customWidth="true" hidden="false" outlineLevel="0" max="4" min="4" style="1" width="55"/>
    <col collapsed="false" customWidth="true" hidden="false" outlineLevel="0" max="5" min="5" style="1" width="7"/>
    <col collapsed="false" customWidth="true" hidden="false" outlineLevel="0" max="6" min="6" style="1" width="8"/>
    <col collapsed="false" customWidth="true" hidden="false" outlineLevel="0" max="7" min="7" style="1" width="7"/>
    <col collapsed="false" customWidth="true" hidden="false" outlineLevel="0" max="8" min="8" style="1" width="26"/>
    <col collapsed="false" customWidth="true" hidden="false" outlineLevel="0" max="9" min="9" style="1" width="10"/>
    <col collapsed="false" customWidth="true" hidden="false" outlineLevel="0" max="10" min="10" style="1" width="36"/>
    <col collapsed="false" customWidth="true" hidden="false" outlineLevel="0" max="11" min="11" style="1" width="32"/>
    <col collapsed="false" customWidth="true" hidden="false" outlineLevel="0" max="12" min="12" style="1" width="9"/>
    <col collapsed="false" customWidth="true" hidden="false" outlineLevel="0" max="13" min="13" style="1" width="60"/>
  </cols>
  <sheetData>
    <row r="1" customFormat="false" ht="15.75" hidden="false" customHeight="true" outlineLevel="0" collapsed="false">
      <c r="A1" s="2" t="s">
        <v>704</v>
      </c>
    </row>
    <row r="2" customFormat="false" ht="15" hidden="false" customHeight="true" outlineLevel="0" collapsed="false">
      <c r="A2" s="3" t="s">
        <v>705</v>
      </c>
    </row>
    <row r="3" customFormat="false" ht="15" hidden="false" customHeight="true" outlineLevel="0" collapsed="false">
      <c r="A3" s="4" t="s">
        <v>706</v>
      </c>
      <c r="B3" s="4" t="s">
        <v>707</v>
      </c>
      <c r="C3" s="4" t="s">
        <v>708</v>
      </c>
      <c r="D3" s="4" t="s">
        <v>709</v>
      </c>
      <c r="E3" s="4" t="s">
        <v>710</v>
      </c>
      <c r="F3" s="4" t="s">
        <v>711</v>
      </c>
      <c r="G3" s="4" t="s">
        <v>78</v>
      </c>
      <c r="H3" s="4" t="s">
        <v>6</v>
      </c>
      <c r="I3" s="4" t="s">
        <v>712</v>
      </c>
      <c r="J3" s="4" t="s">
        <v>713</v>
      </c>
      <c r="K3" s="4" t="s">
        <v>714</v>
      </c>
      <c r="L3" s="4" t="s">
        <v>715</v>
      </c>
      <c r="M3" s="4" t="s">
        <v>716</v>
      </c>
    </row>
    <row r="4" customFormat="false" ht="23.25" hidden="false" customHeight="true" outlineLevel="0" collapsed="false">
      <c r="A4" s="7" t="s">
        <v>717</v>
      </c>
      <c r="B4" s="7" t="s">
        <v>718</v>
      </c>
      <c r="C4" s="7" t="s">
        <v>719</v>
      </c>
      <c r="D4" s="7" t="s">
        <v>720</v>
      </c>
      <c r="E4" s="7" t="n">
        <v>5</v>
      </c>
      <c r="F4" s="7" t="s">
        <v>721</v>
      </c>
      <c r="G4" s="7" t="s">
        <v>113</v>
      </c>
      <c r="H4" s="7" t="s">
        <v>722</v>
      </c>
      <c r="I4" s="7" t="s">
        <v>30</v>
      </c>
      <c r="J4" s="7" t="s">
        <v>723</v>
      </c>
      <c r="K4" s="7" t="s">
        <v>724</v>
      </c>
      <c r="L4" s="7" t="s">
        <v>725</v>
      </c>
      <c r="M4" s="7" t="s">
        <v>726</v>
      </c>
    </row>
    <row r="5" customFormat="false" ht="23.25" hidden="false" customHeight="true" outlineLevel="0" collapsed="false">
      <c r="A5" s="7" t="s">
        <v>727</v>
      </c>
      <c r="B5" s="7" t="s">
        <v>718</v>
      </c>
      <c r="C5" s="7" t="s">
        <v>719</v>
      </c>
      <c r="D5" s="7" t="s">
        <v>728</v>
      </c>
      <c r="E5" s="7" t="n">
        <v>8</v>
      </c>
      <c r="F5" s="7" t="s">
        <v>721</v>
      </c>
      <c r="G5" s="7" t="s">
        <v>113</v>
      </c>
      <c r="H5" s="7" t="s">
        <v>722</v>
      </c>
      <c r="I5" s="7" t="s">
        <v>30</v>
      </c>
      <c r="J5" s="7" t="s">
        <v>723</v>
      </c>
      <c r="K5" s="7" t="s">
        <v>724</v>
      </c>
      <c r="L5" s="7" t="s">
        <v>725</v>
      </c>
      <c r="M5" s="7" t="s">
        <v>729</v>
      </c>
    </row>
    <row r="6" customFormat="false" ht="23.25" hidden="false" customHeight="true" outlineLevel="0" collapsed="false">
      <c r="A6" s="7" t="s">
        <v>115</v>
      </c>
      <c r="B6" s="7" t="s">
        <v>718</v>
      </c>
      <c r="C6" s="7" t="s">
        <v>719</v>
      </c>
      <c r="D6" s="7" t="s">
        <v>730</v>
      </c>
      <c r="E6" s="7" t="n">
        <v>5</v>
      </c>
      <c r="F6" s="7" t="s">
        <v>731</v>
      </c>
      <c r="G6" s="7" t="s">
        <v>113</v>
      </c>
      <c r="H6" s="7" t="s">
        <v>722</v>
      </c>
      <c r="I6" s="7" t="s">
        <v>33</v>
      </c>
      <c r="J6" s="7" t="s">
        <v>732</v>
      </c>
      <c r="K6" s="7" t="s">
        <v>733</v>
      </c>
      <c r="L6" s="7" t="s">
        <v>725</v>
      </c>
      <c r="M6" s="7" t="s">
        <v>734</v>
      </c>
    </row>
    <row r="7" customFormat="false" ht="23.25" hidden="false" customHeight="true" outlineLevel="0" collapsed="false">
      <c r="A7" s="7" t="s">
        <v>735</v>
      </c>
      <c r="B7" s="7" t="s">
        <v>718</v>
      </c>
      <c r="C7" s="7" t="s">
        <v>719</v>
      </c>
      <c r="D7" s="7" t="s">
        <v>736</v>
      </c>
      <c r="E7" s="7" t="n">
        <v>3</v>
      </c>
      <c r="F7" s="7" t="s">
        <v>721</v>
      </c>
      <c r="G7" s="7" t="s">
        <v>113</v>
      </c>
      <c r="H7" s="7" t="s">
        <v>722</v>
      </c>
      <c r="I7" s="7" t="s">
        <v>30</v>
      </c>
      <c r="J7" s="7" t="s">
        <v>737</v>
      </c>
      <c r="K7" s="7" t="s">
        <v>738</v>
      </c>
      <c r="L7" s="7" t="s">
        <v>725</v>
      </c>
      <c r="M7" s="7" t="s">
        <v>739</v>
      </c>
    </row>
    <row r="8" customFormat="false" ht="34.5" hidden="false" customHeight="true" outlineLevel="0" collapsed="false">
      <c r="A8" s="7" t="s">
        <v>740</v>
      </c>
      <c r="B8" s="7" t="s">
        <v>718</v>
      </c>
      <c r="C8" s="7" t="s">
        <v>719</v>
      </c>
      <c r="D8" s="7" t="s">
        <v>741</v>
      </c>
      <c r="E8" s="7" t="n">
        <v>5</v>
      </c>
      <c r="F8" s="7" t="s">
        <v>721</v>
      </c>
      <c r="G8" s="7" t="s">
        <v>742</v>
      </c>
      <c r="H8" s="7" t="s">
        <v>722</v>
      </c>
      <c r="I8" s="7" t="s">
        <v>33</v>
      </c>
      <c r="J8" s="7" t="s">
        <v>743</v>
      </c>
      <c r="K8" s="7" t="s">
        <v>744</v>
      </c>
      <c r="L8" s="7" t="s">
        <v>725</v>
      </c>
      <c r="M8" s="7" t="s">
        <v>745</v>
      </c>
    </row>
    <row r="9" customFormat="false" ht="34.5" hidden="false" customHeight="true" outlineLevel="0" collapsed="false">
      <c r="A9" s="7" t="s">
        <v>746</v>
      </c>
      <c r="B9" s="7" t="s">
        <v>718</v>
      </c>
      <c r="C9" s="7" t="s">
        <v>719</v>
      </c>
      <c r="D9" s="7" t="s">
        <v>747</v>
      </c>
      <c r="E9" s="7" t="n">
        <v>3</v>
      </c>
      <c r="F9" s="7" t="s">
        <v>731</v>
      </c>
      <c r="G9" s="7" t="s">
        <v>742</v>
      </c>
      <c r="H9" s="7" t="s">
        <v>722</v>
      </c>
      <c r="I9" s="7" t="s">
        <v>33</v>
      </c>
      <c r="J9" s="7" t="s">
        <v>748</v>
      </c>
      <c r="K9" s="7" t="s">
        <v>749</v>
      </c>
      <c r="L9" s="7" t="s">
        <v>725</v>
      </c>
      <c r="M9" s="7" t="s">
        <v>750</v>
      </c>
    </row>
    <row r="10" customFormat="false" ht="23.25" hidden="false" customHeight="true" outlineLevel="0" collapsed="false">
      <c r="A10" s="7" t="s">
        <v>751</v>
      </c>
      <c r="B10" s="7" t="s">
        <v>718</v>
      </c>
      <c r="C10" s="7" t="s">
        <v>719</v>
      </c>
      <c r="D10" s="7" t="s">
        <v>752</v>
      </c>
      <c r="E10" s="7" t="n">
        <v>3</v>
      </c>
      <c r="F10" s="7" t="s">
        <v>731</v>
      </c>
      <c r="G10" s="7" t="s">
        <v>742</v>
      </c>
      <c r="H10" s="7" t="s">
        <v>722</v>
      </c>
      <c r="I10" s="7" t="s">
        <v>30</v>
      </c>
      <c r="J10" s="7" t="s">
        <v>753</v>
      </c>
      <c r="K10" s="7" t="s">
        <v>754</v>
      </c>
      <c r="L10" s="7" t="s">
        <v>725</v>
      </c>
      <c r="M10" s="7" t="s">
        <v>755</v>
      </c>
    </row>
    <row r="11" customFormat="false" ht="23.25" hidden="false" customHeight="true" outlineLevel="0" collapsed="false">
      <c r="A11" s="7" t="s">
        <v>756</v>
      </c>
      <c r="B11" s="7" t="s">
        <v>718</v>
      </c>
      <c r="C11" s="7" t="s">
        <v>719</v>
      </c>
      <c r="D11" s="7" t="s">
        <v>757</v>
      </c>
      <c r="E11" s="7" t="n">
        <v>2</v>
      </c>
      <c r="F11" s="7" t="s">
        <v>758</v>
      </c>
      <c r="G11" s="7" t="s">
        <v>742</v>
      </c>
      <c r="H11" s="7" t="s">
        <v>722</v>
      </c>
      <c r="I11" s="7" t="s">
        <v>30</v>
      </c>
      <c r="J11" s="7" t="s">
        <v>723</v>
      </c>
      <c r="K11" s="7" t="s">
        <v>724</v>
      </c>
      <c r="L11" s="7" t="s">
        <v>725</v>
      </c>
      <c r="M11" s="7" t="s">
        <v>759</v>
      </c>
    </row>
    <row r="12" customFormat="false" ht="23.25" hidden="false" customHeight="true" outlineLevel="0" collapsed="false">
      <c r="A12" s="7" t="s">
        <v>760</v>
      </c>
      <c r="B12" s="7" t="s">
        <v>718</v>
      </c>
      <c r="C12" s="7" t="s">
        <v>719</v>
      </c>
      <c r="D12" s="7" t="s">
        <v>761</v>
      </c>
      <c r="E12" s="7" t="n">
        <v>5</v>
      </c>
      <c r="F12" s="7" t="s">
        <v>731</v>
      </c>
      <c r="G12" s="7" t="s">
        <v>742</v>
      </c>
      <c r="H12" s="7" t="s">
        <v>722</v>
      </c>
      <c r="I12" s="7" t="s">
        <v>30</v>
      </c>
      <c r="J12" s="7" t="s">
        <v>762</v>
      </c>
      <c r="K12" s="7" t="s">
        <v>763</v>
      </c>
      <c r="L12" s="7" t="s">
        <v>725</v>
      </c>
      <c r="M12" s="7" t="s">
        <v>764</v>
      </c>
    </row>
    <row r="13" customFormat="false" ht="23.25" hidden="false" customHeight="true" outlineLevel="0" collapsed="false">
      <c r="A13" s="7" t="s">
        <v>765</v>
      </c>
      <c r="B13" s="7" t="s">
        <v>718</v>
      </c>
      <c r="C13" s="7" t="s">
        <v>719</v>
      </c>
      <c r="D13" s="7" t="s">
        <v>766</v>
      </c>
      <c r="E13" s="7" t="n">
        <v>3</v>
      </c>
      <c r="F13" s="7" t="s">
        <v>758</v>
      </c>
      <c r="G13" s="7" t="s">
        <v>742</v>
      </c>
      <c r="H13" s="7" t="s">
        <v>722</v>
      </c>
      <c r="I13" s="7" t="s">
        <v>33</v>
      </c>
      <c r="J13" s="7" t="s">
        <v>767</v>
      </c>
      <c r="K13" s="7" t="s">
        <v>733</v>
      </c>
      <c r="L13" s="7" t="s">
        <v>725</v>
      </c>
      <c r="M13" s="7" t="s">
        <v>768</v>
      </c>
    </row>
    <row r="14" customFormat="false" ht="23.25" hidden="false" customHeight="true" outlineLevel="0" collapsed="false">
      <c r="A14" s="7" t="s">
        <v>769</v>
      </c>
      <c r="B14" s="7" t="s">
        <v>770</v>
      </c>
      <c r="C14" s="7" t="s">
        <v>771</v>
      </c>
      <c r="D14" s="7" t="s">
        <v>772</v>
      </c>
      <c r="E14" s="7" t="n">
        <v>5</v>
      </c>
      <c r="F14" s="7" t="s">
        <v>721</v>
      </c>
      <c r="G14" s="7" t="s">
        <v>742</v>
      </c>
      <c r="H14" s="7" t="s">
        <v>722</v>
      </c>
      <c r="I14" s="7" t="s">
        <v>30</v>
      </c>
      <c r="J14" s="7" t="s">
        <v>773</v>
      </c>
      <c r="K14" s="7" t="s">
        <v>774</v>
      </c>
      <c r="L14" s="7" t="s">
        <v>725</v>
      </c>
      <c r="M14" s="7" t="s">
        <v>775</v>
      </c>
    </row>
    <row r="15" customFormat="false" ht="23.25" hidden="false" customHeight="true" outlineLevel="0" collapsed="false">
      <c r="A15" s="7" t="s">
        <v>776</v>
      </c>
      <c r="B15" s="7" t="s">
        <v>770</v>
      </c>
      <c r="C15" s="7" t="s">
        <v>771</v>
      </c>
      <c r="D15" s="7" t="s">
        <v>777</v>
      </c>
      <c r="E15" s="7" t="n">
        <v>8</v>
      </c>
      <c r="F15" s="7" t="s">
        <v>721</v>
      </c>
      <c r="G15" s="7" t="s">
        <v>742</v>
      </c>
      <c r="H15" s="7" t="s">
        <v>722</v>
      </c>
      <c r="I15" s="7" t="s">
        <v>30</v>
      </c>
      <c r="J15" s="7" t="s">
        <v>773</v>
      </c>
      <c r="K15" s="7" t="s">
        <v>774</v>
      </c>
      <c r="L15" s="7" t="s">
        <v>725</v>
      </c>
      <c r="M15" s="7" t="s">
        <v>778</v>
      </c>
    </row>
    <row r="16" customFormat="false" ht="23.25" hidden="false" customHeight="true" outlineLevel="0" collapsed="false">
      <c r="A16" s="7" t="s">
        <v>779</v>
      </c>
      <c r="B16" s="7" t="s">
        <v>770</v>
      </c>
      <c r="C16" s="7" t="s">
        <v>771</v>
      </c>
      <c r="D16" s="7" t="s">
        <v>780</v>
      </c>
      <c r="E16" s="7" t="n">
        <v>5</v>
      </c>
      <c r="F16" s="7" t="s">
        <v>731</v>
      </c>
      <c r="G16" s="7" t="s">
        <v>742</v>
      </c>
      <c r="H16" s="7" t="s">
        <v>722</v>
      </c>
      <c r="I16" s="7" t="s">
        <v>30</v>
      </c>
      <c r="J16" s="7" t="s">
        <v>773</v>
      </c>
      <c r="K16" s="7" t="s">
        <v>774</v>
      </c>
      <c r="L16" s="7" t="s">
        <v>725</v>
      </c>
      <c r="M16" s="7" t="s">
        <v>781</v>
      </c>
    </row>
    <row r="17" customFormat="false" ht="23.25" hidden="false" customHeight="true" outlineLevel="0" collapsed="false">
      <c r="A17" s="7" t="s">
        <v>782</v>
      </c>
      <c r="B17" s="7" t="s">
        <v>770</v>
      </c>
      <c r="C17" s="7" t="s">
        <v>771</v>
      </c>
      <c r="D17" s="7" t="s">
        <v>783</v>
      </c>
      <c r="E17" s="7" t="n">
        <v>3</v>
      </c>
      <c r="F17" s="7" t="s">
        <v>721</v>
      </c>
      <c r="G17" s="7" t="s">
        <v>742</v>
      </c>
      <c r="H17" s="7" t="s">
        <v>722</v>
      </c>
      <c r="I17" s="7" t="s">
        <v>30</v>
      </c>
      <c r="J17" s="7" t="s">
        <v>784</v>
      </c>
      <c r="K17" s="7" t="s">
        <v>785</v>
      </c>
      <c r="L17" s="7" t="s">
        <v>725</v>
      </c>
      <c r="M17" s="7" t="s">
        <v>786</v>
      </c>
    </row>
    <row r="18" customFormat="false" ht="23.25" hidden="false" customHeight="true" outlineLevel="0" collapsed="false">
      <c r="A18" s="7" t="s">
        <v>787</v>
      </c>
      <c r="B18" s="7" t="s">
        <v>770</v>
      </c>
      <c r="C18" s="7" t="s">
        <v>771</v>
      </c>
      <c r="D18" s="7" t="s">
        <v>788</v>
      </c>
      <c r="E18" s="7" t="n">
        <v>5</v>
      </c>
      <c r="F18" s="7" t="s">
        <v>721</v>
      </c>
      <c r="G18" s="7" t="s">
        <v>123</v>
      </c>
      <c r="H18" s="7" t="s">
        <v>722</v>
      </c>
      <c r="I18" s="7" t="s">
        <v>33</v>
      </c>
      <c r="J18" s="7" t="s">
        <v>743</v>
      </c>
      <c r="K18" s="7" t="s">
        <v>744</v>
      </c>
      <c r="L18" s="7" t="s">
        <v>725</v>
      </c>
      <c r="M18" s="7" t="s">
        <v>789</v>
      </c>
    </row>
    <row r="19" customFormat="false" ht="34.5" hidden="false" customHeight="true" outlineLevel="0" collapsed="false">
      <c r="A19" s="7" t="s">
        <v>790</v>
      </c>
      <c r="B19" s="7" t="s">
        <v>770</v>
      </c>
      <c r="C19" s="7" t="s">
        <v>771</v>
      </c>
      <c r="D19" s="7" t="s">
        <v>791</v>
      </c>
      <c r="E19" s="7" t="n">
        <v>3</v>
      </c>
      <c r="F19" s="7" t="s">
        <v>731</v>
      </c>
      <c r="G19" s="7" t="s">
        <v>123</v>
      </c>
      <c r="H19" s="7" t="s">
        <v>722</v>
      </c>
      <c r="I19" s="7" t="s">
        <v>33</v>
      </c>
      <c r="J19" s="7" t="s">
        <v>748</v>
      </c>
      <c r="K19" s="7" t="s">
        <v>749</v>
      </c>
      <c r="L19" s="7" t="s">
        <v>725</v>
      </c>
      <c r="M19" s="7" t="s">
        <v>792</v>
      </c>
    </row>
    <row r="20" customFormat="false" ht="23.25" hidden="false" customHeight="true" outlineLevel="0" collapsed="false">
      <c r="A20" s="7" t="s">
        <v>793</v>
      </c>
      <c r="B20" s="7" t="s">
        <v>770</v>
      </c>
      <c r="C20" s="7" t="s">
        <v>771</v>
      </c>
      <c r="D20" s="7" t="s">
        <v>794</v>
      </c>
      <c r="E20" s="7" t="n">
        <v>3</v>
      </c>
      <c r="F20" s="7" t="s">
        <v>731</v>
      </c>
      <c r="G20" s="7" t="s">
        <v>123</v>
      </c>
      <c r="H20" s="7" t="s">
        <v>722</v>
      </c>
      <c r="I20" s="7" t="s">
        <v>30</v>
      </c>
      <c r="J20" s="7" t="s">
        <v>753</v>
      </c>
      <c r="K20" s="7" t="s">
        <v>754</v>
      </c>
      <c r="L20" s="7" t="s">
        <v>725</v>
      </c>
      <c r="M20" s="7" t="s">
        <v>795</v>
      </c>
    </row>
    <row r="21" customFormat="false" ht="23.25" hidden="false" customHeight="true" outlineLevel="0" collapsed="false">
      <c r="A21" s="7" t="s">
        <v>796</v>
      </c>
      <c r="B21" s="7" t="s">
        <v>770</v>
      </c>
      <c r="C21" s="7" t="s">
        <v>771</v>
      </c>
      <c r="D21" s="7" t="s">
        <v>797</v>
      </c>
      <c r="E21" s="7" t="n">
        <v>2</v>
      </c>
      <c r="F21" s="7" t="s">
        <v>758</v>
      </c>
      <c r="G21" s="7" t="s">
        <v>123</v>
      </c>
      <c r="H21" s="7" t="s">
        <v>722</v>
      </c>
      <c r="I21" s="7" t="s">
        <v>33</v>
      </c>
      <c r="J21" s="7" t="s">
        <v>798</v>
      </c>
      <c r="K21" s="7" t="s">
        <v>733</v>
      </c>
      <c r="L21" s="7" t="s">
        <v>725</v>
      </c>
      <c r="M21" s="7" t="s">
        <v>799</v>
      </c>
    </row>
    <row r="22" customFormat="false" ht="23.25" hidden="false" customHeight="true" outlineLevel="0" collapsed="false">
      <c r="A22" s="7" t="s">
        <v>800</v>
      </c>
      <c r="B22" s="7" t="s">
        <v>770</v>
      </c>
      <c r="C22" s="7" t="s">
        <v>771</v>
      </c>
      <c r="D22" s="7" t="s">
        <v>801</v>
      </c>
      <c r="E22" s="7" t="n">
        <v>5</v>
      </c>
      <c r="F22" s="7" t="s">
        <v>731</v>
      </c>
      <c r="G22" s="7" t="s">
        <v>123</v>
      </c>
      <c r="H22" s="7" t="s">
        <v>722</v>
      </c>
      <c r="I22" s="7" t="s">
        <v>30</v>
      </c>
      <c r="J22" s="7" t="s">
        <v>762</v>
      </c>
      <c r="K22" s="7" t="s">
        <v>763</v>
      </c>
      <c r="L22" s="7" t="s">
        <v>725</v>
      </c>
      <c r="M22" s="7" t="s">
        <v>764</v>
      </c>
    </row>
    <row r="23" customFormat="false" ht="23.25" hidden="false" customHeight="true" outlineLevel="0" collapsed="false">
      <c r="A23" s="7" t="s">
        <v>802</v>
      </c>
      <c r="B23" s="7" t="s">
        <v>770</v>
      </c>
      <c r="C23" s="7" t="s">
        <v>771</v>
      </c>
      <c r="D23" s="7" t="s">
        <v>803</v>
      </c>
      <c r="E23" s="7" t="n">
        <v>3</v>
      </c>
      <c r="F23" s="7" t="s">
        <v>758</v>
      </c>
      <c r="G23" s="7" t="s">
        <v>123</v>
      </c>
      <c r="H23" s="7" t="s">
        <v>722</v>
      </c>
      <c r="I23" s="7" t="s">
        <v>36</v>
      </c>
      <c r="J23" s="7" t="s">
        <v>767</v>
      </c>
      <c r="K23" s="7" t="s">
        <v>804</v>
      </c>
      <c r="L23" s="7" t="s">
        <v>725</v>
      </c>
      <c r="M23" s="7" t="s">
        <v>805</v>
      </c>
    </row>
    <row r="24" customFormat="false" ht="23.25" hidden="false" customHeight="true" outlineLevel="0" collapsed="false">
      <c r="A24" s="7" t="s">
        <v>806</v>
      </c>
      <c r="B24" s="7" t="s">
        <v>807</v>
      </c>
      <c r="C24" s="7" t="s">
        <v>808</v>
      </c>
      <c r="D24" s="7" t="s">
        <v>809</v>
      </c>
      <c r="E24" s="7" t="n">
        <v>5</v>
      </c>
      <c r="F24" s="7" t="s">
        <v>721</v>
      </c>
      <c r="G24" s="7" t="s">
        <v>227</v>
      </c>
      <c r="H24" s="7" t="s">
        <v>722</v>
      </c>
      <c r="I24" s="7" t="s">
        <v>30</v>
      </c>
      <c r="J24" s="7" t="s">
        <v>810</v>
      </c>
      <c r="K24" s="7" t="s">
        <v>811</v>
      </c>
      <c r="L24" s="7" t="s">
        <v>725</v>
      </c>
      <c r="M24" s="7" t="s">
        <v>812</v>
      </c>
    </row>
    <row r="25" customFormat="false" ht="23.25" hidden="false" customHeight="true" outlineLevel="0" collapsed="false">
      <c r="A25" s="7" t="s">
        <v>813</v>
      </c>
      <c r="B25" s="7" t="s">
        <v>807</v>
      </c>
      <c r="C25" s="7" t="s">
        <v>808</v>
      </c>
      <c r="D25" s="7" t="s">
        <v>814</v>
      </c>
      <c r="E25" s="7" t="n">
        <v>8</v>
      </c>
      <c r="F25" s="7" t="s">
        <v>721</v>
      </c>
      <c r="G25" s="7" t="s">
        <v>227</v>
      </c>
      <c r="H25" s="7" t="s">
        <v>722</v>
      </c>
      <c r="I25" s="7" t="s">
        <v>30</v>
      </c>
      <c r="J25" s="7" t="s">
        <v>810</v>
      </c>
      <c r="K25" s="7" t="s">
        <v>811</v>
      </c>
      <c r="L25" s="7" t="s">
        <v>725</v>
      </c>
      <c r="M25" s="7" t="s">
        <v>815</v>
      </c>
    </row>
    <row r="26" customFormat="false" ht="23.25" hidden="false" customHeight="true" outlineLevel="0" collapsed="false">
      <c r="A26" s="7" t="s">
        <v>816</v>
      </c>
      <c r="B26" s="7" t="s">
        <v>807</v>
      </c>
      <c r="C26" s="7" t="s">
        <v>808</v>
      </c>
      <c r="D26" s="7" t="s">
        <v>817</v>
      </c>
      <c r="E26" s="7" t="n">
        <v>5</v>
      </c>
      <c r="F26" s="7" t="s">
        <v>731</v>
      </c>
      <c r="G26" s="7" t="s">
        <v>227</v>
      </c>
      <c r="H26" s="7" t="s">
        <v>722</v>
      </c>
      <c r="I26" s="7" t="s">
        <v>30</v>
      </c>
      <c r="J26" s="7" t="s">
        <v>810</v>
      </c>
      <c r="K26" s="7" t="s">
        <v>811</v>
      </c>
      <c r="L26" s="7" t="s">
        <v>725</v>
      </c>
      <c r="M26" s="7" t="s">
        <v>818</v>
      </c>
    </row>
    <row r="27" customFormat="false" ht="23.25" hidden="false" customHeight="true" outlineLevel="0" collapsed="false">
      <c r="A27" s="7" t="s">
        <v>819</v>
      </c>
      <c r="B27" s="7" t="s">
        <v>807</v>
      </c>
      <c r="C27" s="7" t="s">
        <v>808</v>
      </c>
      <c r="D27" s="7" t="s">
        <v>820</v>
      </c>
      <c r="E27" s="7" t="n">
        <v>3</v>
      </c>
      <c r="F27" s="7" t="s">
        <v>721</v>
      </c>
      <c r="G27" s="7" t="s">
        <v>227</v>
      </c>
      <c r="H27" s="7" t="s">
        <v>722</v>
      </c>
      <c r="I27" s="7" t="s">
        <v>30</v>
      </c>
      <c r="J27" s="7" t="s">
        <v>810</v>
      </c>
      <c r="K27" s="7" t="s">
        <v>811</v>
      </c>
      <c r="L27" s="7" t="s">
        <v>725</v>
      </c>
      <c r="M27" s="7" t="s">
        <v>821</v>
      </c>
    </row>
    <row r="28" customFormat="false" ht="23.25" hidden="false" customHeight="true" outlineLevel="0" collapsed="false">
      <c r="A28" s="7" t="s">
        <v>822</v>
      </c>
      <c r="B28" s="7" t="s">
        <v>807</v>
      </c>
      <c r="C28" s="7" t="s">
        <v>808</v>
      </c>
      <c r="D28" s="7" t="s">
        <v>823</v>
      </c>
      <c r="E28" s="7" t="n">
        <v>5</v>
      </c>
      <c r="F28" s="7" t="s">
        <v>721</v>
      </c>
      <c r="G28" s="7" t="s">
        <v>227</v>
      </c>
      <c r="H28" s="7" t="s">
        <v>722</v>
      </c>
      <c r="I28" s="7" t="s">
        <v>33</v>
      </c>
      <c r="J28" s="7" t="s">
        <v>824</v>
      </c>
      <c r="K28" s="7" t="s">
        <v>744</v>
      </c>
      <c r="L28" s="7" t="s">
        <v>725</v>
      </c>
      <c r="M28" s="7" t="s">
        <v>825</v>
      </c>
    </row>
    <row r="29" customFormat="false" ht="34.5" hidden="false" customHeight="true" outlineLevel="0" collapsed="false">
      <c r="A29" s="7" t="s">
        <v>826</v>
      </c>
      <c r="B29" s="7" t="s">
        <v>807</v>
      </c>
      <c r="C29" s="7" t="s">
        <v>808</v>
      </c>
      <c r="D29" s="7" t="s">
        <v>827</v>
      </c>
      <c r="E29" s="7" t="n">
        <v>3</v>
      </c>
      <c r="F29" s="7" t="s">
        <v>731</v>
      </c>
      <c r="G29" s="7" t="s">
        <v>227</v>
      </c>
      <c r="H29" s="7" t="s">
        <v>722</v>
      </c>
      <c r="I29" s="7" t="s">
        <v>33</v>
      </c>
      <c r="J29" s="7" t="s">
        <v>748</v>
      </c>
      <c r="K29" s="7" t="s">
        <v>749</v>
      </c>
      <c r="L29" s="7" t="s">
        <v>725</v>
      </c>
      <c r="M29" s="7" t="s">
        <v>792</v>
      </c>
    </row>
    <row r="30" customFormat="false" ht="23.25" hidden="false" customHeight="true" outlineLevel="0" collapsed="false">
      <c r="A30" s="7" t="s">
        <v>828</v>
      </c>
      <c r="B30" s="7" t="s">
        <v>807</v>
      </c>
      <c r="C30" s="7" t="s">
        <v>808</v>
      </c>
      <c r="D30" s="7" t="s">
        <v>829</v>
      </c>
      <c r="E30" s="7" t="n">
        <v>3</v>
      </c>
      <c r="F30" s="7" t="s">
        <v>731</v>
      </c>
      <c r="G30" s="7" t="s">
        <v>227</v>
      </c>
      <c r="H30" s="7" t="s">
        <v>722</v>
      </c>
      <c r="I30" s="7" t="s">
        <v>30</v>
      </c>
      <c r="J30" s="7" t="s">
        <v>753</v>
      </c>
      <c r="K30" s="7" t="s">
        <v>754</v>
      </c>
      <c r="L30" s="7" t="s">
        <v>725</v>
      </c>
      <c r="M30" s="7" t="s">
        <v>830</v>
      </c>
    </row>
    <row r="31" customFormat="false" ht="23.25" hidden="false" customHeight="true" outlineLevel="0" collapsed="false">
      <c r="A31" s="7" t="s">
        <v>831</v>
      </c>
      <c r="B31" s="7" t="s">
        <v>807</v>
      </c>
      <c r="C31" s="7" t="s">
        <v>808</v>
      </c>
      <c r="D31" s="7" t="s">
        <v>832</v>
      </c>
      <c r="E31" s="7" t="n">
        <v>2</v>
      </c>
      <c r="F31" s="7" t="s">
        <v>758</v>
      </c>
      <c r="G31" s="7" t="s">
        <v>227</v>
      </c>
      <c r="H31" s="7" t="s">
        <v>722</v>
      </c>
      <c r="I31" s="7" t="s">
        <v>30</v>
      </c>
      <c r="J31" s="7" t="s">
        <v>810</v>
      </c>
      <c r="K31" s="7" t="s">
        <v>811</v>
      </c>
      <c r="L31" s="7" t="s">
        <v>725</v>
      </c>
      <c r="M31" s="7" t="s">
        <v>833</v>
      </c>
    </row>
    <row r="32" customFormat="false" ht="23.25" hidden="false" customHeight="true" outlineLevel="0" collapsed="false">
      <c r="A32" s="7" t="s">
        <v>834</v>
      </c>
      <c r="B32" s="7" t="s">
        <v>807</v>
      </c>
      <c r="C32" s="7" t="s">
        <v>808</v>
      </c>
      <c r="D32" s="7" t="s">
        <v>835</v>
      </c>
      <c r="E32" s="7" t="n">
        <v>5</v>
      </c>
      <c r="F32" s="7" t="s">
        <v>731</v>
      </c>
      <c r="G32" s="7" t="s">
        <v>227</v>
      </c>
      <c r="H32" s="7" t="s">
        <v>722</v>
      </c>
      <c r="I32" s="7" t="s">
        <v>30</v>
      </c>
      <c r="J32" s="7" t="s">
        <v>762</v>
      </c>
      <c r="K32" s="7" t="s">
        <v>763</v>
      </c>
      <c r="L32" s="7" t="s">
        <v>725</v>
      </c>
      <c r="M32" s="7" t="s">
        <v>764</v>
      </c>
    </row>
    <row r="33" customFormat="false" ht="23.25" hidden="false" customHeight="true" outlineLevel="0" collapsed="false">
      <c r="A33" s="7" t="s">
        <v>836</v>
      </c>
      <c r="B33" s="7" t="s">
        <v>807</v>
      </c>
      <c r="C33" s="7" t="s">
        <v>808</v>
      </c>
      <c r="D33" s="7" t="s">
        <v>837</v>
      </c>
      <c r="E33" s="7" t="n">
        <v>3</v>
      </c>
      <c r="F33" s="7" t="s">
        <v>758</v>
      </c>
      <c r="G33" s="7" t="s">
        <v>227</v>
      </c>
      <c r="H33" s="7" t="s">
        <v>722</v>
      </c>
      <c r="I33" s="7" t="s">
        <v>30</v>
      </c>
      <c r="J33" s="7" t="s">
        <v>810</v>
      </c>
      <c r="K33" s="7" t="s">
        <v>811</v>
      </c>
      <c r="L33" s="7" t="s">
        <v>725</v>
      </c>
      <c r="M33" s="7" t="s">
        <v>838</v>
      </c>
    </row>
    <row r="34" customFormat="false" ht="23.25" hidden="false" customHeight="true" outlineLevel="0" collapsed="false">
      <c r="A34" s="7" t="s">
        <v>839</v>
      </c>
      <c r="B34" s="7" t="s">
        <v>840</v>
      </c>
      <c r="C34" s="7" t="s">
        <v>841</v>
      </c>
      <c r="D34" s="7" t="s">
        <v>842</v>
      </c>
      <c r="E34" s="7" t="n">
        <v>5</v>
      </c>
      <c r="F34" s="7" t="s">
        <v>721</v>
      </c>
      <c r="G34" s="7" t="s">
        <v>325</v>
      </c>
      <c r="H34" s="7" t="s">
        <v>722</v>
      </c>
      <c r="I34" s="7" t="s">
        <v>30</v>
      </c>
      <c r="J34" s="7" t="s">
        <v>762</v>
      </c>
      <c r="K34" s="7" t="s">
        <v>763</v>
      </c>
      <c r="L34" s="7" t="s">
        <v>725</v>
      </c>
      <c r="M34" s="7" t="s">
        <v>843</v>
      </c>
    </row>
    <row r="35" customFormat="false" ht="23.25" hidden="false" customHeight="true" outlineLevel="0" collapsed="false">
      <c r="A35" s="7" t="s">
        <v>844</v>
      </c>
      <c r="B35" s="7" t="s">
        <v>840</v>
      </c>
      <c r="C35" s="7" t="s">
        <v>841</v>
      </c>
      <c r="D35" s="7" t="s">
        <v>845</v>
      </c>
      <c r="E35" s="7" t="n">
        <v>8</v>
      </c>
      <c r="F35" s="7" t="s">
        <v>721</v>
      </c>
      <c r="G35" s="7" t="s">
        <v>325</v>
      </c>
      <c r="H35" s="7" t="s">
        <v>722</v>
      </c>
      <c r="I35" s="7" t="s">
        <v>30</v>
      </c>
      <c r="J35" s="7" t="s">
        <v>762</v>
      </c>
      <c r="K35" s="7" t="s">
        <v>763</v>
      </c>
      <c r="L35" s="7" t="s">
        <v>725</v>
      </c>
      <c r="M35" s="7" t="s">
        <v>846</v>
      </c>
    </row>
    <row r="36" customFormat="false" ht="23.25" hidden="false" customHeight="true" outlineLevel="0" collapsed="false">
      <c r="A36" s="7" t="s">
        <v>847</v>
      </c>
      <c r="B36" s="7" t="s">
        <v>840</v>
      </c>
      <c r="C36" s="7" t="s">
        <v>841</v>
      </c>
      <c r="D36" s="7" t="s">
        <v>848</v>
      </c>
      <c r="E36" s="7" t="n">
        <v>5</v>
      </c>
      <c r="F36" s="7" t="s">
        <v>731</v>
      </c>
      <c r="G36" s="7" t="s">
        <v>325</v>
      </c>
      <c r="H36" s="7" t="s">
        <v>722</v>
      </c>
      <c r="I36" s="7" t="s">
        <v>33</v>
      </c>
      <c r="J36" s="7" t="s">
        <v>849</v>
      </c>
      <c r="K36" s="7" t="s">
        <v>733</v>
      </c>
      <c r="L36" s="7" t="s">
        <v>725</v>
      </c>
      <c r="M36" s="7" t="s">
        <v>850</v>
      </c>
    </row>
    <row r="37" customFormat="false" ht="23.25" hidden="false" customHeight="true" outlineLevel="0" collapsed="false">
      <c r="A37" s="7" t="s">
        <v>851</v>
      </c>
      <c r="B37" s="7" t="s">
        <v>840</v>
      </c>
      <c r="C37" s="7" t="s">
        <v>841</v>
      </c>
      <c r="D37" s="7" t="s">
        <v>852</v>
      </c>
      <c r="E37" s="7" t="n">
        <v>3</v>
      </c>
      <c r="F37" s="7" t="s">
        <v>721</v>
      </c>
      <c r="G37" s="7" t="s">
        <v>325</v>
      </c>
      <c r="H37" s="7" t="s">
        <v>722</v>
      </c>
      <c r="I37" s="7" t="s">
        <v>30</v>
      </c>
      <c r="J37" s="7" t="s">
        <v>762</v>
      </c>
      <c r="K37" s="7" t="s">
        <v>763</v>
      </c>
      <c r="L37" s="7" t="s">
        <v>725</v>
      </c>
      <c r="M37" s="7" t="s">
        <v>853</v>
      </c>
    </row>
    <row r="38" customFormat="false" ht="23.25" hidden="false" customHeight="true" outlineLevel="0" collapsed="false">
      <c r="A38" s="7" t="s">
        <v>854</v>
      </c>
      <c r="B38" s="7" t="s">
        <v>840</v>
      </c>
      <c r="C38" s="7" t="s">
        <v>841</v>
      </c>
      <c r="D38" s="7" t="s">
        <v>855</v>
      </c>
      <c r="E38" s="7" t="n">
        <v>5</v>
      </c>
      <c r="F38" s="7" t="s">
        <v>721</v>
      </c>
      <c r="G38" s="7" t="s">
        <v>325</v>
      </c>
      <c r="H38" s="7" t="s">
        <v>722</v>
      </c>
      <c r="I38" s="7" t="s">
        <v>33</v>
      </c>
      <c r="J38" s="7" t="s">
        <v>824</v>
      </c>
      <c r="K38" s="7" t="s">
        <v>744</v>
      </c>
      <c r="L38" s="7" t="s">
        <v>725</v>
      </c>
      <c r="M38" s="7" t="s">
        <v>856</v>
      </c>
    </row>
    <row r="39" customFormat="false" ht="34.5" hidden="false" customHeight="true" outlineLevel="0" collapsed="false">
      <c r="A39" s="7" t="s">
        <v>857</v>
      </c>
      <c r="B39" s="7" t="s">
        <v>840</v>
      </c>
      <c r="C39" s="7" t="s">
        <v>841</v>
      </c>
      <c r="D39" s="7" t="s">
        <v>858</v>
      </c>
      <c r="E39" s="7" t="n">
        <v>3</v>
      </c>
      <c r="F39" s="7" t="s">
        <v>731</v>
      </c>
      <c r="G39" s="7" t="s">
        <v>325</v>
      </c>
      <c r="H39" s="7" t="s">
        <v>722</v>
      </c>
      <c r="I39" s="7" t="s">
        <v>33</v>
      </c>
      <c r="J39" s="7" t="s">
        <v>748</v>
      </c>
      <c r="K39" s="7" t="s">
        <v>749</v>
      </c>
      <c r="L39" s="7" t="s">
        <v>725</v>
      </c>
      <c r="M39" s="7" t="s">
        <v>792</v>
      </c>
    </row>
    <row r="40" customFormat="false" ht="23.25" hidden="false" customHeight="true" outlineLevel="0" collapsed="false">
      <c r="A40" s="7" t="s">
        <v>859</v>
      </c>
      <c r="B40" s="7" t="s">
        <v>840</v>
      </c>
      <c r="C40" s="7" t="s">
        <v>841</v>
      </c>
      <c r="D40" s="7" t="s">
        <v>860</v>
      </c>
      <c r="E40" s="7" t="n">
        <v>3</v>
      </c>
      <c r="F40" s="7" t="s">
        <v>731</v>
      </c>
      <c r="G40" s="7" t="s">
        <v>325</v>
      </c>
      <c r="H40" s="7" t="s">
        <v>722</v>
      </c>
      <c r="I40" s="7" t="s">
        <v>30</v>
      </c>
      <c r="J40" s="7" t="s">
        <v>753</v>
      </c>
      <c r="K40" s="7" t="s">
        <v>754</v>
      </c>
      <c r="L40" s="7" t="s">
        <v>725</v>
      </c>
      <c r="M40" s="7" t="s">
        <v>861</v>
      </c>
    </row>
    <row r="41" customFormat="false" ht="23.25" hidden="false" customHeight="true" outlineLevel="0" collapsed="false">
      <c r="A41" s="7" t="s">
        <v>862</v>
      </c>
      <c r="B41" s="7" t="s">
        <v>840</v>
      </c>
      <c r="C41" s="7" t="s">
        <v>841</v>
      </c>
      <c r="D41" s="7" t="s">
        <v>863</v>
      </c>
      <c r="E41" s="7" t="n">
        <v>2</v>
      </c>
      <c r="F41" s="7" t="s">
        <v>758</v>
      </c>
      <c r="G41" s="7" t="s">
        <v>325</v>
      </c>
      <c r="H41" s="7" t="s">
        <v>722</v>
      </c>
      <c r="I41" s="7" t="s">
        <v>33</v>
      </c>
      <c r="J41" s="7" t="s">
        <v>798</v>
      </c>
      <c r="K41" s="7" t="s">
        <v>733</v>
      </c>
      <c r="L41" s="7" t="s">
        <v>725</v>
      </c>
      <c r="M41" s="7" t="s">
        <v>799</v>
      </c>
    </row>
    <row r="42" customFormat="false" ht="23.25" hidden="false" customHeight="true" outlineLevel="0" collapsed="false">
      <c r="A42" s="7" t="s">
        <v>864</v>
      </c>
      <c r="B42" s="7" t="s">
        <v>840</v>
      </c>
      <c r="C42" s="7" t="s">
        <v>841</v>
      </c>
      <c r="D42" s="7" t="s">
        <v>865</v>
      </c>
      <c r="E42" s="7" t="n">
        <v>5</v>
      </c>
      <c r="F42" s="7" t="s">
        <v>731</v>
      </c>
      <c r="G42" s="7" t="s">
        <v>325</v>
      </c>
      <c r="H42" s="7" t="s">
        <v>722</v>
      </c>
      <c r="I42" s="7" t="s">
        <v>30</v>
      </c>
      <c r="J42" s="7" t="s">
        <v>762</v>
      </c>
      <c r="K42" s="7" t="s">
        <v>763</v>
      </c>
      <c r="L42" s="7" t="s">
        <v>725</v>
      </c>
      <c r="M42" s="7" t="s">
        <v>764</v>
      </c>
    </row>
    <row r="43" customFormat="false" ht="23.25" hidden="false" customHeight="true" outlineLevel="0" collapsed="false">
      <c r="A43" s="7" t="s">
        <v>866</v>
      </c>
      <c r="B43" s="7" t="s">
        <v>840</v>
      </c>
      <c r="C43" s="7" t="s">
        <v>841</v>
      </c>
      <c r="D43" s="7" t="s">
        <v>867</v>
      </c>
      <c r="E43" s="7" t="n">
        <v>3</v>
      </c>
      <c r="F43" s="7" t="s">
        <v>758</v>
      </c>
      <c r="G43" s="7" t="s">
        <v>325</v>
      </c>
      <c r="H43" s="7" t="s">
        <v>722</v>
      </c>
      <c r="I43" s="7" t="s">
        <v>36</v>
      </c>
      <c r="J43" s="7" t="s">
        <v>767</v>
      </c>
      <c r="K43" s="7" t="s">
        <v>804</v>
      </c>
      <c r="L43" s="7" t="s">
        <v>725</v>
      </c>
      <c r="M43" s="7" t="s">
        <v>868</v>
      </c>
    </row>
    <row r="44" customFormat="false" ht="23.25" hidden="false" customHeight="true" outlineLevel="0" collapsed="false">
      <c r="A44" s="7" t="s">
        <v>869</v>
      </c>
      <c r="B44" s="7" t="s">
        <v>870</v>
      </c>
      <c r="C44" s="7" t="s">
        <v>871</v>
      </c>
      <c r="D44" s="7" t="s">
        <v>872</v>
      </c>
      <c r="E44" s="7" t="n">
        <v>5</v>
      </c>
      <c r="F44" s="7" t="s">
        <v>721</v>
      </c>
      <c r="G44" s="7" t="s">
        <v>137</v>
      </c>
      <c r="H44" s="7" t="s">
        <v>722</v>
      </c>
      <c r="I44" s="7" t="s">
        <v>30</v>
      </c>
      <c r="J44" s="7" t="s">
        <v>873</v>
      </c>
      <c r="K44" s="7" t="s">
        <v>874</v>
      </c>
      <c r="L44" s="7" t="s">
        <v>725</v>
      </c>
      <c r="M44" s="7" t="s">
        <v>875</v>
      </c>
    </row>
    <row r="45" customFormat="false" ht="23.25" hidden="false" customHeight="true" outlineLevel="0" collapsed="false">
      <c r="A45" s="7" t="s">
        <v>876</v>
      </c>
      <c r="B45" s="7" t="s">
        <v>870</v>
      </c>
      <c r="C45" s="7" t="s">
        <v>871</v>
      </c>
      <c r="D45" s="7" t="s">
        <v>877</v>
      </c>
      <c r="E45" s="7" t="n">
        <v>8</v>
      </c>
      <c r="F45" s="7" t="s">
        <v>721</v>
      </c>
      <c r="G45" s="7" t="s">
        <v>137</v>
      </c>
      <c r="H45" s="7" t="s">
        <v>722</v>
      </c>
      <c r="I45" s="7" t="s">
        <v>30</v>
      </c>
      <c r="J45" s="7" t="s">
        <v>873</v>
      </c>
      <c r="K45" s="7" t="s">
        <v>874</v>
      </c>
      <c r="L45" s="7" t="s">
        <v>725</v>
      </c>
      <c r="M45" s="7" t="s">
        <v>878</v>
      </c>
    </row>
    <row r="46" customFormat="false" ht="23.25" hidden="false" customHeight="true" outlineLevel="0" collapsed="false">
      <c r="A46" s="7" t="s">
        <v>879</v>
      </c>
      <c r="B46" s="7" t="s">
        <v>870</v>
      </c>
      <c r="C46" s="7" t="s">
        <v>871</v>
      </c>
      <c r="D46" s="7" t="s">
        <v>880</v>
      </c>
      <c r="E46" s="7" t="n">
        <v>5</v>
      </c>
      <c r="F46" s="7" t="s">
        <v>731</v>
      </c>
      <c r="G46" s="7" t="s">
        <v>137</v>
      </c>
      <c r="H46" s="7" t="s">
        <v>722</v>
      </c>
      <c r="I46" s="7" t="s">
        <v>30</v>
      </c>
      <c r="J46" s="7" t="s">
        <v>873</v>
      </c>
      <c r="K46" s="7" t="s">
        <v>874</v>
      </c>
      <c r="L46" s="7" t="s">
        <v>725</v>
      </c>
      <c r="M46" s="7" t="s">
        <v>881</v>
      </c>
    </row>
    <row r="47" customFormat="false" ht="23.25" hidden="false" customHeight="true" outlineLevel="0" collapsed="false">
      <c r="A47" s="7" t="s">
        <v>882</v>
      </c>
      <c r="B47" s="7" t="s">
        <v>870</v>
      </c>
      <c r="C47" s="7" t="s">
        <v>871</v>
      </c>
      <c r="D47" s="7" t="s">
        <v>883</v>
      </c>
      <c r="E47" s="7" t="n">
        <v>3</v>
      </c>
      <c r="F47" s="7" t="s">
        <v>721</v>
      </c>
      <c r="G47" s="7" t="s">
        <v>137</v>
      </c>
      <c r="H47" s="7" t="s">
        <v>722</v>
      </c>
      <c r="I47" s="7" t="s">
        <v>30</v>
      </c>
      <c r="J47" s="7" t="s">
        <v>873</v>
      </c>
      <c r="K47" s="7" t="s">
        <v>874</v>
      </c>
      <c r="L47" s="7" t="s">
        <v>725</v>
      </c>
      <c r="M47" s="7" t="s">
        <v>884</v>
      </c>
    </row>
    <row r="48" customFormat="false" ht="34.5" hidden="false" customHeight="true" outlineLevel="0" collapsed="false">
      <c r="A48" s="7" t="s">
        <v>885</v>
      </c>
      <c r="B48" s="7" t="s">
        <v>870</v>
      </c>
      <c r="C48" s="7" t="s">
        <v>871</v>
      </c>
      <c r="D48" s="7" t="s">
        <v>886</v>
      </c>
      <c r="E48" s="7" t="n">
        <v>5</v>
      </c>
      <c r="F48" s="7" t="s">
        <v>721</v>
      </c>
      <c r="G48" s="7" t="s">
        <v>137</v>
      </c>
      <c r="H48" s="7" t="s">
        <v>722</v>
      </c>
      <c r="I48" s="7" t="s">
        <v>33</v>
      </c>
      <c r="J48" s="7" t="s">
        <v>824</v>
      </c>
      <c r="K48" s="7" t="s">
        <v>744</v>
      </c>
      <c r="L48" s="7" t="s">
        <v>725</v>
      </c>
      <c r="M48" s="7" t="s">
        <v>887</v>
      </c>
    </row>
    <row r="49" customFormat="false" ht="34.5" hidden="false" customHeight="true" outlineLevel="0" collapsed="false">
      <c r="A49" s="7" t="s">
        <v>888</v>
      </c>
      <c r="B49" s="7" t="s">
        <v>870</v>
      </c>
      <c r="C49" s="7" t="s">
        <v>871</v>
      </c>
      <c r="D49" s="7" t="s">
        <v>889</v>
      </c>
      <c r="E49" s="7" t="n">
        <v>3</v>
      </c>
      <c r="F49" s="7" t="s">
        <v>731</v>
      </c>
      <c r="G49" s="7" t="s">
        <v>137</v>
      </c>
      <c r="H49" s="7" t="s">
        <v>722</v>
      </c>
      <c r="I49" s="7" t="s">
        <v>33</v>
      </c>
      <c r="J49" s="7" t="s">
        <v>748</v>
      </c>
      <c r="K49" s="7" t="s">
        <v>749</v>
      </c>
      <c r="L49" s="7" t="s">
        <v>725</v>
      </c>
      <c r="M49" s="7" t="s">
        <v>792</v>
      </c>
    </row>
    <row r="50" customFormat="false" ht="23.25" hidden="false" customHeight="true" outlineLevel="0" collapsed="false">
      <c r="A50" s="7" t="s">
        <v>890</v>
      </c>
      <c r="B50" s="7" t="s">
        <v>870</v>
      </c>
      <c r="C50" s="7" t="s">
        <v>871</v>
      </c>
      <c r="D50" s="7" t="s">
        <v>891</v>
      </c>
      <c r="E50" s="7" t="n">
        <v>3</v>
      </c>
      <c r="F50" s="7" t="s">
        <v>731</v>
      </c>
      <c r="G50" s="7" t="s">
        <v>137</v>
      </c>
      <c r="H50" s="7" t="s">
        <v>722</v>
      </c>
      <c r="I50" s="7" t="s">
        <v>30</v>
      </c>
      <c r="J50" s="7" t="s">
        <v>753</v>
      </c>
      <c r="K50" s="7" t="s">
        <v>754</v>
      </c>
      <c r="L50" s="7" t="s">
        <v>725</v>
      </c>
      <c r="M50" s="7" t="s">
        <v>892</v>
      </c>
    </row>
    <row r="51" customFormat="false" ht="23.25" hidden="false" customHeight="true" outlineLevel="0" collapsed="false">
      <c r="A51" s="7" t="s">
        <v>893</v>
      </c>
      <c r="B51" s="7" t="s">
        <v>870</v>
      </c>
      <c r="C51" s="7" t="s">
        <v>871</v>
      </c>
      <c r="D51" s="7" t="s">
        <v>894</v>
      </c>
      <c r="E51" s="7" t="n">
        <v>2</v>
      </c>
      <c r="F51" s="7" t="s">
        <v>758</v>
      </c>
      <c r="G51" s="7" t="s">
        <v>137</v>
      </c>
      <c r="H51" s="7" t="s">
        <v>722</v>
      </c>
      <c r="I51" s="7" t="s">
        <v>30</v>
      </c>
      <c r="J51" s="7" t="s">
        <v>873</v>
      </c>
      <c r="K51" s="7" t="s">
        <v>874</v>
      </c>
      <c r="L51" s="7" t="s">
        <v>725</v>
      </c>
      <c r="M51" s="7" t="s">
        <v>895</v>
      </c>
    </row>
    <row r="52" customFormat="false" ht="23.25" hidden="false" customHeight="true" outlineLevel="0" collapsed="false">
      <c r="A52" s="7" t="s">
        <v>896</v>
      </c>
      <c r="B52" s="7" t="s">
        <v>870</v>
      </c>
      <c r="C52" s="7" t="s">
        <v>871</v>
      </c>
      <c r="D52" s="7" t="s">
        <v>897</v>
      </c>
      <c r="E52" s="7" t="n">
        <v>5</v>
      </c>
      <c r="F52" s="7" t="s">
        <v>731</v>
      </c>
      <c r="G52" s="7" t="s">
        <v>137</v>
      </c>
      <c r="H52" s="7" t="s">
        <v>722</v>
      </c>
      <c r="I52" s="7" t="s">
        <v>30</v>
      </c>
      <c r="J52" s="7" t="s">
        <v>762</v>
      </c>
      <c r="K52" s="7" t="s">
        <v>763</v>
      </c>
      <c r="L52" s="7" t="s">
        <v>725</v>
      </c>
      <c r="M52" s="7" t="s">
        <v>764</v>
      </c>
    </row>
    <row r="53" customFormat="false" ht="23.25" hidden="false" customHeight="true" outlineLevel="0" collapsed="false">
      <c r="A53" s="7" t="s">
        <v>898</v>
      </c>
      <c r="B53" s="7" t="s">
        <v>870</v>
      </c>
      <c r="C53" s="7" t="s">
        <v>871</v>
      </c>
      <c r="D53" s="7" t="s">
        <v>899</v>
      </c>
      <c r="E53" s="7" t="n">
        <v>3</v>
      </c>
      <c r="F53" s="7" t="s">
        <v>758</v>
      </c>
      <c r="G53" s="7" t="s">
        <v>137</v>
      </c>
      <c r="H53" s="7" t="s">
        <v>722</v>
      </c>
      <c r="I53" s="7" t="s">
        <v>33</v>
      </c>
      <c r="J53" s="7" t="s">
        <v>767</v>
      </c>
      <c r="K53" s="7" t="s">
        <v>733</v>
      </c>
      <c r="L53" s="7" t="s">
        <v>725</v>
      </c>
      <c r="M53" s="7" t="s">
        <v>900</v>
      </c>
    </row>
    <row r="54" customFormat="false" ht="23.25" hidden="false" customHeight="true" outlineLevel="0" collapsed="false">
      <c r="A54" s="5" t="s">
        <v>901</v>
      </c>
      <c r="B54" s="5" t="s">
        <v>902</v>
      </c>
      <c r="C54" s="5" t="s">
        <v>903</v>
      </c>
      <c r="D54" s="5" t="s">
        <v>904</v>
      </c>
      <c r="E54" s="5" t="n">
        <v>5</v>
      </c>
      <c r="F54" s="5" t="s">
        <v>721</v>
      </c>
      <c r="G54" s="5" t="s">
        <v>92</v>
      </c>
      <c r="H54" s="5" t="s">
        <v>905</v>
      </c>
      <c r="I54" s="5" t="s">
        <v>86</v>
      </c>
      <c r="J54" s="5" t="s">
        <v>906</v>
      </c>
      <c r="K54" s="5" t="s">
        <v>907</v>
      </c>
      <c r="L54" s="5" t="s">
        <v>725</v>
      </c>
      <c r="M54" s="5" t="s">
        <v>908</v>
      </c>
    </row>
    <row r="55" customFormat="false" ht="23.25" hidden="false" customHeight="true" outlineLevel="0" collapsed="false">
      <c r="A55" s="5" t="s">
        <v>909</v>
      </c>
      <c r="B55" s="5" t="s">
        <v>902</v>
      </c>
      <c r="C55" s="5" t="s">
        <v>903</v>
      </c>
      <c r="D55" s="5" t="s">
        <v>910</v>
      </c>
      <c r="E55" s="5" t="n">
        <v>3</v>
      </c>
      <c r="F55" s="5" t="s">
        <v>721</v>
      </c>
      <c r="G55" s="5" t="s">
        <v>92</v>
      </c>
      <c r="H55" s="5" t="s">
        <v>905</v>
      </c>
      <c r="I55" s="5" t="s">
        <v>86</v>
      </c>
      <c r="J55" s="5" t="s">
        <v>906</v>
      </c>
      <c r="K55" s="5" t="s">
        <v>907</v>
      </c>
      <c r="L55" s="5" t="s">
        <v>725</v>
      </c>
      <c r="M55" s="5" t="s">
        <v>911</v>
      </c>
    </row>
    <row r="56" customFormat="false" ht="15" hidden="false" customHeight="true" outlineLevel="0" collapsed="false">
      <c r="A56" s="7" t="s">
        <v>912</v>
      </c>
      <c r="B56" s="7" t="s">
        <v>902</v>
      </c>
      <c r="C56" s="7" t="s">
        <v>903</v>
      </c>
      <c r="D56" s="7" t="s">
        <v>913</v>
      </c>
      <c r="E56" s="7" t="n">
        <v>3</v>
      </c>
      <c r="F56" s="7" t="s">
        <v>731</v>
      </c>
      <c r="G56" s="7" t="s">
        <v>113</v>
      </c>
      <c r="H56" s="7" t="s">
        <v>722</v>
      </c>
      <c r="I56" s="7" t="s">
        <v>30</v>
      </c>
      <c r="J56" s="7" t="s">
        <v>906</v>
      </c>
      <c r="K56" s="7" t="s">
        <v>907</v>
      </c>
      <c r="L56" s="7" t="s">
        <v>725</v>
      </c>
      <c r="M56" s="7" t="s">
        <v>914</v>
      </c>
    </row>
    <row r="57" customFormat="false" ht="23.25" hidden="false" customHeight="true" outlineLevel="0" collapsed="false">
      <c r="A57" s="7" t="s">
        <v>915</v>
      </c>
      <c r="B57" s="7" t="s">
        <v>902</v>
      </c>
      <c r="C57" s="7" t="s">
        <v>903</v>
      </c>
      <c r="D57" s="7" t="s">
        <v>916</v>
      </c>
      <c r="E57" s="7" t="n">
        <v>5</v>
      </c>
      <c r="F57" s="7" t="s">
        <v>721</v>
      </c>
      <c r="G57" s="7" t="s">
        <v>113</v>
      </c>
      <c r="H57" s="7" t="s">
        <v>722</v>
      </c>
      <c r="I57" s="7" t="s">
        <v>30</v>
      </c>
      <c r="J57" s="7" t="s">
        <v>753</v>
      </c>
      <c r="K57" s="7" t="s">
        <v>754</v>
      </c>
      <c r="L57" s="7" t="s">
        <v>725</v>
      </c>
      <c r="M57" s="7" t="s">
        <v>917</v>
      </c>
    </row>
    <row r="58" customFormat="false" ht="23.25" hidden="false" customHeight="true" outlineLevel="0" collapsed="false">
      <c r="A58" s="5" t="s">
        <v>918</v>
      </c>
      <c r="B58" s="5" t="s">
        <v>902</v>
      </c>
      <c r="C58" s="5" t="s">
        <v>903</v>
      </c>
      <c r="D58" s="5" t="s">
        <v>919</v>
      </c>
      <c r="E58" s="5" t="n">
        <v>3</v>
      </c>
      <c r="F58" s="5" t="s">
        <v>721</v>
      </c>
      <c r="G58" s="5" t="s">
        <v>92</v>
      </c>
      <c r="H58" s="5" t="s">
        <v>905</v>
      </c>
      <c r="I58" s="5" t="s">
        <v>86</v>
      </c>
      <c r="J58" s="5" t="s">
        <v>906</v>
      </c>
      <c r="K58" s="5" t="s">
        <v>907</v>
      </c>
      <c r="L58" s="5" t="s">
        <v>725</v>
      </c>
      <c r="M58" s="5" t="s">
        <v>920</v>
      </c>
    </row>
    <row r="59" customFormat="false" ht="23.25" hidden="false" customHeight="true" outlineLevel="0" collapsed="false">
      <c r="A59" s="7" t="s">
        <v>921</v>
      </c>
      <c r="B59" s="7" t="s">
        <v>902</v>
      </c>
      <c r="C59" s="7" t="s">
        <v>903</v>
      </c>
      <c r="D59" s="7" t="s">
        <v>922</v>
      </c>
      <c r="E59" s="7" t="n">
        <v>2</v>
      </c>
      <c r="F59" s="7" t="s">
        <v>731</v>
      </c>
      <c r="G59" s="7" t="s">
        <v>92</v>
      </c>
      <c r="H59" s="7" t="s">
        <v>722</v>
      </c>
      <c r="I59" s="7" t="s">
        <v>30</v>
      </c>
      <c r="J59" s="7" t="s">
        <v>906</v>
      </c>
      <c r="K59" s="7" t="s">
        <v>907</v>
      </c>
      <c r="L59" s="7" t="s">
        <v>725</v>
      </c>
      <c r="M59" s="7" t="s">
        <v>923</v>
      </c>
    </row>
    <row r="60" customFormat="false" ht="15" hidden="false" customHeight="true" outlineLevel="0" collapsed="false">
      <c r="A60" s="7" t="s">
        <v>924</v>
      </c>
      <c r="B60" s="7" t="s">
        <v>925</v>
      </c>
      <c r="C60" s="7" t="s">
        <v>926</v>
      </c>
      <c r="D60" s="7" t="s">
        <v>927</v>
      </c>
      <c r="E60" s="7" t="n">
        <v>5</v>
      </c>
      <c r="F60" s="7" t="s">
        <v>721</v>
      </c>
      <c r="G60" s="7" t="s">
        <v>325</v>
      </c>
      <c r="H60" s="7" t="s">
        <v>722</v>
      </c>
      <c r="I60" s="7" t="s">
        <v>30</v>
      </c>
      <c r="J60" s="7" t="s">
        <v>928</v>
      </c>
      <c r="K60" s="7" t="s">
        <v>929</v>
      </c>
      <c r="L60" s="7" t="s">
        <v>725</v>
      </c>
      <c r="M60" s="7" t="s">
        <v>930</v>
      </c>
    </row>
    <row r="61" customFormat="false" ht="15" hidden="false" customHeight="true" outlineLevel="0" collapsed="false">
      <c r="A61" s="7" t="s">
        <v>931</v>
      </c>
      <c r="B61" s="7" t="s">
        <v>925</v>
      </c>
      <c r="C61" s="7" t="s">
        <v>926</v>
      </c>
      <c r="D61" s="7" t="s">
        <v>932</v>
      </c>
      <c r="E61" s="7" t="n">
        <v>5</v>
      </c>
      <c r="F61" s="7" t="s">
        <v>721</v>
      </c>
      <c r="G61" s="7" t="s">
        <v>325</v>
      </c>
      <c r="H61" s="7" t="s">
        <v>722</v>
      </c>
      <c r="I61" s="7" t="s">
        <v>30</v>
      </c>
      <c r="J61" s="7" t="s">
        <v>928</v>
      </c>
      <c r="K61" s="7" t="s">
        <v>929</v>
      </c>
      <c r="L61" s="7" t="s">
        <v>725</v>
      </c>
      <c r="M61" s="7" t="s">
        <v>933</v>
      </c>
    </row>
    <row r="62" customFormat="false" ht="23.25" hidden="false" customHeight="true" outlineLevel="0" collapsed="false">
      <c r="A62" s="5" t="s">
        <v>934</v>
      </c>
      <c r="B62" s="5" t="s">
        <v>925</v>
      </c>
      <c r="C62" s="5" t="s">
        <v>926</v>
      </c>
      <c r="D62" s="5" t="s">
        <v>935</v>
      </c>
      <c r="E62" s="5" t="n">
        <v>8</v>
      </c>
      <c r="F62" s="5" t="s">
        <v>721</v>
      </c>
      <c r="G62" s="5" t="s">
        <v>325</v>
      </c>
      <c r="H62" s="5" t="s">
        <v>905</v>
      </c>
      <c r="I62" s="5" t="s">
        <v>86</v>
      </c>
      <c r="J62" s="5" t="s">
        <v>928</v>
      </c>
      <c r="K62" s="5" t="s">
        <v>929</v>
      </c>
      <c r="L62" s="5" t="s">
        <v>725</v>
      </c>
      <c r="M62" s="5" t="s">
        <v>936</v>
      </c>
    </row>
    <row r="63" customFormat="false" ht="23.25" hidden="false" customHeight="true" outlineLevel="0" collapsed="false">
      <c r="A63" s="7" t="s">
        <v>937</v>
      </c>
      <c r="B63" s="7" t="s">
        <v>925</v>
      </c>
      <c r="C63" s="7" t="s">
        <v>926</v>
      </c>
      <c r="D63" s="7" t="s">
        <v>938</v>
      </c>
      <c r="E63" s="7" t="n">
        <v>3</v>
      </c>
      <c r="F63" s="7" t="s">
        <v>731</v>
      </c>
      <c r="G63" s="7" t="s">
        <v>939</v>
      </c>
      <c r="H63" s="7" t="s">
        <v>722</v>
      </c>
      <c r="I63" s="7" t="s">
        <v>30</v>
      </c>
      <c r="J63" s="7" t="s">
        <v>928</v>
      </c>
      <c r="K63" s="7" t="s">
        <v>929</v>
      </c>
      <c r="L63" s="7" t="s">
        <v>725</v>
      </c>
      <c r="M63" s="7" t="s">
        <v>940</v>
      </c>
    </row>
    <row r="64" customFormat="false" ht="15" hidden="false" customHeight="true" outlineLevel="0" collapsed="false">
      <c r="A64" s="7" t="s">
        <v>941</v>
      </c>
      <c r="B64" s="7" t="s">
        <v>925</v>
      </c>
      <c r="C64" s="7" t="s">
        <v>926</v>
      </c>
      <c r="D64" s="7" t="s">
        <v>942</v>
      </c>
      <c r="E64" s="7" t="n">
        <v>3</v>
      </c>
      <c r="F64" s="7" t="s">
        <v>731</v>
      </c>
      <c r="G64" s="7" t="s">
        <v>939</v>
      </c>
      <c r="H64" s="7" t="s">
        <v>722</v>
      </c>
      <c r="I64" s="7" t="s">
        <v>30</v>
      </c>
      <c r="J64" s="7" t="s">
        <v>928</v>
      </c>
      <c r="K64" s="7" t="s">
        <v>929</v>
      </c>
      <c r="L64" s="7" t="s">
        <v>725</v>
      </c>
      <c r="M64" s="7" t="s">
        <v>943</v>
      </c>
    </row>
    <row r="65" customFormat="false" ht="15" hidden="false" customHeight="true" outlineLevel="0" collapsed="false">
      <c r="A65" s="7" t="s">
        <v>944</v>
      </c>
      <c r="B65" s="7" t="s">
        <v>925</v>
      </c>
      <c r="C65" s="7" t="s">
        <v>926</v>
      </c>
      <c r="D65" s="7" t="s">
        <v>945</v>
      </c>
      <c r="E65" s="7" t="n">
        <v>3</v>
      </c>
      <c r="F65" s="7" t="s">
        <v>758</v>
      </c>
      <c r="G65" s="7" t="s">
        <v>939</v>
      </c>
      <c r="H65" s="7" t="s">
        <v>722</v>
      </c>
      <c r="I65" s="7" t="s">
        <v>30</v>
      </c>
      <c r="J65" s="7" t="s">
        <v>928</v>
      </c>
      <c r="K65" s="7" t="s">
        <v>929</v>
      </c>
      <c r="L65" s="7" t="s">
        <v>725</v>
      </c>
      <c r="M65" s="7" t="s">
        <v>946</v>
      </c>
    </row>
    <row r="66" customFormat="false" ht="15" hidden="false" customHeight="true" outlineLevel="0" collapsed="false">
      <c r="A66" s="7" t="s">
        <v>947</v>
      </c>
      <c r="B66" s="7" t="s">
        <v>925</v>
      </c>
      <c r="C66" s="7" t="s">
        <v>926</v>
      </c>
      <c r="D66" s="7" t="s">
        <v>948</v>
      </c>
      <c r="E66" s="7" t="n">
        <v>3</v>
      </c>
      <c r="F66" s="7" t="s">
        <v>731</v>
      </c>
      <c r="G66" s="7" t="s">
        <v>939</v>
      </c>
      <c r="H66" s="7" t="s">
        <v>722</v>
      </c>
      <c r="I66" s="7" t="s">
        <v>30</v>
      </c>
      <c r="J66" s="7" t="s">
        <v>928</v>
      </c>
      <c r="K66" s="7" t="s">
        <v>929</v>
      </c>
      <c r="L66" s="7" t="s">
        <v>725</v>
      </c>
      <c r="M66" s="7" t="s">
        <v>949</v>
      </c>
    </row>
    <row r="67" customFormat="false" ht="23.25" hidden="false" customHeight="true" outlineLevel="0" collapsed="false">
      <c r="A67" s="7" t="s">
        <v>950</v>
      </c>
      <c r="B67" s="7" t="s">
        <v>951</v>
      </c>
      <c r="C67" s="7" t="s">
        <v>952</v>
      </c>
      <c r="D67" s="7" t="s">
        <v>953</v>
      </c>
      <c r="E67" s="7" t="n">
        <v>3</v>
      </c>
      <c r="F67" s="7" t="s">
        <v>721</v>
      </c>
      <c r="G67" s="7" t="s">
        <v>939</v>
      </c>
      <c r="H67" s="7" t="s">
        <v>722</v>
      </c>
      <c r="I67" s="7" t="s">
        <v>30</v>
      </c>
      <c r="J67" s="7" t="s">
        <v>954</v>
      </c>
      <c r="K67" s="7" t="s">
        <v>955</v>
      </c>
      <c r="L67" s="7" t="s">
        <v>725</v>
      </c>
      <c r="M67" s="7" t="s">
        <v>956</v>
      </c>
    </row>
    <row r="68" customFormat="false" ht="23.25" hidden="false" customHeight="true" outlineLevel="0" collapsed="false">
      <c r="A68" s="7" t="s">
        <v>957</v>
      </c>
      <c r="B68" s="7" t="s">
        <v>951</v>
      </c>
      <c r="C68" s="7" t="s">
        <v>952</v>
      </c>
      <c r="D68" s="7" t="s">
        <v>958</v>
      </c>
      <c r="E68" s="7" t="n">
        <v>3</v>
      </c>
      <c r="F68" s="7" t="s">
        <v>721</v>
      </c>
      <c r="G68" s="7" t="s">
        <v>137</v>
      </c>
      <c r="H68" s="7" t="s">
        <v>722</v>
      </c>
      <c r="I68" s="7" t="s">
        <v>30</v>
      </c>
      <c r="J68" s="7" t="s">
        <v>959</v>
      </c>
      <c r="K68" s="7" t="s">
        <v>960</v>
      </c>
      <c r="L68" s="7" t="s">
        <v>725</v>
      </c>
      <c r="M68" s="7" t="s">
        <v>961</v>
      </c>
    </row>
    <row r="69" customFormat="false" ht="15" hidden="false" customHeight="true" outlineLevel="0" collapsed="false">
      <c r="A69" s="5" t="s">
        <v>210</v>
      </c>
      <c r="B69" s="5" t="s">
        <v>951</v>
      </c>
      <c r="C69" s="5" t="s">
        <v>952</v>
      </c>
      <c r="D69" s="5" t="s">
        <v>962</v>
      </c>
      <c r="E69" s="5" t="n">
        <v>5</v>
      </c>
      <c r="F69" s="5" t="s">
        <v>721</v>
      </c>
      <c r="G69" s="5" t="s">
        <v>137</v>
      </c>
      <c r="H69" s="5" t="s">
        <v>905</v>
      </c>
      <c r="I69" s="5" t="s">
        <v>48</v>
      </c>
      <c r="J69" s="5" t="s">
        <v>963</v>
      </c>
      <c r="K69" s="5" t="s">
        <v>964</v>
      </c>
      <c r="L69" s="5" t="s">
        <v>725</v>
      </c>
      <c r="M69" s="5" t="s">
        <v>965</v>
      </c>
    </row>
    <row r="70" customFormat="false" ht="15" hidden="false" customHeight="true" outlineLevel="0" collapsed="false">
      <c r="A70" s="7" t="s">
        <v>966</v>
      </c>
      <c r="B70" s="7" t="s">
        <v>951</v>
      </c>
      <c r="C70" s="7" t="s">
        <v>952</v>
      </c>
      <c r="D70" s="7" t="s">
        <v>967</v>
      </c>
      <c r="E70" s="7" t="n">
        <v>5</v>
      </c>
      <c r="F70" s="7" t="s">
        <v>731</v>
      </c>
      <c r="G70" s="7" t="s">
        <v>137</v>
      </c>
      <c r="H70" s="7" t="s">
        <v>722</v>
      </c>
      <c r="I70" s="7" t="s">
        <v>30</v>
      </c>
      <c r="J70" s="7" t="s">
        <v>753</v>
      </c>
      <c r="K70" s="7" t="s">
        <v>754</v>
      </c>
      <c r="L70" s="7" t="s">
        <v>725</v>
      </c>
      <c r="M70" s="7" t="s">
        <v>968</v>
      </c>
    </row>
    <row r="71" customFormat="false" ht="15" hidden="false" customHeight="true" outlineLevel="0" collapsed="false">
      <c r="A71" s="5" t="s">
        <v>969</v>
      </c>
      <c r="B71" s="5" t="s">
        <v>951</v>
      </c>
      <c r="C71" s="5" t="s">
        <v>952</v>
      </c>
      <c r="D71" s="5" t="s">
        <v>970</v>
      </c>
      <c r="E71" s="5" t="n">
        <v>8</v>
      </c>
      <c r="F71" s="5" t="s">
        <v>721</v>
      </c>
      <c r="G71" s="5" t="s">
        <v>155</v>
      </c>
      <c r="H71" s="5" t="s">
        <v>971</v>
      </c>
      <c r="I71" s="5" t="s">
        <v>86</v>
      </c>
      <c r="J71" s="5" t="s">
        <v>972</v>
      </c>
      <c r="K71" s="5" t="s">
        <v>86</v>
      </c>
      <c r="L71" s="5" t="s">
        <v>86</v>
      </c>
      <c r="M71" s="5" t="s">
        <v>973</v>
      </c>
    </row>
    <row r="72" customFormat="false" ht="15" hidden="false" customHeight="true" outlineLevel="0" collapsed="false">
      <c r="A72" s="7" t="s">
        <v>974</v>
      </c>
      <c r="B72" s="7" t="s">
        <v>951</v>
      </c>
      <c r="C72" s="7" t="s">
        <v>952</v>
      </c>
      <c r="D72" s="7" t="s">
        <v>975</v>
      </c>
      <c r="E72" s="7" t="n">
        <v>5</v>
      </c>
      <c r="F72" s="7" t="s">
        <v>721</v>
      </c>
      <c r="G72" s="7" t="s">
        <v>155</v>
      </c>
      <c r="H72" s="7" t="s">
        <v>722</v>
      </c>
      <c r="I72" s="7" t="s">
        <v>30</v>
      </c>
      <c r="J72" s="7" t="s">
        <v>954</v>
      </c>
      <c r="K72" s="7" t="s">
        <v>955</v>
      </c>
      <c r="L72" s="7" t="s">
        <v>725</v>
      </c>
      <c r="M72" s="7" t="s">
        <v>976</v>
      </c>
    </row>
    <row r="73" customFormat="false" ht="15" hidden="false" customHeight="true" outlineLevel="0" collapsed="false">
      <c r="A73" s="7" t="s">
        <v>977</v>
      </c>
      <c r="B73" s="7" t="s">
        <v>951</v>
      </c>
      <c r="C73" s="7" t="s">
        <v>952</v>
      </c>
      <c r="D73" s="7" t="s">
        <v>978</v>
      </c>
      <c r="E73" s="7" t="n">
        <v>5</v>
      </c>
      <c r="F73" s="7" t="s">
        <v>721</v>
      </c>
      <c r="G73" s="7" t="s">
        <v>137</v>
      </c>
      <c r="H73" s="7" t="s">
        <v>722</v>
      </c>
      <c r="I73" s="7" t="s">
        <v>30</v>
      </c>
      <c r="J73" s="7" t="s">
        <v>954</v>
      </c>
      <c r="K73" s="7" t="s">
        <v>955</v>
      </c>
      <c r="L73" s="7" t="s">
        <v>725</v>
      </c>
      <c r="M73" s="7" t="s">
        <v>979</v>
      </c>
    </row>
    <row r="74" customFormat="false" ht="23.25" hidden="false" customHeight="true" outlineLevel="0" collapsed="false">
      <c r="A74" s="7" t="s">
        <v>980</v>
      </c>
      <c r="B74" s="7" t="s">
        <v>981</v>
      </c>
      <c r="C74" s="7" t="s">
        <v>982</v>
      </c>
      <c r="D74" s="7" t="s">
        <v>983</v>
      </c>
      <c r="E74" s="7" t="n">
        <v>5</v>
      </c>
      <c r="F74" s="7" t="s">
        <v>721</v>
      </c>
      <c r="G74" s="7" t="s">
        <v>123</v>
      </c>
      <c r="H74" s="7" t="s">
        <v>722</v>
      </c>
      <c r="I74" s="7" t="s">
        <v>30</v>
      </c>
      <c r="J74" s="7" t="s">
        <v>984</v>
      </c>
      <c r="K74" s="7" t="s">
        <v>985</v>
      </c>
      <c r="L74" s="7" t="s">
        <v>725</v>
      </c>
      <c r="M74" s="7" t="s">
        <v>986</v>
      </c>
    </row>
    <row r="75" customFormat="false" ht="15" hidden="false" customHeight="true" outlineLevel="0" collapsed="false">
      <c r="A75" s="7" t="s">
        <v>987</v>
      </c>
      <c r="B75" s="7" t="s">
        <v>981</v>
      </c>
      <c r="C75" s="7" t="s">
        <v>982</v>
      </c>
      <c r="D75" s="7" t="s">
        <v>988</v>
      </c>
      <c r="E75" s="7" t="n">
        <v>3</v>
      </c>
      <c r="F75" s="7" t="s">
        <v>721</v>
      </c>
      <c r="G75" s="7" t="s">
        <v>123</v>
      </c>
      <c r="H75" s="7" t="s">
        <v>722</v>
      </c>
      <c r="I75" s="7" t="s">
        <v>30</v>
      </c>
      <c r="J75" s="7" t="s">
        <v>984</v>
      </c>
      <c r="K75" s="7" t="s">
        <v>985</v>
      </c>
      <c r="L75" s="7" t="s">
        <v>725</v>
      </c>
      <c r="M75" s="7" t="s">
        <v>989</v>
      </c>
    </row>
    <row r="76" customFormat="false" ht="15" hidden="false" customHeight="true" outlineLevel="0" collapsed="false">
      <c r="A76" s="7" t="s">
        <v>990</v>
      </c>
      <c r="B76" s="7" t="s">
        <v>981</v>
      </c>
      <c r="C76" s="7" t="s">
        <v>982</v>
      </c>
      <c r="D76" s="7" t="s">
        <v>991</v>
      </c>
      <c r="E76" s="7" t="n">
        <v>3</v>
      </c>
      <c r="F76" s="7" t="s">
        <v>758</v>
      </c>
      <c r="G76" s="7" t="s">
        <v>137</v>
      </c>
      <c r="H76" s="7" t="s">
        <v>722</v>
      </c>
      <c r="I76" s="7" t="s">
        <v>30</v>
      </c>
      <c r="J76" s="7" t="s">
        <v>984</v>
      </c>
      <c r="K76" s="7" t="s">
        <v>985</v>
      </c>
      <c r="L76" s="7" t="s">
        <v>725</v>
      </c>
      <c r="M76" s="7" t="s">
        <v>992</v>
      </c>
    </row>
    <row r="77" customFormat="false" ht="15" hidden="false" customHeight="true" outlineLevel="0" collapsed="false">
      <c r="A77" s="7" t="s">
        <v>993</v>
      </c>
      <c r="B77" s="7" t="s">
        <v>981</v>
      </c>
      <c r="C77" s="7" t="s">
        <v>982</v>
      </c>
      <c r="D77" s="7" t="s">
        <v>994</v>
      </c>
      <c r="E77" s="7" t="n">
        <v>2</v>
      </c>
      <c r="F77" s="7" t="s">
        <v>758</v>
      </c>
      <c r="G77" s="7" t="s">
        <v>137</v>
      </c>
      <c r="H77" s="7" t="s">
        <v>722</v>
      </c>
      <c r="I77" s="7" t="s">
        <v>30</v>
      </c>
      <c r="J77" s="7" t="s">
        <v>984</v>
      </c>
      <c r="K77" s="7" t="s">
        <v>985</v>
      </c>
      <c r="L77" s="7" t="s">
        <v>725</v>
      </c>
      <c r="M77" s="7" t="s">
        <v>995</v>
      </c>
    </row>
    <row r="78" customFormat="false" ht="15" hidden="false" customHeight="true" outlineLevel="0" collapsed="false">
      <c r="A78" s="7" t="s">
        <v>996</v>
      </c>
      <c r="B78" s="7" t="s">
        <v>981</v>
      </c>
      <c r="C78" s="7" t="s">
        <v>982</v>
      </c>
      <c r="D78" s="7" t="s">
        <v>997</v>
      </c>
      <c r="E78" s="7" t="n">
        <v>5</v>
      </c>
      <c r="F78" s="7" t="s">
        <v>731</v>
      </c>
      <c r="G78" s="7" t="s">
        <v>137</v>
      </c>
      <c r="H78" s="7" t="s">
        <v>722</v>
      </c>
      <c r="I78" s="7" t="s">
        <v>30</v>
      </c>
      <c r="J78" s="7" t="s">
        <v>984</v>
      </c>
      <c r="K78" s="7" t="s">
        <v>985</v>
      </c>
      <c r="L78" s="7" t="s">
        <v>725</v>
      </c>
      <c r="M78" s="7" t="s">
        <v>998</v>
      </c>
    </row>
    <row r="79" customFormat="false" ht="15" hidden="false" customHeight="true" outlineLevel="0" collapsed="false">
      <c r="A79" s="7" t="s">
        <v>999</v>
      </c>
      <c r="B79" s="7" t="s">
        <v>981</v>
      </c>
      <c r="C79" s="7" t="s">
        <v>982</v>
      </c>
      <c r="D79" s="7" t="s">
        <v>1000</v>
      </c>
      <c r="E79" s="7" t="n">
        <v>3</v>
      </c>
      <c r="F79" s="7" t="s">
        <v>758</v>
      </c>
      <c r="G79" s="7" t="s">
        <v>137</v>
      </c>
      <c r="H79" s="7" t="s">
        <v>722</v>
      </c>
      <c r="I79" s="7" t="s">
        <v>30</v>
      </c>
      <c r="J79" s="7" t="s">
        <v>984</v>
      </c>
      <c r="K79" s="7" t="s">
        <v>985</v>
      </c>
      <c r="L79" s="7" t="s">
        <v>725</v>
      </c>
      <c r="M79" s="7" t="s">
        <v>1001</v>
      </c>
    </row>
    <row r="80" customFormat="false" ht="23.25" hidden="false" customHeight="true" outlineLevel="0" collapsed="false">
      <c r="A80" s="7" t="s">
        <v>1002</v>
      </c>
      <c r="B80" s="7" t="s">
        <v>981</v>
      </c>
      <c r="C80" s="7" t="s">
        <v>982</v>
      </c>
      <c r="D80" s="7" t="s">
        <v>1003</v>
      </c>
      <c r="E80" s="7" t="n">
        <v>3</v>
      </c>
      <c r="F80" s="7" t="s">
        <v>758</v>
      </c>
      <c r="G80" s="7" t="s">
        <v>137</v>
      </c>
      <c r="H80" s="7" t="s">
        <v>722</v>
      </c>
      <c r="I80" s="7" t="s">
        <v>30</v>
      </c>
      <c r="J80" s="7" t="s">
        <v>984</v>
      </c>
      <c r="K80" s="7" t="s">
        <v>985</v>
      </c>
      <c r="L80" s="7" t="s">
        <v>725</v>
      </c>
      <c r="M80" s="7" t="s">
        <v>1004</v>
      </c>
    </row>
    <row r="81" customFormat="false" ht="15" hidden="false" customHeight="true" outlineLevel="0" collapsed="false">
      <c r="A81" s="7" t="s">
        <v>1005</v>
      </c>
      <c r="B81" s="7" t="s">
        <v>1006</v>
      </c>
      <c r="C81" s="7" t="s">
        <v>1007</v>
      </c>
      <c r="D81" s="7" t="s">
        <v>1008</v>
      </c>
      <c r="E81" s="7" t="n">
        <v>5</v>
      </c>
      <c r="F81" s="7" t="s">
        <v>721</v>
      </c>
      <c r="G81" s="7" t="s">
        <v>227</v>
      </c>
      <c r="H81" s="7" t="s">
        <v>722</v>
      </c>
      <c r="I81" s="7" t="s">
        <v>30</v>
      </c>
      <c r="J81" s="7" t="s">
        <v>1009</v>
      </c>
      <c r="K81" s="7" t="s">
        <v>1010</v>
      </c>
      <c r="L81" s="7" t="s">
        <v>725</v>
      </c>
      <c r="M81" s="7" t="s">
        <v>1011</v>
      </c>
    </row>
    <row r="82" customFormat="false" ht="15" hidden="false" customHeight="true" outlineLevel="0" collapsed="false">
      <c r="A82" s="7" t="s">
        <v>1012</v>
      </c>
      <c r="B82" s="7" t="s">
        <v>1006</v>
      </c>
      <c r="C82" s="7" t="s">
        <v>1007</v>
      </c>
      <c r="D82" s="7" t="s">
        <v>1013</v>
      </c>
      <c r="E82" s="7" t="n">
        <v>3</v>
      </c>
      <c r="F82" s="7" t="s">
        <v>731</v>
      </c>
      <c r="G82" s="7" t="s">
        <v>227</v>
      </c>
      <c r="H82" s="7" t="s">
        <v>722</v>
      </c>
      <c r="I82" s="7" t="s">
        <v>30</v>
      </c>
      <c r="J82" s="7" t="s">
        <v>1009</v>
      </c>
      <c r="K82" s="7" t="s">
        <v>1010</v>
      </c>
      <c r="L82" s="7" t="s">
        <v>725</v>
      </c>
      <c r="M82" s="7" t="s">
        <v>1014</v>
      </c>
    </row>
    <row r="83" customFormat="false" ht="15" hidden="false" customHeight="true" outlineLevel="0" collapsed="false">
      <c r="A83" s="5" t="s">
        <v>275</v>
      </c>
      <c r="B83" s="5" t="s">
        <v>1006</v>
      </c>
      <c r="C83" s="5" t="s">
        <v>1007</v>
      </c>
      <c r="D83" s="5" t="s">
        <v>1015</v>
      </c>
      <c r="E83" s="5" t="n">
        <v>5</v>
      </c>
      <c r="F83" s="5" t="s">
        <v>731</v>
      </c>
      <c r="G83" s="5" t="s">
        <v>143</v>
      </c>
      <c r="H83" s="5" t="s">
        <v>905</v>
      </c>
      <c r="I83" s="5" t="s">
        <v>54</v>
      </c>
      <c r="J83" s="5" t="s">
        <v>1016</v>
      </c>
      <c r="K83" s="5" t="s">
        <v>1017</v>
      </c>
      <c r="L83" s="5" t="s">
        <v>725</v>
      </c>
      <c r="M83" s="5" t="s">
        <v>1018</v>
      </c>
    </row>
    <row r="84" customFormat="false" ht="23.25" hidden="false" customHeight="true" outlineLevel="0" collapsed="false">
      <c r="A84" s="5" t="s">
        <v>258</v>
      </c>
      <c r="B84" s="5" t="s">
        <v>1006</v>
      </c>
      <c r="C84" s="5" t="s">
        <v>1007</v>
      </c>
      <c r="D84" s="5" t="s">
        <v>1019</v>
      </c>
      <c r="E84" s="5" t="n">
        <v>3</v>
      </c>
      <c r="F84" s="5" t="s">
        <v>721</v>
      </c>
      <c r="G84" s="5" t="s">
        <v>143</v>
      </c>
      <c r="H84" s="5" t="s">
        <v>905</v>
      </c>
      <c r="I84" s="5" t="s">
        <v>54</v>
      </c>
      <c r="J84" s="5" t="s">
        <v>1020</v>
      </c>
      <c r="K84" s="5" t="s">
        <v>1017</v>
      </c>
      <c r="L84" s="5" t="s">
        <v>725</v>
      </c>
      <c r="M84" s="5" t="s">
        <v>1021</v>
      </c>
    </row>
    <row r="85" customFormat="false" ht="23.25" hidden="false" customHeight="true" outlineLevel="0" collapsed="false">
      <c r="A85" s="7" t="s">
        <v>1022</v>
      </c>
      <c r="B85" s="7" t="s">
        <v>1006</v>
      </c>
      <c r="C85" s="7" t="s">
        <v>1007</v>
      </c>
      <c r="D85" s="7" t="s">
        <v>1023</v>
      </c>
      <c r="E85" s="7" t="n">
        <v>3</v>
      </c>
      <c r="F85" s="7" t="s">
        <v>731</v>
      </c>
      <c r="G85" s="7" t="s">
        <v>268</v>
      </c>
      <c r="H85" s="7" t="s">
        <v>722</v>
      </c>
      <c r="I85" s="7" t="s">
        <v>30</v>
      </c>
      <c r="J85" s="7" t="s">
        <v>1009</v>
      </c>
      <c r="K85" s="7" t="s">
        <v>1010</v>
      </c>
      <c r="L85" s="7" t="s">
        <v>725</v>
      </c>
      <c r="M85" s="7" t="s">
        <v>1024</v>
      </c>
    </row>
    <row r="86" customFormat="false" ht="23.25" hidden="false" customHeight="true" outlineLevel="0" collapsed="false">
      <c r="A86" s="5" t="s">
        <v>1025</v>
      </c>
      <c r="B86" s="5" t="s">
        <v>1006</v>
      </c>
      <c r="C86" s="5" t="s">
        <v>1007</v>
      </c>
      <c r="D86" s="5" t="s">
        <v>1026</v>
      </c>
      <c r="E86" s="5" t="n">
        <v>5</v>
      </c>
      <c r="F86" s="5" t="s">
        <v>731</v>
      </c>
      <c r="G86" s="5" t="s">
        <v>143</v>
      </c>
      <c r="H86" s="5" t="s">
        <v>1027</v>
      </c>
      <c r="I86" s="5" t="s">
        <v>86</v>
      </c>
      <c r="J86" s="5" t="s">
        <v>1028</v>
      </c>
      <c r="K86" s="5" t="s">
        <v>804</v>
      </c>
      <c r="L86" s="5" t="s">
        <v>725</v>
      </c>
      <c r="M86" s="5" t="s">
        <v>1029</v>
      </c>
    </row>
    <row r="87" customFormat="false" ht="15" hidden="false" customHeight="true" outlineLevel="0" collapsed="false">
      <c r="A87" s="7" t="s">
        <v>1030</v>
      </c>
      <c r="B87" s="7" t="s">
        <v>1006</v>
      </c>
      <c r="C87" s="7" t="s">
        <v>1007</v>
      </c>
      <c r="D87" s="7" t="s">
        <v>1031</v>
      </c>
      <c r="E87" s="7" t="n">
        <v>2</v>
      </c>
      <c r="F87" s="7" t="s">
        <v>758</v>
      </c>
      <c r="G87" s="7" t="s">
        <v>143</v>
      </c>
      <c r="H87" s="7" t="s">
        <v>722</v>
      </c>
      <c r="I87" s="7" t="s">
        <v>30</v>
      </c>
      <c r="J87" s="7" t="s">
        <v>1009</v>
      </c>
      <c r="K87" s="7" t="s">
        <v>1010</v>
      </c>
      <c r="L87" s="7" t="s">
        <v>725</v>
      </c>
      <c r="M87" s="7" t="s">
        <v>1032</v>
      </c>
    </row>
    <row r="88" customFormat="false" ht="23.25" hidden="false" customHeight="true" outlineLevel="0" collapsed="false">
      <c r="A88" s="7" t="s">
        <v>1033</v>
      </c>
      <c r="B88" s="7" t="s">
        <v>1034</v>
      </c>
      <c r="C88" s="7" t="s">
        <v>1035</v>
      </c>
      <c r="D88" s="7" t="s">
        <v>1036</v>
      </c>
      <c r="E88" s="7" t="n">
        <v>5</v>
      </c>
      <c r="F88" s="7" t="s">
        <v>721</v>
      </c>
      <c r="G88" s="7" t="s">
        <v>742</v>
      </c>
      <c r="H88" s="7" t="s">
        <v>722</v>
      </c>
      <c r="I88" s="7" t="s">
        <v>30</v>
      </c>
      <c r="J88" s="7" t="s">
        <v>1037</v>
      </c>
      <c r="K88" s="7" t="s">
        <v>1038</v>
      </c>
      <c r="L88" s="7" t="s">
        <v>725</v>
      </c>
      <c r="M88" s="7" t="s">
        <v>1039</v>
      </c>
    </row>
    <row r="89" customFormat="false" ht="23.25" hidden="false" customHeight="true" outlineLevel="0" collapsed="false">
      <c r="A89" s="5" t="s">
        <v>125</v>
      </c>
      <c r="B89" s="5" t="s">
        <v>1034</v>
      </c>
      <c r="C89" s="5" t="s">
        <v>1035</v>
      </c>
      <c r="D89" s="5" t="s">
        <v>1040</v>
      </c>
      <c r="E89" s="5" t="n">
        <v>5</v>
      </c>
      <c r="F89" s="5" t="s">
        <v>721</v>
      </c>
      <c r="G89" s="5" t="s">
        <v>123</v>
      </c>
      <c r="H89" s="5" t="s">
        <v>905</v>
      </c>
      <c r="I89" s="5" t="s">
        <v>86</v>
      </c>
      <c r="J89" s="5" t="s">
        <v>1041</v>
      </c>
      <c r="K89" s="5" t="s">
        <v>1042</v>
      </c>
      <c r="L89" s="5" t="s">
        <v>725</v>
      </c>
      <c r="M89" s="5" t="s">
        <v>1043</v>
      </c>
    </row>
    <row r="90" customFormat="false" ht="23.25" hidden="false" customHeight="true" outlineLevel="0" collapsed="false">
      <c r="A90" s="5" t="s">
        <v>1044</v>
      </c>
      <c r="B90" s="5" t="s">
        <v>1034</v>
      </c>
      <c r="C90" s="5" t="s">
        <v>1035</v>
      </c>
      <c r="D90" s="5" t="s">
        <v>1045</v>
      </c>
      <c r="E90" s="5" t="n">
        <v>3</v>
      </c>
      <c r="F90" s="5" t="s">
        <v>721</v>
      </c>
      <c r="G90" s="5" t="s">
        <v>137</v>
      </c>
      <c r="H90" s="5" t="s">
        <v>905</v>
      </c>
      <c r="I90" s="5" t="s">
        <v>86</v>
      </c>
      <c r="J90" s="5" t="s">
        <v>1046</v>
      </c>
      <c r="K90" s="5" t="s">
        <v>804</v>
      </c>
      <c r="L90" s="5" t="s">
        <v>725</v>
      </c>
      <c r="M90" s="5" t="s">
        <v>1047</v>
      </c>
    </row>
    <row r="91" customFormat="false" ht="23.25" hidden="false" customHeight="true" outlineLevel="0" collapsed="false">
      <c r="A91" s="5" t="s">
        <v>1048</v>
      </c>
      <c r="B91" s="5" t="s">
        <v>1034</v>
      </c>
      <c r="C91" s="5" t="s">
        <v>1035</v>
      </c>
      <c r="D91" s="5" t="s">
        <v>1049</v>
      </c>
      <c r="E91" s="5" t="n">
        <v>5</v>
      </c>
      <c r="F91" s="5" t="s">
        <v>731</v>
      </c>
      <c r="G91" s="5" t="s">
        <v>137</v>
      </c>
      <c r="H91" s="5" t="s">
        <v>905</v>
      </c>
      <c r="I91" s="5" t="s">
        <v>86</v>
      </c>
      <c r="J91" s="5" t="s">
        <v>1050</v>
      </c>
      <c r="K91" s="5" t="s">
        <v>1051</v>
      </c>
      <c r="L91" s="5" t="s">
        <v>86</v>
      </c>
      <c r="M91" s="5" t="s">
        <v>1052</v>
      </c>
    </row>
    <row r="92" customFormat="false" ht="23.25" hidden="false" customHeight="true" outlineLevel="0" collapsed="false">
      <c r="A92" s="5" t="s">
        <v>1053</v>
      </c>
      <c r="B92" s="5" t="s">
        <v>1034</v>
      </c>
      <c r="C92" s="5" t="s">
        <v>1035</v>
      </c>
      <c r="D92" s="5" t="s">
        <v>1054</v>
      </c>
      <c r="E92" s="5" t="n">
        <v>3</v>
      </c>
      <c r="F92" s="5" t="s">
        <v>731</v>
      </c>
      <c r="G92" s="5" t="s">
        <v>155</v>
      </c>
      <c r="H92" s="5" t="s">
        <v>905</v>
      </c>
      <c r="I92" s="5" t="s">
        <v>86</v>
      </c>
      <c r="J92" s="5" t="s">
        <v>1055</v>
      </c>
      <c r="K92" s="5" t="s">
        <v>1056</v>
      </c>
      <c r="L92" s="5" t="s">
        <v>725</v>
      </c>
      <c r="M92" s="5" t="s">
        <v>1057</v>
      </c>
    </row>
    <row r="93" customFormat="false" ht="23.25" hidden="false" customHeight="true" outlineLevel="0" collapsed="false">
      <c r="A93" s="5" t="s">
        <v>550</v>
      </c>
      <c r="B93" s="5" t="s">
        <v>1034</v>
      </c>
      <c r="C93" s="5" t="s">
        <v>1035</v>
      </c>
      <c r="D93" s="5" t="s">
        <v>1058</v>
      </c>
      <c r="E93" s="5" t="n">
        <v>3</v>
      </c>
      <c r="F93" s="5" t="s">
        <v>731</v>
      </c>
      <c r="G93" s="5" t="s">
        <v>155</v>
      </c>
      <c r="H93" s="5" t="s">
        <v>1027</v>
      </c>
      <c r="I93" s="5" t="s">
        <v>86</v>
      </c>
      <c r="J93" s="5" t="s">
        <v>551</v>
      </c>
      <c r="K93" s="5" t="s">
        <v>86</v>
      </c>
      <c r="L93" s="5" t="s">
        <v>86</v>
      </c>
      <c r="M93" s="5" t="s">
        <v>1059</v>
      </c>
    </row>
    <row r="94" customFormat="false" ht="23.25" hidden="false" customHeight="true" outlineLevel="0" collapsed="false">
      <c r="A94" s="5" t="s">
        <v>1060</v>
      </c>
      <c r="B94" s="5" t="s">
        <v>1034</v>
      </c>
      <c r="C94" s="5" t="s">
        <v>1035</v>
      </c>
      <c r="D94" s="5" t="s">
        <v>1061</v>
      </c>
      <c r="E94" s="5" t="n">
        <v>3</v>
      </c>
      <c r="F94" s="5" t="s">
        <v>758</v>
      </c>
      <c r="G94" s="5" t="s">
        <v>155</v>
      </c>
      <c r="H94" s="5" t="s">
        <v>905</v>
      </c>
      <c r="I94" s="5" t="s">
        <v>86</v>
      </c>
      <c r="J94" s="5" t="s">
        <v>1062</v>
      </c>
      <c r="K94" s="5" t="s">
        <v>804</v>
      </c>
      <c r="L94" s="5" t="s">
        <v>725</v>
      </c>
      <c r="M94" s="5" t="s">
        <v>1063</v>
      </c>
    </row>
    <row r="95" customFormat="false" ht="34.5" hidden="false" customHeight="true" outlineLevel="0" collapsed="false">
      <c r="A95" s="5" t="s">
        <v>1064</v>
      </c>
      <c r="B95" s="5" t="s">
        <v>1034</v>
      </c>
      <c r="C95" s="5" t="s">
        <v>1035</v>
      </c>
      <c r="D95" s="5" t="s">
        <v>1065</v>
      </c>
      <c r="E95" s="5" t="n">
        <v>3</v>
      </c>
      <c r="F95" s="5" t="s">
        <v>758</v>
      </c>
      <c r="G95" s="5" t="s">
        <v>137</v>
      </c>
      <c r="H95" s="5" t="s">
        <v>905</v>
      </c>
      <c r="I95" s="5" t="s">
        <v>86</v>
      </c>
      <c r="J95" s="5" t="s">
        <v>1066</v>
      </c>
      <c r="K95" s="5" t="s">
        <v>1067</v>
      </c>
      <c r="L95" s="5" t="s">
        <v>86</v>
      </c>
      <c r="M95" s="5" t="s">
        <v>1068</v>
      </c>
    </row>
    <row r="96" customFormat="false" ht="23.25" hidden="false" customHeight="true" outlineLevel="0" collapsed="false">
      <c r="A96" s="5" t="s">
        <v>1069</v>
      </c>
      <c r="B96" s="5" t="s">
        <v>1070</v>
      </c>
      <c r="C96" s="5" t="s">
        <v>1071</v>
      </c>
      <c r="D96" s="5" t="s">
        <v>1072</v>
      </c>
      <c r="E96" s="5" t="n">
        <v>3</v>
      </c>
      <c r="F96" s="5" t="s">
        <v>721</v>
      </c>
      <c r="G96" s="5" t="s">
        <v>155</v>
      </c>
      <c r="H96" s="5" t="s">
        <v>1073</v>
      </c>
      <c r="I96" s="5" t="s">
        <v>86</v>
      </c>
      <c r="J96" s="5" t="s">
        <v>1074</v>
      </c>
      <c r="K96" s="5" t="s">
        <v>86</v>
      </c>
      <c r="L96" s="5" t="s">
        <v>86</v>
      </c>
      <c r="M96" s="5" t="s">
        <v>1075</v>
      </c>
    </row>
    <row r="97" customFormat="false" ht="15" hidden="false" customHeight="true" outlineLevel="0" collapsed="false">
      <c r="A97" s="5" t="s">
        <v>1076</v>
      </c>
      <c r="B97" s="5" t="s">
        <v>1070</v>
      </c>
      <c r="C97" s="5" t="s">
        <v>1071</v>
      </c>
      <c r="D97" s="5" t="s">
        <v>1077</v>
      </c>
      <c r="E97" s="5" t="n">
        <v>5</v>
      </c>
      <c r="F97" s="5" t="s">
        <v>721</v>
      </c>
      <c r="G97" s="5" t="s">
        <v>155</v>
      </c>
      <c r="H97" s="5" t="s">
        <v>1027</v>
      </c>
      <c r="I97" s="5" t="s">
        <v>86</v>
      </c>
      <c r="J97" s="5" t="s">
        <v>1078</v>
      </c>
      <c r="K97" s="5" t="s">
        <v>86</v>
      </c>
      <c r="L97" s="5" t="s">
        <v>86</v>
      </c>
      <c r="M97" s="5" t="s">
        <v>1079</v>
      </c>
    </row>
    <row r="98" customFormat="false" ht="15" hidden="false" customHeight="true" outlineLevel="0" collapsed="false">
      <c r="A98" s="5" t="s">
        <v>280</v>
      </c>
      <c r="B98" s="5" t="s">
        <v>1070</v>
      </c>
      <c r="C98" s="5" t="s">
        <v>1071</v>
      </c>
      <c r="D98" s="5" t="s">
        <v>1080</v>
      </c>
      <c r="E98" s="5" t="n">
        <v>3</v>
      </c>
      <c r="F98" s="5" t="s">
        <v>721</v>
      </c>
      <c r="G98" s="5" t="s">
        <v>143</v>
      </c>
      <c r="H98" s="5" t="s">
        <v>905</v>
      </c>
      <c r="I98" s="5" t="s">
        <v>54</v>
      </c>
      <c r="J98" s="5" t="s">
        <v>1081</v>
      </c>
      <c r="K98" s="5" t="s">
        <v>1017</v>
      </c>
      <c r="L98" s="5" t="s">
        <v>725</v>
      </c>
      <c r="M98" s="5" t="s">
        <v>1082</v>
      </c>
    </row>
    <row r="99" customFormat="false" ht="23.25" hidden="false" customHeight="true" outlineLevel="0" collapsed="false">
      <c r="A99" s="5" t="s">
        <v>1083</v>
      </c>
      <c r="B99" s="5" t="s">
        <v>1070</v>
      </c>
      <c r="C99" s="5" t="s">
        <v>1071</v>
      </c>
      <c r="D99" s="5" t="s">
        <v>1084</v>
      </c>
      <c r="E99" s="5" t="n">
        <v>3</v>
      </c>
      <c r="F99" s="5" t="s">
        <v>721</v>
      </c>
      <c r="G99" s="5" t="s">
        <v>143</v>
      </c>
      <c r="H99" s="5" t="s">
        <v>1027</v>
      </c>
      <c r="I99" s="5" t="s">
        <v>86</v>
      </c>
      <c r="J99" s="5" t="s">
        <v>1085</v>
      </c>
      <c r="K99" s="5" t="s">
        <v>86</v>
      </c>
      <c r="L99" s="5" t="s">
        <v>86</v>
      </c>
      <c r="M99" s="5" t="s">
        <v>1086</v>
      </c>
    </row>
    <row r="100" customFormat="false" ht="34.5" hidden="false" customHeight="true" outlineLevel="0" collapsed="false">
      <c r="A100" s="5" t="s">
        <v>157</v>
      </c>
      <c r="B100" s="5" t="s">
        <v>1070</v>
      </c>
      <c r="C100" s="5" t="s">
        <v>1071</v>
      </c>
      <c r="D100" s="5" t="s">
        <v>1087</v>
      </c>
      <c r="E100" s="5" t="n">
        <v>3</v>
      </c>
      <c r="F100" s="5" t="s">
        <v>721</v>
      </c>
      <c r="G100" s="5" t="s">
        <v>143</v>
      </c>
      <c r="H100" s="5" t="s">
        <v>971</v>
      </c>
      <c r="I100" s="5" t="s">
        <v>86</v>
      </c>
      <c r="J100" s="5" t="s">
        <v>1088</v>
      </c>
      <c r="K100" s="5" t="s">
        <v>86</v>
      </c>
      <c r="L100" s="5" t="s">
        <v>86</v>
      </c>
      <c r="M100" s="5" t="s">
        <v>1089</v>
      </c>
    </row>
    <row r="101" customFormat="false" ht="23.25" hidden="false" customHeight="true" outlineLevel="0" collapsed="false">
      <c r="A101" s="7" t="s">
        <v>1090</v>
      </c>
      <c r="B101" s="7" t="s">
        <v>1070</v>
      </c>
      <c r="C101" s="7" t="s">
        <v>1071</v>
      </c>
      <c r="D101" s="7" t="s">
        <v>1091</v>
      </c>
      <c r="E101" s="7" t="n">
        <v>3</v>
      </c>
      <c r="F101" s="7" t="s">
        <v>731</v>
      </c>
      <c r="G101" s="7" t="s">
        <v>268</v>
      </c>
      <c r="H101" s="7" t="s">
        <v>722</v>
      </c>
      <c r="I101" s="7" t="s">
        <v>36</v>
      </c>
      <c r="J101" s="7" t="s">
        <v>1092</v>
      </c>
      <c r="K101" s="7" t="s">
        <v>86</v>
      </c>
      <c r="L101" s="7" t="s">
        <v>86</v>
      </c>
      <c r="M101" s="7" t="s">
        <v>1093</v>
      </c>
    </row>
    <row r="102" customFormat="false" ht="15" hidden="false" customHeight="true" outlineLevel="0" collapsed="false">
      <c r="A102" s="5" t="s">
        <v>264</v>
      </c>
      <c r="B102" s="5" t="s">
        <v>1070</v>
      </c>
      <c r="C102" s="5" t="s">
        <v>1071</v>
      </c>
      <c r="D102" s="5" t="s">
        <v>1094</v>
      </c>
      <c r="E102" s="5" t="n">
        <v>2</v>
      </c>
      <c r="F102" s="5" t="s">
        <v>758</v>
      </c>
      <c r="G102" s="5" t="s">
        <v>262</v>
      </c>
      <c r="H102" s="5" t="s">
        <v>905</v>
      </c>
      <c r="I102" s="5" t="s">
        <v>54</v>
      </c>
      <c r="J102" s="5" t="s">
        <v>1095</v>
      </c>
      <c r="K102" s="5" t="s">
        <v>1017</v>
      </c>
      <c r="L102" s="5" t="s">
        <v>725</v>
      </c>
      <c r="M102" s="5" t="s">
        <v>1096</v>
      </c>
    </row>
    <row r="103" customFormat="false" ht="15" hidden="false" customHeight="true" outlineLevel="0" collapsed="false">
      <c r="A103" s="5" t="s">
        <v>270</v>
      </c>
      <c r="B103" s="5" t="s">
        <v>1070</v>
      </c>
      <c r="C103" s="5" t="s">
        <v>1071</v>
      </c>
      <c r="D103" s="5" t="s">
        <v>1097</v>
      </c>
      <c r="E103" s="5" t="n">
        <v>2</v>
      </c>
      <c r="F103" s="5" t="s">
        <v>731</v>
      </c>
      <c r="G103" s="5" t="s">
        <v>268</v>
      </c>
      <c r="H103" s="5" t="s">
        <v>905</v>
      </c>
      <c r="I103" s="5" t="s">
        <v>54</v>
      </c>
      <c r="J103" s="5" t="s">
        <v>1095</v>
      </c>
      <c r="K103" s="5" t="s">
        <v>1017</v>
      </c>
      <c r="L103" s="5" t="s">
        <v>725</v>
      </c>
      <c r="M103" s="5" t="s">
        <v>1098</v>
      </c>
    </row>
    <row r="104" customFormat="false" ht="79.5" hidden="false" customHeight="true" outlineLevel="0" collapsed="false">
      <c r="A104" s="5" t="s">
        <v>1099</v>
      </c>
      <c r="B104" s="5" t="s">
        <v>1100</v>
      </c>
      <c r="C104" s="5" t="s">
        <v>1101</v>
      </c>
      <c r="D104" s="5" t="s">
        <v>1102</v>
      </c>
      <c r="E104" s="5" t="s">
        <v>86</v>
      </c>
      <c r="F104" s="5" t="s">
        <v>86</v>
      </c>
      <c r="G104" s="5" t="s">
        <v>86</v>
      </c>
      <c r="H104" s="5" t="s">
        <v>905</v>
      </c>
      <c r="I104" s="5" t="s">
        <v>39</v>
      </c>
      <c r="J104" s="5" t="s">
        <v>1103</v>
      </c>
      <c r="K104" s="5" t="s">
        <v>1104</v>
      </c>
      <c r="L104" s="5" t="s">
        <v>725</v>
      </c>
      <c r="M104" s="5" t="s">
        <v>1105</v>
      </c>
    </row>
    <row r="105" customFormat="false" ht="34.5" hidden="false" customHeight="true" outlineLevel="0" collapsed="false">
      <c r="A105" s="5" t="s">
        <v>1106</v>
      </c>
      <c r="B105" s="5" t="s">
        <v>1100</v>
      </c>
      <c r="C105" s="5" t="s">
        <v>1101</v>
      </c>
      <c r="D105" s="5" t="s">
        <v>1102</v>
      </c>
      <c r="E105" s="5" t="s">
        <v>86</v>
      </c>
      <c r="F105" s="5" t="s">
        <v>86</v>
      </c>
      <c r="G105" s="5" t="s">
        <v>86</v>
      </c>
      <c r="H105" s="5" t="s">
        <v>1107</v>
      </c>
      <c r="I105" s="5" t="s">
        <v>42</v>
      </c>
      <c r="J105" s="5" t="s">
        <v>1108</v>
      </c>
      <c r="K105" s="5" t="s">
        <v>1109</v>
      </c>
      <c r="L105" s="5" t="s">
        <v>725</v>
      </c>
      <c r="M105" s="5" t="s">
        <v>1110</v>
      </c>
    </row>
    <row r="106" customFormat="false" ht="34.5" hidden="false" customHeight="true" outlineLevel="0" collapsed="false">
      <c r="A106" s="5" t="s">
        <v>1111</v>
      </c>
      <c r="B106" s="5" t="s">
        <v>1100</v>
      </c>
      <c r="C106" s="5" t="s">
        <v>1101</v>
      </c>
      <c r="D106" s="5" t="s">
        <v>1102</v>
      </c>
      <c r="E106" s="5" t="s">
        <v>86</v>
      </c>
      <c r="F106" s="5" t="s">
        <v>86</v>
      </c>
      <c r="G106" s="5" t="s">
        <v>86</v>
      </c>
      <c r="H106" s="5" t="s">
        <v>1107</v>
      </c>
      <c r="I106" s="5" t="s">
        <v>42</v>
      </c>
      <c r="J106" s="5" t="s">
        <v>1112</v>
      </c>
      <c r="K106" s="5" t="s">
        <v>1109</v>
      </c>
      <c r="L106" s="5" t="s">
        <v>725</v>
      </c>
      <c r="M106" s="5" t="s">
        <v>1113</v>
      </c>
    </row>
    <row r="107" customFormat="false" ht="23.25" hidden="false" customHeight="true" outlineLevel="0" collapsed="false">
      <c r="A107" s="5" t="s">
        <v>1114</v>
      </c>
      <c r="B107" s="5" t="s">
        <v>1100</v>
      </c>
      <c r="C107" s="5" t="s">
        <v>1101</v>
      </c>
      <c r="D107" s="5" t="s">
        <v>1102</v>
      </c>
      <c r="E107" s="5" t="s">
        <v>86</v>
      </c>
      <c r="F107" s="5" t="s">
        <v>86</v>
      </c>
      <c r="G107" s="5" t="s">
        <v>86</v>
      </c>
      <c r="H107" s="5" t="s">
        <v>1115</v>
      </c>
      <c r="I107" s="5" t="s">
        <v>42</v>
      </c>
      <c r="J107" s="5" t="s">
        <v>1116</v>
      </c>
      <c r="K107" s="5" t="s">
        <v>1109</v>
      </c>
      <c r="L107" s="5" t="s">
        <v>725</v>
      </c>
      <c r="M107" s="5" t="s">
        <v>1117</v>
      </c>
    </row>
    <row r="108" customFormat="false" ht="45.75" hidden="false" customHeight="true" outlineLevel="0" collapsed="false">
      <c r="A108" s="5" t="s">
        <v>1118</v>
      </c>
      <c r="B108" s="5" t="s">
        <v>1100</v>
      </c>
      <c r="C108" s="5" t="s">
        <v>1101</v>
      </c>
      <c r="D108" s="5" t="s">
        <v>1102</v>
      </c>
      <c r="E108" s="5" t="s">
        <v>86</v>
      </c>
      <c r="F108" s="5" t="s">
        <v>86</v>
      </c>
      <c r="G108" s="5" t="s">
        <v>86</v>
      </c>
      <c r="H108" s="5" t="s">
        <v>1115</v>
      </c>
      <c r="I108" s="5" t="s">
        <v>42</v>
      </c>
      <c r="J108" s="5" t="s">
        <v>1119</v>
      </c>
      <c r="K108" s="5" t="s">
        <v>1109</v>
      </c>
      <c r="L108" s="5" t="s">
        <v>725</v>
      </c>
      <c r="M108" s="5" t="s">
        <v>1120</v>
      </c>
    </row>
    <row r="109" customFormat="false" ht="34.5" hidden="false" customHeight="true" outlineLevel="0" collapsed="false">
      <c r="A109" s="5" t="s">
        <v>188</v>
      </c>
      <c r="B109" s="5" t="s">
        <v>1100</v>
      </c>
      <c r="C109" s="5" t="s">
        <v>1101</v>
      </c>
      <c r="D109" s="5" t="s">
        <v>1102</v>
      </c>
      <c r="E109" s="5" t="s">
        <v>86</v>
      </c>
      <c r="F109" s="5" t="s">
        <v>86</v>
      </c>
      <c r="G109" s="5" t="s">
        <v>86</v>
      </c>
      <c r="H109" s="5" t="s">
        <v>1107</v>
      </c>
      <c r="I109" s="5" t="s">
        <v>45</v>
      </c>
      <c r="J109" s="5" t="s">
        <v>1121</v>
      </c>
      <c r="K109" s="5" t="s">
        <v>1122</v>
      </c>
      <c r="L109" s="5" t="s">
        <v>725</v>
      </c>
      <c r="M109" s="5" t="s">
        <v>1123</v>
      </c>
    </row>
    <row r="111" customFormat="false" ht="15" hidden="false" customHeight="true" outlineLevel="0" collapsed="false">
      <c r="A111" s="8" t="s">
        <v>1124</v>
      </c>
      <c r="B111" s="8"/>
      <c r="C111" s="8"/>
      <c r="D111" s="8"/>
      <c r="E111" s="8"/>
      <c r="F111" s="8"/>
      <c r="G111" s="8"/>
      <c r="H111" s="8"/>
      <c r="I111" s="8"/>
      <c r="J111" s="8"/>
      <c r="K111" s="8"/>
      <c r="L111" s="8"/>
      <c r="M111" s="8"/>
    </row>
  </sheetData>
  <mergeCells count="1">
    <mergeCell ref="A111:M1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40"/>
    <col collapsed="false" customWidth="true" hidden="false" outlineLevel="0" max="3" min="3" style="1" width="9"/>
    <col collapsed="false" customWidth="true" hidden="false" outlineLevel="0" max="4" min="4" style="1" width="8"/>
    <col collapsed="false" customWidth="true" hidden="false" outlineLevel="0" max="5" min="5" style="1" width="7"/>
    <col collapsed="false" customWidth="true" hidden="false" outlineLevel="0" max="6" min="6" style="1" width="11"/>
    <col collapsed="false" customWidth="true" hidden="false" outlineLevel="0" max="7" min="7" style="1" width="13"/>
    <col collapsed="false" customWidth="true" hidden="false" outlineLevel="0" max="8" min="8" style="1" width="52"/>
  </cols>
  <sheetData>
    <row r="1" customFormat="false" ht="15.75" hidden="false" customHeight="true" outlineLevel="0" collapsed="false">
      <c r="A1" s="2" t="s">
        <v>1125</v>
      </c>
    </row>
    <row r="2" customFormat="false" ht="15" hidden="false" customHeight="true" outlineLevel="0" collapsed="false">
      <c r="A2" s="3" t="s">
        <v>1126</v>
      </c>
    </row>
    <row r="3" customFormat="false" ht="15" hidden="false" customHeight="true" outlineLevel="0" collapsed="false">
      <c r="A3" s="4" t="s">
        <v>78</v>
      </c>
      <c r="B3" s="4" t="s">
        <v>1127</v>
      </c>
      <c r="C3" s="4" t="s">
        <v>676</v>
      </c>
      <c r="D3" s="4" t="s">
        <v>710</v>
      </c>
      <c r="E3" s="4" t="s">
        <v>722</v>
      </c>
      <c r="F3" s="4" t="s">
        <v>1128</v>
      </c>
      <c r="G3" s="4" t="s">
        <v>1129</v>
      </c>
      <c r="H3" s="4" t="s">
        <v>1130</v>
      </c>
    </row>
    <row r="4" customFormat="false" ht="15" hidden="false" customHeight="true" outlineLevel="0" collapsed="false">
      <c r="A4" s="3" t="s">
        <v>1131</v>
      </c>
      <c r="B4" s="3" t="s">
        <v>1132</v>
      </c>
      <c r="C4" s="3" t="n">
        <f aca="false">COUNTIF(Traceability_Matrix!$G$4:$G$109,"S0")</f>
        <v>0</v>
      </c>
      <c r="D4" s="3" t="n">
        <f aca="false">SUMIF(Traceability_Matrix!$G$4:$G$109,"S0",Traceability_Matrix!$E$4:$E$109)</f>
        <v>0</v>
      </c>
      <c r="E4" s="3" t="n">
        <f aca="false">COUNTIFS(Traceability_Matrix!$G$4:$G$109,"S0",Traceability_Matrix!$H$4:$H$109,"Done")</f>
        <v>0</v>
      </c>
      <c r="F4" s="3" t="n">
        <f aca="false">SUMIFS(Traceability_Matrix!$E$4:$E$109,Traceability_Matrix!$G$4:$G$109,"S0",Traceability_Matrix!$H$4:$H$109,"Done")</f>
        <v>0</v>
      </c>
      <c r="G4" s="3" t="n">
        <f aca="false">IFERROR(ROUND(SUMIFS(Traceability_Matrix!$E$4:$E$109,Traceability_Matrix!$G$4:$G$109,"S0",Traceability_Matrix!$H$4:$H$109,"Done")/SUMIF(Traceability_Matrix!$G$4:$G$109,"S0",Traceability_Matrix!$E$4:$E$109)*100,1),0)</f>
        <v>0</v>
      </c>
      <c r="H4" s="5" t="s">
        <v>1133</v>
      </c>
    </row>
    <row r="5" customFormat="false" ht="15" hidden="false" customHeight="true" outlineLevel="0" collapsed="false">
      <c r="A5" s="3" t="s">
        <v>92</v>
      </c>
      <c r="B5" s="3" t="s">
        <v>1134</v>
      </c>
      <c r="C5" s="3" t="n">
        <f aca="false">COUNTIF(Traceability_Matrix!$G$4:$G$109,"S1")</f>
        <v>4</v>
      </c>
      <c r="D5" s="3" t="n">
        <f aca="false">SUMIF(Traceability_Matrix!$G$4:$G$109,"S1",Traceability_Matrix!$E$4:$E$109)</f>
        <v>13</v>
      </c>
      <c r="E5" s="3" t="n">
        <f aca="false">COUNTIFS(Traceability_Matrix!$G$4:$G$109,"S1",Traceability_Matrix!$H$4:$H$109,"Done")</f>
        <v>1</v>
      </c>
      <c r="F5" s="3" t="n">
        <f aca="false">SUMIFS(Traceability_Matrix!$E$4:$E$109,Traceability_Matrix!$G$4:$G$109,"S1",Traceability_Matrix!$H$4:$H$109,"Done")</f>
        <v>2</v>
      </c>
      <c r="G5" s="3" t="n">
        <f aca="false">IFERROR(ROUND(SUMIFS(Traceability_Matrix!$E$4:$E$109,Traceability_Matrix!$G$4:$G$109,"S1",Traceability_Matrix!$H$4:$H$109,"Done")/SUMIF(Traceability_Matrix!$G$4:$G$109,"S1",Traceability_Matrix!$E$4:$E$109)*100,1),0)</f>
        <v>15.4</v>
      </c>
      <c r="H5" s="5" t="s">
        <v>1135</v>
      </c>
    </row>
    <row r="6" customFormat="false" ht="15" hidden="false" customHeight="true" outlineLevel="0" collapsed="false">
      <c r="A6" s="3" t="s">
        <v>113</v>
      </c>
      <c r="B6" s="3" t="s">
        <v>1136</v>
      </c>
      <c r="C6" s="3" t="n">
        <f aca="false">COUNTIF(Traceability_Matrix!$G$4:$G$109,"S2")</f>
        <v>6</v>
      </c>
      <c r="D6" s="3" t="n">
        <f aca="false">SUMIF(Traceability_Matrix!$G$4:$G$109,"S2",Traceability_Matrix!$E$4:$E$109)</f>
        <v>29</v>
      </c>
      <c r="E6" s="3" t="n">
        <f aca="false">COUNTIFS(Traceability_Matrix!$G$4:$G$109,"S2",Traceability_Matrix!$H$4:$H$109,"Done")</f>
        <v>6</v>
      </c>
      <c r="F6" s="3" t="n">
        <f aca="false">SUMIFS(Traceability_Matrix!$E$4:$E$109,Traceability_Matrix!$G$4:$G$109,"S2",Traceability_Matrix!$H$4:$H$109,"Done")</f>
        <v>29</v>
      </c>
      <c r="G6" s="3" t="n">
        <f aca="false">IFERROR(ROUND(SUMIFS(Traceability_Matrix!$E$4:$E$109,Traceability_Matrix!$G$4:$G$109,"S2",Traceability_Matrix!$H$4:$H$109,"Done")/SUMIF(Traceability_Matrix!$G$4:$G$109,"S2",Traceability_Matrix!$E$4:$E$109)*100,1),0)</f>
        <v>100</v>
      </c>
      <c r="H6" s="5" t="s">
        <v>1137</v>
      </c>
    </row>
    <row r="7" customFormat="false" ht="15" hidden="false" customHeight="true" outlineLevel="0" collapsed="false">
      <c r="A7" s="3" t="s">
        <v>742</v>
      </c>
      <c r="B7" s="3" t="s">
        <v>1138</v>
      </c>
      <c r="C7" s="3" t="n">
        <f aca="false">COUNTIF(Traceability_Matrix!$G$4:$G$109,"S3")</f>
        <v>11</v>
      </c>
      <c r="D7" s="3" t="n">
        <f aca="false">SUMIF(Traceability_Matrix!$G$4:$G$109,"S3",Traceability_Matrix!$E$4:$E$109)</f>
        <v>47</v>
      </c>
      <c r="E7" s="3" t="n">
        <f aca="false">COUNTIFS(Traceability_Matrix!$G$4:$G$109,"S3",Traceability_Matrix!$H$4:$H$109,"Done")</f>
        <v>11</v>
      </c>
      <c r="F7" s="3" t="n">
        <f aca="false">SUMIFS(Traceability_Matrix!$E$4:$E$109,Traceability_Matrix!$G$4:$G$109,"S3",Traceability_Matrix!$H$4:$H$109,"Done")</f>
        <v>47</v>
      </c>
      <c r="G7" s="3" t="n">
        <f aca="false">IFERROR(ROUND(SUMIFS(Traceability_Matrix!$E$4:$E$109,Traceability_Matrix!$G$4:$G$109,"S3",Traceability_Matrix!$H$4:$H$109,"Done")/SUMIF(Traceability_Matrix!$G$4:$G$109,"S3",Traceability_Matrix!$E$4:$E$109)*100,1),0)</f>
        <v>100</v>
      </c>
      <c r="H7" s="5" t="s">
        <v>1137</v>
      </c>
    </row>
    <row r="8" customFormat="false" ht="15" hidden="false" customHeight="true" outlineLevel="0" collapsed="false">
      <c r="A8" s="3" t="s">
        <v>123</v>
      </c>
      <c r="B8" s="3" t="s">
        <v>771</v>
      </c>
      <c r="C8" s="3" t="n">
        <f aca="false">COUNTIF(Traceability_Matrix!$G$4:$G$109,"S4")</f>
        <v>9</v>
      </c>
      <c r="D8" s="3" t="n">
        <f aca="false">SUMIF(Traceability_Matrix!$G$4:$G$109,"S4",Traceability_Matrix!$E$4:$E$109)</f>
        <v>34</v>
      </c>
      <c r="E8" s="3" t="n">
        <f aca="false">COUNTIFS(Traceability_Matrix!$G$4:$G$109,"S4",Traceability_Matrix!$H$4:$H$109,"Done")</f>
        <v>8</v>
      </c>
      <c r="F8" s="3" t="n">
        <f aca="false">SUMIFS(Traceability_Matrix!$E$4:$E$109,Traceability_Matrix!$G$4:$G$109,"S4",Traceability_Matrix!$H$4:$H$109,"Done")</f>
        <v>29</v>
      </c>
      <c r="G8" s="3" t="n">
        <f aca="false">IFERROR(ROUND(SUMIFS(Traceability_Matrix!$E$4:$E$109,Traceability_Matrix!$G$4:$G$109,"S4",Traceability_Matrix!$H$4:$H$109,"Done")/SUMIF(Traceability_Matrix!$G$4:$G$109,"S4",Traceability_Matrix!$E$4:$E$109)*100,1),0)</f>
        <v>85.3</v>
      </c>
      <c r="H8" s="5" t="s">
        <v>1137</v>
      </c>
    </row>
    <row r="9" customFormat="false" ht="15" hidden="false" customHeight="true" outlineLevel="0" collapsed="false">
      <c r="A9" s="3" t="s">
        <v>227</v>
      </c>
      <c r="B9" s="3" t="s">
        <v>1139</v>
      </c>
      <c r="C9" s="3" t="n">
        <f aca="false">COUNTIF(Traceability_Matrix!$G$4:$G$109,"S5")</f>
        <v>12</v>
      </c>
      <c r="D9" s="3" t="n">
        <f aca="false">SUMIF(Traceability_Matrix!$G$4:$G$109,"S5",Traceability_Matrix!$E$4:$E$109)</f>
        <v>50</v>
      </c>
      <c r="E9" s="3" t="n">
        <f aca="false">COUNTIFS(Traceability_Matrix!$G$4:$G$109,"S5",Traceability_Matrix!$H$4:$H$109,"Done")</f>
        <v>12</v>
      </c>
      <c r="F9" s="3" t="n">
        <f aca="false">SUMIFS(Traceability_Matrix!$E$4:$E$109,Traceability_Matrix!$G$4:$G$109,"S5",Traceability_Matrix!$H$4:$H$109,"Done")</f>
        <v>50</v>
      </c>
      <c r="G9" s="3" t="n">
        <f aca="false">IFERROR(ROUND(SUMIFS(Traceability_Matrix!$E$4:$E$109,Traceability_Matrix!$G$4:$G$109,"S5",Traceability_Matrix!$H$4:$H$109,"Done")/SUMIF(Traceability_Matrix!$G$4:$G$109,"S5",Traceability_Matrix!$E$4:$E$109)*100,1),0)</f>
        <v>100</v>
      </c>
      <c r="H9" s="5" t="s">
        <v>1137</v>
      </c>
    </row>
    <row r="10" customFormat="false" ht="15" hidden="false" customHeight="true" outlineLevel="0" collapsed="false">
      <c r="A10" s="3" t="s">
        <v>325</v>
      </c>
      <c r="B10" s="3" t="s">
        <v>1140</v>
      </c>
      <c r="C10" s="3" t="n">
        <f aca="false">COUNTIF(Traceability_Matrix!$G$4:$G$109,"S6")</f>
        <v>13</v>
      </c>
      <c r="D10" s="3" t="n">
        <f aca="false">SUMIF(Traceability_Matrix!$G$4:$G$109,"S6",Traceability_Matrix!$E$4:$E$109)</f>
        <v>60</v>
      </c>
      <c r="E10" s="3" t="n">
        <f aca="false">COUNTIFS(Traceability_Matrix!$G$4:$G$109,"S6",Traceability_Matrix!$H$4:$H$109,"Done")</f>
        <v>12</v>
      </c>
      <c r="F10" s="3" t="n">
        <f aca="false">SUMIFS(Traceability_Matrix!$E$4:$E$109,Traceability_Matrix!$G$4:$G$109,"S6",Traceability_Matrix!$H$4:$H$109,"Done")</f>
        <v>52</v>
      </c>
      <c r="G10" s="3" t="n">
        <f aca="false">IFERROR(ROUND(SUMIFS(Traceability_Matrix!$E$4:$E$109,Traceability_Matrix!$G$4:$G$109,"S6",Traceability_Matrix!$H$4:$H$109,"Done")/SUMIF(Traceability_Matrix!$G$4:$G$109,"S6",Traceability_Matrix!$E$4:$E$109)*100,1),0)</f>
        <v>86.7</v>
      </c>
      <c r="H10" s="5" t="s">
        <v>1137</v>
      </c>
    </row>
    <row r="11" customFormat="false" ht="15" hidden="false" customHeight="true" outlineLevel="0" collapsed="false">
      <c r="A11" s="3" t="s">
        <v>939</v>
      </c>
      <c r="B11" s="3" t="s">
        <v>1141</v>
      </c>
      <c r="C11" s="3" t="n">
        <f aca="false">COUNTIF(Traceability_Matrix!$G$4:$G$109,"S7")</f>
        <v>5</v>
      </c>
      <c r="D11" s="3" t="n">
        <f aca="false">SUMIF(Traceability_Matrix!$G$4:$G$109,"S7",Traceability_Matrix!$E$4:$E$109)</f>
        <v>15</v>
      </c>
      <c r="E11" s="3" t="n">
        <f aca="false">COUNTIFS(Traceability_Matrix!$G$4:$G$109,"S7",Traceability_Matrix!$H$4:$H$109,"Done")</f>
        <v>5</v>
      </c>
      <c r="F11" s="3" t="n">
        <f aca="false">SUMIFS(Traceability_Matrix!$E$4:$E$109,Traceability_Matrix!$G$4:$G$109,"S7",Traceability_Matrix!$H$4:$H$109,"Done")</f>
        <v>15</v>
      </c>
      <c r="G11" s="3" t="n">
        <f aca="false">IFERROR(ROUND(SUMIFS(Traceability_Matrix!$E$4:$E$109,Traceability_Matrix!$G$4:$G$109,"S7",Traceability_Matrix!$H$4:$H$109,"Done")/SUMIF(Traceability_Matrix!$G$4:$G$109,"S7",Traceability_Matrix!$E$4:$E$109)*100,1),0)</f>
        <v>100</v>
      </c>
      <c r="H11" s="5" t="s">
        <v>1142</v>
      </c>
    </row>
    <row r="12" customFormat="false" ht="15" hidden="false" customHeight="true" outlineLevel="0" collapsed="false">
      <c r="A12" s="3" t="s">
        <v>137</v>
      </c>
      <c r="B12" s="3" t="s">
        <v>1143</v>
      </c>
      <c r="C12" s="3" t="n">
        <f aca="false">COUNTIF(Traceability_Matrix!$G$4:$G$109,"S8")</f>
        <v>22</v>
      </c>
      <c r="D12" s="3" t="n">
        <f aca="false">SUMIF(Traceability_Matrix!$G$4:$G$109,"S8",Traceability_Matrix!$E$4:$E$109)</f>
        <v>87</v>
      </c>
      <c r="E12" s="3" t="n">
        <f aca="false">COUNTIFS(Traceability_Matrix!$G$4:$G$109,"S8",Traceability_Matrix!$H$4:$H$109,"Done")</f>
        <v>18</v>
      </c>
      <c r="F12" s="3" t="n">
        <f aca="false">SUMIFS(Traceability_Matrix!$E$4:$E$109,Traceability_Matrix!$G$4:$G$109,"S8",Traceability_Matrix!$H$4:$H$109,"Done")</f>
        <v>71</v>
      </c>
      <c r="G12" s="3" t="n">
        <f aca="false">IFERROR(ROUND(SUMIFS(Traceability_Matrix!$E$4:$E$109,Traceability_Matrix!$G$4:$G$109,"S8",Traceability_Matrix!$H$4:$H$109,"Done")/SUMIF(Traceability_Matrix!$G$4:$G$109,"S8",Traceability_Matrix!$E$4:$E$109)*100,1),0)</f>
        <v>81.6</v>
      </c>
      <c r="H12" s="5" t="s">
        <v>1144</v>
      </c>
    </row>
    <row r="13" customFormat="false" ht="23.25" hidden="false" customHeight="true" outlineLevel="0" collapsed="false">
      <c r="A13" s="3" t="s">
        <v>155</v>
      </c>
      <c r="B13" s="3" t="s">
        <v>1145</v>
      </c>
      <c r="C13" s="3" t="n">
        <f aca="false">COUNTIF(Traceability_Matrix!$G$4:$G$109,"S9")</f>
        <v>7</v>
      </c>
      <c r="D13" s="3" t="n">
        <f aca="false">SUMIF(Traceability_Matrix!$G$4:$G$109,"S9",Traceability_Matrix!$E$4:$E$109)</f>
        <v>30</v>
      </c>
      <c r="E13" s="3" t="n">
        <f aca="false">COUNTIFS(Traceability_Matrix!$G$4:$G$109,"S9",Traceability_Matrix!$H$4:$H$109,"Done")</f>
        <v>1</v>
      </c>
      <c r="F13" s="3" t="n">
        <f aca="false">SUMIFS(Traceability_Matrix!$E$4:$E$109,Traceability_Matrix!$G$4:$G$109,"S9",Traceability_Matrix!$H$4:$H$109,"Done")</f>
        <v>5</v>
      </c>
      <c r="G13" s="3" t="n">
        <f aca="false">IFERROR(ROUND(SUMIFS(Traceability_Matrix!$E$4:$E$109,Traceability_Matrix!$G$4:$G$109,"S9",Traceability_Matrix!$H$4:$H$109,"Done")/SUMIF(Traceability_Matrix!$G$4:$G$109,"S9",Traceability_Matrix!$E$4:$E$109)*100,1),0)</f>
        <v>16.7</v>
      </c>
      <c r="H13" s="5" t="s">
        <v>1146</v>
      </c>
    </row>
    <row r="14" customFormat="false" ht="15" hidden="false" customHeight="true" outlineLevel="0" collapsed="false">
      <c r="A14" s="3" t="s">
        <v>143</v>
      </c>
      <c r="B14" s="3" t="s">
        <v>1147</v>
      </c>
      <c r="C14" s="3" t="n">
        <f aca="false">COUNTIF(Traceability_Matrix!$G$4:$G$109,"S10")</f>
        <v>7</v>
      </c>
      <c r="D14" s="3" t="n">
        <f aca="false">SUMIF(Traceability_Matrix!$G$4:$G$109,"S10",Traceability_Matrix!$E$4:$E$109)</f>
        <v>24</v>
      </c>
      <c r="E14" s="3" t="n">
        <f aca="false">COUNTIFS(Traceability_Matrix!$G$4:$G$109,"S10",Traceability_Matrix!$H$4:$H$109,"Done")</f>
        <v>1</v>
      </c>
      <c r="F14" s="3" t="n">
        <f aca="false">SUMIFS(Traceability_Matrix!$E$4:$E$109,Traceability_Matrix!$G$4:$G$109,"S10",Traceability_Matrix!$H$4:$H$109,"Done")</f>
        <v>2</v>
      </c>
      <c r="G14" s="3" t="n">
        <f aca="false">IFERROR(ROUND(SUMIFS(Traceability_Matrix!$E$4:$E$109,Traceability_Matrix!$G$4:$G$109,"S10",Traceability_Matrix!$H$4:$H$109,"Done")/SUMIF(Traceability_Matrix!$G$4:$G$109,"S10",Traceability_Matrix!$E$4:$E$109)*100,1),0)</f>
        <v>8.3</v>
      </c>
      <c r="H14" s="5" t="s">
        <v>1148</v>
      </c>
    </row>
    <row r="15" customFormat="false" ht="15" hidden="false" customHeight="true" outlineLevel="0" collapsed="false">
      <c r="A15" s="3" t="s">
        <v>268</v>
      </c>
      <c r="B15" s="3" t="s">
        <v>1149</v>
      </c>
      <c r="C15" s="3" t="n">
        <f aca="false">COUNTIF(Traceability_Matrix!$G$4:$G$109,"S11")</f>
        <v>3</v>
      </c>
      <c r="D15" s="3" t="n">
        <f aca="false">SUMIF(Traceability_Matrix!$G$4:$G$109,"S11",Traceability_Matrix!$E$4:$E$109)</f>
        <v>8</v>
      </c>
      <c r="E15" s="3" t="n">
        <f aca="false">COUNTIFS(Traceability_Matrix!$G$4:$G$109,"S11",Traceability_Matrix!$H$4:$H$109,"Done")</f>
        <v>2</v>
      </c>
      <c r="F15" s="3" t="n">
        <f aca="false">SUMIFS(Traceability_Matrix!$E$4:$E$109,Traceability_Matrix!$G$4:$G$109,"S11",Traceability_Matrix!$H$4:$H$109,"Done")</f>
        <v>6</v>
      </c>
      <c r="G15" s="3" t="n">
        <f aca="false">IFERROR(ROUND(SUMIFS(Traceability_Matrix!$E$4:$E$109,Traceability_Matrix!$G$4:$G$109,"S11",Traceability_Matrix!$H$4:$H$109,"Done")/SUMIF(Traceability_Matrix!$G$4:$G$109,"S11",Traceability_Matrix!$E$4:$E$109)*100,1),0)</f>
        <v>75</v>
      </c>
      <c r="H15" s="5" t="s">
        <v>1150</v>
      </c>
    </row>
    <row r="16" customFormat="false" ht="15" hidden="false" customHeight="true" outlineLevel="0" collapsed="false">
      <c r="A16" s="3" t="s">
        <v>262</v>
      </c>
      <c r="B16" s="3" t="s">
        <v>1151</v>
      </c>
      <c r="C16" s="3" t="n">
        <f aca="false">COUNTIF(Traceability_Matrix!$G$4:$G$109,"S12")</f>
        <v>1</v>
      </c>
      <c r="D16" s="3" t="n">
        <f aca="false">SUMIF(Traceability_Matrix!$G$4:$G$109,"S12",Traceability_Matrix!$E$4:$E$109)</f>
        <v>2</v>
      </c>
      <c r="E16" s="3" t="n">
        <f aca="false">COUNTIFS(Traceability_Matrix!$G$4:$G$109,"S12",Traceability_Matrix!$H$4:$H$109,"Done")</f>
        <v>0</v>
      </c>
      <c r="F16" s="3" t="n">
        <f aca="false">SUMIFS(Traceability_Matrix!$E$4:$E$109,Traceability_Matrix!$G$4:$G$109,"S12",Traceability_Matrix!$H$4:$H$109,"Done")</f>
        <v>0</v>
      </c>
      <c r="G16" s="3" t="n">
        <f aca="false">IFERROR(ROUND(SUMIFS(Traceability_Matrix!$E$4:$E$109,Traceability_Matrix!$G$4:$G$109,"S12",Traceability_Matrix!$H$4:$H$109,"Done")/SUMIF(Traceability_Matrix!$G$4:$G$109,"S12",Traceability_Matrix!$E$4:$E$109)*100,1),0)</f>
        <v>0</v>
      </c>
      <c r="H16" s="5" t="s">
        <v>1152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12"/>
    <col collapsed="false" customWidth="true" hidden="false" outlineLevel="0" max="3" min="3" style="1" width="8"/>
    <col collapsed="false" customWidth="true" hidden="false" outlineLevel="0" max="4" min="4" style="1" width="66"/>
    <col collapsed="false" customWidth="true" hidden="false" outlineLevel="0" max="5" min="5" style="1" width="10"/>
    <col collapsed="false" customWidth="true" hidden="false" outlineLevel="0" max="6" min="6" style="1" width="60"/>
  </cols>
  <sheetData>
    <row r="1" customFormat="false" ht="15.75" hidden="false" customHeight="true" outlineLevel="0" collapsed="false">
      <c r="A1" s="2" t="s">
        <v>1153</v>
      </c>
    </row>
    <row r="2" customFormat="false" ht="15" hidden="false" customHeight="true" outlineLevel="0" collapsed="false">
      <c r="A2" s="4" t="s">
        <v>77</v>
      </c>
      <c r="B2" s="4" t="s">
        <v>1154</v>
      </c>
      <c r="C2" s="4" t="s">
        <v>1155</v>
      </c>
      <c r="D2" s="4" t="s">
        <v>1156</v>
      </c>
      <c r="E2" s="4" t="s">
        <v>6</v>
      </c>
      <c r="F2" s="4" t="s">
        <v>1157</v>
      </c>
    </row>
    <row r="3" customFormat="false" ht="15" hidden="false" customHeight="true" outlineLevel="0" collapsed="false">
      <c r="A3" s="5" t="s">
        <v>1158</v>
      </c>
      <c r="B3" s="5" t="s">
        <v>1159</v>
      </c>
      <c r="C3" s="5" t="s">
        <v>27</v>
      </c>
      <c r="D3" s="5" t="s">
        <v>1160</v>
      </c>
      <c r="E3" s="5" t="s">
        <v>1161</v>
      </c>
      <c r="F3" s="5" t="s">
        <v>1162</v>
      </c>
    </row>
    <row r="4" customFormat="false" ht="23.25" hidden="false" customHeight="true" outlineLevel="0" collapsed="false">
      <c r="A4" s="5" t="s">
        <v>1163</v>
      </c>
      <c r="B4" s="5" t="s">
        <v>1159</v>
      </c>
      <c r="C4" s="5" t="s">
        <v>27</v>
      </c>
      <c r="D4" s="5" t="s">
        <v>1164</v>
      </c>
      <c r="E4" s="5" t="s">
        <v>1161</v>
      </c>
      <c r="F4" s="5" t="s">
        <v>1165</v>
      </c>
    </row>
    <row r="5" customFormat="false" ht="15" hidden="false" customHeight="true" outlineLevel="0" collapsed="false">
      <c r="A5" s="5" t="s">
        <v>1166</v>
      </c>
      <c r="B5" s="5" t="s">
        <v>1159</v>
      </c>
      <c r="C5" s="5" t="s">
        <v>27</v>
      </c>
      <c r="D5" s="5" t="s">
        <v>1167</v>
      </c>
      <c r="E5" s="5" t="s">
        <v>1161</v>
      </c>
      <c r="F5" s="5" t="s">
        <v>1168</v>
      </c>
    </row>
    <row r="6" customFormat="false" ht="23.25" hidden="false" customHeight="true" outlineLevel="0" collapsed="false">
      <c r="A6" s="5" t="s">
        <v>1169</v>
      </c>
      <c r="B6" s="5" t="s">
        <v>1170</v>
      </c>
      <c r="C6" s="5" t="s">
        <v>30</v>
      </c>
      <c r="D6" s="5" t="s">
        <v>1171</v>
      </c>
      <c r="E6" s="5" t="s">
        <v>1161</v>
      </c>
      <c r="F6" s="5" t="s">
        <v>1172</v>
      </c>
    </row>
    <row r="7" customFormat="false" ht="23.25" hidden="false" customHeight="true" outlineLevel="0" collapsed="false">
      <c r="A7" s="5" t="s">
        <v>1173</v>
      </c>
      <c r="B7" s="5" t="s">
        <v>1170</v>
      </c>
      <c r="C7" s="5" t="s">
        <v>39</v>
      </c>
      <c r="D7" s="5" t="s">
        <v>1174</v>
      </c>
      <c r="E7" s="5" t="s">
        <v>1175</v>
      </c>
      <c r="F7" s="5" t="s">
        <v>1176</v>
      </c>
    </row>
    <row r="8" customFormat="false" ht="23.25" hidden="false" customHeight="true" outlineLevel="0" collapsed="false">
      <c r="A8" s="5" t="s">
        <v>1177</v>
      </c>
      <c r="B8" s="5" t="s">
        <v>690</v>
      </c>
      <c r="C8" s="5" t="s">
        <v>42</v>
      </c>
      <c r="D8" s="5" t="s">
        <v>1178</v>
      </c>
      <c r="E8" s="5" t="s">
        <v>1179</v>
      </c>
      <c r="F8" s="5" t="s">
        <v>1180</v>
      </c>
    </row>
    <row r="9" customFormat="false" ht="23.25" hidden="false" customHeight="true" outlineLevel="0" collapsed="false">
      <c r="A9" s="5" t="s">
        <v>1181</v>
      </c>
      <c r="B9" s="5" t="s">
        <v>1159</v>
      </c>
      <c r="C9" s="5" t="s">
        <v>1182</v>
      </c>
      <c r="D9" s="5" t="s">
        <v>1183</v>
      </c>
      <c r="E9" s="5" t="s">
        <v>1161</v>
      </c>
      <c r="F9" s="5" t="s">
        <v>1184</v>
      </c>
    </row>
    <row r="10" customFormat="false" ht="23.25" hidden="false" customHeight="true" outlineLevel="0" collapsed="false">
      <c r="A10" s="5" t="s">
        <v>1185</v>
      </c>
      <c r="B10" s="5" t="s">
        <v>1186</v>
      </c>
      <c r="C10" s="5" t="s">
        <v>30</v>
      </c>
      <c r="D10" s="5" t="s">
        <v>1187</v>
      </c>
      <c r="E10" s="5" t="s">
        <v>1161</v>
      </c>
      <c r="F10" s="5" t="s">
        <v>1188</v>
      </c>
    </row>
    <row r="11" customFormat="false" ht="23.25" hidden="false" customHeight="true" outlineLevel="0" collapsed="false">
      <c r="A11" s="5" t="s">
        <v>1189</v>
      </c>
      <c r="B11" s="5" t="s">
        <v>1186</v>
      </c>
      <c r="C11" s="5" t="s">
        <v>36</v>
      </c>
      <c r="D11" s="5" t="s">
        <v>1190</v>
      </c>
      <c r="E11" s="5" t="s">
        <v>1161</v>
      </c>
      <c r="F11" s="5" t="s">
        <v>1191</v>
      </c>
    </row>
    <row r="12" customFormat="false" ht="15" hidden="false" customHeight="true" outlineLevel="0" collapsed="false">
      <c r="A12" s="5" t="s">
        <v>1192</v>
      </c>
      <c r="B12" s="5" t="s">
        <v>1186</v>
      </c>
      <c r="C12" s="5" t="s">
        <v>30</v>
      </c>
      <c r="D12" s="5" t="s">
        <v>1193</v>
      </c>
      <c r="E12" s="5" t="s">
        <v>1161</v>
      </c>
      <c r="F12" s="5" t="s">
        <v>1194</v>
      </c>
    </row>
    <row r="13" customFormat="false" ht="34.5" hidden="false" customHeight="true" outlineLevel="0" collapsed="false">
      <c r="A13" s="5" t="s">
        <v>1195</v>
      </c>
      <c r="B13" s="5" t="s">
        <v>690</v>
      </c>
      <c r="C13" s="5" t="s">
        <v>48</v>
      </c>
      <c r="D13" s="5" t="s">
        <v>1196</v>
      </c>
      <c r="E13" s="5" t="s">
        <v>1179</v>
      </c>
      <c r="F13" s="5" t="s">
        <v>1197</v>
      </c>
    </row>
    <row r="14" customFormat="false" ht="45.75" hidden="false" customHeight="true" outlineLevel="0" collapsed="false">
      <c r="A14" s="5" t="s">
        <v>1198</v>
      </c>
      <c r="B14" s="5" t="s">
        <v>1199</v>
      </c>
      <c r="C14" s="5" t="s">
        <v>60</v>
      </c>
      <c r="D14" s="5" t="s">
        <v>1200</v>
      </c>
      <c r="E14" s="5" t="s">
        <v>1201</v>
      </c>
      <c r="F14" s="5" t="s">
        <v>1202</v>
      </c>
    </row>
    <row r="15" customFormat="false" ht="34.5" hidden="false" customHeight="true" outlineLevel="0" collapsed="false">
      <c r="A15" s="5" t="s">
        <v>372</v>
      </c>
      <c r="B15" s="5" t="s">
        <v>1159</v>
      </c>
      <c r="C15" s="5" t="s">
        <v>63</v>
      </c>
      <c r="D15" s="5" t="s">
        <v>1203</v>
      </c>
      <c r="E15" s="5" t="s">
        <v>1161</v>
      </c>
      <c r="F15" s="5" t="s">
        <v>1204</v>
      </c>
    </row>
    <row r="16" customFormat="false" ht="34.5" hidden="false" customHeight="true" outlineLevel="0" collapsed="false">
      <c r="A16" s="5" t="s">
        <v>1205</v>
      </c>
      <c r="B16" s="5" t="s">
        <v>1199</v>
      </c>
      <c r="C16" s="5" t="s">
        <v>63</v>
      </c>
      <c r="D16" s="5" t="s">
        <v>1206</v>
      </c>
      <c r="E16" s="5" t="s">
        <v>1201</v>
      </c>
      <c r="F16" s="5" t="s">
        <v>1207</v>
      </c>
    </row>
    <row r="17" customFormat="false" ht="34.5" hidden="false" customHeight="true" outlineLevel="0" collapsed="false">
      <c r="A17" s="5" t="s">
        <v>368</v>
      </c>
      <c r="B17" s="5" t="s">
        <v>1159</v>
      </c>
      <c r="C17" s="5" t="s">
        <v>66</v>
      </c>
      <c r="D17" s="5" t="s">
        <v>1208</v>
      </c>
      <c r="E17" s="5" t="s">
        <v>1161</v>
      </c>
      <c r="F17" s="5" t="s">
        <v>1209</v>
      </c>
    </row>
    <row r="18" customFormat="false" ht="23.25" hidden="false" customHeight="true" outlineLevel="0" collapsed="false">
      <c r="A18" s="5" t="s">
        <v>1210</v>
      </c>
      <c r="B18" s="5" t="s">
        <v>1199</v>
      </c>
      <c r="C18" s="5" t="s">
        <v>66</v>
      </c>
      <c r="D18" s="5" t="s">
        <v>1211</v>
      </c>
      <c r="E18" s="5" t="s">
        <v>1201</v>
      </c>
      <c r="F18" s="5" t="s">
        <v>1212</v>
      </c>
    </row>
    <row r="19" customFormat="false" ht="23.25" hidden="false" customHeight="true" outlineLevel="0" collapsed="false">
      <c r="A19" s="5" t="s">
        <v>368</v>
      </c>
      <c r="B19" s="5" t="s">
        <v>1159</v>
      </c>
      <c r="C19" s="5" t="s">
        <v>69</v>
      </c>
      <c r="D19" s="5" t="s">
        <v>1213</v>
      </c>
      <c r="E19" s="5" t="s">
        <v>1214</v>
      </c>
      <c r="F19" s="5" t="s">
        <v>1215</v>
      </c>
    </row>
    <row r="20" customFormat="false" ht="34.5" hidden="false" customHeight="true" outlineLevel="0" collapsed="false">
      <c r="A20" s="5" t="s">
        <v>1216</v>
      </c>
      <c r="B20" s="5" t="s">
        <v>1199</v>
      </c>
      <c r="C20" s="5" t="s">
        <v>69</v>
      </c>
      <c r="D20" s="5" t="s">
        <v>1217</v>
      </c>
      <c r="E20" s="5" t="s">
        <v>1201</v>
      </c>
      <c r="F20" s="5" t="s">
        <v>1218</v>
      </c>
    </row>
    <row r="21" customFormat="false" ht="34.5" hidden="false" customHeight="true" outlineLevel="0" collapsed="false">
      <c r="A21" s="5" t="s">
        <v>1219</v>
      </c>
      <c r="B21" s="5" t="s">
        <v>1199</v>
      </c>
      <c r="C21" s="5" t="s">
        <v>72</v>
      </c>
      <c r="D21" s="5" t="s">
        <v>1220</v>
      </c>
      <c r="E21" s="5" t="s">
        <v>1201</v>
      </c>
      <c r="F21" s="5" t="s">
        <v>1221</v>
      </c>
    </row>
    <row r="22" customFormat="false" ht="34.5" hidden="false" customHeight="true" outlineLevel="0" collapsed="false">
      <c r="A22" s="5" t="s">
        <v>1222</v>
      </c>
      <c r="B22" s="5" t="s">
        <v>1199</v>
      </c>
      <c r="C22" s="5" t="s">
        <v>418</v>
      </c>
      <c r="D22" s="5" t="s">
        <v>1223</v>
      </c>
      <c r="E22" s="5" t="s">
        <v>1201</v>
      </c>
      <c r="F22" s="5" t="s">
        <v>1224</v>
      </c>
    </row>
    <row r="23" customFormat="false" ht="34.5" hidden="false" customHeight="true" outlineLevel="0" collapsed="false">
      <c r="A23" s="5" t="s">
        <v>1225</v>
      </c>
      <c r="B23" s="5" t="s">
        <v>1199</v>
      </c>
      <c r="C23" s="5" t="s">
        <v>432</v>
      </c>
      <c r="D23" s="5" t="s">
        <v>1226</v>
      </c>
      <c r="E23" s="5" t="s">
        <v>1201</v>
      </c>
      <c r="F23" s="5" t="s">
        <v>1227</v>
      </c>
    </row>
    <row r="24" customFormat="false" ht="34.5" hidden="false" customHeight="true" outlineLevel="0" collapsed="false">
      <c r="A24" s="5" t="s">
        <v>1228</v>
      </c>
      <c r="B24" s="5" t="s">
        <v>1199</v>
      </c>
      <c r="C24" s="5" t="s">
        <v>451</v>
      </c>
      <c r="D24" s="5" t="s">
        <v>1229</v>
      </c>
      <c r="E24" s="5" t="s">
        <v>1201</v>
      </c>
      <c r="F24" s="5" t="s">
        <v>1230</v>
      </c>
    </row>
    <row r="25" customFormat="false" ht="34.5" hidden="false" customHeight="true" outlineLevel="0" collapsed="false">
      <c r="A25" s="5" t="s">
        <v>1231</v>
      </c>
      <c r="B25" s="5" t="s">
        <v>1199</v>
      </c>
      <c r="C25" s="5" t="s">
        <v>469</v>
      </c>
      <c r="D25" s="5" t="s">
        <v>1232</v>
      </c>
      <c r="E25" s="5" t="s">
        <v>1201</v>
      </c>
      <c r="F25" s="5" t="s">
        <v>1233</v>
      </c>
    </row>
    <row r="26" customFormat="false" ht="23.25" hidden="false" customHeight="true" outlineLevel="0" collapsed="false">
      <c r="A26" s="5" t="s">
        <v>1169</v>
      </c>
      <c r="B26" s="5" t="s">
        <v>1159</v>
      </c>
      <c r="C26" s="5" t="s">
        <v>489</v>
      </c>
      <c r="D26" s="5" t="s">
        <v>1234</v>
      </c>
      <c r="E26" s="5" t="s">
        <v>1214</v>
      </c>
      <c r="F26" s="5" t="s">
        <v>1235</v>
      </c>
    </row>
    <row r="27" customFormat="false" ht="34.5" hidden="false" customHeight="true" outlineLevel="0" collapsed="false">
      <c r="A27" s="5" t="s">
        <v>1236</v>
      </c>
      <c r="B27" s="5" t="s">
        <v>1199</v>
      </c>
      <c r="C27" s="5" t="s">
        <v>489</v>
      </c>
      <c r="D27" s="5" t="s">
        <v>1237</v>
      </c>
      <c r="E27" s="5" t="s">
        <v>1201</v>
      </c>
      <c r="F27" s="5" t="s">
        <v>1238</v>
      </c>
    </row>
    <row r="28" customFormat="false" ht="34.5" hidden="false" customHeight="true" outlineLevel="0" collapsed="false">
      <c r="A28" s="5" t="s">
        <v>1239</v>
      </c>
      <c r="B28" s="5" t="s">
        <v>1199</v>
      </c>
      <c r="C28" s="5" t="s">
        <v>510</v>
      </c>
      <c r="D28" s="5" t="s">
        <v>1240</v>
      </c>
      <c r="E28" s="5" t="s">
        <v>1201</v>
      </c>
      <c r="F28" s="5" t="s">
        <v>1241</v>
      </c>
    </row>
    <row r="29" customFormat="false" ht="34.5" hidden="false" customHeight="true" outlineLevel="0" collapsed="false">
      <c r="A29" s="5" t="s">
        <v>1242</v>
      </c>
      <c r="B29" s="5" t="s">
        <v>1199</v>
      </c>
      <c r="C29" s="5" t="s">
        <v>532</v>
      </c>
      <c r="D29" s="5" t="s">
        <v>1243</v>
      </c>
      <c r="E29" s="5" t="s">
        <v>1201</v>
      </c>
      <c r="F29" s="5" t="s">
        <v>1244</v>
      </c>
    </row>
    <row r="30" customFormat="false" ht="34.5" hidden="false" customHeight="true" outlineLevel="0" collapsed="false">
      <c r="A30" s="5" t="s">
        <v>618</v>
      </c>
      <c r="B30" s="5" t="s">
        <v>1199</v>
      </c>
      <c r="C30" s="5" t="s">
        <v>558</v>
      </c>
      <c r="D30" s="5" t="s">
        <v>1245</v>
      </c>
      <c r="E30" s="5" t="s">
        <v>1201</v>
      </c>
      <c r="F30" s="5" t="s">
        <v>1246</v>
      </c>
    </row>
    <row r="31" customFormat="false" ht="34.5" hidden="false" customHeight="true" outlineLevel="0" collapsed="false">
      <c r="A31" s="5" t="s">
        <v>1247</v>
      </c>
      <c r="B31" s="5" t="s">
        <v>1199</v>
      </c>
      <c r="C31" s="5" t="s">
        <v>575</v>
      </c>
      <c r="D31" s="5" t="s">
        <v>1248</v>
      </c>
      <c r="E31" s="5" t="s">
        <v>1201</v>
      </c>
      <c r="F31" s="5" t="s">
        <v>1249</v>
      </c>
    </row>
    <row r="32" customFormat="false" ht="23.25" hidden="false" customHeight="true" outlineLevel="0" collapsed="false">
      <c r="A32" s="5" t="s">
        <v>1250</v>
      </c>
      <c r="B32" s="5" t="s">
        <v>1199</v>
      </c>
      <c r="C32" s="5" t="s">
        <v>599</v>
      </c>
      <c r="D32" s="5" t="s">
        <v>1251</v>
      </c>
      <c r="E32" s="5" t="s">
        <v>1201</v>
      </c>
      <c r="F32" s="5" t="s">
        <v>1252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70"/>
    <col collapsed="false" customWidth="true" hidden="false" outlineLevel="0" max="3" min="3" style="1" width="24"/>
    <col collapsed="false" customWidth="true" hidden="false" outlineLevel="0" max="4" min="4" style="1" width="80"/>
  </cols>
  <sheetData>
    <row r="1" customFormat="false" ht="15.75" hidden="false" customHeight="true" outlineLevel="0" collapsed="false">
      <c r="A1" s="2" t="s">
        <v>1253</v>
      </c>
    </row>
    <row r="2" customFormat="false" ht="15" hidden="false" customHeight="true" outlineLevel="0" collapsed="false">
      <c r="A2" s="3" t="s">
        <v>1254</v>
      </c>
    </row>
    <row r="3" customFormat="false" ht="15" hidden="false" customHeight="true" outlineLevel="0" collapsed="false">
      <c r="A3" s="4" t="s">
        <v>77</v>
      </c>
      <c r="B3" s="4" t="s">
        <v>1255</v>
      </c>
      <c r="C3" s="4" t="s">
        <v>1256</v>
      </c>
      <c r="D3" s="4" t="s">
        <v>6</v>
      </c>
    </row>
    <row r="4" customFormat="false" ht="15" hidden="false" customHeight="true" outlineLevel="0" collapsed="false">
      <c r="A4" s="5" t="s">
        <v>1257</v>
      </c>
      <c r="B4" s="5" t="s">
        <v>1258</v>
      </c>
      <c r="C4" s="5" t="s">
        <v>1259</v>
      </c>
      <c r="D4" s="5" t="s">
        <v>1161</v>
      </c>
    </row>
    <row r="5" customFormat="false" ht="15" hidden="false" customHeight="true" outlineLevel="0" collapsed="false">
      <c r="A5" s="5" t="s">
        <v>1260</v>
      </c>
      <c r="B5" s="5" t="s">
        <v>1261</v>
      </c>
      <c r="C5" s="5" t="s">
        <v>1259</v>
      </c>
      <c r="D5" s="5" t="s">
        <v>1161</v>
      </c>
    </row>
    <row r="6" customFormat="false" ht="15" hidden="false" customHeight="true" outlineLevel="0" collapsed="false">
      <c r="A6" s="5" t="s">
        <v>1262</v>
      </c>
      <c r="B6" s="5" t="s">
        <v>1263</v>
      </c>
      <c r="C6" s="5" t="s">
        <v>1259</v>
      </c>
      <c r="D6" s="5" t="s">
        <v>1161</v>
      </c>
    </row>
    <row r="7" customFormat="false" ht="15" hidden="false" customHeight="true" outlineLevel="0" collapsed="false">
      <c r="A7" s="5" t="s">
        <v>1264</v>
      </c>
      <c r="B7" s="5" t="s">
        <v>1265</v>
      </c>
      <c r="C7" s="5" t="s">
        <v>1259</v>
      </c>
      <c r="D7" s="5" t="s">
        <v>1161</v>
      </c>
    </row>
    <row r="8" customFormat="false" ht="15" hidden="false" customHeight="true" outlineLevel="0" collapsed="false">
      <c r="A8" s="5" t="s">
        <v>1266</v>
      </c>
      <c r="B8" s="5" t="s">
        <v>1267</v>
      </c>
      <c r="C8" s="5" t="s">
        <v>1268</v>
      </c>
      <c r="D8" s="5" t="s">
        <v>1161</v>
      </c>
    </row>
    <row r="9" customFormat="false" ht="23.25" hidden="false" customHeight="true" outlineLevel="0" collapsed="false">
      <c r="A9" s="5" t="s">
        <v>1269</v>
      </c>
      <c r="B9" s="5" t="s">
        <v>1270</v>
      </c>
      <c r="C9" s="5" t="s">
        <v>1271</v>
      </c>
      <c r="D9" s="5" t="s">
        <v>1272</v>
      </c>
    </row>
    <row r="10" customFormat="false" ht="23.25" hidden="false" customHeight="true" outlineLevel="0" collapsed="false">
      <c r="A10" s="5" t="s">
        <v>1273</v>
      </c>
      <c r="B10" s="5" t="s">
        <v>1274</v>
      </c>
      <c r="C10" s="5" t="s">
        <v>1271</v>
      </c>
      <c r="D10" s="5" t="s">
        <v>1275</v>
      </c>
    </row>
    <row r="11" customFormat="false" ht="23.25" hidden="false" customHeight="true" outlineLevel="0" collapsed="false">
      <c r="A11" s="5" t="s">
        <v>1276</v>
      </c>
      <c r="B11" s="5" t="s">
        <v>1277</v>
      </c>
      <c r="C11" s="5" t="s">
        <v>1271</v>
      </c>
      <c r="D11" s="5" t="s">
        <v>1278</v>
      </c>
    </row>
    <row r="12" customFormat="false" ht="34.5" hidden="false" customHeight="true" outlineLevel="0" collapsed="false">
      <c r="A12" s="5" t="s">
        <v>1279</v>
      </c>
      <c r="B12" s="5" t="s">
        <v>1280</v>
      </c>
      <c r="C12" s="5" t="s">
        <v>1271</v>
      </c>
      <c r="D12" s="5" t="s">
        <v>1281</v>
      </c>
    </row>
    <row r="13" customFormat="false" ht="23.25" hidden="false" customHeight="true" outlineLevel="0" collapsed="false">
      <c r="A13" s="5" t="s">
        <v>1282</v>
      </c>
      <c r="B13" s="5" t="s">
        <v>1283</v>
      </c>
      <c r="C13" s="5" t="s">
        <v>1271</v>
      </c>
      <c r="D13" s="5" t="s">
        <v>1284</v>
      </c>
    </row>
    <row r="14" customFormat="false" ht="23.25" hidden="false" customHeight="true" outlineLevel="0" collapsed="false">
      <c r="A14" s="5" t="s">
        <v>1285</v>
      </c>
      <c r="B14" s="5" t="s">
        <v>1286</v>
      </c>
      <c r="C14" s="5" t="s">
        <v>1271</v>
      </c>
      <c r="D14" s="5" t="s">
        <v>1287</v>
      </c>
    </row>
    <row r="15" customFormat="false" ht="23.25" hidden="false" customHeight="true" outlineLevel="0" collapsed="false">
      <c r="A15" s="5" t="s">
        <v>1288</v>
      </c>
      <c r="B15" s="5" t="s">
        <v>1289</v>
      </c>
      <c r="C15" s="5" t="s">
        <v>1271</v>
      </c>
      <c r="D15" s="5" t="s">
        <v>1290</v>
      </c>
    </row>
    <row r="16" customFormat="false" ht="23.25" hidden="false" customHeight="true" outlineLevel="0" collapsed="false">
      <c r="A16" s="5" t="s">
        <v>1291</v>
      </c>
      <c r="B16" s="5" t="s">
        <v>1292</v>
      </c>
      <c r="C16" s="5" t="s">
        <v>1271</v>
      </c>
      <c r="D16" s="5" t="s">
        <v>1293</v>
      </c>
    </row>
    <row r="17" customFormat="false" ht="23.25" hidden="false" customHeight="true" outlineLevel="0" collapsed="false">
      <c r="A17" s="5" t="s">
        <v>1294</v>
      </c>
      <c r="B17" s="5" t="s">
        <v>1295</v>
      </c>
      <c r="C17" s="5" t="s">
        <v>1271</v>
      </c>
      <c r="D17" s="5" t="s">
        <v>1296</v>
      </c>
    </row>
    <row r="18" customFormat="false" ht="23.25" hidden="false" customHeight="true" outlineLevel="0" collapsed="false">
      <c r="A18" s="5" t="s">
        <v>1297</v>
      </c>
      <c r="B18" s="5" t="s">
        <v>1298</v>
      </c>
      <c r="C18" s="5" t="s">
        <v>1271</v>
      </c>
      <c r="D18" s="5" t="s">
        <v>1299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0"/>
    <col collapsed="false" customWidth="true" hidden="false" outlineLevel="0" max="3" min="3" style="1" width="22"/>
    <col collapsed="false" customWidth="true" hidden="false" outlineLevel="0" max="4" min="4" style="1" width="60"/>
    <col collapsed="false" customWidth="true" hidden="false" outlineLevel="0" max="5" min="5" style="1" width="55"/>
    <col collapsed="false" customWidth="true" hidden="false" outlineLevel="0" max="6" min="6" style="1" width="45"/>
    <col collapsed="false" customWidth="true" hidden="false" outlineLevel="0" max="7" min="7" style="1" width="20"/>
  </cols>
  <sheetData>
    <row r="1" customFormat="false" ht="15" hidden="false" customHeight="true" outlineLevel="0" collapsed="false">
      <c r="A1" s="9" t="s">
        <v>1300</v>
      </c>
      <c r="B1" s="10"/>
      <c r="C1" s="10"/>
      <c r="D1" s="10"/>
      <c r="E1" s="10"/>
      <c r="F1" s="10"/>
      <c r="G1" s="10"/>
    </row>
    <row r="2" customFormat="false" ht="15" hidden="false" customHeight="true" outlineLevel="0" collapsed="false">
      <c r="A2" s="10"/>
      <c r="B2" s="10"/>
      <c r="C2" s="10"/>
      <c r="D2" s="10"/>
      <c r="E2" s="10"/>
      <c r="F2" s="10"/>
      <c r="G2" s="10"/>
    </row>
    <row r="3" customFormat="false" ht="15" hidden="false" customHeight="true" outlineLevel="0" collapsed="false">
      <c r="A3" s="11" t="s">
        <v>77</v>
      </c>
      <c r="B3" s="11" t="s">
        <v>1301</v>
      </c>
      <c r="C3" s="11" t="s">
        <v>1302</v>
      </c>
      <c r="D3" s="11" t="s">
        <v>690</v>
      </c>
      <c r="E3" s="11" t="s">
        <v>1303</v>
      </c>
      <c r="F3" s="11" t="s">
        <v>1304</v>
      </c>
      <c r="G3" s="11" t="s">
        <v>1305</v>
      </c>
    </row>
    <row r="4" customFormat="false" ht="15" hidden="false" customHeight="true" outlineLevel="0" collapsed="false">
      <c r="A4" s="10" t="s">
        <v>1306</v>
      </c>
      <c r="B4" s="10" t="s">
        <v>1307</v>
      </c>
      <c r="C4" s="10" t="s">
        <v>1103</v>
      </c>
      <c r="D4" s="10" t="s">
        <v>1308</v>
      </c>
      <c r="E4" s="10" t="s">
        <v>1309</v>
      </c>
      <c r="F4" s="10" t="s">
        <v>1310</v>
      </c>
      <c r="G4" s="10" t="s">
        <v>1311</v>
      </c>
    </row>
    <row r="5" customFormat="false" ht="15" hidden="false" customHeight="true" outlineLevel="0" collapsed="false">
      <c r="A5" s="10" t="s">
        <v>1312</v>
      </c>
      <c r="B5" s="10" t="s">
        <v>1307</v>
      </c>
      <c r="C5" s="10" t="s">
        <v>1103</v>
      </c>
      <c r="D5" s="10" t="s">
        <v>1313</v>
      </c>
      <c r="E5" s="10" t="s">
        <v>1314</v>
      </c>
      <c r="F5" s="10" t="s">
        <v>1315</v>
      </c>
      <c r="G5" s="10" t="s">
        <v>1311</v>
      </c>
    </row>
    <row r="6" customFormat="false" ht="15" hidden="false" customHeight="true" outlineLevel="0" collapsed="false">
      <c r="A6" s="10" t="s">
        <v>1316</v>
      </c>
      <c r="B6" s="10" t="s">
        <v>1317</v>
      </c>
      <c r="C6" s="10" t="s">
        <v>1108</v>
      </c>
      <c r="D6" s="10" t="s">
        <v>1318</v>
      </c>
      <c r="E6" s="10" t="s">
        <v>1319</v>
      </c>
      <c r="F6" s="10" t="s">
        <v>1320</v>
      </c>
      <c r="G6" s="10" t="s">
        <v>1311</v>
      </c>
    </row>
    <row r="7" customFormat="false" ht="15" hidden="false" customHeight="true" outlineLevel="0" collapsed="false">
      <c r="A7" s="10" t="s">
        <v>1321</v>
      </c>
      <c r="B7" s="10" t="s">
        <v>1317</v>
      </c>
      <c r="C7" s="10" t="s">
        <v>873</v>
      </c>
      <c r="D7" s="10" t="s">
        <v>1322</v>
      </c>
      <c r="E7" s="10" t="s">
        <v>1323</v>
      </c>
      <c r="F7" s="10" t="s">
        <v>1324</v>
      </c>
      <c r="G7" s="10" t="s">
        <v>1311</v>
      </c>
    </row>
    <row r="8" customFormat="false" ht="15" hidden="false" customHeight="true" outlineLevel="0" collapsed="false">
      <c r="A8" s="10" t="s">
        <v>1325</v>
      </c>
      <c r="B8" s="10" t="s">
        <v>1307</v>
      </c>
      <c r="C8" s="10" t="s">
        <v>928</v>
      </c>
      <c r="D8" s="10" t="s">
        <v>1326</v>
      </c>
      <c r="E8" s="10" t="s">
        <v>1327</v>
      </c>
      <c r="F8" s="10" t="s">
        <v>1328</v>
      </c>
      <c r="G8" s="10" t="s">
        <v>1311</v>
      </c>
    </row>
    <row r="9" customFormat="false" ht="15" hidden="false" customHeight="true" outlineLevel="0" collapsed="false">
      <c r="A9" s="10" t="s">
        <v>229</v>
      </c>
      <c r="B9" s="10" t="s">
        <v>1307</v>
      </c>
      <c r="C9" s="10" t="s">
        <v>810</v>
      </c>
      <c r="D9" s="10" t="s">
        <v>1329</v>
      </c>
      <c r="E9" s="10" t="s">
        <v>1330</v>
      </c>
      <c r="F9" s="10" t="s">
        <v>1331</v>
      </c>
      <c r="G9" s="10" t="s">
        <v>1311</v>
      </c>
    </row>
    <row r="10" customFormat="false" ht="15" hidden="false" customHeight="true" outlineLevel="0" collapsed="false">
      <c r="A10" s="10" t="s">
        <v>233</v>
      </c>
      <c r="B10" s="10" t="s">
        <v>1307</v>
      </c>
      <c r="C10" s="10" t="s">
        <v>906</v>
      </c>
      <c r="D10" s="10" t="s">
        <v>1332</v>
      </c>
      <c r="E10" s="10" t="s">
        <v>1333</v>
      </c>
      <c r="F10" s="10" t="s">
        <v>1334</v>
      </c>
      <c r="G10" s="10" t="s">
        <v>1311</v>
      </c>
    </row>
    <row r="11" customFormat="false" ht="15" hidden="false" customHeight="true" outlineLevel="0" collapsed="false">
      <c r="A11" s="10" t="s">
        <v>237</v>
      </c>
      <c r="B11" s="10" t="s">
        <v>1307</v>
      </c>
      <c r="C11" s="10" t="s">
        <v>723</v>
      </c>
      <c r="D11" s="10" t="s">
        <v>1335</v>
      </c>
      <c r="E11" s="10" t="s">
        <v>1336</v>
      </c>
      <c r="F11" s="10" t="s">
        <v>1337</v>
      </c>
      <c r="G11" s="10" t="s">
        <v>1311</v>
      </c>
    </row>
    <row r="12" customFormat="false" ht="15" hidden="false" customHeight="true" outlineLevel="0" collapsed="false">
      <c r="A12" s="10" t="s">
        <v>241</v>
      </c>
      <c r="B12" s="10" t="s">
        <v>1307</v>
      </c>
      <c r="C12" s="10" t="s">
        <v>773</v>
      </c>
      <c r="D12" s="10" t="s">
        <v>1338</v>
      </c>
      <c r="E12" s="10" t="s">
        <v>1339</v>
      </c>
      <c r="F12" s="10" t="s">
        <v>1340</v>
      </c>
      <c r="G12" s="10" t="s">
        <v>1311</v>
      </c>
    </row>
    <row r="13" customFormat="false" ht="15" hidden="false" customHeight="true" outlineLevel="0" collapsed="false">
      <c r="A13" s="10" t="s">
        <v>1341</v>
      </c>
      <c r="B13" s="10" t="s">
        <v>1342</v>
      </c>
      <c r="C13" s="10" t="s">
        <v>954</v>
      </c>
      <c r="D13" s="10" t="s">
        <v>1343</v>
      </c>
      <c r="E13" s="10" t="s">
        <v>1344</v>
      </c>
      <c r="F13" s="10" t="s">
        <v>86</v>
      </c>
      <c r="G13" s="10" t="s">
        <v>1311</v>
      </c>
    </row>
    <row r="14" customFormat="false" ht="15" hidden="false" customHeight="true" outlineLevel="0" collapsed="false">
      <c r="A14" s="10" t="s">
        <v>1345</v>
      </c>
      <c r="B14" s="10" t="s">
        <v>1342</v>
      </c>
      <c r="C14" s="10" t="s">
        <v>954</v>
      </c>
      <c r="D14" s="10" t="s">
        <v>1346</v>
      </c>
      <c r="E14" s="10" t="s">
        <v>1347</v>
      </c>
      <c r="F14" s="10" t="s">
        <v>86</v>
      </c>
      <c r="G14" s="10" t="s">
        <v>1311</v>
      </c>
    </row>
    <row r="15" customFormat="false" ht="15" hidden="false" customHeight="true" outlineLevel="0" collapsed="false">
      <c r="A15" s="10" t="s">
        <v>293</v>
      </c>
      <c r="B15" s="10" t="s">
        <v>1348</v>
      </c>
      <c r="C15" s="10" t="s">
        <v>1112</v>
      </c>
      <c r="D15" s="10" t="s">
        <v>1349</v>
      </c>
      <c r="E15" s="10" t="s">
        <v>1350</v>
      </c>
      <c r="F15" s="10" t="s">
        <v>1351</v>
      </c>
      <c r="G15" s="10" t="s">
        <v>1311</v>
      </c>
    </row>
    <row r="16" customFormat="false" ht="15" hidden="false" customHeight="true" outlineLevel="0" collapsed="false">
      <c r="A16" s="10" t="s">
        <v>1352</v>
      </c>
      <c r="B16" s="10" t="s">
        <v>1307</v>
      </c>
      <c r="C16" s="10" t="s">
        <v>1108</v>
      </c>
      <c r="D16" s="10" t="s">
        <v>1353</v>
      </c>
      <c r="E16" s="10" t="s">
        <v>1354</v>
      </c>
      <c r="F16" s="10" t="s">
        <v>1355</v>
      </c>
      <c r="G16" s="10" t="s">
        <v>1311</v>
      </c>
    </row>
    <row r="17" customFormat="false" ht="15" hidden="false" customHeight="true" outlineLevel="0" collapsed="false">
      <c r="A17" s="10" t="s">
        <v>1356</v>
      </c>
      <c r="B17" s="10" t="s">
        <v>1307</v>
      </c>
      <c r="C17" s="10" t="s">
        <v>954</v>
      </c>
      <c r="D17" s="10" t="s">
        <v>1357</v>
      </c>
      <c r="E17" s="10" t="s">
        <v>1358</v>
      </c>
      <c r="F17" s="10" t="s">
        <v>1359</v>
      </c>
      <c r="G17" s="10" t="s">
        <v>1311</v>
      </c>
    </row>
    <row r="18" customFormat="false" ht="15" hidden="false" customHeight="true" outlineLevel="0" collapsed="false">
      <c r="A18" s="10" t="s">
        <v>1360</v>
      </c>
      <c r="B18" s="10" t="s">
        <v>1307</v>
      </c>
      <c r="C18" s="10" t="s">
        <v>1041</v>
      </c>
      <c r="D18" s="10" t="s">
        <v>1361</v>
      </c>
      <c r="E18" s="10" t="s">
        <v>1362</v>
      </c>
      <c r="F18" s="10" t="s">
        <v>1363</v>
      </c>
      <c r="G18" s="10" t="s">
        <v>1311</v>
      </c>
    </row>
    <row r="19" customFormat="false" ht="15" hidden="false" customHeight="true" outlineLevel="0" collapsed="false">
      <c r="A19" s="10" t="s">
        <v>1364</v>
      </c>
      <c r="B19" s="10" t="s">
        <v>1307</v>
      </c>
      <c r="C19" s="10" t="s">
        <v>1365</v>
      </c>
      <c r="D19" s="10" t="s">
        <v>1366</v>
      </c>
      <c r="E19" s="10" t="s">
        <v>1367</v>
      </c>
      <c r="F19" s="10" t="s">
        <v>1368</v>
      </c>
      <c r="G19" s="10" t="s">
        <v>1311</v>
      </c>
    </row>
    <row r="20" customFormat="false" ht="15" hidden="false" customHeight="true" outlineLevel="0" collapsed="false">
      <c r="A20" s="10" t="s">
        <v>313</v>
      </c>
      <c r="B20" s="10" t="s">
        <v>1369</v>
      </c>
      <c r="C20" s="10" t="s">
        <v>1370</v>
      </c>
      <c r="D20" s="10" t="s">
        <v>1371</v>
      </c>
      <c r="E20" s="10" t="s">
        <v>1372</v>
      </c>
      <c r="F20" s="10" t="s">
        <v>1373</v>
      </c>
      <c r="G20" s="10" t="s">
        <v>1311</v>
      </c>
    </row>
    <row r="21" customFormat="false" ht="15" hidden="false" customHeight="true" outlineLevel="0" collapsed="false">
      <c r="A21" s="10" t="s">
        <v>317</v>
      </c>
      <c r="B21" s="10" t="s">
        <v>1369</v>
      </c>
      <c r="C21" s="10" t="s">
        <v>1374</v>
      </c>
      <c r="D21" s="10" t="s">
        <v>1375</v>
      </c>
      <c r="E21" s="10" t="s">
        <v>1376</v>
      </c>
      <c r="F21" s="10" t="s">
        <v>1377</v>
      </c>
      <c r="G21" s="10" t="s">
        <v>1311</v>
      </c>
    </row>
    <row r="22" customFormat="false" ht="15" hidden="false" customHeight="true" outlineLevel="0" collapsed="false">
      <c r="A22" s="10" t="s">
        <v>321</v>
      </c>
      <c r="B22" s="10" t="s">
        <v>1369</v>
      </c>
      <c r="C22" s="10" t="s">
        <v>1378</v>
      </c>
      <c r="D22" s="10" t="s">
        <v>1379</v>
      </c>
      <c r="E22" s="10" t="s">
        <v>1380</v>
      </c>
      <c r="F22" s="10" t="s">
        <v>1381</v>
      </c>
      <c r="G22" s="10" t="s">
        <v>1311</v>
      </c>
    </row>
    <row r="23" customFormat="false" ht="15" hidden="false" customHeight="true" outlineLevel="0" collapsed="false">
      <c r="A23" s="10" t="s">
        <v>1382</v>
      </c>
      <c r="B23" s="10" t="s">
        <v>1307</v>
      </c>
      <c r="C23" s="10" t="s">
        <v>1383</v>
      </c>
      <c r="D23" s="10" t="s">
        <v>1384</v>
      </c>
      <c r="E23" s="10" t="s">
        <v>1385</v>
      </c>
      <c r="F23" s="10" t="s">
        <v>1386</v>
      </c>
      <c r="G23" s="10" t="s">
        <v>1311</v>
      </c>
    </row>
    <row r="24" customFormat="false" ht="15" hidden="false" customHeight="true" outlineLevel="0" collapsed="false">
      <c r="A24" s="10" t="s">
        <v>1387</v>
      </c>
      <c r="B24" s="10" t="s">
        <v>1307</v>
      </c>
      <c r="C24" s="10" t="s">
        <v>1388</v>
      </c>
      <c r="D24" s="10" t="s">
        <v>1389</v>
      </c>
      <c r="E24" s="10" t="s">
        <v>1390</v>
      </c>
      <c r="F24" s="10" t="s">
        <v>1391</v>
      </c>
      <c r="G24" s="10" t="s">
        <v>1311</v>
      </c>
    </row>
    <row r="25" customFormat="false" ht="15" hidden="false" customHeight="true" outlineLevel="0" collapsed="false">
      <c r="A25" s="10" t="s">
        <v>338</v>
      </c>
      <c r="B25" s="10" t="s">
        <v>1369</v>
      </c>
      <c r="C25" s="10" t="s">
        <v>1392</v>
      </c>
      <c r="D25" s="10" t="s">
        <v>1393</v>
      </c>
      <c r="E25" s="10" t="s">
        <v>1394</v>
      </c>
      <c r="F25" s="10" t="s">
        <v>1395</v>
      </c>
      <c r="G25" s="10" t="s">
        <v>1311</v>
      </c>
    </row>
    <row r="26" customFormat="false" ht="15" hidden="false" customHeight="true" outlineLevel="0" collapsed="false">
      <c r="A26" s="10" t="s">
        <v>343</v>
      </c>
      <c r="B26" s="10" t="s">
        <v>1369</v>
      </c>
      <c r="C26" s="10" t="s">
        <v>1396</v>
      </c>
      <c r="D26" s="10" t="s">
        <v>1397</v>
      </c>
      <c r="E26" s="10" t="s">
        <v>1398</v>
      </c>
      <c r="F26" s="10" t="s">
        <v>1399</v>
      </c>
      <c r="G26" s="10" t="s">
        <v>1311</v>
      </c>
    </row>
    <row r="27" customFormat="false" ht="15" hidden="false" customHeight="true" outlineLevel="0" collapsed="false">
      <c r="A27" s="10" t="s">
        <v>1400</v>
      </c>
      <c r="B27" s="10" t="s">
        <v>1307</v>
      </c>
      <c r="C27" s="10" t="s">
        <v>1401</v>
      </c>
      <c r="D27" s="10" t="s">
        <v>1402</v>
      </c>
      <c r="E27" s="10" t="s">
        <v>1403</v>
      </c>
      <c r="F27" s="10" t="s">
        <v>1404</v>
      </c>
      <c r="G27" s="10" t="s">
        <v>1311</v>
      </c>
    </row>
    <row r="28" customFormat="false" ht="15" hidden="false" customHeight="true" outlineLevel="0" collapsed="false">
      <c r="A28" s="10" t="s">
        <v>1405</v>
      </c>
      <c r="B28" s="10" t="s">
        <v>1307</v>
      </c>
      <c r="C28" s="10" t="s">
        <v>1112</v>
      </c>
      <c r="D28" s="10" t="s">
        <v>1406</v>
      </c>
      <c r="E28" s="10" t="s">
        <v>1407</v>
      </c>
      <c r="F28" s="10" t="s">
        <v>1408</v>
      </c>
      <c r="G28" s="10" t="s">
        <v>1311</v>
      </c>
    </row>
    <row r="29" customFormat="false" ht="15" hidden="false" customHeight="true" outlineLevel="0" collapsed="false">
      <c r="A29" s="10" t="s">
        <v>364</v>
      </c>
      <c r="B29" s="10" t="s">
        <v>1369</v>
      </c>
      <c r="C29" s="10" t="s">
        <v>1409</v>
      </c>
      <c r="D29" s="10" t="s">
        <v>1410</v>
      </c>
      <c r="E29" s="10" t="s">
        <v>1411</v>
      </c>
      <c r="F29" s="10" t="s">
        <v>1412</v>
      </c>
      <c r="G29" s="10" t="s">
        <v>1311</v>
      </c>
    </row>
    <row r="30" customFormat="false" ht="15" hidden="false" customHeight="true" outlineLevel="0" collapsed="false">
      <c r="A30" s="10" t="s">
        <v>1413</v>
      </c>
      <c r="B30" s="10" t="s">
        <v>1307</v>
      </c>
      <c r="C30" s="10" t="s">
        <v>1414</v>
      </c>
      <c r="D30" s="10" t="s">
        <v>1415</v>
      </c>
      <c r="E30" s="10" t="s">
        <v>1416</v>
      </c>
      <c r="F30" s="10" t="s">
        <v>1417</v>
      </c>
      <c r="G30" s="10" t="s">
        <v>1311</v>
      </c>
    </row>
    <row r="31" customFormat="false" ht="15" hidden="false" customHeight="true" outlineLevel="0" collapsed="false">
      <c r="A31" s="10" t="s">
        <v>1418</v>
      </c>
      <c r="B31" s="10" t="s">
        <v>1317</v>
      </c>
      <c r="C31" s="10" t="s">
        <v>1419</v>
      </c>
      <c r="D31" s="10" t="s">
        <v>1420</v>
      </c>
      <c r="E31" s="10" t="s">
        <v>1421</v>
      </c>
      <c r="F31" s="10" t="s">
        <v>1422</v>
      </c>
      <c r="G31" s="10" t="s">
        <v>1311</v>
      </c>
    </row>
    <row r="32" customFormat="false" ht="15" hidden="false" customHeight="true" outlineLevel="0" collapsed="false">
      <c r="A32" s="10" t="s">
        <v>402</v>
      </c>
      <c r="B32" s="10" t="s">
        <v>1369</v>
      </c>
      <c r="C32" s="10" t="s">
        <v>1409</v>
      </c>
      <c r="D32" s="10" t="s">
        <v>1423</v>
      </c>
      <c r="E32" s="10" t="s">
        <v>1424</v>
      </c>
      <c r="F32" s="10" t="s">
        <v>1425</v>
      </c>
      <c r="G32" s="10" t="s">
        <v>1311</v>
      </c>
    </row>
    <row r="33" customFormat="false" ht="15" hidden="false" customHeight="true" outlineLevel="0" collapsed="false">
      <c r="A33" s="10" t="s">
        <v>406</v>
      </c>
      <c r="B33" s="10" t="s">
        <v>1307</v>
      </c>
      <c r="C33" s="10" t="s">
        <v>1409</v>
      </c>
      <c r="D33" s="10" t="s">
        <v>1426</v>
      </c>
      <c r="E33" s="10" t="s">
        <v>1427</v>
      </c>
      <c r="F33" s="10" t="s">
        <v>1428</v>
      </c>
      <c r="G33" s="10" t="s">
        <v>1311</v>
      </c>
    </row>
    <row r="34" customFormat="false" ht="15" hidden="false" customHeight="true" outlineLevel="0" collapsed="false">
      <c r="A34" s="10" t="s">
        <v>1429</v>
      </c>
      <c r="B34" s="10" t="s">
        <v>1307</v>
      </c>
      <c r="C34" s="10" t="s">
        <v>1430</v>
      </c>
      <c r="D34" s="10" t="s">
        <v>1431</v>
      </c>
      <c r="E34" s="10" t="s">
        <v>1432</v>
      </c>
      <c r="F34" s="10" t="s">
        <v>1433</v>
      </c>
      <c r="G34" s="10" t="s">
        <v>1311</v>
      </c>
    </row>
    <row r="35" customFormat="false" ht="15" hidden="false" customHeight="true" outlineLevel="0" collapsed="false">
      <c r="A35" s="10" t="s">
        <v>1434</v>
      </c>
      <c r="B35" s="10" t="s">
        <v>1307</v>
      </c>
      <c r="C35" s="10" t="s">
        <v>1396</v>
      </c>
      <c r="D35" s="10" t="s">
        <v>1435</v>
      </c>
      <c r="E35" s="10" t="s">
        <v>1436</v>
      </c>
      <c r="F35" s="10" t="s">
        <v>1437</v>
      </c>
      <c r="G35" s="10" t="s">
        <v>1311</v>
      </c>
    </row>
    <row r="36" customFormat="false" ht="15" hidden="false" customHeight="true" outlineLevel="0" collapsed="false">
      <c r="A36" s="10" t="s">
        <v>437</v>
      </c>
      <c r="B36" s="10" t="s">
        <v>1307</v>
      </c>
      <c r="C36" s="10" t="s">
        <v>360</v>
      </c>
      <c r="D36" s="10" t="s">
        <v>1438</v>
      </c>
      <c r="E36" s="10" t="s">
        <v>1439</v>
      </c>
      <c r="F36" s="10" t="s">
        <v>1440</v>
      </c>
      <c r="G36" s="10" t="s">
        <v>1311</v>
      </c>
    </row>
    <row r="37" customFormat="false" ht="15" hidden="false" customHeight="true" outlineLevel="0" collapsed="false">
      <c r="A37" s="10" t="s">
        <v>441</v>
      </c>
      <c r="B37" s="10" t="s">
        <v>1307</v>
      </c>
      <c r="C37" s="10" t="s">
        <v>388</v>
      </c>
      <c r="D37" s="10" t="s">
        <v>1441</v>
      </c>
      <c r="E37" s="10" t="s">
        <v>1442</v>
      </c>
      <c r="F37" s="10" t="s">
        <v>1443</v>
      </c>
      <c r="G37" s="10" t="s">
        <v>1311</v>
      </c>
    </row>
    <row r="38" customFormat="false" ht="15" hidden="false" customHeight="true" outlineLevel="0" collapsed="false">
      <c r="A38" s="10" t="s">
        <v>495</v>
      </c>
      <c r="B38" s="10" t="s">
        <v>1369</v>
      </c>
      <c r="C38" s="10" t="s">
        <v>1444</v>
      </c>
      <c r="D38" s="10" t="s">
        <v>1445</v>
      </c>
      <c r="E38" s="10" t="s">
        <v>1446</v>
      </c>
      <c r="F38" s="10" t="s">
        <v>1447</v>
      </c>
      <c r="G38" s="10" t="s">
        <v>1311</v>
      </c>
    </row>
    <row r="39" customFormat="false" ht="15" hidden="false" customHeight="true" outlineLevel="0" collapsed="false">
      <c r="A39" s="10" t="s">
        <v>1448</v>
      </c>
      <c r="B39" s="10" t="s">
        <v>1307</v>
      </c>
      <c r="C39" s="10" t="s">
        <v>1414</v>
      </c>
      <c r="D39" s="10" t="s">
        <v>1449</v>
      </c>
      <c r="E39" s="10" t="s">
        <v>1450</v>
      </c>
      <c r="F39" s="10" t="s">
        <v>503</v>
      </c>
      <c r="G39" s="10" t="s">
        <v>1311</v>
      </c>
    </row>
    <row r="40" customFormat="false" ht="15" hidden="false" customHeight="true" outlineLevel="0" collapsed="false">
      <c r="A40" s="10" t="s">
        <v>515</v>
      </c>
      <c r="B40" s="10" t="s">
        <v>1369</v>
      </c>
      <c r="C40" s="10" t="s">
        <v>1451</v>
      </c>
      <c r="D40" s="10" t="s">
        <v>1452</v>
      </c>
      <c r="E40" s="10" t="s">
        <v>1453</v>
      </c>
      <c r="F40" s="10" t="s">
        <v>1454</v>
      </c>
      <c r="G40" s="10" t="s">
        <v>1311</v>
      </c>
    </row>
    <row r="41" customFormat="false" ht="15" hidden="false" customHeight="true" outlineLevel="0" collapsed="false">
      <c r="A41" s="10" t="s">
        <v>519</v>
      </c>
      <c r="B41" s="10" t="s">
        <v>1369</v>
      </c>
      <c r="C41" s="10" t="s">
        <v>1455</v>
      </c>
      <c r="D41" s="10" t="s">
        <v>1456</v>
      </c>
      <c r="E41" s="10" t="s">
        <v>1457</v>
      </c>
      <c r="F41" s="10" t="s">
        <v>1458</v>
      </c>
      <c r="G41" s="10" t="s">
        <v>1311</v>
      </c>
    </row>
    <row r="42" customFormat="false" ht="15" hidden="false" customHeight="true" outlineLevel="0" collapsed="false">
      <c r="A42" s="10" t="s">
        <v>523</v>
      </c>
      <c r="B42" s="10" t="s">
        <v>1307</v>
      </c>
      <c r="C42" s="10" t="s">
        <v>1020</v>
      </c>
      <c r="D42" s="10" t="s">
        <v>1459</v>
      </c>
      <c r="E42" s="10" t="s">
        <v>1460</v>
      </c>
      <c r="F42" s="10" t="s">
        <v>1461</v>
      </c>
      <c r="G42" s="10" t="s">
        <v>1311</v>
      </c>
    </row>
    <row r="43" customFormat="false" ht="15" hidden="false" customHeight="true" outlineLevel="0" collapsed="false">
      <c r="A43" s="10" t="s">
        <v>1462</v>
      </c>
      <c r="B43" s="10" t="s">
        <v>1342</v>
      </c>
      <c r="C43" s="10" t="s">
        <v>1020</v>
      </c>
      <c r="D43" s="10" t="s">
        <v>1463</v>
      </c>
      <c r="E43" s="10" t="s">
        <v>1464</v>
      </c>
      <c r="F43" s="10" t="s">
        <v>86</v>
      </c>
      <c r="G43" s="10" t="s">
        <v>1311</v>
      </c>
    </row>
    <row r="44" customFormat="false" ht="15" hidden="false" customHeight="true" outlineLevel="0" collapsed="false">
      <c r="A44" s="10" t="s">
        <v>1465</v>
      </c>
      <c r="B44" s="10" t="s">
        <v>1342</v>
      </c>
      <c r="C44" s="10" t="s">
        <v>1108</v>
      </c>
      <c r="D44" s="10" t="s">
        <v>1466</v>
      </c>
      <c r="E44" s="10" t="s">
        <v>1467</v>
      </c>
      <c r="F44" s="10" t="s">
        <v>86</v>
      </c>
      <c r="G44" s="10" t="s">
        <v>1311</v>
      </c>
    </row>
    <row r="45" customFormat="false" ht="15" hidden="false" customHeight="true" outlineLevel="0" collapsed="false">
      <c r="A45" s="10" t="s">
        <v>537</v>
      </c>
      <c r="B45" s="10" t="s">
        <v>1369</v>
      </c>
      <c r="C45" s="10" t="s">
        <v>1066</v>
      </c>
      <c r="D45" s="10" t="s">
        <v>1468</v>
      </c>
      <c r="E45" s="10" t="s">
        <v>1469</v>
      </c>
      <c r="F45" s="10" t="s">
        <v>1470</v>
      </c>
      <c r="G45" s="10" t="s">
        <v>1311</v>
      </c>
    </row>
    <row r="46" customFormat="false" ht="15" hidden="false" customHeight="true" outlineLevel="0" collapsed="false">
      <c r="A46" s="10" t="s">
        <v>542</v>
      </c>
      <c r="B46" s="10" t="s">
        <v>1369</v>
      </c>
      <c r="C46" s="10" t="s">
        <v>1471</v>
      </c>
      <c r="D46" s="10" t="s">
        <v>1472</v>
      </c>
      <c r="E46" s="10" t="s">
        <v>1473</v>
      </c>
      <c r="F46" s="10" t="s">
        <v>1474</v>
      </c>
      <c r="G46" s="10" t="s">
        <v>1311</v>
      </c>
    </row>
    <row r="47" customFormat="false" ht="15" hidden="false" customHeight="true" outlineLevel="0" collapsed="false">
      <c r="A47" s="10" t="s">
        <v>546</v>
      </c>
      <c r="B47" s="10" t="s">
        <v>1307</v>
      </c>
      <c r="C47" s="10" t="s">
        <v>1475</v>
      </c>
      <c r="D47" s="10" t="s">
        <v>1476</v>
      </c>
      <c r="E47" s="10" t="s">
        <v>1477</v>
      </c>
      <c r="F47" s="10" t="s">
        <v>1478</v>
      </c>
      <c r="G47" s="10" t="s">
        <v>1311</v>
      </c>
    </row>
    <row r="48" customFormat="false" ht="15" hidden="false" customHeight="true" outlineLevel="0" collapsed="false">
      <c r="A48" s="10" t="s">
        <v>563</v>
      </c>
      <c r="B48" s="10" t="s">
        <v>1369</v>
      </c>
      <c r="C48" s="10" t="s">
        <v>1479</v>
      </c>
      <c r="D48" s="10" t="s">
        <v>1480</v>
      </c>
      <c r="E48" s="10" t="s">
        <v>1481</v>
      </c>
      <c r="F48" s="10" t="s">
        <v>1482</v>
      </c>
      <c r="G48" s="10" t="s">
        <v>1311</v>
      </c>
    </row>
    <row r="49" customFormat="false" ht="15" hidden="false" customHeight="true" outlineLevel="0" collapsed="false">
      <c r="A49" s="10" t="s">
        <v>567</v>
      </c>
      <c r="B49" s="10" t="s">
        <v>1307</v>
      </c>
      <c r="C49" s="10" t="s">
        <v>568</v>
      </c>
      <c r="D49" s="10" t="s">
        <v>1483</v>
      </c>
      <c r="E49" s="10" t="s">
        <v>1484</v>
      </c>
      <c r="F49" s="10" t="s">
        <v>1485</v>
      </c>
      <c r="G49" s="10" t="s">
        <v>1311</v>
      </c>
    </row>
    <row r="50" customFormat="false" ht="15" hidden="false" customHeight="true" outlineLevel="0" collapsed="false">
      <c r="A50" s="10" t="s">
        <v>582</v>
      </c>
      <c r="B50" s="10" t="s">
        <v>1307</v>
      </c>
      <c r="C50" s="10" t="s">
        <v>972</v>
      </c>
      <c r="D50" s="10" t="s">
        <v>1486</v>
      </c>
      <c r="E50" s="10" t="s">
        <v>1487</v>
      </c>
      <c r="F50" s="10" t="s">
        <v>1488</v>
      </c>
      <c r="G50" s="10" t="s">
        <v>1311</v>
      </c>
    </row>
    <row r="51" customFormat="false" ht="15" hidden="false" customHeight="true" outlineLevel="0" collapsed="false">
      <c r="A51" s="10" t="s">
        <v>587</v>
      </c>
      <c r="B51" s="10" t="s">
        <v>1307</v>
      </c>
      <c r="C51" s="10" t="s">
        <v>1489</v>
      </c>
      <c r="D51" s="10" t="s">
        <v>1490</v>
      </c>
      <c r="E51" s="10" t="s">
        <v>1491</v>
      </c>
      <c r="F51" s="10" t="s">
        <v>1492</v>
      </c>
      <c r="G51" s="10" t="s">
        <v>1311</v>
      </c>
    </row>
    <row r="52" customFormat="false" ht="15" hidden="false" customHeight="true" outlineLevel="0" collapsed="false">
      <c r="A52" s="10" t="s">
        <v>1493</v>
      </c>
      <c r="B52" s="10" t="s">
        <v>1307</v>
      </c>
      <c r="C52" s="10" t="s">
        <v>1494</v>
      </c>
      <c r="D52" s="10" t="s">
        <v>1495</v>
      </c>
      <c r="E52" s="10" t="s">
        <v>1496</v>
      </c>
      <c r="F52" s="10" t="s">
        <v>86</v>
      </c>
      <c r="G52" s="10" t="s">
        <v>1311</v>
      </c>
    </row>
    <row r="53" customFormat="false" ht="15" hidden="false" customHeight="true" outlineLevel="0" collapsed="false">
      <c r="A53" s="10" t="s">
        <v>1497</v>
      </c>
      <c r="B53" s="10" t="s">
        <v>1317</v>
      </c>
      <c r="C53" s="10" t="s">
        <v>1498</v>
      </c>
      <c r="D53" s="10" t="s">
        <v>1499</v>
      </c>
      <c r="E53" s="10" t="s">
        <v>1500</v>
      </c>
      <c r="F53" s="10" t="s">
        <v>86</v>
      </c>
      <c r="G53" s="10" t="s">
        <v>1311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2026-09-10T22:16:21Z</dcterms:created>
  <dc:creator>openpyxl</dc:creator>
  <dc:description/>
  <dc:language>en-US</dc:language>
  <cp:lastModifiedBy/>
  <dcterms:modified xsi:type="dcterms:W3CDTF">2026-09-13T17:58:41Z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