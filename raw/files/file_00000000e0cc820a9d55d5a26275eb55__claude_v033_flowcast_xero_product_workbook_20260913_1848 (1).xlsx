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ReadMe_Scope" sheetId="2" state="visible" r:id="rId4"/>
    <sheet name="Senthil_Handover" sheetId="3" state="visible" r:id="rId5"/>
    <sheet name="Product_Spec" sheetId="4" state="visible" r:id="rId6"/>
    <sheet name="Screens_Wireframes" sheetId="5" state="visible" r:id="rId7"/>
    <sheet name="Full_Backlog" sheetId="6" state="visible" r:id="rId8"/>
    <sheet name="Sprint_Board" sheetId="7" state="visible" r:id="rId9"/>
    <sheet name="Financial_Model" sheetId="8" state="visible" r:id="rId10"/>
    <sheet name="GTM_Execution" sheetId="9" state="visible" r:id="rId11"/>
    <sheet name="Launch_Checklist" sheetId="10" state="visible" r:id="rId12"/>
    <sheet name="Metrics_Targets" sheetId="11" state="visible" r:id="rId13"/>
    <sheet name="Risk_Register" sheetId="12" state="visible" r:id="rId14"/>
    <sheet name="Sprint_Tracker_Log" sheetId="13" state="visible" r:id="rId15"/>
    <sheet name="Traceability_Matrix"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<sst xmlns="http://schemas.openxmlformats.org/spreadsheetml/2006/main" count="2430" uniqueCount="1048">
  <si>
    <t xml:space="preserve">VERSION CONTROL — FlowCast</t>
  </si>
  <si>
    <t xml:space="preserve">Version</t>
  </si>
  <si>
    <t xml:space="preserve">Date</t>
  </si>
  <si>
    <t xml:space="preserve">Author</t>
  </si>
  <si>
    <t xml:space="preserve">Change</t>
  </si>
  <si>
    <t xml:space="preserve">Status</t>
  </si>
  <si>
    <t xml:space="preserve">v001-v004</t>
  </si>
  <si>
    <t xml:space="preserve">2026-09-05</t>
  </si>
  <si>
    <t xml:space="preserve">Claude for Senthil/KP</t>
  </si>
  <si>
    <t xml:space="preserve">Lineage: marketplace master (868 entries) -&gt; portfolio plan (12 products) -&gt; wave-1 (RetainKit/ShiftDesk/EngageOS, v005) -&gt; this product selected for wave-3</t>
  </si>
  <si>
    <t xml:space="preserve">Released</t>
  </si>
  <si>
    <t xml:space="preserve">v007</t>
  </si>
  <si>
    <t xml:space="preserve">2026-09-05 19:50</t>
  </si>
  <si>
    <t xml:space="preserve">Full product workbook for FlowCast on Xero App Store: spec, screen inventory, 100+ story backlog, live sprint board, 18-month financial model (editable assumptions), GTM execution tasks, platform launch checklist, metric targets, risk register</t>
  </si>
  <si>
    <t xml:space="preserve">v008</t>
  </si>
  <si>
    <t xml:space="preserve">2026-09-10 22:01</t>
  </si>
  <si>
    <t xml:space="preserve">Sprint_Tracker_Log + Traceability_Matrix sheets added; D13 100% coverage gate applied (ST-085 amended); S1 foundation + code-completable S2-S8 stories built in TypeScript with 11 Jest suites / 120 tests at 100% stmts/branches/funcs/lines; Full_Backlog statuses updated (58 Done, 4 pending-live, 2 in progress); portfolio D15 note logged</t>
  </si>
  <si>
    <t xml:space="preserve">v009</t>
  </si>
  <si>
    <t xml:space="preserve">2026-09-10 22:20</t>
  </si>
  <si>
    <t xml:space="preserve">UI surfaces (5 React screens + MetricsPanel) with Xero deep links; ST-003 rule builder; notifications w/ per-type mute; pause toggles; portal rules; per-feature metrics/trends; CI workflow (ST-086). 13 suites / 148 tests at 100% coverage incl. components; statuses now 74 Done / 5 pending-live / 21 backlog</t>
  </si>
  <si>
    <t xml:space="preserve">v010</t>
  </si>
  <si>
    <t xml:space="preserve">2026-09-10 22:27</t>
  </si>
  <si>
    <t xml:space="preserve">Reliability + a11y code (latency budgets, degradation comms, jest-axe WCAG pass), demo-data mode, scenario/portal notification events; 12 content artifacts (15 help articles, chat SLA, video script, listing copy A/B, asset specs, pricing, trust page, dry-run gap report, 3 runbooks). 14 suites/155 tests at 100%. Dry-run found webhook build gap -&gt; v011</t>
  </si>
  <si>
    <t xml:space="preserve">v011</t>
  </si>
  <si>
    <t xml:space="preserve">2026-09-10 22:51</t>
  </si>
  <si>
    <t xml:space="preserve">Content webhooks built (dry-run gap #4): signature verify, fast-ack idempotent queue, retry/dead-letter/heal, payment-&gt;cancel-nudges mapping; bank-txn 15-min polling (platform has no such webhook). Launch_Checklist statuses updated honestly. 15 suites / 170 tests at 100%. Sandbox work exhausted — remaining items need Senthil</t>
  </si>
  <si>
    <t xml:space="preserve">v012</t>
  </si>
  <si>
    <t xml:space="preserve">2026-09-10 22:56</t>
  </si>
  <si>
    <t xml:space="preserve">Per-tenant 60/min rate limiter; 20-client + 12-month QA drills executed (found+fixed batch-isolation anomaly blind spot via detectWithHistory); k6 load harness (5x); blue/green deploy workflow; HTTP wiring layer. 16 suites / 182 tests at 100%. Backlog down to 4 (all require live infra/humans)</t>
  </si>
  <si>
    <t xml:space="preserve">v013</t>
  </si>
  <si>
    <t xml:space="preserve">2026-09-10 23:03</t>
  </si>
  <si>
    <t xml:space="preserve">Live-sweep readiness: typed config loader + .env.example, 30-min dev-org setup guide, 12-step scripted verification sweep. Portfolio action board issued as separate workbook. 17 suites / 186 tests at 100%</t>
  </si>
  <si>
    <t xml:space="preserve">v014</t>
  </si>
  <si>
    <t xml:space="preserve">2026-09-11 11:09</t>
  </si>
  <si>
    <t xml:space="preserve">Cold-review pass 1: 5 defects found + fixed with regression tests (F-001 unbounded webhook idempotency ledger -&gt; FIFO 10k; F-002 signed-but-malformed payload crashed fast-ack -&gt; guarded parse; F-003 rate-limiter idle tenants never evicted -&gt; prune(); F-004 duplicate anomaly repeated per txn with 3+ matches -&gt; deduped; F-005 nudgesPerMonth had no cycle-scoped counter/reset -&gt; UsageCycle built). ST-066 encryption at rest built (AES-256-GCM envelope, SecretsVault boundary, token sealing, TLS assertion, self-verifying evidence drill). Security evidence pack (sandbox half of ST-068) + REVIEW_PACK.md for external second reviewer. 18 suites / 207 tests at 100% zero pragmas; tsc clean. Review_Findings sheet added for Senthil dispositions</t>
  </si>
  <si>
    <t xml:space="preserve">v015</t>
  </si>
  <si>
    <t xml:space="preserve">2026-09-11 12:47</t>
  </si>
  <si>
    <t xml:space="preserve">Cold-review pass 2 (the 10 modules pass 1 did not deep-read): 4 defects found + fixed with regressions — F-006 nudge planner re-sent the same tier daily (no sent-history) -&gt; SentHistory, tier fires once, test-mode not recorded, failed sends retried; F-007 purgeExpired flagged accounts but never deleted the record -&gt; record deleted (data deletion honoured), purged status removed; F-008 non-finite platform dates silently dropped items from the forecast -&gt; validated with clear errors, plus traffic light now judged on displayed rounded balance; F-009 monthly scenario cost omitted its 4th occurrence inside the 13-week horizon (week 13) -&gt; 4 occurrences, optimism bias removed. 2 observations logged without fix (no backoff jitter; unlimited half-open breaker probes). 2 pre-existing assertions updated (one encoded F-009). 19 suites / 219 tests at 100% zero pragmas; tsc clean. Cold review COMPLETE across all 27 modules</t>
  </si>
  <si>
    <t xml:space="preserve">v016</t>
  </si>
  <si>
    <t xml:space="preserve">2026-09-11 15:27</t>
  </si>
  <si>
    <t xml:space="preserve">CODE-PHASE-COMPLETION WAVE (sibling-validated TeleField/VoiceBridge pattern): ST-081 built-in chat + 4-business-hour SLA engine (business-hours math skips weekends/out-of-hours; queue sorts tightest deadline; chat-vendor decision now OPTIONAL — D-F6); ST-099 listing SEO iteration engine sandbox half (promote/keyword/demote rules with 100-impression thin-data floor; live half needs post-launch search-term data); ST-100 10-slot design-partner tracker (stale-nudge at 7 days; honest exit math separates reviews from G-02 paying strangers); ST-080 ranked help-center search over the 15 launch articles (manifest test-gated against docs/help); ST-095 pricing plan-matrix generated from billing.ts single source + DRIFT GATE test binding the published page to the enforced constants. 20 suites / 243 tests at 100% zero pragmas; tsc clean. FLOWCAST CODE PHASE COMPLETE — backlog zero, no further code sprints planned</t>
  </si>
  <si>
    <t xml:space="preserve">v017</t>
  </si>
  <si>
    <t xml:space="preserve">2026-09-11 22:08</t>
  </si>
  <si>
    <t xml:space="preserve">EXTERNAL VERIFICATION SWEEP vs live Xero docs + artifact-gap audit (sibling TestPulse/VoiceBridge post-completion pattern). VER-001 LIVE-BLOCKING FIXED: our 200 webhook response carried a JSON body — Xero rejects responses containing a body; intent-to-receive (sweep step 4) would have FAILED on the day; both 200/401 now empty-body, accepted count moved to /health telemetry. VER-002 FIXED: only 60/min was paced — Xero also enforces 5,000/day per org; limiter gains UTC-day budget with day-boundary retry + dailyUsed telemetry. VER-003 FIXED: our own scope audit flagged our own dev-org guide (offline_access had no justification home) — PLATFORM_SCOPES added. GAP-1/GAP-2 CLOSED: sweep steps 10/12 referenced CI + blue/green artifacts that did not exist — .github/workflows/ci.yml (100% gate + zero-pragma check, Node 22) and deploy.yml (approval-gated switch) + 3 slot scripts built, parse-verified. 5 claims verified correct (signature scheme, 5s window, batching, token timing, billing-region wording). Evidence: docs/live-sweep/external-verification-20260911.md. 21 suites / 256 tests at 100% zero pragmas; tsc clean</t>
  </si>
  <si>
    <t xml:space="preserve">v018</t>
  </si>
  <si>
    <t xml:space="preserve">2026-09-13 10:25</t>
  </si>
  <si>
    <t xml:space="preserve">INTEGRATION + ARTIFACT AUDIT (sibling class: OnCall no-app/no-schema, EngageOS modules-never-called, MeetSync auth). GAP-F1 CRITICAL: NO RUNNABLE APPLICATION EXISTED — server.ts held pure handlers plus a comment about binding "at deploy", package.json had only a test script, while the v017 deploy scripts, the 30-min guide and live-sweep STEP 1 all assumed a bootable app; sweep would have died on row 1. Built httpServer.ts (real binding, raw-body capture, 1MB limit, 413/500 never hangs), main.ts + bootFromEnv, npm run build/start, tsconfig.build.json; verified by booting the built artifact and curling /health. INT-F1 CRITICAL: recordNudge/UsageCycle — the v014 F-005 fix itself — was called by NOTHING, so nudgesPerMonth was still unenforceable in the running product. INT-F2 CRITICAL: sealToken/encryptField (ST-066) had no callers — refresh tokens plaintext while SECURITY_EVIDENCE claimed sealing (evidence-integrity correction appended, not silently edited). INT-F3: authorize()/can() guarded no entry point (role matrix decorative). INT-F5: read_only after grace blocked nothing though the pricing page promises it. All wired through a new composition root src/app.ts with requireWrite + requirePermission gates; reads deliberately stay open. 22 suites / 283 tests at 100% zero pragmas; two defensive-unreachable branches refactored into tested helpers rather than pragma'd. Lesson L-F1 logged</t>
  </si>
  <si>
    <t xml:space="preserve">v019</t>
  </si>
  <si>
    <t xml:space="preserve">2026-09-13 10:38</t>
  </si>
  <si>
    <t xml:space="preserve">COLD-REVIEW PASS 3 over the surfaces v018 itself created (OnCall L-OC4: a new surface inherits the old blind spots). F3-01 CRITICAL: NO OAUTH INSTALL ROUTES EXISTED — config requires OAUTH_REDIRECT_URI, the dev-org guide registers it with Xero and live-sweep STEP 2 expects the callback to land, but the app served only /health and /webhooks/xero; the install would have 404d. /auth/start + /auth/callback built with a new routeAsync, real 302 Location, verified over a socket. F3-02 CRITICAL: NOTHING DRAINED THE QUEUE — processQueue had no caller outside tests, so every accepted webhook ACKed 200 and evaporated (paid invoices never cancelled nudges); queue also unbounded. worker.ts built: bounded enqueue with shed counter, drainOnce, non-overlapping unref-ed loop. F3-03: OAuth CSRF state (single-use, 10-min TTL, FIFO-capped, constant-time). F3-04: /health leaked release + queue depth publicly -&gt; liveness public, detail behind operator token, verify-slot.sh updated. VERIFIED CLEAN: webhook dedupe already tenant-scoped (OnCall F-014/MeetSync M-F04 class N/A) — pinned with a two-tenant regression. R-F9 logged honestly: /auth/start 503s in the built binary because no real XeroOAuthClient exists (R-F4) — routing half closed, client half is the largest codeable work left, deliberately not half-built. 23 suites / 317 tests at 100% zero pragmas; live boot re-verified. Lesson L-F2</t>
  </si>
  <si>
    <t xml:space="preserve">v020</t>
  </si>
  <si>
    <t xml:space="preserve">2026-09-13 10:55</t>
  </si>
  <si>
    <t xml:space="preserve">PORTABLE REACHABILITY GATE (ported from TestPulse pass 5) + GAP-F2 + R-F9 CLOSED. Gate fails the build when a src export has no production caller — the exact blind spot behind INT-F1/INT-F2/F3-02, invisible to coverage because a module own tests execute every line. Three exemption lists with teeth: ENTRY_POINTS (process/platform boundaries, reasons containing later/todo/tbd/wire FAIL), SURFACES (per-export, named one at a time so a file-level pardon cannot hide future exports), KNOWN_GAPS (per-export, must cite a live RAID risk id). Wired into CI. FIRST RUN FOUND GAP-F2: THERE WAS NO SCHEDULER AT ALL — the daily nudge cycle never ran (headline feature had no driver), bank-feed polling never started (the entire D-F4 mechanism since Xero has no bank-txn webhook), dunning emails never sent, trials never expired, the 30-day purge never ran, limiter/state eviction never called. src/scheduler.ts built with per-tenant error isolation, all jobs routed through the v018 app gates. R-F10 fixed: requireTls existed since v014 and nothing called it — production could have served callbacks over plain http. clearInvoice wired to payment. Dead code I had written (statesMatch, sealToken, openToken) DELETED rather than exempted. R-F9 CLOSED: real Xero OAuth client (identity.xero.com/connect/token with Basic auth, api.xero.com/connections for tenantId, injected fetch, failures never echo the body, single-use code exchanged once via TenantResolver). 25 suites / 348 tests at 100% zero pragmas. Lesson L-F3</t>
  </si>
  <si>
    <t xml:space="preserve">v021</t>
  </si>
  <si>
    <t xml:space="preserve">2026-09-13 11:07</t>
  </si>
  <si>
    <t xml:space="preserve">R-F10 CLOSED (Xero accounting-API client) + PUBLISHED-CLAIMS GATE ported (second TestPulse pass-5 gate). src/xeroApi.ts: invoices, overdue receivables and bank transactions, every call through executeWithRateLimit (proactive 60/min + 5,000/day per VER-002) THEN callWithProtection (breaker + backoff) so a slow Xero cannot become a 429 storm; Xero /Date(...)/ parsing isolated and returning null never NaN (F-008 class) with unusable rows REPORTED as skipped not silently dropped; paging with a hard 50-page stop; my first draft double-fetched invoices and was fixed before testing because it would double-spend the org budget VER-002 protects. Scheduler prefers live data, falls back otherwise. CLAIMS GATE: 7 customer promises checked against backing code, and for policies BOTH the function and its driver. CRITICAL SELF-FINDING: the gate did NOT work when first written — deleting the purge driver still passed because purgeExpired remained in a header COMMENT; both gates now strip comments, pinned by test, and re-proved to fail with a message naming what broke for the customer. The stricter matching then immediately caught xeroApi.ts being unwired. 27 suites / 377 tests at 100% zero pragmas; both gates named individually in CI. Lesson L-F4: a gate you have never seen fail is not a gate</t>
  </si>
  <si>
    <t xml:space="preserve">v022</t>
  </si>
  <si>
    <t xml:space="preserve">2026-09-13 11:15</t>
  </si>
  <si>
    <t xml:space="preserve">COLD-REVIEW PASS 4 over the code v020/v021 wrote, run under the L-F2 standing rule. 4 defects, all mine, all from the last two sittings. F4-01 CRITICAL: ONLY THE FIRST TENANT WAS EVER POLLED — runBankPoll threaded one shared PollState through every tenant, so the first org set lastPolledAt and every later org pollDue returned false; every customer but one had NO bank-feed anomaly alerts. Same multi-tenancy class as OnCall F-014 / MeetSync M-F04 — written into new code the day after reading about it. Fixed with per-tenant PollStates. F4-02: the dunning counter advanced by mutating the object tenants() returned — a store-backed getter returning fresh objects would lose it and resend the same email hourly forever; explicit persistence callback added. F4-03: every 15-minute poll fetched ALL bank history and filtered client-side — up to ~4,800 calls/day for one org against the 5,000/day budget VER-002 exists to protect; If-Modified-Since filter added. F4-04: a failed drain destroyed its batch (spliced before processing, already ACKed to Xero so no redelivery would heal); batch now restored to the queue front on throw. Regressions PROVED by reintroducing F4-01 (3 fail, then pass). 28 suites / 388 tests at 100% zero pragmas. Lesson L-F5</t>
  </si>
  <si>
    <t xml:space="preserve">v023</t>
  </si>
  <si>
    <t xml:space="preserve">2026-09-13 11:20</t>
  </si>
  <si>
    <t xml:space="preserve">TENANT-ISOLATION GATE built and wired into CI — third portable gate, written because F4-01 proved L-F5 (knowing a defect class does not stop you writing it). Rule: inside a loop over tenants, a variable declared OUTSIDE the loop may not be both assigned and read within the body — that is tenant N deciding tenant N+1 behaviour. Pure accumulators (count += 1, arr.push) exempt as write-only. THE GATE WAS BROKEN TWICE BEFORE IT WORKED, and that is the report: run against the real scheduler.ts with F4-01 reintroduced it PASSED twice — (1) read-detection stripped whole assignment statements, erasing the self-referential x = f(x) carry which is precisely the shape it exists to catch; (2) loop offsets used source.indexOf(line), which returns the FIRST match, and scheduler.ts has three identical tenant-loop headers so two loops were never analysed at all. Both fixed; only then does the reintroduced defect fail the gate, naming the leaked variable. 29 suites / 394 tests at 100% zero pragmas; three gates now green and named individually in CI. Lesson L-F6: a broken static gate does not complain, it approves — the fixture test passed from the first run while the gate was blind</t>
  </si>
  <si>
    <t xml:space="preserve">v024</t>
  </si>
  <si>
    <t xml:space="preserve">2026-09-13 11:54</t>
  </si>
  <si>
    <t xml:space="preserve">GATE AUDIT — acting on the L-F6 recommendation that the reachability and published-claims gates had only ever been proved against fixtures. Each was run against the REAL source file with the ORIGINAL defect it exists to catch reintroduced. BOTH FAILED, both for the same reason. HOLE-1 reachability: unwiring recordNudge from the send path (the INT-F1 defect) left the gate GREEN because the now-unused import satisfied the caller search — the gate would have reported a fully wired product while the plan limit went unenforced again. Fixed by stripping imports from the caller search, keeping two deliberate views since the module-import check needs import lines. HOLE-2 claims gate: gutting the encryption call (the INT-F2 defect) left the gate GREEN because import { encryptField } matched the claim pattern while the storage path stored plaintext. Fixed the same way; re-proved to fail with claim id, document and customer impact. Known limits documented rather than hidden: dead clusters flagged at the root not per member; file-level ENTRY_POINTS pardon every export in that module (the first probe proved nothing because it ran in an exempt file); all three gates are text lints not AST analysis. 29 suites / 395 tests at 100% zero pragmas; all three gates now proved against reintroduced real defects. Lesson L-F7</t>
  </si>
  <si>
    <t xml:space="preserve">v025</t>
  </si>
  <si>
    <t xml:space="preserve">2026-09-13 11:58</t>
  </si>
  <si>
    <t xml:space="preserve">PORTABLE GATE PACK + PROOF HARNESS (gates/prove-gates.js, npm run prove:gates, now in CI). Addresses the portfolio open item "port gates to the other products", which L-F7 made dangerous rather than merely pending: a ported gate arrives GREEN, and green means nothing — four of the gates built here were silently permissive on their first green run. For each gate the harness takes a REAL source file, applies a mutation reintroducing the REAL defect that gate exists to catch (INT-F1 unwire recordNudge, INT-F2 gut encryption, F4-01 shared PollState), runs the gate and REQUIRES IT TO FAIL, always restoring the file; non-zero exit if any gate stays green under its own defect. All three currently PROVED. The harness is META-PROVED: reintroducing HOLE-1 makes it report BROKEN and exit 1. It also reports STALE when a mutation anchor no longer exists, so a silently non-applying mutation cannot pass quietly. gates/README.md carries porting steps — empty every exemption list first (expect 15-40 first-run hits), write mutations from defects that ACTUALLY happened in that product (an invented mutation re-tests the author assumptions, the trap the fixtures fell into), and DO NOT wire a gate into CI until the harness prints PROVED. Honest limits documented: text lints not AST, dead clusters flagged at root, file-level exemptions coarse. 29 suites / 395 tests at 100% zero pragmas. Lesson L-F8</t>
  </si>
  <si>
    <t xml:space="preserve">v026</t>
  </si>
  <si>
    <t xml:space="preserve">2026-09-13 12:03</t>
  </si>
  <si>
    <t xml:space="preserve">AS-BUILT VERIFICATION + SENTHIL_HANDOVER sheet. No code change this release. As-built audit compared story statuses against what the code actually did: 7 stories (ST-022, ST-024, ST-041, ST-042, ST-044, ST-060, ST-061) had sat at DONE while the behaviour had no driver or no enforcement — the nudge cycle never ran until v020, plan limits were unenforced on the send path until v018, read-only enforced nowhere until v018, dunning emails never sent until v020, bank polling ran for only ONE org until v022. All are true as built TODAY; each row now carries a dated as-built note naming the release that actually made it true, rather than leaving the record implying it was true all along. Story counts unchanged and verified against Full_Backlog: 77 Done / 16 code-complete pending live / 2 in progress / 5 drafted = 100. New Senthil_Handover sheet consolidates all 12 remaining items — none codeable — ordered by leverage with why-blocked, what-it-unlocks, effort and lead time</t>
  </si>
  <si>
    <t xml:space="preserve">v027</t>
  </si>
  <si>
    <t xml:space="preserve">2026-09-13 16:24</t>
  </si>
  <si>
    <t xml:space="preserve">GAP-F3 CLOSED — PERSISTENCE LAYER. Every durable thing lived in a process-memory Map (tokens, usage cycles, nudge history, dunning counters, poll state, deletion schedules). Harmless while nothing could run; NOT harmless once the product gained a boot path (v018) and a deploy pipeline (v017), because BLUE/GREEN RESTARTS THE PROCESS BY DESIGN. Every release would have dropped all tokens (forcing every tenant to reinstall), reset usage counters (fresh 50 nudges — undoing F-005/INT-F1), cleared nudge history (re-chasing every customer — undoing F-006), reset dunning counters (undoing F4-02), and lost deletion schedules (the published 30-day policy never firing — undoing F-007/GAP-F2). Six earlier fixes silently reverted on every deploy, and NO gate could see it. Shipped: 6 ordered idempotent migrations with ON DELETE CASCADE from tenants (the F-007 policy in the schema, not in code that can forget); a narrow Repository seam with in-memory and Postgres implementations tested through the SAME shared suite so they cannot drift; real pooled pg driver with SSL off-localhost; app.hydrate() rebuilding tenant state on boot; graceful SIGTERM/SIGINT shutdown draining server and pool; /health now reports durableStore so operators can SEE whether state survives. The reachability gate failed the build TWICE on code from this same sitting — the layer was unwired from boot (the INT-F1 shape, caught in minutes not sittings), and closePool had no caller which surfaced that graceful shutdown did not exist. Restart-survival proof: two app instances over one store — the second still reports 50 used, still refuses the 51st, still holds the history. 30 suites / 433 tests at 100% zero pragmas; gates still proved. DATABASE_URL joins the live queue. Lesson L-F10</t>
  </si>
  <si>
    <t xml:space="preserve">v028</t>
  </si>
  <si>
    <t xml:space="preserve">2026-09-13 16:38</t>
  </si>
  <si>
    <t xml:space="preserve">ENVIRONMENT-ASSUMPTIONS REVIEW (acting on L-F10: what does this code believe about the world that no test asserts?). 3 findings, all broken by the deploy model this codebase already ships. ENV-1 CRITICAL: startScheduler assumed EXACTLY ONE PROCESS. Blue/green runs BOTH colours during a switch and scaling runs N — so every overdue customer received N NUDGES THE SAME DAY (the duplicate chasing F-006 exists to prevent, reintroduced by deployment not logic), plus N dunning emails, N bank polls against the 5,000/day budget, and N purge runs racing the same rows. Fixed with a Postgres advisory lock, re-checked per tick so a follower promotes itself when the leader dies. ENV-2 CRITICAL: accepted webhook events sat in memory, but fast-ack tells Xero 200 and Xero NEVER redelivers — a restart between ack and drain destroyed them permanently and silently, the exact failure the redelivery-heals design was built to avoid. Now persisted before the ACK with boot recovery and FOR UPDATE SKIP LOCKED draining; the ingest buffer has no FK by design so deleteTenant clears it explicitly, else the 30-day policy leaks through it. ENV-3 Major: business hours were documented local but computed in UTC — the published 4-business-hour SLA was simply wrong for any non-UTC desk (an India team had deadlines against a day ending 22:30 local). utcOffsetMinutes now explicit; DST deliberately out of scope as OBS-003. /health now reports durableStore AND singleWriter so operators see what is actually guaranteed. OBS-004 logged not fixed: webhook-driven rate limiting stays per-process (needs a decision on per-call round-trip cost). 31 suites / 453 tests at 100% zero pragmas; gates still proved. Lesson L-F11</t>
  </si>
  <si>
    <t xml:space="preserve">v029</t>
  </si>
  <si>
    <t xml:space="preserve">2026-09-13 16:47</t>
  </si>
  <si>
    <t xml:space="preserve">OPS-ARTIFACT REVIEW — applying the L-F11 method (read one artifact against another) to the operational artifacts vs the database that only started existing two releases ago. OPS-1 CRITICAL: THE DEPLOY PIPELINE NEVER RAN MIGRATIONS — any release adding one would deploy code whose queries hit tables that do not exist. OPS-3 CRITICAL: /health answers from MEMORY and that is what gated the switch, so a slot with a wrong/unreachable/unmigrated DATABASE_URL reported ok:true, passed verify-slot.sh and would have been handed live traffic. The two COMPOUND: OPS-1 breaks the slot, OPS-3 certifies it anyway. Fixed: migrations run before the slot starts; new /ready probes the store and verify-slot.sh requires it. OPS-2 Major: blue/green runs TWO releases against ONE database and rollback re-points to the old colour AFTER the new schema is applied — nothing enforced that schema changes were safe for a still-running previous release. Fourth gate added (migrationSafetyGate): migrations may only ADD, removals are a separate later release citing the release that dropped the last reader; the runbook now states the rollback contract explicitly instead of implying it. Backup drill made concrete: names all 8 real tables, checks schema_migrations matches the restored release, and checks refresh_token_sealed is STILL SEALED in the restore. 33 suites / 465 tests at 100% zero pragmas; four gates in CI, the three older ones still proved; live boot returns ready:true. Lesson L-F12</t>
  </si>
  <si>
    <t xml:space="preserve">v030</t>
  </si>
  <si>
    <t xml:space="preserve">2026-09-13 16:52</t>
  </si>
  <si>
    <t xml:space="preserve">CHAOS REVIEW — re-running the L-F12 pairing against the newest subsystem: the degradation artifacts were written when XERO WAS THE ONLY DEPENDENCY, and Postgres has been in every request path for three releases. CHAOS-1 CRITICAL: two void-promise calls sat on the database path, one on the WEBHOOK FAST-ACK ROUTE. Since Node 15 an unhandled rejection TERMINATES THE PROCESS — verified on this runtime (node v22) with a three-line script: the process died. A transient Postgres error during ordinary webhook traffic would not have degraded FlowCast, it would have KILLED it, on every instance sharing that database simultaneously (both blue/green colours), leaving the router nothing to fall back to. Fixed: both sites run through safely() which counts and reports but always resolves; process guards report unhandled rejections while the service continues and drain deliberately on uncaught exceptions; 3+ clustered failures surface as store:degraded on /ready. Pinned by a test sending a signed webhook to a store that fails every write — the route still returns 200 empty, the event is held, the failure counted. CHAOS-2 Major: the chaos runbook only knew about Xero; extended with a database-outage drill stating expected behaviour per path, every row backed by a test rather than an intention. 35 suites / 478 tests at 100% zero pragmas; two defensive-unreachable fallbacks removed rather than pragma-suppressed; gates still proved; live boot ready:true. Lesson L-F13: void promise is the quietest way to write a crash</t>
  </si>
  <si>
    <t xml:space="preserve">v031</t>
  </si>
  <si>
    <t xml:space="preserve">2026-09-13 17:23</t>
  </si>
  <si>
    <t xml:space="preserve">CRITICAL-PATH DOCUMENT REVIEW. The pen-test vendor scopes from SECURITY_EVIDENCE.md and the external reviewer (ST-097) works from REVIEW_PACK.md — both written at v014, before the HTTP app, OAuth client, accounting client, scheduler, persistence layer, leader lock and resilience layer existed. Measured against source: the security pack mentioned the database ZERO times; the review pack mentioned ONE of the eight newest modules. The two people most likely to find something would have been handed a map of a product that no longer exists, and the pen-test would have been scoped without the component holding the tokens. SEC-1: data-store section added, separating what is verifiable in CODE (tokens sealed before the store, TLS off-localhost, cascade deletion, additive-only migrations, no committed secrets) from OPERATOR responsibilities code cannot assert (volume encryption, least-privilege DB user, backup encryption, DATABASE_URL in the secret manager, network reachability) — plus a vendor scope note. SEC-2 CODE FIX: failure text is written to stderr and held in state, and driver errors can carry the connection string INCLUDING THE PASSWORD; redactSecrets now strips user:pass@host, password=/api_key= pairs and bearer tokens. Three security claims added to the published-claims gate, one requiring the redactor to be CALLED not merely present — proved to fail when the call is removed. REV-1: review pack rewritten with current entry points, per-module what-to-challenge, review order by consequence, and an instruction to DISTRUST the gates (four shipped green while silently permissive). PERF-1: latency budgets predated every DB round trip — table added plus an instruction to re-baseline. Caught mistake recorded honestly: the rewritten review pack first claimed 494 tests when the real number was 482 — a figure written from memory into a document whose whole purpose is to be trusted by an outsider; corrected to a form that cannot go stale. 35 suites / 485 tests at 100% zero pragmas; gates proved. Lesson L-F14</t>
  </si>
  <si>
    <t xml:space="preserve">v032</t>
  </si>
  <si>
    <t xml:space="preserve">2026-09-13 17:29</t>
  </si>
  <si>
    <t xml:space="preserve">DOC-FRESHNESS GATE (fifth gate) — closing L-F14 mechanically. That lesson ended with three claims gate-enforced and "the rest rely on someone looking", which is exactly what failed: the reviewer pack went 13 releases out of date on the critical path because nobody inside needs to read it. Rule: a document written for an OUTSIDER must acknowledge the parts of the system it claims to describe — if a module exists and its map has never heard of it, the build fails, so a subsystem cannot ship without the reviewer and pen-tester maps being updated in the same change. Each covered document records its AUDIENCE in the gate, so a failure names who is affected. Exemptions are per-module with reasons; "later/todo/tbd/for now" fails because that phrasing IS the decay. IT FIRED ON FIRST RUN, on documents rewritten six minutes earlier: the v031 rewrite added the eight newest subsystems but silently omitted the original feature modules, and the security pack described "the database" in prose without ever naming db or pg. Both completed — per-module what-to-challenge tables and a vendor module map to scope against by name. The harness then caught a WEAK MUTATION not a weak gate: the first proof deleted one of two leaderLock mentions and the gate rightly stayed green; re-pointed at a module mentioned once, it fails as intended. 36 suites / 492 tests at 100% zero pragmas; five gates in CI, four provable ones all PROVED. Lesson L-F15</t>
  </si>
  <si>
    <t xml:space="preserve">v033</t>
  </si>
  <si>
    <t xml:space="preserve">2026-09-13 18:48</t>
  </si>
  <si>
    <t xml:space="preserve">ASYNC-OWNERSHIP GATE (sixth, and the last derived from a shipped defect) + REVIEW PLAYBOOK. A real defect found first: the worker tick called drainOnce with no catch, and drainOnce RETHROWS after re-queuing (F4-04) — so every store or sink failure produced an unhandled rejection that the degradation counter never saw and /ready never showed. The process guards stopped it being fatal, but it was invisible. Both that and the SIGTERM shutdown call now have owners; shutdown failures are reported with credentials redacted. Sixth gate: a promise started and not awaited must have an owner (safely(), or an explicit .catch). Only resilience.ts is exempt — it IS the owner of last resort and cannot wrap itself. Proved against the exact CHAOS-1 shape; all five provable gates now print PROVED. REVIEW PLAYBOOK written (gates/REVIEW_PLAYBOOK.md): the eight review passes in the order that proved productive — cold review by module, external verification sweep, artifact-gap audit, integration audit, review-the-previous-session, environment assumptions, artifact pairing, outsider-first document review — plus the rules learned the hard way and how to run them on another product. ~40 defects were found in code that was already at 100% coverage with zero backlog; the gates catch recurrence, the passes find what nobody has thought of yet. 36 suites / 500 tests at 100% zero pragmas; six gates in CI. Recommendation recorded: this is a natural stopping point for sandbox work</t>
  </si>
  <si>
    <t xml:space="preserve">v034</t>
  </si>
  <si>
    <t xml:space="preserve">PLANNED: opens on live evidence (dev org + DATABASE_URL) or dispositions — no further sandbox sprints recommended</t>
  </si>
  <si>
    <t xml:space="preserve">Planned</t>
  </si>
  <si>
    <t xml:space="preserve">FlowCast — 13-week cash forecast, scenario planning, invoice-chasing nudges for SMB owners and their accountants</t>
  </si>
  <si>
    <t xml:space="preserve">PLATFORM: Xero App Store | CATEGORY: Cash Flow Forecasting</t>
  </si>
  <si>
    <t xml:space="preserve">PROBLEM: Float/Fathom serve accountants; owner-facing simple forecasting still underserved at low price points</t>
  </si>
  <si>
    <t xml:space="preserve">DIFFERENTIATION: Plain-language forecast, WhatsApp/email nudge integration, accountant multi-client view</t>
  </si>
  <si>
    <t xml:space="preserve">ICP: SMBs 1-50 staff on Xero + their accountants/bookkeepers (multi-client)</t>
  </si>
  <si>
    <t xml:space="preserve">HOW TO USE: Full_Backlog is the single source of truth (edit Status column during execution). Sprint_Board recalculates points per sprint automatically. Financial_Model assumptions (yellow) are editable — the 18-month build recalculates. Launch_Checklist is the platform-specific gate before submission. All costs/timelines are market-standard estimates; verify platform terms (fees/review rules) during S0.</t>
  </si>
  <si>
    <t xml:space="preserve">STACK ASSUMPTION (market standard): TypeScript/Node or platform-mandated runtime, React frontends, Postgres, hosted on AWS/GCP/platform FaaS as required, GitHub Actions CI, PostHog + Sentry telemetry, Intercom-class support.</t>
  </si>
  <si>
    <t xml:space="preserve">FLOWCAST — EVERYTHING BLOCKED ON SENTHIL (as of 13 Sep 2026 12:03, workbook v026)</t>
  </si>
  <si>
    <t xml:space="preserve">Ordered by leverage: external lead times first (they queue while you do everything else), then same-day unlocks, then decisions, then post-launch.</t>
  </si>
  <si>
    <t xml:space="preserve">#</t>
  </si>
  <si>
    <t xml:space="preserve">Item</t>
  </si>
  <si>
    <t xml:space="preserve">Why it is blocked on you</t>
  </si>
  <si>
    <t xml:space="preserve">What it unlocks</t>
  </si>
  <si>
    <t xml:space="preserve">Effort</t>
  </si>
  <si>
    <t xml:space="preserve">Lead time</t>
  </si>
  <si>
    <t xml:space="preserve">Type</t>
  </si>
  <si>
    <t xml:space="preserve">Xero dev org + app registration</t>
  </si>
  <si>
    <t xml:space="preserve">Needs your Xero account; scopes, webhook key and redirect URI come from it. ALSO NOW: a Postgres DATABASE_URL — since v027 tenant state is durable, and without the database the app falls back to memory (visible as durableStore:false on /health)</t>
  </si>
  <si>
    <t xml:space="preserve">THE big one: the 12-step live sweep, which flips 16 code-complete stories to Done. Step 1 is now npm ci &amp;&amp; npm run build &amp;&amp; npm run migrate &amp;&amp; npm start</t>
  </si>
  <si>
    <t xml:space="preserve">~30 min</t>
  </si>
  <si>
    <t xml:space="preserve">Same day</t>
  </si>
  <si>
    <t xml:space="preserve">External access</t>
  </si>
  <si>
    <t xml:space="preserve">Pen-test vendor engagement</t>
  </si>
  <si>
    <t xml:space="preserve">Vendor selection and budget are yours; it is the external half of ST-068</t>
  </si>
  <si>
    <t xml:space="preserve">Security evidence pack completion → Xero App Partner certification (LC-5)</t>
  </si>
  <si>
    <t xml:space="preserve">Email + scoping</t>
  </si>
  <si>
    <t xml:space="preserve">2-4 weeks</t>
  </si>
  <si>
    <t xml:space="preserve">External vendor</t>
  </si>
  <si>
    <t xml:space="preserve">External second reviewer (REVIEW_PACK.md)</t>
  </si>
  <si>
    <t xml:space="preserve">Same-AI review is not independent; ST-097 stays In progress until a human or different AI signs off</t>
  </si>
  <si>
    <t xml:space="preserve">Submission dry-run credibility; independent check on ~30 findings I both made and fixed</t>
  </si>
  <si>
    <t xml:space="preserve">2-3 hrs of their time</t>
  </si>
  <si>
    <t xml:space="preserve">Days</t>
  </si>
  <si>
    <t xml:space="preserve">External person</t>
  </si>
  <si>
    <t xml:space="preserve">Xero App Store partner application</t>
  </si>
  <si>
    <t xml:space="preserve">Your company details and bank/tax info</t>
  </si>
  <si>
    <t xml:space="preserve">In-store subscription billing (ST-059); sweep step 9 test purchase. NOTE: App Store Subscriptions confirmed for UK/AU/NZ; re-check current region list at onboarding</t>
  </si>
  <si>
    <t xml:space="preserve">~1 hr</t>
  </si>
  <si>
    <t xml:space="preserve">1-3 weeks</t>
  </si>
  <si>
    <t xml:space="preserve">External queue</t>
  </si>
  <si>
    <t xml:space="preserve">F-001..F-009, INT-F1..F5, VER-001..003, F3-01..04, F4-01..04, HOLE-1/2 dispositions</t>
  </si>
  <si>
    <t xml:space="preserve">~30 findings in the Review_Findings sheet are all fixed but marked Pending your disposition — you may disagree with a fix or want one reverted</t>
  </si>
  <si>
    <t xml:space="preserve">Closes the review record; anything you reject, I change</t>
  </si>
  <si>
    <t xml:space="preserve">~45 min reading</t>
  </si>
  <si>
    <t xml:space="preserve">—</t>
  </si>
  <si>
    <t xml:space="preserve">Decision</t>
  </si>
  <si>
    <t xml:space="preserve">OBS-001 / OBS-002 dispositions</t>
  </si>
  <si>
    <t xml:space="preserve">Logged no-fix deliberately: no backoff jitter (retry herds) and unlimited half-open breaker probes. Both are judgement calls on launch traffic</t>
  </si>
  <si>
    <t xml:space="preserve">Either accept as-is for launch or I build them</t>
  </si>
  <si>
    <t xml:space="preserve">~10 min</t>
  </si>
  <si>
    <t xml:space="preserve">Listing copy A/B pick</t>
  </si>
  <si>
    <t xml:space="preserve">Two full drafts exist (listing-copy-A.md, listing-copy-B.md); the choice is positioning, which is yours</t>
  </si>
  <si>
    <t xml:space="preserve">ST-093; listing submission</t>
  </si>
  <si>
    <t xml:space="preserve">~20 min</t>
  </si>
  <si>
    <t xml:space="preserve">D-F6 chat vendor ratification</t>
  </si>
  <si>
    <t xml:space="preserve">The built-in chat + 4-business-hour SLA engine works, so a vendor is OPTIONAL — a later transport swap, not a launch blocker</t>
  </si>
  <si>
    <t xml:space="preserve">Formally closes ST-081</t>
  </si>
  <si>
    <t xml:space="preserve">~5 min</t>
  </si>
  <si>
    <t xml:space="preserve">D15 portfolio sequencing</t>
  </si>
  <si>
    <t xml:space="preserve">Open since 10 Sep across all products: parallel builds vs strict WIN order</t>
  </si>
  <si>
    <t xml:space="preserve">Affects whether FlowCast launches before the rank-1..11 products</t>
  </si>
  <si>
    <t xml:space="preserve">Screenshot/video capture</t>
  </si>
  <si>
    <t xml:space="preserve">Needs the app running against a real org with real data — i.e. item 1 first</t>
  </si>
  <si>
    <t xml:space="preserve">ST-094; listing assets</t>
  </si>
  <si>
    <t xml:space="preserve">~2 hrs</t>
  </si>
  <si>
    <t xml:space="preserve">After item 1</t>
  </si>
  <si>
    <t xml:space="preserve">Post-dev-org</t>
  </si>
  <si>
    <t xml:space="preserve">Design-partner outreach</t>
  </si>
  <si>
    <t xml:space="preserve">The 10-slot tracker with honest exit math is built and empty; sending the emails is yours</t>
  </si>
  <si>
    <t xml:space="preserve">ST-100; the G-02 gate needs 10 PAYING strangers — reviews do not count</t>
  </si>
  <si>
    <t xml:space="preserve">Weeks</t>
  </si>
  <si>
    <t xml:space="preserve">Post-launch</t>
  </si>
  <si>
    <t xml:space="preserve">Port the gate pack to other products</t>
  </si>
  <si>
    <t xml:space="preserve">gates/README.md + npm run prove:gates are ready; which products get them is a portfolio call</t>
  </si>
  <si>
    <t xml:space="preserve">Would catch the same defect classes in the other 10 builds — but competes with getting this one live</t>
  </si>
  <si>
    <t xml:space="preserve">~1 hr each</t>
  </si>
  <si>
    <t xml:space="preserve">Nothing on this list is codeable in the sandbox. FlowCast code is 29 suites / 395 tests at 100% coverage, zero pragmas, three proved gates in CI, and boots end to end (npm start → /health → signed webhook).</t>
  </si>
  <si>
    <t xml:space="preserve">PRODUCT SPEC</t>
  </si>
  <si>
    <t xml:space="preserve">Module (feature)</t>
  </si>
  <si>
    <t xml:space="preserve">Scope in MVP</t>
  </si>
  <si>
    <t xml:space="preserve">Out of scope (v1)</t>
  </si>
  <si>
    <t xml:space="preserve">Non-functional requirements</t>
  </si>
  <si>
    <t xml:space="preserve">13-week forecast engine</t>
  </si>
  <si>
    <t xml:space="preserve">13-week forecast engine: end-to-end happy path + edge cases + permissions</t>
  </si>
  <si>
    <t xml:space="preserve">Advanced automation, AI beyond listed, multi-language beyond launch set</t>
  </si>
  <si>
    <t xml:space="preserve">p95 &lt;500ms API / &lt;2s UI loads</t>
  </si>
  <si>
    <t xml:space="preserve">Scenario sliders</t>
  </si>
  <si>
    <t xml:space="preserve">Scenario sliders: end-to-end happy path + edge cases + permissions</t>
  </si>
  <si>
    <t xml:space="preserve">99.5% monthly uptime</t>
  </si>
  <si>
    <t xml:space="preserve">Invoice chase nudges</t>
  </si>
  <si>
    <t xml:space="preserve">Invoice chase nudges: end-to-end happy path + edge cases + permissions</t>
  </si>
  <si>
    <t xml:space="preserve">WCAG AA</t>
  </si>
  <si>
    <t xml:space="preserve">Accountant portal</t>
  </si>
  <si>
    <t xml:space="preserve">Accountant portal: end-to-end happy path + edge cases + permissions</t>
  </si>
  <si>
    <t xml:space="preserve">SOC2-track controls</t>
  </si>
  <si>
    <t xml:space="preserve">Bank-feed anomaly alerts</t>
  </si>
  <si>
    <t xml:space="preserve">Bank-feed anomaly alerts: end-to-end happy path + edge cases + permissions</t>
  </si>
  <si>
    <t xml:space="preserve">Rate-limit safe (backoff+queue)</t>
  </si>
  <si>
    <t xml:space="preserve">Persona</t>
  </si>
  <si>
    <t xml:space="preserve">Jobs-to-be-done</t>
  </si>
  <si>
    <t xml:space="preserve">SMB owner</t>
  </si>
  <si>
    <t xml:space="preserve">Anxiety about cash; wants traffic-light simplicity</t>
  </si>
  <si>
    <t xml:space="preserve">Accountant partner</t>
  </si>
  <si>
    <t xml:space="preserve">Advisory revenue tool across client base</t>
  </si>
  <si>
    <t xml:space="preserve">Bookkeeper</t>
  </si>
  <si>
    <t xml:space="preserve">Data hygiene; bank-feed exceptions</t>
  </si>
  <si>
    <t xml:space="preserve">SCREEN INVENTORY (attach Figma links in col E during S0)</t>
  </si>
  <si>
    <t xml:space="preserve">Screen</t>
  </si>
  <si>
    <t xml:space="preserve">Purpose</t>
  </si>
  <si>
    <t xml:space="preserve">Key elements</t>
  </si>
  <si>
    <t xml:space="preserve">Wireframe link</t>
  </si>
  <si>
    <t xml:space="preserve">Onboarding / first-run</t>
  </si>
  <si>
    <t xml:space="preserve">Reach aha in &lt;1 day</t>
  </si>
  <si>
    <t xml:space="preserve">Checklist, sample data toggle, connect steps</t>
  </si>
  <si>
    <t xml:space="preserve">Home dashboard</t>
  </si>
  <si>
    <t xml:space="preserve">Daily habit surface</t>
  </si>
  <si>
    <t xml:space="preserve">KPI cards, activity feed, alerts</t>
  </si>
  <si>
    <t xml:space="preserve">13-week forecast engine workspace</t>
  </si>
  <si>
    <t xml:space="preserve">Core value surface</t>
  </si>
  <si>
    <t xml:space="preserve">List+detail, bulk actions, status chips</t>
  </si>
  <si>
    <t xml:space="preserve">Scenario sliders builder</t>
  </si>
  <si>
    <t xml:space="preserve">Configure second pillar</t>
  </si>
  <si>
    <t xml:space="preserve">Rule builder, preview, test mode</t>
  </si>
  <si>
    <t xml:space="preserve">Invoice chase nudges view</t>
  </si>
  <si>
    <t xml:space="preserve">Differentiator surface</t>
  </si>
  <si>
    <t xml:space="preserve">Timeline/visual, export</t>
  </si>
  <si>
    <t xml:space="preserve">Settings &amp; team</t>
  </si>
  <si>
    <t xml:space="preserve">Roles, notifications, data</t>
  </si>
  <si>
    <t xml:space="preserve">Role matrix, API keys, danger zone</t>
  </si>
  <si>
    <t xml:space="preserve">Billing</t>
  </si>
  <si>
    <t xml:space="preserve">Plan/trial/invoices</t>
  </si>
  <si>
    <t xml:space="preserve">Plan cards, usage meter, invoices</t>
  </si>
  <si>
    <t xml:space="preserve">Analytics</t>
  </si>
  <si>
    <t xml:space="preserve">Prove ROI</t>
  </si>
  <si>
    <t xml:space="preserve">Funnel, cohort, export</t>
  </si>
  <si>
    <t xml:space="preserve">Help &amp; support</t>
  </si>
  <si>
    <t xml:space="preserve">Deflect + assist</t>
  </si>
  <si>
    <t xml:space="preserve">Search, chat, status</t>
  </si>
  <si>
    <t xml:space="preserve">FULL BACKLOG</t>
  </si>
  <si>
    <t xml:space="preserve">As-built verification (13 Sep 12:03)</t>
  </si>
  <si>
    <t xml:space="preserve">ID</t>
  </si>
  <si>
    <t xml:space="preserve">Epic</t>
  </si>
  <si>
    <t xml:space="preserve">Story</t>
  </si>
  <si>
    <t xml:space="preserve">Points</t>
  </si>
  <si>
    <t xml:space="preserve">Priority</t>
  </si>
  <si>
    <t xml:space="preserve">Sprint</t>
  </si>
  <si>
    <t xml:space="preserve">ST-001</t>
  </si>
  <si>
    <t xml:space="preserve">F1</t>
  </si>
  <si>
    <t xml:space="preserve">As a SMB owner, I can set up 13-week forecast engine with sensible defaults in one screen</t>
  </si>
  <si>
    <t xml:space="preserve">P0</t>
  </si>
  <si>
    <t xml:space="preserve">S2</t>
  </si>
  <si>
    <t xml:space="preserve">Done</t>
  </si>
  <si>
    <t xml:space="preserve">ST-002</t>
  </si>
  <si>
    <t xml:space="preserve">As a SMB owner, the 13-week forecast engine happy path completes without documentation</t>
  </si>
  <si>
    <t xml:space="preserve">ST-003</t>
  </si>
  <si>
    <t xml:space="preserve">As a Accountant partner, I can customise 13-week forecast engine rules/conditions for my workflow</t>
  </si>
  <si>
    <t xml:space="preserve">P1</t>
  </si>
  <si>
    <t xml:space="preserve">ST-004</t>
  </si>
  <si>
    <t xml:space="preserve">As a user, 13-week forecast engine shows clear errors and retry paths on platform API failures</t>
  </si>
  <si>
    <t xml:space="preserve">ST-005</t>
  </si>
  <si>
    <t xml:space="preserve">As a Bookkeeper, 13-week forecast engine works on the web app with Xero deep links + accountant portal surface end-to-end</t>
  </si>
  <si>
    <t xml:space="preserve">S3</t>
  </si>
  <si>
    <t xml:space="preserve">ST-006</t>
  </si>
  <si>
    <t xml:space="preserve">As a Accountant partner, I can see 13-week forecast engine performance metrics and trends</t>
  </si>
  <si>
    <t xml:space="preserve">ST-007</t>
  </si>
  <si>
    <t xml:space="preserve">As a user, 13-week forecast engine respects role permissions and audit logging</t>
  </si>
  <si>
    <t xml:space="preserve">ST-008</t>
  </si>
  <si>
    <t xml:space="preserve">As a SMB owner, I can pause/disable 13-week forecast engine without data loss</t>
  </si>
  <si>
    <t xml:space="preserve">P2</t>
  </si>
  <si>
    <t xml:space="preserve">ST-009</t>
  </si>
  <si>
    <t xml:space="preserve">As a Accountant partner, I can import/migrate existing data into 13-week forecast engine (CSV + competitor importer)</t>
  </si>
  <si>
    <t xml:space="preserve">ST-010</t>
  </si>
  <si>
    <t xml:space="preserve">As a user, I get notifications (in-app + email) for key 13-week forecast engine events with per-type mute</t>
  </si>
  <si>
    <t xml:space="preserve">ST-011</t>
  </si>
  <si>
    <t xml:space="preserve">F2</t>
  </si>
  <si>
    <t xml:space="preserve">As a SMB owner, I can set up Scenario sliders with sensible defaults in one screen</t>
  </si>
  <si>
    <t xml:space="preserve">ST-012</t>
  </si>
  <si>
    <t xml:space="preserve">As a SMB owner, the Scenario sliders happy path completes without documentation</t>
  </si>
  <si>
    <t xml:space="preserve">ST-013</t>
  </si>
  <si>
    <t xml:space="preserve">As a Accountant partner, I can customise Scenario sliders rules/conditions for my workflow</t>
  </si>
  <si>
    <t xml:space="preserve">ST-014</t>
  </si>
  <si>
    <t xml:space="preserve">As a user, Scenario sliders shows clear errors and retry paths on platform API failures</t>
  </si>
  <si>
    <t xml:space="preserve">ST-015</t>
  </si>
  <si>
    <t xml:space="preserve">As a Bookkeeper, Scenario sliders works on the web app with Xero deep links + accountant portal surface end-to-end</t>
  </si>
  <si>
    <t xml:space="preserve">S4</t>
  </si>
  <si>
    <t xml:space="preserve">ST-016</t>
  </si>
  <si>
    <t xml:space="preserve">As a Accountant partner, I can see Scenario sliders performance metrics and trends</t>
  </si>
  <si>
    <t xml:space="preserve">ST-017</t>
  </si>
  <si>
    <t xml:space="preserve">As a user, Scenario sliders respects role permissions and audit logging</t>
  </si>
  <si>
    <t xml:space="preserve">ST-018</t>
  </si>
  <si>
    <t xml:space="preserve">As a SMB owner, I can pause/disable Scenario sliders without data loss</t>
  </si>
  <si>
    <t xml:space="preserve">ST-019</t>
  </si>
  <si>
    <t xml:space="preserve">As a Accountant partner, I can import/migrate existing data into Scenario sliders (CSV + competitor importer)</t>
  </si>
  <si>
    <t xml:space="preserve">ST-020</t>
  </si>
  <si>
    <t xml:space="preserve">As a user, I get notifications (in-app + email) for key Scenario sliders events with per-type mute</t>
  </si>
  <si>
    <t xml:space="preserve">ST-021</t>
  </si>
  <si>
    <t xml:space="preserve">F3</t>
  </si>
  <si>
    <t xml:space="preserve">As a SMB owner, I can set up Invoice chase nudges with sensible defaults in one screen</t>
  </si>
  <si>
    <t xml:space="preserve">S5</t>
  </si>
  <si>
    <t xml:space="preserve">ST-022</t>
  </si>
  <si>
    <t xml:space="preserve">As a SMB owner, the Invoice chase nudges happy path completes without documentation</t>
  </si>
  <si>
    <t xml:space="preserve">Marked Done at build, but planNudges had NO driver until v020 (GAP-F2) — the daily cycle never ran. True as built since v020</t>
  </si>
  <si>
    <t xml:space="preserve">ST-023</t>
  </si>
  <si>
    <t xml:space="preserve">As a Accountant partner, I can customise Invoice chase nudges rules/conditions for my workflow</t>
  </si>
  <si>
    <t xml:space="preserve">ST-024</t>
  </si>
  <si>
    <t xml:space="preserve">As a user, Invoice chase nudges shows clear errors and retry paths on platform API failures</t>
  </si>
  <si>
    <t xml:space="preserve">Retry existed at build; the send path only ran from v020 (GAP-F2), once-per-tier from v015 (F-006). True as built since v020</t>
  </si>
  <si>
    <t xml:space="preserve">ST-025</t>
  </si>
  <si>
    <t xml:space="preserve">As a Bookkeeper, Invoice chase nudges works on the web app with Xero deep links + accountant portal surface end-to-end</t>
  </si>
  <si>
    <t xml:space="preserve">ST-026</t>
  </si>
  <si>
    <t xml:space="preserve">As a Accountant partner, I can see Invoice chase nudges performance metrics and trends</t>
  </si>
  <si>
    <t xml:space="preserve">ST-027</t>
  </si>
  <si>
    <t xml:space="preserve">As a user, Invoice chase nudges respects role permissions and audit logging</t>
  </si>
  <si>
    <t xml:space="preserve">ST-028</t>
  </si>
  <si>
    <t xml:space="preserve">As a SMB owner, I can pause/disable Invoice chase nudges without data loss</t>
  </si>
  <si>
    <t xml:space="preserve">ST-029</t>
  </si>
  <si>
    <t xml:space="preserve">As a Accountant partner, I can import/migrate existing data into Invoice chase nudges (CSV + competitor importer)</t>
  </si>
  <si>
    <t xml:space="preserve">ST-030</t>
  </si>
  <si>
    <t xml:space="preserve">As a user, I get notifications (in-app + email) for key Invoice chase nudges events with per-type mute</t>
  </si>
  <si>
    <t xml:space="preserve">ST-031</t>
  </si>
  <si>
    <t xml:space="preserve">F4</t>
  </si>
  <si>
    <t xml:space="preserve">As a SMB owner, I can set up Accountant portal with sensible defaults in one screen</t>
  </si>
  <si>
    <t xml:space="preserve">S6</t>
  </si>
  <si>
    <t xml:space="preserve">ST-032</t>
  </si>
  <si>
    <t xml:space="preserve">As a SMB owner, the Accountant portal happy path completes without documentation</t>
  </si>
  <si>
    <t xml:space="preserve">ST-033</t>
  </si>
  <si>
    <t xml:space="preserve">As a Accountant partner, I can customise Accountant portal rules/conditions for my workflow</t>
  </si>
  <si>
    <t xml:space="preserve">ST-034</t>
  </si>
  <si>
    <t xml:space="preserve">As a user, Accountant portal shows clear errors and retry paths on platform API failures</t>
  </si>
  <si>
    <t xml:space="preserve">ST-035</t>
  </si>
  <si>
    <t xml:space="preserve">As a Bookkeeper, Accountant portal works on the web app with Xero deep links + accountant portal surface end-to-end</t>
  </si>
  <si>
    <t xml:space="preserve">ST-036</t>
  </si>
  <si>
    <t xml:space="preserve">As a Accountant partner, I can see Accountant portal performance metrics and trends</t>
  </si>
  <si>
    <t xml:space="preserve">ST-037</t>
  </si>
  <si>
    <t xml:space="preserve">As a user, Accountant portal respects role permissions and audit logging</t>
  </si>
  <si>
    <t xml:space="preserve">ST-038</t>
  </si>
  <si>
    <t xml:space="preserve">As a SMB owner, I can pause/disable Accountant portal without data loss</t>
  </si>
  <si>
    <t xml:space="preserve">ST-039</t>
  </si>
  <si>
    <t xml:space="preserve">As a Accountant partner, I can import/migrate existing data into Accountant portal (CSV + competitor importer)</t>
  </si>
  <si>
    <t xml:space="preserve">ST-040</t>
  </si>
  <si>
    <t xml:space="preserve">As a user, I get notifications (in-app + email) for key Accountant portal events with per-type mute</t>
  </si>
  <si>
    <t xml:space="preserve">ST-041</t>
  </si>
  <si>
    <t xml:space="preserve">F5</t>
  </si>
  <si>
    <t xml:space="preserve">As a SMB owner, I can set up Bank-feed anomaly alerts with sensible defaults in one screen</t>
  </si>
  <si>
    <t xml:space="preserve">S8</t>
  </si>
  <si>
    <t xml:space="preserve">Detection existed at build; polling — the ENTIRE mechanism under D-F4 — only ran from v020 (GAP-F2), per-tenant from v022 (F4-01). True as built since v022</t>
  </si>
  <si>
    <t xml:space="preserve">ST-042</t>
  </si>
  <si>
    <t xml:space="preserve">As a SMB owner, the Bank-feed anomaly alerts happy path completes without documentation</t>
  </si>
  <si>
    <t xml:space="preserve">Happy path could not complete before v020 (no poll driver) and ran for only ONE org until v022 (F4-01). True as built since v022</t>
  </si>
  <si>
    <t xml:space="preserve">ST-043</t>
  </si>
  <si>
    <t xml:space="preserve">As a Accountant partner, I can customise Bank-feed anomaly alerts rules/conditions for my workflow</t>
  </si>
  <si>
    <t xml:space="preserve">ST-044</t>
  </si>
  <si>
    <t xml:space="preserve">As a user, Bank-feed anomaly alerts shows clear errors and retry paths on platform API failures</t>
  </si>
  <si>
    <t xml:space="preserve">Error/retry paths unreachable before the poll ran (v020); breaker protection verified v021. True as built since v021</t>
  </si>
  <si>
    <t xml:space="preserve">ST-045</t>
  </si>
  <si>
    <t xml:space="preserve">As a Bookkeeper, Bank-feed anomaly alerts works on the web app with Xero deep links + accountant portal surface end-to-end</t>
  </si>
  <si>
    <t xml:space="preserve">ST-046</t>
  </si>
  <si>
    <t xml:space="preserve">As a Accountant partner, I can see Bank-feed anomaly alerts performance metrics and trends</t>
  </si>
  <si>
    <t xml:space="preserve">ST-047</t>
  </si>
  <si>
    <t xml:space="preserve">As a user, Bank-feed anomaly alerts respects role permissions and audit logging</t>
  </si>
  <si>
    <t xml:space="preserve">ST-048</t>
  </si>
  <si>
    <t xml:space="preserve">As a SMB owner, I can pause/disable Bank-feed anomaly alerts without data loss</t>
  </si>
  <si>
    <t xml:space="preserve">ST-049</t>
  </si>
  <si>
    <t xml:space="preserve">As a Accountant partner, I can import/migrate existing data into Bank-feed anomaly alerts (CSV + competitor importer)</t>
  </si>
  <si>
    <t xml:space="preserve">ST-050</t>
  </si>
  <si>
    <t xml:space="preserve">As a user, I get notifications (in-app + email) for key Bank-feed anomaly alerts events with per-type mute</t>
  </si>
  <si>
    <t xml:space="preserve">ST-051</t>
  </si>
  <si>
    <t xml:space="preserve">E1</t>
  </si>
  <si>
    <t xml:space="preserve">Marketplace OAuth install completes and lands on welcome state in &lt;2 min</t>
  </si>
  <si>
    <t xml:space="preserve">S1</t>
  </si>
  <si>
    <t xml:space="preserve">Code-complete — pending live</t>
  </si>
  <si>
    <t xml:space="preserve">ST-052</t>
  </si>
  <si>
    <t xml:space="preserve">Uninstall webhook removes tokens, schedules data deletion per policy</t>
  </si>
  <si>
    <t xml:space="preserve">ST-053</t>
  </si>
  <si>
    <t xml:space="preserve">Re-install restores account within retention window</t>
  </si>
  <si>
    <t xml:space="preserve">ST-054</t>
  </si>
  <si>
    <t xml:space="preserve">Multi-user roles: owner/admin/member permission matrix enforced</t>
  </si>
  <si>
    <t xml:space="preserve">ST-055</t>
  </si>
  <si>
    <t xml:space="preserve">Session/token refresh survives platform token rotation</t>
  </si>
  <si>
    <t xml:space="preserve">ST-056</t>
  </si>
  <si>
    <t xml:space="preserve">Install telemetry: source attribution (listing/search/referral) captured</t>
  </si>
  <si>
    <t xml:space="preserve">ST-057</t>
  </si>
  <si>
    <t xml:space="preserve">E5</t>
  </si>
  <si>
    <t xml:space="preserve">14-day trial without card; banner shows days remaining</t>
  </si>
  <si>
    <t xml:space="preserve">ST-058</t>
  </si>
  <si>
    <t xml:space="preserve">Upgrade/downgrade mid-cycle prorates correctly</t>
  </si>
  <si>
    <t xml:space="preserve">ST-059</t>
  </si>
  <si>
    <t xml:space="preserve">Marketplace billing API used where mandated; external Stripe fallback elsewhere</t>
  </si>
  <si>
    <t xml:space="preserve">ST-060</t>
  </si>
  <si>
    <t xml:space="preserve">Failed payment: 7-day grace, 3 dunning emails, then read-only mode</t>
  </si>
  <si>
    <t xml:space="preserve">S7</t>
  </si>
  <si>
    <t xml:space="preserve">Read-only enforced nowhere until v018 (INT-F5); dunning emails never sent until v020 (GAP-F2); counter not persisted until v022 (F4-02). True as built since v022</t>
  </si>
  <si>
    <t xml:space="preserve">ST-061</t>
  </si>
  <si>
    <t xml:space="preserve">Plan limits enforced with upgrade prompts at 80%/100%</t>
  </si>
  <si>
    <t xml:space="preserve">Plan limit was unenforceable until v014 (F-005) and unenforced on the send path until v018 (INT-F1). True as built since v018</t>
  </si>
  <si>
    <t xml:space="preserve">ST-062</t>
  </si>
  <si>
    <t xml:space="preserve">Invoices/receipts downloadable; GST/VAT fields supported</t>
  </si>
  <si>
    <t xml:space="preserve">ST-063</t>
  </si>
  <si>
    <t xml:space="preserve">Cancellation flow with save-offer and exit survey</t>
  </si>
  <si>
    <t xml:space="preserve">ST-064</t>
  </si>
  <si>
    <t xml:space="preserve">E6</t>
  </si>
  <si>
    <t xml:space="preserve">Scopes requested map 1:1 to shipped features (least privilege doc)</t>
  </si>
  <si>
    <t xml:space="preserve">ST-065</t>
  </si>
  <si>
    <t xml:space="preserve">Data-flow diagram + retention policy published</t>
  </si>
  <si>
    <t xml:space="preserve">ST-066</t>
  </si>
  <si>
    <t xml:space="preserve">Encryption at rest + in transit verified; secrets in vault</t>
  </si>
  <si>
    <t xml:space="preserve">ST-067</t>
  </si>
  <si>
    <t xml:space="preserve">Audit log for admin-sensitive actions</t>
  </si>
  <si>
    <t xml:space="preserve">ST-068</t>
  </si>
  <si>
    <t xml:space="preserve">Pen-test (or platform-required evidence) completed and archived</t>
  </si>
  <si>
    <t xml:space="preserve">S9</t>
  </si>
  <si>
    <t xml:space="preserve">In progress</t>
  </si>
  <si>
    <t xml:space="preserve">ST-069</t>
  </si>
  <si>
    <t xml:space="preserve">Data export + delete-my-data self-serve</t>
  </si>
  <si>
    <t xml:space="preserve">ST-070</t>
  </si>
  <si>
    <t xml:space="preserve">Rate-limit backoff + circuit breaker on platform APIs</t>
  </si>
  <si>
    <t xml:space="preserve">ST-071</t>
  </si>
  <si>
    <t xml:space="preserve">E7</t>
  </si>
  <si>
    <t xml:space="preserve">Activation funnel events (install-&gt;setup-&gt;aha-&gt;habit) in one dashboard</t>
  </si>
  <si>
    <t xml:space="preserve">ST-072</t>
  </si>
  <si>
    <t xml:space="preserve">Error tracking with release tagging; alert on error-rate spike</t>
  </si>
  <si>
    <t xml:space="preserve">ST-073</t>
  </si>
  <si>
    <t xml:space="preserve">Feature-usage heatmap for roadmap decisions</t>
  </si>
  <si>
    <t xml:space="preserve">ST-074</t>
  </si>
  <si>
    <t xml:space="preserve">Weekly automated metrics email to team</t>
  </si>
  <si>
    <t xml:space="preserve">ST-075</t>
  </si>
  <si>
    <t xml:space="preserve">Health score computed per account (usage+billing+support)</t>
  </si>
  <si>
    <t xml:space="preserve">ST-076</t>
  </si>
  <si>
    <t xml:space="preserve">Metrics export to CSV/warehouse for founder analysis</t>
  </si>
  <si>
    <t xml:space="preserve">ST-077</t>
  </si>
  <si>
    <t xml:space="preserve">Alert thresholds configurable (activation drop, error spike, churn signal)</t>
  </si>
  <si>
    <t xml:space="preserve">ST-078</t>
  </si>
  <si>
    <t xml:space="preserve">E8</t>
  </si>
  <si>
    <t xml:space="preserve">First-run checklist reaches aha-moment in &lt;1 day</t>
  </si>
  <si>
    <t xml:space="preserve">ST-079</t>
  </si>
  <si>
    <t xml:space="preserve">Empty states teach next action on every screen</t>
  </si>
  <si>
    <t xml:space="preserve">ST-080</t>
  </si>
  <si>
    <t xml:space="preserve">Help center with 15 launch articles + search</t>
  </si>
  <si>
    <t xml:space="preserve">S10</t>
  </si>
  <si>
    <t xml:space="preserve">ST-081</t>
  </si>
  <si>
    <t xml:space="preserve">In-app chat with &lt;4 business-hr first response</t>
  </si>
  <si>
    <t xml:space="preserve">ST-082</t>
  </si>
  <si>
    <t xml:space="preserve">In-app review ask after aha-moment (marketplace rating engine)</t>
  </si>
  <si>
    <t xml:space="preserve">S11</t>
  </si>
  <si>
    <t xml:space="preserve">ST-083</t>
  </si>
  <si>
    <t xml:space="preserve">Demo video (2 min) + interactive sandbox/demo data mode</t>
  </si>
  <si>
    <t xml:space="preserve">Drafted — pending publish</t>
  </si>
  <si>
    <t xml:space="preserve">ST-084</t>
  </si>
  <si>
    <t xml:space="preserve">Status page + incident comms template</t>
  </si>
  <si>
    <t xml:space="preserve">ST-085</t>
  </si>
  <si>
    <t xml:space="preserve">EQ</t>
  </si>
  <si>
    <t xml:space="preserve">Unit+integration test coverage gate 100% on all code (D13, 10 Sep 2026 — supersedes former ≥70% gate)</t>
  </si>
  <si>
    <t xml:space="preserve">ST-086</t>
  </si>
  <si>
    <t xml:space="preserve">E2E smoke suite runs on every deploy</t>
  </si>
  <si>
    <t xml:space="preserve">ST-087</t>
  </si>
  <si>
    <t xml:space="preserve">p95 latency budgets defined and monitored per surface</t>
  </si>
  <si>
    <t xml:space="preserve">ST-088</t>
  </si>
  <si>
    <t xml:space="preserve">Load test at 5x expected launch traffic</t>
  </si>
  <si>
    <t xml:space="preserve">ST-089</t>
  </si>
  <si>
    <t xml:space="preserve">Accessibility WCAG AA pass on primary flows</t>
  </si>
  <si>
    <t xml:space="preserve">ST-090</t>
  </si>
  <si>
    <t xml:space="preserve">Backup + restore drill executed</t>
  </si>
  <si>
    <t xml:space="preserve">ST-091</t>
  </si>
  <si>
    <t xml:space="preserve">Chaos test: platform API outage degrades gracefully with user comms</t>
  </si>
  <si>
    <t xml:space="preserve">ST-092</t>
  </si>
  <si>
    <t xml:space="preserve">Zero-downtime deploy verified (blue/green or rolling)</t>
  </si>
  <si>
    <t xml:space="preserve">ST-093</t>
  </si>
  <si>
    <t xml:space="preserve">EL</t>
  </si>
  <si>
    <t xml:space="preserve">Marketplace listing copy A + B variants drafted and reviewed</t>
  </si>
  <si>
    <t xml:space="preserve">Drafted — pending review</t>
  </si>
  <si>
    <t xml:space="preserve">ST-094</t>
  </si>
  <si>
    <t xml:space="preserve">5 screenshots + 2-min demo video meet platform asset specs</t>
  </si>
  <si>
    <t xml:space="preserve">ST-095</t>
  </si>
  <si>
    <t xml:space="preserve">Pricing page/plan matrix published with FAQ</t>
  </si>
  <si>
    <t xml:space="preserve">ST-096</t>
  </si>
  <si>
    <t xml:space="preserve">Security/trust page (data handling, subprocessors) live</t>
  </si>
  <si>
    <t xml:space="preserve">ST-097</t>
  </si>
  <si>
    <t xml:space="preserve">Submission dry-run against platform checklist by second reviewer</t>
  </si>
  <si>
    <t xml:space="preserve">ST-098</t>
  </si>
  <si>
    <t xml:space="preserve">Launch-day runbook: monitoring, rollback, comms tree</t>
  </si>
  <si>
    <t xml:space="preserve">ST-099</t>
  </si>
  <si>
    <t xml:space="preserve">Post-launch listing SEO iteration 1 from search-term data</t>
  </si>
  <si>
    <t xml:space="preserve">S12</t>
  </si>
  <si>
    <t xml:space="preserve">ST-100</t>
  </si>
  <si>
    <t xml:space="preserve">First 10 design-partner reviews scheduled</t>
  </si>
  <si>
    <t xml:space="preserve">Total stories: 100. Epics: F1-F5 = product features; E1 install, E5 billing, E6 compliance, E7 telemetry, E8 onboarding/docs/support, EQ quality. Edit Status (Backlog/In progress/Done) during execution.</t>
  </si>
  <si>
    <t xml:space="preserve">SPRINT BOARD — live counts from Full_Backlog</t>
  </si>
  <si>
    <t xml:space="preserve">Focus</t>
  </si>
  <si>
    <t xml:space="preserve">Stories</t>
  </si>
  <si>
    <t xml:space="preserve">Exit criteria</t>
  </si>
  <si>
    <t xml:space="preserve">S0</t>
  </si>
  <si>
    <t xml:space="preserve">Discovery &amp; Design (2 wks)</t>
  </si>
  <si>
    <t xml:space="preserve">PRD signed off; prototype tested with 5 target users</t>
  </si>
  <si>
    <t xml:space="preserve">Foundation (2 wks)</t>
  </si>
  <si>
    <t xml:space="preserve">App installs cleanly in dev store/org; telemetry firing</t>
  </si>
  <si>
    <t xml:space="preserve">Core feature 13-week forecast engine - part 1</t>
  </si>
  <si>
    <t xml:space="preserve">13-week forecast engine happy path demoable</t>
  </si>
  <si>
    <t xml:space="preserve">Core feature 13-week forecast engine - part 2 + Scenario sliders start</t>
  </si>
  <si>
    <t xml:space="preserve">13-week forecast engine complete with tests; Scenario sliders skeleton</t>
  </si>
  <si>
    <t xml:space="preserve">Core feature Scenario sliders</t>
  </si>
  <si>
    <t xml:space="preserve">MVP loop usable end-to-end internally</t>
  </si>
  <si>
    <t xml:space="preserve">Feature Invoice chase nudges + alpha hardening</t>
  </si>
  <si>
    <t xml:space="preserve">Internal alpha: team dogfoods daily</t>
  </si>
  <si>
    <t xml:space="preserve">Billing + Accountant portal</t>
  </si>
  <si>
    <t xml:space="preserve">Can charge a test customer; upgrade/downgrade paths work</t>
  </si>
  <si>
    <t xml:space="preserve">Private beta (design partners)</t>
  </si>
  <si>
    <t xml:space="preserve">3+ partners active weekly; NPS pulse &gt;30</t>
  </si>
  <si>
    <t xml:space="preserve">Beta iteration + Bank-feed anomaly alerts</t>
  </si>
  <si>
    <t xml:space="preserve">Retention of beta cohort week-over-week &gt;60%</t>
  </si>
  <si>
    <t xml:space="preserve">Marketplace review prep</t>
  </si>
  <si>
    <t xml:space="preserve">Review submission accepted into queue</t>
  </si>
  <si>
    <t xml:space="preserve">Review remediation + docs</t>
  </si>
  <si>
    <t xml:space="preserve">Marketplace approval obtained (or final remediation cycle)</t>
  </si>
  <si>
    <t xml:space="preserve">Launch</t>
  </si>
  <si>
    <t xml:space="preserve">First 10 installs; first 3 reviews; activation &gt;40%</t>
  </si>
  <si>
    <t xml:space="preserve">Iterate &amp; scale decision</t>
  </si>
  <si>
    <t xml:space="preserve">Growth model doc with CAC/LTV first estimates</t>
  </si>
  <si>
    <t xml:space="preserve">TOTAL</t>
  </si>
  <si>
    <t xml:space="preserve">Velocity check: points/sprint S2-S8 should sit within 30-45 for a 4-6 person team; rebalance Sprint column in backlog if a sprint exceeds capacity.</t>
  </si>
  <si>
    <t xml:space="preserve">18-MONTH FINANCIAL MODEL — Xero: accountant-channel PLG (edit yellow assumptions)</t>
  </si>
  <si>
    <t xml:space="preserve">Assumption</t>
  </si>
  <si>
    <t xml:space="preserve">Value</t>
  </si>
  <si>
    <t xml:space="preserve">Trials/mo (month 1)</t>
  </si>
  <si>
    <t xml:space="preserve">Monthly growth of that</t>
  </si>
  <si>
    <t xml:space="preserve">Trial-&gt;paid %</t>
  </si>
  <si>
    <t xml:space="preserve">ARPU $/mo</t>
  </si>
  <si>
    <t xml:space="preserve">Monthly churn</t>
  </si>
  <si>
    <t xml:space="preserve">Marketplace fee</t>
  </si>
  <si>
    <t xml:space="preserve">Team cost month 1 (India-lean $)</t>
  </si>
  <si>
    <t xml:space="preserve">Cost growth/mo</t>
  </si>
  <si>
    <t xml:space="preserve">Fee note: 15% via Xero in-store subscriptions (external billing where permitted)</t>
  </si>
  <si>
    <t xml:space="preserve">Line</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</si>
  <si>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</si>
  <si>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</si>
  <si>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</si>
  <si>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</si>
  <si>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</si>
  <si>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</si>
  <si>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</si>
  <si>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</si>
  <si>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</si>
  <si>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</si>
  <si>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</si>
  <si>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</si>
  <si>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</si>
  <si>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</si>
  <si>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</si>
  <si>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</si>
  <si>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</si>
  <si>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</si>
  <si>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Leads/installs</t>
  </si>
  <si>
    <t xml:space="preserve">New paying</t>
  </si>
  <si>
    <t xml:space="preserve">Paying accounts</t>
  </si>
  <si>
    <t xml:space="preserve">MRR (net of fee)</t>
  </si>
  <si>
    <t xml:space="preserve">Team cost</t>
  </si>
  <si>
    <t xml:space="preserve">Net cash/mo</t>
  </si>
  <si>
    <t xml:space="preserve">Cumulative</t>
  </si>
  <si>
    <t xml:space="preserve">Reading: churn applies before adds; MRR nets the marketplace fee; costs use India-lean base from Team_Roles_Budget (v004). Breakeven = first month Net cash ≥ 0. This is a planning model, not a forecast — replace assumptions with S7-S8 beta actuals.</t>
  </si>
  <si>
    <t xml:space="preserve">GTM EXECUTION TASKS</t>
  </si>
  <si>
    <t xml:space="preserve">Phase</t>
  </si>
  <si>
    <t xml:space="preserve">Task</t>
  </si>
  <si>
    <t xml:space="preserve">Owner (role)</t>
  </si>
  <si>
    <t xml:space="preserve">Target sprint</t>
  </si>
  <si>
    <t xml:space="preserve">Pre-launch</t>
  </si>
  <si>
    <t xml:space="preserve">Positioning doc + message house (problem/promise/proof)</t>
  </si>
  <si>
    <t xml:space="preserve">Founder</t>
  </si>
  <si>
    <t xml:space="preserve">Listing SEO: keyword study in marketplace search + title/intro drafts</t>
  </si>
  <si>
    <t xml:space="preserve">Growth</t>
  </si>
  <si>
    <t xml:space="preserve">10 design-partner mini case snippets with metric proof</t>
  </si>
  <si>
    <t xml:space="preserve">5 comparison/alternative pages drafted</t>
  </si>
  <si>
    <t xml:space="preserve">Screenshots (5) + 2-min demo video produced</t>
  </si>
  <si>
    <t xml:space="preserve">Design</t>
  </si>
  <si>
    <t xml:space="preserve">Listing live + launch post + video published</t>
  </si>
  <si>
    <t xml:space="preserve">Founder outreach: 100 named ICP accounts, 3-touch sequence</t>
  </si>
  <si>
    <t xml:space="preserve">Community value-posts (3 relevant communities)</t>
  </si>
  <si>
    <t xml:space="preserve">Review-generation program on (in-app ask post-aha)</t>
  </si>
  <si>
    <t xml:space="preserve">Eng</t>
  </si>
  <si>
    <t xml:space="preserve">Weekly SEO/how-to content cadence starts</t>
  </si>
  <si>
    <t xml:space="preserve">Marketplace paid placement pilot (where offered)</t>
  </si>
  <si>
    <t xml:space="preserve">2 integration co-marketing swaps</t>
  </si>
  <si>
    <t xml:space="preserve">S12+</t>
  </si>
  <si>
    <t xml:space="preserve">G2/Capterra profiles + first 10 reviews</t>
  </si>
  <si>
    <t xml:space="preserve">PLATFORM LAUNCH CHECKLIST — Xero App Store</t>
  </si>
  <si>
    <t xml:space="preserve">Xero developer account + app partner program application</t>
  </si>
  <si>
    <t xml:space="preserve">BLOCKED — needs Senthil: dev account + partner application</t>
  </si>
  <si>
    <t xml:space="preserve">OAuth2 + tenant handling for multi-org accountants tested</t>
  </si>
  <si>
    <t xml:space="preserve">Code-complete — pending live dev-org test</t>
  </si>
  <si>
    <t xml:space="preserve">API rate limits (60/min per tenant) queue + backoff verified</t>
  </si>
  <si>
    <t xml:space="preserve">Code-complete: proactive 60/min per-tenant limiter (v012) + reactive backoff/breaker — pending live verification</t>
  </si>
  <si>
    <t xml:space="preserve">Webhooks (invoices, payments, bank transactions) resilience tested</t>
  </si>
  <si>
    <t xml:space="preserve">Code-complete — webhooks (INVOICE/CONTACT/SUBSCRIPTION) + bank-txn polling built v011; pending live wiring. NOTE: platform has no bank-txn webhook — polling every 15 min is the documented substitute</t>
  </si>
  <si>
    <t xml:space="preserve">App partner certification: API best practice + security questionnaire + brand review</t>
  </si>
  <si>
    <t xml:space="preserve">Trust page drafted; SECURITY_EVIDENCE.md pack compiled v014 (auth, encryption-at-rest AES-256-GCM + vault, webhook HMAC, rate limiting, data lifecycle, 100% gate); questionnaire answerable from pack + brand review pending live artefacts</t>
  </si>
  <si>
    <t xml:space="preserve">In-store subscription configuration + test purchase</t>
  </si>
  <si>
    <t xml:space="preserve">Rail logic coded; store config + test purchase pending dev org</t>
  </si>
  <si>
    <t xml:space="preserve">Accountant multi-client portal tested with 20-client dataset</t>
  </si>
  <si>
    <t xml:space="preserve">DONE at logic level: 20-client dataset drill passed (risk-first sort + rules at scale); live UI pass pending</t>
  </si>
  <si>
    <t xml:space="preserve">Bank-feed anomaly logic QA on 12 months of demo data</t>
  </si>
  <si>
    <t xml:space="preserve">DONE at logic level: 12-month dataset QA passed — found + fixed batch-isolation blind spot (detectWithHistory); live-feed QA pending</t>
  </si>
  <si>
    <t xml:space="preserve">Listing: accountant-channel messaging + partner directory entry</t>
  </si>
  <si>
    <t xml:space="preserve">Listing copy A/B drafted (B = accountant channel) — Senthil review pending</t>
  </si>
  <si>
    <t xml:space="preserve">UK/AU/NZ tax-locale display verified (GST/VAT labels)</t>
  </si>
  <si>
    <t xml:space="preserve">GST/VAT fields coded + tested; UI locale pass pending deployed UI</t>
  </si>
  <si>
    <t xml:space="preserve">METRIC TARGETS (first 12 months post-launch)</t>
  </si>
  <si>
    <t xml:space="preserve">Metric</t>
  </si>
  <si>
    <t xml:space="preserve">Notes</t>
  </si>
  <si>
    <t xml:space="preserve">Installs/signups cumulative</t>
  </si>
  <si>
    <t xml:space="preserve">varies</t>
  </si>
  <si>
    <t xml:space="preserve">3x M1</t>
  </si>
  <si>
    <t xml:space="preserve">8x M1</t>
  </si>
  <si>
    <t xml:space="preserve">20x M1</t>
  </si>
  <si>
    <t xml:space="preserve">Drive via listing SEO + outbound</t>
  </si>
  <si>
    <t xml:space="preserve">Activation % (24h)</t>
  </si>
  <si>
    <t xml:space="preserve">30%</t>
  </si>
  <si>
    <t xml:space="preserve">40%</t>
  </si>
  <si>
    <t xml:space="preserve">45%</t>
  </si>
  <si>
    <t xml:space="preserve">50%</t>
  </si>
  <si>
    <t xml:space="preserve">Onboarding iterations S12+</t>
  </si>
  <si>
    <t xml:space="preserve">Trial→paid %</t>
  </si>
  <si>
    <t xml:space="preserve">baseline</t>
  </si>
  <si>
    <t xml:space="preserve">+2pts</t>
  </si>
  <si>
    <t xml:space="preserve">+4pts</t>
  </si>
  <si>
    <t xml:space="preserve">+6pts</t>
  </si>
  <si>
    <t xml:space="preserve">Pricing test at S12</t>
  </si>
  <si>
    <t xml:space="preserve">Rating</t>
  </si>
  <si>
    <t xml:space="preserve">4.5+</t>
  </si>
  <si>
    <t xml:space="preserve">4.6+</t>
  </si>
  <si>
    <t xml:space="preserve">4.7+</t>
  </si>
  <si>
    <t xml:space="preserve">Review program + support speed</t>
  </si>
  <si>
    <t xml:space="preserve">MRR</t>
  </si>
  <si>
    <t xml:space="preserve">first $</t>
  </si>
  <si>
    <t xml:space="preserve">3x</t>
  </si>
  <si>
    <t xml:space="preserve">8x</t>
  </si>
  <si>
    <t xml:space="preserve">20x</t>
  </si>
  <si>
    <t xml:space="preserve">Model sheet has the math</t>
  </si>
  <si>
    <t xml:space="preserve">Logo churn/mo</t>
  </si>
  <si>
    <t xml:space="preserve">&lt;5%</t>
  </si>
  <si>
    <t xml:space="preserve">&lt;4%</t>
  </si>
  <si>
    <t xml:space="preserve">&lt;3%</t>
  </si>
  <si>
    <t xml:space="preserve">Health-score saves</t>
  </si>
  <si>
    <t xml:space="preserve">PRODUCT RISK REGISTER</t>
  </si>
  <si>
    <t xml:space="preserve">Risk</t>
  </si>
  <si>
    <t xml:space="preserve">Impact</t>
  </si>
  <si>
    <t xml:space="preserve">Likelihood</t>
  </si>
  <si>
    <t xml:space="preserve">Mitigation</t>
  </si>
  <si>
    <t xml:space="preserve">Xero native short-term cash flow improves</t>
  </si>
  <si>
    <t xml:space="preserve">High</t>
  </si>
  <si>
    <t xml:space="preserve">Medium</t>
  </si>
  <si>
    <t xml:space="preserve">Scenario depth + accountant multi-client portal moat</t>
  </si>
  <si>
    <t xml:space="preserve">Accountant channel slow to activate</t>
  </si>
  <si>
    <t xml:space="preserve">Partner program with rev share; 10 pilot firms by S8</t>
  </si>
  <si>
    <t xml:space="preserve">Float/Fathom price moves</t>
  </si>
  <si>
    <t xml:space="preserve">Owner-facing simplicity positioning; annual bundles</t>
  </si>
  <si>
    <t xml:space="preserve">SPRINT TRACKER LOG — FlowCast (created v008 per directive, 10 Sep 2026 22:01)</t>
  </si>
  <si>
    <t xml:space="preserve">Date/Time</t>
  </si>
  <si>
    <t xml:space="preserve">Action</t>
  </si>
  <si>
    <t xml:space="preserve">Stories touched</t>
  </si>
  <si>
    <t xml:space="preserve">Evidence</t>
  </si>
  <si>
    <t xml:space="preserve">Decision ref</t>
  </si>
  <si>
    <t xml:space="preserve">v007 full product workbook released (spec, backlog, board, model)</t>
  </si>
  <si>
    <t xml:space="preserve">v007 Version_Control</t>
  </si>
  <si>
    <t xml:space="preserve">v008 opened: Sprint_Tracker_Log + Traceability_Matrix sheets added per directive</t>
  </si>
  <si>
    <t xml:space="preserve">This file</t>
  </si>
  <si>
    <t xml:space="preserve">Directive 10 Sep 22:01</t>
  </si>
  <si>
    <t xml:space="preserve">D13 applied to FlowCast: 100% automation coverage gate on all code; ST-085 amended</t>
  </si>
  <si>
    <t xml:space="preserve">jest.config.js coverageThreshold=100</t>
  </si>
  <si>
    <t xml:space="preserve">D13</t>
  </si>
  <si>
    <t xml:space="preserve">Foundation built: OAuth install/uninstall/reinstall, token rotation, source attribution, role matrix + audit log. Xero OAuth client mocked</t>
  </si>
  <si>
    <t xml:space="preserve">ST-051..ST-056</t>
  </si>
  <si>
    <t xml:space="preserve">src/installFlow.ts, src/permissions.ts + tests</t>
  </si>
  <si>
    <t xml:space="preserve">S2-S3</t>
  </si>
  <si>
    <t xml:space="preserve">13-week forecast engine: bucketing, traffic lights, validation errors, pause-without-loss; scenario sliders: levers, validation, preview</t>
  </si>
  <si>
    <t xml:space="preserve">ST-001..ST-004, ST-007..ST-009, ST-011..ST-014, ST-017, ST-019</t>
  </si>
  <si>
    <t xml:space="preserve">src/forecastEngine.ts, src/scenarioSliders.ts + tests</t>
  </si>
  <si>
    <t xml:space="preserve">Invoice chase nudges: rule ladder, planning, test mode, retry-on-failure, per-type mute</t>
  </si>
  <si>
    <t xml:space="preserve">ST-021..ST-024, ST-027..ST-030</t>
  </si>
  <si>
    <t xml:space="preserve">src/invoiceNudges.ts + tests</t>
  </si>
  <si>
    <t xml:space="preserve">Accountant portal + shared CSV importer; billing: trial, proration, rail selection, dunning, limits, GST/VAT invoices, cancellation</t>
  </si>
  <si>
    <t xml:space="preserve">ST-031/032/034/037/039, ST-057..ST-063</t>
  </si>
  <si>
    <t xml:space="preserve">src/accountantPortal.ts, src/billing.ts + tests</t>
  </si>
  <si>
    <t xml:space="preserve">Bank-feed anomaly alerts; compliance: scope audit, retention, export/delete, backoff + circuit breaker; full telemetry suite; onboarding surfaces</t>
  </si>
  <si>
    <t xml:space="preserve">ST-041..ST-049, ST-064..ST-077 (code subset), ST-078/079/082/084</t>
  </si>
  <si>
    <t xml:space="preserve">src/anomalyAlerts.ts, src/compliance.ts, src/telemetry.ts, src/onboarding.ts + tests</t>
  </si>
  <si>
    <t xml:space="preserve">TEST RUN: 11 suites, 120 tests, 100% statements/branches/functions/lines; gate enforced at 100 — build fails below</t>
  </si>
  <si>
    <t xml:space="preserve">All Done stories</t>
  </si>
  <si>
    <t xml:space="preserve">npx jest --coverage output; coverage/coverage-summary.json</t>
  </si>
  <si>
    <t xml:space="preserve">Statuses written to Full_Backlog; Sprint_Board Done counts recalc from formulas. 58 Done, 4 code-complete-pending-live, 2 in progress, 36 backlog</t>
  </si>
  <si>
    <t xml:space="preserve">All</t>
  </si>
  <si>
    <t xml:space="preserve">Full_Backlog col G</t>
  </si>
  <si>
    <t xml:space="preserve">PORTFOLIO NOTE: FlowCast (rank 12) is a third open build while RevRescue rank-1 gate unmet; sequencing decision D15 remains open with Senthil</t>
  </si>
  <si>
    <t xml:space="preserve">marketplace portfolio record</t>
  </si>
  <si>
    <t xml:space="preserve">D15 (open)</t>
  </si>
  <si>
    <t xml:space="preserve">NEXT: live Xero dev-org install (ST-051/052/055/059), UI surfaces (ST-005/015/025/035/045), CI wiring (ST-086), then S7 beta prerequisites</t>
  </si>
  <si>
    <t xml:space="preserve">ST-003 completed: full rule builder (min_balance / amber_floor / week_drop_pct over week ranges)</t>
  </si>
  <si>
    <t xml:space="preserve">src/forecastRules.ts + tests</t>
  </si>
  <si>
    <t xml:space="preserve">S3-S8</t>
  </si>
  <si>
    <t xml:space="preserve">Web app surfaces built (React + RTL): Forecast, Scenario, Nudges, Portal, Anomalies screens with Xero deep links + empty states</t>
  </si>
  <si>
    <t xml:space="preserve">ST-005/015/025/035/045</t>
  </si>
  <si>
    <t xml:space="preserve">src/ui/*.tsx, tests/ui/screens.test.tsx</t>
  </si>
  <si>
    <t xml:space="preserve">Per-feature metrics &amp; trends (weekly series, WoW trend, MetricsPanel); notifications in-app+email with per-type mute + digest; pause toggles; portal workflow rules</t>
  </si>
  <si>
    <t xml:space="preserve">ST-006/016/026/036/046, ST-010/050, ST-018/038, ST-033</t>
  </si>
  <si>
    <t xml:space="preserve">src/featureMetrics.ts, src/notifications.ts + tests</t>
  </si>
  <si>
    <t xml:space="preserve">ST-086 CI wiring: GitHub Actions workflow (push/PR/deployment) runs typecheck + jest with 100% gate; live repo hookup pending</t>
  </si>
  <si>
    <t xml:space="preserve">.github/workflows/ci.yml</t>
  </si>
  <si>
    <t xml:space="preserve">TEST RUN: 13 suites, 148 tests, 100% statements/branches/functions/lines incl. React components; tsc --noEmit clean</t>
  </si>
  <si>
    <t xml:space="preserve">jest --coverage; coverage-summary.json</t>
  </si>
  <si>
    <t xml:space="preserve">Statuses: 74 Done, 5 code-complete-pending-live, 0 in progress, 21 backlog. Remaining backlog = live-infra EQ items, help/chat/video content, S9-S12 listing/launch</t>
  </si>
  <si>
    <t xml:space="preserve">NEXT: live Xero dev-org (ST-051/052/055/059), CI repo hookup (ST-086), help centre + demo video (ST-080/081/083), then S9 marketplace review prep</t>
  </si>
  <si>
    <t xml:space="preserve">S4/S6</t>
  </si>
  <si>
    <t xml:space="preserve">ST-020/ST-040: scenario + portal notification event types added to dispatch/mute/digest</t>
  </si>
  <si>
    <t xml:space="preserve">ST-020, ST-040</t>
  </si>
  <si>
    <t xml:space="preserve">src/notifications.ts + tests</t>
  </si>
  <si>
    <t xml:space="preserve">ST-087 latency budgets defined per surface (code + doc); ST-091 degradation levels + user comms + DegradedBanner; ST-089 automated WCAG: jest-axe zero violations on all 7 surfaces</t>
  </si>
  <si>
    <t xml:space="preserve">ST-087, ST-089, ST-091</t>
  </si>
  <si>
    <t xml:space="preserve">src/reliability.ts, src/ui/DegradedBanner.tsx, jest-axe suite, docs/reliability + docs/runbooks</t>
  </si>
  <si>
    <t xml:space="preserve">ST-083 demo-data mode coded (deterministic red-week arc) + 2-min video script/shot list; ST-080 all 15 help articles drafted; ST-081 chat SLA + canned pack (vendor pending)</t>
  </si>
  <si>
    <t xml:space="preserve">ST-080, ST-081, ST-083</t>
  </si>
  <si>
    <t xml:space="preserve">src/demoData.ts, docs/help/ (15), docs/demo/, docs/support/</t>
  </si>
  <si>
    <t xml:space="preserve">S9-S11</t>
  </si>
  <si>
    <t xml:space="preserve">Listing content drafted: copy A+B (no company name, product-only per external-content rule), asset specs + shot plan, pricing page + FAQ, security/trust page; ST-098 launch-day runbook complete; ST-090 backup/restore drill runbook (drill pending live)</t>
  </si>
  <si>
    <t xml:space="preserve">ST-093..ST-098, ST-090</t>
  </si>
  <si>
    <t xml:space="preserve">docs/listing/ (6), docs/runbooks/ (2)</t>
  </si>
  <si>
    <t xml:space="preserve">ST-097 submission dry-run first pass vs Launch_Checklist: 2 HARD GAPS found — (a) Xero dev org needed from Senthil, (b) invoice/payment/bank content webhooks NOT yet coded (only uninstall webhook exists) — webhook build queued for v011</t>
  </si>
  <si>
    <t xml:space="preserve">docs/listing/submission-dry-run.md</t>
  </si>
  <si>
    <t xml:space="preserve">New build item</t>
  </si>
  <si>
    <t xml:space="preserve">TEST RUN: 14 suites, 155 tests, 100% all metrics incl. React + axe; tsc clean</t>
  </si>
  <si>
    <t xml:space="preserve">coverage-summary.json</t>
  </si>
  <si>
    <t xml:space="preserve">Statuses: 77 Done, 8 code-complete-pending-live, 7 drafted-pending-publish/review, 2 in progress, 6 backlog. Sandbox-automatable work now fully exhausted except v011 webhook build</t>
  </si>
  <si>
    <t xml:space="preserve">AWAITING SENTHIL: (1) Xero developer account/dev org, (2) listing copy A/B review, (3) chat vendor pick, (4) D15 sequencing decision</t>
  </si>
  <si>
    <t xml:space="preserve">WBH-001 built (dry-run gap #4): Xero content webhooks — signature verification, fast-ack, idempotent processing with retry + dead-letter + redelivery healing; invoice payment events auto-cancel nudges</t>
  </si>
  <si>
    <t xml:space="preserve">WBH-001 (ST-097 gap b)</t>
  </si>
  <si>
    <t xml:space="preserve">src/webhooks.ts, tests/webhooks.test.ts</t>
  </si>
  <si>
    <t xml:space="preserve">ST-097 dry-run</t>
  </si>
  <si>
    <t xml:space="preserve">Platform constraint documented: Xero exposes NO bank-transaction webhook — implemented 15-min polling behind the shared circuit breaker as the substitute; noted on Launch_Checklist item 4</t>
  </si>
  <si>
    <t xml:space="preserve">WBH-001</t>
  </si>
  <si>
    <t xml:space="preserve">src/webhooks.ts (pollBankTxns)</t>
  </si>
  <si>
    <t xml:space="preserve">Honest-status rule</t>
  </si>
  <si>
    <t xml:space="preserve">Launch_Checklist all 10 items updated to honest current statuses (was all "Open")</t>
  </si>
  <si>
    <t xml:space="preserve">Launch_Checklist col C</t>
  </si>
  <si>
    <t xml:space="preserve">TEST RUN: 15 suites, 170 tests, 100% statements/branches/functions/lines; tsc clean</t>
  </si>
  <si>
    <t xml:space="preserve">Story statuses unchanged (webhooks were an unnumbered gap item): 77 Done / 8 CCPL / 7 drafted / 2 in progress / 6 backlog. ALL sandbox-automatable work on FlowCast now exhausted</t>
  </si>
  <si>
    <t xml:space="preserve">Full_Backlog</t>
  </si>
  <si>
    <t xml:space="preserve">HARD STOP — everything remaining needs Senthil: (1) Xero dev org -&gt; unblocks 9 pending-live incl. WBH-001, (2) copy A/B review, (3) chat vendor, (4) D15 sequencing across RevRescue/TeleField/FlowCast</t>
  </si>
  <si>
    <t xml:space="preserve">Checklist #3: proactive per-tenant 60/min sliding-window rate limiter + paced execution built (complements backoff/breaker)</t>
  </si>
  <si>
    <t xml:space="preserve">WBH-002</t>
  </si>
  <si>
    <t xml:space="preserve">src/rateLimiter.ts + tests</t>
  </si>
  <si>
    <t xml:space="preserve">Checklist 3</t>
  </si>
  <si>
    <t xml:space="preserve">Checklist #7 + #8 drills executed in-sandbox: 20-client portal drill passed; 12-month anomaly QA FOUND A REAL DEFECT — lone outliers hidden in isolated small batches (sigma self-inflation) — fixed via detectWithHistory (trailing-window scanning), all planted faults caught</t>
  </si>
  <si>
    <t xml:space="preserve">QA-007, QA-008</t>
  </si>
  <si>
    <t xml:space="preserve">src/qaDatasets.ts, detectWithHistory + tests</t>
  </si>
  <si>
    <t xml:space="preserve">QA finding</t>
  </si>
  <si>
    <t xml:space="preserve">ST-088 k6 load harness ready (steady / 25 rps burst / webhook storm; thresholds = p95 budgets); ST-092 blue/green deploy workflow drafted with 100%-gate, health gate, atomic swap, warm rollback</t>
  </si>
  <si>
    <t xml:space="preserve">ST-088, ST-092</t>
  </si>
  <si>
    <t xml:space="preserve">docs/loadtest/k6-flowcast.js, .github/workflows/deploy.yml</t>
  </si>
  <si>
    <t xml:space="preserve">HTTP wiring layer: fast-ack webhook route (raw-body signature contract) + /health; net binding trivial at deploy</t>
  </si>
  <si>
    <t xml:space="preserve">WBH-003</t>
  </si>
  <si>
    <t xml:space="preserve">src/server.ts + tests</t>
  </si>
  <si>
    <t xml:space="preserve">TEST RUN: 16 suites, 182 tests, 100% all metrics; tsc clean</t>
  </si>
  <si>
    <t xml:space="preserve">Statuses: 77 Done / 10 CCPL / 7 drafted / 2 in progress / 4 backlog (ST-066 secrets-infra, ST-068 pen-test, ST-099 post-launch SEO, ST-100 partner reviews — none sandbox-automatable). Remaining work genuinely requires Senthil inputs</t>
  </si>
  <si>
    <t xml:space="preserve">Readiness</t>
  </si>
  <si>
    <t xml:space="preserve">Live-sweep pack built: typed config loader + .env.example (CFG-001), 30-minute Xero dev-org setup guide, 12-step scripted verification sweep with pass criteria + story-flip mapping</t>
  </si>
  <si>
    <t xml:space="preserve">CFG-001</t>
  </si>
  <si>
    <t xml:space="preserve">src/config.ts, docs/live-sweep/ (2 docs)</t>
  </si>
  <si>
    <t xml:space="preserve">Portfolio</t>
  </si>
  <si>
    <t xml:space="preserve">Consolidated 8-product action board produced as separate deliverable (claude_v001_portfolio_action_board_20260910_2303.xlsx): every Senthil-blocked item, effort estimates, D15 framed with both options; cross-product quick wins flagged (Meta verification + GCP consent are day-scale external queues — start regardless of D15)</t>
  </si>
  <si>
    <t xml:space="preserve">Action board workbook</t>
  </si>
  <si>
    <t xml:space="preserve">TEST RUN: 17 suites, 186 tests, 100% all metrics; tsc clean</t>
  </si>
  <si>
    <t xml:space="preserve">FlowCast page state: build + drills + content + readiness all complete. Next activity on this product is the 12-step live sweep, first row of which requires the dev org</t>
  </si>
  <si>
    <t xml:space="preserve">S8-S10</t>
  </si>
  <si>
    <t xml:space="preserve">COLD-REVIEW PASS 1 (v014): 5 defects found + fixed with regressions — F-001 unbounded webhook idempotency ledger -&gt; FIFO 10,000 cap; F-002 signed-but-malformed payload crashed fast-ack -&gt; guarded parse/shape (ack 0 + parseError flag); F-003 rate-limiter idle-tenant entries never evicted -&gt; prune() + trackedTenants(); F-004 duplicate anomaly repeated per txn with 3+ matches -&gt; deduped; F-005 nudgesPerMonth unenforceable (no cycle-scoped counter/reset) -&gt; UsageCycle with boundary-anchored rollover</t>
  </si>
  <si>
    <t xml:space="preserve">F-001..F-005</t>
  </si>
  <si>
    <t xml:space="preserve">Review_Findings sheet (tracker v002)</t>
  </si>
  <si>
    <t xml:space="preserve">ST-066 BUILT: AES-256-GCM field encryption envelope (fresh IV, auth tag, version), SecretsVault boundary (EnvVault sandbox / KMS at deploy), token sealing at storage boundary, production TLS assertion, self-verifying encryption evidence drill</t>
  </si>
  <si>
    <t xml:space="preserve">src/security.ts; tests/coldReviewSecurity.test.ts</t>
  </si>
  <si>
    <t xml:space="preserve">Live vault + TLS probe = dev org</t>
  </si>
  <si>
    <t xml:space="preserve">S9-S10</t>
  </si>
  <si>
    <t xml:space="preserve">SECURITY EVIDENCE PACK (sandbox half of ST-068) compiled: docs/security/SECURITY_EVIDENCE.md — auth, encryption at rest/in transit, webhook security, abuse protection, data lifecycle, quality gate, with per-control source+test citations. REVIEW_PACK.md added for external second reviewer (ST-097 stays In progress — same-AI review not independent)</t>
  </si>
  <si>
    <t xml:space="preserve">ST-068, ST-097</t>
  </si>
  <si>
    <t xml:space="preserve">docs/security/</t>
  </si>
  <si>
    <t xml:space="preserve">Pen-test vendor + external reviewer = Senthil</t>
  </si>
  <si>
    <t xml:space="preserve">TEST RUN: 18 suites, 207 tests, 100% all metrics, zero pragmas; tsc clean. One pre-existing webhook test assertion extended for the F-002 response shape (parseError field) — behaviour otherwise unchanged</t>
  </si>
  <si>
    <t xml:space="preserve">S2-S8</t>
  </si>
  <si>
    <t xml:space="preserve">COLD-REVIEW PASS 2 (v015): forecastEngine, forecastRules, scenarioSliders, invoiceNudges, installFlow, notifications, accountantPortal, compliance, telemetry, onboarding reviewed. 4 defects fixed with regressions: F-006 daily re-nudge spam (no sent-history); F-007 purge retained data indefinitely; F-008 silent item drop on bad dates + light/display mismatch; F-009 week-13 monthly-cost omission (optimistic bias)</t>
  </si>
  <si>
    <t xml:space="preserve">F-006..F-009</t>
  </si>
  <si>
    <t xml:space="preserve">Review_Findings extended (tracker v003)</t>
  </si>
  <si>
    <t xml:space="preserve">TEST RUN: 19 suites, 219 tests, 100% all metrics, zero pragmas; tsc clean. Cold review now COMPLETE across all 27 modules (passes 1+2); 9 findings total, all fixed, dispositions = Senthil</t>
  </si>
  <si>
    <t xml:space="preserve">S10-S12</t>
  </si>
  <si>
    <t xml:space="preserve">CODE-PHASE-COMPLETION WAVE (v016): ST-081 chat+SLA engine (vendor optional, D-F6), ST-099 SEO engine half, ST-100 partner tracker w/ honest exit math, ST-080 help search + manifest gate, ST-095 pricing drift gate from billing single source. Backlog ZERO</t>
  </si>
  <si>
    <t xml:space="preserve">ST-080/081/095/099/100</t>
  </si>
  <si>
    <t xml:space="preserve">src/chatSla.ts, src/launchOps.ts</t>
  </si>
  <si>
    <t xml:space="preserve">TEST RUN: 20 suites, 243 tests, 100% all metrics, zero pragmas; tsc clean. FLOWCAST CODE PHASE COMPLETE (third product after TeleField, VoiceBridge). Remaining chain all Senthil live halves</t>
  </si>
  <si>
    <t xml:space="preserve">EXTERNAL VERIFICATION SWEEP (v017): VER-001 webhook 200 carried a body — Xero rejects it (live-blocking, would have failed sweep step 4) -&gt; empty-body contract + telemetry; VER-002 daily 5,000/org budget was untracked -&gt; UTC-day budget in limiter; VER-003 scope audit flagged our own offline_access -&gt; PLATFORM_SCOPES; GAP-1/2 CI + blue/green workflows referenced but nonexistent -&gt; built + parse-verified; 5 claims verified correct</t>
  </si>
  <si>
    <t xml:space="preserve">VER-001..003, GAP-1..2</t>
  </si>
  <si>
    <t xml:space="preserve">docs/live-sweep/external-verification-20260911.md</t>
  </si>
  <si>
    <t xml:space="preserve">TEST RUN: 21 suites, 256 tests, 100% all metrics, zero pragmas; tsc clean. Sweep doc updated (v017 header, steps 4/6/10/12). Two pre-existing assertions updated (encoded pre-fix behaviour)</t>
  </si>
  <si>
    <t xml:space="preserve">INTEGRATION + ARTIFACT AUDIT (v018): GAP-F1 no runnable app existed (live-sweep step 1 would have failed); INT-F1 the v014 plan-limit fix had no callers; INT-F2 token sealing had no callers (plaintext refresh tokens vs security-pack claim); INT-F3 role matrix guarded nothing; INT-F5 read-only blocked nothing. Composition root src/app.ts + httpServer.ts/main.ts built; npm start verified end to end</t>
  </si>
  <si>
    <t xml:space="preserve">GAP-F1, INT-F1..F5</t>
  </si>
  <si>
    <t xml:space="preserve">docs/live-sweep/integration-audit-20260913.md</t>
  </si>
  <si>
    <t xml:space="preserve">TEST RUN: 22 suites, 283 tests, 100% all metrics, zero pragmas; tsc clean; npm run build emits dist/main.js; booted artifact returned {"ok":true,"release":"v018"} on a real socket. Lesson L-F1: unit coverage proves a module executes, never that the product exists or that anything calls it</t>
  </si>
  <si>
    <t xml:space="preserve">COLD-REVIEW PASS 3 (v019) over v018-authored surfaces: F3-01 no OAuth install routes (sweep step 2 would have 404d); F3-02 nothing drained the webhook queue (accepted events evaporated) + unbounded; F3-03 OAuth CSRF state; F3-04 public /health leaked release + queue depth. Dedupe tenant-scoping verified clean and pinned</t>
  </si>
  <si>
    <t xml:space="preserve">F3-01..F3-04</t>
  </si>
  <si>
    <t xml:space="preserve">docs/live-sweep/cold-review-pass3-20260913.md</t>
  </si>
  <si>
    <t xml:space="preserve">TEST RUN: 23 suites, 317 tests, 100% all metrics, zero pragmas; tsc clean; built artifact serves {"ok":true} publicly and full detail to the operator token. R-F9 open: real XeroOAuthClient still missing (R-F4) so /auth/start 503s live — routing half closed, client half is next sprint. Lesson L-F2: anything built in a session gets reviewed in the next one</t>
  </si>
  <si>
    <t xml:space="preserve">REACHABILITY GATE ported from TestPulse pass 5 and wired into CI; first run found GAP-F2 (no scheduler existed — nudge cycle, bank polling, dunning, trial expiry, retention purge, evictions all undriven), R-F10 (requireTls never called), plus 3 dead helpers deleted</t>
  </si>
  <si>
    <t xml:space="preserve">GAP-F2, R-F10</t>
  </si>
  <si>
    <t xml:space="preserve">docs/live-sweep/reachability-gate-20260913.md</t>
  </si>
  <si>
    <t xml:space="preserve">R-F9 CLOSED: real Xero OAuth HTTP client built (token exchange/refresh + connections lookup, injected fetch, single-use code exchanged once). Live-sweep step 2 now has both halves</t>
  </si>
  <si>
    <t xml:space="preserve">R-F9</t>
  </si>
  <si>
    <t xml:space="preserve">src/xeroClient.ts</t>
  </si>
  <si>
    <t xml:space="preserve">Dev org = Senthil</t>
  </si>
  <si>
    <t xml:space="preserve">TEST RUN: 25 suites, 348 tests, 100% all metrics, zero pragmas; tsc clean; gate green in CI. Lesson L-F3: the highest-value finding came from a mechanical check, not closer reading — the gate catches this class every build</t>
  </si>
  <si>
    <t xml:space="preserve">S2, S5, S8</t>
  </si>
  <si>
    <t xml:space="preserve">R-F10 CLOSED: src/xeroApi.ts — accounting API client (invoices/overdue/bank txns) behind the limiter AND breaker; Xero date parsing returns null not NaN with skipped rows reported; single-fetch refactor caught in draft; scheduler wired to live data</t>
  </si>
  <si>
    <t xml:space="preserve">R-F10</t>
  </si>
  <si>
    <t xml:space="preserve">src/xeroApi.ts</t>
  </si>
  <si>
    <t xml:space="preserve">PUBLISHED-CLAIMS GATE ported + wired into CI; it did NOT work on first write (comments satisfied the match) — both gates now strip comments and the failure was re-proved; stricter matching then caught xeroApi.ts unwired</t>
  </si>
  <si>
    <t xml:space="preserve">docs/live-sweep/claims-gate-and-api-client-20260913.md</t>
  </si>
  <si>
    <t xml:space="preserve">TEST RUN: 27 suites, 377 tests, 100% all metrics, zero pragmas; tsc clean; both gates green. Lesson L-F4: a gate you have never seen fail is not a gate</t>
  </si>
  <si>
    <t xml:space="preserve">COLD-REVIEW PASS 4 (v022) over v020/v021 code: F4-01 CRITICAL only the first tenant was ever bank-polled (shared PollState); F4-02 dunning counter mutated through a getter, not persisted; F4-03 full bank history fetched every 15 min, defeating the VER-002 daily budget; F4-04 failed drain destroyed its batch</t>
  </si>
  <si>
    <t xml:space="preserve">F4-01..F4-04</t>
  </si>
  <si>
    <t xml:space="preserve">docs/live-sweep/cold-review-pass4-20260913.md</t>
  </si>
  <si>
    <t xml:space="preserve">TEST RUN: 28 suites, 388 tests, 100% all metrics, zero pragmas; tsc clean; both gates green. F4-01 regressions proved by reintroducing the defect. Lesson L-F5: knowing a defect class does not stop you writing it — only a check that runs against the new code does</t>
  </si>
  <si>
    <t xml:space="preserve">TENANT-ISOLATION GATE built + wired into CI (third gate). Caught two of its OWN bugs during proof-against-real-defect: assignment-stripping hid self-referential carries, and indexOf-based offsets meant 2 of 3 identical tenant loops were never analysed</t>
  </si>
  <si>
    <t xml:space="preserve">docs/live-sweep/tenant-isolation-gate-20260913.md</t>
  </si>
  <si>
    <t xml:space="preserve">TEST RUN: 29 suites, 394 tests, 100% all metrics, zero pragmas; tsc clean; three gates green. Lesson L-F6: a broken static gate does not complain, it approves</t>
  </si>
  <si>
    <t xml:space="preserve">GATE AUDIT: both remaining gates failed their first real proof — HOLE-1 (unused import counted as a caller, so unwiring recordNudge kept the reachability gate green) and HOLE-2 (unused import satisfied the encryption claim while tokens stored plaintext). Both fixed and re-proved; known limits documented</t>
  </si>
  <si>
    <t xml:space="preserve">HOLE-1, HOLE-2</t>
  </si>
  <si>
    <t xml:space="preserve">docs/live-sweep/gate-audit-20260913.md</t>
  </si>
  <si>
    <t xml:space="preserve">TEST RUN: 29 suites, 395 tests, 100% all metrics, zero pragmas; tsc clean; three gates green AND all three now proved against reintroduced real defects. Lesson L-F7: every one of the three gates four silently-permissive bugs passed its own fixture test from the first run</t>
  </si>
  <si>
    <t xml:space="preserve">PORTABLE GATE PACK shipped: gates/prove-gates.js mutates real source to reintroduce each gate own defect and requires the gate to FAIL; all three PROVED; harness meta-proved by reintroducing HOLE-1 (reports BROKEN, exits 1); STALE detection for drifted mutation anchors; gates/README.md porting guide with honest limits</t>
  </si>
  <si>
    <t xml:space="preserve">gates/, docs/live-sweep/gate-pack-20260913.md</t>
  </si>
  <si>
    <t xml:space="preserve">TEST RUN: 29 suites, 395 tests, 100% all metrics, zero pragmas; tsc clean; three gates green, all three proved, harness in CI. Lesson L-F8: what generalises is not the three rules but the harness — any future check should arrive with the mutation that proves it, in the same commit</t>
  </si>
  <si>
    <t xml:space="preserve">AS-BUILT VERIFICATION: 7 stories had sat at Done while the behaviour had no driver or no enforcement (nudge cycle, plan limits, read-only, dunning, bank polling). All true today; each row annotated with the release that actually made it true. Counts verified unchanged at 77/16/2/5</t>
  </si>
  <si>
    <t xml:space="preserve">ST-022/024/041/042/044/060/061</t>
  </si>
  <si>
    <t xml:space="preserve">Full_Backlog as-built column</t>
  </si>
  <si>
    <t xml:space="preserve">SENTHIL_HANDOVER sheet added: all 12 remaining items, none codeable, ordered by leverage — external lead times first (dev org, pen-test vendor, external reviewer, partner application), then dispositions, then decisions, then post-launch</t>
  </si>
  <si>
    <t xml:space="preserve">Senthil_Handover</t>
  </si>
  <si>
    <t xml:space="preserve">S1, S6, S8</t>
  </si>
  <si>
    <t xml:space="preserve">GAP-F3 CLOSED: persistence layer built — schema + 6 cascading migrations, Repository seam (in-memory + Postgres tested through one shared suite), real pg driver, hydration, graceful shutdown, durableStore on /health. Without it blue/green restarts silently reverted six earlier correctness fixes on every deploy</t>
  </si>
  <si>
    <t xml:space="preserve">GAP-F3</t>
  </si>
  <si>
    <t xml:space="preserve">docs/live-sweep/persistence-20260913.md</t>
  </si>
  <si>
    <t xml:space="preserve">TEST RUN: 30 suites, 433 tests, 100% all metrics, zero pragmas; tsc clean; gates proved; artifact boots reporting durableStore. Reachability gate failed the build twice on this sitting own code (unwired layer; closePool with no caller → graceful shutdown missing). Lesson L-F10: gates check code against itself and cannot see an assumption the code never states</t>
  </si>
  <si>
    <t xml:space="preserve">S8, S10</t>
  </si>
  <si>
    <t xml:space="preserve">ENVIRONMENT REVIEW: ENV-1 scheduler assumed one process (blue/green runs two — N nudges per customer per day); ENV-2 accepted events lost on restart after Xero was ACKed and will never redeliver; ENV-3 business hours computed in UTC while published as local. All fixed; /health now reports durableStore and singleWriter</t>
  </si>
  <si>
    <t xml:space="preserve">ENV-1..ENV-3</t>
  </si>
  <si>
    <t xml:space="preserve">docs/live-sweep/environment-review-20260913.md</t>
  </si>
  <si>
    <t xml:space="preserve">TEST RUN: 31 suites, 453 tests, 100% all metrics, zero pragmas; tsc clean; gates proved; artifact boots reporting both guarantees truthfully. OBS-003 (DST) and OBS-004 (per-process webhook rate limiting) logged for disposition. Lesson L-F11: these came from reading the DEPLOY PIPELINE against the APPLICATION CODE — two artifacts each correct alone</t>
  </si>
  <si>
    <t xml:space="preserve">OPS REVIEW: OPS-1 deploy pipeline never ran migrations; OPS-3 /health answered from memory yet gated the traffic switch (the two compound — broken slot, certified healthy); OPS-2 no expand/contract discipline though blue/green runs two releases on one database and rollback re-points after the new schema is applied</t>
  </si>
  <si>
    <t xml:space="preserve">OPS-1..OPS-3</t>
  </si>
  <si>
    <t xml:space="preserve">docs/live-sweep/ops-review-20260913.md</t>
  </si>
  <si>
    <t xml:space="preserve">TEST RUN: 33 suites, 465 tests, 100% all metrics, zero pragmas; tsc clean; FOURTH gate (migration safety) added to CI, three older gates still proved; live boot returns {"ready":true,"store":"ok"}. Lesson L-F12: reviewing artifacts in PAIRS finds what reviewing them in a list does not</t>
  </si>
  <si>
    <t xml:space="preserve">CHAOS REVIEW: CHAOS-1 two void-promise calls on the DB path (one on the webhook fast-ack route) would have TERMINATED THE PROCESS on any Postgres blip — verified on node v22; CHAOS-2 the chaos runbook covered only Xero though Postgres is now in every request path</t>
  </si>
  <si>
    <t xml:space="preserve">CHAOS-1, CHAOS-2</t>
  </si>
  <si>
    <t xml:space="preserve">docs/live-sweep/chaos-review-20260913.md</t>
  </si>
  <si>
    <t xml:space="preserve">TEST RUN: 35 suites, 478 tests, 100% all metrics, zero pragmas; tsc clean; gates proved; live boot ready:true. Lesson L-F13: void promise reads as fire-and-forget and on modern Node means fire-and-exit — asynchronous work needs an owner that catches, counts and reports</t>
  </si>
  <si>
    <t xml:space="preserve">DOCUMENT REVIEW: SECURITY_EVIDENCE.md mentioned the database zero times and REVIEW_PACK.md one of eight new modules — both on Senthil critical path (pen-test scoping, ST-097 external reviewer). Both rewritten against current source; SEC-2 credential redaction added in code with 3 new gate-enforced claims; latency budgets updated for DB round trips</t>
  </si>
  <si>
    <t xml:space="preserve">SEC-1, SEC-2, REV-1, PERF-1</t>
  </si>
  <si>
    <t xml:space="preserve">docs/live-sweep/document-review-20260913.md</t>
  </si>
  <si>
    <t xml:space="preserve">TEST RUN: 35 suites, 485 tests, 100% all metrics, zero pragmas; gates proved. A wrong test count I wrote into the review pack (494 vs 482) was caught and corrected — the exact failure the claims gate exists for, committed while writing about the claims gate. Lesson L-F14: documents aimed at outsiders decay silently because nobody inside reads them</t>
  </si>
  <si>
    <t xml:space="preserve">DOC-FRESHNESS GATE built + proved + wired into CI: outsider-facing documents must acknowledge every module they claim to describe. Fired on first run against documents rewritten six minutes earlier (feature modules omitted from the reviewer map; db/pg never named in the security pack); both completed</t>
  </si>
  <si>
    <t xml:space="preserve">L-F14 closure</t>
  </si>
  <si>
    <t xml:space="preserve">docs/live-sweep/doc-freshness-gate-20260913.md</t>
  </si>
  <si>
    <t xml:space="preserve">TEST RUN: 36 suites, 492 tests, 100% all metrics, zero pragmas; five gates in CI, four provable ones PROVED. The proof harness caught a weak MUTATION (one of two leaderLock mentions) rather than a weak gate — recorded, since a harness that only confirms expectations is no better than the gates it checks. Lesson L-F15</t>
  </si>
  <si>
    <t xml:space="preserve">ASYNC OWNERSHIP: worker drain failures were unhandled rejections invisible to the degradation counter (drainOnce rethrows per F4-04 and the tick had no catch); fixed, plus the SIGTERM shutdown path. Sixth gate built and proved against the CHAOS-1 shape</t>
  </si>
  <si>
    <t xml:space="preserve">L-F13 closure</t>
  </si>
  <si>
    <t xml:space="preserve">tests/asyncOwnershipGate.test.ts</t>
  </si>
  <si>
    <t xml:space="preserve">REVIEW PLAYBOOK (gates/REVIEW_PLAYBOOK.md): the eight passes in the order that worked, the rules learned the hard way, and how to run them elsewhere. 36 suites / 500 tests at 100% zero pragmas; six gates in CI, five provable ones PROVED; live boot ready:true</t>
  </si>
  <si>
    <t xml:space="preserve">gates/REVIEW_PLAYBOOK.md</t>
  </si>
  <si>
    <t xml:space="preserve">TRACEABILITY MATRIX — story → code → automated test → coverage (v008 build, 10 Sep 2026)</t>
  </si>
  <si>
    <t xml:space="preserve">Coverage source: jest --coverage, gate = 100% statements/branches/functions/lines (D13). All Xero platform calls mocked in tests; "pending live" = logic complete, live platform verification outstanding.</t>
  </si>
  <si>
    <t xml:space="preserve">Status (v008)</t>
  </si>
  <si>
    <t xml:space="preserve">Code file(s)</t>
  </si>
  <si>
    <t xml:space="preserve">Automated test file(s)</t>
  </si>
  <si>
    <t xml:space="preserve">Coverage</t>
  </si>
  <si>
    <t xml:space="preserve">Evidence / notes</t>
  </si>
  <si>
    <t xml:space="preserve">src/forecastEngine.ts</t>
  </si>
  <si>
    <t xml:space="preserve">tests/forecastEngine.test.ts</t>
  </si>
  <si>
    <t xml:space="preserve">100%</t>
  </si>
  <si>
    <t xml:space="preserve">defaultInput one-screen setup</t>
  </si>
  <si>
    <t xml:space="preserve">computeForecast happy path, 13-week bucketing</t>
  </si>
  <si>
    <t xml:space="preserve">src/forecastRules.ts</t>
  </si>
  <si>
    <t xml:space="preserve">tests/rulesNotificationsMetrics.test.ts</t>
  </si>
  <si>
    <t xml:space="preserve">Rule builder complete: min_balance / amber_floor / week_drop_pct over week ranges; supersedes amber-floor-only v008 state</t>
  </si>
  <si>
    <t xml:space="preserve">src/forecastEngine.ts; src/compliance.ts</t>
  </si>
  <si>
    <t xml:space="preserve">tests/forecastEngine.test.ts; tests/compliance.test.ts</t>
  </si>
  <si>
    <t xml:space="preserve">validate() named errors; callWithProtection retry</t>
  </si>
  <si>
    <t xml:space="preserve">src/ui/ForecastScreens.tsx</t>
  </si>
  <si>
    <t xml:space="preserve">tests/ui/screens.test.tsx</t>
  </si>
  <si>
    <t xml:space="preserve">ForecastScreen: 13-week table, rule violations, Xero receivables deep link, empty state</t>
  </si>
  <si>
    <t xml:space="preserve">src/featureMetrics.ts; src/ui/MetricsPanel.tsx</t>
  </si>
  <si>
    <t xml:space="preserve">tests/rulesNotificationsMetrics.test.ts; tests/ui/screens.test.tsx</t>
  </si>
  <si>
    <t xml:space="preserve">weeklySeries + trend + MetricsPanel surface</t>
  </si>
  <si>
    <t xml:space="preserve">src/permissions.ts</t>
  </si>
  <si>
    <t xml:space="preserve">tests/permissions.test.ts</t>
  </si>
  <si>
    <t xml:space="preserve">authorize + AuditLog on forecast actions</t>
  </si>
  <si>
    <t xml:space="preserve">setEnabled preserves lastInput</t>
  </si>
  <si>
    <t xml:space="preserve">src/accountantPortal.ts</t>
  </si>
  <si>
    <t xml:space="preserve">tests/accountantPortal.test.ts</t>
  </si>
  <si>
    <t xml:space="preserve">importCsv shared migration importer</t>
  </si>
  <si>
    <t xml:space="preserve">src/notifications.ts</t>
  </si>
  <si>
    <t xml:space="preserve">dispatch in-app+email, per-type mute, daily digest (forecast event types)</t>
  </si>
  <si>
    <t xml:space="preserve">src/scenarioSliders.ts</t>
  </si>
  <si>
    <t xml:space="preserve">tests/scenarioSliders.test.ts</t>
  </si>
  <si>
    <t xml:space="preserve">baselineScenario defaults</t>
  </si>
  <si>
    <t xml:space="preserve">applyScenario levers + recompute</t>
  </si>
  <si>
    <t xml:space="preserve">validateScenario custom lever ranges</t>
  </si>
  <si>
    <t xml:space="preserve">src/scenarioSliders.ts; src/compliance.ts</t>
  </si>
  <si>
    <t xml:space="preserve">tests/scenarioSliders.test.ts; tests/compliance.test.ts</t>
  </si>
  <si>
    <t xml:space="preserve">SCENARIO_INVALID errors; retry via callWithProtection</t>
  </si>
  <si>
    <t xml:space="preserve">ScenarioScreen: four sliders, live preview (min closing, first red week)</t>
  </si>
  <si>
    <t xml:space="preserve">Shared metrics module + panel</t>
  </si>
  <si>
    <t xml:space="preserve">scenario.view/edit in role matrix + audit</t>
  </si>
  <si>
    <t xml:space="preserve">src/notifications.ts (featureToggles)</t>
  </si>
  <si>
    <t xml:space="preserve">setFeatureEnabled preserves all config/data</t>
  </si>
  <si>
    <t xml:space="preserve">tests/ui/reliabilityDemoA11y.test.tsx</t>
  </si>
  <si>
    <t xml:space="preserve">scenario.* event types in dispatch/mute/digest</t>
  </si>
  <si>
    <t xml:space="preserve">src/invoiceNudges.ts</t>
  </si>
  <si>
    <t xml:space="preserve">tests/invoiceNudges.test.ts</t>
  </si>
  <si>
    <t xml:space="preserve">defaultRules 3/10/21-day ladder</t>
  </si>
  <si>
    <t xml:space="preserve">planNudges highest-matching-rule selection</t>
  </si>
  <si>
    <t xml:space="preserve">validateRules custom rule validation</t>
  </si>
  <si>
    <t xml:space="preserve">sendNudges one-retry + NUDGE_SEND_FAILED surfacing</t>
  </si>
  <si>
    <t xml:space="preserve">src/ui/FeatureScreens.tsx</t>
  </si>
  <si>
    <t xml:space="preserve">NudgesScreen: planned list, test-mode badge, enable + per-type mute controls</t>
  </si>
  <si>
    <t xml:space="preserve">nudge.view/edit/send in role matrix + audit</t>
  </si>
  <si>
    <t xml:space="preserve">settings.enabled pause path</t>
  </si>
  <si>
    <t xml:space="preserve">mutedTypes per-type mute</t>
  </si>
  <si>
    <t xml:space="preserve">addClient multi-client link</t>
  </si>
  <si>
    <t xml:space="preserve">clientBook reds-first rollup</t>
  </si>
  <si>
    <t xml:space="preserve">src/notifications.ts (applyPortalRules)</t>
  </si>
  <si>
    <t xml:space="preserve">client_red / client_amber / light_changed triggers -&gt; notify / pin_top</t>
  </si>
  <si>
    <t xml:space="preserve">PORTAL_DUPLICATE / PORTAL_NOT_FOUND error paths</t>
  </si>
  <si>
    <t xml:space="preserve">PortalScreen: client book, lights, contact deep links, empty state</t>
  </si>
  <si>
    <t xml:space="preserve">portal.view/manageClients in role matrix + audit</t>
  </si>
  <si>
    <t xml:space="preserve">portal.* event types in dispatch/mute/digest</t>
  </si>
  <si>
    <t xml:space="preserve">src/anomalyAlerts.ts</t>
  </si>
  <si>
    <t xml:space="preserve">tests/anomalyAlerts.test.ts</t>
  </si>
  <si>
    <t xml:space="preserve">defaultConfig sensible thresholds</t>
  </si>
  <si>
    <t xml:space="preserve">detectAnomalies z-score outliers + duplicate window</t>
  </si>
  <si>
    <t xml:space="preserve">validateConfig custom thresholds</t>
  </si>
  <si>
    <t xml:space="preserve">ANOMALY_INVALID errors; upstream retry wrapper</t>
  </si>
  <si>
    <t xml:space="preserve">AnomaliesScreen: alert list, paused state, bank-txn deep link, empty state</t>
  </si>
  <si>
    <t xml:space="preserve">anomaly.view/configure in role matrix + audit</t>
  </si>
  <si>
    <t xml:space="preserve">config.enabled pause path</t>
  </si>
  <si>
    <t xml:space="preserve">anomaly.* event types in dispatch + digest with per-type mute</t>
  </si>
  <si>
    <t xml:space="preserve">src/installFlow.ts</t>
  </si>
  <si>
    <t xml:space="preserve">tests/installFlow.test.ts</t>
  </si>
  <si>
    <t xml:space="preserve">OAuth exchange + welcome state; Xero client mocked — needs live dev-org install</t>
  </si>
  <si>
    <t xml:space="preserve">uninstall webhook: token removal + 30-day deletion schedule; needs live webhook wiring</t>
  </si>
  <si>
    <t xml:space="preserve">re-install restore within retention window</t>
  </si>
  <si>
    <t xml:space="preserve">owner/admin/member matrix, can() enforced</t>
  </si>
  <si>
    <t xml:space="preserve">getValidToken refresh + rotated-token storage; needs live token rotation test</t>
  </si>
  <si>
    <t xml:space="preserve">install source attribution captured on Account</t>
  </si>
  <si>
    <t xml:space="preserve">src/billing.ts</t>
  </si>
  <si>
    <t xml:space="preserve">tests/billing.test.ts</t>
  </si>
  <si>
    <t xml:space="preserve">14-day trial, banner day counts</t>
  </si>
  <si>
    <t xml:space="preserve">prorate() credit/charge for remaining days</t>
  </si>
  <si>
    <t xml:space="preserve">selectBillingRail marketplace/Stripe routing; live Xero billing API integration pending</t>
  </si>
  <si>
    <t xml:space="preserve">7-day grace, day-0/3/6 dunning, read-only after</t>
  </si>
  <si>
    <t xml:space="preserve">checkLimit 80%/100% prompts</t>
  </si>
  <si>
    <t xml:space="preserve">buildInvoice GST/VAT/None fields</t>
  </si>
  <si>
    <t xml:space="preserve">cancelFlow save-offer + exit survey</t>
  </si>
  <si>
    <t xml:space="preserve">src/compliance.ts</t>
  </si>
  <si>
    <t xml:space="preserve">tests/compliance.test.ts</t>
  </si>
  <si>
    <t xml:space="preserve">auditScopes justified/unjustified/missing</t>
  </si>
  <si>
    <t xml:space="preserve">src/compliance.ts; src/installFlow.ts</t>
  </si>
  <si>
    <t xml:space="preserve">tests/compliance.test.ts; tests/installFlow.test.ts</t>
  </si>
  <si>
    <t xml:space="preserve">retentionPolicy() aligned to 30-day uninstall window</t>
  </si>
  <si>
    <t xml:space="preserve">src/security.ts</t>
  </si>
  <si>
    <t xml:space="preserve">tests/coldReviewSecurity.test.ts</t>
  </si>
  <si>
    <t xml:space="preserve">AES-256-GCM envelope + vault boundary + token sealing + TLS assertion built; live vault (KMS) + deployed TLS probe pending</t>
  </si>
  <si>
    <t xml:space="preserve">AuditLog records allow+deny with timestamps</t>
  </si>
  <si>
    <t xml:space="preserve">docs/security/SECURITY_EVIDENCE.md</t>
  </si>
  <si>
    <t xml:space="preserve">Sandbox evidence half compiled with per-control citations; external pen-test = vendor half (Senthil)</t>
  </si>
  <si>
    <t xml:space="preserve">exportTenantData / deleteTenantData self-serve</t>
  </si>
  <si>
    <t xml:space="preserve">backoffDelayMs + CircuitBreaker + callWithProtection</t>
  </si>
  <si>
    <t xml:space="preserve">src/telemetry.ts</t>
  </si>
  <si>
    <t xml:space="preserve">tests/telemetry.test.ts</t>
  </si>
  <si>
    <t xml:space="preserve">funnelReport install→setup→aha→habit</t>
  </si>
  <si>
    <t xml:space="preserve">errorSpike window + errorsByRelease tagging</t>
  </si>
  <si>
    <t xml:space="preserve">usageHeatmap per feature</t>
  </si>
  <si>
    <t xml:space="preserve">weeklyEmail payload</t>
  </si>
  <si>
    <t xml:space="preserve">healthScore usage+billing+support</t>
  </si>
  <si>
    <t xml:space="preserve">metricsToCsv export</t>
  </si>
  <si>
    <t xml:space="preserve">defaultThresholds + evaluateAlerts</t>
  </si>
  <si>
    <t xml:space="preserve">src/onboarding.ts</t>
  </si>
  <si>
    <t xml:space="preserve">tests/onboarding.test.ts</t>
  </si>
  <si>
    <t xml:space="preserve">ordered checklist, aha stamp, &lt;1-day target check</t>
  </si>
  <si>
    <t xml:space="preserve">EMPTY_STATES copy for all six screens</t>
  </si>
  <si>
    <t xml:space="preserve">src/launchOps.ts (search + manifest); docs/help/01..15</t>
  </si>
  <si>
    <t xml:space="preserve">ranked search + manifest-vs-directory gate; hosting/publish pending</t>
  </si>
  <si>
    <t xml:space="preserve">src/chatSla.ts</t>
  </si>
  <si>
    <t xml:space="preserve">built-in chat + 4-business-hr SLA engine (business-hours math, breach queue); vendor decision now optional (D-F6)</t>
  </si>
  <si>
    <t xml:space="preserve">shouldAskReview once, 1 day post-aha</t>
  </si>
  <si>
    <t xml:space="preserve">src/demoData.ts; docs/demo/video-script.md</t>
  </si>
  <si>
    <t xml:space="preserve">Demo mode coded (deterministic red-week arc); 2-min script+shot list drafted; recording pending</t>
  </si>
  <si>
    <t xml:space="preserve">incidentComms template</t>
  </si>
  <si>
    <t xml:space="preserve">jest.config.js</t>
  </si>
  <si>
    <t xml:space="preserve">full suite (11 files, 120 tests)</t>
  </si>
  <si>
    <t xml:space="preserve">Gate implemented as jest coverageThreshold=100 (all four metrics); achieved this build</t>
  </si>
  <si>
    <t xml:space="preserve">runs npx jest --coverage (13 suites, 148 tests)</t>
  </si>
  <si>
    <t xml:space="preserve">Workflow triggers on push/PR/deployment with typecheck + 100% gate; live repo/deploy hookup pending</t>
  </si>
  <si>
    <t xml:space="preserve">src/reliability.ts; docs/reliability/latency-budgets.md</t>
  </si>
  <si>
    <t xml:space="preserve">Budgets defined per surface + p95/evaluateBudget; APM monitoring hookup pending</t>
  </si>
  <si>
    <t xml:space="preserve">docs/loadtest/k6-flowcast.js</t>
  </si>
  <si>
    <t xml:space="preserve">thresholds mirror latency-budgets p95</t>
  </si>
  <si>
    <t xml:space="preserve">k6 harness ready: steady/burst(25 rps)/webhook-storm scenarios at 5x launch assumptions; run pending staging</t>
  </si>
  <si>
    <t xml:space="preserve">all src/ui/*.tsx</t>
  </si>
  <si>
    <t xml:space="preserve">tests/ui/reliabilityDemoA11y.test.tsx (jest-axe)</t>
  </si>
  <si>
    <t xml:space="preserve">Automated axe pass, zero violations on all 7 surfaces; live full-flow AA audit pending</t>
  </si>
  <si>
    <t xml:space="preserve">docs/runbooks/backup-restore-drill.md</t>
  </si>
  <si>
    <t xml:space="preserve">Policy + drill procedure + RTO/RPO targets drafted; first drill needs live infra</t>
  </si>
  <si>
    <t xml:space="preserve">src/reliability.ts; src/ui/DegradedBanner.tsx; docs/runbooks/chaos-platform-outage.md</t>
  </si>
  <si>
    <t xml:space="preserve">Breaker→level mapping + honest user comms + banner; staging chaos drill pending</t>
  </si>
  <si>
    <t xml:space="preserve">.github/workflows/deploy.yml</t>
  </si>
  <si>
    <t xml:space="preserve">test-gate job = full 100% suite</t>
  </si>
  <si>
    <t xml:space="preserve">Blue/green workflow drafted: 100%-gate -&gt; idle-colour deploy -&gt; health+smoke gate -&gt; atomic swap -&gt; warm rollback; live verification pending infra</t>
  </si>
  <si>
    <t xml:space="preserve">docs/listing/listing-copy-A.md; listing-copy-B.md</t>
  </si>
  <si>
    <t xml:space="preserve">A (forecast-led) + B (chasing-led, accountant channel) drafted; Senthil review pending</t>
  </si>
  <si>
    <t xml:space="preserve">docs/listing/asset-specs-and-shot-plan.md</t>
  </si>
  <si>
    <t xml:space="preserve">Specs + 5-shot plan drafted; capture needs deployed UI</t>
  </si>
  <si>
    <t xml:space="preserve">src/launchOps.ts (renderPricingMatrix); docs/listing/pricing-page.md</t>
  </si>
  <si>
    <t xml:space="preserve">matrix generated from billing.ts; DRIFT GATE test binds published page to enforced constants; publish pending</t>
  </si>
  <si>
    <t xml:space="preserve">docs/listing/security-trust-page.md</t>
  </si>
  <si>
    <t xml:space="preserve">Scope mapping, retention, controls, subprocessor list drafted; final subprocessors at launch</t>
  </si>
  <si>
    <t xml:space="preserve">First-pass dry-run done: gap (a) dev org — Senthil; gap (b) content webhooks CLOSED in v011 (WBH-001); 6 live-verify items remain; second pass = Senthil</t>
  </si>
  <si>
    <t xml:space="preserve">docs/runbooks/launch-day.md</t>
  </si>
  <si>
    <t xml:space="preserve">Runbook complete: T-1 freeze, hourly monitoring set, rollback trigger+path, comms tree, support surge</t>
  </si>
  <si>
    <t xml:space="preserve">src/launchOps.ts (seoSuggestions)</t>
  </si>
  <si>
    <t xml:space="preserve">promote/keyword/demote engine with 100-impression thin-data floor; live half needs post-launch search-term data</t>
  </si>
  <si>
    <t xml:space="preserve">src/launchOps.ts (PartnerTracker)</t>
  </si>
  <si>
    <t xml:space="preserve">10 slots, 7-day stale-nudge, exit math separating reviews from G-02 paying strangers; outreach = Senthil</t>
  </si>
  <si>
    <t xml:space="preserve">Summary (v010): 77 Done · 8 Code-complete — pending live · 7 Drafted — pending publish/review · 2 In progress · 6 Backlog (live-infra: ST-066/068/088/092; post-launch: ST-099/100). Test evidence: 14 suites / 155 tests / 100-100-100-100 incl. jest-axe WCAG pass; tsc clean.</t>
  </si>
  <si>
    <t xml:space="preserve">EQ+</t>
  </si>
  <si>
    <t xml:space="preserve">src/webhooks.ts</t>
  </si>
  <si>
    <t xml:space="preserve">tests/webhooks.test.ts</t>
  </si>
  <si>
    <t xml:space="preserve">Dry-run gap #4 closed in code: HMAC-SHA256 signature verify (constant-time, intent-to-receive), fast-ack + idempotent queue with retry/dead-letter/redelivery-heal, invoice/contact/subscription action mapping (payment cancels nudges), bank-txn polling behind shared circuit breaker (no platform webhook exists — 15-min poll documented). Live wiring pending dev org. Unnumbered: added post-baseline from dry-run, outside ST-001..100 board counts by design</t>
  </si>
  <si>
    <t xml:space="preserve">Done (code)</t>
  </si>
  <si>
    <t xml:space="preserve">src/rateLimiter.ts</t>
  </si>
  <si>
    <t xml:space="preserve">tests/rateLimitQaHttp.test.ts</t>
  </si>
  <si>
    <t xml:space="preserve">Checklist #3 hardening: proactive per-tenant 60/min sliding-window limiter + paced execution (complements reactive backoff/breaker); live verification pending</t>
  </si>
  <si>
    <t xml:space="preserve">src/server.ts</t>
  </si>
  <si>
    <t xml:space="preserve">HTTP wiring layer: routed fast-ack webhook endpoint (raw-body signature contract) + /health with release + queue depth; net binding is 5 lines at deploy</t>
  </si>
  <si>
    <t xml:space="preserve">QA-007</t>
  </si>
  <si>
    <t xml:space="preserve">Done (logic drill)</t>
  </si>
  <si>
    <t xml:space="preserve">src/qaDatasets.ts (twentyClientBook)</t>
  </si>
  <si>
    <t xml:space="preserve">Checklist #7: 20-client book drill — risk-first sort + portal rules at scale verified</t>
  </si>
  <si>
    <t xml:space="preserve">QA-008</t>
  </si>
  <si>
    <t xml:space="preserve">src/qaDatasets.ts (twelveMonthFeed); src/anomalyAlerts.ts (detectWithHistory)</t>
  </si>
  <si>
    <t xml:space="preserve">Checklist #8: 12-month drill caught a REAL defect — isolated small-batch scans hide lone outliers (self-inflated sigma). Fixed: production scans batch against trailing history; all 3 planted faults caught, false positives &lt;= 2</t>
  </si>
  <si>
    <t xml:space="preserve">src/config.ts; .env.example</t>
  </si>
  <si>
    <t xml:space="preserve">tests/config.test.ts</t>
  </si>
  <si>
    <t xml:space="preserve">Typed config loader: all live credentials named + validated at boot (missing keys listed at once; https redirect enforced; Stripe key required only outside UK/AU/NZ). Live-sweep readiness</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</si>
</sst>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FFFFFF"/>
      <name val="Arial"/>
      <family val="0"/>
      <charset val="1"/>
    </font>
    <font>
      <sz val="10"/>
      <name val="Arial"/>
      <family val="0"/>
      <charset val="1"/>
    </font>
    <font>
      <b val="true"/>
      <sz val="12"/>
      <name val="Arial"/>
      <family val="0"/>
      <charset val="1"/>
    </font>
    <font>
      <i val="true"/>
      <sz val="10"/>
      <name val="Arial"/>
      <family val="0"/>
      <charset val="1"/>
    </font>
    <font>
      <b val="true"/>
      <sz val="10"/>
      <name val="Arial"/>
      <family val="0"/>
      <charset val="1"/>
    </font>
    <font>
      <b val="true"/>
      <sz val="13"/>
      <name val="Arial"/>
      <family val="0"/>
      <charset val="1"/>
    </font>
    <font>
      <b val="true"/>
      <sz val="11"/>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2F5496"/>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24"/>
    <col collapsed="false" customWidth="true" hidden="false" outlineLevel="0" max="4" min="4" style="1" width="80"/>
    <col collapsed="false" customWidth="true" hidden="false" outlineLevel="0" max="5" min="5" style="1" width="12"/>
  </cols>
  <sheetData>
    <row r="1" customFormat="false" ht="17.25" hidden="false" customHeight="true" outlineLevel="0" collapsed="false">
      <c r="A1" s="2" t="s">
        <v>0</v>
      </c>
    </row>
    <row r="3" customFormat="false" ht="15" hidden="false" customHeight="true" outlineLevel="0" collapsed="false">
      <c r="A3" s="3" t="s">
        <v>1</v>
      </c>
      <c r="B3" s="3" t="s">
        <v>2</v>
      </c>
      <c r="C3" s="3" t="s">
        <v>3</v>
      </c>
      <c r="D3" s="3" t="s">
        <v>4</v>
      </c>
      <c r="E3" s="3" t="s">
        <v>5</v>
      </c>
    </row>
    <row r="4" customFormat="false" ht="23.25" hidden="false" customHeight="true" outlineLevel="0" collapsed="false">
      <c r="A4" s="4" t="s">
        <v>6</v>
      </c>
      <c r="B4" s="4" t="s">
        <v>7</v>
      </c>
      <c r="C4" s="4" t="s">
        <v>8</v>
      </c>
      <c r="D4" s="4" t="s">
        <v>9</v>
      </c>
      <c r="E4" s="4" t="s">
        <v>10</v>
      </c>
    </row>
    <row r="5" customFormat="false" ht="34.5" hidden="false" customHeight="true" outlineLevel="0" collapsed="false">
      <c r="A5" s="4" t="s">
        <v>11</v>
      </c>
      <c r="B5" s="4" t="s">
        <v>12</v>
      </c>
      <c r="C5" s="4" t="s">
        <v>8</v>
      </c>
      <c r="D5" s="4" t="s">
        <v>13</v>
      </c>
      <c r="E5" s="4" t="s">
        <v>10</v>
      </c>
    </row>
    <row r="6" customFormat="false" ht="23.25" hidden="false" customHeight="true" outlineLevel="0" collapsed="false">
      <c r="A6" s="5" t="s">
        <v>14</v>
      </c>
      <c r="B6" s="5" t="s">
        <v>15</v>
      </c>
      <c r="C6" s="5" t="s">
        <v>8</v>
      </c>
      <c r="D6" s="5" t="s">
        <v>16</v>
      </c>
      <c r="E6" s="5" t="s">
        <v>10</v>
      </c>
    </row>
    <row r="7" customFormat="false" ht="15" hidden="false" customHeight="true" outlineLevel="0" collapsed="false">
      <c r="A7" s="6" t="s">
        <v>17</v>
      </c>
      <c r="B7" s="6" t="s">
        <v>18</v>
      </c>
      <c r="C7" s="6" t="s">
        <v>8</v>
      </c>
      <c r="D7" s="6" t="s">
        <v>19</v>
      </c>
      <c r="E7" s="6" t="s">
        <v>10</v>
      </c>
    </row>
    <row r="8" customFormat="false" ht="15" hidden="false" customHeight="true" outlineLevel="0" collapsed="false">
      <c r="A8" s="6" t="s">
        <v>20</v>
      </c>
      <c r="B8" s="6" t="s">
        <v>21</v>
      </c>
      <c r="C8" s="6" t="s">
        <v>8</v>
      </c>
      <c r="D8" s="6" t="s">
        <v>22</v>
      </c>
      <c r="E8" s="6" t="s">
        <v>10</v>
      </c>
    </row>
    <row r="9" customFormat="false" ht="15" hidden="false" customHeight="true" outlineLevel="0" collapsed="false">
      <c r="A9" s="6" t="s">
        <v>23</v>
      </c>
      <c r="B9" s="6" t="s">
        <v>24</v>
      </c>
      <c r="C9" s="6" t="s">
        <v>8</v>
      </c>
      <c r="D9" s="6" t="s">
        <v>25</v>
      </c>
      <c r="E9" s="6" t="s">
        <v>10</v>
      </c>
    </row>
    <row r="10" customFormat="false" ht="15" hidden="false" customHeight="true" outlineLevel="0" collapsed="false">
      <c r="A10" s="6" t="s">
        <v>26</v>
      </c>
      <c r="B10" s="6" t="s">
        <v>27</v>
      </c>
      <c r="C10" s="6" t="s">
        <v>8</v>
      </c>
      <c r="D10" s="6" t="s">
        <v>28</v>
      </c>
      <c r="E10" s="6" t="s">
        <v>10</v>
      </c>
    </row>
    <row r="11" customFormat="false" ht="15" hidden="false" customHeight="true" outlineLevel="0" collapsed="false">
      <c r="A11" s="6" t="s">
        <v>29</v>
      </c>
      <c r="B11" s="6" t="s">
        <v>30</v>
      </c>
      <c r="C11" s="6" t="s">
        <v>8</v>
      </c>
      <c r="D11" s="6" t="s">
        <v>31</v>
      </c>
      <c r="E11" s="6" t="s">
        <v>10</v>
      </c>
    </row>
    <row r="12" customFormat="false" ht="15" hidden="false" customHeight="true" outlineLevel="0" collapsed="false">
      <c r="A12" s="6" t="s">
        <v>32</v>
      </c>
      <c r="B12" s="6" t="s">
        <v>33</v>
      </c>
      <c r="C12" s="6" t="s">
        <v>8</v>
      </c>
      <c r="D12" s="6" t="s">
        <v>34</v>
      </c>
      <c r="E12" s="6" t="s">
        <v>10</v>
      </c>
    </row>
    <row r="13" customFormat="false" ht="15" hidden="false" customHeight="true" outlineLevel="0" collapsed="false">
      <c r="A13" s="6" t="s">
        <v>35</v>
      </c>
      <c r="B13" s="6" t="s">
        <v>36</v>
      </c>
      <c r="C13" s="6" t="s">
        <v>8</v>
      </c>
      <c r="D13" s="6" t="s">
        <v>37</v>
      </c>
      <c r="E13" s="6" t="s">
        <v>10</v>
      </c>
    </row>
    <row r="14" customFormat="false" ht="15" hidden="false" customHeight="true" outlineLevel="0" collapsed="false">
      <c r="A14" s="6" t="s">
        <v>38</v>
      </c>
      <c r="B14" s="6" t="s">
        <v>39</v>
      </c>
      <c r="C14" s="6" t="s">
        <v>8</v>
      </c>
      <c r="D14" s="6" t="s">
        <v>40</v>
      </c>
      <c r="E14" s="6" t="s">
        <v>10</v>
      </c>
    </row>
    <row r="15" customFormat="false" ht="15" hidden="false" customHeight="true" outlineLevel="0" collapsed="false">
      <c r="A15" s="6" t="s">
        <v>41</v>
      </c>
      <c r="B15" s="6" t="s">
        <v>42</v>
      </c>
      <c r="C15" s="6" t="s">
        <v>8</v>
      </c>
      <c r="D15" s="6" t="s">
        <v>43</v>
      </c>
      <c r="E15" s="6" t="s">
        <v>10</v>
      </c>
    </row>
    <row r="16" customFormat="false" ht="15" hidden="false" customHeight="true" outlineLevel="0" collapsed="false">
      <c r="A16" s="6" t="s">
        <v>44</v>
      </c>
      <c r="B16" s="6" t="s">
        <v>45</v>
      </c>
      <c r="C16" s="6" t="s">
        <v>8</v>
      </c>
      <c r="D16" s="6" t="s">
        <v>46</v>
      </c>
      <c r="E16" s="6" t="s">
        <v>10</v>
      </c>
    </row>
    <row r="17" customFormat="false" ht="15" hidden="false" customHeight="true" outlineLevel="0" collapsed="false">
      <c r="A17" s="6" t="s">
        <v>47</v>
      </c>
      <c r="B17" s="6" t="s">
        <v>48</v>
      </c>
      <c r="C17" s="6" t="s">
        <v>8</v>
      </c>
      <c r="D17" s="6" t="s">
        <v>49</v>
      </c>
      <c r="E17" s="6" t="s">
        <v>10</v>
      </c>
    </row>
    <row r="18" customFormat="false" ht="15" hidden="false" customHeight="true" outlineLevel="0" collapsed="false">
      <c r="A18" s="6" t="s">
        <v>50</v>
      </c>
      <c r="B18" s="6" t="s">
        <v>51</v>
      </c>
      <c r="C18" s="6" t="s">
        <v>8</v>
      </c>
      <c r="D18" s="6" t="s">
        <v>52</v>
      </c>
      <c r="E18" s="6" t="s">
        <v>10</v>
      </c>
    </row>
    <row r="19" customFormat="false" ht="15" hidden="false" customHeight="true" outlineLevel="0" collapsed="false">
      <c r="A19" s="6" t="s">
        <v>53</v>
      </c>
      <c r="B19" s="6" t="s">
        <v>54</v>
      </c>
      <c r="C19" s="6" t="s">
        <v>8</v>
      </c>
      <c r="D19" s="6" t="s">
        <v>55</v>
      </c>
      <c r="E19" s="6" t="s">
        <v>10</v>
      </c>
    </row>
    <row r="20" customFormat="false" ht="15" hidden="false" customHeight="true" outlineLevel="0" collapsed="false">
      <c r="A20" s="6" t="s">
        <v>56</v>
      </c>
      <c r="B20" s="6" t="s">
        <v>57</v>
      </c>
      <c r="C20" s="6" t="s">
        <v>8</v>
      </c>
      <c r="D20" s="6" t="s">
        <v>58</v>
      </c>
      <c r="E20" s="6" t="s">
        <v>10</v>
      </c>
    </row>
    <row r="21" customFormat="false" ht="15" hidden="false" customHeight="true" outlineLevel="0" collapsed="false">
      <c r="A21" s="6" t="s">
        <v>59</v>
      </c>
      <c r="B21" s="6" t="s">
        <v>60</v>
      </c>
      <c r="C21" s="6" t="s">
        <v>8</v>
      </c>
      <c r="D21" s="6" t="s">
        <v>61</v>
      </c>
      <c r="E21" s="6" t="s">
        <v>10</v>
      </c>
    </row>
    <row r="22" customFormat="false" ht="15" hidden="false" customHeight="true" outlineLevel="0" collapsed="false">
      <c r="A22" s="6" t="s">
        <v>62</v>
      </c>
      <c r="B22" s="6" t="s">
        <v>63</v>
      </c>
      <c r="C22" s="6" t="s">
        <v>8</v>
      </c>
      <c r="D22" s="6" t="s">
        <v>64</v>
      </c>
      <c r="E22" s="6" t="s">
        <v>10</v>
      </c>
    </row>
    <row r="23" customFormat="false" ht="15" hidden="false" customHeight="true" outlineLevel="0" collapsed="false">
      <c r="A23" s="6" t="s">
        <v>65</v>
      </c>
      <c r="B23" s="6" t="s">
        <v>66</v>
      </c>
      <c r="C23" s="6" t="s">
        <v>8</v>
      </c>
      <c r="D23" s="6" t="s">
        <v>67</v>
      </c>
      <c r="E23" s="6" t="s">
        <v>10</v>
      </c>
    </row>
    <row r="24" customFormat="false" ht="15" hidden="false" customHeight="true" outlineLevel="0" collapsed="false">
      <c r="A24" s="6" t="s">
        <v>68</v>
      </c>
      <c r="B24" s="6" t="s">
        <v>69</v>
      </c>
      <c r="C24" s="6" t="s">
        <v>8</v>
      </c>
      <c r="D24" s="6" t="s">
        <v>70</v>
      </c>
      <c r="E24" s="6" t="s">
        <v>10</v>
      </c>
    </row>
    <row r="25" customFormat="false" ht="15" hidden="false" customHeight="true" outlineLevel="0" collapsed="false">
      <c r="A25" s="6" t="s">
        <v>71</v>
      </c>
      <c r="B25" s="6" t="s">
        <v>72</v>
      </c>
      <c r="C25" s="6" t="s">
        <v>8</v>
      </c>
      <c r="D25" s="6" t="s">
        <v>73</v>
      </c>
      <c r="E25" s="6" t="s">
        <v>10</v>
      </c>
    </row>
    <row r="26" customFormat="false" ht="15" hidden="false" customHeight="true" outlineLevel="0" collapsed="false">
      <c r="A26" s="6" t="s">
        <v>74</v>
      </c>
      <c r="B26" s="6" t="s">
        <v>75</v>
      </c>
      <c r="C26" s="6" t="s">
        <v>8</v>
      </c>
      <c r="D26" s="6" t="s">
        <v>76</v>
      </c>
      <c r="E26" s="6" t="s">
        <v>10</v>
      </c>
    </row>
    <row r="27" customFormat="false" ht="15" hidden="false" customHeight="true" outlineLevel="0" collapsed="false">
      <c r="A27" s="6" t="s">
        <v>77</v>
      </c>
      <c r="B27" s="6" t="s">
        <v>78</v>
      </c>
      <c r="C27" s="6" t="s">
        <v>8</v>
      </c>
      <c r="D27" s="6" t="s">
        <v>79</v>
      </c>
      <c r="E27" s="6" t="s">
        <v>10</v>
      </c>
    </row>
    <row r="28" customFormat="false" ht="15" hidden="false" customHeight="true" outlineLevel="0" collapsed="false">
      <c r="A28" s="6" t="s">
        <v>80</v>
      </c>
      <c r="B28" s="6" t="s">
        <v>81</v>
      </c>
      <c r="C28" s="6" t="s">
        <v>8</v>
      </c>
      <c r="D28" s="6" t="s">
        <v>82</v>
      </c>
      <c r="E28" s="6" t="s">
        <v>10</v>
      </c>
    </row>
    <row r="29" customFormat="false" ht="15" hidden="false" customHeight="true" outlineLevel="0" collapsed="false">
      <c r="A29" s="6" t="s">
        <v>83</v>
      </c>
      <c r="B29" s="6" t="s">
        <v>84</v>
      </c>
      <c r="C29" s="6" t="s">
        <v>8</v>
      </c>
      <c r="D29" s="6" t="s">
        <v>85</v>
      </c>
      <c r="E29" s="6" t="s">
        <v>10</v>
      </c>
    </row>
    <row r="30" customFormat="false" ht="15" hidden="false" customHeight="true" outlineLevel="0" collapsed="false">
      <c r="A30" s="6" t="s">
        <v>86</v>
      </c>
      <c r="B30" s="6" t="s">
        <v>87</v>
      </c>
      <c r="C30" s="6" t="s">
        <v>8</v>
      </c>
      <c r="D30" s="6" t="s">
        <v>88</v>
      </c>
      <c r="E30" s="6" t="s">
        <v>10</v>
      </c>
    </row>
    <row r="31" customFormat="false" ht="15" hidden="false" customHeight="true" outlineLevel="0" collapsed="false">
      <c r="A31" s="6" t="s">
        <v>89</v>
      </c>
      <c r="B31" s="6" t="s">
        <v>90</v>
      </c>
      <c r="C31" s="6" t="s">
        <v>8</v>
      </c>
      <c r="D31" s="6" t="s">
        <v>91</v>
      </c>
      <c r="E31" s="6" t="s">
        <v>10</v>
      </c>
    </row>
    <row r="32" customFormat="false" ht="15" hidden="false" customHeight="false" outlineLevel="0" collapsed="false">
      <c r="A32" s="6" t="s">
        <v>92</v>
      </c>
      <c r="B32" s="6"/>
      <c r="C32" s="6"/>
      <c r="D32" s="6" t="s">
        <v>93</v>
      </c>
      <c r="E32" s="6"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7.25" hidden="false" customHeight="true" outlineLevel="0" collapsed="false">
      <c r="A1" s="2" t="s">
        <v>95</v>
      </c>
    </row>
    <row r="3" customFormat="false" ht="27.75" hidden="false" customHeight="true" outlineLevel="0" collapsed="false">
      <c r="A3" s="7" t="s">
        <v>96</v>
      </c>
    </row>
    <row r="4" customFormat="false" ht="27.75" hidden="false" customHeight="true" outlineLevel="0" collapsed="false">
      <c r="A4" s="7" t="s">
        <v>97</v>
      </c>
    </row>
    <row r="5" customFormat="false" ht="27.75" hidden="false" customHeight="true" outlineLevel="0" collapsed="false">
      <c r="A5" s="7" t="s">
        <v>98</v>
      </c>
    </row>
    <row r="6" customFormat="false" ht="27.75" hidden="false" customHeight="true" outlineLevel="0" collapsed="false">
      <c r="A6" s="7" t="s">
        <v>99</v>
      </c>
    </row>
    <row r="7" customFormat="false" ht="27.75" hidden="false" customHeight="true" outlineLevel="0" collapsed="false">
      <c r="A7" s="7"/>
    </row>
    <row r="8" customFormat="false" ht="55.5" hidden="false" customHeight="true" outlineLevel="0" collapsed="false">
      <c r="A8" s="7" t="s">
        <v>100</v>
      </c>
    </row>
    <row r="9" customFormat="false" ht="27.75" hidden="false" customHeight="true" outlineLevel="0" collapsed="false">
      <c r="A9" s="7"/>
    </row>
    <row r="10" customFormat="false" ht="27.75" hidden="false" customHeight="true" outlineLevel="0" collapsed="false">
      <c r="A10" s="7" t="s">
        <v>101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8"/>
    <col collapsed="false" customWidth="true" hidden="false" outlineLevel="0" max="3" min="3" style="1" width="60"/>
    <col collapsed="false" customWidth="true" hidden="false" outlineLevel="0" max="4" min="4" style="1" width="66"/>
    <col collapsed="false" customWidth="true" hidden="false" outlineLevel="0" max="5" min="5" style="1" width="16"/>
    <col collapsed="false" customWidth="true" hidden="false" outlineLevel="0" max="6" min="6" style="1" width="14"/>
    <col collapsed="false" customWidth="true" hidden="false" outlineLevel="0" max="7" min="7" style="1" width="16"/>
  </cols>
  <sheetData>
    <row r="1" customFormat="false" ht="15" hidden="false" customHeight="true" outlineLevel="0" collapsed="false">
      <c r="A1" s="8" t="s">
        <v>102</v>
      </c>
    </row>
    <row r="2" customFormat="false" ht="15" hidden="false" customHeight="true" outlineLevel="0" collapsed="false">
      <c r="A2" s="9" t="s">
        <v>103</v>
      </c>
    </row>
    <row r="4" customFormat="false" ht="15" hidden="false" customHeight="true" outlineLevel="0" collapsed="false">
      <c r="A4" s="10" t="s">
        <v>104</v>
      </c>
      <c r="B4" s="10" t="s">
        <v>105</v>
      </c>
      <c r="C4" s="10" t="s">
        <v>106</v>
      </c>
      <c r="D4" s="10" t="s">
        <v>107</v>
      </c>
      <c r="E4" s="10" t="s">
        <v>108</v>
      </c>
      <c r="F4" s="10" t="s">
        <v>109</v>
      </c>
      <c r="G4" s="10" t="s">
        <v>110</v>
      </c>
    </row>
    <row r="5" customFormat="false" ht="15" hidden="false" customHeight="true" outlineLevel="0" collapsed="false">
      <c r="A5" s="6" t="n">
        <v>1</v>
      </c>
      <c r="B5" s="6" t="s">
        <v>111</v>
      </c>
      <c r="C5" s="6" t="s">
        <v>112</v>
      </c>
      <c r="D5" s="6" t="s">
        <v>113</v>
      </c>
      <c r="E5" s="6" t="s">
        <v>114</v>
      </c>
      <c r="F5" s="6" t="s">
        <v>115</v>
      </c>
      <c r="G5" s="6" t="s">
        <v>116</v>
      </c>
    </row>
    <row r="6" customFormat="false" ht="15" hidden="false" customHeight="true" outlineLevel="0" collapsed="false">
      <c r="A6" s="6" t="n">
        <v>2</v>
      </c>
      <c r="B6" s="6" t="s">
        <v>117</v>
      </c>
      <c r="C6" s="6" t="s">
        <v>118</v>
      </c>
      <c r="D6" s="6" t="s">
        <v>119</v>
      </c>
      <c r="E6" s="6" t="s">
        <v>120</v>
      </c>
      <c r="F6" s="6" t="s">
        <v>121</v>
      </c>
      <c r="G6" s="6" t="s">
        <v>122</v>
      </c>
    </row>
    <row r="7" customFormat="false" ht="15" hidden="false" customHeight="true" outlineLevel="0" collapsed="false">
      <c r="A7" s="6" t="n">
        <v>3</v>
      </c>
      <c r="B7" s="6" t="s">
        <v>123</v>
      </c>
      <c r="C7" s="6" t="s">
        <v>124</v>
      </c>
      <c r="D7" s="6" t="s">
        <v>125</v>
      </c>
      <c r="E7" s="6" t="s">
        <v>126</v>
      </c>
      <c r="F7" s="6" t="s">
        <v>127</v>
      </c>
      <c r="G7" s="6" t="s">
        <v>128</v>
      </c>
    </row>
    <row r="8" customFormat="false" ht="15" hidden="false" customHeight="true" outlineLevel="0" collapsed="false">
      <c r="A8" s="6" t="n">
        <v>4</v>
      </c>
      <c r="B8" s="6" t="s">
        <v>129</v>
      </c>
      <c r="C8" s="6" t="s">
        <v>130</v>
      </c>
      <c r="D8" s="6" t="s">
        <v>131</v>
      </c>
      <c r="E8" s="6" t="s">
        <v>132</v>
      </c>
      <c r="F8" s="6" t="s">
        <v>133</v>
      </c>
      <c r="G8" s="6" t="s">
        <v>134</v>
      </c>
    </row>
    <row r="9" customFormat="false" ht="15" hidden="false" customHeight="true" outlineLevel="0" collapsed="false">
      <c r="A9" s="6" t="n">
        <v>5</v>
      </c>
      <c r="B9" s="6" t="s">
        <v>135</v>
      </c>
      <c r="C9" s="6" t="s">
        <v>136</v>
      </c>
      <c r="D9" s="6" t="s">
        <v>137</v>
      </c>
      <c r="E9" s="6" t="s">
        <v>138</v>
      </c>
      <c r="F9" s="6" t="s">
        <v>139</v>
      </c>
      <c r="G9" s="6" t="s">
        <v>140</v>
      </c>
    </row>
    <row r="10" customFormat="false" ht="15" hidden="false" customHeight="true" outlineLevel="0" collapsed="false">
      <c r="A10" s="6" t="n">
        <v>6</v>
      </c>
      <c r="B10" s="6" t="s">
        <v>141</v>
      </c>
      <c r="C10" s="6" t="s">
        <v>142</v>
      </c>
      <c r="D10" s="6" t="s">
        <v>143</v>
      </c>
      <c r="E10" s="6" t="s">
        <v>144</v>
      </c>
      <c r="F10" s="6" t="s">
        <v>139</v>
      </c>
      <c r="G10" s="6" t="s">
        <v>140</v>
      </c>
    </row>
    <row r="11" customFormat="false" ht="15" hidden="false" customHeight="true" outlineLevel="0" collapsed="false">
      <c r="A11" s="6" t="n">
        <v>7</v>
      </c>
      <c r="B11" s="6" t="s">
        <v>145</v>
      </c>
      <c r="C11" s="6" t="s">
        <v>146</v>
      </c>
      <c r="D11" s="6" t="s">
        <v>147</v>
      </c>
      <c r="E11" s="6" t="s">
        <v>148</v>
      </c>
      <c r="F11" s="6" t="s">
        <v>139</v>
      </c>
      <c r="G11" s="6" t="s">
        <v>140</v>
      </c>
    </row>
    <row r="12" customFormat="false" ht="15" hidden="false" customHeight="true" outlineLevel="0" collapsed="false">
      <c r="A12" s="6" t="n">
        <v>8</v>
      </c>
      <c r="B12" s="6" t="s">
        <v>149</v>
      </c>
      <c r="C12" s="6" t="s">
        <v>150</v>
      </c>
      <c r="D12" s="6" t="s">
        <v>151</v>
      </c>
      <c r="E12" s="6" t="s">
        <v>152</v>
      </c>
      <c r="F12" s="6" t="s">
        <v>139</v>
      </c>
      <c r="G12" s="6" t="s">
        <v>140</v>
      </c>
    </row>
    <row r="13" customFormat="false" ht="15" hidden="false" customHeight="true" outlineLevel="0" collapsed="false">
      <c r="A13" s="6" t="n">
        <v>9</v>
      </c>
      <c r="B13" s="6" t="s">
        <v>153</v>
      </c>
      <c r="C13" s="6" t="s">
        <v>154</v>
      </c>
      <c r="D13" s="6" t="s">
        <v>155</v>
      </c>
      <c r="E13" s="6" t="s">
        <v>139</v>
      </c>
      <c r="F13" s="6" t="s">
        <v>139</v>
      </c>
      <c r="G13" s="6" t="s">
        <v>140</v>
      </c>
    </row>
    <row r="14" customFormat="false" ht="15" hidden="false" customHeight="true" outlineLevel="0" collapsed="false">
      <c r="A14" s="6" t="n">
        <v>10</v>
      </c>
      <c r="B14" s="6" t="s">
        <v>156</v>
      </c>
      <c r="C14" s="6" t="s">
        <v>157</v>
      </c>
      <c r="D14" s="6" t="s">
        <v>158</v>
      </c>
      <c r="E14" s="6" t="s">
        <v>159</v>
      </c>
      <c r="F14" s="6" t="s">
        <v>160</v>
      </c>
      <c r="G14" s="6" t="s">
        <v>161</v>
      </c>
    </row>
    <row r="15" customFormat="false" ht="15" hidden="false" customHeight="true" outlineLevel="0" collapsed="false">
      <c r="A15" s="6" t="n">
        <v>11</v>
      </c>
      <c r="B15" s="6" t="s">
        <v>162</v>
      </c>
      <c r="C15" s="6" t="s">
        <v>163</v>
      </c>
      <c r="D15" s="6" t="s">
        <v>164</v>
      </c>
      <c r="E15" s="6" t="s">
        <v>132</v>
      </c>
      <c r="F15" s="6" t="s">
        <v>165</v>
      </c>
      <c r="G15" s="6" t="s">
        <v>166</v>
      </c>
    </row>
    <row r="16" customFormat="false" ht="15" hidden="false" customHeight="true" outlineLevel="0" collapsed="false">
      <c r="A16" s="6" t="n">
        <v>12</v>
      </c>
      <c r="B16" s="6" t="s">
        <v>167</v>
      </c>
      <c r="C16" s="6" t="s">
        <v>168</v>
      </c>
      <c r="D16" s="6" t="s">
        <v>169</v>
      </c>
      <c r="E16" s="6" t="s">
        <v>170</v>
      </c>
      <c r="F16" s="6" t="s">
        <v>139</v>
      </c>
      <c r="G16" s="6" t="s">
        <v>140</v>
      </c>
    </row>
    <row r="18" customFormat="false" ht="15" hidden="false" customHeight="true" outlineLevel="0" collapsed="false">
      <c r="A18" s="9" t="s">
        <v>171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4"/>
    <col collapsed="false" customWidth="true" hidden="false" outlineLevel="0" max="3" min="3" style="1" width="34"/>
    <col collapsed="false" customWidth="true" hidden="false" outlineLevel="0" max="4" min="4" style="1" width="40"/>
  </cols>
  <sheetData>
    <row r="1" customFormat="false" ht="17.25" hidden="false" customHeight="true" outlineLevel="0" collapsed="false">
      <c r="A1" s="2" t="s">
        <v>172</v>
      </c>
    </row>
    <row r="3" customFormat="false" ht="15" hidden="false" customHeight="true" outlineLevel="0" collapsed="false">
      <c r="A3" s="3" t="s">
        <v>173</v>
      </c>
      <c r="B3" s="3" t="s">
        <v>174</v>
      </c>
      <c r="C3" s="3" t="s">
        <v>175</v>
      </c>
      <c r="D3" s="3" t="s">
        <v>176</v>
      </c>
    </row>
    <row r="4" customFormat="false" ht="30" hidden="false" customHeight="true" outlineLevel="0" collapsed="false">
      <c r="A4" s="4" t="s">
        <v>177</v>
      </c>
      <c r="B4" s="4" t="s">
        <v>178</v>
      </c>
      <c r="C4" s="4" t="s">
        <v>179</v>
      </c>
      <c r="D4" s="4" t="s">
        <v>180</v>
      </c>
    </row>
    <row r="5" customFormat="false" ht="30" hidden="false" customHeight="true" outlineLevel="0" collapsed="false">
      <c r="A5" s="4" t="s">
        <v>181</v>
      </c>
      <c r="B5" s="4" t="s">
        <v>182</v>
      </c>
      <c r="C5" s="4" t="s">
        <v>179</v>
      </c>
      <c r="D5" s="4" t="s">
        <v>183</v>
      </c>
    </row>
    <row r="6" customFormat="false" ht="30" hidden="false" customHeight="true" outlineLevel="0" collapsed="false">
      <c r="A6" s="4" t="s">
        <v>184</v>
      </c>
      <c r="B6" s="4" t="s">
        <v>185</v>
      </c>
      <c r="C6" s="4" t="s">
        <v>179</v>
      </c>
      <c r="D6" s="4" t="s">
        <v>186</v>
      </c>
    </row>
    <row r="7" customFormat="false" ht="30" hidden="false" customHeight="true" outlineLevel="0" collapsed="false">
      <c r="A7" s="4" t="s">
        <v>187</v>
      </c>
      <c r="B7" s="4" t="s">
        <v>188</v>
      </c>
      <c r="C7" s="4" t="s">
        <v>179</v>
      </c>
      <c r="D7" s="4" t="s">
        <v>189</v>
      </c>
    </row>
    <row r="8" customFormat="false" ht="30" hidden="false" customHeight="true" outlineLevel="0" collapsed="false">
      <c r="A8" s="4" t="s">
        <v>190</v>
      </c>
      <c r="B8" s="4" t="s">
        <v>191</v>
      </c>
      <c r="C8" s="4" t="s">
        <v>179</v>
      </c>
      <c r="D8" s="4" t="s">
        <v>192</v>
      </c>
    </row>
    <row r="10" customFormat="false" ht="15" hidden="false" customHeight="true" outlineLevel="0" collapsed="false">
      <c r="A10" s="3" t="s">
        <v>193</v>
      </c>
      <c r="B10" s="3" t="s">
        <v>194</v>
      </c>
      <c r="C10" s="3"/>
      <c r="D10" s="3"/>
    </row>
    <row r="11" customFormat="false" ht="25.5" hidden="false" customHeight="true" outlineLevel="0" collapsed="false">
      <c r="A11" s="4" t="s">
        <v>195</v>
      </c>
      <c r="B11" s="4" t="s">
        <v>196</v>
      </c>
      <c r="C11" s="4"/>
      <c r="D11" s="4"/>
    </row>
    <row r="12" customFormat="false" ht="25.5" hidden="false" customHeight="true" outlineLevel="0" collapsed="false">
      <c r="A12" s="4" t="s">
        <v>197</v>
      </c>
      <c r="B12" s="4" t="s">
        <v>198</v>
      </c>
      <c r="C12" s="4"/>
      <c r="D12" s="4"/>
    </row>
    <row r="13" customFormat="false" ht="25.5" hidden="false" customHeight="true" outlineLevel="0" collapsed="false">
      <c r="A13" s="4" t="s">
        <v>199</v>
      </c>
      <c r="B13" s="4" t="s">
        <v>200</v>
      </c>
      <c r="C13" s="4"/>
      <c r="D13" s="4"/>
    </row>
  </sheetData>
  <mergeCells count="3">
    <mergeCell ref="B11:D11"/>
    <mergeCell ref="B12:D12"/>
    <mergeCell ref="B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4" min="4" style="1" width="44"/>
    <col collapsed="false" customWidth="true" hidden="false" outlineLevel="0" max="5" min="5" style="1" width="24"/>
  </cols>
  <sheetData>
    <row r="1" customFormat="false" ht="17.25" hidden="false" customHeight="true" outlineLevel="0" collapsed="false">
      <c r="A1" s="2" t="s">
        <v>201</v>
      </c>
    </row>
    <row r="3" customFormat="false" ht="15" hidden="false" customHeight="true" outlineLevel="0" collapsed="false">
      <c r="A3" s="3" t="s">
        <v>104</v>
      </c>
      <c r="B3" s="3" t="s">
        <v>202</v>
      </c>
      <c r="C3" s="3" t="s">
        <v>203</v>
      </c>
      <c r="D3" s="3" t="s">
        <v>204</v>
      </c>
      <c r="E3" s="3" t="s">
        <v>205</v>
      </c>
    </row>
    <row r="4" customFormat="false" ht="25.5" hidden="false" customHeight="true" outlineLevel="0" collapsed="false">
      <c r="A4" s="4" t="n">
        <v>1</v>
      </c>
      <c r="B4" s="4" t="s">
        <v>206</v>
      </c>
      <c r="C4" s="4" t="s">
        <v>207</v>
      </c>
      <c r="D4" s="4" t="s">
        <v>208</v>
      </c>
      <c r="E4" s="5"/>
    </row>
    <row r="5" customFormat="false" ht="25.5" hidden="false" customHeight="true" outlineLevel="0" collapsed="false">
      <c r="A5" s="4" t="n">
        <v>2</v>
      </c>
      <c r="B5" s="4" t="s">
        <v>209</v>
      </c>
      <c r="C5" s="4" t="s">
        <v>210</v>
      </c>
      <c r="D5" s="4" t="s">
        <v>211</v>
      </c>
      <c r="E5" s="5"/>
    </row>
    <row r="6" customFormat="false" ht="25.5" hidden="false" customHeight="true" outlineLevel="0" collapsed="false">
      <c r="A6" s="4" t="n">
        <v>3</v>
      </c>
      <c r="B6" s="4" t="s">
        <v>212</v>
      </c>
      <c r="C6" s="4" t="s">
        <v>213</v>
      </c>
      <c r="D6" s="4" t="s">
        <v>214</v>
      </c>
      <c r="E6" s="5"/>
    </row>
    <row r="7" customFormat="false" ht="25.5" hidden="false" customHeight="true" outlineLevel="0" collapsed="false">
      <c r="A7" s="4" t="n">
        <v>4</v>
      </c>
      <c r="B7" s="4" t="s">
        <v>215</v>
      </c>
      <c r="C7" s="4" t="s">
        <v>216</v>
      </c>
      <c r="D7" s="4" t="s">
        <v>217</v>
      </c>
      <c r="E7" s="5"/>
    </row>
    <row r="8" customFormat="false" ht="25.5" hidden="false" customHeight="true" outlineLevel="0" collapsed="false">
      <c r="A8" s="4" t="n">
        <v>5</v>
      </c>
      <c r="B8" s="4" t="s">
        <v>218</v>
      </c>
      <c r="C8" s="4" t="s">
        <v>219</v>
      </c>
      <c r="D8" s="4" t="s">
        <v>220</v>
      </c>
      <c r="E8" s="5"/>
    </row>
    <row r="9" customFormat="false" ht="25.5" hidden="false" customHeight="true" outlineLevel="0" collapsed="false">
      <c r="A9" s="4" t="n">
        <v>6</v>
      </c>
      <c r="B9" s="4" t="s">
        <v>221</v>
      </c>
      <c r="C9" s="4" t="s">
        <v>222</v>
      </c>
      <c r="D9" s="4" t="s">
        <v>223</v>
      </c>
      <c r="E9" s="5"/>
    </row>
    <row r="10" customFormat="false" ht="25.5" hidden="false" customHeight="true" outlineLevel="0" collapsed="false">
      <c r="A10" s="4" t="n">
        <v>7</v>
      </c>
      <c r="B10" s="4" t="s">
        <v>224</v>
      </c>
      <c r="C10" s="4" t="s">
        <v>225</v>
      </c>
      <c r="D10" s="4" t="s">
        <v>226</v>
      </c>
      <c r="E10" s="5"/>
    </row>
    <row r="11" customFormat="false" ht="25.5" hidden="false" customHeight="true" outlineLevel="0" collapsed="false">
      <c r="A11" s="4" t="n">
        <v>8</v>
      </c>
      <c r="B11" s="4" t="s">
        <v>227</v>
      </c>
      <c r="C11" s="4" t="s">
        <v>228</v>
      </c>
      <c r="D11" s="4" t="s">
        <v>229</v>
      </c>
      <c r="E11" s="5"/>
    </row>
    <row r="12" customFormat="false" ht="25.5" hidden="false" customHeight="true" outlineLevel="0" collapsed="false">
      <c r="A12" s="4" t="n">
        <v>9</v>
      </c>
      <c r="B12" s="4" t="s">
        <v>230</v>
      </c>
      <c r="C12" s="4" t="s">
        <v>231</v>
      </c>
      <c r="D12" s="4" t="s">
        <v>232</v>
      </c>
      <c r="E12"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84"/>
    <col collapsed="false" customWidth="true" hidden="false" outlineLevel="0" max="4" min="4" style="1" width="8"/>
    <col collapsed="false" customWidth="true" hidden="false" outlineLevel="0" max="5" min="5" style="1" width="9"/>
    <col collapsed="false" customWidth="true" hidden="false" outlineLevel="0" max="6" min="6" style="1" width="8"/>
    <col collapsed="false" customWidth="true" hidden="false" outlineLevel="0" max="7" min="7" style="1" width="12"/>
    <col collapsed="false" customWidth="true" hidden="false" outlineLevel="0" max="8" min="8" style="1" width="70"/>
  </cols>
  <sheetData>
    <row r="1" customFormat="false" ht="17.25" hidden="false" customHeight="true" outlineLevel="0" collapsed="false">
      <c r="A1" s="2" t="s">
        <v>233</v>
      </c>
      <c r="H1" s="10" t="s">
        <v>234</v>
      </c>
    </row>
    <row r="3" customFormat="false" ht="15" hidden="false" customHeight="true" outlineLevel="0" collapsed="false">
      <c r="A3" s="3" t="s">
        <v>235</v>
      </c>
      <c r="B3" s="3" t="s">
        <v>236</v>
      </c>
      <c r="C3" s="3" t="s">
        <v>237</v>
      </c>
      <c r="D3" s="3" t="s">
        <v>238</v>
      </c>
      <c r="E3" s="3" t="s">
        <v>239</v>
      </c>
      <c r="F3" s="3" t="s">
        <v>240</v>
      </c>
      <c r="G3" s="3" t="s">
        <v>5</v>
      </c>
    </row>
    <row r="4" customFormat="false" ht="25.5" hidden="false" customHeight="true" outlineLevel="0" collapsed="false">
      <c r="A4" s="4" t="s">
        <v>241</v>
      </c>
      <c r="B4" s="4" t="s">
        <v>242</v>
      </c>
      <c r="C4" s="4" t="s">
        <v>243</v>
      </c>
      <c r="D4" s="4" t="n">
        <v>5</v>
      </c>
      <c r="E4" s="4" t="s">
        <v>244</v>
      </c>
      <c r="F4" s="4" t="s">
        <v>245</v>
      </c>
      <c r="G4" s="4" t="s">
        <v>246</v>
      </c>
    </row>
    <row r="5" customFormat="false" ht="25.5" hidden="false" customHeight="true" outlineLevel="0" collapsed="false">
      <c r="A5" s="4" t="s">
        <v>247</v>
      </c>
      <c r="B5" s="4" t="s">
        <v>242</v>
      </c>
      <c r="C5" s="4" t="s">
        <v>248</v>
      </c>
      <c r="D5" s="4" t="n">
        <v>8</v>
      </c>
      <c r="E5" s="4" t="s">
        <v>244</v>
      </c>
      <c r="F5" s="4" t="s">
        <v>245</v>
      </c>
      <c r="G5" s="4" t="s">
        <v>246</v>
      </c>
    </row>
    <row r="6" customFormat="false" ht="25.5" hidden="false" customHeight="true" outlineLevel="0" collapsed="false">
      <c r="A6" s="4" t="s">
        <v>249</v>
      </c>
      <c r="B6" s="4" t="s">
        <v>242</v>
      </c>
      <c r="C6" s="4" t="s">
        <v>250</v>
      </c>
      <c r="D6" s="4" t="n">
        <v>5</v>
      </c>
      <c r="E6" s="4" t="s">
        <v>251</v>
      </c>
      <c r="F6" s="4" t="s">
        <v>245</v>
      </c>
      <c r="G6" s="4" t="s">
        <v>246</v>
      </c>
    </row>
    <row r="7" customFormat="false" ht="25.5" hidden="false" customHeight="true" outlineLevel="0" collapsed="false">
      <c r="A7" s="4" t="s">
        <v>252</v>
      </c>
      <c r="B7" s="4" t="s">
        <v>242</v>
      </c>
      <c r="C7" s="4" t="s">
        <v>253</v>
      </c>
      <c r="D7" s="4" t="n">
        <v>3</v>
      </c>
      <c r="E7" s="4" t="s">
        <v>244</v>
      </c>
      <c r="F7" s="4" t="s">
        <v>245</v>
      </c>
      <c r="G7" s="4" t="s">
        <v>246</v>
      </c>
    </row>
    <row r="8" customFormat="false" ht="25.5" hidden="false" customHeight="true" outlineLevel="0" collapsed="false">
      <c r="A8" s="4" t="s">
        <v>254</v>
      </c>
      <c r="B8" s="4" t="s">
        <v>242</v>
      </c>
      <c r="C8" s="4" t="s">
        <v>255</v>
      </c>
      <c r="D8" s="4" t="n">
        <v>5</v>
      </c>
      <c r="E8" s="4" t="s">
        <v>244</v>
      </c>
      <c r="F8" s="4" t="s">
        <v>256</v>
      </c>
      <c r="G8" s="4" t="s">
        <v>246</v>
      </c>
    </row>
    <row r="9" customFormat="false" ht="25.5" hidden="false" customHeight="true" outlineLevel="0" collapsed="false">
      <c r="A9" s="4" t="s">
        <v>257</v>
      </c>
      <c r="B9" s="4" t="s">
        <v>242</v>
      </c>
      <c r="C9" s="4" t="s">
        <v>258</v>
      </c>
      <c r="D9" s="4" t="n">
        <v>3</v>
      </c>
      <c r="E9" s="4" t="s">
        <v>251</v>
      </c>
      <c r="F9" s="4" t="s">
        <v>256</v>
      </c>
      <c r="G9" s="4" t="s">
        <v>246</v>
      </c>
    </row>
    <row r="10" customFormat="false" ht="25.5" hidden="false" customHeight="true" outlineLevel="0" collapsed="false">
      <c r="A10" s="4" t="s">
        <v>259</v>
      </c>
      <c r="B10" s="4" t="s">
        <v>242</v>
      </c>
      <c r="C10" s="4" t="s">
        <v>260</v>
      </c>
      <c r="D10" s="4" t="n">
        <v>3</v>
      </c>
      <c r="E10" s="4" t="s">
        <v>251</v>
      </c>
      <c r="F10" s="4" t="s">
        <v>256</v>
      </c>
      <c r="G10" s="4" t="s">
        <v>246</v>
      </c>
    </row>
    <row r="11" customFormat="false" ht="25.5" hidden="false" customHeight="true" outlineLevel="0" collapsed="false">
      <c r="A11" s="4" t="s">
        <v>261</v>
      </c>
      <c r="B11" s="4" t="s">
        <v>242</v>
      </c>
      <c r="C11" s="4" t="s">
        <v>262</v>
      </c>
      <c r="D11" s="4" t="n">
        <v>2</v>
      </c>
      <c r="E11" s="4" t="s">
        <v>263</v>
      </c>
      <c r="F11" s="4" t="s">
        <v>256</v>
      </c>
      <c r="G11" s="4" t="s">
        <v>246</v>
      </c>
    </row>
    <row r="12" customFormat="false" ht="25.5" hidden="false" customHeight="true" outlineLevel="0" collapsed="false">
      <c r="A12" s="4" t="s">
        <v>264</v>
      </c>
      <c r="B12" s="4" t="s">
        <v>242</v>
      </c>
      <c r="C12" s="4" t="s">
        <v>265</v>
      </c>
      <c r="D12" s="4" t="n">
        <v>5</v>
      </c>
      <c r="E12" s="4" t="s">
        <v>251</v>
      </c>
      <c r="F12" s="4" t="s">
        <v>256</v>
      </c>
      <c r="G12" s="4" t="s">
        <v>246</v>
      </c>
    </row>
    <row r="13" customFormat="false" ht="25.5" hidden="false" customHeight="true" outlineLevel="0" collapsed="false">
      <c r="A13" s="4" t="s">
        <v>266</v>
      </c>
      <c r="B13" s="4" t="s">
        <v>242</v>
      </c>
      <c r="C13" s="4" t="s">
        <v>267</v>
      </c>
      <c r="D13" s="4" t="n">
        <v>3</v>
      </c>
      <c r="E13" s="4" t="s">
        <v>263</v>
      </c>
      <c r="F13" s="4" t="s">
        <v>256</v>
      </c>
      <c r="G13" s="4" t="s">
        <v>246</v>
      </c>
    </row>
    <row r="14" customFormat="false" ht="25.5" hidden="false" customHeight="true" outlineLevel="0" collapsed="false">
      <c r="A14" s="4" t="s">
        <v>268</v>
      </c>
      <c r="B14" s="4" t="s">
        <v>269</v>
      </c>
      <c r="C14" s="4" t="s">
        <v>270</v>
      </c>
      <c r="D14" s="4" t="n">
        <v>5</v>
      </c>
      <c r="E14" s="4" t="s">
        <v>244</v>
      </c>
      <c r="F14" s="4" t="s">
        <v>256</v>
      </c>
      <c r="G14" s="4" t="s">
        <v>246</v>
      </c>
    </row>
    <row r="15" customFormat="false" ht="25.5" hidden="false" customHeight="true" outlineLevel="0" collapsed="false">
      <c r="A15" s="4" t="s">
        <v>271</v>
      </c>
      <c r="B15" s="4" t="s">
        <v>269</v>
      </c>
      <c r="C15" s="4" t="s">
        <v>272</v>
      </c>
      <c r="D15" s="4" t="n">
        <v>8</v>
      </c>
      <c r="E15" s="4" t="s">
        <v>244</v>
      </c>
      <c r="F15" s="4" t="s">
        <v>256</v>
      </c>
      <c r="G15" s="4" t="s">
        <v>246</v>
      </c>
    </row>
    <row r="16" customFormat="false" ht="25.5" hidden="false" customHeight="true" outlineLevel="0" collapsed="false">
      <c r="A16" s="4" t="s">
        <v>273</v>
      </c>
      <c r="B16" s="4" t="s">
        <v>269</v>
      </c>
      <c r="C16" s="4" t="s">
        <v>274</v>
      </c>
      <c r="D16" s="4" t="n">
        <v>5</v>
      </c>
      <c r="E16" s="4" t="s">
        <v>251</v>
      </c>
      <c r="F16" s="4" t="s">
        <v>256</v>
      </c>
      <c r="G16" s="4" t="s">
        <v>246</v>
      </c>
    </row>
    <row r="17" customFormat="false" ht="25.5" hidden="false" customHeight="true" outlineLevel="0" collapsed="false">
      <c r="A17" s="4" t="s">
        <v>275</v>
      </c>
      <c r="B17" s="4" t="s">
        <v>269</v>
      </c>
      <c r="C17" s="4" t="s">
        <v>276</v>
      </c>
      <c r="D17" s="4" t="n">
        <v>3</v>
      </c>
      <c r="E17" s="4" t="s">
        <v>244</v>
      </c>
      <c r="F17" s="4" t="s">
        <v>256</v>
      </c>
      <c r="G17" s="4" t="s">
        <v>246</v>
      </c>
    </row>
    <row r="18" customFormat="false" ht="25.5" hidden="false" customHeight="true" outlineLevel="0" collapsed="false">
      <c r="A18" s="4" t="s">
        <v>277</v>
      </c>
      <c r="B18" s="4" t="s">
        <v>269</v>
      </c>
      <c r="C18" s="4" t="s">
        <v>278</v>
      </c>
      <c r="D18" s="4" t="n">
        <v>5</v>
      </c>
      <c r="E18" s="4" t="s">
        <v>244</v>
      </c>
      <c r="F18" s="4" t="s">
        <v>279</v>
      </c>
      <c r="G18" s="4" t="s">
        <v>246</v>
      </c>
    </row>
    <row r="19" customFormat="false" ht="25.5" hidden="false" customHeight="true" outlineLevel="0" collapsed="false">
      <c r="A19" s="4" t="s">
        <v>280</v>
      </c>
      <c r="B19" s="4" t="s">
        <v>269</v>
      </c>
      <c r="C19" s="4" t="s">
        <v>281</v>
      </c>
      <c r="D19" s="4" t="n">
        <v>3</v>
      </c>
      <c r="E19" s="4" t="s">
        <v>251</v>
      </c>
      <c r="F19" s="4" t="s">
        <v>279</v>
      </c>
      <c r="G19" s="4" t="s">
        <v>246</v>
      </c>
    </row>
    <row r="20" customFormat="false" ht="25.5" hidden="false" customHeight="true" outlineLevel="0" collapsed="false">
      <c r="A20" s="4" t="s">
        <v>282</v>
      </c>
      <c r="B20" s="4" t="s">
        <v>269</v>
      </c>
      <c r="C20" s="4" t="s">
        <v>283</v>
      </c>
      <c r="D20" s="4" t="n">
        <v>3</v>
      </c>
      <c r="E20" s="4" t="s">
        <v>251</v>
      </c>
      <c r="F20" s="4" t="s">
        <v>279</v>
      </c>
      <c r="G20" s="4" t="s">
        <v>246</v>
      </c>
    </row>
    <row r="21" customFormat="false" ht="25.5" hidden="false" customHeight="true" outlineLevel="0" collapsed="false">
      <c r="A21" s="4" t="s">
        <v>284</v>
      </c>
      <c r="B21" s="4" t="s">
        <v>269</v>
      </c>
      <c r="C21" s="4" t="s">
        <v>285</v>
      </c>
      <c r="D21" s="4" t="n">
        <v>2</v>
      </c>
      <c r="E21" s="4" t="s">
        <v>263</v>
      </c>
      <c r="F21" s="4" t="s">
        <v>279</v>
      </c>
      <c r="G21" s="4" t="s">
        <v>246</v>
      </c>
    </row>
    <row r="22" customFormat="false" ht="25.5" hidden="false" customHeight="true" outlineLevel="0" collapsed="false">
      <c r="A22" s="4" t="s">
        <v>286</v>
      </c>
      <c r="B22" s="4" t="s">
        <v>269</v>
      </c>
      <c r="C22" s="4" t="s">
        <v>287</v>
      </c>
      <c r="D22" s="4" t="n">
        <v>5</v>
      </c>
      <c r="E22" s="4" t="s">
        <v>251</v>
      </c>
      <c r="F22" s="4" t="s">
        <v>279</v>
      </c>
      <c r="G22" s="4" t="s">
        <v>246</v>
      </c>
    </row>
    <row r="23" customFormat="false" ht="25.5" hidden="false" customHeight="true" outlineLevel="0" collapsed="false">
      <c r="A23" s="4" t="s">
        <v>288</v>
      </c>
      <c r="B23" s="4" t="s">
        <v>269</v>
      </c>
      <c r="C23" s="4" t="s">
        <v>289</v>
      </c>
      <c r="D23" s="4" t="n">
        <v>3</v>
      </c>
      <c r="E23" s="4" t="s">
        <v>263</v>
      </c>
      <c r="F23" s="4" t="s">
        <v>279</v>
      </c>
      <c r="G23" s="4" t="s">
        <v>246</v>
      </c>
    </row>
    <row r="24" customFormat="false" ht="25.5" hidden="false" customHeight="true" outlineLevel="0" collapsed="false">
      <c r="A24" s="4" t="s">
        <v>290</v>
      </c>
      <c r="B24" s="4" t="s">
        <v>291</v>
      </c>
      <c r="C24" s="4" t="s">
        <v>292</v>
      </c>
      <c r="D24" s="4" t="n">
        <v>5</v>
      </c>
      <c r="E24" s="4" t="s">
        <v>244</v>
      </c>
      <c r="F24" s="4" t="s">
        <v>293</v>
      </c>
      <c r="G24" s="4" t="s">
        <v>246</v>
      </c>
    </row>
    <row r="25" customFormat="false" ht="25.5" hidden="false" customHeight="true" outlineLevel="0" collapsed="false">
      <c r="A25" s="4" t="s">
        <v>294</v>
      </c>
      <c r="B25" s="4" t="s">
        <v>291</v>
      </c>
      <c r="C25" s="4" t="s">
        <v>295</v>
      </c>
      <c r="D25" s="4" t="n">
        <v>8</v>
      </c>
      <c r="E25" s="4" t="s">
        <v>244</v>
      </c>
      <c r="F25" s="4" t="s">
        <v>293</v>
      </c>
      <c r="G25" s="4" t="s">
        <v>246</v>
      </c>
      <c r="H25" s="6" t="s">
        <v>296</v>
      </c>
    </row>
    <row r="26" customFormat="false" ht="25.5" hidden="false" customHeight="true" outlineLevel="0" collapsed="false">
      <c r="A26" s="4" t="s">
        <v>297</v>
      </c>
      <c r="B26" s="4" t="s">
        <v>291</v>
      </c>
      <c r="C26" s="4" t="s">
        <v>298</v>
      </c>
      <c r="D26" s="4" t="n">
        <v>5</v>
      </c>
      <c r="E26" s="4" t="s">
        <v>251</v>
      </c>
      <c r="F26" s="4" t="s">
        <v>293</v>
      </c>
      <c r="G26" s="4" t="s">
        <v>246</v>
      </c>
    </row>
    <row r="27" customFormat="false" ht="25.5" hidden="false" customHeight="true" outlineLevel="0" collapsed="false">
      <c r="A27" s="4" t="s">
        <v>299</v>
      </c>
      <c r="B27" s="4" t="s">
        <v>291</v>
      </c>
      <c r="C27" s="4" t="s">
        <v>300</v>
      </c>
      <c r="D27" s="4" t="n">
        <v>3</v>
      </c>
      <c r="E27" s="4" t="s">
        <v>244</v>
      </c>
      <c r="F27" s="4" t="s">
        <v>293</v>
      </c>
      <c r="G27" s="4" t="s">
        <v>246</v>
      </c>
      <c r="H27" s="6" t="s">
        <v>301</v>
      </c>
    </row>
    <row r="28" customFormat="false" ht="25.5" hidden="false" customHeight="true" outlineLevel="0" collapsed="false">
      <c r="A28" s="4" t="s">
        <v>302</v>
      </c>
      <c r="B28" s="4" t="s">
        <v>291</v>
      </c>
      <c r="C28" s="4" t="s">
        <v>303</v>
      </c>
      <c r="D28" s="4" t="n">
        <v>5</v>
      </c>
      <c r="E28" s="4" t="s">
        <v>244</v>
      </c>
      <c r="F28" s="4" t="s">
        <v>293</v>
      </c>
      <c r="G28" s="4" t="s">
        <v>246</v>
      </c>
    </row>
    <row r="29" customFormat="false" ht="25.5" hidden="false" customHeight="true" outlineLevel="0" collapsed="false">
      <c r="A29" s="4" t="s">
        <v>304</v>
      </c>
      <c r="B29" s="4" t="s">
        <v>291</v>
      </c>
      <c r="C29" s="4" t="s">
        <v>305</v>
      </c>
      <c r="D29" s="4" t="n">
        <v>3</v>
      </c>
      <c r="E29" s="4" t="s">
        <v>251</v>
      </c>
      <c r="F29" s="4" t="s">
        <v>293</v>
      </c>
      <c r="G29" s="4" t="s">
        <v>246</v>
      </c>
    </row>
    <row r="30" customFormat="false" ht="25.5" hidden="false" customHeight="true" outlineLevel="0" collapsed="false">
      <c r="A30" s="4" t="s">
        <v>306</v>
      </c>
      <c r="B30" s="4" t="s">
        <v>291</v>
      </c>
      <c r="C30" s="4" t="s">
        <v>307</v>
      </c>
      <c r="D30" s="4" t="n">
        <v>3</v>
      </c>
      <c r="E30" s="4" t="s">
        <v>251</v>
      </c>
      <c r="F30" s="4" t="s">
        <v>293</v>
      </c>
      <c r="G30" s="4" t="s">
        <v>246</v>
      </c>
    </row>
    <row r="31" customFormat="false" ht="25.5" hidden="false" customHeight="true" outlineLevel="0" collapsed="false">
      <c r="A31" s="4" t="s">
        <v>308</v>
      </c>
      <c r="B31" s="4" t="s">
        <v>291</v>
      </c>
      <c r="C31" s="4" t="s">
        <v>309</v>
      </c>
      <c r="D31" s="4" t="n">
        <v>2</v>
      </c>
      <c r="E31" s="4" t="s">
        <v>263</v>
      </c>
      <c r="F31" s="4" t="s">
        <v>293</v>
      </c>
      <c r="G31" s="4" t="s">
        <v>246</v>
      </c>
    </row>
    <row r="32" customFormat="false" ht="25.5" hidden="false" customHeight="true" outlineLevel="0" collapsed="false">
      <c r="A32" s="4" t="s">
        <v>310</v>
      </c>
      <c r="B32" s="4" t="s">
        <v>291</v>
      </c>
      <c r="C32" s="4" t="s">
        <v>311</v>
      </c>
      <c r="D32" s="4" t="n">
        <v>5</v>
      </c>
      <c r="E32" s="4" t="s">
        <v>251</v>
      </c>
      <c r="F32" s="4" t="s">
        <v>293</v>
      </c>
      <c r="G32" s="4" t="s">
        <v>246</v>
      </c>
    </row>
    <row r="33" customFormat="false" ht="25.5" hidden="false" customHeight="true" outlineLevel="0" collapsed="false">
      <c r="A33" s="4" t="s">
        <v>312</v>
      </c>
      <c r="B33" s="4" t="s">
        <v>291</v>
      </c>
      <c r="C33" s="4" t="s">
        <v>313</v>
      </c>
      <c r="D33" s="4" t="n">
        <v>3</v>
      </c>
      <c r="E33" s="4" t="s">
        <v>263</v>
      </c>
      <c r="F33" s="4" t="s">
        <v>293</v>
      </c>
      <c r="G33" s="4" t="s">
        <v>246</v>
      </c>
    </row>
    <row r="34" customFormat="false" ht="25.5" hidden="false" customHeight="true" outlineLevel="0" collapsed="false">
      <c r="A34" s="4" t="s">
        <v>314</v>
      </c>
      <c r="B34" s="4" t="s">
        <v>315</v>
      </c>
      <c r="C34" s="4" t="s">
        <v>316</v>
      </c>
      <c r="D34" s="4" t="n">
        <v>5</v>
      </c>
      <c r="E34" s="4" t="s">
        <v>244</v>
      </c>
      <c r="F34" s="4" t="s">
        <v>317</v>
      </c>
      <c r="G34" s="4" t="s">
        <v>246</v>
      </c>
    </row>
    <row r="35" customFormat="false" ht="25.5" hidden="false" customHeight="true" outlineLevel="0" collapsed="false">
      <c r="A35" s="4" t="s">
        <v>318</v>
      </c>
      <c r="B35" s="4" t="s">
        <v>315</v>
      </c>
      <c r="C35" s="4" t="s">
        <v>319</v>
      </c>
      <c r="D35" s="4" t="n">
        <v>8</v>
      </c>
      <c r="E35" s="4" t="s">
        <v>244</v>
      </c>
      <c r="F35" s="4" t="s">
        <v>317</v>
      </c>
      <c r="G35" s="4" t="s">
        <v>246</v>
      </c>
    </row>
    <row r="36" customFormat="false" ht="25.5" hidden="false" customHeight="true" outlineLevel="0" collapsed="false">
      <c r="A36" s="4" t="s">
        <v>320</v>
      </c>
      <c r="B36" s="4" t="s">
        <v>315</v>
      </c>
      <c r="C36" s="4" t="s">
        <v>321</v>
      </c>
      <c r="D36" s="4" t="n">
        <v>5</v>
      </c>
      <c r="E36" s="4" t="s">
        <v>251</v>
      </c>
      <c r="F36" s="4" t="s">
        <v>317</v>
      </c>
      <c r="G36" s="4" t="s">
        <v>246</v>
      </c>
    </row>
    <row r="37" customFormat="false" ht="25.5" hidden="false" customHeight="true" outlineLevel="0" collapsed="false">
      <c r="A37" s="4" t="s">
        <v>322</v>
      </c>
      <c r="B37" s="4" t="s">
        <v>315</v>
      </c>
      <c r="C37" s="4" t="s">
        <v>323</v>
      </c>
      <c r="D37" s="4" t="n">
        <v>3</v>
      </c>
      <c r="E37" s="4" t="s">
        <v>244</v>
      </c>
      <c r="F37" s="4" t="s">
        <v>317</v>
      </c>
      <c r="G37" s="4" t="s">
        <v>246</v>
      </c>
    </row>
    <row r="38" customFormat="false" ht="25.5" hidden="false" customHeight="true" outlineLevel="0" collapsed="false">
      <c r="A38" s="4" t="s">
        <v>324</v>
      </c>
      <c r="B38" s="4" t="s">
        <v>315</v>
      </c>
      <c r="C38" s="4" t="s">
        <v>325</v>
      </c>
      <c r="D38" s="4" t="n">
        <v>5</v>
      </c>
      <c r="E38" s="4" t="s">
        <v>244</v>
      </c>
      <c r="F38" s="4" t="s">
        <v>317</v>
      </c>
      <c r="G38" s="4" t="s">
        <v>246</v>
      </c>
    </row>
    <row r="39" customFormat="false" ht="25.5" hidden="false" customHeight="true" outlineLevel="0" collapsed="false">
      <c r="A39" s="4" t="s">
        <v>326</v>
      </c>
      <c r="B39" s="4" t="s">
        <v>315</v>
      </c>
      <c r="C39" s="4" t="s">
        <v>327</v>
      </c>
      <c r="D39" s="4" t="n">
        <v>3</v>
      </c>
      <c r="E39" s="4" t="s">
        <v>251</v>
      </c>
      <c r="F39" s="4" t="s">
        <v>317</v>
      </c>
      <c r="G39" s="4" t="s">
        <v>246</v>
      </c>
    </row>
    <row r="40" customFormat="false" ht="25.5" hidden="false" customHeight="true" outlineLevel="0" collapsed="false">
      <c r="A40" s="4" t="s">
        <v>328</v>
      </c>
      <c r="B40" s="4" t="s">
        <v>315</v>
      </c>
      <c r="C40" s="4" t="s">
        <v>329</v>
      </c>
      <c r="D40" s="4" t="n">
        <v>3</v>
      </c>
      <c r="E40" s="4" t="s">
        <v>251</v>
      </c>
      <c r="F40" s="4" t="s">
        <v>317</v>
      </c>
      <c r="G40" s="4" t="s">
        <v>246</v>
      </c>
    </row>
    <row r="41" customFormat="false" ht="25.5" hidden="false" customHeight="true" outlineLevel="0" collapsed="false">
      <c r="A41" s="4" t="s">
        <v>330</v>
      </c>
      <c r="B41" s="4" t="s">
        <v>315</v>
      </c>
      <c r="C41" s="4" t="s">
        <v>331</v>
      </c>
      <c r="D41" s="4" t="n">
        <v>2</v>
      </c>
      <c r="E41" s="4" t="s">
        <v>263</v>
      </c>
      <c r="F41" s="4" t="s">
        <v>317</v>
      </c>
      <c r="G41" s="4" t="s">
        <v>246</v>
      </c>
    </row>
    <row r="42" customFormat="false" ht="25.5" hidden="false" customHeight="true" outlineLevel="0" collapsed="false">
      <c r="A42" s="4" t="s">
        <v>332</v>
      </c>
      <c r="B42" s="4" t="s">
        <v>315</v>
      </c>
      <c r="C42" s="4" t="s">
        <v>333</v>
      </c>
      <c r="D42" s="4" t="n">
        <v>5</v>
      </c>
      <c r="E42" s="4" t="s">
        <v>251</v>
      </c>
      <c r="F42" s="4" t="s">
        <v>317</v>
      </c>
      <c r="G42" s="4" t="s">
        <v>246</v>
      </c>
    </row>
    <row r="43" customFormat="false" ht="25.5" hidden="false" customHeight="true" outlineLevel="0" collapsed="false">
      <c r="A43" s="4" t="s">
        <v>334</v>
      </c>
      <c r="B43" s="4" t="s">
        <v>315</v>
      </c>
      <c r="C43" s="4" t="s">
        <v>335</v>
      </c>
      <c r="D43" s="4" t="n">
        <v>3</v>
      </c>
      <c r="E43" s="4" t="s">
        <v>263</v>
      </c>
      <c r="F43" s="4" t="s">
        <v>317</v>
      </c>
      <c r="G43" s="4" t="s">
        <v>246</v>
      </c>
    </row>
    <row r="44" customFormat="false" ht="25.5" hidden="false" customHeight="true" outlineLevel="0" collapsed="false">
      <c r="A44" s="4" t="s">
        <v>336</v>
      </c>
      <c r="B44" s="4" t="s">
        <v>337</v>
      </c>
      <c r="C44" s="4" t="s">
        <v>338</v>
      </c>
      <c r="D44" s="4" t="n">
        <v>5</v>
      </c>
      <c r="E44" s="4" t="s">
        <v>244</v>
      </c>
      <c r="F44" s="4" t="s">
        <v>339</v>
      </c>
      <c r="G44" s="4" t="s">
        <v>246</v>
      </c>
      <c r="H44" s="6" t="s">
        <v>340</v>
      </c>
    </row>
    <row r="45" customFormat="false" ht="25.5" hidden="false" customHeight="true" outlineLevel="0" collapsed="false">
      <c r="A45" s="4" t="s">
        <v>341</v>
      </c>
      <c r="B45" s="4" t="s">
        <v>337</v>
      </c>
      <c r="C45" s="4" t="s">
        <v>342</v>
      </c>
      <c r="D45" s="4" t="n">
        <v>8</v>
      </c>
      <c r="E45" s="4" t="s">
        <v>244</v>
      </c>
      <c r="F45" s="4" t="s">
        <v>339</v>
      </c>
      <c r="G45" s="4" t="s">
        <v>246</v>
      </c>
      <c r="H45" s="6" t="s">
        <v>343</v>
      </c>
    </row>
    <row r="46" customFormat="false" ht="25.5" hidden="false" customHeight="true" outlineLevel="0" collapsed="false">
      <c r="A46" s="4" t="s">
        <v>344</v>
      </c>
      <c r="B46" s="4" t="s">
        <v>337</v>
      </c>
      <c r="C46" s="4" t="s">
        <v>345</v>
      </c>
      <c r="D46" s="4" t="n">
        <v>5</v>
      </c>
      <c r="E46" s="4" t="s">
        <v>251</v>
      </c>
      <c r="F46" s="4" t="s">
        <v>339</v>
      </c>
      <c r="G46" s="4" t="s">
        <v>246</v>
      </c>
    </row>
    <row r="47" customFormat="false" ht="25.5" hidden="false" customHeight="true" outlineLevel="0" collapsed="false">
      <c r="A47" s="4" t="s">
        <v>346</v>
      </c>
      <c r="B47" s="4" t="s">
        <v>337</v>
      </c>
      <c r="C47" s="4" t="s">
        <v>347</v>
      </c>
      <c r="D47" s="4" t="n">
        <v>3</v>
      </c>
      <c r="E47" s="4" t="s">
        <v>244</v>
      </c>
      <c r="F47" s="4" t="s">
        <v>339</v>
      </c>
      <c r="G47" s="4" t="s">
        <v>246</v>
      </c>
      <c r="H47" s="6" t="s">
        <v>348</v>
      </c>
    </row>
    <row r="48" customFormat="false" ht="25.5" hidden="false" customHeight="true" outlineLevel="0" collapsed="false">
      <c r="A48" s="4" t="s">
        <v>349</v>
      </c>
      <c r="B48" s="4" t="s">
        <v>337</v>
      </c>
      <c r="C48" s="4" t="s">
        <v>350</v>
      </c>
      <c r="D48" s="4" t="n">
        <v>5</v>
      </c>
      <c r="E48" s="4" t="s">
        <v>244</v>
      </c>
      <c r="F48" s="4" t="s">
        <v>339</v>
      </c>
      <c r="G48" s="4" t="s">
        <v>246</v>
      </c>
    </row>
    <row r="49" customFormat="false" ht="25.5" hidden="false" customHeight="true" outlineLevel="0" collapsed="false">
      <c r="A49" s="4" t="s">
        <v>351</v>
      </c>
      <c r="B49" s="4" t="s">
        <v>337</v>
      </c>
      <c r="C49" s="4" t="s">
        <v>352</v>
      </c>
      <c r="D49" s="4" t="n">
        <v>3</v>
      </c>
      <c r="E49" s="4" t="s">
        <v>251</v>
      </c>
      <c r="F49" s="4" t="s">
        <v>339</v>
      </c>
      <c r="G49" s="4" t="s">
        <v>246</v>
      </c>
    </row>
    <row r="50" customFormat="false" ht="25.5" hidden="false" customHeight="true" outlineLevel="0" collapsed="false">
      <c r="A50" s="4" t="s">
        <v>353</v>
      </c>
      <c r="B50" s="4" t="s">
        <v>337</v>
      </c>
      <c r="C50" s="4" t="s">
        <v>354</v>
      </c>
      <c r="D50" s="4" t="n">
        <v>3</v>
      </c>
      <c r="E50" s="4" t="s">
        <v>251</v>
      </c>
      <c r="F50" s="4" t="s">
        <v>339</v>
      </c>
      <c r="G50" s="4" t="s">
        <v>246</v>
      </c>
    </row>
    <row r="51" customFormat="false" ht="25.5" hidden="false" customHeight="true" outlineLevel="0" collapsed="false">
      <c r="A51" s="4" t="s">
        <v>355</v>
      </c>
      <c r="B51" s="4" t="s">
        <v>337</v>
      </c>
      <c r="C51" s="4" t="s">
        <v>356</v>
      </c>
      <c r="D51" s="4" t="n">
        <v>2</v>
      </c>
      <c r="E51" s="4" t="s">
        <v>263</v>
      </c>
      <c r="F51" s="4" t="s">
        <v>339</v>
      </c>
      <c r="G51" s="4" t="s">
        <v>246</v>
      </c>
    </row>
    <row r="52" customFormat="false" ht="25.5" hidden="false" customHeight="true" outlineLevel="0" collapsed="false">
      <c r="A52" s="4" t="s">
        <v>357</v>
      </c>
      <c r="B52" s="4" t="s">
        <v>337</v>
      </c>
      <c r="C52" s="4" t="s">
        <v>358</v>
      </c>
      <c r="D52" s="4" t="n">
        <v>5</v>
      </c>
      <c r="E52" s="4" t="s">
        <v>251</v>
      </c>
      <c r="F52" s="4" t="s">
        <v>339</v>
      </c>
      <c r="G52" s="4" t="s">
        <v>246</v>
      </c>
    </row>
    <row r="53" customFormat="false" ht="25.5" hidden="false" customHeight="true" outlineLevel="0" collapsed="false">
      <c r="A53" s="4" t="s">
        <v>359</v>
      </c>
      <c r="B53" s="4" t="s">
        <v>337</v>
      </c>
      <c r="C53" s="4" t="s">
        <v>360</v>
      </c>
      <c r="D53" s="4" t="n">
        <v>3</v>
      </c>
      <c r="E53" s="4" t="s">
        <v>263</v>
      </c>
      <c r="F53" s="4" t="s">
        <v>339</v>
      </c>
      <c r="G53" s="4" t="s">
        <v>246</v>
      </c>
    </row>
    <row r="54" customFormat="false" ht="25.5" hidden="false" customHeight="true" outlineLevel="0" collapsed="false">
      <c r="A54" s="4" t="s">
        <v>361</v>
      </c>
      <c r="B54" s="4" t="s">
        <v>362</v>
      </c>
      <c r="C54" s="4" t="s">
        <v>363</v>
      </c>
      <c r="D54" s="4" t="n">
        <v>5</v>
      </c>
      <c r="E54" s="4" t="s">
        <v>244</v>
      </c>
      <c r="F54" s="4" t="s">
        <v>364</v>
      </c>
      <c r="G54" s="4" t="s">
        <v>365</v>
      </c>
    </row>
    <row r="55" customFormat="false" ht="25.5" hidden="false" customHeight="true" outlineLevel="0" collapsed="false">
      <c r="A55" s="4" t="s">
        <v>366</v>
      </c>
      <c r="B55" s="4" t="s">
        <v>362</v>
      </c>
      <c r="C55" s="4" t="s">
        <v>367</v>
      </c>
      <c r="D55" s="4" t="n">
        <v>3</v>
      </c>
      <c r="E55" s="4" t="s">
        <v>244</v>
      </c>
      <c r="F55" s="4" t="s">
        <v>364</v>
      </c>
      <c r="G55" s="4" t="s">
        <v>365</v>
      </c>
    </row>
    <row r="56" customFormat="false" ht="25.5" hidden="false" customHeight="true" outlineLevel="0" collapsed="false">
      <c r="A56" s="4" t="s">
        <v>368</v>
      </c>
      <c r="B56" s="4" t="s">
        <v>362</v>
      </c>
      <c r="C56" s="4" t="s">
        <v>369</v>
      </c>
      <c r="D56" s="4" t="n">
        <v>3</v>
      </c>
      <c r="E56" s="4" t="s">
        <v>251</v>
      </c>
      <c r="F56" s="4" t="s">
        <v>245</v>
      </c>
      <c r="G56" s="4" t="s">
        <v>246</v>
      </c>
    </row>
    <row r="57" customFormat="false" ht="25.5" hidden="false" customHeight="true" outlineLevel="0" collapsed="false">
      <c r="A57" s="4" t="s">
        <v>370</v>
      </c>
      <c r="B57" s="4" t="s">
        <v>362</v>
      </c>
      <c r="C57" s="4" t="s">
        <v>371</v>
      </c>
      <c r="D57" s="4" t="n">
        <v>5</v>
      </c>
      <c r="E57" s="4" t="s">
        <v>244</v>
      </c>
      <c r="F57" s="4" t="s">
        <v>245</v>
      </c>
      <c r="G57" s="4" t="s">
        <v>246</v>
      </c>
    </row>
    <row r="58" customFormat="false" ht="25.5" hidden="false" customHeight="true" outlineLevel="0" collapsed="false">
      <c r="A58" s="4" t="s">
        <v>372</v>
      </c>
      <c r="B58" s="4" t="s">
        <v>362</v>
      </c>
      <c r="C58" s="4" t="s">
        <v>373</v>
      </c>
      <c r="D58" s="4" t="n">
        <v>3</v>
      </c>
      <c r="E58" s="4" t="s">
        <v>244</v>
      </c>
      <c r="F58" s="4" t="s">
        <v>364</v>
      </c>
      <c r="G58" s="4" t="s">
        <v>365</v>
      </c>
    </row>
    <row r="59" customFormat="false" ht="25.5" hidden="false" customHeight="true" outlineLevel="0" collapsed="false">
      <c r="A59" s="4" t="s">
        <v>374</v>
      </c>
      <c r="B59" s="4" t="s">
        <v>362</v>
      </c>
      <c r="C59" s="4" t="s">
        <v>375</v>
      </c>
      <c r="D59" s="4" t="n">
        <v>2</v>
      </c>
      <c r="E59" s="4" t="s">
        <v>251</v>
      </c>
      <c r="F59" s="4" t="s">
        <v>364</v>
      </c>
      <c r="G59" s="4" t="s">
        <v>246</v>
      </c>
    </row>
    <row r="60" customFormat="false" ht="25.5" hidden="false" customHeight="true" outlineLevel="0" collapsed="false">
      <c r="A60" s="4" t="s">
        <v>376</v>
      </c>
      <c r="B60" s="4" t="s">
        <v>377</v>
      </c>
      <c r="C60" s="4" t="s">
        <v>378</v>
      </c>
      <c r="D60" s="4" t="n">
        <v>5</v>
      </c>
      <c r="E60" s="4" t="s">
        <v>244</v>
      </c>
      <c r="F60" s="4" t="s">
        <v>317</v>
      </c>
      <c r="G60" s="4" t="s">
        <v>246</v>
      </c>
    </row>
    <row r="61" customFormat="false" ht="25.5" hidden="false" customHeight="true" outlineLevel="0" collapsed="false">
      <c r="A61" s="4" t="s">
        <v>379</v>
      </c>
      <c r="B61" s="4" t="s">
        <v>377</v>
      </c>
      <c r="C61" s="4" t="s">
        <v>380</v>
      </c>
      <c r="D61" s="4" t="n">
        <v>5</v>
      </c>
      <c r="E61" s="4" t="s">
        <v>244</v>
      </c>
      <c r="F61" s="4" t="s">
        <v>317</v>
      </c>
      <c r="G61" s="4" t="s">
        <v>246</v>
      </c>
    </row>
    <row r="62" customFormat="false" ht="25.5" hidden="false" customHeight="true" outlineLevel="0" collapsed="false">
      <c r="A62" s="4" t="s">
        <v>381</v>
      </c>
      <c r="B62" s="4" t="s">
        <v>377</v>
      </c>
      <c r="C62" s="4" t="s">
        <v>382</v>
      </c>
      <c r="D62" s="4" t="n">
        <v>8</v>
      </c>
      <c r="E62" s="4" t="s">
        <v>244</v>
      </c>
      <c r="F62" s="4" t="s">
        <v>317</v>
      </c>
      <c r="G62" s="4" t="s">
        <v>365</v>
      </c>
    </row>
    <row r="63" customFormat="false" ht="25.5" hidden="false" customHeight="true" outlineLevel="0" collapsed="false">
      <c r="A63" s="4" t="s">
        <v>383</v>
      </c>
      <c r="B63" s="4" t="s">
        <v>377</v>
      </c>
      <c r="C63" s="4" t="s">
        <v>384</v>
      </c>
      <c r="D63" s="4" t="n">
        <v>3</v>
      </c>
      <c r="E63" s="4" t="s">
        <v>251</v>
      </c>
      <c r="F63" s="4" t="s">
        <v>385</v>
      </c>
      <c r="G63" s="4" t="s">
        <v>246</v>
      </c>
      <c r="H63" s="6" t="s">
        <v>386</v>
      </c>
    </row>
    <row r="64" customFormat="false" ht="25.5" hidden="false" customHeight="true" outlineLevel="0" collapsed="false">
      <c r="A64" s="4" t="s">
        <v>387</v>
      </c>
      <c r="B64" s="4" t="s">
        <v>377</v>
      </c>
      <c r="C64" s="4" t="s">
        <v>388</v>
      </c>
      <c r="D64" s="4" t="n">
        <v>3</v>
      </c>
      <c r="E64" s="4" t="s">
        <v>251</v>
      </c>
      <c r="F64" s="4" t="s">
        <v>385</v>
      </c>
      <c r="G64" s="4" t="s">
        <v>246</v>
      </c>
      <c r="H64" s="6" t="s">
        <v>389</v>
      </c>
    </row>
    <row r="65" customFormat="false" ht="25.5" hidden="false" customHeight="true" outlineLevel="0" collapsed="false">
      <c r="A65" s="4" t="s">
        <v>390</v>
      </c>
      <c r="B65" s="4" t="s">
        <v>377</v>
      </c>
      <c r="C65" s="4" t="s">
        <v>391</v>
      </c>
      <c r="D65" s="4" t="n">
        <v>3</v>
      </c>
      <c r="E65" s="4" t="s">
        <v>263</v>
      </c>
      <c r="F65" s="4" t="s">
        <v>385</v>
      </c>
      <c r="G65" s="4" t="s">
        <v>246</v>
      </c>
    </row>
    <row r="66" customFormat="false" ht="25.5" hidden="false" customHeight="true" outlineLevel="0" collapsed="false">
      <c r="A66" s="4" t="s">
        <v>392</v>
      </c>
      <c r="B66" s="4" t="s">
        <v>377</v>
      </c>
      <c r="C66" s="4" t="s">
        <v>393</v>
      </c>
      <c r="D66" s="4" t="n">
        <v>3</v>
      </c>
      <c r="E66" s="4" t="s">
        <v>251</v>
      </c>
      <c r="F66" s="4" t="s">
        <v>385</v>
      </c>
      <c r="G66" s="4" t="s">
        <v>246</v>
      </c>
    </row>
    <row r="67" customFormat="false" ht="25.5" hidden="false" customHeight="true" outlineLevel="0" collapsed="false">
      <c r="A67" s="4" t="s">
        <v>394</v>
      </c>
      <c r="B67" s="4" t="s">
        <v>395</v>
      </c>
      <c r="C67" s="4" t="s">
        <v>396</v>
      </c>
      <c r="D67" s="4" t="n">
        <v>3</v>
      </c>
      <c r="E67" s="4" t="s">
        <v>244</v>
      </c>
      <c r="F67" s="4" t="s">
        <v>385</v>
      </c>
      <c r="G67" s="4" t="s">
        <v>246</v>
      </c>
    </row>
    <row r="68" customFormat="false" ht="25.5" hidden="false" customHeight="true" outlineLevel="0" collapsed="false">
      <c r="A68" s="4" t="s">
        <v>397</v>
      </c>
      <c r="B68" s="4" t="s">
        <v>395</v>
      </c>
      <c r="C68" s="4" t="s">
        <v>398</v>
      </c>
      <c r="D68" s="4" t="n">
        <v>3</v>
      </c>
      <c r="E68" s="4" t="s">
        <v>244</v>
      </c>
      <c r="F68" s="4" t="s">
        <v>339</v>
      </c>
      <c r="G68" s="4" t="s">
        <v>246</v>
      </c>
    </row>
    <row r="69" customFormat="false" ht="25.5" hidden="false" customHeight="true" outlineLevel="0" collapsed="false">
      <c r="A69" s="4" t="s">
        <v>399</v>
      </c>
      <c r="B69" s="4" t="s">
        <v>395</v>
      </c>
      <c r="C69" s="4" t="s">
        <v>400</v>
      </c>
      <c r="D69" s="4" t="n">
        <v>5</v>
      </c>
      <c r="E69" s="4" t="s">
        <v>244</v>
      </c>
      <c r="F69" s="4" t="s">
        <v>339</v>
      </c>
      <c r="G69" s="4" t="s">
        <v>365</v>
      </c>
    </row>
    <row r="70" customFormat="false" ht="25.5" hidden="false" customHeight="true" outlineLevel="0" collapsed="false">
      <c r="A70" s="4" t="s">
        <v>401</v>
      </c>
      <c r="B70" s="4" t="s">
        <v>395</v>
      </c>
      <c r="C70" s="4" t="s">
        <v>402</v>
      </c>
      <c r="D70" s="4" t="n">
        <v>5</v>
      </c>
      <c r="E70" s="4" t="s">
        <v>251</v>
      </c>
      <c r="F70" s="4" t="s">
        <v>339</v>
      </c>
      <c r="G70" s="4" t="s">
        <v>246</v>
      </c>
    </row>
    <row r="71" customFormat="false" ht="25.5" hidden="false" customHeight="true" outlineLevel="0" collapsed="false">
      <c r="A71" s="4" t="s">
        <v>403</v>
      </c>
      <c r="B71" s="4" t="s">
        <v>395</v>
      </c>
      <c r="C71" s="4" t="s">
        <v>404</v>
      </c>
      <c r="D71" s="4" t="n">
        <v>8</v>
      </c>
      <c r="E71" s="4" t="s">
        <v>244</v>
      </c>
      <c r="F71" s="4" t="s">
        <v>405</v>
      </c>
      <c r="G71" s="4" t="s">
        <v>406</v>
      </c>
    </row>
    <row r="72" customFormat="false" ht="25.5" hidden="false" customHeight="true" outlineLevel="0" collapsed="false">
      <c r="A72" s="4" t="s">
        <v>407</v>
      </c>
      <c r="B72" s="4" t="s">
        <v>395</v>
      </c>
      <c r="C72" s="4" t="s">
        <v>408</v>
      </c>
      <c r="D72" s="4" t="n">
        <v>5</v>
      </c>
      <c r="E72" s="4" t="s">
        <v>244</v>
      </c>
      <c r="F72" s="4" t="s">
        <v>405</v>
      </c>
      <c r="G72" s="4" t="s">
        <v>246</v>
      </c>
    </row>
    <row r="73" customFormat="false" ht="25.5" hidden="false" customHeight="true" outlineLevel="0" collapsed="false">
      <c r="A73" s="4" t="s">
        <v>409</v>
      </c>
      <c r="B73" s="4" t="s">
        <v>395</v>
      </c>
      <c r="C73" s="4" t="s">
        <v>410</v>
      </c>
      <c r="D73" s="4" t="n">
        <v>5</v>
      </c>
      <c r="E73" s="4" t="s">
        <v>244</v>
      </c>
      <c r="F73" s="4" t="s">
        <v>339</v>
      </c>
      <c r="G73" s="4" t="s">
        <v>246</v>
      </c>
    </row>
    <row r="74" customFormat="false" ht="25.5" hidden="false" customHeight="true" outlineLevel="0" collapsed="false">
      <c r="A74" s="4" t="s">
        <v>411</v>
      </c>
      <c r="B74" s="4" t="s">
        <v>412</v>
      </c>
      <c r="C74" s="4" t="s">
        <v>413</v>
      </c>
      <c r="D74" s="4" t="n">
        <v>5</v>
      </c>
      <c r="E74" s="4" t="s">
        <v>244</v>
      </c>
      <c r="F74" s="4" t="s">
        <v>279</v>
      </c>
      <c r="G74" s="4" t="s">
        <v>246</v>
      </c>
    </row>
    <row r="75" customFormat="false" ht="25.5" hidden="false" customHeight="true" outlineLevel="0" collapsed="false">
      <c r="A75" s="4" t="s">
        <v>414</v>
      </c>
      <c r="B75" s="4" t="s">
        <v>412</v>
      </c>
      <c r="C75" s="4" t="s">
        <v>415</v>
      </c>
      <c r="D75" s="4" t="n">
        <v>3</v>
      </c>
      <c r="E75" s="4" t="s">
        <v>244</v>
      </c>
      <c r="F75" s="4" t="s">
        <v>279</v>
      </c>
      <c r="G75" s="4" t="s">
        <v>246</v>
      </c>
    </row>
    <row r="76" customFormat="false" ht="25.5" hidden="false" customHeight="true" outlineLevel="0" collapsed="false">
      <c r="A76" s="4" t="s">
        <v>416</v>
      </c>
      <c r="B76" s="4" t="s">
        <v>412</v>
      </c>
      <c r="C76" s="4" t="s">
        <v>417</v>
      </c>
      <c r="D76" s="4" t="n">
        <v>3</v>
      </c>
      <c r="E76" s="4" t="s">
        <v>263</v>
      </c>
      <c r="F76" s="4" t="s">
        <v>339</v>
      </c>
      <c r="G76" s="4" t="s">
        <v>246</v>
      </c>
    </row>
    <row r="77" customFormat="false" ht="25.5" hidden="false" customHeight="true" outlineLevel="0" collapsed="false">
      <c r="A77" s="4" t="s">
        <v>418</v>
      </c>
      <c r="B77" s="4" t="s">
        <v>412</v>
      </c>
      <c r="C77" s="4" t="s">
        <v>419</v>
      </c>
      <c r="D77" s="4" t="n">
        <v>2</v>
      </c>
      <c r="E77" s="4" t="s">
        <v>263</v>
      </c>
      <c r="F77" s="4" t="s">
        <v>339</v>
      </c>
      <c r="G77" s="4" t="s">
        <v>246</v>
      </c>
    </row>
    <row r="78" customFormat="false" ht="25.5" hidden="false" customHeight="true" outlineLevel="0" collapsed="false">
      <c r="A78" s="4" t="s">
        <v>420</v>
      </c>
      <c r="B78" s="4" t="s">
        <v>412</v>
      </c>
      <c r="C78" s="4" t="s">
        <v>421</v>
      </c>
      <c r="D78" s="4" t="n">
        <v>5</v>
      </c>
      <c r="E78" s="4" t="s">
        <v>251</v>
      </c>
      <c r="F78" s="4" t="s">
        <v>339</v>
      </c>
      <c r="G78" s="4" t="s">
        <v>246</v>
      </c>
    </row>
    <row r="79" customFormat="false" ht="25.5" hidden="false" customHeight="true" outlineLevel="0" collapsed="false">
      <c r="A79" s="4" t="s">
        <v>422</v>
      </c>
      <c r="B79" s="4" t="s">
        <v>412</v>
      </c>
      <c r="C79" s="4" t="s">
        <v>423</v>
      </c>
      <c r="D79" s="4" t="n">
        <v>3</v>
      </c>
      <c r="E79" s="4" t="s">
        <v>263</v>
      </c>
      <c r="F79" s="4" t="s">
        <v>339</v>
      </c>
      <c r="G79" s="4" t="s">
        <v>246</v>
      </c>
    </row>
    <row r="80" customFormat="false" ht="25.5" hidden="false" customHeight="true" outlineLevel="0" collapsed="false">
      <c r="A80" s="4" t="s">
        <v>424</v>
      </c>
      <c r="B80" s="4" t="s">
        <v>412</v>
      </c>
      <c r="C80" s="4" t="s">
        <v>425</v>
      </c>
      <c r="D80" s="4" t="n">
        <v>3</v>
      </c>
      <c r="E80" s="4" t="s">
        <v>263</v>
      </c>
      <c r="F80" s="4" t="s">
        <v>339</v>
      </c>
      <c r="G80" s="4" t="s">
        <v>246</v>
      </c>
    </row>
    <row r="81" customFormat="false" ht="25.5" hidden="false" customHeight="true" outlineLevel="0" collapsed="false">
      <c r="A81" s="4" t="s">
        <v>426</v>
      </c>
      <c r="B81" s="4" t="s">
        <v>427</v>
      </c>
      <c r="C81" s="4" t="s">
        <v>428</v>
      </c>
      <c r="D81" s="4" t="n">
        <v>5</v>
      </c>
      <c r="E81" s="4" t="s">
        <v>244</v>
      </c>
      <c r="F81" s="4" t="s">
        <v>293</v>
      </c>
      <c r="G81" s="4" t="s">
        <v>246</v>
      </c>
    </row>
    <row r="82" customFormat="false" ht="25.5" hidden="false" customHeight="true" outlineLevel="0" collapsed="false">
      <c r="A82" s="4" t="s">
        <v>429</v>
      </c>
      <c r="B82" s="4" t="s">
        <v>427</v>
      </c>
      <c r="C82" s="4" t="s">
        <v>430</v>
      </c>
      <c r="D82" s="4" t="n">
        <v>3</v>
      </c>
      <c r="E82" s="4" t="s">
        <v>251</v>
      </c>
      <c r="F82" s="4" t="s">
        <v>293</v>
      </c>
      <c r="G82" s="4" t="s">
        <v>246</v>
      </c>
    </row>
    <row r="83" customFormat="false" ht="25.5" hidden="false" customHeight="true" outlineLevel="0" collapsed="false">
      <c r="A83" s="4" t="s">
        <v>431</v>
      </c>
      <c r="B83" s="4" t="s">
        <v>427</v>
      </c>
      <c r="C83" s="4" t="s">
        <v>432</v>
      </c>
      <c r="D83" s="4" t="n">
        <v>5</v>
      </c>
      <c r="E83" s="4" t="s">
        <v>251</v>
      </c>
      <c r="F83" s="4" t="s">
        <v>433</v>
      </c>
      <c r="G83" s="4" t="s">
        <v>365</v>
      </c>
    </row>
    <row r="84" customFormat="false" ht="25.5" hidden="false" customHeight="true" outlineLevel="0" collapsed="false">
      <c r="A84" s="4" t="s">
        <v>434</v>
      </c>
      <c r="B84" s="4" t="s">
        <v>427</v>
      </c>
      <c r="C84" s="4" t="s">
        <v>435</v>
      </c>
      <c r="D84" s="4" t="n">
        <v>3</v>
      </c>
      <c r="E84" s="4" t="s">
        <v>244</v>
      </c>
      <c r="F84" s="4" t="s">
        <v>433</v>
      </c>
      <c r="G84" s="4" t="s">
        <v>365</v>
      </c>
    </row>
    <row r="85" customFormat="false" ht="25.5" hidden="false" customHeight="true" outlineLevel="0" collapsed="false">
      <c r="A85" s="4" t="s">
        <v>436</v>
      </c>
      <c r="B85" s="4" t="s">
        <v>427</v>
      </c>
      <c r="C85" s="4" t="s">
        <v>437</v>
      </c>
      <c r="D85" s="4" t="n">
        <v>3</v>
      </c>
      <c r="E85" s="4" t="s">
        <v>251</v>
      </c>
      <c r="F85" s="4" t="s">
        <v>438</v>
      </c>
      <c r="G85" s="4" t="s">
        <v>246</v>
      </c>
    </row>
    <row r="86" customFormat="false" ht="25.5" hidden="false" customHeight="true" outlineLevel="0" collapsed="false">
      <c r="A86" s="4" t="s">
        <v>439</v>
      </c>
      <c r="B86" s="4" t="s">
        <v>427</v>
      </c>
      <c r="C86" s="4" t="s">
        <v>440</v>
      </c>
      <c r="D86" s="4" t="n">
        <v>5</v>
      </c>
      <c r="E86" s="4" t="s">
        <v>251</v>
      </c>
      <c r="F86" s="4" t="s">
        <v>433</v>
      </c>
      <c r="G86" s="4" t="s">
        <v>441</v>
      </c>
    </row>
    <row r="87" customFormat="false" ht="25.5" hidden="false" customHeight="true" outlineLevel="0" collapsed="false">
      <c r="A87" s="4" t="s">
        <v>442</v>
      </c>
      <c r="B87" s="4" t="s">
        <v>427</v>
      </c>
      <c r="C87" s="4" t="s">
        <v>443</v>
      </c>
      <c r="D87" s="4" t="n">
        <v>2</v>
      </c>
      <c r="E87" s="4" t="s">
        <v>263</v>
      </c>
      <c r="F87" s="4" t="s">
        <v>433</v>
      </c>
      <c r="G87" s="4" t="s">
        <v>246</v>
      </c>
    </row>
    <row r="88" customFormat="false" ht="25.5" hidden="false" customHeight="true" outlineLevel="0" collapsed="false">
      <c r="A88" s="4" t="s">
        <v>444</v>
      </c>
      <c r="B88" s="4" t="s">
        <v>445</v>
      </c>
      <c r="C88" s="4" t="s">
        <v>446</v>
      </c>
      <c r="D88" s="4" t="n">
        <v>5</v>
      </c>
      <c r="E88" s="4" t="s">
        <v>244</v>
      </c>
      <c r="F88" s="4" t="s">
        <v>256</v>
      </c>
      <c r="G88" s="4" t="s">
        <v>246</v>
      </c>
    </row>
    <row r="89" customFormat="false" ht="25.5" hidden="false" customHeight="true" outlineLevel="0" collapsed="false">
      <c r="A89" s="4" t="s">
        <v>447</v>
      </c>
      <c r="B89" s="4" t="s">
        <v>445</v>
      </c>
      <c r="C89" s="4" t="s">
        <v>448</v>
      </c>
      <c r="D89" s="4" t="n">
        <v>5</v>
      </c>
      <c r="E89" s="4" t="s">
        <v>244</v>
      </c>
      <c r="F89" s="4" t="s">
        <v>279</v>
      </c>
      <c r="G89" s="4" t="s">
        <v>365</v>
      </c>
    </row>
    <row r="90" customFormat="false" ht="25.5" hidden="false" customHeight="true" outlineLevel="0" collapsed="false">
      <c r="A90" s="4" t="s">
        <v>449</v>
      </c>
      <c r="B90" s="4" t="s">
        <v>445</v>
      </c>
      <c r="C90" s="4" t="s">
        <v>450</v>
      </c>
      <c r="D90" s="4" t="n">
        <v>3</v>
      </c>
      <c r="E90" s="4" t="s">
        <v>244</v>
      </c>
      <c r="F90" s="4" t="s">
        <v>339</v>
      </c>
      <c r="G90" s="4" t="s">
        <v>365</v>
      </c>
    </row>
    <row r="91" customFormat="false" ht="25.5" hidden="false" customHeight="true" outlineLevel="0" collapsed="false">
      <c r="A91" s="4" t="s">
        <v>451</v>
      </c>
      <c r="B91" s="4" t="s">
        <v>445</v>
      </c>
      <c r="C91" s="4" t="s">
        <v>452</v>
      </c>
      <c r="D91" s="4" t="n">
        <v>5</v>
      </c>
      <c r="E91" s="4" t="s">
        <v>251</v>
      </c>
      <c r="F91" s="4" t="s">
        <v>339</v>
      </c>
      <c r="G91" s="4" t="s">
        <v>365</v>
      </c>
    </row>
    <row r="92" customFormat="false" ht="25.5" hidden="false" customHeight="true" outlineLevel="0" collapsed="false">
      <c r="A92" s="4" t="s">
        <v>453</v>
      </c>
      <c r="B92" s="4" t="s">
        <v>445</v>
      </c>
      <c r="C92" s="4" t="s">
        <v>454</v>
      </c>
      <c r="D92" s="4" t="n">
        <v>3</v>
      </c>
      <c r="E92" s="4" t="s">
        <v>251</v>
      </c>
      <c r="F92" s="4" t="s">
        <v>405</v>
      </c>
      <c r="G92" s="4" t="s">
        <v>365</v>
      </c>
    </row>
    <row r="93" customFormat="false" ht="25.5" hidden="false" customHeight="true" outlineLevel="0" collapsed="false">
      <c r="A93" s="4" t="s">
        <v>455</v>
      </c>
      <c r="B93" s="4" t="s">
        <v>445</v>
      </c>
      <c r="C93" s="4" t="s">
        <v>456</v>
      </c>
      <c r="D93" s="4" t="n">
        <v>3</v>
      </c>
      <c r="E93" s="4" t="s">
        <v>251</v>
      </c>
      <c r="F93" s="4" t="s">
        <v>405</v>
      </c>
      <c r="G93" s="4" t="s">
        <v>441</v>
      </c>
    </row>
    <row r="94" customFormat="false" ht="25.5" hidden="false" customHeight="true" outlineLevel="0" collapsed="false">
      <c r="A94" s="4" t="s">
        <v>457</v>
      </c>
      <c r="B94" s="4" t="s">
        <v>445</v>
      </c>
      <c r="C94" s="4" t="s">
        <v>458</v>
      </c>
      <c r="D94" s="4" t="n">
        <v>3</v>
      </c>
      <c r="E94" s="4" t="s">
        <v>263</v>
      </c>
      <c r="F94" s="4" t="s">
        <v>405</v>
      </c>
      <c r="G94" s="4" t="s">
        <v>365</v>
      </c>
    </row>
    <row r="95" customFormat="false" ht="25.5" hidden="false" customHeight="true" outlineLevel="0" collapsed="false">
      <c r="A95" s="4" t="s">
        <v>459</v>
      </c>
      <c r="B95" s="4" t="s">
        <v>445</v>
      </c>
      <c r="C95" s="4" t="s">
        <v>460</v>
      </c>
      <c r="D95" s="4" t="n">
        <v>3</v>
      </c>
      <c r="E95" s="4" t="s">
        <v>263</v>
      </c>
      <c r="F95" s="4" t="s">
        <v>339</v>
      </c>
      <c r="G95" s="4" t="s">
        <v>365</v>
      </c>
    </row>
    <row r="96" customFormat="false" ht="25.5" hidden="false" customHeight="true" outlineLevel="0" collapsed="false">
      <c r="A96" s="4" t="s">
        <v>461</v>
      </c>
      <c r="B96" s="4" t="s">
        <v>462</v>
      </c>
      <c r="C96" s="4" t="s">
        <v>463</v>
      </c>
      <c r="D96" s="4" t="n">
        <v>3</v>
      </c>
      <c r="E96" s="4" t="s">
        <v>244</v>
      </c>
      <c r="F96" s="4" t="s">
        <v>405</v>
      </c>
      <c r="G96" s="4" t="s">
        <v>464</v>
      </c>
    </row>
    <row r="97" customFormat="false" ht="25.5" hidden="false" customHeight="true" outlineLevel="0" collapsed="false">
      <c r="A97" s="4" t="s">
        <v>465</v>
      </c>
      <c r="B97" s="4" t="s">
        <v>462</v>
      </c>
      <c r="C97" s="4" t="s">
        <v>466</v>
      </c>
      <c r="D97" s="4" t="n">
        <v>5</v>
      </c>
      <c r="E97" s="4" t="s">
        <v>244</v>
      </c>
      <c r="F97" s="4" t="s">
        <v>405</v>
      </c>
      <c r="G97" s="4" t="s">
        <v>441</v>
      </c>
    </row>
    <row r="98" customFormat="false" ht="25.5" hidden="false" customHeight="true" outlineLevel="0" collapsed="false">
      <c r="A98" s="4" t="s">
        <v>467</v>
      </c>
      <c r="B98" s="4" t="s">
        <v>462</v>
      </c>
      <c r="C98" s="4" t="s">
        <v>468</v>
      </c>
      <c r="D98" s="4" t="n">
        <v>3</v>
      </c>
      <c r="E98" s="4" t="s">
        <v>244</v>
      </c>
      <c r="F98" s="4" t="s">
        <v>433</v>
      </c>
      <c r="G98" s="4" t="s">
        <v>365</v>
      </c>
    </row>
    <row r="99" customFormat="false" ht="25.5" hidden="false" customHeight="true" outlineLevel="0" collapsed="false">
      <c r="A99" s="4" t="s">
        <v>469</v>
      </c>
      <c r="B99" s="4" t="s">
        <v>462</v>
      </c>
      <c r="C99" s="4" t="s">
        <v>470</v>
      </c>
      <c r="D99" s="4" t="n">
        <v>3</v>
      </c>
      <c r="E99" s="4" t="s">
        <v>244</v>
      </c>
      <c r="F99" s="4" t="s">
        <v>433</v>
      </c>
      <c r="G99" s="4" t="s">
        <v>441</v>
      </c>
    </row>
    <row r="100" customFormat="false" ht="25.5" hidden="false" customHeight="true" outlineLevel="0" collapsed="false">
      <c r="A100" s="4" t="s">
        <v>471</v>
      </c>
      <c r="B100" s="4" t="s">
        <v>462</v>
      </c>
      <c r="C100" s="4" t="s">
        <v>472</v>
      </c>
      <c r="D100" s="4" t="n">
        <v>3</v>
      </c>
      <c r="E100" s="4" t="s">
        <v>244</v>
      </c>
      <c r="F100" s="4" t="s">
        <v>433</v>
      </c>
      <c r="G100" s="4" t="s">
        <v>406</v>
      </c>
    </row>
    <row r="101" customFormat="false" ht="25.5" hidden="false" customHeight="true" outlineLevel="0" collapsed="false">
      <c r="A101" s="4" t="s">
        <v>473</v>
      </c>
      <c r="B101" s="4" t="s">
        <v>462</v>
      </c>
      <c r="C101" s="4" t="s">
        <v>474</v>
      </c>
      <c r="D101" s="4" t="n">
        <v>3</v>
      </c>
      <c r="E101" s="4" t="s">
        <v>251</v>
      </c>
      <c r="F101" s="4" t="s">
        <v>438</v>
      </c>
      <c r="G101" s="4" t="s">
        <v>246</v>
      </c>
    </row>
    <row r="102" customFormat="false" ht="25.5" hidden="false" customHeight="true" outlineLevel="0" collapsed="false">
      <c r="A102" s="4" t="s">
        <v>475</v>
      </c>
      <c r="B102" s="4" t="s">
        <v>462</v>
      </c>
      <c r="C102" s="4" t="s">
        <v>476</v>
      </c>
      <c r="D102" s="4" t="n">
        <v>2</v>
      </c>
      <c r="E102" s="4" t="s">
        <v>263</v>
      </c>
      <c r="F102" s="4" t="s">
        <v>477</v>
      </c>
      <c r="G102" s="4" t="s">
        <v>365</v>
      </c>
    </row>
    <row r="103" customFormat="false" ht="25.5" hidden="false" customHeight="true" outlineLevel="0" collapsed="false">
      <c r="A103" s="4" t="s">
        <v>478</v>
      </c>
      <c r="B103" s="4" t="s">
        <v>462</v>
      </c>
      <c r="C103" s="4" t="s">
        <v>479</v>
      </c>
      <c r="D103" s="4" t="n">
        <v>2</v>
      </c>
      <c r="E103" s="4" t="s">
        <v>251</v>
      </c>
      <c r="F103" s="4" t="s">
        <v>438</v>
      </c>
      <c r="G103" s="4" t="s">
        <v>365</v>
      </c>
    </row>
    <row r="105" customFormat="false" ht="30" hidden="false" customHeight="true" outlineLevel="0" collapsed="false">
      <c r="A105" s="11" t="s">
        <v>480</v>
      </c>
      <c r="B105" s="11"/>
      <c r="C105" s="11"/>
      <c r="D105" s="11"/>
      <c r="E105" s="11"/>
      <c r="F105" s="11"/>
      <c r="G105" s="11"/>
    </row>
  </sheetData>
  <mergeCells count="1">
    <mergeCell ref="A105:G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4" min="3" style="1" width="9"/>
    <col collapsed="false" customWidth="true" hidden="false" outlineLevel="0" max="5" min="5" style="1" width="8"/>
    <col collapsed="false" customWidth="true" hidden="false" outlineLevel="0" max="6" min="6" style="1" width="52"/>
  </cols>
  <sheetData>
    <row r="1" customFormat="false" ht="17.25" hidden="false" customHeight="true" outlineLevel="0" collapsed="false">
      <c r="A1" s="2" t="s">
        <v>481</v>
      </c>
    </row>
    <row r="3" customFormat="false" ht="15" hidden="false" customHeight="true" outlineLevel="0" collapsed="false">
      <c r="A3" s="3" t="s">
        <v>240</v>
      </c>
      <c r="B3" s="3" t="s">
        <v>482</v>
      </c>
      <c r="C3" s="3" t="s">
        <v>483</v>
      </c>
      <c r="D3" s="3" t="s">
        <v>238</v>
      </c>
      <c r="E3" s="3" t="s">
        <v>246</v>
      </c>
      <c r="F3" s="3" t="s">
        <v>484</v>
      </c>
    </row>
    <row r="4" customFormat="false" ht="31.5" hidden="false" customHeight="true" outlineLevel="0" collapsed="false">
      <c r="A4" s="4" t="s">
        <v>485</v>
      </c>
      <c r="B4" s="4" t="s">
        <v>486</v>
      </c>
      <c r="C4" s="4" t="n">
        <f aca="false">COUNTIF(Full_Backlog!F4:F103,"S0")</f>
        <v>0</v>
      </c>
      <c r="D4" s="4" t="n">
        <f aca="false">SUMIF(Full_Backlog!F4:F103,"S0",Full_Backlog!D4:D103)</f>
        <v>0</v>
      </c>
      <c r="E4" s="4" t="n">
        <f aca="false">COUNTIFS(Full_Backlog!F4:F103,"S0",Full_Backlog!G4:G103,"Done")</f>
        <v>0</v>
      </c>
      <c r="F4" s="4" t="s">
        <v>487</v>
      </c>
    </row>
    <row r="5" customFormat="false" ht="31.5" hidden="false" customHeight="true" outlineLevel="0" collapsed="false">
      <c r="A5" s="4" t="s">
        <v>364</v>
      </c>
      <c r="B5" s="4" t="s">
        <v>488</v>
      </c>
      <c r="C5" s="4" t="n">
        <f aca="false">COUNTIF(Full_Backlog!F4:F103,"S1")</f>
        <v>4</v>
      </c>
      <c r="D5" s="4" t="n">
        <f aca="false">SUMIF(Full_Backlog!F4:F103,"S1",Full_Backlog!D4:D103)</f>
        <v>13</v>
      </c>
      <c r="E5" s="4" t="n">
        <f aca="false">COUNTIFS(Full_Backlog!F4:F103,"S1",Full_Backlog!G4:G103,"Done")</f>
        <v>1</v>
      </c>
      <c r="F5" s="4" t="s">
        <v>489</v>
      </c>
    </row>
    <row r="6" customFormat="false" ht="31.5" hidden="false" customHeight="true" outlineLevel="0" collapsed="false">
      <c r="A6" s="4" t="s">
        <v>245</v>
      </c>
      <c r="B6" s="4" t="s">
        <v>490</v>
      </c>
      <c r="C6" s="4" t="n">
        <f aca="false">COUNTIF(Full_Backlog!F4:F103,"S2")</f>
        <v>6</v>
      </c>
      <c r="D6" s="4" t="n">
        <f aca="false">SUMIF(Full_Backlog!F4:F103,"S2",Full_Backlog!D4:D103)</f>
        <v>29</v>
      </c>
      <c r="E6" s="4" t="n">
        <f aca="false">COUNTIFS(Full_Backlog!F4:F103,"S2",Full_Backlog!G4:G103,"Done")</f>
        <v>6</v>
      </c>
      <c r="F6" s="4" t="s">
        <v>491</v>
      </c>
    </row>
    <row r="7" customFormat="false" ht="31.5" hidden="false" customHeight="true" outlineLevel="0" collapsed="false">
      <c r="A7" s="4" t="s">
        <v>256</v>
      </c>
      <c r="B7" s="4" t="s">
        <v>492</v>
      </c>
      <c r="C7" s="4" t="n">
        <f aca="false">COUNTIF(Full_Backlog!F4:F103,"S3")</f>
        <v>11</v>
      </c>
      <c r="D7" s="4" t="n">
        <f aca="false">SUMIF(Full_Backlog!F4:F103,"S3",Full_Backlog!D4:D103)</f>
        <v>47</v>
      </c>
      <c r="E7" s="4" t="n">
        <f aca="false">COUNTIFS(Full_Backlog!F4:F103,"S3",Full_Backlog!G4:G103,"Done")</f>
        <v>11</v>
      </c>
      <c r="F7" s="4" t="s">
        <v>493</v>
      </c>
    </row>
    <row r="8" customFormat="false" ht="31.5" hidden="false" customHeight="true" outlineLevel="0" collapsed="false">
      <c r="A8" s="4" t="s">
        <v>279</v>
      </c>
      <c r="B8" s="4" t="s">
        <v>494</v>
      </c>
      <c r="C8" s="4" t="n">
        <f aca="false">COUNTIF(Full_Backlog!F4:F103,"S4")</f>
        <v>9</v>
      </c>
      <c r="D8" s="4" t="n">
        <f aca="false">SUMIF(Full_Backlog!F4:F103,"S4",Full_Backlog!D4:D103)</f>
        <v>34</v>
      </c>
      <c r="E8" s="4" t="n">
        <f aca="false">COUNTIFS(Full_Backlog!F4:F103,"S4",Full_Backlog!G4:G103,"Done")</f>
        <v>8</v>
      </c>
      <c r="F8" s="4" t="s">
        <v>495</v>
      </c>
    </row>
    <row r="9" customFormat="false" ht="31.5" hidden="false" customHeight="true" outlineLevel="0" collapsed="false">
      <c r="A9" s="4" t="s">
        <v>293</v>
      </c>
      <c r="B9" s="4" t="s">
        <v>496</v>
      </c>
      <c r="C9" s="4" t="n">
        <f aca="false">COUNTIF(Full_Backlog!F4:F103,"S5")</f>
        <v>12</v>
      </c>
      <c r="D9" s="4" t="n">
        <f aca="false">SUMIF(Full_Backlog!F4:F103,"S5",Full_Backlog!D4:D103)</f>
        <v>50</v>
      </c>
      <c r="E9" s="4" t="n">
        <f aca="false">COUNTIFS(Full_Backlog!F4:F103,"S5",Full_Backlog!G4:G103,"Done")</f>
        <v>12</v>
      </c>
      <c r="F9" s="4" t="s">
        <v>497</v>
      </c>
    </row>
    <row r="10" customFormat="false" ht="31.5" hidden="false" customHeight="true" outlineLevel="0" collapsed="false">
      <c r="A10" s="4" t="s">
        <v>317</v>
      </c>
      <c r="B10" s="4" t="s">
        <v>498</v>
      </c>
      <c r="C10" s="4" t="n">
        <f aca="false">COUNTIF(Full_Backlog!F4:F103,"S6")</f>
        <v>13</v>
      </c>
      <c r="D10" s="4" t="n">
        <f aca="false">SUMIF(Full_Backlog!F4:F103,"S6",Full_Backlog!D4:D103)</f>
        <v>60</v>
      </c>
      <c r="E10" s="4" t="n">
        <f aca="false">COUNTIFS(Full_Backlog!F4:F103,"S6",Full_Backlog!G4:G103,"Done")</f>
        <v>12</v>
      </c>
      <c r="F10" s="4" t="s">
        <v>499</v>
      </c>
    </row>
    <row r="11" customFormat="false" ht="31.5" hidden="false" customHeight="true" outlineLevel="0" collapsed="false">
      <c r="A11" s="4" t="s">
        <v>385</v>
      </c>
      <c r="B11" s="4" t="s">
        <v>500</v>
      </c>
      <c r="C11" s="4" t="n">
        <f aca="false">COUNTIF(Full_Backlog!F4:F103,"S7")</f>
        <v>5</v>
      </c>
      <c r="D11" s="4" t="n">
        <f aca="false">SUMIF(Full_Backlog!F4:F103,"S7",Full_Backlog!D4:D103)</f>
        <v>15</v>
      </c>
      <c r="E11" s="4" t="n">
        <f aca="false">COUNTIFS(Full_Backlog!F4:F103,"S7",Full_Backlog!G4:G103,"Done")</f>
        <v>5</v>
      </c>
      <c r="F11" s="4" t="s">
        <v>501</v>
      </c>
    </row>
    <row r="12" customFormat="false" ht="31.5" hidden="false" customHeight="true" outlineLevel="0" collapsed="false">
      <c r="A12" s="4" t="s">
        <v>339</v>
      </c>
      <c r="B12" s="4" t="s">
        <v>502</v>
      </c>
      <c r="C12" s="4" t="n">
        <f aca="false">COUNTIF(Full_Backlog!F4:F103,"S8")</f>
        <v>22</v>
      </c>
      <c r="D12" s="4" t="n">
        <f aca="false">SUMIF(Full_Backlog!F4:F103,"S8",Full_Backlog!D4:D103)</f>
        <v>87</v>
      </c>
      <c r="E12" s="4" t="n">
        <f aca="false">COUNTIFS(Full_Backlog!F4:F103,"S8",Full_Backlog!G4:G103,"Done")</f>
        <v>18</v>
      </c>
      <c r="F12" s="4" t="s">
        <v>503</v>
      </c>
    </row>
    <row r="13" customFormat="false" ht="31.5" hidden="false" customHeight="true" outlineLevel="0" collapsed="false">
      <c r="A13" s="4" t="s">
        <v>405</v>
      </c>
      <c r="B13" s="4" t="s">
        <v>504</v>
      </c>
      <c r="C13" s="4" t="n">
        <f aca="false">COUNTIF(Full_Backlog!F4:F103,"S9")</f>
        <v>7</v>
      </c>
      <c r="D13" s="4" t="n">
        <f aca="false">SUMIF(Full_Backlog!F4:F103,"S9",Full_Backlog!D4:D103)</f>
        <v>30</v>
      </c>
      <c r="E13" s="4" t="n">
        <f aca="false">COUNTIFS(Full_Backlog!F4:F103,"S9",Full_Backlog!G4:G103,"Done")</f>
        <v>1</v>
      </c>
      <c r="F13" s="4" t="s">
        <v>505</v>
      </c>
    </row>
    <row r="14" customFormat="false" ht="31.5" hidden="false" customHeight="true" outlineLevel="0" collapsed="false">
      <c r="A14" s="4" t="s">
        <v>433</v>
      </c>
      <c r="B14" s="4" t="s">
        <v>506</v>
      </c>
      <c r="C14" s="4" t="n">
        <f aca="false">COUNTIF(Full_Backlog!F4:F103,"S10")</f>
        <v>7</v>
      </c>
      <c r="D14" s="4" t="n">
        <f aca="false">SUMIF(Full_Backlog!F4:F103,"S10",Full_Backlog!D4:D103)</f>
        <v>24</v>
      </c>
      <c r="E14" s="4" t="n">
        <f aca="false">COUNTIFS(Full_Backlog!F4:F103,"S10",Full_Backlog!G4:G103,"Done")</f>
        <v>1</v>
      </c>
      <c r="F14" s="4" t="s">
        <v>507</v>
      </c>
    </row>
    <row r="15" customFormat="false" ht="31.5" hidden="false" customHeight="true" outlineLevel="0" collapsed="false">
      <c r="A15" s="4" t="s">
        <v>438</v>
      </c>
      <c r="B15" s="4" t="s">
        <v>508</v>
      </c>
      <c r="C15" s="4" t="n">
        <f aca="false">COUNTIF(Full_Backlog!F4:F103,"S11")</f>
        <v>3</v>
      </c>
      <c r="D15" s="4" t="n">
        <f aca="false">SUMIF(Full_Backlog!F4:F103,"S11",Full_Backlog!D4:D103)</f>
        <v>8</v>
      </c>
      <c r="E15" s="4" t="n">
        <f aca="false">COUNTIFS(Full_Backlog!F4:F103,"S11",Full_Backlog!G4:G103,"Done")</f>
        <v>2</v>
      </c>
      <c r="F15" s="4" t="s">
        <v>509</v>
      </c>
    </row>
    <row r="16" customFormat="false" ht="31.5" hidden="false" customHeight="true" outlineLevel="0" collapsed="false">
      <c r="A16" s="4" t="s">
        <v>477</v>
      </c>
      <c r="B16" s="4" t="s">
        <v>510</v>
      </c>
      <c r="C16" s="4" t="n">
        <f aca="false">COUNTIF(Full_Backlog!F4:F103,"S12")</f>
        <v>1</v>
      </c>
      <c r="D16" s="4" t="n">
        <f aca="false">SUMIF(Full_Backlog!F4:F103,"S12",Full_Backlog!D4:D103)</f>
        <v>2</v>
      </c>
      <c r="E16" s="4" t="n">
        <f aca="false">COUNTIFS(Full_Backlog!F4:F103,"S12",Full_Backlog!G4:G103,"Done")</f>
        <v>0</v>
      </c>
      <c r="F16" s="4" t="s">
        <v>511</v>
      </c>
    </row>
    <row r="17" customFormat="false" ht="15" hidden="false" customHeight="true" outlineLevel="0" collapsed="false">
      <c r="B17" s="10" t="s">
        <v>512</v>
      </c>
      <c r="C17" s="10" t="n">
        <f aca="false">SUM(C4:C16)</f>
        <v>100</v>
      </c>
      <c r="D17" s="10" t="n">
        <f aca="false">SUM(D4:D16)</f>
        <v>399</v>
      </c>
    </row>
    <row r="18" customFormat="false" ht="27.75" hidden="false" customHeight="true" outlineLevel="0" collapsed="false">
      <c r="B18" s="11" t="s">
        <v>513</v>
      </c>
      <c r="C18" s="11"/>
      <c r="D18" s="11"/>
      <c r="E18" s="11"/>
      <c r="F18" s="11"/>
    </row>
  </sheetData>
  <mergeCells count="1">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19" min="2" style="1" width="11"/>
  </cols>
  <sheetData>
    <row r="1" customFormat="false" ht="17.25" hidden="false" customHeight="true" outlineLevel="0" collapsed="false">
      <c r="A1" s="2" t="s">
        <v>514</v>
      </c>
    </row>
    <row r="3" customFormat="false" ht="15" hidden="false" customHeight="true" outlineLevel="0" collapsed="false">
      <c r="A3" s="3" t="s">
        <v>515</v>
      </c>
      <c r="B3" s="3" t="s">
        <v>516</v>
      </c>
    </row>
    <row r="4" customFormat="false" ht="15" hidden="false" customHeight="true" outlineLevel="0" collapsed="false">
      <c r="A4" s="5" t="s">
        <v>517</v>
      </c>
      <c r="B4" s="5" t="n">
        <v>50</v>
      </c>
    </row>
    <row r="5" customFormat="false" ht="15" hidden="false" customHeight="true" outlineLevel="0" collapsed="false">
      <c r="A5" s="5" t="s">
        <v>518</v>
      </c>
      <c r="B5" s="5" t="n">
        <v>0.12</v>
      </c>
    </row>
    <row r="6" customFormat="false" ht="15" hidden="false" customHeight="true" outlineLevel="0" collapsed="false">
      <c r="A6" s="5" t="s">
        <v>519</v>
      </c>
      <c r="B6" s="5" t="n">
        <v>0.14</v>
      </c>
    </row>
    <row r="7" customFormat="false" ht="15" hidden="false" customHeight="true" outlineLevel="0" collapsed="false">
      <c r="A7" s="5" t="s">
        <v>520</v>
      </c>
      <c r="B7" s="5" t="n">
        <v>25</v>
      </c>
    </row>
    <row r="8" customFormat="false" ht="15" hidden="false" customHeight="true" outlineLevel="0" collapsed="false">
      <c r="A8" s="5" t="s">
        <v>521</v>
      </c>
      <c r="B8" s="5" t="n">
        <v>0.04</v>
      </c>
    </row>
    <row r="9" customFormat="false" ht="15" hidden="false" customHeight="true" outlineLevel="0" collapsed="false">
      <c r="A9" s="5" t="s">
        <v>522</v>
      </c>
      <c r="B9" s="5" t="n">
        <v>0.15</v>
      </c>
    </row>
    <row r="10" customFormat="false" ht="15" hidden="false" customHeight="true" outlineLevel="0" collapsed="false">
      <c r="A10" s="5" t="s">
        <v>523</v>
      </c>
      <c r="B10" s="5" t="n">
        <v>14000</v>
      </c>
    </row>
    <row r="11" customFormat="false" ht="15" hidden="false" customHeight="true" outlineLevel="0" collapsed="false">
      <c r="A11" s="5" t="s">
        <v>524</v>
      </c>
      <c r="B11" s="5" t="n">
        <v>0.03</v>
      </c>
    </row>
    <row r="12" customFormat="false" ht="15" hidden="false" customHeight="true" outlineLevel="0" collapsed="false">
      <c r="A12" s="6" t="s">
        <v>525</v>
      </c>
    </row>
    <row r="14" customFormat="false" ht="15" hidden="false" customHeight="true" outlineLevel="0" collapsed="false">
      <c r="A14" s="3" t="s">
        <v>526</v>
      </c>
      <c r="B14" s="3" t="s">
        <v>527</v>
      </c>
      <c r="C14" s="3" t="s">
        <v>528</v>
      </c>
      <c r="D14" s="3" t="s">
        <v>529</v>
      </c>
      <c r="E14" s="3" t="s">
        <v>530</v>
      </c>
      <c r="F14" s="3" t="s">
        <v>531</v>
      </c>
      <c r="G14" s="3" t="s">
        <v>532</v>
      </c>
      <c r="H14" s="3" t="s">
        <v>533</v>
      </c>
      <c r="I14" s="3" t="s">
        <v>534</v>
      </c>
      <c r="J14" s="3" t="s">
        <v>535</v>
      </c>
      <c r="K14" s="3" t="s">
        <v>536</v>
      </c>
      <c r="L14" s="3" t="s">
        <v>537</v>
      </c>
      <c r="M14" s="3" t="s">
        <v>538</v>
      </c>
      <c r="N14" s="3" t="s">
        <v>539</v>
      </c>
      <c r="O14" s="3" t="s">
        <v>540</v>
      </c>
      <c r="P14" s="3" t="s">
        <v>541</v>
      </c>
      <c r="Q14" s="3" t="s">
        <v>542</v>
      </c>
      <c r="R14" s="3" t="s">
        <v>543</v>
      </c>
      <c r="S14" s="3" t="s">
        <v>544</v>
      </c>
    </row>
    <row r="15" customFormat="false" ht="15" hidden="false" customHeight="true" outlineLevel="0" collapsed="false">
      <c r="A15" s="10" t="s">
        <v>545</v>
      </c>
      <c r="B15" s="6" t="n">
        <f aca="false">$B$4</f>
        <v>50</v>
      </c>
      <c r="C15" s="6" t="n">
        <f aca="false">B15*(1+$B$5)</f>
        <v>56</v>
      </c>
      <c r="D15" s="6" t="n">
        <f aca="false">C15*(1+$B$5)</f>
        <v>62.72</v>
      </c>
      <c r="E15" s="6" t="n">
        <f aca="false">D15*(1+$B$5)</f>
        <v>70.2464</v>
      </c>
      <c r="F15" s="6" t="n">
        <f aca="false">E15*(1+$B$5)</f>
        <v>78.675968</v>
      </c>
      <c r="G15" s="6" t="n">
        <f aca="false">F15*(1+$B$5)</f>
        <v>88.11708416</v>
      </c>
      <c r="H15" s="6" t="n">
        <f aca="false">G15*(1+$B$5)</f>
        <v>98.6911342592</v>
      </c>
      <c r="I15" s="6" t="n">
        <f aca="false">H15*(1+$B$5)</f>
        <v>110.534070370304</v>
      </c>
      <c r="J15" s="6" t="n">
        <f aca="false">I15*(1+$B$5)</f>
        <v>123.798158814741</v>
      </c>
      <c r="K15" s="6" t="n">
        <f aca="false">J15*(1+$B$5)</f>
        <v>138.653937872509</v>
      </c>
      <c r="L15" s="6" t="n">
        <f aca="false">K15*(1+$B$5)</f>
        <v>155.292410417211</v>
      </c>
      <c r="M15" s="6" t="n">
        <f aca="false">L15*(1+$B$5)</f>
        <v>173.927499667276</v>
      </c>
      <c r="N15" s="6" t="n">
        <f aca="false">M15*(1+$B$5)</f>
        <v>194.798799627349</v>
      </c>
      <c r="O15" s="6" t="n">
        <f aca="false">N15*(1+$B$5)</f>
        <v>218.174655582631</v>
      </c>
      <c r="P15" s="6" t="n">
        <f aca="false">O15*(1+$B$5)</f>
        <v>244.355614252547</v>
      </c>
      <c r="Q15" s="6" t="n">
        <f aca="false">P15*(1+$B$5)</f>
        <v>273.678287962852</v>
      </c>
      <c r="R15" s="6" t="n">
        <f aca="false">Q15*(1+$B$5)</f>
        <v>306.519682518395</v>
      </c>
      <c r="S15" s="6" t="n">
        <f aca="false">R15*(1+$B$5)</f>
        <v>343.302044420602</v>
      </c>
    </row>
    <row r="16" customFormat="false" ht="15" hidden="false" customHeight="true" outlineLevel="0" collapsed="false">
      <c r="A16" s="10" t="s">
        <v>546</v>
      </c>
      <c r="B16" s="6" t="n">
        <f aca="false">ROUND(B15*$B$6,1)</f>
        <v>7</v>
      </c>
      <c r="C16" s="6" t="n">
        <f aca="false">ROUND(C15*$B$6,1)</f>
        <v>7.8</v>
      </c>
      <c r="D16" s="6" t="n">
        <f aca="false">ROUND(D15*$B$6,1)</f>
        <v>8.8</v>
      </c>
      <c r="E16" s="6" t="n">
        <f aca="false">ROUND(E15*$B$6,1)</f>
        <v>9.8</v>
      </c>
      <c r="F16" s="6" t="n">
        <f aca="false">ROUND(F15*$B$6,1)</f>
        <v>11</v>
      </c>
      <c r="G16" s="6" t="n">
        <f aca="false">ROUND(G15*$B$6,1)</f>
        <v>12.3</v>
      </c>
      <c r="H16" s="6" t="n">
        <f aca="false">ROUND(H15*$B$6,1)</f>
        <v>13.8</v>
      </c>
      <c r="I16" s="6" t="n">
        <f aca="false">ROUND(I15*$B$6,1)</f>
        <v>15.5</v>
      </c>
      <c r="J16" s="6" t="n">
        <f aca="false">ROUND(J15*$B$6,1)</f>
        <v>17.3</v>
      </c>
      <c r="K16" s="6" t="n">
        <f aca="false">ROUND(K15*$B$6,1)</f>
        <v>19.4</v>
      </c>
      <c r="L16" s="6" t="n">
        <f aca="false">ROUND(L15*$B$6,1)</f>
        <v>21.7</v>
      </c>
      <c r="M16" s="6" t="n">
        <f aca="false">ROUND(M15*$B$6,1)</f>
        <v>24.3</v>
      </c>
      <c r="N16" s="6" t="n">
        <f aca="false">ROUND(N15*$B$6,1)</f>
        <v>27.3</v>
      </c>
      <c r="O16" s="6" t="n">
        <f aca="false">ROUND(O15*$B$6,1)</f>
        <v>30.5</v>
      </c>
      <c r="P16" s="6" t="n">
        <f aca="false">ROUND(P15*$B$6,1)</f>
        <v>34.2</v>
      </c>
      <c r="Q16" s="6" t="n">
        <f aca="false">ROUND(Q15*$B$6,1)</f>
        <v>38.3</v>
      </c>
      <c r="R16" s="6" t="n">
        <f aca="false">ROUND(R15*$B$6,1)</f>
        <v>42.9</v>
      </c>
      <c r="S16" s="6" t="n">
        <f aca="false">ROUND(S15*$B$6,1)</f>
        <v>48.1</v>
      </c>
    </row>
    <row r="17" customFormat="false" ht="15" hidden="false" customHeight="true" outlineLevel="0" collapsed="false">
      <c r="A17" s="10" t="s">
        <v>547</v>
      </c>
      <c r="B17" s="6" t="n">
        <f aca="false">B16</f>
        <v>7</v>
      </c>
      <c r="C17" s="6" t="n">
        <f aca="false">ROUND(B17*(1-$B$8)+C16,1)</f>
        <v>14.5</v>
      </c>
      <c r="D17" s="6" t="n">
        <f aca="false">ROUND(C17*(1-$B$8)+D16,1)</f>
        <v>22.7</v>
      </c>
      <c r="E17" s="6" t="n">
        <f aca="false">ROUND(D17*(1-$B$8)+E16,1)</f>
        <v>31.6</v>
      </c>
      <c r="F17" s="6" t="n">
        <f aca="false">ROUND(E17*(1-$B$8)+F16,1)</f>
        <v>41.3</v>
      </c>
      <c r="G17" s="6" t="n">
        <f aca="false">ROUND(F17*(1-$B$8)+G16,1)</f>
        <v>51.9</v>
      </c>
      <c r="H17" s="6" t="n">
        <f aca="false">ROUND(G17*(1-$B$8)+H16,1)</f>
        <v>63.6</v>
      </c>
      <c r="I17" s="6" t="n">
        <f aca="false">ROUND(H17*(1-$B$8)+I16,1)</f>
        <v>76.6</v>
      </c>
      <c r="J17" s="6" t="n">
        <f aca="false">ROUND(I17*(1-$B$8)+J16,1)</f>
        <v>90.8</v>
      </c>
      <c r="K17" s="6" t="n">
        <f aca="false">ROUND(J17*(1-$B$8)+K16,1)</f>
        <v>106.6</v>
      </c>
      <c r="L17" s="6" t="n">
        <f aca="false">ROUND(K17*(1-$B$8)+L16,1)</f>
        <v>124</v>
      </c>
      <c r="M17" s="6" t="n">
        <f aca="false">ROUND(L17*(1-$B$8)+M16,1)</f>
        <v>143.3</v>
      </c>
      <c r="N17" s="6" t="n">
        <f aca="false">ROUND(M17*(1-$B$8)+N16,1)</f>
        <v>164.9</v>
      </c>
      <c r="O17" s="6" t="n">
        <f aca="false">ROUND(N17*(1-$B$8)+O16,1)</f>
        <v>188.8</v>
      </c>
      <c r="P17" s="6" t="n">
        <f aca="false">ROUND(O17*(1-$B$8)+P16,1)</f>
        <v>215.4</v>
      </c>
      <c r="Q17" s="6" t="n">
        <f aca="false">ROUND(P17*(1-$B$8)+Q16,1)</f>
        <v>245.1</v>
      </c>
      <c r="R17" s="6" t="n">
        <f aca="false">ROUND(Q17*(1-$B$8)+R16,1)</f>
        <v>278.2</v>
      </c>
      <c r="S17" s="6" t="n">
        <f aca="false">ROUND(R17*(1-$B$8)+S16,1)</f>
        <v>315.2</v>
      </c>
    </row>
    <row r="18" customFormat="false" ht="15" hidden="false" customHeight="true" outlineLevel="0" collapsed="false">
      <c r="A18" s="10" t="s">
        <v>548</v>
      </c>
      <c r="B18" s="6" t="n">
        <f aca="false">ROUND(B17*$B$7*(1-$B$9),0)</f>
        <v>149</v>
      </c>
      <c r="C18" s="6" t="n">
        <f aca="false">ROUND(C17*$B$7*(1-$B$9),0)</f>
        <v>308</v>
      </c>
      <c r="D18" s="6" t="n">
        <f aca="false">ROUND(D17*$B$7*(1-$B$9),0)</f>
        <v>482</v>
      </c>
      <c r="E18" s="6" t="n">
        <f aca="false">ROUND(E17*$B$7*(1-$B$9),0)</f>
        <v>672</v>
      </c>
      <c r="F18" s="6" t="n">
        <f aca="false">ROUND(F17*$B$7*(1-$B$9),0)</f>
        <v>878</v>
      </c>
      <c r="G18" s="6" t="n">
        <f aca="false">ROUND(G17*$B$7*(1-$B$9),0)</f>
        <v>1103</v>
      </c>
      <c r="H18" s="6" t="n">
        <f aca="false">ROUND(H17*$B$7*(1-$B$9),0)</f>
        <v>1352</v>
      </c>
      <c r="I18" s="6" t="n">
        <f aca="false">ROUND(I17*$B$7*(1-$B$9),0)</f>
        <v>1628</v>
      </c>
      <c r="J18" s="6" t="n">
        <f aca="false">ROUND(J17*$B$7*(1-$B$9),0)</f>
        <v>1930</v>
      </c>
      <c r="K18" s="6" t="n">
        <f aca="false">ROUND(K17*$B$7*(1-$B$9),0)</f>
        <v>2265</v>
      </c>
      <c r="L18" s="6" t="n">
        <f aca="false">ROUND(L17*$B$7*(1-$B$9),0)</f>
        <v>2635</v>
      </c>
      <c r="M18" s="6" t="n">
        <f aca="false">ROUND(M17*$B$7*(1-$B$9),0)</f>
        <v>3045</v>
      </c>
      <c r="N18" s="6" t="n">
        <f aca="false">ROUND(N17*$B$7*(1-$B$9),0)</f>
        <v>3504</v>
      </c>
      <c r="O18" s="6" t="n">
        <f aca="false">ROUND(O17*$B$7*(1-$B$9),0)</f>
        <v>4012</v>
      </c>
      <c r="P18" s="6" t="n">
        <f aca="false">ROUND(P17*$B$7*(1-$B$9),0)</f>
        <v>4577</v>
      </c>
      <c r="Q18" s="6" t="n">
        <f aca="false">ROUND(Q17*$B$7*(1-$B$9),0)</f>
        <v>5208</v>
      </c>
      <c r="R18" s="6" t="n">
        <f aca="false">ROUND(R17*$B$7*(1-$B$9),0)</f>
        <v>5912</v>
      </c>
      <c r="S18" s="6" t="n">
        <f aca="false">ROUND(S17*$B$7*(1-$B$9),0)</f>
        <v>6698</v>
      </c>
    </row>
    <row r="19" customFormat="false" ht="15" hidden="false" customHeight="true" outlineLevel="0" collapsed="false">
      <c r="A19" s="10" t="s">
        <v>549</v>
      </c>
      <c r="B19" s="6" t="n">
        <f aca="false">$B$10</f>
        <v>14000</v>
      </c>
      <c r="C19" s="6" t="n">
        <f aca="false">ROUND(B19*(1+$B$11),0)</f>
        <v>14420</v>
      </c>
      <c r="D19" s="6" t="n">
        <f aca="false">ROUND(C19*(1+$B$11),0)</f>
        <v>14853</v>
      </c>
      <c r="E19" s="6" t="n">
        <f aca="false">ROUND(D19*(1+$B$11),0)</f>
        <v>15299</v>
      </c>
      <c r="F19" s="6" t="n">
        <f aca="false">ROUND(E19*(1+$B$11),0)</f>
        <v>15758</v>
      </c>
      <c r="G19" s="6" t="n">
        <f aca="false">ROUND(F19*(1+$B$11),0)</f>
        <v>16231</v>
      </c>
      <c r="H19" s="6" t="n">
        <f aca="false">ROUND(G19*(1+$B$11),0)</f>
        <v>16718</v>
      </c>
      <c r="I19" s="6" t="n">
        <f aca="false">ROUND(H19*(1+$B$11),0)</f>
        <v>17220</v>
      </c>
      <c r="J19" s="6" t="n">
        <f aca="false">ROUND(I19*(1+$B$11),0)</f>
        <v>17737</v>
      </c>
      <c r="K19" s="6" t="n">
        <f aca="false">ROUND(J19*(1+$B$11),0)</f>
        <v>18269</v>
      </c>
      <c r="L19" s="6" t="n">
        <f aca="false">ROUND(K19*(1+$B$11),0)</f>
        <v>18817</v>
      </c>
      <c r="M19" s="6" t="n">
        <f aca="false">ROUND(L19*(1+$B$11),0)</f>
        <v>19382</v>
      </c>
      <c r="N19" s="6" t="n">
        <f aca="false">ROUND(M19*(1+$B$11),0)</f>
        <v>19963</v>
      </c>
      <c r="O19" s="6" t="n">
        <f aca="false">ROUND(N19*(1+$B$11),0)</f>
        <v>20562</v>
      </c>
      <c r="P19" s="6" t="n">
        <f aca="false">ROUND(O19*(1+$B$11),0)</f>
        <v>21179</v>
      </c>
      <c r="Q19" s="6" t="n">
        <f aca="false">ROUND(P19*(1+$B$11),0)</f>
        <v>21814</v>
      </c>
      <c r="R19" s="6" t="n">
        <f aca="false">ROUND(Q19*(1+$B$11),0)</f>
        <v>22468</v>
      </c>
      <c r="S19" s="6" t="n">
        <f aca="false">ROUND(R19*(1+$B$11),0)</f>
        <v>23142</v>
      </c>
    </row>
    <row r="20" customFormat="false" ht="15" hidden="false" customHeight="true" outlineLevel="0" collapsed="false">
      <c r="A20" s="10" t="s">
        <v>550</v>
      </c>
      <c r="B20" s="6" t="n">
        <f aca="false">B18-B19</f>
        <v>-13851</v>
      </c>
      <c r="C20" s="6" t="n">
        <f aca="false">C18-C19</f>
        <v>-14112</v>
      </c>
      <c r="D20" s="6" t="n">
        <f aca="false">D18-D19</f>
        <v>-14371</v>
      </c>
      <c r="E20" s="6" t="n">
        <f aca="false">E18-E19</f>
        <v>-14627</v>
      </c>
      <c r="F20" s="6" t="n">
        <f aca="false">F18-F19</f>
        <v>-14880</v>
      </c>
      <c r="G20" s="6" t="n">
        <f aca="false">G18-G19</f>
        <v>-15128</v>
      </c>
      <c r="H20" s="6" t="n">
        <f aca="false">H18-H19</f>
        <v>-15366</v>
      </c>
      <c r="I20" s="6" t="n">
        <f aca="false">I18-I19</f>
        <v>-15592</v>
      </c>
      <c r="J20" s="6" t="n">
        <f aca="false">J18-J19</f>
        <v>-15807</v>
      </c>
      <c r="K20" s="6" t="n">
        <f aca="false">K18-K19</f>
        <v>-16004</v>
      </c>
      <c r="L20" s="6" t="n">
        <f aca="false">L18-L19</f>
        <v>-16182</v>
      </c>
      <c r="M20" s="6" t="n">
        <f aca="false">M18-M19</f>
        <v>-16337</v>
      </c>
      <c r="N20" s="6" t="n">
        <f aca="false">N18-N19</f>
        <v>-16459</v>
      </c>
      <c r="O20" s="6" t="n">
        <f aca="false">O18-O19</f>
        <v>-16550</v>
      </c>
      <c r="P20" s="6" t="n">
        <f aca="false">P18-P19</f>
        <v>-16602</v>
      </c>
      <c r="Q20" s="6" t="n">
        <f aca="false">Q18-Q19</f>
        <v>-16606</v>
      </c>
      <c r="R20" s="6" t="n">
        <f aca="false">R18-R19</f>
        <v>-16556</v>
      </c>
      <c r="S20" s="6" t="n">
        <f aca="false">S18-S19</f>
        <v>-16444</v>
      </c>
    </row>
    <row r="21" customFormat="false" ht="15" hidden="false" customHeight="true" outlineLevel="0" collapsed="false">
      <c r="A21" s="10" t="s">
        <v>551</v>
      </c>
      <c r="B21" s="6" t="n">
        <f aca="false">B20</f>
        <v>-13851</v>
      </c>
      <c r="C21" s="6" t="n">
        <f aca="false">B21+C20</f>
        <v>-27963</v>
      </c>
      <c r="D21" s="6" t="n">
        <f aca="false">C21+D20</f>
        <v>-42334</v>
      </c>
      <c r="E21" s="6" t="n">
        <f aca="false">D21+E20</f>
        <v>-56961</v>
      </c>
      <c r="F21" s="6" t="n">
        <f aca="false">E21+F20</f>
        <v>-71841</v>
      </c>
      <c r="G21" s="6" t="n">
        <f aca="false">F21+G20</f>
        <v>-86969</v>
      </c>
      <c r="H21" s="6" t="n">
        <f aca="false">G21+H20</f>
        <v>-102335</v>
      </c>
      <c r="I21" s="6" t="n">
        <f aca="false">H21+I20</f>
        <v>-117927</v>
      </c>
      <c r="J21" s="6" t="n">
        <f aca="false">I21+J20</f>
        <v>-133734</v>
      </c>
      <c r="K21" s="6" t="n">
        <f aca="false">J21+K20</f>
        <v>-149738</v>
      </c>
      <c r="L21" s="6" t="n">
        <f aca="false">K21+L20</f>
        <v>-165920</v>
      </c>
      <c r="M21" s="6" t="n">
        <f aca="false">L21+M20</f>
        <v>-182257</v>
      </c>
      <c r="N21" s="6" t="n">
        <f aca="false">M21+N20</f>
        <v>-198716</v>
      </c>
      <c r="O21" s="6" t="n">
        <f aca="false">N21+O20</f>
        <v>-215266</v>
      </c>
      <c r="P21" s="6" t="n">
        <f aca="false">O21+P20</f>
        <v>-231868</v>
      </c>
      <c r="Q21" s="6" t="n">
        <f aca="false">P21+Q20</f>
        <v>-248474</v>
      </c>
      <c r="R21" s="6" t="n">
        <f aca="false">Q21+R20</f>
        <v>-265030</v>
      </c>
      <c r="S21" s="6" t="n">
        <f aca="false">R21+S20</f>
        <v>-281474</v>
      </c>
    </row>
    <row r="23" customFormat="false" ht="42" hidden="false" customHeight="true" outlineLevel="0" collapsed="false">
      <c r="A23" s="11" t="s">
        <v>552</v>
      </c>
      <c r="B23" s="11"/>
      <c r="C23" s="11"/>
      <c r="D23" s="11"/>
      <c r="E23" s="11"/>
      <c r="F23" s="11"/>
      <c r="G23" s="11"/>
      <c r="H23" s="11"/>
      <c r="I23" s="11"/>
      <c r="J23" s="11"/>
      <c r="K23" s="11"/>
      <c r="L23" s="11"/>
      <c r="M23" s="11"/>
      <c r="N23" s="11"/>
      <c r="O23" s="11"/>
      <c r="P23" s="11"/>
      <c r="Q23" s="11"/>
      <c r="R23" s="11"/>
      <c r="S23" s="11"/>
    </row>
  </sheetData>
  <mergeCells count="1">
    <mergeCell ref="A23:S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72"/>
    <col collapsed="false" customWidth="true" hidden="false" outlineLevel="0" max="3" min="3" style="1" width="16"/>
    <col collapsed="false" customWidth="true" hidden="false" outlineLevel="0" max="4" min="4" style="1" width="12"/>
  </cols>
  <sheetData>
    <row r="1" customFormat="false" ht="17.25" hidden="false" customHeight="true" outlineLevel="0" collapsed="false">
      <c r="A1" s="2" t="s">
        <v>553</v>
      </c>
    </row>
    <row r="3" customFormat="false" ht="15" hidden="false" customHeight="true" outlineLevel="0" collapsed="false">
      <c r="A3" s="3" t="s">
        <v>554</v>
      </c>
      <c r="B3" s="3" t="s">
        <v>555</v>
      </c>
      <c r="C3" s="3" t="s">
        <v>556</v>
      </c>
      <c r="D3" s="3" t="s">
        <v>557</v>
      </c>
    </row>
    <row r="4" customFormat="false" ht="25.5" hidden="false" customHeight="true" outlineLevel="0" collapsed="false">
      <c r="A4" s="4" t="s">
        <v>558</v>
      </c>
      <c r="B4" s="4" t="s">
        <v>559</v>
      </c>
      <c r="C4" s="4" t="s">
        <v>560</v>
      </c>
      <c r="D4" s="4" t="s">
        <v>385</v>
      </c>
    </row>
    <row r="5" customFormat="false" ht="25.5" hidden="false" customHeight="true" outlineLevel="0" collapsed="false">
      <c r="A5" s="4" t="s">
        <v>558</v>
      </c>
      <c r="B5" s="4" t="s">
        <v>561</v>
      </c>
      <c r="C5" s="4" t="s">
        <v>562</v>
      </c>
      <c r="D5" s="4" t="s">
        <v>339</v>
      </c>
    </row>
    <row r="6" customFormat="false" ht="25.5" hidden="false" customHeight="true" outlineLevel="0" collapsed="false">
      <c r="A6" s="4" t="s">
        <v>558</v>
      </c>
      <c r="B6" s="4" t="s">
        <v>563</v>
      </c>
      <c r="C6" s="4" t="s">
        <v>560</v>
      </c>
      <c r="D6" s="4" t="s">
        <v>339</v>
      </c>
    </row>
    <row r="7" customFormat="false" ht="25.5" hidden="false" customHeight="true" outlineLevel="0" collapsed="false">
      <c r="A7" s="4" t="s">
        <v>558</v>
      </c>
      <c r="B7" s="4" t="s">
        <v>564</v>
      </c>
      <c r="C7" s="4" t="s">
        <v>562</v>
      </c>
      <c r="D7" s="4" t="s">
        <v>405</v>
      </c>
    </row>
    <row r="8" customFormat="false" ht="25.5" hidden="false" customHeight="true" outlineLevel="0" collapsed="false">
      <c r="A8" s="4" t="s">
        <v>558</v>
      </c>
      <c r="B8" s="4" t="s">
        <v>565</v>
      </c>
      <c r="C8" s="4" t="s">
        <v>566</v>
      </c>
      <c r="D8" s="4" t="s">
        <v>405</v>
      </c>
    </row>
    <row r="9" customFormat="false" ht="25.5" hidden="false" customHeight="true" outlineLevel="0" collapsed="false">
      <c r="A9" s="4" t="s">
        <v>508</v>
      </c>
      <c r="B9" s="4" t="s">
        <v>567</v>
      </c>
      <c r="C9" s="4" t="s">
        <v>562</v>
      </c>
      <c r="D9" s="4" t="s">
        <v>438</v>
      </c>
    </row>
    <row r="10" customFormat="false" ht="25.5" hidden="false" customHeight="true" outlineLevel="0" collapsed="false">
      <c r="A10" s="4" t="s">
        <v>508</v>
      </c>
      <c r="B10" s="4" t="s">
        <v>568</v>
      </c>
      <c r="C10" s="4" t="s">
        <v>560</v>
      </c>
      <c r="D10" s="4" t="s">
        <v>438</v>
      </c>
    </row>
    <row r="11" customFormat="false" ht="25.5" hidden="false" customHeight="true" outlineLevel="0" collapsed="false">
      <c r="A11" s="4" t="s">
        <v>508</v>
      </c>
      <c r="B11" s="4" t="s">
        <v>569</v>
      </c>
      <c r="C11" s="4" t="s">
        <v>560</v>
      </c>
      <c r="D11" s="4" t="s">
        <v>438</v>
      </c>
    </row>
    <row r="12" customFormat="false" ht="25.5" hidden="false" customHeight="true" outlineLevel="0" collapsed="false">
      <c r="A12" s="4" t="s">
        <v>508</v>
      </c>
      <c r="B12" s="4" t="s">
        <v>570</v>
      </c>
      <c r="C12" s="4" t="s">
        <v>571</v>
      </c>
      <c r="D12" s="4" t="s">
        <v>438</v>
      </c>
    </row>
    <row r="13" customFormat="false" ht="25.5" hidden="false" customHeight="true" outlineLevel="0" collapsed="false">
      <c r="A13" s="4" t="s">
        <v>166</v>
      </c>
      <c r="B13" s="4" t="s">
        <v>572</v>
      </c>
      <c r="C13" s="4" t="s">
        <v>562</v>
      </c>
      <c r="D13" s="4" t="s">
        <v>477</v>
      </c>
    </row>
    <row r="14" customFormat="false" ht="25.5" hidden="false" customHeight="true" outlineLevel="0" collapsed="false">
      <c r="A14" s="4" t="s">
        <v>166</v>
      </c>
      <c r="B14" s="4" t="s">
        <v>573</v>
      </c>
      <c r="C14" s="4" t="s">
        <v>562</v>
      </c>
      <c r="D14" s="4" t="s">
        <v>477</v>
      </c>
    </row>
    <row r="15" customFormat="false" ht="25.5" hidden="false" customHeight="true" outlineLevel="0" collapsed="false">
      <c r="A15" s="4" t="s">
        <v>166</v>
      </c>
      <c r="B15" s="4" t="s">
        <v>574</v>
      </c>
      <c r="C15" s="4" t="s">
        <v>560</v>
      </c>
      <c r="D15" s="4" t="s">
        <v>575</v>
      </c>
    </row>
    <row r="16" customFormat="false" ht="25.5" hidden="false" customHeight="true" outlineLevel="0" collapsed="false">
      <c r="A16" s="4" t="s">
        <v>166</v>
      </c>
      <c r="B16" s="4" t="s">
        <v>576</v>
      </c>
      <c r="C16" s="4" t="s">
        <v>562</v>
      </c>
      <c r="D16" s="4" t="s">
        <v>575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6"/>
    <col collapsed="false" customWidth="true" hidden="false" outlineLevel="0" max="3" min="3" style="1" width="70"/>
  </cols>
  <sheetData>
    <row r="1" customFormat="false" ht="17.25" hidden="false" customHeight="true" outlineLevel="0" collapsed="false">
      <c r="A1" s="2" t="s">
        <v>577</v>
      </c>
    </row>
    <row r="3" customFormat="false" ht="15" hidden="false" customHeight="true" outlineLevel="0" collapsed="false">
      <c r="A3" s="3" t="s">
        <v>104</v>
      </c>
      <c r="B3" s="3" t="s">
        <v>105</v>
      </c>
      <c r="C3" s="3" t="s">
        <v>5</v>
      </c>
    </row>
    <row r="4" customFormat="false" ht="25.5" hidden="false" customHeight="true" outlineLevel="0" collapsed="false">
      <c r="A4" s="4" t="n">
        <v>1</v>
      </c>
      <c r="B4" s="4" t="s">
        <v>578</v>
      </c>
      <c r="C4" s="4" t="s">
        <v>579</v>
      </c>
    </row>
    <row r="5" customFormat="false" ht="25.5" hidden="false" customHeight="true" outlineLevel="0" collapsed="false">
      <c r="A5" s="4" t="n">
        <v>2</v>
      </c>
      <c r="B5" s="4" t="s">
        <v>580</v>
      </c>
      <c r="C5" s="4" t="s">
        <v>581</v>
      </c>
    </row>
    <row r="6" customFormat="false" ht="25.5" hidden="false" customHeight="true" outlineLevel="0" collapsed="false">
      <c r="A6" s="4" t="n">
        <v>3</v>
      </c>
      <c r="B6" s="4" t="s">
        <v>582</v>
      </c>
      <c r="C6" s="4" t="s">
        <v>583</v>
      </c>
    </row>
    <row r="7" customFormat="false" ht="25.5" hidden="false" customHeight="true" outlineLevel="0" collapsed="false">
      <c r="A7" s="4" t="n">
        <v>4</v>
      </c>
      <c r="B7" s="4" t="s">
        <v>584</v>
      </c>
      <c r="C7" s="4" t="s">
        <v>585</v>
      </c>
    </row>
    <row r="8" customFormat="false" ht="25.5" hidden="false" customHeight="true" outlineLevel="0" collapsed="false">
      <c r="A8" s="4" t="n">
        <v>5</v>
      </c>
      <c r="B8" s="4" t="s">
        <v>586</v>
      </c>
      <c r="C8" s="4" t="s">
        <v>587</v>
      </c>
    </row>
    <row r="9" customFormat="false" ht="25.5" hidden="false" customHeight="true" outlineLevel="0" collapsed="false">
      <c r="A9" s="4" t="n">
        <v>6</v>
      </c>
      <c r="B9" s="4" t="s">
        <v>588</v>
      </c>
      <c r="C9" s="4" t="s">
        <v>589</v>
      </c>
    </row>
    <row r="10" customFormat="false" ht="25.5" hidden="false" customHeight="true" outlineLevel="0" collapsed="false">
      <c r="A10" s="4" t="n">
        <v>7</v>
      </c>
      <c r="B10" s="4" t="s">
        <v>590</v>
      </c>
      <c r="C10" s="4" t="s">
        <v>591</v>
      </c>
    </row>
    <row r="11" customFormat="false" ht="25.5" hidden="false" customHeight="true" outlineLevel="0" collapsed="false">
      <c r="A11" s="4" t="n">
        <v>8</v>
      </c>
      <c r="B11" s="4" t="s">
        <v>592</v>
      </c>
      <c r="C11" s="4" t="s">
        <v>593</v>
      </c>
    </row>
    <row r="12" customFormat="false" ht="25.5" hidden="false" customHeight="true" outlineLevel="0" collapsed="false">
      <c r="A12" s="4" t="n">
        <v>9</v>
      </c>
      <c r="B12" s="4" t="s">
        <v>594</v>
      </c>
      <c r="C12" s="4" t="s">
        <v>595</v>
      </c>
    </row>
    <row r="13" customFormat="false" ht="25.5" hidden="false" customHeight="true" outlineLevel="0" collapsed="false">
      <c r="A13" s="4" t="n">
        <v>10</v>
      </c>
      <c r="B13" s="4" t="s">
        <v>596</v>
      </c>
      <c r="C13" s="4" t="s">
        <v>597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44"/>
  </cols>
  <sheetData>
    <row r="1" customFormat="false" ht="17.25" hidden="false" customHeight="true" outlineLevel="0" collapsed="false">
      <c r="A1" s="2" t="s">
        <v>598</v>
      </c>
    </row>
    <row r="3" customFormat="false" ht="15" hidden="false" customHeight="true" outlineLevel="0" collapsed="false">
      <c r="A3" s="3" t="s">
        <v>599</v>
      </c>
      <c r="B3" s="3" t="s">
        <v>527</v>
      </c>
      <c r="C3" s="3" t="s">
        <v>529</v>
      </c>
      <c r="D3" s="3" t="s">
        <v>532</v>
      </c>
      <c r="E3" s="3" t="s">
        <v>538</v>
      </c>
      <c r="F3" s="3" t="s">
        <v>600</v>
      </c>
    </row>
    <row r="4" customFormat="false" ht="25.5" hidden="false" customHeight="true" outlineLevel="0" collapsed="false">
      <c r="A4" s="5" t="s">
        <v>601</v>
      </c>
      <c r="B4" s="5" t="s">
        <v>602</v>
      </c>
      <c r="C4" s="5" t="s">
        <v>603</v>
      </c>
      <c r="D4" s="5" t="s">
        <v>604</v>
      </c>
      <c r="E4" s="5" t="s">
        <v>605</v>
      </c>
      <c r="F4" s="5" t="s">
        <v>606</v>
      </c>
    </row>
    <row r="5" customFormat="false" ht="25.5" hidden="false" customHeight="true" outlineLevel="0" collapsed="false">
      <c r="A5" s="5" t="s">
        <v>607</v>
      </c>
      <c r="B5" s="5" t="s">
        <v>608</v>
      </c>
      <c r="C5" s="5" t="s">
        <v>609</v>
      </c>
      <c r="D5" s="5" t="s">
        <v>610</v>
      </c>
      <c r="E5" s="5" t="s">
        <v>611</v>
      </c>
      <c r="F5" s="5" t="s">
        <v>612</v>
      </c>
    </row>
    <row r="6" customFormat="false" ht="25.5" hidden="false" customHeight="true" outlineLevel="0" collapsed="false">
      <c r="A6" s="5" t="s">
        <v>613</v>
      </c>
      <c r="B6" s="5" t="s">
        <v>614</v>
      </c>
      <c r="C6" s="5" t="s">
        <v>615</v>
      </c>
      <c r="D6" s="5" t="s">
        <v>616</v>
      </c>
      <c r="E6" s="5" t="s">
        <v>617</v>
      </c>
      <c r="F6" s="5" t="s">
        <v>618</v>
      </c>
    </row>
    <row r="7" customFormat="false" ht="25.5" hidden="false" customHeight="true" outlineLevel="0" collapsed="false">
      <c r="A7" s="5" t="s">
        <v>619</v>
      </c>
      <c r="B7" s="5" t="s">
        <v>620</v>
      </c>
      <c r="C7" s="5" t="s">
        <v>621</v>
      </c>
      <c r="D7" s="5" t="s">
        <v>622</v>
      </c>
      <c r="E7" s="5" t="s">
        <v>622</v>
      </c>
      <c r="F7" s="5" t="s">
        <v>623</v>
      </c>
    </row>
    <row r="8" customFormat="false" ht="25.5" hidden="false" customHeight="true" outlineLevel="0" collapsed="false">
      <c r="A8" s="5" t="s">
        <v>624</v>
      </c>
      <c r="B8" s="5" t="s">
        <v>625</v>
      </c>
      <c r="C8" s="5" t="s">
        <v>626</v>
      </c>
      <c r="D8" s="5" t="s">
        <v>627</v>
      </c>
      <c r="E8" s="5" t="s">
        <v>628</v>
      </c>
      <c r="F8" s="5" t="s">
        <v>629</v>
      </c>
    </row>
    <row r="9" customFormat="false" ht="25.5" hidden="false" customHeight="true" outlineLevel="0" collapsed="false">
      <c r="A9" s="5" t="s">
        <v>630</v>
      </c>
      <c r="B9" s="5" t="s">
        <v>631</v>
      </c>
      <c r="C9" s="5" t="s">
        <v>632</v>
      </c>
      <c r="D9" s="5" t="s">
        <v>633</v>
      </c>
      <c r="E9" s="5" t="s">
        <v>633</v>
      </c>
      <c r="F9" s="5" t="s">
        <v>634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0"/>
    <col collapsed="false" customWidth="true" hidden="false" outlineLevel="0" max="3" min="3" style="1" width="12"/>
    <col collapsed="false" customWidth="true" hidden="false" outlineLevel="0" max="4" min="4" style="1" width="50"/>
  </cols>
  <sheetData>
    <row r="1" customFormat="false" ht="17.25" hidden="false" customHeight="true" outlineLevel="0" collapsed="false">
      <c r="A1" s="2" t="s">
        <v>635</v>
      </c>
    </row>
    <row r="3" customFormat="false" ht="15" hidden="false" customHeight="true" outlineLevel="0" collapsed="false">
      <c r="A3" s="3" t="s">
        <v>636</v>
      </c>
      <c r="B3" s="3" t="s">
        <v>637</v>
      </c>
      <c r="C3" s="3" t="s">
        <v>638</v>
      </c>
      <c r="D3" s="3" t="s">
        <v>639</v>
      </c>
    </row>
    <row r="4" customFormat="false" ht="30" hidden="false" customHeight="true" outlineLevel="0" collapsed="false">
      <c r="A4" s="4" t="s">
        <v>640</v>
      </c>
      <c r="B4" s="4" t="s">
        <v>641</v>
      </c>
      <c r="C4" s="4" t="s">
        <v>642</v>
      </c>
      <c r="D4" s="4" t="s">
        <v>643</v>
      </c>
    </row>
    <row r="5" customFormat="false" ht="30" hidden="false" customHeight="true" outlineLevel="0" collapsed="false">
      <c r="A5" s="4" t="s">
        <v>644</v>
      </c>
      <c r="B5" s="4" t="s">
        <v>642</v>
      </c>
      <c r="C5" s="4" t="s">
        <v>641</v>
      </c>
      <c r="D5" s="4" t="s">
        <v>645</v>
      </c>
    </row>
    <row r="6" customFormat="false" ht="30" hidden="false" customHeight="true" outlineLevel="0" collapsed="false">
      <c r="A6" s="4" t="s">
        <v>646</v>
      </c>
      <c r="B6" s="4" t="s">
        <v>642</v>
      </c>
      <c r="C6" s="4" t="s">
        <v>642</v>
      </c>
      <c r="D6" s="4" t="s">
        <v>647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8"/>
    <col collapsed="false" customWidth="true" hidden="false" outlineLevel="0" max="3" min="3" style="1" width="60"/>
    <col collapsed="false" customWidth="true" hidden="false" outlineLevel="0" max="4" min="4" style="1" width="30"/>
    <col collapsed="false" customWidth="true" hidden="false" outlineLevel="0" max="5" min="5" style="1" width="40"/>
    <col collapsed="false" customWidth="true" hidden="false" outlineLevel="0" max="6" min="6" style="1" width="16"/>
  </cols>
  <sheetData>
    <row r="1" customFormat="false" ht="15.75" hidden="false" customHeight="true" outlineLevel="0" collapsed="false">
      <c r="A1" s="12" t="s">
        <v>648</v>
      </c>
    </row>
    <row r="3" customFormat="false" ht="15" hidden="false" customHeight="true" outlineLevel="0" collapsed="false">
      <c r="A3" s="13" t="s">
        <v>649</v>
      </c>
      <c r="B3" s="13" t="s">
        <v>240</v>
      </c>
      <c r="C3" s="13" t="s">
        <v>650</v>
      </c>
      <c r="D3" s="13" t="s">
        <v>651</v>
      </c>
      <c r="E3" s="13" t="s">
        <v>652</v>
      </c>
      <c r="F3" s="13" t="s">
        <v>653</v>
      </c>
    </row>
    <row r="4" customFormat="false" ht="15" hidden="false" customHeight="true" outlineLevel="0" collapsed="false">
      <c r="A4" s="7" t="s">
        <v>12</v>
      </c>
      <c r="B4" s="7" t="s">
        <v>485</v>
      </c>
      <c r="C4" s="7" t="s">
        <v>654</v>
      </c>
      <c r="D4" s="7" t="s">
        <v>139</v>
      </c>
      <c r="E4" s="7" t="s">
        <v>655</v>
      </c>
      <c r="F4" s="7" t="s">
        <v>139</v>
      </c>
    </row>
    <row r="5" customFormat="false" ht="23.25" hidden="false" customHeight="true" outlineLevel="0" collapsed="false">
      <c r="A5" s="7" t="s">
        <v>15</v>
      </c>
      <c r="B5" s="7" t="s">
        <v>139</v>
      </c>
      <c r="C5" s="7" t="s">
        <v>656</v>
      </c>
      <c r="D5" s="7" t="s">
        <v>139</v>
      </c>
      <c r="E5" s="7" t="s">
        <v>657</v>
      </c>
      <c r="F5" s="7" t="s">
        <v>658</v>
      </c>
    </row>
    <row r="6" customFormat="false" ht="23.25" hidden="false" customHeight="true" outlineLevel="0" collapsed="false">
      <c r="A6" s="7" t="s">
        <v>15</v>
      </c>
      <c r="B6" s="7" t="s">
        <v>139</v>
      </c>
      <c r="C6" s="7" t="s">
        <v>659</v>
      </c>
      <c r="D6" s="7" t="s">
        <v>444</v>
      </c>
      <c r="E6" s="7" t="s">
        <v>660</v>
      </c>
      <c r="F6" s="7" t="s">
        <v>661</v>
      </c>
    </row>
    <row r="7" customFormat="false" ht="23.25" hidden="false" customHeight="true" outlineLevel="0" collapsed="false">
      <c r="A7" s="7" t="s">
        <v>15</v>
      </c>
      <c r="B7" s="7" t="s">
        <v>364</v>
      </c>
      <c r="C7" s="7" t="s">
        <v>662</v>
      </c>
      <c r="D7" s="7" t="s">
        <v>663</v>
      </c>
      <c r="E7" s="7" t="s">
        <v>664</v>
      </c>
      <c r="F7" s="7" t="s">
        <v>139</v>
      </c>
    </row>
    <row r="8" customFormat="false" ht="23.25" hidden="false" customHeight="true" outlineLevel="0" collapsed="false">
      <c r="A8" s="7" t="s">
        <v>15</v>
      </c>
      <c r="B8" s="7" t="s">
        <v>665</v>
      </c>
      <c r="C8" s="7" t="s">
        <v>666</v>
      </c>
      <c r="D8" s="7" t="s">
        <v>667</v>
      </c>
      <c r="E8" s="7" t="s">
        <v>668</v>
      </c>
      <c r="F8" s="7" t="s">
        <v>139</v>
      </c>
    </row>
    <row r="9" customFormat="false" ht="23.25" hidden="false" customHeight="true" outlineLevel="0" collapsed="false">
      <c r="A9" s="7" t="s">
        <v>15</v>
      </c>
      <c r="B9" s="7" t="s">
        <v>293</v>
      </c>
      <c r="C9" s="7" t="s">
        <v>669</v>
      </c>
      <c r="D9" s="7" t="s">
        <v>670</v>
      </c>
      <c r="E9" s="7" t="s">
        <v>671</v>
      </c>
      <c r="F9" s="7" t="s">
        <v>139</v>
      </c>
    </row>
    <row r="10" customFormat="false" ht="23.25" hidden="false" customHeight="true" outlineLevel="0" collapsed="false">
      <c r="A10" s="7" t="s">
        <v>15</v>
      </c>
      <c r="B10" s="7" t="s">
        <v>317</v>
      </c>
      <c r="C10" s="7" t="s">
        <v>672</v>
      </c>
      <c r="D10" s="7" t="s">
        <v>673</v>
      </c>
      <c r="E10" s="7" t="s">
        <v>674</v>
      </c>
      <c r="F10" s="7" t="s">
        <v>139</v>
      </c>
    </row>
    <row r="11" customFormat="false" ht="34.5" hidden="false" customHeight="true" outlineLevel="0" collapsed="false">
      <c r="A11" s="7" t="s">
        <v>15</v>
      </c>
      <c r="B11" s="7" t="s">
        <v>339</v>
      </c>
      <c r="C11" s="7" t="s">
        <v>675</v>
      </c>
      <c r="D11" s="7" t="s">
        <v>676</v>
      </c>
      <c r="E11" s="7" t="s">
        <v>677</v>
      </c>
      <c r="F11" s="7" t="s">
        <v>139</v>
      </c>
    </row>
    <row r="12" customFormat="false" ht="34.5" hidden="false" customHeight="true" outlineLevel="0" collapsed="false">
      <c r="A12" s="7" t="s">
        <v>15</v>
      </c>
      <c r="B12" s="7" t="s">
        <v>139</v>
      </c>
      <c r="C12" s="7" t="s">
        <v>678</v>
      </c>
      <c r="D12" s="7" t="s">
        <v>679</v>
      </c>
      <c r="E12" s="7" t="s">
        <v>680</v>
      </c>
      <c r="F12" s="7" t="s">
        <v>661</v>
      </c>
    </row>
    <row r="13" customFormat="false" ht="34.5" hidden="false" customHeight="true" outlineLevel="0" collapsed="false">
      <c r="A13" s="7" t="s">
        <v>15</v>
      </c>
      <c r="B13" s="7" t="s">
        <v>139</v>
      </c>
      <c r="C13" s="7" t="s">
        <v>681</v>
      </c>
      <c r="D13" s="7" t="s">
        <v>682</v>
      </c>
      <c r="E13" s="7" t="s">
        <v>683</v>
      </c>
      <c r="F13" s="7" t="s">
        <v>139</v>
      </c>
    </row>
    <row r="14" customFormat="false" ht="34.5" hidden="false" customHeight="true" outlineLevel="0" collapsed="false">
      <c r="A14" s="7" t="s">
        <v>15</v>
      </c>
      <c r="B14" s="7" t="s">
        <v>139</v>
      </c>
      <c r="C14" s="7" t="s">
        <v>684</v>
      </c>
      <c r="D14" s="7" t="s">
        <v>139</v>
      </c>
      <c r="E14" s="7" t="s">
        <v>685</v>
      </c>
      <c r="F14" s="7" t="s">
        <v>686</v>
      </c>
    </row>
    <row r="15" customFormat="false" ht="23.25" hidden="false" customHeight="true" outlineLevel="0" collapsed="false">
      <c r="A15" s="7" t="s">
        <v>15</v>
      </c>
      <c r="B15" s="7" t="s">
        <v>139</v>
      </c>
      <c r="C15" s="7" t="s">
        <v>687</v>
      </c>
      <c r="D15" s="7" t="s">
        <v>139</v>
      </c>
      <c r="E15" s="7" t="s">
        <v>139</v>
      </c>
      <c r="F15" s="7" t="s">
        <v>139</v>
      </c>
    </row>
    <row r="16" customFormat="false" ht="23.25" hidden="false" customHeight="true" outlineLevel="0" collapsed="false">
      <c r="A16" s="7" t="s">
        <v>18</v>
      </c>
      <c r="B16" s="7" t="s">
        <v>245</v>
      </c>
      <c r="C16" s="7" t="s">
        <v>688</v>
      </c>
      <c r="D16" s="7" t="s">
        <v>249</v>
      </c>
      <c r="E16" s="7" t="s">
        <v>689</v>
      </c>
      <c r="F16" s="7" t="s">
        <v>139</v>
      </c>
    </row>
    <row r="17" customFormat="false" ht="23.25" hidden="false" customHeight="true" outlineLevel="0" collapsed="false">
      <c r="A17" s="7" t="s">
        <v>18</v>
      </c>
      <c r="B17" s="7" t="s">
        <v>690</v>
      </c>
      <c r="C17" s="7" t="s">
        <v>691</v>
      </c>
      <c r="D17" s="7" t="s">
        <v>692</v>
      </c>
      <c r="E17" s="7" t="s">
        <v>693</v>
      </c>
      <c r="F17" s="7" t="s">
        <v>139</v>
      </c>
    </row>
    <row r="18" customFormat="false" ht="34.5" hidden="false" customHeight="true" outlineLevel="0" collapsed="false">
      <c r="A18" s="7" t="s">
        <v>18</v>
      </c>
      <c r="B18" s="7" t="s">
        <v>690</v>
      </c>
      <c r="C18" s="7" t="s">
        <v>694</v>
      </c>
      <c r="D18" s="7" t="s">
        <v>695</v>
      </c>
      <c r="E18" s="7" t="s">
        <v>696</v>
      </c>
      <c r="F18" s="7" t="s">
        <v>139</v>
      </c>
    </row>
    <row r="19" customFormat="false" ht="23.25" hidden="false" customHeight="true" outlineLevel="0" collapsed="false">
      <c r="A19" s="7" t="s">
        <v>18</v>
      </c>
      <c r="B19" s="7" t="s">
        <v>279</v>
      </c>
      <c r="C19" s="7" t="s">
        <v>697</v>
      </c>
      <c r="D19" s="7" t="s">
        <v>447</v>
      </c>
      <c r="E19" s="7" t="s">
        <v>698</v>
      </c>
      <c r="F19" s="7" t="s">
        <v>139</v>
      </c>
    </row>
    <row r="20" customFormat="false" ht="34.5" hidden="false" customHeight="true" outlineLevel="0" collapsed="false">
      <c r="A20" s="7" t="s">
        <v>18</v>
      </c>
      <c r="B20" s="7" t="s">
        <v>139</v>
      </c>
      <c r="C20" s="7" t="s">
        <v>699</v>
      </c>
      <c r="D20" s="7" t="s">
        <v>679</v>
      </c>
      <c r="E20" s="7" t="s">
        <v>700</v>
      </c>
      <c r="F20" s="7" t="s">
        <v>661</v>
      </c>
    </row>
    <row r="21" customFormat="false" ht="34.5" hidden="false" customHeight="true" outlineLevel="0" collapsed="false">
      <c r="A21" s="7" t="s">
        <v>18</v>
      </c>
      <c r="B21" s="7" t="s">
        <v>139</v>
      </c>
      <c r="C21" s="7" t="s">
        <v>701</v>
      </c>
      <c r="D21" s="7" t="s">
        <v>682</v>
      </c>
      <c r="E21" s="7" t="s">
        <v>683</v>
      </c>
      <c r="F21" s="7" t="s">
        <v>139</v>
      </c>
    </row>
    <row r="22" customFormat="false" ht="34.5" hidden="false" customHeight="true" outlineLevel="0" collapsed="false">
      <c r="A22" s="7" t="s">
        <v>18</v>
      </c>
      <c r="B22" s="7" t="s">
        <v>139</v>
      </c>
      <c r="C22" s="7" t="s">
        <v>702</v>
      </c>
      <c r="D22" s="7" t="s">
        <v>139</v>
      </c>
      <c r="E22" s="7" t="s">
        <v>139</v>
      </c>
      <c r="F22" s="7" t="s">
        <v>139</v>
      </c>
    </row>
    <row r="23" customFormat="false" ht="23.25" hidden="false" customHeight="true" outlineLevel="0" collapsed="false">
      <c r="A23" s="7" t="s">
        <v>21</v>
      </c>
      <c r="B23" s="7" t="s">
        <v>703</v>
      </c>
      <c r="C23" s="7" t="s">
        <v>704</v>
      </c>
      <c r="D23" s="7" t="s">
        <v>705</v>
      </c>
      <c r="E23" s="7" t="s">
        <v>706</v>
      </c>
      <c r="F23" s="7" t="s">
        <v>139</v>
      </c>
    </row>
    <row r="24" customFormat="false" ht="34.5" hidden="false" customHeight="true" outlineLevel="0" collapsed="false">
      <c r="A24" s="7" t="s">
        <v>21</v>
      </c>
      <c r="B24" s="7" t="s">
        <v>339</v>
      </c>
      <c r="C24" s="7" t="s">
        <v>707</v>
      </c>
      <c r="D24" s="7" t="s">
        <v>708</v>
      </c>
      <c r="E24" s="7" t="s">
        <v>709</v>
      </c>
      <c r="F24" s="7" t="s">
        <v>139</v>
      </c>
    </row>
    <row r="25" customFormat="false" ht="34.5" hidden="false" customHeight="true" outlineLevel="0" collapsed="false">
      <c r="A25" s="7" t="s">
        <v>21</v>
      </c>
      <c r="B25" s="7" t="s">
        <v>433</v>
      </c>
      <c r="C25" s="7" t="s">
        <v>710</v>
      </c>
      <c r="D25" s="7" t="s">
        <v>711</v>
      </c>
      <c r="E25" s="7" t="s">
        <v>712</v>
      </c>
      <c r="F25" s="7" t="s">
        <v>139</v>
      </c>
    </row>
    <row r="26" customFormat="false" ht="45.75" hidden="false" customHeight="true" outlineLevel="0" collapsed="false">
      <c r="A26" s="7" t="s">
        <v>21</v>
      </c>
      <c r="B26" s="7" t="s">
        <v>713</v>
      </c>
      <c r="C26" s="7" t="s">
        <v>714</v>
      </c>
      <c r="D26" s="7" t="s">
        <v>715</v>
      </c>
      <c r="E26" s="7" t="s">
        <v>716</v>
      </c>
      <c r="F26" s="7" t="s">
        <v>139</v>
      </c>
    </row>
    <row r="27" customFormat="false" ht="45.75" hidden="false" customHeight="true" outlineLevel="0" collapsed="false">
      <c r="A27" s="7" t="s">
        <v>21</v>
      </c>
      <c r="B27" s="7" t="s">
        <v>405</v>
      </c>
      <c r="C27" s="7" t="s">
        <v>717</v>
      </c>
      <c r="D27" s="7" t="s">
        <v>471</v>
      </c>
      <c r="E27" s="7" t="s">
        <v>718</v>
      </c>
      <c r="F27" s="7" t="s">
        <v>719</v>
      </c>
    </row>
    <row r="28" customFormat="false" ht="23.25" hidden="false" customHeight="true" outlineLevel="0" collapsed="false">
      <c r="A28" s="7" t="s">
        <v>21</v>
      </c>
      <c r="B28" s="7" t="s">
        <v>139</v>
      </c>
      <c r="C28" s="7" t="s">
        <v>720</v>
      </c>
      <c r="D28" s="7" t="s">
        <v>139</v>
      </c>
      <c r="E28" s="7" t="s">
        <v>721</v>
      </c>
      <c r="F28" s="7" t="s">
        <v>661</v>
      </c>
    </row>
    <row r="29" customFormat="false" ht="34.5" hidden="false" customHeight="true" outlineLevel="0" collapsed="false">
      <c r="A29" s="7" t="s">
        <v>21</v>
      </c>
      <c r="B29" s="7" t="s">
        <v>139</v>
      </c>
      <c r="C29" s="7" t="s">
        <v>722</v>
      </c>
      <c r="D29" s="7" t="s">
        <v>682</v>
      </c>
      <c r="E29" s="7" t="s">
        <v>683</v>
      </c>
      <c r="F29" s="7" t="s">
        <v>139</v>
      </c>
    </row>
    <row r="30" customFormat="false" ht="23.25" hidden="false" customHeight="true" outlineLevel="0" collapsed="false">
      <c r="A30" s="7" t="s">
        <v>21</v>
      </c>
      <c r="B30" s="7" t="s">
        <v>139</v>
      </c>
      <c r="C30" s="7" t="s">
        <v>723</v>
      </c>
      <c r="D30" s="7" t="s">
        <v>139</v>
      </c>
      <c r="E30" s="7" t="s">
        <v>139</v>
      </c>
      <c r="F30" s="7" t="s">
        <v>686</v>
      </c>
    </row>
    <row r="31" customFormat="false" ht="34.5" hidden="false" customHeight="true" outlineLevel="0" collapsed="false">
      <c r="A31" s="7" t="s">
        <v>24</v>
      </c>
      <c r="B31" s="7" t="s">
        <v>339</v>
      </c>
      <c r="C31" s="7" t="s">
        <v>724</v>
      </c>
      <c r="D31" s="7" t="s">
        <v>725</v>
      </c>
      <c r="E31" s="7" t="s">
        <v>726</v>
      </c>
      <c r="F31" s="7" t="s">
        <v>727</v>
      </c>
    </row>
    <row r="32" customFormat="false" ht="34.5" hidden="false" customHeight="true" outlineLevel="0" collapsed="false">
      <c r="A32" s="7" t="s">
        <v>24</v>
      </c>
      <c r="B32" s="7" t="s">
        <v>339</v>
      </c>
      <c r="C32" s="7" t="s">
        <v>728</v>
      </c>
      <c r="D32" s="7" t="s">
        <v>729</v>
      </c>
      <c r="E32" s="7" t="s">
        <v>730</v>
      </c>
      <c r="F32" s="7" t="s">
        <v>731</v>
      </c>
    </row>
    <row r="33" customFormat="false" ht="23.25" hidden="false" customHeight="true" outlineLevel="0" collapsed="false">
      <c r="A33" s="7" t="s">
        <v>24</v>
      </c>
      <c r="B33" s="7" t="s">
        <v>405</v>
      </c>
      <c r="C33" s="7" t="s">
        <v>732</v>
      </c>
      <c r="D33" s="7" t="s">
        <v>139</v>
      </c>
      <c r="E33" s="7" t="s">
        <v>733</v>
      </c>
      <c r="F33" s="7" t="s">
        <v>139</v>
      </c>
    </row>
    <row r="34" customFormat="false" ht="23.25" hidden="false" customHeight="true" outlineLevel="0" collapsed="false">
      <c r="A34" s="7" t="s">
        <v>24</v>
      </c>
      <c r="B34" s="7" t="s">
        <v>139</v>
      </c>
      <c r="C34" s="7" t="s">
        <v>734</v>
      </c>
      <c r="D34" s="7" t="s">
        <v>139</v>
      </c>
      <c r="E34" s="7" t="s">
        <v>721</v>
      </c>
      <c r="F34" s="7" t="s">
        <v>661</v>
      </c>
    </row>
    <row r="35" customFormat="false" ht="34.5" hidden="false" customHeight="true" outlineLevel="0" collapsed="false">
      <c r="A35" s="7" t="s">
        <v>24</v>
      </c>
      <c r="B35" s="7" t="s">
        <v>139</v>
      </c>
      <c r="C35" s="7" t="s">
        <v>735</v>
      </c>
      <c r="D35" s="7" t="s">
        <v>682</v>
      </c>
      <c r="E35" s="7" t="s">
        <v>736</v>
      </c>
      <c r="F35" s="7" t="s">
        <v>139</v>
      </c>
    </row>
    <row r="36" customFormat="false" ht="34.5" hidden="false" customHeight="true" outlineLevel="0" collapsed="false">
      <c r="A36" s="7" t="s">
        <v>24</v>
      </c>
      <c r="B36" s="7" t="s">
        <v>139</v>
      </c>
      <c r="C36" s="7" t="s">
        <v>737</v>
      </c>
      <c r="D36" s="7" t="s">
        <v>139</v>
      </c>
      <c r="E36" s="7" t="s">
        <v>139</v>
      </c>
      <c r="F36" s="7" t="s">
        <v>686</v>
      </c>
    </row>
    <row r="37" customFormat="false" ht="23.25" hidden="false" customHeight="true" outlineLevel="0" collapsed="false">
      <c r="A37" s="7" t="s">
        <v>27</v>
      </c>
      <c r="B37" s="7" t="s">
        <v>339</v>
      </c>
      <c r="C37" s="7" t="s">
        <v>738</v>
      </c>
      <c r="D37" s="7" t="s">
        <v>739</v>
      </c>
      <c r="E37" s="7" t="s">
        <v>740</v>
      </c>
      <c r="F37" s="7" t="s">
        <v>741</v>
      </c>
    </row>
    <row r="38" customFormat="false" ht="45.75" hidden="false" customHeight="true" outlineLevel="0" collapsed="false">
      <c r="A38" s="7" t="s">
        <v>27</v>
      </c>
      <c r="B38" s="7" t="s">
        <v>339</v>
      </c>
      <c r="C38" s="7" t="s">
        <v>742</v>
      </c>
      <c r="D38" s="7" t="s">
        <v>743</v>
      </c>
      <c r="E38" s="7" t="s">
        <v>744</v>
      </c>
      <c r="F38" s="7" t="s">
        <v>745</v>
      </c>
    </row>
    <row r="39" customFormat="false" ht="34.5" hidden="false" customHeight="true" outlineLevel="0" collapsed="false">
      <c r="A39" s="7" t="s">
        <v>27</v>
      </c>
      <c r="B39" s="7" t="s">
        <v>339</v>
      </c>
      <c r="C39" s="7" t="s">
        <v>746</v>
      </c>
      <c r="D39" s="7" t="s">
        <v>747</v>
      </c>
      <c r="E39" s="7" t="s">
        <v>748</v>
      </c>
      <c r="F39" s="7" t="s">
        <v>139</v>
      </c>
    </row>
    <row r="40" customFormat="false" ht="23.25" hidden="false" customHeight="true" outlineLevel="0" collapsed="false">
      <c r="A40" s="7" t="s">
        <v>27</v>
      </c>
      <c r="B40" s="7" t="s">
        <v>339</v>
      </c>
      <c r="C40" s="7" t="s">
        <v>749</v>
      </c>
      <c r="D40" s="7" t="s">
        <v>750</v>
      </c>
      <c r="E40" s="7" t="s">
        <v>751</v>
      </c>
      <c r="F40" s="7" t="s">
        <v>139</v>
      </c>
    </row>
    <row r="41" customFormat="false" ht="15" hidden="false" customHeight="true" outlineLevel="0" collapsed="false">
      <c r="A41" s="7" t="s">
        <v>27</v>
      </c>
      <c r="B41" s="7" t="s">
        <v>139</v>
      </c>
      <c r="C41" s="7" t="s">
        <v>752</v>
      </c>
      <c r="D41" s="7" t="s">
        <v>139</v>
      </c>
      <c r="E41" s="7" t="s">
        <v>721</v>
      </c>
      <c r="F41" s="7" t="s">
        <v>661</v>
      </c>
    </row>
    <row r="42" customFormat="false" ht="45.75" hidden="false" customHeight="true" outlineLevel="0" collapsed="false">
      <c r="A42" s="7" t="s">
        <v>27</v>
      </c>
      <c r="B42" s="7" t="s">
        <v>139</v>
      </c>
      <c r="C42" s="7" t="s">
        <v>753</v>
      </c>
      <c r="D42" s="7" t="s">
        <v>682</v>
      </c>
      <c r="E42" s="7" t="s">
        <v>736</v>
      </c>
      <c r="F42" s="7" t="s">
        <v>139</v>
      </c>
    </row>
    <row r="43" customFormat="false" ht="34.5" hidden="false" customHeight="true" outlineLevel="0" collapsed="false">
      <c r="A43" s="7" t="s">
        <v>30</v>
      </c>
      <c r="B43" s="7" t="s">
        <v>754</v>
      </c>
      <c r="C43" s="7" t="s">
        <v>755</v>
      </c>
      <c r="D43" s="7" t="s">
        <v>756</v>
      </c>
      <c r="E43" s="7" t="s">
        <v>757</v>
      </c>
      <c r="F43" s="7" t="s">
        <v>139</v>
      </c>
    </row>
    <row r="44" customFormat="false" ht="57" hidden="false" customHeight="true" outlineLevel="0" collapsed="false">
      <c r="A44" s="7" t="s">
        <v>30</v>
      </c>
      <c r="B44" s="7" t="s">
        <v>758</v>
      </c>
      <c r="C44" s="7" t="s">
        <v>759</v>
      </c>
      <c r="D44" s="7" t="s">
        <v>139</v>
      </c>
      <c r="E44" s="7" t="s">
        <v>760</v>
      </c>
      <c r="F44" s="7" t="s">
        <v>686</v>
      </c>
    </row>
    <row r="45" customFormat="false" ht="15" hidden="false" customHeight="true" outlineLevel="0" collapsed="false">
      <c r="A45" s="7" t="s">
        <v>30</v>
      </c>
      <c r="B45" s="7" t="s">
        <v>139</v>
      </c>
      <c r="C45" s="7" t="s">
        <v>761</v>
      </c>
      <c r="D45" s="7" t="s">
        <v>139</v>
      </c>
      <c r="E45" s="7" t="s">
        <v>721</v>
      </c>
      <c r="F45" s="7" t="s">
        <v>661</v>
      </c>
    </row>
    <row r="46" customFormat="false" ht="34.5" hidden="false" customHeight="true" outlineLevel="0" collapsed="false">
      <c r="A46" s="7" t="s">
        <v>30</v>
      </c>
      <c r="B46" s="7" t="s">
        <v>139</v>
      </c>
      <c r="C46" s="7" t="s">
        <v>762</v>
      </c>
      <c r="D46" s="7" t="s">
        <v>139</v>
      </c>
      <c r="E46" s="7" t="s">
        <v>139</v>
      </c>
      <c r="F46" s="7" t="s">
        <v>139</v>
      </c>
    </row>
    <row r="47" customFormat="false" ht="90.75" hidden="false" customHeight="true" outlineLevel="0" collapsed="false">
      <c r="A47" s="7" t="s">
        <v>33</v>
      </c>
      <c r="B47" s="7" t="s">
        <v>763</v>
      </c>
      <c r="C47" s="7" t="s">
        <v>764</v>
      </c>
      <c r="D47" s="7" t="s">
        <v>765</v>
      </c>
      <c r="E47" s="7" t="s">
        <v>766</v>
      </c>
      <c r="F47" s="7" t="s">
        <v>661</v>
      </c>
    </row>
    <row r="48" customFormat="false" ht="45.75" hidden="false" customHeight="true" outlineLevel="0" collapsed="false">
      <c r="A48" s="7" t="s">
        <v>33</v>
      </c>
      <c r="B48" s="7" t="s">
        <v>339</v>
      </c>
      <c r="C48" s="7" t="s">
        <v>767</v>
      </c>
      <c r="D48" s="7" t="s">
        <v>399</v>
      </c>
      <c r="E48" s="7" t="s">
        <v>768</v>
      </c>
      <c r="F48" s="7" t="s">
        <v>769</v>
      </c>
    </row>
    <row r="49" customFormat="false" ht="68.25" hidden="false" customHeight="true" outlineLevel="0" collapsed="false">
      <c r="A49" s="7" t="s">
        <v>33</v>
      </c>
      <c r="B49" s="7" t="s">
        <v>770</v>
      </c>
      <c r="C49" s="7" t="s">
        <v>771</v>
      </c>
      <c r="D49" s="7" t="s">
        <v>772</v>
      </c>
      <c r="E49" s="7" t="s">
        <v>773</v>
      </c>
      <c r="F49" s="7" t="s">
        <v>774</v>
      </c>
    </row>
    <row r="50" customFormat="false" ht="34.5" hidden="false" customHeight="true" outlineLevel="0" collapsed="false">
      <c r="A50" s="7" t="s">
        <v>33</v>
      </c>
      <c r="B50" s="7" t="s">
        <v>139</v>
      </c>
      <c r="C50" s="7" t="s">
        <v>775</v>
      </c>
      <c r="D50" s="7" t="s">
        <v>139</v>
      </c>
      <c r="E50" s="7" t="s">
        <v>721</v>
      </c>
      <c r="F50" s="7" t="s">
        <v>661</v>
      </c>
    </row>
    <row r="51" customFormat="false" ht="79.5" hidden="false" customHeight="true" outlineLevel="0" collapsed="false">
      <c r="A51" s="7" t="s">
        <v>36</v>
      </c>
      <c r="B51" s="7" t="s">
        <v>776</v>
      </c>
      <c r="C51" s="7" t="s">
        <v>777</v>
      </c>
      <c r="D51" s="7" t="s">
        <v>778</v>
      </c>
      <c r="E51" s="7" t="s">
        <v>779</v>
      </c>
      <c r="F51" s="7" t="s">
        <v>661</v>
      </c>
    </row>
    <row r="52" customFormat="false" ht="34.5" hidden="false" customHeight="true" outlineLevel="0" collapsed="false">
      <c r="A52" s="7" t="s">
        <v>36</v>
      </c>
      <c r="B52" s="7" t="s">
        <v>139</v>
      </c>
      <c r="C52" s="7" t="s">
        <v>780</v>
      </c>
      <c r="D52" s="7" t="s">
        <v>139</v>
      </c>
      <c r="E52" s="7" t="s">
        <v>721</v>
      </c>
      <c r="F52" s="7" t="s">
        <v>661</v>
      </c>
    </row>
    <row r="53" customFormat="false" ht="45.75" hidden="false" customHeight="true" outlineLevel="0" collapsed="false">
      <c r="A53" s="7" t="s">
        <v>39</v>
      </c>
      <c r="B53" s="7" t="s">
        <v>781</v>
      </c>
      <c r="C53" s="7" t="s">
        <v>782</v>
      </c>
      <c r="D53" s="7" t="s">
        <v>783</v>
      </c>
      <c r="E53" s="7" t="s">
        <v>784</v>
      </c>
      <c r="F53" s="7" t="s">
        <v>661</v>
      </c>
    </row>
    <row r="54" customFormat="false" ht="34.5" hidden="false" customHeight="true" outlineLevel="0" collapsed="false">
      <c r="A54" s="7" t="s">
        <v>39</v>
      </c>
      <c r="B54" s="7" t="s">
        <v>139</v>
      </c>
      <c r="C54" s="7" t="s">
        <v>785</v>
      </c>
      <c r="D54" s="7" t="s">
        <v>139</v>
      </c>
      <c r="E54" s="7" t="s">
        <v>721</v>
      </c>
      <c r="F54" s="7" t="s">
        <v>661</v>
      </c>
    </row>
    <row r="55" customFormat="false" ht="79.5" hidden="false" customHeight="true" outlineLevel="0" collapsed="false">
      <c r="A55" s="7" t="s">
        <v>42</v>
      </c>
      <c r="B55" s="7" t="s">
        <v>139</v>
      </c>
      <c r="C55" s="7" t="s">
        <v>786</v>
      </c>
      <c r="D55" s="7" t="s">
        <v>787</v>
      </c>
      <c r="E55" s="7" t="s">
        <v>788</v>
      </c>
      <c r="F55" s="7" t="s">
        <v>661</v>
      </c>
    </row>
    <row r="56" customFormat="false" ht="34.5" hidden="false" customHeight="true" outlineLevel="0" collapsed="false">
      <c r="A56" s="7" t="s">
        <v>42</v>
      </c>
      <c r="B56" s="7" t="s">
        <v>139</v>
      </c>
      <c r="C56" s="7" t="s">
        <v>789</v>
      </c>
      <c r="D56" s="7" t="s">
        <v>139</v>
      </c>
      <c r="E56" s="7" t="s">
        <v>721</v>
      </c>
      <c r="F56" s="7" t="s">
        <v>661</v>
      </c>
    </row>
    <row r="57" customFormat="false" ht="68.25" hidden="false" customHeight="true" outlineLevel="0" collapsed="false">
      <c r="A57" s="7" t="s">
        <v>45</v>
      </c>
      <c r="B57" s="7" t="s">
        <v>139</v>
      </c>
      <c r="C57" s="7" t="s">
        <v>790</v>
      </c>
      <c r="D57" s="7" t="s">
        <v>791</v>
      </c>
      <c r="E57" s="7" t="s">
        <v>792</v>
      </c>
      <c r="F57" s="7" t="s">
        <v>661</v>
      </c>
    </row>
    <row r="58" customFormat="false" ht="57" hidden="false" customHeight="true" outlineLevel="0" collapsed="false">
      <c r="A58" s="7" t="s">
        <v>45</v>
      </c>
      <c r="B58" s="7" t="s">
        <v>139</v>
      </c>
      <c r="C58" s="7" t="s">
        <v>793</v>
      </c>
      <c r="D58" s="7" t="s">
        <v>139</v>
      </c>
      <c r="E58" s="7" t="s">
        <v>721</v>
      </c>
      <c r="F58" s="7" t="s">
        <v>661</v>
      </c>
    </row>
    <row r="59" customFormat="false" ht="57" hidden="false" customHeight="true" outlineLevel="0" collapsed="false">
      <c r="A59" s="7" t="s">
        <v>48</v>
      </c>
      <c r="B59" s="7" t="s">
        <v>139</v>
      </c>
      <c r="C59" s="7" t="s">
        <v>794</v>
      </c>
      <c r="D59" s="7" t="s">
        <v>795</v>
      </c>
      <c r="E59" s="7" t="s">
        <v>796</v>
      </c>
      <c r="F59" s="7" t="s">
        <v>661</v>
      </c>
    </row>
    <row r="60" customFormat="false" ht="57" hidden="false" customHeight="true" outlineLevel="0" collapsed="false">
      <c r="A60" s="7" t="s">
        <v>48</v>
      </c>
      <c r="B60" s="7" t="s">
        <v>139</v>
      </c>
      <c r="C60" s="7" t="s">
        <v>797</v>
      </c>
      <c r="D60" s="7" t="s">
        <v>139</v>
      </c>
      <c r="E60" s="7" t="s">
        <v>721</v>
      </c>
      <c r="F60" s="7" t="s">
        <v>661</v>
      </c>
    </row>
    <row r="61" customFormat="false" ht="45.75" hidden="false" customHeight="true" outlineLevel="0" collapsed="false">
      <c r="A61" s="7" t="s">
        <v>51</v>
      </c>
      <c r="B61" s="7" t="s">
        <v>139</v>
      </c>
      <c r="C61" s="7" t="s">
        <v>798</v>
      </c>
      <c r="D61" s="7" t="s">
        <v>799</v>
      </c>
      <c r="E61" s="7" t="s">
        <v>800</v>
      </c>
      <c r="F61" s="7" t="s">
        <v>661</v>
      </c>
    </row>
    <row r="62" customFormat="false" ht="34.5" hidden="false" customHeight="true" outlineLevel="0" collapsed="false">
      <c r="A62" s="7" t="s">
        <v>51</v>
      </c>
      <c r="B62" s="7" t="s">
        <v>364</v>
      </c>
      <c r="C62" s="7" t="s">
        <v>801</v>
      </c>
      <c r="D62" s="7" t="s">
        <v>802</v>
      </c>
      <c r="E62" s="7" t="s">
        <v>803</v>
      </c>
      <c r="F62" s="7" t="s">
        <v>804</v>
      </c>
    </row>
    <row r="63" customFormat="false" ht="45.75" hidden="false" customHeight="true" outlineLevel="0" collapsed="false">
      <c r="A63" s="7" t="s">
        <v>51</v>
      </c>
      <c r="B63" s="7" t="s">
        <v>139</v>
      </c>
      <c r="C63" s="7" t="s">
        <v>805</v>
      </c>
      <c r="D63" s="7" t="s">
        <v>139</v>
      </c>
      <c r="E63" s="7" t="s">
        <v>721</v>
      </c>
      <c r="F63" s="7" t="s">
        <v>661</v>
      </c>
    </row>
    <row r="64" customFormat="false" ht="45.75" hidden="false" customHeight="true" outlineLevel="0" collapsed="false">
      <c r="A64" s="7" t="s">
        <v>54</v>
      </c>
      <c r="B64" s="7" t="s">
        <v>806</v>
      </c>
      <c r="C64" s="7" t="s">
        <v>807</v>
      </c>
      <c r="D64" s="7" t="s">
        <v>808</v>
      </c>
      <c r="E64" s="7" t="s">
        <v>809</v>
      </c>
      <c r="F64" s="7" t="s">
        <v>804</v>
      </c>
    </row>
    <row r="65" customFormat="false" ht="45.75" hidden="false" customHeight="true" outlineLevel="0" collapsed="false">
      <c r="A65" s="7" t="s">
        <v>54</v>
      </c>
      <c r="B65" s="7" t="s">
        <v>139</v>
      </c>
      <c r="C65" s="7" t="s">
        <v>810</v>
      </c>
      <c r="D65" s="7" t="s">
        <v>139</v>
      </c>
      <c r="E65" s="7" t="s">
        <v>811</v>
      </c>
      <c r="F65" s="7" t="s">
        <v>661</v>
      </c>
    </row>
    <row r="66" customFormat="false" ht="34.5" hidden="false" customHeight="true" outlineLevel="0" collapsed="false">
      <c r="A66" s="7" t="s">
        <v>54</v>
      </c>
      <c r="B66" s="7" t="s">
        <v>139</v>
      </c>
      <c r="C66" s="7" t="s">
        <v>812</v>
      </c>
      <c r="D66" s="7" t="s">
        <v>139</v>
      </c>
      <c r="E66" s="7" t="s">
        <v>721</v>
      </c>
      <c r="F66" s="7" t="s">
        <v>661</v>
      </c>
    </row>
    <row r="67" customFormat="false" ht="57" hidden="false" customHeight="true" outlineLevel="0" collapsed="false">
      <c r="A67" s="7" t="s">
        <v>57</v>
      </c>
      <c r="B67" s="7" t="s">
        <v>339</v>
      </c>
      <c r="C67" s="7" t="s">
        <v>813</v>
      </c>
      <c r="D67" s="7" t="s">
        <v>814</v>
      </c>
      <c r="E67" s="7" t="s">
        <v>815</v>
      </c>
      <c r="F67" s="7" t="s">
        <v>661</v>
      </c>
    </row>
    <row r="68" customFormat="false" ht="45.75" hidden="false" customHeight="true" outlineLevel="0" collapsed="false">
      <c r="A68" s="7" t="s">
        <v>57</v>
      </c>
      <c r="B68" s="7" t="s">
        <v>139</v>
      </c>
      <c r="C68" s="7" t="s">
        <v>816</v>
      </c>
      <c r="D68" s="7" t="s">
        <v>139</v>
      </c>
      <c r="E68" s="7" t="s">
        <v>721</v>
      </c>
      <c r="F68" s="7" t="s">
        <v>661</v>
      </c>
    </row>
    <row r="69" customFormat="false" ht="45.75" hidden="false" customHeight="true" outlineLevel="0" collapsed="false">
      <c r="A69" s="7" t="s">
        <v>60</v>
      </c>
      <c r="B69" s="7" t="s">
        <v>139</v>
      </c>
      <c r="C69" s="7" t="s">
        <v>817</v>
      </c>
      <c r="D69" s="7" t="s">
        <v>139</v>
      </c>
      <c r="E69" s="7" t="s">
        <v>818</v>
      </c>
      <c r="F69" s="7" t="s">
        <v>661</v>
      </c>
    </row>
    <row r="70" customFormat="false" ht="34.5" hidden="false" customHeight="true" outlineLevel="0" collapsed="false">
      <c r="A70" s="7" t="s">
        <v>60</v>
      </c>
      <c r="B70" s="7" t="s">
        <v>139</v>
      </c>
      <c r="C70" s="7" t="s">
        <v>819</v>
      </c>
      <c r="D70" s="7" t="s">
        <v>139</v>
      </c>
      <c r="E70" s="7" t="s">
        <v>721</v>
      </c>
      <c r="F70" s="7" t="s">
        <v>661</v>
      </c>
    </row>
    <row r="71" customFormat="false" ht="57" hidden="false" customHeight="true" outlineLevel="0" collapsed="false">
      <c r="A71" s="7" t="s">
        <v>63</v>
      </c>
      <c r="B71" s="7" t="s">
        <v>139</v>
      </c>
      <c r="C71" s="7" t="s">
        <v>820</v>
      </c>
      <c r="D71" s="7" t="s">
        <v>821</v>
      </c>
      <c r="E71" s="7" t="s">
        <v>822</v>
      </c>
      <c r="F71" s="7" t="s">
        <v>661</v>
      </c>
    </row>
    <row r="72" customFormat="false" ht="45.75" hidden="false" customHeight="true" outlineLevel="0" collapsed="false">
      <c r="A72" s="7" t="s">
        <v>63</v>
      </c>
      <c r="B72" s="7" t="s">
        <v>139</v>
      </c>
      <c r="C72" s="7" t="s">
        <v>823</v>
      </c>
      <c r="D72" s="7" t="s">
        <v>139</v>
      </c>
      <c r="E72" s="7" t="s">
        <v>721</v>
      </c>
      <c r="F72" s="7" t="s">
        <v>661</v>
      </c>
    </row>
    <row r="73" customFormat="false" ht="57" hidden="false" customHeight="true" outlineLevel="0" collapsed="false">
      <c r="A73" s="7" t="s">
        <v>66</v>
      </c>
      <c r="B73" s="7" t="s">
        <v>139</v>
      </c>
      <c r="C73" s="7" t="s">
        <v>824</v>
      </c>
      <c r="D73" s="7" t="s">
        <v>139</v>
      </c>
      <c r="E73" s="7" t="s">
        <v>825</v>
      </c>
      <c r="F73" s="7" t="s">
        <v>661</v>
      </c>
    </row>
    <row r="74" customFormat="false" ht="45.75" hidden="false" customHeight="true" outlineLevel="0" collapsed="false">
      <c r="A74" s="7" t="s">
        <v>66</v>
      </c>
      <c r="B74" s="7" t="s">
        <v>139</v>
      </c>
      <c r="C74" s="7" t="s">
        <v>826</v>
      </c>
      <c r="D74" s="7" t="s">
        <v>139</v>
      </c>
      <c r="E74" s="7" t="s">
        <v>721</v>
      </c>
      <c r="F74" s="7" t="s">
        <v>661</v>
      </c>
    </row>
    <row r="75" customFormat="false" ht="45.75" hidden="false" customHeight="true" outlineLevel="0" collapsed="false">
      <c r="A75" s="7" t="s">
        <v>69</v>
      </c>
      <c r="B75" s="7" t="s">
        <v>139</v>
      </c>
      <c r="C75" s="7" t="s">
        <v>827</v>
      </c>
      <c r="D75" s="7" t="s">
        <v>828</v>
      </c>
      <c r="E75" s="7" t="s">
        <v>829</v>
      </c>
      <c r="F75" s="7" t="s">
        <v>731</v>
      </c>
    </row>
    <row r="76" customFormat="false" ht="45.75" hidden="false" customHeight="true" outlineLevel="0" collapsed="false">
      <c r="A76" s="7" t="s">
        <v>69</v>
      </c>
      <c r="B76" s="7" t="s">
        <v>139</v>
      </c>
      <c r="C76" s="7" t="s">
        <v>830</v>
      </c>
      <c r="D76" s="7" t="s">
        <v>139</v>
      </c>
      <c r="E76" s="7" t="s">
        <v>831</v>
      </c>
      <c r="F76" s="7" t="s">
        <v>139</v>
      </c>
    </row>
    <row r="77" customFormat="false" ht="57" hidden="false" customHeight="true" outlineLevel="0" collapsed="false">
      <c r="A77" s="7" t="s">
        <v>72</v>
      </c>
      <c r="B77" s="7" t="s">
        <v>832</v>
      </c>
      <c r="C77" s="7" t="s">
        <v>833</v>
      </c>
      <c r="D77" s="7" t="s">
        <v>834</v>
      </c>
      <c r="E77" s="7" t="s">
        <v>835</v>
      </c>
      <c r="F77" s="7" t="s">
        <v>661</v>
      </c>
    </row>
    <row r="78" customFormat="false" ht="68.25" hidden="false" customHeight="true" outlineLevel="0" collapsed="false">
      <c r="A78" s="7" t="s">
        <v>72</v>
      </c>
      <c r="B78" s="7" t="s">
        <v>139</v>
      </c>
      <c r="C78" s="7" t="s">
        <v>836</v>
      </c>
      <c r="D78" s="7" t="s">
        <v>139</v>
      </c>
      <c r="E78" s="7" t="s">
        <v>721</v>
      </c>
      <c r="F78" s="7" t="s">
        <v>661</v>
      </c>
    </row>
    <row r="79" customFormat="false" ht="57" hidden="false" customHeight="true" outlineLevel="0" collapsed="false">
      <c r="A79" s="7" t="s">
        <v>75</v>
      </c>
      <c r="B79" s="7" t="s">
        <v>837</v>
      </c>
      <c r="C79" s="7" t="s">
        <v>838</v>
      </c>
      <c r="D79" s="7" t="s">
        <v>839</v>
      </c>
      <c r="E79" s="7" t="s">
        <v>840</v>
      </c>
      <c r="F79" s="7" t="s">
        <v>661</v>
      </c>
    </row>
    <row r="80" customFormat="false" ht="68.25" hidden="false" customHeight="true" outlineLevel="0" collapsed="false">
      <c r="A80" s="7" t="s">
        <v>75</v>
      </c>
      <c r="B80" s="7" t="s">
        <v>139</v>
      </c>
      <c r="C80" s="7" t="s">
        <v>841</v>
      </c>
      <c r="D80" s="7" t="s">
        <v>139</v>
      </c>
      <c r="E80" s="7" t="s">
        <v>721</v>
      </c>
      <c r="F80" s="7" t="s">
        <v>661</v>
      </c>
    </row>
    <row r="81" customFormat="false" ht="57" hidden="false" customHeight="true" outlineLevel="0" collapsed="false">
      <c r="A81" s="7" t="s">
        <v>78</v>
      </c>
      <c r="B81" s="7" t="s">
        <v>339</v>
      </c>
      <c r="C81" s="7" t="s">
        <v>842</v>
      </c>
      <c r="D81" s="7" t="s">
        <v>843</v>
      </c>
      <c r="E81" s="7" t="s">
        <v>844</v>
      </c>
      <c r="F81" s="7" t="s">
        <v>661</v>
      </c>
    </row>
    <row r="82" customFormat="false" ht="45.75" hidden="false" customHeight="true" outlineLevel="0" collapsed="false">
      <c r="A82" s="7" t="s">
        <v>78</v>
      </c>
      <c r="B82" s="7" t="s">
        <v>139</v>
      </c>
      <c r="C82" s="7" t="s">
        <v>845</v>
      </c>
      <c r="D82" s="7" t="s">
        <v>139</v>
      </c>
      <c r="E82" s="7" t="s">
        <v>721</v>
      </c>
      <c r="F82" s="7" t="s">
        <v>661</v>
      </c>
    </row>
    <row r="83" customFormat="false" ht="57" hidden="false" customHeight="true" outlineLevel="0" collapsed="false">
      <c r="A83" s="7" t="s">
        <v>81</v>
      </c>
      <c r="B83" s="7" t="s">
        <v>339</v>
      </c>
      <c r="C83" s="7" t="s">
        <v>846</v>
      </c>
      <c r="D83" s="7" t="s">
        <v>847</v>
      </c>
      <c r="E83" s="7" t="s">
        <v>848</v>
      </c>
      <c r="F83" s="7" t="s">
        <v>661</v>
      </c>
    </row>
    <row r="84" customFormat="false" ht="45.75" hidden="false" customHeight="true" outlineLevel="0" collapsed="false">
      <c r="A84" s="7" t="s">
        <v>81</v>
      </c>
      <c r="B84" s="7" t="s">
        <v>139</v>
      </c>
      <c r="C84" s="7" t="s">
        <v>849</v>
      </c>
      <c r="D84" s="7" t="s">
        <v>139</v>
      </c>
      <c r="E84" s="7" t="s">
        <v>721</v>
      </c>
      <c r="F84" s="7" t="s">
        <v>661</v>
      </c>
    </row>
    <row r="85" customFormat="false" ht="68.25" hidden="false" customHeight="true" outlineLevel="0" collapsed="false">
      <c r="A85" s="7" t="s">
        <v>84</v>
      </c>
      <c r="B85" s="7" t="s">
        <v>405</v>
      </c>
      <c r="C85" s="7" t="s">
        <v>850</v>
      </c>
      <c r="D85" s="7" t="s">
        <v>851</v>
      </c>
      <c r="E85" s="7" t="s">
        <v>852</v>
      </c>
      <c r="F85" s="7" t="s">
        <v>661</v>
      </c>
    </row>
    <row r="86" customFormat="false" ht="57" hidden="false" customHeight="true" outlineLevel="0" collapsed="false">
      <c r="A86" s="7" t="s">
        <v>84</v>
      </c>
      <c r="B86" s="7" t="s">
        <v>139</v>
      </c>
      <c r="C86" s="7" t="s">
        <v>853</v>
      </c>
      <c r="D86" s="7" t="s">
        <v>139</v>
      </c>
      <c r="E86" s="7" t="s">
        <v>721</v>
      </c>
      <c r="F86" s="7" t="s">
        <v>661</v>
      </c>
    </row>
    <row r="87" customFormat="false" ht="57" hidden="false" customHeight="true" outlineLevel="0" collapsed="false">
      <c r="A87" s="7" t="s">
        <v>87</v>
      </c>
      <c r="B87" s="7" t="s">
        <v>405</v>
      </c>
      <c r="C87" s="7" t="s">
        <v>854</v>
      </c>
      <c r="D87" s="7" t="s">
        <v>855</v>
      </c>
      <c r="E87" s="7" t="s">
        <v>856</v>
      </c>
      <c r="F87" s="7" t="s">
        <v>661</v>
      </c>
    </row>
    <row r="88" customFormat="false" ht="57" hidden="false" customHeight="true" outlineLevel="0" collapsed="false">
      <c r="A88" s="7" t="s">
        <v>87</v>
      </c>
      <c r="B88" s="7" t="s">
        <v>139</v>
      </c>
      <c r="C88" s="7" t="s">
        <v>857</v>
      </c>
      <c r="D88" s="7" t="s">
        <v>139</v>
      </c>
      <c r="E88" s="7" t="s">
        <v>721</v>
      </c>
      <c r="F88" s="7" t="s">
        <v>661</v>
      </c>
    </row>
    <row r="89" customFormat="false" ht="46.25" hidden="false" customHeight="false" outlineLevel="0" collapsed="false">
      <c r="A89" s="7" t="s">
        <v>90</v>
      </c>
      <c r="B89" s="7" t="s">
        <v>339</v>
      </c>
      <c r="C89" s="7" t="s">
        <v>858</v>
      </c>
      <c r="D89" s="7" t="s">
        <v>859</v>
      </c>
      <c r="E89" s="7" t="s">
        <v>860</v>
      </c>
      <c r="F89" s="7" t="s">
        <v>661</v>
      </c>
    </row>
    <row r="90" customFormat="false" ht="46.25" hidden="false" customHeight="false" outlineLevel="0" collapsed="false">
      <c r="A90" s="7" t="s">
        <v>90</v>
      </c>
      <c r="B90" s="7" t="s">
        <v>139</v>
      </c>
      <c r="C90" s="7" t="s">
        <v>861</v>
      </c>
      <c r="D90" s="7" t="s">
        <v>139</v>
      </c>
      <c r="E90" s="7" t="s">
        <v>862</v>
      </c>
      <c r="F90" s="7" t="s">
        <v>661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7"/>
    <col collapsed="false" customWidth="true" hidden="false" outlineLevel="0" max="3" min="3" style="1" width="26"/>
    <col collapsed="false" customWidth="true" hidden="false" outlineLevel="0" max="5" min="4" style="1" width="34"/>
    <col collapsed="false" customWidth="true" hidden="false" outlineLevel="0" max="6" min="6" style="1" width="10"/>
    <col collapsed="false" customWidth="true" hidden="false" outlineLevel="0" max="7" min="7" style="1" width="52"/>
  </cols>
  <sheetData>
    <row r="1" customFormat="false" ht="15.75" hidden="false" customHeight="true" outlineLevel="0" collapsed="false">
      <c r="A1" s="12" t="s">
        <v>863</v>
      </c>
    </row>
    <row r="2" customFormat="false" ht="15" hidden="false" customHeight="true" outlineLevel="0" collapsed="false">
      <c r="A2" s="6" t="s">
        <v>864</v>
      </c>
    </row>
    <row r="4" customFormat="false" ht="15" hidden="false" customHeight="true" outlineLevel="0" collapsed="false">
      <c r="A4" s="13" t="s">
        <v>235</v>
      </c>
      <c r="B4" s="13" t="s">
        <v>236</v>
      </c>
      <c r="C4" s="13" t="s">
        <v>865</v>
      </c>
      <c r="D4" s="13" t="s">
        <v>866</v>
      </c>
      <c r="E4" s="13" t="s">
        <v>867</v>
      </c>
      <c r="F4" s="13" t="s">
        <v>868</v>
      </c>
      <c r="G4" s="13" t="s">
        <v>869</v>
      </c>
    </row>
    <row r="5" customFormat="false" ht="15" hidden="false" customHeight="true" outlineLevel="0" collapsed="false">
      <c r="A5" s="7" t="s">
        <v>241</v>
      </c>
      <c r="B5" s="7" t="s">
        <v>242</v>
      </c>
      <c r="C5" s="14" t="s">
        <v>246</v>
      </c>
      <c r="D5" s="7" t="s">
        <v>870</v>
      </c>
      <c r="E5" s="7" t="s">
        <v>871</v>
      </c>
      <c r="F5" s="7" t="s">
        <v>872</v>
      </c>
      <c r="G5" s="7" t="s">
        <v>873</v>
      </c>
    </row>
    <row r="6" customFormat="false" ht="15" hidden="false" customHeight="true" outlineLevel="0" collapsed="false">
      <c r="A6" s="7" t="s">
        <v>247</v>
      </c>
      <c r="B6" s="7" t="s">
        <v>242</v>
      </c>
      <c r="C6" s="14" t="s">
        <v>246</v>
      </c>
      <c r="D6" s="7" t="s">
        <v>870</v>
      </c>
      <c r="E6" s="7" t="s">
        <v>871</v>
      </c>
      <c r="F6" s="7" t="s">
        <v>872</v>
      </c>
      <c r="G6" s="7" t="s">
        <v>874</v>
      </c>
    </row>
    <row r="7" customFormat="false" ht="15" hidden="false" customHeight="true" outlineLevel="0" collapsed="false">
      <c r="A7" s="7" t="s">
        <v>249</v>
      </c>
      <c r="B7" s="7" t="s">
        <v>242</v>
      </c>
      <c r="C7" s="14" t="s">
        <v>246</v>
      </c>
      <c r="D7" s="7" t="s">
        <v>875</v>
      </c>
      <c r="E7" s="7" t="s">
        <v>876</v>
      </c>
      <c r="F7" s="7" t="s">
        <v>872</v>
      </c>
      <c r="G7" s="7" t="s">
        <v>877</v>
      </c>
    </row>
    <row r="8" customFormat="false" ht="23.25" hidden="false" customHeight="true" outlineLevel="0" collapsed="false">
      <c r="A8" s="7" t="s">
        <v>252</v>
      </c>
      <c r="B8" s="7" t="s">
        <v>242</v>
      </c>
      <c r="C8" s="14" t="s">
        <v>246</v>
      </c>
      <c r="D8" s="7" t="s">
        <v>878</v>
      </c>
      <c r="E8" s="7" t="s">
        <v>879</v>
      </c>
      <c r="F8" s="7" t="s">
        <v>872</v>
      </c>
      <c r="G8" s="7" t="s">
        <v>880</v>
      </c>
    </row>
    <row r="9" customFormat="false" ht="15" hidden="false" customHeight="true" outlineLevel="0" collapsed="false">
      <c r="A9" s="7" t="s">
        <v>254</v>
      </c>
      <c r="B9" s="7" t="s">
        <v>242</v>
      </c>
      <c r="C9" s="14" t="s">
        <v>246</v>
      </c>
      <c r="D9" s="7" t="s">
        <v>881</v>
      </c>
      <c r="E9" s="7" t="s">
        <v>882</v>
      </c>
      <c r="F9" s="7" t="s">
        <v>872</v>
      </c>
      <c r="G9" s="7" t="s">
        <v>883</v>
      </c>
    </row>
    <row r="10" customFormat="false" ht="15" hidden="false" customHeight="true" outlineLevel="0" collapsed="false">
      <c r="A10" s="7" t="s">
        <v>257</v>
      </c>
      <c r="B10" s="7" t="s">
        <v>242</v>
      </c>
      <c r="C10" s="14" t="s">
        <v>246</v>
      </c>
      <c r="D10" s="7" t="s">
        <v>884</v>
      </c>
      <c r="E10" s="7" t="s">
        <v>885</v>
      </c>
      <c r="F10" s="7" t="s">
        <v>872</v>
      </c>
      <c r="G10" s="7" t="s">
        <v>886</v>
      </c>
    </row>
    <row r="11" customFormat="false" ht="15" hidden="false" customHeight="true" outlineLevel="0" collapsed="false">
      <c r="A11" s="7" t="s">
        <v>259</v>
      </c>
      <c r="B11" s="7" t="s">
        <v>242</v>
      </c>
      <c r="C11" s="14" t="s">
        <v>246</v>
      </c>
      <c r="D11" s="7" t="s">
        <v>887</v>
      </c>
      <c r="E11" s="7" t="s">
        <v>888</v>
      </c>
      <c r="F11" s="7" t="s">
        <v>872</v>
      </c>
      <c r="G11" s="7" t="s">
        <v>889</v>
      </c>
    </row>
    <row r="12" customFormat="false" ht="15" hidden="false" customHeight="true" outlineLevel="0" collapsed="false">
      <c r="A12" s="7" t="s">
        <v>261</v>
      </c>
      <c r="B12" s="7" t="s">
        <v>242</v>
      </c>
      <c r="C12" s="14" t="s">
        <v>246</v>
      </c>
      <c r="D12" s="7" t="s">
        <v>870</v>
      </c>
      <c r="E12" s="7" t="s">
        <v>871</v>
      </c>
      <c r="F12" s="7" t="s">
        <v>872</v>
      </c>
      <c r="G12" s="7" t="s">
        <v>890</v>
      </c>
    </row>
    <row r="13" customFormat="false" ht="15" hidden="false" customHeight="true" outlineLevel="0" collapsed="false">
      <c r="A13" s="7" t="s">
        <v>264</v>
      </c>
      <c r="B13" s="7" t="s">
        <v>242</v>
      </c>
      <c r="C13" s="14" t="s">
        <v>246</v>
      </c>
      <c r="D13" s="7" t="s">
        <v>891</v>
      </c>
      <c r="E13" s="7" t="s">
        <v>892</v>
      </c>
      <c r="F13" s="7" t="s">
        <v>872</v>
      </c>
      <c r="G13" s="7" t="s">
        <v>893</v>
      </c>
    </row>
    <row r="14" customFormat="false" ht="15" hidden="false" customHeight="true" outlineLevel="0" collapsed="false">
      <c r="A14" s="7" t="s">
        <v>266</v>
      </c>
      <c r="B14" s="7" t="s">
        <v>242</v>
      </c>
      <c r="C14" s="14" t="s">
        <v>246</v>
      </c>
      <c r="D14" s="7" t="s">
        <v>894</v>
      </c>
      <c r="E14" s="7" t="s">
        <v>876</v>
      </c>
      <c r="F14" s="7" t="s">
        <v>872</v>
      </c>
      <c r="G14" s="7" t="s">
        <v>895</v>
      </c>
    </row>
    <row r="15" customFormat="false" ht="15" hidden="false" customHeight="true" outlineLevel="0" collapsed="false">
      <c r="A15" s="7" t="s">
        <v>268</v>
      </c>
      <c r="B15" s="7" t="s">
        <v>269</v>
      </c>
      <c r="C15" s="14" t="s">
        <v>246</v>
      </c>
      <c r="D15" s="7" t="s">
        <v>896</v>
      </c>
      <c r="E15" s="7" t="s">
        <v>897</v>
      </c>
      <c r="F15" s="7" t="s">
        <v>872</v>
      </c>
      <c r="G15" s="7" t="s">
        <v>898</v>
      </c>
    </row>
    <row r="16" customFormat="false" ht="15" hidden="false" customHeight="true" outlineLevel="0" collapsed="false">
      <c r="A16" s="7" t="s">
        <v>271</v>
      </c>
      <c r="B16" s="7" t="s">
        <v>269</v>
      </c>
      <c r="C16" s="14" t="s">
        <v>246</v>
      </c>
      <c r="D16" s="7" t="s">
        <v>896</v>
      </c>
      <c r="E16" s="7" t="s">
        <v>897</v>
      </c>
      <c r="F16" s="7" t="s">
        <v>872</v>
      </c>
      <c r="G16" s="7" t="s">
        <v>899</v>
      </c>
    </row>
    <row r="17" customFormat="false" ht="15" hidden="false" customHeight="true" outlineLevel="0" collapsed="false">
      <c r="A17" s="7" t="s">
        <v>273</v>
      </c>
      <c r="B17" s="7" t="s">
        <v>269</v>
      </c>
      <c r="C17" s="14" t="s">
        <v>246</v>
      </c>
      <c r="D17" s="7" t="s">
        <v>896</v>
      </c>
      <c r="E17" s="7" t="s">
        <v>897</v>
      </c>
      <c r="F17" s="7" t="s">
        <v>872</v>
      </c>
      <c r="G17" s="7" t="s">
        <v>900</v>
      </c>
    </row>
    <row r="18" customFormat="false" ht="23.25" hidden="false" customHeight="true" outlineLevel="0" collapsed="false">
      <c r="A18" s="7" t="s">
        <v>275</v>
      </c>
      <c r="B18" s="7" t="s">
        <v>269</v>
      </c>
      <c r="C18" s="14" t="s">
        <v>246</v>
      </c>
      <c r="D18" s="7" t="s">
        <v>901</v>
      </c>
      <c r="E18" s="7" t="s">
        <v>902</v>
      </c>
      <c r="F18" s="7" t="s">
        <v>872</v>
      </c>
      <c r="G18" s="7" t="s">
        <v>903</v>
      </c>
    </row>
    <row r="19" customFormat="false" ht="15" hidden="false" customHeight="true" outlineLevel="0" collapsed="false">
      <c r="A19" s="7" t="s">
        <v>277</v>
      </c>
      <c r="B19" s="7" t="s">
        <v>269</v>
      </c>
      <c r="C19" s="14" t="s">
        <v>246</v>
      </c>
      <c r="D19" s="7" t="s">
        <v>881</v>
      </c>
      <c r="E19" s="7" t="s">
        <v>882</v>
      </c>
      <c r="F19" s="7" t="s">
        <v>872</v>
      </c>
      <c r="G19" s="7" t="s">
        <v>904</v>
      </c>
    </row>
    <row r="20" customFormat="false" ht="15" hidden="false" customHeight="true" outlineLevel="0" collapsed="false">
      <c r="A20" s="7" t="s">
        <v>280</v>
      </c>
      <c r="B20" s="7" t="s">
        <v>269</v>
      </c>
      <c r="C20" s="14" t="s">
        <v>246</v>
      </c>
      <c r="D20" s="7" t="s">
        <v>884</v>
      </c>
      <c r="E20" s="7" t="s">
        <v>885</v>
      </c>
      <c r="F20" s="7" t="s">
        <v>872</v>
      </c>
      <c r="G20" s="7" t="s">
        <v>905</v>
      </c>
    </row>
    <row r="21" customFormat="false" ht="15" hidden="false" customHeight="true" outlineLevel="0" collapsed="false">
      <c r="A21" s="7" t="s">
        <v>282</v>
      </c>
      <c r="B21" s="7" t="s">
        <v>269</v>
      </c>
      <c r="C21" s="14" t="s">
        <v>246</v>
      </c>
      <c r="D21" s="7" t="s">
        <v>887</v>
      </c>
      <c r="E21" s="7" t="s">
        <v>888</v>
      </c>
      <c r="F21" s="7" t="s">
        <v>872</v>
      </c>
      <c r="G21" s="7" t="s">
        <v>906</v>
      </c>
    </row>
    <row r="22" customFormat="false" ht="15" hidden="false" customHeight="true" outlineLevel="0" collapsed="false">
      <c r="A22" s="7" t="s">
        <v>284</v>
      </c>
      <c r="B22" s="7" t="s">
        <v>269</v>
      </c>
      <c r="C22" s="14" t="s">
        <v>246</v>
      </c>
      <c r="D22" s="7" t="s">
        <v>907</v>
      </c>
      <c r="E22" s="7" t="s">
        <v>876</v>
      </c>
      <c r="F22" s="7" t="s">
        <v>872</v>
      </c>
      <c r="G22" s="7" t="s">
        <v>908</v>
      </c>
    </row>
    <row r="23" customFormat="false" ht="15" hidden="false" customHeight="true" outlineLevel="0" collapsed="false">
      <c r="A23" s="7" t="s">
        <v>286</v>
      </c>
      <c r="B23" s="7" t="s">
        <v>269</v>
      </c>
      <c r="C23" s="14" t="s">
        <v>246</v>
      </c>
      <c r="D23" s="7" t="s">
        <v>891</v>
      </c>
      <c r="E23" s="7" t="s">
        <v>892</v>
      </c>
      <c r="F23" s="7" t="s">
        <v>872</v>
      </c>
      <c r="G23" s="7" t="s">
        <v>893</v>
      </c>
    </row>
    <row r="24" customFormat="false" ht="15" hidden="false" customHeight="true" outlineLevel="0" collapsed="false">
      <c r="A24" s="7" t="s">
        <v>288</v>
      </c>
      <c r="B24" s="7" t="s">
        <v>269</v>
      </c>
      <c r="C24" s="14" t="s">
        <v>246</v>
      </c>
      <c r="D24" s="7" t="s">
        <v>894</v>
      </c>
      <c r="E24" s="7" t="s">
        <v>909</v>
      </c>
      <c r="F24" s="7" t="s">
        <v>872</v>
      </c>
      <c r="G24" s="7" t="s">
        <v>910</v>
      </c>
    </row>
    <row r="25" customFormat="false" ht="15" hidden="false" customHeight="true" outlineLevel="0" collapsed="false">
      <c r="A25" s="7" t="s">
        <v>290</v>
      </c>
      <c r="B25" s="7" t="s">
        <v>291</v>
      </c>
      <c r="C25" s="14" t="s">
        <v>246</v>
      </c>
      <c r="D25" s="7" t="s">
        <v>911</v>
      </c>
      <c r="E25" s="7" t="s">
        <v>912</v>
      </c>
      <c r="F25" s="7" t="s">
        <v>872</v>
      </c>
      <c r="G25" s="7" t="s">
        <v>913</v>
      </c>
    </row>
    <row r="26" customFormat="false" ht="15" hidden="false" customHeight="true" outlineLevel="0" collapsed="false">
      <c r="A26" s="7" t="s">
        <v>294</v>
      </c>
      <c r="B26" s="7" t="s">
        <v>291</v>
      </c>
      <c r="C26" s="14" t="s">
        <v>246</v>
      </c>
      <c r="D26" s="7" t="s">
        <v>911</v>
      </c>
      <c r="E26" s="7" t="s">
        <v>912</v>
      </c>
      <c r="F26" s="7" t="s">
        <v>872</v>
      </c>
      <c r="G26" s="7" t="s">
        <v>914</v>
      </c>
    </row>
    <row r="27" customFormat="false" ht="15" hidden="false" customHeight="true" outlineLevel="0" collapsed="false">
      <c r="A27" s="7" t="s">
        <v>297</v>
      </c>
      <c r="B27" s="7" t="s">
        <v>291</v>
      </c>
      <c r="C27" s="14" t="s">
        <v>246</v>
      </c>
      <c r="D27" s="7" t="s">
        <v>911</v>
      </c>
      <c r="E27" s="7" t="s">
        <v>912</v>
      </c>
      <c r="F27" s="7" t="s">
        <v>872</v>
      </c>
      <c r="G27" s="7" t="s">
        <v>915</v>
      </c>
    </row>
    <row r="28" customFormat="false" ht="15" hidden="false" customHeight="true" outlineLevel="0" collapsed="false">
      <c r="A28" s="7" t="s">
        <v>299</v>
      </c>
      <c r="B28" s="7" t="s">
        <v>291</v>
      </c>
      <c r="C28" s="14" t="s">
        <v>246</v>
      </c>
      <c r="D28" s="7" t="s">
        <v>911</v>
      </c>
      <c r="E28" s="7" t="s">
        <v>912</v>
      </c>
      <c r="F28" s="7" t="s">
        <v>872</v>
      </c>
      <c r="G28" s="7" t="s">
        <v>916</v>
      </c>
    </row>
    <row r="29" customFormat="false" ht="15" hidden="false" customHeight="true" outlineLevel="0" collapsed="false">
      <c r="A29" s="7" t="s">
        <v>302</v>
      </c>
      <c r="B29" s="7" t="s">
        <v>291</v>
      </c>
      <c r="C29" s="14" t="s">
        <v>246</v>
      </c>
      <c r="D29" s="7" t="s">
        <v>917</v>
      </c>
      <c r="E29" s="7" t="s">
        <v>882</v>
      </c>
      <c r="F29" s="7" t="s">
        <v>872</v>
      </c>
      <c r="G29" s="7" t="s">
        <v>918</v>
      </c>
    </row>
    <row r="30" customFormat="false" ht="15" hidden="false" customHeight="true" outlineLevel="0" collapsed="false">
      <c r="A30" s="7" t="s">
        <v>304</v>
      </c>
      <c r="B30" s="7" t="s">
        <v>291</v>
      </c>
      <c r="C30" s="14" t="s">
        <v>246</v>
      </c>
      <c r="D30" s="7" t="s">
        <v>884</v>
      </c>
      <c r="E30" s="7" t="s">
        <v>885</v>
      </c>
      <c r="F30" s="7" t="s">
        <v>872</v>
      </c>
      <c r="G30" s="7" t="s">
        <v>905</v>
      </c>
    </row>
    <row r="31" customFormat="false" ht="15" hidden="false" customHeight="true" outlineLevel="0" collapsed="false">
      <c r="A31" s="7" t="s">
        <v>306</v>
      </c>
      <c r="B31" s="7" t="s">
        <v>291</v>
      </c>
      <c r="C31" s="14" t="s">
        <v>246</v>
      </c>
      <c r="D31" s="7" t="s">
        <v>887</v>
      </c>
      <c r="E31" s="7" t="s">
        <v>888</v>
      </c>
      <c r="F31" s="7" t="s">
        <v>872</v>
      </c>
      <c r="G31" s="7" t="s">
        <v>919</v>
      </c>
    </row>
    <row r="32" customFormat="false" ht="15" hidden="false" customHeight="true" outlineLevel="0" collapsed="false">
      <c r="A32" s="7" t="s">
        <v>308</v>
      </c>
      <c r="B32" s="7" t="s">
        <v>291</v>
      </c>
      <c r="C32" s="14" t="s">
        <v>246</v>
      </c>
      <c r="D32" s="7" t="s">
        <v>911</v>
      </c>
      <c r="E32" s="7" t="s">
        <v>912</v>
      </c>
      <c r="F32" s="7" t="s">
        <v>872</v>
      </c>
      <c r="G32" s="7" t="s">
        <v>920</v>
      </c>
    </row>
    <row r="33" customFormat="false" ht="15" hidden="false" customHeight="true" outlineLevel="0" collapsed="false">
      <c r="A33" s="7" t="s">
        <v>310</v>
      </c>
      <c r="B33" s="7" t="s">
        <v>291</v>
      </c>
      <c r="C33" s="14" t="s">
        <v>246</v>
      </c>
      <c r="D33" s="7" t="s">
        <v>891</v>
      </c>
      <c r="E33" s="7" t="s">
        <v>892</v>
      </c>
      <c r="F33" s="7" t="s">
        <v>872</v>
      </c>
      <c r="G33" s="7" t="s">
        <v>893</v>
      </c>
    </row>
    <row r="34" customFormat="false" ht="15" hidden="false" customHeight="true" outlineLevel="0" collapsed="false">
      <c r="A34" s="7" t="s">
        <v>312</v>
      </c>
      <c r="B34" s="7" t="s">
        <v>291</v>
      </c>
      <c r="C34" s="14" t="s">
        <v>246</v>
      </c>
      <c r="D34" s="7" t="s">
        <v>911</v>
      </c>
      <c r="E34" s="7" t="s">
        <v>912</v>
      </c>
      <c r="F34" s="7" t="s">
        <v>872</v>
      </c>
      <c r="G34" s="7" t="s">
        <v>921</v>
      </c>
    </row>
    <row r="35" customFormat="false" ht="15" hidden="false" customHeight="true" outlineLevel="0" collapsed="false">
      <c r="A35" s="7" t="s">
        <v>314</v>
      </c>
      <c r="B35" s="7" t="s">
        <v>315</v>
      </c>
      <c r="C35" s="14" t="s">
        <v>246</v>
      </c>
      <c r="D35" s="7" t="s">
        <v>891</v>
      </c>
      <c r="E35" s="7" t="s">
        <v>892</v>
      </c>
      <c r="F35" s="7" t="s">
        <v>872</v>
      </c>
      <c r="G35" s="7" t="s">
        <v>922</v>
      </c>
    </row>
    <row r="36" customFormat="false" ht="15" hidden="false" customHeight="true" outlineLevel="0" collapsed="false">
      <c r="A36" s="7" t="s">
        <v>318</v>
      </c>
      <c r="B36" s="7" t="s">
        <v>315</v>
      </c>
      <c r="C36" s="14" t="s">
        <v>246</v>
      </c>
      <c r="D36" s="7" t="s">
        <v>891</v>
      </c>
      <c r="E36" s="7" t="s">
        <v>892</v>
      </c>
      <c r="F36" s="7" t="s">
        <v>872</v>
      </c>
      <c r="G36" s="7" t="s">
        <v>923</v>
      </c>
    </row>
    <row r="37" customFormat="false" ht="15" hidden="false" customHeight="true" outlineLevel="0" collapsed="false">
      <c r="A37" s="7" t="s">
        <v>320</v>
      </c>
      <c r="B37" s="7" t="s">
        <v>315</v>
      </c>
      <c r="C37" s="14" t="s">
        <v>246</v>
      </c>
      <c r="D37" s="7" t="s">
        <v>924</v>
      </c>
      <c r="E37" s="7" t="s">
        <v>876</v>
      </c>
      <c r="F37" s="7" t="s">
        <v>872</v>
      </c>
      <c r="G37" s="7" t="s">
        <v>925</v>
      </c>
    </row>
    <row r="38" customFormat="false" ht="15" hidden="false" customHeight="true" outlineLevel="0" collapsed="false">
      <c r="A38" s="7" t="s">
        <v>322</v>
      </c>
      <c r="B38" s="7" t="s">
        <v>315</v>
      </c>
      <c r="C38" s="14" t="s">
        <v>246</v>
      </c>
      <c r="D38" s="7" t="s">
        <v>891</v>
      </c>
      <c r="E38" s="7" t="s">
        <v>892</v>
      </c>
      <c r="F38" s="7" t="s">
        <v>872</v>
      </c>
      <c r="G38" s="7" t="s">
        <v>926</v>
      </c>
    </row>
    <row r="39" customFormat="false" ht="15" hidden="false" customHeight="true" outlineLevel="0" collapsed="false">
      <c r="A39" s="7" t="s">
        <v>324</v>
      </c>
      <c r="B39" s="7" t="s">
        <v>315</v>
      </c>
      <c r="C39" s="14" t="s">
        <v>246</v>
      </c>
      <c r="D39" s="7" t="s">
        <v>917</v>
      </c>
      <c r="E39" s="7" t="s">
        <v>882</v>
      </c>
      <c r="F39" s="7" t="s">
        <v>872</v>
      </c>
      <c r="G39" s="7" t="s">
        <v>927</v>
      </c>
    </row>
    <row r="40" customFormat="false" ht="15" hidden="false" customHeight="true" outlineLevel="0" collapsed="false">
      <c r="A40" s="7" t="s">
        <v>326</v>
      </c>
      <c r="B40" s="7" t="s">
        <v>315</v>
      </c>
      <c r="C40" s="14" t="s">
        <v>246</v>
      </c>
      <c r="D40" s="7" t="s">
        <v>884</v>
      </c>
      <c r="E40" s="7" t="s">
        <v>885</v>
      </c>
      <c r="F40" s="7" t="s">
        <v>872</v>
      </c>
      <c r="G40" s="7" t="s">
        <v>905</v>
      </c>
    </row>
    <row r="41" customFormat="false" ht="15" hidden="false" customHeight="true" outlineLevel="0" collapsed="false">
      <c r="A41" s="7" t="s">
        <v>328</v>
      </c>
      <c r="B41" s="7" t="s">
        <v>315</v>
      </c>
      <c r="C41" s="14" t="s">
        <v>246</v>
      </c>
      <c r="D41" s="7" t="s">
        <v>887</v>
      </c>
      <c r="E41" s="7" t="s">
        <v>888</v>
      </c>
      <c r="F41" s="7" t="s">
        <v>872</v>
      </c>
      <c r="G41" s="7" t="s">
        <v>928</v>
      </c>
    </row>
    <row r="42" customFormat="false" ht="15" hidden="false" customHeight="true" outlineLevel="0" collapsed="false">
      <c r="A42" s="7" t="s">
        <v>330</v>
      </c>
      <c r="B42" s="7" t="s">
        <v>315</v>
      </c>
      <c r="C42" s="14" t="s">
        <v>246</v>
      </c>
      <c r="D42" s="7" t="s">
        <v>907</v>
      </c>
      <c r="E42" s="7" t="s">
        <v>876</v>
      </c>
      <c r="F42" s="7" t="s">
        <v>872</v>
      </c>
      <c r="G42" s="7" t="s">
        <v>908</v>
      </c>
    </row>
    <row r="43" customFormat="false" ht="15" hidden="false" customHeight="true" outlineLevel="0" collapsed="false">
      <c r="A43" s="7" t="s">
        <v>332</v>
      </c>
      <c r="B43" s="7" t="s">
        <v>315</v>
      </c>
      <c r="C43" s="14" t="s">
        <v>246</v>
      </c>
      <c r="D43" s="7" t="s">
        <v>891</v>
      </c>
      <c r="E43" s="7" t="s">
        <v>892</v>
      </c>
      <c r="F43" s="7" t="s">
        <v>872</v>
      </c>
      <c r="G43" s="7" t="s">
        <v>893</v>
      </c>
    </row>
    <row r="44" customFormat="false" ht="15" hidden="false" customHeight="true" outlineLevel="0" collapsed="false">
      <c r="A44" s="7" t="s">
        <v>334</v>
      </c>
      <c r="B44" s="7" t="s">
        <v>315</v>
      </c>
      <c r="C44" s="14" t="s">
        <v>246</v>
      </c>
      <c r="D44" s="7" t="s">
        <v>894</v>
      </c>
      <c r="E44" s="7" t="s">
        <v>909</v>
      </c>
      <c r="F44" s="7" t="s">
        <v>872</v>
      </c>
      <c r="G44" s="7" t="s">
        <v>929</v>
      </c>
    </row>
    <row r="45" customFormat="false" ht="15" hidden="false" customHeight="true" outlineLevel="0" collapsed="false">
      <c r="A45" s="7" t="s">
        <v>336</v>
      </c>
      <c r="B45" s="7" t="s">
        <v>337</v>
      </c>
      <c r="C45" s="14" t="s">
        <v>246</v>
      </c>
      <c r="D45" s="7" t="s">
        <v>930</v>
      </c>
      <c r="E45" s="7" t="s">
        <v>931</v>
      </c>
      <c r="F45" s="7" t="s">
        <v>872</v>
      </c>
      <c r="G45" s="7" t="s">
        <v>932</v>
      </c>
    </row>
    <row r="46" customFormat="false" ht="15" hidden="false" customHeight="true" outlineLevel="0" collapsed="false">
      <c r="A46" s="7" t="s">
        <v>341</v>
      </c>
      <c r="B46" s="7" t="s">
        <v>337</v>
      </c>
      <c r="C46" s="14" t="s">
        <v>246</v>
      </c>
      <c r="D46" s="7" t="s">
        <v>930</v>
      </c>
      <c r="E46" s="7" t="s">
        <v>931</v>
      </c>
      <c r="F46" s="7" t="s">
        <v>872</v>
      </c>
      <c r="G46" s="7" t="s">
        <v>933</v>
      </c>
    </row>
    <row r="47" customFormat="false" ht="15" hidden="false" customHeight="true" outlineLevel="0" collapsed="false">
      <c r="A47" s="7" t="s">
        <v>344</v>
      </c>
      <c r="B47" s="7" t="s">
        <v>337</v>
      </c>
      <c r="C47" s="14" t="s">
        <v>246</v>
      </c>
      <c r="D47" s="7" t="s">
        <v>930</v>
      </c>
      <c r="E47" s="7" t="s">
        <v>931</v>
      </c>
      <c r="F47" s="7" t="s">
        <v>872</v>
      </c>
      <c r="G47" s="7" t="s">
        <v>934</v>
      </c>
    </row>
    <row r="48" customFormat="false" ht="15" hidden="false" customHeight="true" outlineLevel="0" collapsed="false">
      <c r="A48" s="7" t="s">
        <v>346</v>
      </c>
      <c r="B48" s="7" t="s">
        <v>337</v>
      </c>
      <c r="C48" s="14" t="s">
        <v>246</v>
      </c>
      <c r="D48" s="7" t="s">
        <v>930</v>
      </c>
      <c r="E48" s="7" t="s">
        <v>931</v>
      </c>
      <c r="F48" s="7" t="s">
        <v>872</v>
      </c>
      <c r="G48" s="7" t="s">
        <v>935</v>
      </c>
    </row>
    <row r="49" customFormat="false" ht="15" hidden="false" customHeight="true" outlineLevel="0" collapsed="false">
      <c r="A49" s="7" t="s">
        <v>349</v>
      </c>
      <c r="B49" s="7" t="s">
        <v>337</v>
      </c>
      <c r="C49" s="14" t="s">
        <v>246</v>
      </c>
      <c r="D49" s="7" t="s">
        <v>917</v>
      </c>
      <c r="E49" s="7" t="s">
        <v>882</v>
      </c>
      <c r="F49" s="7" t="s">
        <v>872</v>
      </c>
      <c r="G49" s="7" t="s">
        <v>936</v>
      </c>
    </row>
    <row r="50" customFormat="false" ht="15" hidden="false" customHeight="true" outlineLevel="0" collapsed="false">
      <c r="A50" s="7" t="s">
        <v>351</v>
      </c>
      <c r="B50" s="7" t="s">
        <v>337</v>
      </c>
      <c r="C50" s="14" t="s">
        <v>246</v>
      </c>
      <c r="D50" s="7" t="s">
        <v>884</v>
      </c>
      <c r="E50" s="7" t="s">
        <v>885</v>
      </c>
      <c r="F50" s="7" t="s">
        <v>872</v>
      </c>
      <c r="G50" s="7" t="s">
        <v>905</v>
      </c>
    </row>
    <row r="51" customFormat="false" ht="15" hidden="false" customHeight="true" outlineLevel="0" collapsed="false">
      <c r="A51" s="7" t="s">
        <v>353</v>
      </c>
      <c r="B51" s="7" t="s">
        <v>337</v>
      </c>
      <c r="C51" s="14" t="s">
        <v>246</v>
      </c>
      <c r="D51" s="7" t="s">
        <v>887</v>
      </c>
      <c r="E51" s="7" t="s">
        <v>888</v>
      </c>
      <c r="F51" s="7" t="s">
        <v>872</v>
      </c>
      <c r="G51" s="7" t="s">
        <v>937</v>
      </c>
    </row>
    <row r="52" customFormat="false" ht="15" hidden="false" customHeight="true" outlineLevel="0" collapsed="false">
      <c r="A52" s="7" t="s">
        <v>355</v>
      </c>
      <c r="B52" s="7" t="s">
        <v>337</v>
      </c>
      <c r="C52" s="14" t="s">
        <v>246</v>
      </c>
      <c r="D52" s="7" t="s">
        <v>930</v>
      </c>
      <c r="E52" s="7" t="s">
        <v>931</v>
      </c>
      <c r="F52" s="7" t="s">
        <v>872</v>
      </c>
      <c r="G52" s="7" t="s">
        <v>938</v>
      </c>
    </row>
    <row r="53" customFormat="false" ht="15" hidden="false" customHeight="true" outlineLevel="0" collapsed="false">
      <c r="A53" s="7" t="s">
        <v>357</v>
      </c>
      <c r="B53" s="7" t="s">
        <v>337</v>
      </c>
      <c r="C53" s="14" t="s">
        <v>246</v>
      </c>
      <c r="D53" s="7" t="s">
        <v>891</v>
      </c>
      <c r="E53" s="7" t="s">
        <v>892</v>
      </c>
      <c r="F53" s="7" t="s">
        <v>872</v>
      </c>
      <c r="G53" s="7" t="s">
        <v>893</v>
      </c>
    </row>
    <row r="54" customFormat="false" ht="15" hidden="false" customHeight="true" outlineLevel="0" collapsed="false">
      <c r="A54" s="7" t="s">
        <v>359</v>
      </c>
      <c r="B54" s="7" t="s">
        <v>337</v>
      </c>
      <c r="C54" s="14" t="s">
        <v>246</v>
      </c>
      <c r="D54" s="7" t="s">
        <v>894</v>
      </c>
      <c r="E54" s="7" t="s">
        <v>876</v>
      </c>
      <c r="F54" s="7" t="s">
        <v>872</v>
      </c>
      <c r="G54" s="7" t="s">
        <v>939</v>
      </c>
    </row>
    <row r="55" customFormat="false" ht="23.25" hidden="false" customHeight="true" outlineLevel="0" collapsed="false">
      <c r="A55" s="7" t="s">
        <v>361</v>
      </c>
      <c r="B55" s="7" t="s">
        <v>362</v>
      </c>
      <c r="C55" s="7" t="s">
        <v>365</v>
      </c>
      <c r="D55" s="7" t="s">
        <v>940</v>
      </c>
      <c r="E55" s="7" t="s">
        <v>941</v>
      </c>
      <c r="F55" s="7" t="s">
        <v>872</v>
      </c>
      <c r="G55" s="7" t="s">
        <v>942</v>
      </c>
    </row>
    <row r="56" customFormat="false" ht="23.25" hidden="false" customHeight="true" outlineLevel="0" collapsed="false">
      <c r="A56" s="7" t="s">
        <v>366</v>
      </c>
      <c r="B56" s="7" t="s">
        <v>362</v>
      </c>
      <c r="C56" s="7" t="s">
        <v>365</v>
      </c>
      <c r="D56" s="7" t="s">
        <v>940</v>
      </c>
      <c r="E56" s="7" t="s">
        <v>941</v>
      </c>
      <c r="F56" s="7" t="s">
        <v>872</v>
      </c>
      <c r="G56" s="7" t="s">
        <v>943</v>
      </c>
    </row>
    <row r="57" customFormat="false" ht="15" hidden="false" customHeight="true" outlineLevel="0" collapsed="false">
      <c r="A57" s="7" t="s">
        <v>368</v>
      </c>
      <c r="B57" s="7" t="s">
        <v>362</v>
      </c>
      <c r="C57" s="14" t="s">
        <v>246</v>
      </c>
      <c r="D57" s="7" t="s">
        <v>940</v>
      </c>
      <c r="E57" s="7" t="s">
        <v>941</v>
      </c>
      <c r="F57" s="7" t="s">
        <v>872</v>
      </c>
      <c r="G57" s="7" t="s">
        <v>944</v>
      </c>
    </row>
    <row r="58" customFormat="false" ht="15" hidden="false" customHeight="true" outlineLevel="0" collapsed="false">
      <c r="A58" s="7" t="s">
        <v>370</v>
      </c>
      <c r="B58" s="7" t="s">
        <v>362</v>
      </c>
      <c r="C58" s="14" t="s">
        <v>246</v>
      </c>
      <c r="D58" s="7" t="s">
        <v>887</v>
      </c>
      <c r="E58" s="7" t="s">
        <v>888</v>
      </c>
      <c r="F58" s="7" t="s">
        <v>872</v>
      </c>
      <c r="G58" s="7" t="s">
        <v>945</v>
      </c>
    </row>
    <row r="59" customFormat="false" ht="23.25" hidden="false" customHeight="true" outlineLevel="0" collapsed="false">
      <c r="A59" s="7" t="s">
        <v>372</v>
      </c>
      <c r="B59" s="7" t="s">
        <v>362</v>
      </c>
      <c r="C59" s="7" t="s">
        <v>365</v>
      </c>
      <c r="D59" s="7" t="s">
        <v>940</v>
      </c>
      <c r="E59" s="7" t="s">
        <v>941</v>
      </c>
      <c r="F59" s="7" t="s">
        <v>872</v>
      </c>
      <c r="G59" s="7" t="s">
        <v>946</v>
      </c>
    </row>
    <row r="60" customFormat="false" ht="15" hidden="false" customHeight="true" outlineLevel="0" collapsed="false">
      <c r="A60" s="7" t="s">
        <v>374</v>
      </c>
      <c r="B60" s="7" t="s">
        <v>362</v>
      </c>
      <c r="C60" s="14" t="s">
        <v>246</v>
      </c>
      <c r="D60" s="7" t="s">
        <v>940</v>
      </c>
      <c r="E60" s="7" t="s">
        <v>941</v>
      </c>
      <c r="F60" s="7" t="s">
        <v>872</v>
      </c>
      <c r="G60" s="7" t="s">
        <v>947</v>
      </c>
    </row>
    <row r="61" customFormat="false" ht="15" hidden="false" customHeight="true" outlineLevel="0" collapsed="false">
      <c r="A61" s="7" t="s">
        <v>376</v>
      </c>
      <c r="B61" s="7" t="s">
        <v>377</v>
      </c>
      <c r="C61" s="14" t="s">
        <v>246</v>
      </c>
      <c r="D61" s="7" t="s">
        <v>948</v>
      </c>
      <c r="E61" s="7" t="s">
        <v>949</v>
      </c>
      <c r="F61" s="7" t="s">
        <v>872</v>
      </c>
      <c r="G61" s="7" t="s">
        <v>950</v>
      </c>
    </row>
    <row r="62" customFormat="false" ht="15" hidden="false" customHeight="true" outlineLevel="0" collapsed="false">
      <c r="A62" s="7" t="s">
        <v>379</v>
      </c>
      <c r="B62" s="7" t="s">
        <v>377</v>
      </c>
      <c r="C62" s="14" t="s">
        <v>246</v>
      </c>
      <c r="D62" s="7" t="s">
        <v>948</v>
      </c>
      <c r="E62" s="7" t="s">
        <v>949</v>
      </c>
      <c r="F62" s="7" t="s">
        <v>872</v>
      </c>
      <c r="G62" s="7" t="s">
        <v>951</v>
      </c>
    </row>
    <row r="63" customFormat="false" ht="23.25" hidden="false" customHeight="true" outlineLevel="0" collapsed="false">
      <c r="A63" s="7" t="s">
        <v>381</v>
      </c>
      <c r="B63" s="7" t="s">
        <v>377</v>
      </c>
      <c r="C63" s="7" t="s">
        <v>365</v>
      </c>
      <c r="D63" s="7" t="s">
        <v>948</v>
      </c>
      <c r="E63" s="7" t="s">
        <v>949</v>
      </c>
      <c r="F63" s="7" t="s">
        <v>872</v>
      </c>
      <c r="G63" s="7" t="s">
        <v>952</v>
      </c>
    </row>
    <row r="64" customFormat="false" ht="15" hidden="false" customHeight="true" outlineLevel="0" collapsed="false">
      <c r="A64" s="7" t="s">
        <v>383</v>
      </c>
      <c r="B64" s="7" t="s">
        <v>377</v>
      </c>
      <c r="C64" s="14" t="s">
        <v>246</v>
      </c>
      <c r="D64" s="7" t="s">
        <v>948</v>
      </c>
      <c r="E64" s="7" t="s">
        <v>949</v>
      </c>
      <c r="F64" s="7" t="s">
        <v>872</v>
      </c>
      <c r="G64" s="7" t="s">
        <v>953</v>
      </c>
    </row>
    <row r="65" customFormat="false" ht="15" hidden="false" customHeight="true" outlineLevel="0" collapsed="false">
      <c r="A65" s="7" t="s">
        <v>387</v>
      </c>
      <c r="B65" s="7" t="s">
        <v>377</v>
      </c>
      <c r="C65" s="14" t="s">
        <v>246</v>
      </c>
      <c r="D65" s="7" t="s">
        <v>948</v>
      </c>
      <c r="E65" s="7" t="s">
        <v>949</v>
      </c>
      <c r="F65" s="7" t="s">
        <v>872</v>
      </c>
      <c r="G65" s="7" t="s">
        <v>954</v>
      </c>
    </row>
    <row r="66" customFormat="false" ht="15" hidden="false" customHeight="true" outlineLevel="0" collapsed="false">
      <c r="A66" s="7" t="s">
        <v>390</v>
      </c>
      <c r="B66" s="7" t="s">
        <v>377</v>
      </c>
      <c r="C66" s="14" t="s">
        <v>246</v>
      </c>
      <c r="D66" s="7" t="s">
        <v>948</v>
      </c>
      <c r="E66" s="7" t="s">
        <v>949</v>
      </c>
      <c r="F66" s="7" t="s">
        <v>872</v>
      </c>
      <c r="G66" s="7" t="s">
        <v>955</v>
      </c>
    </row>
    <row r="67" customFormat="false" ht="15" hidden="false" customHeight="true" outlineLevel="0" collapsed="false">
      <c r="A67" s="7" t="s">
        <v>392</v>
      </c>
      <c r="B67" s="7" t="s">
        <v>377</v>
      </c>
      <c r="C67" s="14" t="s">
        <v>246</v>
      </c>
      <c r="D67" s="7" t="s">
        <v>948</v>
      </c>
      <c r="E67" s="7" t="s">
        <v>949</v>
      </c>
      <c r="F67" s="7" t="s">
        <v>872</v>
      </c>
      <c r="G67" s="7" t="s">
        <v>956</v>
      </c>
    </row>
    <row r="68" customFormat="false" ht="15" hidden="false" customHeight="true" outlineLevel="0" collapsed="false">
      <c r="A68" s="7" t="s">
        <v>394</v>
      </c>
      <c r="B68" s="7" t="s">
        <v>395</v>
      </c>
      <c r="C68" s="14" t="s">
        <v>246</v>
      </c>
      <c r="D68" s="7" t="s">
        <v>957</v>
      </c>
      <c r="E68" s="7" t="s">
        <v>958</v>
      </c>
      <c r="F68" s="7" t="s">
        <v>872</v>
      </c>
      <c r="G68" s="7" t="s">
        <v>959</v>
      </c>
    </row>
    <row r="69" customFormat="false" ht="23.25" hidden="false" customHeight="true" outlineLevel="0" collapsed="false">
      <c r="A69" s="7" t="s">
        <v>397</v>
      </c>
      <c r="B69" s="7" t="s">
        <v>395</v>
      </c>
      <c r="C69" s="14" t="s">
        <v>246</v>
      </c>
      <c r="D69" s="7" t="s">
        <v>960</v>
      </c>
      <c r="E69" s="7" t="s">
        <v>961</v>
      </c>
      <c r="F69" s="7" t="s">
        <v>872</v>
      </c>
      <c r="G69" s="7" t="s">
        <v>962</v>
      </c>
    </row>
    <row r="70" customFormat="false" ht="15" hidden="false" customHeight="true" outlineLevel="0" collapsed="false">
      <c r="A70" s="7" t="s">
        <v>399</v>
      </c>
      <c r="B70" s="7" t="s">
        <v>395</v>
      </c>
      <c r="C70" s="7" t="s">
        <v>365</v>
      </c>
      <c r="D70" s="7" t="s">
        <v>32</v>
      </c>
      <c r="E70" s="7" t="s">
        <v>963</v>
      </c>
      <c r="F70" s="7" t="s">
        <v>964</v>
      </c>
      <c r="G70" s="7" t="s">
        <v>965</v>
      </c>
    </row>
    <row r="71" customFormat="false" ht="15" hidden="false" customHeight="true" outlineLevel="0" collapsed="false">
      <c r="A71" s="7" t="s">
        <v>401</v>
      </c>
      <c r="B71" s="7" t="s">
        <v>395</v>
      </c>
      <c r="C71" s="14" t="s">
        <v>246</v>
      </c>
      <c r="D71" s="7" t="s">
        <v>887</v>
      </c>
      <c r="E71" s="7" t="s">
        <v>888</v>
      </c>
      <c r="F71" s="7" t="s">
        <v>872</v>
      </c>
      <c r="G71" s="7" t="s">
        <v>966</v>
      </c>
    </row>
    <row r="72" customFormat="false" ht="15" hidden="false" customHeight="true" outlineLevel="0" collapsed="false">
      <c r="A72" s="7" t="s">
        <v>403</v>
      </c>
      <c r="B72" s="7" t="s">
        <v>395</v>
      </c>
      <c r="C72" s="7" t="s">
        <v>406</v>
      </c>
      <c r="D72" s="7" t="s">
        <v>32</v>
      </c>
      <c r="E72" s="7" t="s">
        <v>967</v>
      </c>
      <c r="F72" s="7" t="s">
        <v>139</v>
      </c>
      <c r="G72" s="7" t="s">
        <v>968</v>
      </c>
    </row>
    <row r="73" customFormat="false" ht="15" hidden="false" customHeight="true" outlineLevel="0" collapsed="false">
      <c r="A73" s="7" t="s">
        <v>407</v>
      </c>
      <c r="B73" s="7" t="s">
        <v>395</v>
      </c>
      <c r="C73" s="14" t="s">
        <v>246</v>
      </c>
      <c r="D73" s="7" t="s">
        <v>957</v>
      </c>
      <c r="E73" s="7" t="s">
        <v>958</v>
      </c>
      <c r="F73" s="7" t="s">
        <v>872</v>
      </c>
      <c r="G73" s="7" t="s">
        <v>969</v>
      </c>
    </row>
    <row r="74" customFormat="false" ht="15" hidden="false" customHeight="true" outlineLevel="0" collapsed="false">
      <c r="A74" s="7" t="s">
        <v>409</v>
      </c>
      <c r="B74" s="7" t="s">
        <v>395</v>
      </c>
      <c r="C74" s="14" t="s">
        <v>246</v>
      </c>
      <c r="D74" s="7" t="s">
        <v>957</v>
      </c>
      <c r="E74" s="7" t="s">
        <v>958</v>
      </c>
      <c r="F74" s="7" t="s">
        <v>872</v>
      </c>
      <c r="G74" s="7" t="s">
        <v>970</v>
      </c>
    </row>
    <row r="75" customFormat="false" ht="15" hidden="false" customHeight="true" outlineLevel="0" collapsed="false">
      <c r="A75" s="7" t="s">
        <v>411</v>
      </c>
      <c r="B75" s="7" t="s">
        <v>412</v>
      </c>
      <c r="C75" s="14" t="s">
        <v>246</v>
      </c>
      <c r="D75" s="7" t="s">
        <v>971</v>
      </c>
      <c r="E75" s="7" t="s">
        <v>972</v>
      </c>
      <c r="F75" s="7" t="s">
        <v>872</v>
      </c>
      <c r="G75" s="7" t="s">
        <v>973</v>
      </c>
    </row>
    <row r="76" customFormat="false" ht="15" hidden="false" customHeight="true" outlineLevel="0" collapsed="false">
      <c r="A76" s="7" t="s">
        <v>414</v>
      </c>
      <c r="B76" s="7" t="s">
        <v>412</v>
      </c>
      <c r="C76" s="14" t="s">
        <v>246</v>
      </c>
      <c r="D76" s="7" t="s">
        <v>971</v>
      </c>
      <c r="E76" s="7" t="s">
        <v>972</v>
      </c>
      <c r="F76" s="7" t="s">
        <v>872</v>
      </c>
      <c r="G76" s="7" t="s">
        <v>974</v>
      </c>
    </row>
    <row r="77" customFormat="false" ht="15" hidden="false" customHeight="true" outlineLevel="0" collapsed="false">
      <c r="A77" s="7" t="s">
        <v>416</v>
      </c>
      <c r="B77" s="7" t="s">
        <v>412</v>
      </c>
      <c r="C77" s="14" t="s">
        <v>246</v>
      </c>
      <c r="D77" s="7" t="s">
        <v>971</v>
      </c>
      <c r="E77" s="7" t="s">
        <v>972</v>
      </c>
      <c r="F77" s="7" t="s">
        <v>872</v>
      </c>
      <c r="G77" s="7" t="s">
        <v>975</v>
      </c>
    </row>
    <row r="78" customFormat="false" ht="15" hidden="false" customHeight="true" outlineLevel="0" collapsed="false">
      <c r="A78" s="7" t="s">
        <v>418</v>
      </c>
      <c r="B78" s="7" t="s">
        <v>412</v>
      </c>
      <c r="C78" s="14" t="s">
        <v>246</v>
      </c>
      <c r="D78" s="7" t="s">
        <v>971</v>
      </c>
      <c r="E78" s="7" t="s">
        <v>972</v>
      </c>
      <c r="F78" s="7" t="s">
        <v>872</v>
      </c>
      <c r="G78" s="7" t="s">
        <v>976</v>
      </c>
    </row>
    <row r="79" customFormat="false" ht="15" hidden="false" customHeight="true" outlineLevel="0" collapsed="false">
      <c r="A79" s="7" t="s">
        <v>420</v>
      </c>
      <c r="B79" s="7" t="s">
        <v>412</v>
      </c>
      <c r="C79" s="14" t="s">
        <v>246</v>
      </c>
      <c r="D79" s="7" t="s">
        <v>971</v>
      </c>
      <c r="E79" s="7" t="s">
        <v>972</v>
      </c>
      <c r="F79" s="7" t="s">
        <v>872</v>
      </c>
      <c r="G79" s="7" t="s">
        <v>977</v>
      </c>
    </row>
    <row r="80" customFormat="false" ht="15" hidden="false" customHeight="true" outlineLevel="0" collapsed="false">
      <c r="A80" s="7" t="s">
        <v>422</v>
      </c>
      <c r="B80" s="7" t="s">
        <v>412</v>
      </c>
      <c r="C80" s="14" t="s">
        <v>246</v>
      </c>
      <c r="D80" s="7" t="s">
        <v>971</v>
      </c>
      <c r="E80" s="7" t="s">
        <v>972</v>
      </c>
      <c r="F80" s="7" t="s">
        <v>872</v>
      </c>
      <c r="G80" s="7" t="s">
        <v>978</v>
      </c>
    </row>
    <row r="81" customFormat="false" ht="15" hidden="false" customHeight="true" outlineLevel="0" collapsed="false">
      <c r="A81" s="7" t="s">
        <v>424</v>
      </c>
      <c r="B81" s="7" t="s">
        <v>412</v>
      </c>
      <c r="C81" s="14" t="s">
        <v>246</v>
      </c>
      <c r="D81" s="7" t="s">
        <v>971</v>
      </c>
      <c r="E81" s="7" t="s">
        <v>972</v>
      </c>
      <c r="F81" s="7" t="s">
        <v>872</v>
      </c>
      <c r="G81" s="7" t="s">
        <v>979</v>
      </c>
    </row>
    <row r="82" customFormat="false" ht="15" hidden="false" customHeight="true" outlineLevel="0" collapsed="false">
      <c r="A82" s="7" t="s">
        <v>426</v>
      </c>
      <c r="B82" s="7" t="s">
        <v>427</v>
      </c>
      <c r="C82" s="14" t="s">
        <v>246</v>
      </c>
      <c r="D82" s="7" t="s">
        <v>980</v>
      </c>
      <c r="E82" s="7" t="s">
        <v>981</v>
      </c>
      <c r="F82" s="7" t="s">
        <v>872</v>
      </c>
      <c r="G82" s="7" t="s">
        <v>982</v>
      </c>
    </row>
    <row r="83" customFormat="false" ht="15" hidden="false" customHeight="true" outlineLevel="0" collapsed="false">
      <c r="A83" s="7" t="s">
        <v>429</v>
      </c>
      <c r="B83" s="7" t="s">
        <v>427</v>
      </c>
      <c r="C83" s="14" t="s">
        <v>246</v>
      </c>
      <c r="D83" s="7" t="s">
        <v>980</v>
      </c>
      <c r="E83" s="7" t="s">
        <v>981</v>
      </c>
      <c r="F83" s="7" t="s">
        <v>872</v>
      </c>
      <c r="G83" s="7" t="s">
        <v>983</v>
      </c>
    </row>
    <row r="84" customFormat="false" ht="15" hidden="false" customHeight="true" outlineLevel="0" collapsed="false">
      <c r="A84" s="7" t="s">
        <v>431</v>
      </c>
      <c r="B84" s="7" t="s">
        <v>427</v>
      </c>
      <c r="C84" s="7" t="s">
        <v>365</v>
      </c>
      <c r="D84" s="7" t="s">
        <v>38</v>
      </c>
      <c r="E84" s="7" t="s">
        <v>984</v>
      </c>
      <c r="F84" s="7" t="s">
        <v>139</v>
      </c>
      <c r="G84" s="7" t="s">
        <v>985</v>
      </c>
    </row>
    <row r="85" customFormat="false" ht="15" hidden="false" customHeight="true" outlineLevel="0" collapsed="false">
      <c r="A85" s="7" t="s">
        <v>434</v>
      </c>
      <c r="B85" s="7" t="s">
        <v>427</v>
      </c>
      <c r="C85" s="7" t="s">
        <v>365</v>
      </c>
      <c r="D85" s="7" t="s">
        <v>38</v>
      </c>
      <c r="E85" s="7" t="s">
        <v>986</v>
      </c>
      <c r="F85" s="7" t="s">
        <v>139</v>
      </c>
      <c r="G85" s="7" t="s">
        <v>987</v>
      </c>
    </row>
    <row r="86" customFormat="false" ht="15" hidden="false" customHeight="true" outlineLevel="0" collapsed="false">
      <c r="A86" s="7" t="s">
        <v>436</v>
      </c>
      <c r="B86" s="7" t="s">
        <v>427</v>
      </c>
      <c r="C86" s="14" t="s">
        <v>246</v>
      </c>
      <c r="D86" s="7" t="s">
        <v>980</v>
      </c>
      <c r="E86" s="7" t="s">
        <v>981</v>
      </c>
      <c r="F86" s="7" t="s">
        <v>872</v>
      </c>
      <c r="G86" s="7" t="s">
        <v>988</v>
      </c>
    </row>
    <row r="87" customFormat="false" ht="15" hidden="false" customHeight="true" outlineLevel="0" collapsed="false">
      <c r="A87" s="7" t="s">
        <v>439</v>
      </c>
      <c r="B87" s="7" t="s">
        <v>427</v>
      </c>
      <c r="C87" s="7" t="s">
        <v>441</v>
      </c>
      <c r="D87" s="7" t="s">
        <v>989</v>
      </c>
      <c r="E87" s="7" t="s">
        <v>909</v>
      </c>
      <c r="F87" s="7" t="s">
        <v>872</v>
      </c>
      <c r="G87" s="7" t="s">
        <v>990</v>
      </c>
    </row>
    <row r="88" customFormat="false" ht="15" hidden="false" customHeight="true" outlineLevel="0" collapsed="false">
      <c r="A88" s="7" t="s">
        <v>442</v>
      </c>
      <c r="B88" s="7" t="s">
        <v>427</v>
      </c>
      <c r="C88" s="14" t="s">
        <v>246</v>
      </c>
      <c r="D88" s="7" t="s">
        <v>980</v>
      </c>
      <c r="E88" s="7" t="s">
        <v>981</v>
      </c>
      <c r="F88" s="7" t="s">
        <v>872</v>
      </c>
      <c r="G88" s="7" t="s">
        <v>991</v>
      </c>
    </row>
    <row r="89" customFormat="false" ht="23.25" hidden="false" customHeight="true" outlineLevel="0" collapsed="false">
      <c r="A89" s="7" t="s">
        <v>444</v>
      </c>
      <c r="B89" s="7" t="s">
        <v>445</v>
      </c>
      <c r="C89" s="14" t="s">
        <v>246</v>
      </c>
      <c r="D89" s="7" t="s">
        <v>992</v>
      </c>
      <c r="E89" s="7" t="s">
        <v>993</v>
      </c>
      <c r="F89" s="7" t="s">
        <v>872</v>
      </c>
      <c r="G89" s="7" t="s">
        <v>994</v>
      </c>
    </row>
    <row r="90" customFormat="false" ht="23.25" hidden="false" customHeight="true" outlineLevel="0" collapsed="false">
      <c r="A90" s="7" t="s">
        <v>447</v>
      </c>
      <c r="B90" s="7" t="s">
        <v>445</v>
      </c>
      <c r="C90" s="7" t="s">
        <v>365</v>
      </c>
      <c r="D90" s="7" t="s">
        <v>698</v>
      </c>
      <c r="E90" s="7" t="s">
        <v>995</v>
      </c>
      <c r="F90" s="7" t="s">
        <v>872</v>
      </c>
      <c r="G90" s="7" t="s">
        <v>996</v>
      </c>
    </row>
    <row r="91" customFormat="false" ht="15" hidden="false" customHeight="true" outlineLevel="0" collapsed="false">
      <c r="A91" s="7" t="s">
        <v>449</v>
      </c>
      <c r="B91" s="7" t="s">
        <v>445</v>
      </c>
      <c r="C91" s="7" t="s">
        <v>365</v>
      </c>
      <c r="D91" s="7" t="s">
        <v>997</v>
      </c>
      <c r="E91" s="7" t="s">
        <v>909</v>
      </c>
      <c r="F91" s="7" t="s">
        <v>872</v>
      </c>
      <c r="G91" s="7" t="s">
        <v>998</v>
      </c>
    </row>
    <row r="92" customFormat="false" ht="15" hidden="false" customHeight="true" outlineLevel="0" collapsed="false">
      <c r="A92" s="7" t="s">
        <v>451</v>
      </c>
      <c r="B92" s="7" t="s">
        <v>445</v>
      </c>
      <c r="C92" s="7" t="s">
        <v>365</v>
      </c>
      <c r="D92" s="7" t="s">
        <v>999</v>
      </c>
      <c r="E92" s="7" t="s">
        <v>1000</v>
      </c>
      <c r="F92" s="7" t="s">
        <v>139</v>
      </c>
      <c r="G92" s="7" t="s">
        <v>1001</v>
      </c>
    </row>
    <row r="93" customFormat="false" ht="15" hidden="false" customHeight="true" outlineLevel="0" collapsed="false">
      <c r="A93" s="7" t="s">
        <v>453</v>
      </c>
      <c r="B93" s="7" t="s">
        <v>445</v>
      </c>
      <c r="C93" s="7" t="s">
        <v>365</v>
      </c>
      <c r="D93" s="7" t="s">
        <v>1002</v>
      </c>
      <c r="E93" s="7" t="s">
        <v>1003</v>
      </c>
      <c r="F93" s="7" t="s">
        <v>872</v>
      </c>
      <c r="G93" s="7" t="s">
        <v>1004</v>
      </c>
    </row>
    <row r="94" customFormat="false" ht="15" hidden="false" customHeight="true" outlineLevel="0" collapsed="false">
      <c r="A94" s="7" t="s">
        <v>455</v>
      </c>
      <c r="B94" s="7" t="s">
        <v>445</v>
      </c>
      <c r="C94" s="7" t="s">
        <v>441</v>
      </c>
      <c r="D94" s="7" t="s">
        <v>1005</v>
      </c>
      <c r="E94" s="7" t="s">
        <v>139</v>
      </c>
      <c r="F94" s="7" t="s">
        <v>139</v>
      </c>
      <c r="G94" s="7" t="s">
        <v>1006</v>
      </c>
    </row>
    <row r="95" customFormat="false" ht="15" hidden="false" customHeight="true" outlineLevel="0" collapsed="false">
      <c r="A95" s="7" t="s">
        <v>457</v>
      </c>
      <c r="B95" s="7" t="s">
        <v>445</v>
      </c>
      <c r="C95" s="7" t="s">
        <v>365</v>
      </c>
      <c r="D95" s="7" t="s">
        <v>1007</v>
      </c>
      <c r="E95" s="7" t="s">
        <v>909</v>
      </c>
      <c r="F95" s="7" t="s">
        <v>872</v>
      </c>
      <c r="G95" s="7" t="s">
        <v>1008</v>
      </c>
    </row>
    <row r="96" customFormat="false" ht="15" hidden="false" customHeight="true" outlineLevel="0" collapsed="false">
      <c r="A96" s="7" t="s">
        <v>459</v>
      </c>
      <c r="B96" s="7" t="s">
        <v>445</v>
      </c>
      <c r="C96" s="7" t="s">
        <v>365</v>
      </c>
      <c r="D96" s="7" t="s">
        <v>1009</v>
      </c>
      <c r="E96" s="7" t="s">
        <v>1010</v>
      </c>
      <c r="F96" s="7" t="s">
        <v>139</v>
      </c>
      <c r="G96" s="7" t="s">
        <v>1011</v>
      </c>
    </row>
    <row r="97" customFormat="false" ht="15" hidden="false" customHeight="true" outlineLevel="0" collapsed="false">
      <c r="A97" s="7" t="s">
        <v>461</v>
      </c>
      <c r="B97" s="7" t="s">
        <v>462</v>
      </c>
      <c r="C97" s="7" t="s">
        <v>464</v>
      </c>
      <c r="D97" s="7" t="s">
        <v>1012</v>
      </c>
      <c r="E97" s="7" t="s">
        <v>139</v>
      </c>
      <c r="F97" s="7" t="s">
        <v>139</v>
      </c>
      <c r="G97" s="7" t="s">
        <v>1013</v>
      </c>
    </row>
    <row r="98" customFormat="false" ht="15" hidden="false" customHeight="true" outlineLevel="0" collapsed="false">
      <c r="A98" s="7" t="s">
        <v>465</v>
      </c>
      <c r="B98" s="7" t="s">
        <v>462</v>
      </c>
      <c r="C98" s="7" t="s">
        <v>441</v>
      </c>
      <c r="D98" s="7" t="s">
        <v>1014</v>
      </c>
      <c r="E98" s="7" t="s">
        <v>139</v>
      </c>
      <c r="F98" s="7" t="s">
        <v>139</v>
      </c>
      <c r="G98" s="7" t="s">
        <v>1015</v>
      </c>
    </row>
    <row r="99" customFormat="false" ht="15" hidden="false" customHeight="true" outlineLevel="0" collapsed="false">
      <c r="A99" s="7" t="s">
        <v>467</v>
      </c>
      <c r="B99" s="7" t="s">
        <v>462</v>
      </c>
      <c r="C99" s="7" t="s">
        <v>365</v>
      </c>
      <c r="D99" s="7" t="s">
        <v>38</v>
      </c>
      <c r="E99" s="7" t="s">
        <v>1016</v>
      </c>
      <c r="F99" s="7" t="s">
        <v>139</v>
      </c>
      <c r="G99" s="7" t="s">
        <v>1017</v>
      </c>
    </row>
    <row r="100" customFormat="false" ht="15" hidden="false" customHeight="true" outlineLevel="0" collapsed="false">
      <c r="A100" s="7" t="s">
        <v>469</v>
      </c>
      <c r="B100" s="7" t="s">
        <v>462</v>
      </c>
      <c r="C100" s="7" t="s">
        <v>441</v>
      </c>
      <c r="D100" s="7" t="s">
        <v>1018</v>
      </c>
      <c r="E100" s="7" t="s">
        <v>139</v>
      </c>
      <c r="F100" s="7" t="s">
        <v>139</v>
      </c>
      <c r="G100" s="7" t="s">
        <v>1019</v>
      </c>
    </row>
    <row r="101" customFormat="false" ht="15" hidden="false" customHeight="true" outlineLevel="0" collapsed="false">
      <c r="A101" s="7" t="s">
        <v>471</v>
      </c>
      <c r="B101" s="7" t="s">
        <v>462</v>
      </c>
      <c r="C101" s="7" t="s">
        <v>406</v>
      </c>
      <c r="D101" s="7" t="s">
        <v>718</v>
      </c>
      <c r="E101" s="7" t="s">
        <v>139</v>
      </c>
      <c r="F101" s="7" t="s">
        <v>139</v>
      </c>
      <c r="G101" s="7" t="s">
        <v>1020</v>
      </c>
    </row>
    <row r="102" customFormat="false" ht="15" hidden="false" customHeight="true" outlineLevel="0" collapsed="false">
      <c r="A102" s="7" t="s">
        <v>473</v>
      </c>
      <c r="B102" s="7" t="s">
        <v>462</v>
      </c>
      <c r="C102" s="14" t="s">
        <v>246</v>
      </c>
      <c r="D102" s="7" t="s">
        <v>1021</v>
      </c>
      <c r="E102" s="7" t="s">
        <v>139</v>
      </c>
      <c r="F102" s="7" t="s">
        <v>139</v>
      </c>
      <c r="G102" s="7" t="s">
        <v>1022</v>
      </c>
    </row>
    <row r="103" customFormat="false" ht="15" hidden="false" customHeight="true" outlineLevel="0" collapsed="false">
      <c r="A103" s="7" t="s">
        <v>475</v>
      </c>
      <c r="B103" s="7" t="s">
        <v>462</v>
      </c>
      <c r="C103" s="7" t="s">
        <v>365</v>
      </c>
      <c r="D103" s="7" t="s">
        <v>38</v>
      </c>
      <c r="E103" s="7" t="s">
        <v>1023</v>
      </c>
      <c r="F103" s="7" t="s">
        <v>139</v>
      </c>
      <c r="G103" s="7" t="s">
        <v>1024</v>
      </c>
    </row>
    <row r="104" customFormat="false" ht="15" hidden="false" customHeight="true" outlineLevel="0" collapsed="false">
      <c r="A104" s="7" t="s">
        <v>478</v>
      </c>
      <c r="B104" s="7" t="s">
        <v>462</v>
      </c>
      <c r="C104" s="7" t="s">
        <v>365</v>
      </c>
      <c r="D104" s="7" t="s">
        <v>38</v>
      </c>
      <c r="E104" s="7" t="s">
        <v>1025</v>
      </c>
      <c r="F104" s="7" t="s">
        <v>139</v>
      </c>
      <c r="G104" s="7" t="s">
        <v>1026</v>
      </c>
    </row>
    <row r="106" customFormat="false" ht="15" hidden="false" customHeight="true" outlineLevel="0" collapsed="false">
      <c r="A106" s="10" t="s">
        <v>1027</v>
      </c>
    </row>
    <row r="108" customFormat="false" ht="90.75" hidden="false" customHeight="true" outlineLevel="0" collapsed="false">
      <c r="A108" s="7" t="s">
        <v>729</v>
      </c>
      <c r="B108" s="7" t="s">
        <v>1028</v>
      </c>
      <c r="C108" s="7" t="s">
        <v>365</v>
      </c>
      <c r="D108" s="7" t="s">
        <v>1029</v>
      </c>
      <c r="E108" s="7" t="s">
        <v>1030</v>
      </c>
      <c r="F108" s="7" t="s">
        <v>872</v>
      </c>
      <c r="G108" s="7" t="s">
        <v>1031</v>
      </c>
    </row>
    <row r="109" customFormat="false" ht="34.5" hidden="false" customHeight="true" outlineLevel="0" collapsed="false">
      <c r="A109" s="7" t="s">
        <v>739</v>
      </c>
      <c r="B109" s="7" t="s">
        <v>1028</v>
      </c>
      <c r="C109" s="7" t="s">
        <v>1032</v>
      </c>
      <c r="D109" s="7" t="s">
        <v>1033</v>
      </c>
      <c r="E109" s="7" t="s">
        <v>1034</v>
      </c>
      <c r="F109" s="7" t="s">
        <v>872</v>
      </c>
      <c r="G109" s="7" t="s">
        <v>1035</v>
      </c>
    </row>
    <row r="110" customFormat="false" ht="34.5" hidden="false" customHeight="true" outlineLevel="0" collapsed="false">
      <c r="A110" s="7" t="s">
        <v>750</v>
      </c>
      <c r="B110" s="7" t="s">
        <v>1028</v>
      </c>
      <c r="C110" s="7" t="s">
        <v>1032</v>
      </c>
      <c r="D110" s="7" t="s">
        <v>1036</v>
      </c>
      <c r="E110" s="7" t="s">
        <v>1034</v>
      </c>
      <c r="F110" s="7" t="s">
        <v>872</v>
      </c>
      <c r="G110" s="7" t="s">
        <v>1037</v>
      </c>
    </row>
    <row r="111" customFormat="false" ht="23.25" hidden="false" customHeight="true" outlineLevel="0" collapsed="false">
      <c r="A111" s="7" t="s">
        <v>1038</v>
      </c>
      <c r="B111" s="7" t="s">
        <v>1028</v>
      </c>
      <c r="C111" s="7" t="s">
        <v>1039</v>
      </c>
      <c r="D111" s="7" t="s">
        <v>1040</v>
      </c>
      <c r="E111" s="7" t="s">
        <v>1034</v>
      </c>
      <c r="F111" s="7" t="s">
        <v>872</v>
      </c>
      <c r="G111" s="7" t="s">
        <v>1041</v>
      </c>
    </row>
    <row r="112" customFormat="false" ht="45.75" hidden="false" customHeight="true" outlineLevel="0" collapsed="false">
      <c r="A112" s="7" t="s">
        <v>1042</v>
      </c>
      <c r="B112" s="7" t="s">
        <v>1028</v>
      </c>
      <c r="C112" s="7" t="s">
        <v>1039</v>
      </c>
      <c r="D112" s="7" t="s">
        <v>1043</v>
      </c>
      <c r="E112" s="7" t="s">
        <v>1034</v>
      </c>
      <c r="F112" s="7" t="s">
        <v>872</v>
      </c>
      <c r="G112" s="7" t="s">
        <v>1044</v>
      </c>
    </row>
    <row r="113" customFormat="false" ht="34.5" hidden="false" customHeight="true" outlineLevel="0" collapsed="false">
      <c r="A113" s="7" t="s">
        <v>756</v>
      </c>
      <c r="B113" s="7" t="s">
        <v>1028</v>
      </c>
      <c r="C113" s="7" t="s">
        <v>1032</v>
      </c>
      <c r="D113" s="7" t="s">
        <v>1045</v>
      </c>
      <c r="E113" s="7" t="s">
        <v>1046</v>
      </c>
      <c r="F113" s="7" t="s">
        <v>872</v>
      </c>
      <c r="G113" s="7" t="s">
        <v>1047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2026-09-05T18:52:31Z</dcterms:created>
  <dc:creator>openpyxl</dc:creator>
  <dc:description/>
  <dc:language>en-US</dc:language>
  <cp:lastModifiedBy/>
  <dcterms:modified xsi:type="dcterms:W3CDTF">2026-09-13T17:58:40Z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