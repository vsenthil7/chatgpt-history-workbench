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Decision_Pack" sheetId="4" state="visible" r:id="rId4"/>
    <sheet xmlns:r="http://schemas.openxmlformats.org/officeDocument/2006/relationships" name="S1_Build_Board" sheetId="5" state="visible" r:id="rId5"/>
    <sheet xmlns:r="http://schemas.openxmlformats.org/officeDocument/2006/relationships" name="S2_Build_Board" sheetId="6" state="visible" r:id="rId6"/>
    <sheet xmlns:r="http://schemas.openxmlformats.org/officeDocument/2006/relationships" name="S3_Build_Board" sheetId="7" state="visible" r:id="rId7"/>
    <sheet xmlns:r="http://schemas.openxmlformats.org/officeDocument/2006/relationships" name="S4_Build_Board" sheetId="8" state="visible" r:id="rId8"/>
    <sheet xmlns:r="http://schemas.openxmlformats.org/officeDocument/2006/relationships" name="S5_Build_Board" sheetId="9" state="visible" r:id="rId9"/>
    <sheet xmlns:r="http://schemas.openxmlformats.org/officeDocument/2006/relationships" name="S6_Build_Board" sheetId="10" state="visible" r:id="rId10"/>
    <sheet xmlns:r="http://schemas.openxmlformats.org/officeDocument/2006/relationships" name="S7_Build_Board" sheetId="11" state="visible" r:id="rId11"/>
    <sheet xmlns:r="http://schemas.openxmlformats.org/officeDocument/2006/relationships" name="S8_Build_Board" sheetId="12" state="visible" r:id="rId12"/>
    <sheet xmlns:r="http://schemas.openxmlformats.org/officeDocument/2006/relationships" name="S9_Build_Board" sheetId="13" state="visible" r:id="rId13"/>
    <sheet xmlns:r="http://schemas.openxmlformats.org/officeDocument/2006/relationships" name="S10_Build_Board" sheetId="14" state="visible" r:id="rId14"/>
    <sheet xmlns:r="http://schemas.openxmlformats.org/officeDocument/2006/relationships" name="S11_S12_Build_Board" sheetId="15" state="visible" r:id="rId15"/>
    <sheet xmlns:r="http://schemas.openxmlformats.org/officeDocument/2006/relationships" name="Blocker_Prep_Board" sheetId="16" state="visible" r:id="rId16"/>
    <sheet xmlns:r="http://schemas.openxmlformats.org/officeDocument/2006/relationships" name="Traceability_Matrix" sheetId="17" state="visible" r:id="rId17"/>
    <sheet xmlns:r="http://schemas.openxmlformats.org/officeDocument/2006/relationships" name="Module_Traceability" sheetId="18" state="visible" r:id="rId18"/>
    <sheet xmlns:r="http://schemas.openxmlformats.org/officeDocument/2006/relationships" name="Sprint_Status_Rollup" sheetId="19" state="visible" r:id="rId19"/>
    <sheet xmlns:r="http://schemas.openxmlformats.org/officeDocument/2006/relationships" name="RAID_Carryover" sheetId="20" state="visible" r:id="rId20"/>
    <sheet xmlns:r="http://schemas.openxmlformats.org/officeDocument/2006/relationships" name="Gate_Checklist" sheetId="21" state="visible" r:id="rId21"/>
    <sheet xmlns:r="http://schemas.openxmlformats.org/officeDocument/2006/relationships" name="Review_Findings" sheetId="22" state="visible" r:id="rId22"/>
    <sheet xmlns:r="http://schemas.openxmlformats.org/officeDocument/2006/relationships" name="External_Review_CGPT_V001" sheetId="23" state="visible" r:id="rId23"/>
    <sheet xmlns:r="http://schemas.openxmlformats.org/officeDocument/2006/relationships" name="External_Review_PPLX_V001" sheetId="24" state="visible" r:id="rId24"/>
    <sheet xmlns:r="http://schemas.openxmlformats.org/officeDocument/2006/relationships" name="Sprint_Plan_S13_S19_PPLX" sheetId="25" state="visible" r:id="rId25"/>
    <sheet xmlns:r="http://schemas.openxmlformats.org/officeDocument/2006/relationships" name="S13_Build_Board" sheetId="26" state="visible" r:id="rId26"/>
    <sheet xmlns:r="http://schemas.openxmlformats.org/officeDocument/2006/relationships" name="S14_Build_Board" sheetId="27" state="visible" r:id="rId27"/>
    <sheet xmlns:r="http://schemas.openxmlformats.org/officeDocument/2006/relationships" name="S15_Build_Board" sheetId="28" state="visible" r:id="rId28"/>
    <sheet xmlns:r="http://schemas.openxmlformats.org/officeDocument/2006/relationships" name="S16_Build_Board" sheetId="29" state="visible" r:id="rId29"/>
    <sheet xmlns:r="http://schemas.openxmlformats.org/officeDocument/2006/relationships" name="S17_Build_Board" sheetId="30" state="visible" r:id="rId30"/>
    <sheet xmlns:r="http://schemas.openxmlformats.org/officeDocument/2006/relationships" name="S18_Build_Board" sheetId="31" state="visible" r:id="rId31"/>
    <sheet xmlns:r="http://schemas.openxmlformats.org/officeDocument/2006/relationships" name="S19_Build_Board" sheetId="32" state="visible" r:id="rId32"/>
    <sheet xmlns:r="http://schemas.openxmlformats.org/officeDocument/2006/relationships" name="Sprint_Plan_S13_S32_CGPT" sheetId="33" state="visible" r:id="rId3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55555"/>
      <sz val="9"/>
    </font>
    <font>
      <name val="Arial"/>
      <charset val="1"/>
      <family val="0"/>
      <b val="1"/>
      <color rgb="FFFFFFFF"/>
      <sz val="10"/>
    </font>
    <font>
      <name val="Arial"/>
      <charset val="1"/>
      <family val="0"/>
      <sz val="10"/>
    </font>
    <font>
      <name val="Arial"/>
      <charset val="1"/>
      <family val="0"/>
      <sz val="9"/>
    </font>
    <font>
      <name val="Arial"/>
      <charset val="1"/>
      <family val="0"/>
      <b val="1"/>
      <sz val="9"/>
    </font>
    <font>
      <name val="Arial"/>
      <charset val="1"/>
      <family val="0"/>
      <color rgb="FF555555"/>
      <sz val="9"/>
    </font>
    <font>
      <name val="Arial"/>
      <charset val="1"/>
      <family val="0"/>
      <b val="1"/>
      <color rgb="FF1F3864"/>
      <sz val="9"/>
    </font>
    <font>
      <name val="Arial"/>
      <charset val="1"/>
      <family val="0"/>
      <color rgb="FF008000"/>
      <sz val="10"/>
    </font>
    <font>
      <name val="Arial"/>
      <charset val="1"/>
      <family val="0"/>
      <color rgb="FFB36B00"/>
      <sz val="10"/>
    </font>
    <font>
      <name val="Arial"/>
      <charset val="1"/>
      <family val="0"/>
      <b val="1"/>
      <sz val="10"/>
    </font>
    <font>
      <name val="Arial"/>
      <charset val="1"/>
      <family val="0"/>
      <b val="1"/>
      <color rgb="FF008000"/>
      <sz val="10"/>
    </font>
    <font>
      <name val="Arial"/>
      <charset val="1"/>
      <family val="0"/>
      <b val="1"/>
      <color rgb="FFC00000"/>
      <sz val="10"/>
    </font>
    <font>
      <b val="1"/>
      <color rgb="FF1F3864"/>
      <sz val="14"/>
    </font>
    <font>
      <b val="1"/>
      <color rgb="FFFFFFFF"/>
      <sz val="10"/>
    </font>
    <font>
      <i val="1"/>
      <sz val="10"/>
    </font>
    <font>
      <sz val="10"/>
    </font>
    <font>
      <b val="1"/>
      <color rgb="FF1F3864"/>
      <sz val="11"/>
    </font>
    <font>
      <b val="1"/>
      <color rgb="FF1F3864"/>
      <sz val="10"/>
    </font>
    <font>
      <b val="1"/>
      <color rgb="FF9C0006"/>
      <sz val="11"/>
    </font>
  </fonts>
  <fills count="9">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1F3864"/>
      </patternFill>
    </fill>
    <fill>
      <patternFill patternType="solid">
        <fgColor rgb="FFFFFF00"/>
      </patternFill>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6" fillId="2" borderId="0" applyAlignment="1" pivotButton="0" quotePrefix="0" xfId="0">
      <alignment horizontal="general" vertical="center"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3" borderId="0" applyAlignment="1" pivotButton="0" quotePrefix="0" xfId="0">
      <alignment horizontal="general" vertical="top" wrapText="1"/>
    </xf>
    <xf numFmtId="0" fontId="13" fillId="0" borderId="0" applyAlignment="1" pivotButton="0" quotePrefix="0" xfId="0">
      <alignment horizontal="general" vertical="top" wrapText="1"/>
    </xf>
    <xf numFmtId="164"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6" fillId="2" borderId="0" applyAlignment="1" pivotButton="0" quotePrefix="0" xfId="0">
      <alignment horizontal="general" vertical="center"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3" borderId="0" applyAlignment="1" pivotButton="0" quotePrefix="0" xfId="0">
      <alignment horizontal="general" vertical="top" wrapText="1"/>
    </xf>
    <xf numFmtId="0" fontId="13" fillId="0" borderId="0" applyAlignment="1" pivotButton="0" quotePrefix="0" xfId="0">
      <alignment horizontal="general" vertical="top" wrapText="1"/>
    </xf>
    <xf numFmtId="164"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pivotButton="0" quotePrefix="0" xfId="0"/>
    <xf numFmtId="0" fontId="19" fillId="0" borderId="0" applyAlignment="1" pivotButton="0" quotePrefix="0" xfId="0">
      <alignment vertical="top" wrapText="1"/>
    </xf>
    <xf numFmtId="0" fontId="18" fillId="4" borderId="0" applyAlignment="1" pivotButton="0" quotePrefix="0" xfId="0">
      <alignment vertical="top" wrapText="1"/>
    </xf>
    <xf numFmtId="0" fontId="20" fillId="0" borderId="0" applyAlignment="1" pivotButton="0" quotePrefix="0" xfId="0">
      <alignment vertical="top" wrapText="1"/>
    </xf>
    <xf numFmtId="0" fontId="20" fillId="5" borderId="0" applyAlignment="1" pivotButton="0" quotePrefix="0" xfId="0">
      <alignment vertical="top" wrapText="1"/>
    </xf>
    <xf numFmtId="0" fontId="21" fillId="0" borderId="0" pivotButton="0" quotePrefix="0" xfId="0"/>
    <xf numFmtId="0" fontId="20" fillId="6" borderId="0" applyAlignment="1" pivotButton="0" quotePrefix="0" xfId="0">
      <alignment vertical="top" wrapText="1"/>
    </xf>
    <xf numFmtId="0" fontId="20" fillId="7" borderId="0" applyAlignment="1" pivotButton="0" quotePrefix="0" xfId="0">
      <alignment vertical="top" wrapText="1"/>
    </xf>
    <xf numFmtId="0" fontId="20" fillId="8" borderId="0" applyAlignment="1" pivotButton="0" quotePrefix="0" xfId="0">
      <alignment vertical="top" wrapText="1"/>
    </xf>
    <xf numFmtId="0" fontId="7" fillId="8" borderId="0" applyAlignment="1" pivotButton="0" quotePrefix="0" xfId="0">
      <alignment horizontal="general" vertical="top" wrapText="1"/>
    </xf>
    <xf numFmtId="0" fontId="8" fillId="6" borderId="0" applyAlignment="1" pivotButton="0" quotePrefix="0" xfId="0">
      <alignment horizontal="general" vertical="top" wrapText="1"/>
    </xf>
    <xf numFmtId="0" fontId="22" fillId="0" borderId="0" applyAlignment="1" pivotButton="0" quotePrefix="0" xfId="0">
      <alignment vertical="top" wrapText="1"/>
    </xf>
    <xf numFmtId="0" fontId="8" fillId="8" borderId="0" applyAlignment="1" pivotButton="0" quotePrefix="0" xfId="0">
      <alignment horizontal="general"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36B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1" min="1" max="1"/>
    <col width="18" customWidth="1" style="21" min="2" max="2"/>
    <col width="24" customWidth="1" style="21" min="3" max="3"/>
    <col width="90" customWidth="1" style="21" min="4" max="4"/>
    <col width="12" customWidth="1" style="21" min="5" max="5"/>
  </cols>
  <sheetData>
    <row r="1" ht="17.25" customHeight="1" s="22">
      <c r="A1" s="23" t="inlineStr">
        <is>
          <t>VERSION CONTROL — DocMerge Pro Sprint Tracker &amp; Traceability</t>
        </is>
      </c>
    </row>
    <row r="2" ht="376.5" customHeight="1" s="22">
      <c r="A2" s="24" t="inlineStr">
        <is>
          <t>File naming: claude_v&lt;NNN&gt;_&lt;proper file name&gt;_YYYYMMDD_HHMI.xlsx. Companion: product workbook (v007 baseline -&gt; v012 current) = backlog source of truth. STATUS MAPPING: product-workbook Full_Backlog "Done" = tracker "Done-in-code" until live-install evidence exists (D7/R2 pattern: code complete counts for nothing at the gate).</t>
        </is>
      </c>
    </row>
    <row r="3" ht="15" customHeight="1" s="22">
      <c r="A3" s="25" t="inlineStr">
        <is>
          <t>Version</t>
        </is>
      </c>
      <c r="B3" s="25" t="inlineStr">
        <is>
          <t>Date/Time</t>
        </is>
      </c>
      <c r="C3" s="25" t="inlineStr">
        <is>
          <t>Author</t>
        </is>
      </c>
      <c r="D3" s="25" t="inlineStr">
        <is>
          <t>Change Description</t>
        </is>
      </c>
      <c r="E3" s="25" t="inlineStr">
        <is>
          <t>Status</t>
        </is>
      </c>
    </row>
    <row r="4" ht="79.5" customHeight="1" s="22">
      <c r="A4" s="26" t="inlineStr">
        <is>
          <t>v001</t>
        </is>
      </c>
      <c r="B4" s="26" t="inlineStr">
        <is>
          <t>2026-09-10 23:03</t>
        </is>
      </c>
      <c r="C4" s="26" t="inlineStr">
        <is>
          <t>Claude for Senthil/KP</t>
        </is>
      </c>
      <c r="D4" s="26" t="inlineStr">
        <is>
          <t>THIS FILE — Live execution tracker for DocMerge Pro (wave-3, Google Workspace Marketplace), opened on Senthil's 23:03 instruction to mirror the TeleField v001 tracker pattern. Consolidates the full S1-S5 build history executed 10 Sep 2026 22:17-23:03 across product-workbook versions v008 (S1), v009 (S2), v010 (S3), v011 (S4), v012 (S5): 42/100 stories (173/399 pts) Done-in-code in TypeScript at 100% statements/branches/functions/lines under D13, 18 test suites / 217 tests / zero coverage pragmas, E2E smoke suite gating deploy in CI. Full E-log (E001-E014), per-sprint build boards S1-S5, 100-story traceability with evidence, formula rollup, RAID, completion gate.</t>
        </is>
      </c>
      <c r="E4" s="26" t="inlineStr">
        <is>
          <t>Released</t>
        </is>
      </c>
    </row>
    <row r="5" ht="34.5" customHeight="1" s="22">
      <c r="A5" s="26" t="inlineStr">
        <is>
          <t>v002</t>
        </is>
      </c>
      <c r="B5" s="26" t="inlineStr">
        <is>
          <t>2026-09-11 08:20</t>
        </is>
      </c>
      <c r="C5" s="26" t="inlineStr">
        <is>
          <t>Claude for Senthil/KP</t>
        </is>
      </c>
      <c r="D5" s="26" t="inlineStr">
        <is>
          <t>S6 logged (product workbook -&gt; v013 08:20): Auto-file to Drive ST-031..040 + Billing ST-057..059, all Done-in-code at 100% coverage (suite 21 files / 264 tests / 22 modules). E015-E017 appended; S6_Build_Board added; traceability 13 rows promoted to Done-in-code with evidence; rollup now 55/100 stories, 233/399 pts (58.4% of points). CASA scheduling (R-D1/LC-3) now DUE — S6 was the trigger sprint.</t>
        </is>
      </c>
      <c r="E5" s="26" t="inlineStr">
        <is>
          <t>Released</t>
        </is>
      </c>
    </row>
    <row r="6" ht="23.25" customHeight="1" s="22">
      <c r="A6" s="26" t="inlineStr">
        <is>
          <t>v003</t>
        </is>
      </c>
      <c r="B6" s="26" t="inlineStr">
        <is>
          <t>2026-09-13 09:55</t>
        </is>
      </c>
      <c r="C6" s="26" t="inlineStr">
        <is>
          <t>Claude for Senthil/KP</t>
        </is>
      </c>
      <c r="D6" s="26" t="inlineStr">
        <is>
          <t>S7 logged (product workbook -&gt; v014, 13 Sep 09:55): ST-060..064 all Done-in-code at 100% coverage (suite 23 files / 305 tests / 24 modules). E018-E021 appended incl. a CORRECTION entry (ST-060 read-only supersedes ST-059 downgrade-to-free) and closure of the S6 GST/tax flag by ST-062. S7_Build_Board added; 5 traceability rows promoted; rollup 60/100 stories, 248/399 pts (62.2%). ST-064 produced SCOPE_NARRATIVE.md — first hard evidence artefact for LC-2/LC-3.</t>
        </is>
      </c>
      <c r="E6" s="26" t="inlineStr">
        <is>
          <t>Released</t>
        </is>
      </c>
    </row>
    <row r="7" ht="23.25" customHeight="1" s="22">
      <c r="A7" s="26" t="inlineStr">
        <is>
          <t>v004</t>
        </is>
      </c>
      <c r="B7" s="26" t="inlineStr">
        <is>
          <t>2026-09-13 10:22</t>
        </is>
      </c>
      <c r="C7" s="26" t="inlineStr">
        <is>
          <t>Claude for Senthil/KP</t>
        </is>
      </c>
      <c r="D7" s="26" t="inlineStr">
        <is>
          <t>S8 logged (product workbook -&gt; v015, 13 Sep 10:22) — largest sprint executed: ST-041..050, ST-065/066/067/070, ST-073..077, ST-087/088/092, all Done-in-code at 100% coverage (26 files / 385 tests / 28 modules). E022-E025 appended incl. three test-side defects found and fixed by the gate. S8_Build_Board added; 22 traceability rows promoted; rollup 82/100 stories, 335/399 pts (84.0%). Second evidence artefact published: DATA_FLOW_AND_RETENTION.md (LC-7).</t>
        </is>
      </c>
      <c r="E7" s="26" t="inlineStr">
        <is>
          <t>Released</t>
        </is>
      </c>
    </row>
    <row r="8" ht="15" customHeight="1" s="22">
      <c r="A8" s="26" t="inlineStr">
        <is>
          <t>v005</t>
        </is>
      </c>
      <c r="B8" s="26" t="inlineStr">
        <is>
          <t>2026-09-13 10:35</t>
        </is>
      </c>
      <c r="C8" s="26" t="inlineStr">
        <is>
          <t>Claude for Senthil/KP</t>
        </is>
      </c>
      <c r="D8" s="26" t="inlineStr">
        <is>
          <t>S9 logged (product workbook -&gt; v016, 13 Sep 10:35): 6 of 7 stories Done-in-code; ST-068 deliberately left IN PROGRESS — the evidence pack is built and published but a third-party pen test cannot be performed in code. E026-E029 appended. S9_Build_Board added; rollup 88/100 stories, 357/399 pts (89.5%). Two more evidence artefacts published: SECURITY_EVIDENCE_PACK.md and LISTING_PACK.md. Suite 28 files / 432 tests / 30 modules.</t>
        </is>
      </c>
      <c r="E8" s="26" t="inlineStr">
        <is>
          <t>Released</t>
        </is>
      </c>
    </row>
    <row r="9" ht="15" customHeight="1" s="22">
      <c r="A9" s="26" t="inlineStr">
        <is>
          <t>v006</t>
        </is>
      </c>
      <c r="B9" s="26" t="inlineStr">
        <is>
          <t>2026-09-13 10:43</t>
        </is>
      </c>
      <c r="C9" s="26" t="inlineStr">
        <is>
          <t>Claude for Senthil/KP</t>
        </is>
      </c>
      <c r="D9" s="26" t="inlineStr">
        <is>
          <t>S10 logged (product workbook -&gt; v017, 13 Sep 10:43): 6 of 7 Done-in-code; ST-083 In progress (sandbox built, demo video needs a running app). E030-E033 appended. S10_Build_Board added; rollup 94/100 stories, 376/399 pts (94.2%). SUBMISSION_DRY_RUN.md published — VERDICT: NOT READY, 10 of 20 checklist items satisfied, 10 blocking (8 Senthil, 2 third-party). Suite 30 files / 484 tests / 32 modules.</t>
        </is>
      </c>
      <c r="E9" s="26" t="inlineStr">
        <is>
          <t>Released</t>
        </is>
      </c>
    </row>
    <row r="10" ht="15" customHeight="1" s="22">
      <c r="A10" s="26" t="inlineStr">
        <is>
          <t>v007</t>
        </is>
      </c>
      <c r="B10" s="26" t="inlineStr">
        <is>
          <t>2026-09-13 10:58</t>
        </is>
      </c>
      <c r="C10" s="26" t="inlineStr">
        <is>
          <t>Claude for Senthil/KP</t>
        </is>
      </c>
      <c r="D10" s="26" t="inlineStr">
        <is>
          <t>S11 + S12 logged (product workbook -&gt; v018) — CODE BACKLOG COMPLETE. ST-082/098/099/100 Done-in-code. E034-E037 appended. S11_S12_Build_Board added; rollup 98/100 stories Done-in-code, 391/399 pts (98.0%). LAUNCH_RUNBOOK.md published with the real go/no-go verdict: NO-GO, 8 blocking checks, all Senthil or third-party. Final code evidence: 31 suites / 516 tests / 100% x4 / 33 modules. NO FURTHER CODE SPRINTS — the remaining 2 stories and every launch gate need people, money, or infrastructure, not more code.</t>
        </is>
      </c>
      <c r="E10" s="26" t="inlineStr">
        <is>
          <t>Released</t>
        </is>
      </c>
    </row>
    <row r="11" ht="23.25" customHeight="1" s="22">
      <c r="A11" s="26" t="inlineStr">
        <is>
          <t>v008</t>
        </is>
      </c>
      <c r="B11" s="26" t="inlineStr">
        <is>
          <t>2026-09-13 11:05</t>
        </is>
      </c>
      <c r="C11" s="26" t="inlineStr">
        <is>
          <t>Claude for Senthil/KP</t>
        </is>
      </c>
      <c r="D11" s="26" t="inlineStr">
        <is>
          <t>Blocker-preparation pass (product workbook -&gt; v019). No story statuses changed — the code backlog was complete at v018. Added src/deployment.ts (env spec + fail-closed readiness gate, 15 tests, suite now 531 at 100%) and three documents that make each external blocker a warm start: GCP_SETUP_GUIDE.md, PENTEST_SCOPING_BRIEF.md, CASA_PREFILL.md. E038-E039 appended; Blocker_Prep_Board added. FINDING: the privacy policy and status page must be HOSTED before the OAuth consent screen will accept authorised domains — this reorders the critical path.</t>
        </is>
      </c>
      <c r="E11" s="26" t="inlineStr">
        <is>
          <t>Released</t>
        </is>
      </c>
    </row>
    <row r="12" ht="15" customHeight="1" s="22">
      <c r="A12" s="26" t="inlineStr">
        <is>
          <t>v009</t>
        </is>
      </c>
      <c r="B12" s="26" t="inlineStr">
        <is>
          <t>2026-09-13 11:10</t>
        </is>
      </c>
      <c r="C12" s="26" t="inlineStr">
        <is>
          <t>Claude for Senthil/KP</t>
        </is>
      </c>
      <c r="D12" s="26" t="inlineStr">
        <is>
          <t>LC-9 closed (product workbook -&gt; v020): 20-template launch gallery built, validated, and rendered through the real engine; TEMPLATE_GALLERY.md published with 61 targeted search terms. E040-E041 appended; Gate_Checklist LC-9 moves to Done — the FIRST gate row to reach Done on evidence alone. Two defects caught in the build (22 templates written against a target of 20; two rules testing fields that never render). Suite 33 files / 567 tests / 100% x4 / 35 modules.</t>
        </is>
      </c>
      <c r="E12" s="26" t="inlineStr">
        <is>
          <t>Released</t>
        </is>
      </c>
    </row>
    <row r="13" ht="15" customHeight="1" s="22">
      <c r="A13" s="26" t="inlineStr">
        <is>
          <t>v010</t>
        </is>
      </c>
      <c r="B13" s="26" t="inlineStr">
        <is>
          <t>2026-09-13 11:16</t>
        </is>
      </c>
      <c r="C13" s="26" t="inlineStr">
        <is>
          <t>Claude for Senthil/KP</t>
        </is>
      </c>
      <c r="D13" s="26" t="inlineStr">
        <is>
          <t>S12 growth-model frame logged (product workbook -&gt; v021). GROWTH_MODEL.md published: unit economics, three scenarios, sensitivity ranking, and a measurement plan. S12 exit criterion remains IN PROGRESS — the frame exists but the estimates are assumptions until a cohort exists. E042-E043 appended. Suite 34 files / 589 tests / 100% x4 / 36 modules.</t>
        </is>
      </c>
      <c r="E13" s="26" t="inlineStr">
        <is>
          <t>Released</t>
        </is>
      </c>
    </row>
    <row r="14" ht="15" customHeight="1" s="22">
      <c r="A14" s="26" t="inlineStr">
        <is>
          <t>v011</t>
        </is>
      </c>
      <c r="B14" s="26" t="n"/>
      <c r="C14" s="26" t="n"/>
      <c r="D14" s="26" t="inlineStr">
        <is>
          <t>PLANNED: live-evidence log only.</t>
        </is>
      </c>
      <c r="E14" s="26" t="inlineStr">
        <is>
          <t>Planned</t>
        </is>
      </c>
    </row>
    <row r="15" ht="57" customHeight="1" s="22">
      <c r="A15" s="27" t="inlineStr">
        <is>
          <t>v011</t>
        </is>
      </c>
      <c r="B15" s="27" t="inlineStr">
        <is>
          <t>2026-09-13 11:21</t>
        </is>
      </c>
      <c r="C15" s="27" t="inlineStr">
        <is>
          <t>Claude for Senthil/KP</t>
        </is>
      </c>
      <c r="D15" s="26" t="inlineStr">
        <is>
          <t>ST-068 vendor outreach pack written (PENTEST_OUTREACH.md): a ready-to-send email that quotes from the written brief rather than requiring a discovery call, vendor shortlist criteria, and a quote-comparison rubric. External-facing copy is company-agnostic per standing instruction. FINDING carried into the pack: LEAD TIME, not price, is the binding constraint — it sits on the critical path beside CASA and the two waits can run in parallel, so both should be booked in the same week. No code change; suite unchanged at 589 tests / 100%.</t>
        </is>
      </c>
      <c r="E15" s="27" t="inlineStr">
        <is>
          <t>Released</t>
        </is>
      </c>
    </row>
    <row r="16" ht="23.25" customHeight="1" s="22">
      <c r="A16" s="27" t="inlineStr">
        <is>
          <t>v012</t>
        </is>
      </c>
      <c r="D16" s="26" t="inlineStr">
        <is>
          <t>PLANNED: live-evidence log only. All preparable work is complete; every remaining item needs Senthil or a third party.</t>
        </is>
      </c>
      <c r="E16" s="27" t="inlineStr">
        <is>
          <t>Planned</t>
        </is>
      </c>
    </row>
    <row r="17" ht="102" customHeight="1" s="22">
      <c r="A17" s="27" t="inlineStr">
        <is>
          <t>v012</t>
        </is>
      </c>
      <c r="B17" s="27" t="inlineStr">
        <is>
          <t>2026-09-13 11:24</t>
        </is>
      </c>
      <c r="C17" s="27" t="inlineStr">
        <is>
          <t>Claude for Senthil/KP</t>
        </is>
      </c>
      <c r="D17" s="26" t="inlineStr">
        <is>
          <t>COLD REVIEW PASS 1 — DocMerge first adversarial review, run because portfolio memory shows every sibling found real defects after declaring code-complete (TeleField L-T1). NINE findings in code already at 100% coverage, five CRITICAL. FIXED with regressions: DM-F02 read-only mode enforced nowhere (published behaviour absent from the product), DM-F03 plan limits enforced nowhere (published limits decorative), DM-F04 OAuth install had no CSRF state, DM-F05 webhooks entirely unauthenticated (a forged POST could revoke tokens and schedule deletion for any account), DM-F06 no production backoff existed at all. OPEN: DM-F01 CRITICAL no HTTP app exists behind any route, DM-F07 caller-declared identity, DM-F08 eleven unbounded ledgers, DM-F09 deletion has no implementation behind it. New Review_Findings sheet. 35 suites / 616 tests at 100%. The previous "code phase complete" claim was premature.</t>
        </is>
      </c>
      <c r="E17" s="27" t="inlineStr">
        <is>
          <t>Released</t>
        </is>
      </c>
    </row>
    <row r="18" ht="15" customHeight="1" s="22">
      <c r="A18" s="27" t="inlineStr">
        <is>
          <t>v013</t>
        </is>
      </c>
      <c r="D18" s="26" t="inlineStr">
        <is>
          <t>PLANNED: cold-review pass 2 — build the HTTP app (DM-F01), close DM-F07/F08/F09, then re-sweep.</t>
        </is>
      </c>
      <c r="E18" s="27" t="inlineStr">
        <is>
          <t>Planned</t>
        </is>
      </c>
    </row>
    <row r="19" ht="113.25" customHeight="1" s="22">
      <c r="A19" s="27" t="inlineStr">
        <is>
          <t>v013</t>
        </is>
      </c>
      <c r="B19" s="27" t="inlineStr">
        <is>
          <t>2026-09-13 11:31</t>
        </is>
      </c>
      <c r="C19" s="27" t="inlineStr">
        <is>
          <t>Claude for Senthil/KP</t>
        </is>
      </c>
      <c r="D19" s="26" t="inlineStr">
        <is>
          <t>DM-F01 and DM-F07 CLOSED — the two critical findings left open by cold-review pass 1. A real HTTP application now exists: framework-free router, 7 routes wired to the existing services, src/server.ts with npm start, and a readiness check that refuses to listen on a misconfigured environment. Identity is no longer caller-declared: HMAC-signed sessions carry account and role, so editing a role in a token fails verification and a session for one account is refused against another. Every mutating route is authenticated AND passes the entitlement gate, so read-only mode and plan limits are enforced on the wire rather than in principle; reads stay open in read-only mode. Server BOOTED FOR REAL and exercised over HTTP (healthz 200, unsigned webhook 401, unauthenticated route 401, unknown route 404) — the siblings taught that compiling is not running. 36 suites / 650 tests at 100%. Remaining from pass 1: DM-F08 unbounded ledgers, DM-F09 deletion has no implementation.</t>
        </is>
      </c>
      <c r="E19" s="27" t="inlineStr">
        <is>
          <t>Released</t>
        </is>
      </c>
    </row>
    <row r="20" ht="23.25" customHeight="1" s="22">
      <c r="A20" s="27" t="inlineStr">
        <is>
          <t>v014</t>
        </is>
      </c>
      <c r="D20" s="26" t="inlineStr">
        <is>
          <t>PLANNED: close DM-F08 (bounded ledgers) and DM-F09 (purge registry + schema), then cold-review pass 2 over the new HTTP layer — siblings found new surfaces inherit old blind spots (L-OC4).</t>
        </is>
      </c>
      <c r="E20" s="27" t="inlineStr">
        <is>
          <t>Planned</t>
        </is>
      </c>
    </row>
    <row r="21" ht="113.25" customHeight="1" s="22">
      <c r="A21" s="27" t="inlineStr">
        <is>
          <t>v014</t>
        </is>
      </c>
      <c r="B21" s="27" t="inlineStr">
        <is>
          <t>2026-09-13 11:37</t>
        </is>
      </c>
      <c r="C21" s="27" t="inlineStr">
        <is>
          <t>Claude for Senthil/KP</t>
        </is>
      </c>
      <c r="D21" s="26" t="inlineStr">
        <is>
          <t>PASS 1 CLOSED + PASS 2 COMPLETE. DM-F08 fixed: all 11 unbounded ledgers now FIFO-bounded with eviction counted rather than silent; the hash-chained admin audit needed a post-eviction chain anchor so verifyChain reports truncation instead of breaking. DM-F09 fixed: PurgeRegistry over 16 stores with a build-failing registration check, evidence receipts, incomplete-purge honesty — plus the database schema that never existed (3 migrations, ON DELETE CASCADE on every account-scoped table, npm run migrate). PASS 2 over the new HTTP layer found four more, all fixed: DM-F10 uncapped request body (memory exhaustion on an open port), DM-F11 abandoned OAuth states accumulating because sweep() was never called — the same built-but-never-wired class as F02/F03, DM-F12 no rate limiting anywhere, DM-F13 /healthz leaking the build version anonymously. Server booted and all four verified over real HTTP. 40 suites / 691 tests at 100%. All 13 cold-review findings now closed.</t>
        </is>
      </c>
      <c r="E21" s="27" t="inlineStr">
        <is>
          <t>Released</t>
        </is>
      </c>
    </row>
    <row r="22" ht="15" customHeight="1" s="22">
      <c r="A22" s="27" t="inlineStr">
        <is>
          <t>v015</t>
        </is>
      </c>
      <c r="D22" s="26" t="inlineStr">
        <is>
          <t>PLANNED: live-evidence log. Cold review complete across both passes; remaining work is Senthil/third-party.</t>
        </is>
      </c>
      <c r="E22" s="27" t="inlineStr">
        <is>
          <t>Planned</t>
        </is>
      </c>
    </row>
    <row r="23" ht="135.75" customHeight="1" s="22">
      <c r="A23" s="27" t="inlineStr">
        <is>
          <t>v015</t>
        </is>
      </c>
      <c r="B23" s="27" t="inlineStr">
        <is>
          <t>2026-09-13 11:51</t>
        </is>
      </c>
      <c r="C23" s="27" t="inlineStr">
        <is>
          <t>Claude for Senthil/KP</t>
        </is>
      </c>
      <c r="D23" s="26" t="inlineStr">
        <is>
          <t>EXTERNAL VERIFICATION SWEEP against live Google documentation — the step every sibling product ran after its cold review, and the step that found live-blocking defects in all of them. TWO LIVE-BLOCKING findings, both invisible to two clean internal passes because they are facts about the platform rather than the code. VER-DM1: the Workspace Marketplace does NOT push uninstall webhooks and the licenseNotification API is deprecated with no replacement — our uninstall endpoint was a handler for an event that never arrives, so token revocation, the retention clock, re-install restore and the purge chain would never have run. Fixed with a license reconciler that DETECTS uninstall (license state + revoked credential) and refuses to treat an API outage as one. VER-DM2: Google Forms cannot POST to an arbitrary URL — form submit needs an installable Apps Script trigger that calls UrlFetch itself, so the entire F5 feature (10 stories / 42 pts) rested on a capability that does not exist. Fixed by shipping the Apps Script forwarder that signs with the scheme our endpoint already verifies. 41 suites / 707 tests at 100%. CONSEQUENCE FOR SENTHIL: the form-trigger setup flow changes — ST-041 "one screen" and the help-centre article need rewording.</t>
        </is>
      </c>
      <c r="E23" s="27" t="inlineStr">
        <is>
          <t>Released</t>
        </is>
      </c>
    </row>
    <row r="24" ht="23.25" customHeight="1" s="22">
      <c r="A24" s="27" t="inlineStr">
        <is>
          <t>v016</t>
        </is>
      </c>
      <c r="D24" s="26" t="inlineStr">
        <is>
          <t>PLANNED: verification sweep part 2 (add-on surface, scopes, asset spec, CASA requirements) — the sweep found two blockers in its first two checks, so the remaining assumptions deserve the same treatment.</t>
        </is>
      </c>
      <c r="E24" s="27" t="inlineStr">
        <is>
          <t>Planned</t>
        </is>
      </c>
    </row>
    <row r="25" ht="113.25" customHeight="1" s="22">
      <c r="A25" s="27" t="inlineStr">
        <is>
          <t>v016</t>
        </is>
      </c>
      <c r="B25" s="27" t="inlineStr">
        <is>
          <t>2026-09-13 11:56</t>
        </is>
      </c>
      <c r="C25" s="27" t="inlineStr">
        <is>
          <t>Claude for Senthil/KP</t>
        </is>
      </c>
      <c r="D25" s="26" t="inlineStr">
        <is>
          <t>VERIFICATION SWEEP PART 2 — VER-DM3, the third live-blocking finding and the first that is a DECISION rather than a defect. Google has two add-on types with incompatible UI models and our features sit across both: the Workspace type is card-only (HTML forbidden), cannot read the open document, has no Apps Script triggers and is absent from Forms, but reaches mobile and every host app; the Editor type has HTML sidebars, document context and triggers, but is desktop-only and Editors-only. Twelve shipped stories cannot run on the Workspace surface as built, and the form feature cannot run there at all. Encoded as a test-pinned constraint matrix (src/addonSurface.ts) and presented as ADDON_SURFACE_DECISION.md; logged as D-DM1 for Senthil rather than decided unilaterally. 42 suites / 721 tests at 100%. Three live-blocking findings in four verification checks — the sweep is finding roughly one blocker per check, which says something about how far internal review can reach.</t>
        </is>
      </c>
      <c r="E25" s="27" t="inlineStr">
        <is>
          <t>Released</t>
        </is>
      </c>
    </row>
    <row r="26" ht="23.25" customHeight="1" s="22">
      <c r="A26" s="27" t="inlineStr">
        <is>
          <t>v017</t>
        </is>
      </c>
      <c r="D26" s="26" t="inlineStr">
        <is>
          <t>PLANNED: sweep part 3 (listing asset spec — TestPulse found theirs wrong; scope behaviour; CASA requirements) once D-DM1 is decided, since the surface choice changes the scope narrative.</t>
        </is>
      </c>
      <c r="E26" s="27" t="inlineStr">
        <is>
          <t>Planned</t>
        </is>
      </c>
    </row>
    <row r="27" ht="90.75" customHeight="1" s="22">
      <c r="A27" s="27" t="inlineStr">
        <is>
          <t>v017</t>
        </is>
      </c>
      <c r="B27" s="27" t="inlineStr">
        <is>
          <t>2026-09-13 12:01</t>
        </is>
      </c>
      <c r="C27" s="27" t="inlineStr">
        <is>
          <t>Claude for Senthil/KP</t>
        </is>
      </c>
      <c r="D27" s="26" t="inlineStr">
        <is>
          <t>VERIFICATION SWEEP PART 3 — VER-DM4: the listing asset and copy spec was invented and wrong in eight ways, including TWO REQUIRED ASSET FAMILIES that were absent entirely (application icons at 32/128 plus 48/96 because we now have a web app, and the 220x140 card banner), a forbidden-Google-name rule on the app name we had no check for, and the terms-of-service link missing from the submission checklist. Every copy limit was wrong in the strict direction, so the drafted variants were being held to tighter constraints than the platform applies. The promo video is an optional YouTube link, not the captioned upload we had specified. src/listing.ts rewritten against the live spec, LISTING_PACK.md regenerated, 13 tests pin the corrections. 42 suites / 729 tests at 100%. Four live findings in five verification checks.</t>
        </is>
      </c>
      <c r="E27" s="27" t="inlineStr">
        <is>
          <t>Released</t>
        </is>
      </c>
    </row>
    <row r="28" ht="23.25" customHeight="1" s="22">
      <c r="A28" s="27" t="inlineStr">
        <is>
          <t>v018</t>
        </is>
      </c>
      <c r="D28" s="26" t="inlineStr">
        <is>
          <t>PLANNED: sweep part 4 (OAuth verification + CASA requirements, scope behaviour) — the last unchecked assumptions; then D-DM1 gates the rest.</t>
        </is>
      </c>
      <c r="E28" s="27" t="inlineStr">
        <is>
          <t>Planned</t>
        </is>
      </c>
    </row>
    <row r="29" ht="124.5" customHeight="1" s="22">
      <c r="A29" s="27" t="inlineStr">
        <is>
          <t>v018</t>
        </is>
      </c>
      <c r="B29" s="27" t="inlineStr">
        <is>
          <t>2026-09-13 12:06</t>
        </is>
      </c>
      <c r="C29" s="27" t="inlineStr">
        <is>
          <t>Claude for Senthil/KP</t>
        </is>
      </c>
      <c r="D29" s="26" t="inlineStr">
        <is>
          <t>VERIFICATION SWEEP PART 4 — VER-DM5, the first finding that REMOVES work. Google routes app review by scope classification, and CASA is triggered only by RESTRICTED scopes. DocMerge requests none: drive.file is the recommended non-sensitive alternative to the restricted Drive scopes, userinfo.email is non-sensitive, and only spreadsheets.readonly and documents are sensitive — requiring Google app verification but not an assessment. CASA has been carried as a blocking multi-week paid item since S6 (R-D1, R-D10, LC-3) on an assumption nobody had checked. LC-3 downgraded to "likely not required, confirm in console" rather than deleted, because classification is per-project and Google may still ask. Found in the same pass: verification requires an unlisted YouTube DEMONSTRATION video (OAuth grant flow, consent screen showing the app name, detailed use of each sensitive scope) — a requirement we did not have, and separate from the optional marketing promo video. scopes.ts derives the review path from classifications with 7 pinning tests; SCOPE_NARRATIVE.md regenerated. 42 suites / 736 tests at 100%.</t>
        </is>
      </c>
      <c r="E29" s="27" t="inlineStr">
        <is>
          <t>Released</t>
        </is>
      </c>
    </row>
    <row r="30" ht="23.25" customHeight="1" s="22">
      <c r="A30" s="27" t="inlineStr">
        <is>
          <t>v019</t>
        </is>
      </c>
      <c r="D30" s="26" t="inlineStr">
        <is>
          <t>PLANNED: verification sweep COMPLETE across the five checkable assumption areas. Next work is D-DM1 (Senthil) and then live execution.</t>
        </is>
      </c>
      <c r="E30" s="27" t="inlineStr">
        <is>
          <t>Planned</t>
        </is>
      </c>
    </row>
    <row r="31" ht="124.5" customHeight="1" s="22">
      <c r="A31" s="27" t="inlineStr">
        <is>
          <t>v019</t>
        </is>
      </c>
      <c r="B31" s="27" t="inlineStr">
        <is>
          <t>2026-09-13 16:25</t>
        </is>
      </c>
      <c r="C31" s="27" t="inlineStr">
        <is>
          <t>Claude for Senthil/KP</t>
        </is>
      </c>
      <c r="D31" s="26" t="inlineStr">
        <is>
          <t>R-D4 CLOSED — Postgres adapter shipped. Every store had been an in-memory Map behind a typed interface, which was correct while no schema existed but left the interfaces never once implemented against a real database; the DM-F09 migrations were decorative until now. src/postgres.ts implements TokenStore, AccountRepo and TemplateRepo against the schema, plus purge targets for all 18 tables ordered children-before-parents so the row counts are real evidence rather than zero-because-already-cascaded. The SQL client is injected, so there is no pg dependency and the adapter is fully testable without a database. Details that would have bitten in production: BIGINT expiries are converted explicitly because the driver returns them as strings, template and rules write inside one transaction with rollback (a half-replaced rule set renders wrong output rather than failing), an absent rule value is stored as NULL not the string "undefined", and indirect tables are reached through their parent rather than a column they do not have. A test purges with a SQL-injection string and asserts it never reaches the statement text. 43 suites / 753 tests at 100%.</t>
        </is>
      </c>
      <c r="E31" s="27" t="inlineStr">
        <is>
          <t>Released</t>
        </is>
      </c>
    </row>
    <row r="32" ht="23.25" customHeight="1" s="22">
      <c r="A32" s="27" t="inlineStr">
        <is>
          <t>v020</t>
        </is>
      </c>
      <c r="D32" s="26" t="inlineStr">
        <is>
          <t>PLANNED: remaining in-memory stores (subscriptions, invoices, audit, telemetry, support) onto the adapter pattern; D-DM1 still gates the surface work.</t>
        </is>
      </c>
      <c r="E32" s="27" t="inlineStr">
        <is>
          <t>Planned</t>
        </is>
      </c>
    </row>
    <row r="33" ht="124.5" customHeight="1" s="22">
      <c r="A33" s="27" t="inlineStr">
        <is>
          <t>v020</t>
        </is>
      </c>
      <c r="B33" s="27" t="inlineStr">
        <is>
          <t>2026-09-13 16:29</t>
        </is>
      </c>
      <c r="C33" s="27" t="inlineStr">
        <is>
          <t>Claude for Senthil/KP</t>
        </is>
      </c>
      <c r="D33" s="26" t="inlineStr">
        <is>
          <t>DM-F14 — the remaining in-memory stores are a DURABILITY GAP, not merely unconverted. A restart resets every plan limit (each deploy silently grants every customer a fresh monthly allowance — a revenue leak invisible to tests, which start from zero anyway), resets billing state so paying customers look like trials, and evaporates the tamper-evident audit chain while restarting its numbering at genesis so the gap is not even visible. Usage counters fixed end to end: PlanLimitEnforcer now takes a UsageBackend; WriteThroughUsageBackend serves reads from a primed cache so the limit check stays synchronous, writes through with an atomic single-statement upsert (read-then-write loses increments exactly when a customer is near the limit), and counts write failures rather than failing the request. Subscription and admin-audit stores are built and tested — append-only with no update path, and lastSequence so the chain continues across restarts — but their services are NOT yet wired, which is stated rather than glossed because this codebase has already produced two built-but-never-called defects. 43 suites / 770 tests at 100%.</t>
        </is>
      </c>
      <c r="E33" s="27" t="inlineStr">
        <is>
          <t>Released</t>
        </is>
      </c>
    </row>
    <row r="34" ht="23.25" customHeight="1" s="22">
      <c r="A34" s="27" t="inlineStr">
        <is>
          <t>v021</t>
        </is>
      </c>
      <c r="D34" s="26" t="inlineStr">
        <is>
          <t>PLANNED: wire BillingService and AdminAuditLog to their stores (closing DM-F14), then telemetry/support persistence. D-DM1 still open.</t>
        </is>
      </c>
      <c r="E34" s="27" t="inlineStr">
        <is>
          <t>Planned</t>
        </is>
      </c>
    </row>
    <row r="35" ht="113.25" customHeight="1" s="22">
      <c r="A35" s="27" t="inlineStr">
        <is>
          <t>v021</t>
        </is>
      </c>
      <c r="B35" s="27" t="inlineStr">
        <is>
          <t>2026-09-13 16:34</t>
        </is>
      </c>
      <c r="C35" s="27" t="inlineStr">
        <is>
          <t>Claude for Senthil/KP</t>
        </is>
      </c>
      <c r="D35" s="26" t="inlineStr">
        <is>
          <t>DM-F14 CLOSED and DM-F15 found and fixed. BillingService now persists after every mutation through a SubscriptionBackend, and AdminAuditLog through an AdminAuditBackend with resume(), so a restart no longer resets a paying customer to trial or forks a second audit chain at genesis. Write-through Postgres backends keep reads synchronous and count write failures rather than failing the customer request. DM-F15 surfaced DURING that wiring: the admin audit log had no accountId at all — every customer shared one chain and one sequence counter, and exportCsv would have handed one customer every other customer admin history. The schema had keyed the table on (account_id, sequence) since DM-F09; the code never matched it, and nothing caught the mismatch because the table had no implementation behind it until today. Now scoped per account, with the accountId inside the digest so an entry cannot be replayed into another tenant chain. 43 suites / 781 tests at 100%.</t>
        </is>
      </c>
      <c r="E35" s="27" t="inlineStr">
        <is>
          <t>Released</t>
        </is>
      </c>
    </row>
    <row r="36" ht="23.25" customHeight="1" s="22">
      <c r="A36" s="27" t="inlineStr">
        <is>
          <t>v022</t>
        </is>
      </c>
      <c r="D36" s="26" t="inlineStr">
        <is>
          <t>PLANNED: telemetry/support persistence, then a tenant-isolation sweep across the remaining services — DM-F15 suggests the audit log may not be the only thing lacking a tenant boundary.</t>
        </is>
      </c>
      <c r="E36" s="27" t="inlineStr">
        <is>
          <t>Planned</t>
        </is>
      </c>
    </row>
    <row r="37" ht="135.75" customHeight="1" s="22">
      <c r="A37" s="27" t="inlineStr">
        <is>
          <t>v022</t>
        </is>
      </c>
      <c r="B37" s="27" t="inlineStr">
        <is>
          <t>2026-09-13 16:39</t>
        </is>
      </c>
      <c r="C37" s="27" t="inlineStr">
        <is>
          <t>Claude for Senthil/KP</t>
        </is>
      </c>
      <c r="D37" s="26" t="inlineStr">
        <is>
          <t>TENANT-ISOLATION SWEEP — run deliberately because DM-F15 was found by accident, and it found five more. DM-F16 (CRITICAL): template lookups took a templateId and nothing else, and POST /accounts/:id/documents takes that id from the request body — so an authenticated user of one account could read another account template and generate documents from it. The session check added for DM-F07 proved WHO was asking; nothing checked WHAT they asked for. DM-F17: the same shape on signature requests, exposing signer names and emails. DM-F18: the feature audit log had no accountId either, the same defect as DM-F15 in a second log. All three fixed with ownership enforced centrally, cross-tenant access reported as "not found" so the id space cannot be probed, and regression tests asserting the cross-tenant failure is indistinguishable from a missing record. DM-F19 and DM-F20 (metrics summaries and the support inbox aggregate across tenants) are logged OPEN rather than fixed blind, because whether they are defects depends on whether they are surfaced per-customer or internally — a decision, not a bug. 43 suites / 786 tests at 100%, smoke green.</t>
        </is>
      </c>
      <c r="E37" s="27" t="inlineStr">
        <is>
          <t>Released</t>
        </is>
      </c>
    </row>
    <row r="38" ht="15" customHeight="1" s="22">
      <c r="A38" s="27" t="inlineStr">
        <is>
          <t>v023</t>
        </is>
      </c>
      <c r="D38" s="26" t="inlineStr">
        <is>
          <t>PLANNED: decide DM-F19/F20 surfacing, then telemetry/support persistence. D-DM1 still open.</t>
        </is>
      </c>
      <c r="E38" s="27" t="inlineStr">
        <is>
          <t>Planned</t>
        </is>
      </c>
    </row>
    <row r="39" ht="102" customHeight="1" s="22">
      <c r="A39" s="27" t="inlineStr">
        <is>
          <t>v023</t>
        </is>
      </c>
      <c r="B39" s="27" t="inlineStr">
        <is>
          <t>2026-09-13 17:23</t>
        </is>
      </c>
      <c r="C39" s="27" t="inlineStr">
        <is>
          <t>Claude for Senthil/KP</t>
        </is>
      </c>
      <c r="D39" s="26" t="inlineStr">
        <is>
          <t>PORTABLE TENANT-ISOLATION GATE built and wired into CI, then it immediately found DM-F21. A sweep finds this class of defect once; the gate finds it every commit, and it is written to be copied into the sibling products — the tenant parameter names and entity-id suffixes are configuration, not hard-coded. It flagged 28 methods on first run. Triage: five clusters genuine (DM-F21) — pause and resume on signature requests, form triggers and batch jobs took only an entity id, so one tenant could pause another tenant work with nothing but a guessed id; renderCsv would render any account invoice with its billing contact and tax identifiers; openTemplate read another account template metadata. The manual sweep had checked READS and missed writes-that-are-not-reads. The other 23 are exempted with written reasons rather than silenced, and a test asserts every exemption carries one. 44 suites / 797 tests at 100%, smoke green.</t>
        </is>
      </c>
      <c r="E39" s="27" t="inlineStr">
        <is>
          <t>Released</t>
        </is>
      </c>
    </row>
    <row r="40" ht="23.25" customHeight="1" s="22">
      <c r="A40" s="27" t="inlineStr">
        <is>
          <t>v024</t>
        </is>
      </c>
      <c r="D40" s="26" t="inlineStr">
        <is>
          <t>PLANNED: copy the gate to the sibling products (the pattern is identical); decide DM-F19/F20; D-DM1 still open.</t>
        </is>
      </c>
      <c r="E40" s="27" t="inlineStr">
        <is>
          <t>Planned</t>
        </is>
      </c>
    </row>
    <row r="41" ht="102" customHeight="1" s="22">
      <c r="A41" s="27" t="inlineStr">
        <is>
          <t>v024</t>
        </is>
      </c>
      <c r="B41" s="27" t="inlineStr">
        <is>
          <t>2026-09-13 18:48</t>
        </is>
      </c>
      <c r="C41" s="27" t="inlineStr">
        <is>
          <t>Claude for Senthil/KP</t>
        </is>
      </c>
      <c r="D41" s="26" t="inlineStr">
        <is>
          <t>AUDITED THE 23 GATE EXEMPTIONS I wrote an hour ago, having flagged them as judgement calls. One was false. The PauseManager exemption claimed callers passed account-namespaced keys; e-sign passed a bare requestId and batch a bare templateId, so a shared PauseManager would put template ids, sign-request ids, job ids and trigger ids in one namespace — pausing a template called X would also report a sign request called X as paused. Demonstrated before fixing. Nothing broke only because each service happened to get its own instance, which nothing enforced. pauseKey(entity, accountId, entityId) is now the only way keys are formed anywhere. Crucially the exemptions are no longer prose: three tests VERIFY the claims — one fails the build if any PauseManager call omits pauseKey, one proves two entity types sharing an id cannot collide, one asserts only the designer and sidebar touch a template repository. 44 suites / 801 tests at 100%, smoke green.</t>
        </is>
      </c>
      <c r="E41" s="27" t="inlineStr">
        <is>
          <t>Released</t>
        </is>
      </c>
    </row>
    <row r="42" ht="15" customHeight="1" s="22">
      <c r="A42" s="27" t="inlineStr">
        <is>
          <t>v025</t>
        </is>
      </c>
      <c r="D42" s="26" t="inlineStr">
        <is>
          <t>PLANNED: copy the gate to the sibling products; decide DM-F19/F20; D-DM1 still open.</t>
        </is>
      </c>
      <c r="E42" s="27" t="inlineStr">
        <is>
          <t>Planned</t>
        </is>
      </c>
    </row>
    <row r="43" ht="113.25" customHeight="1" s="22">
      <c r="A43" s="27" t="inlineStr">
        <is>
          <t>v025</t>
        </is>
      </c>
      <c r="B43" s="27" t="inlineStr">
        <is>
          <t>2026-09-13 18:53</t>
        </is>
      </c>
      <c r="C43" s="27" t="inlineStr">
        <is>
          <t>Claude for Senthil/KP</t>
        </is>
      </c>
      <c r="D43" s="26" t="inlineStr">
        <is>
          <t>ALL 23 TENANT-GATE EXEMPTIONS now carry a test that verifies their claim, and a meta-gate makes that permanent: unverifiedExemptions() fails the build if an exemption is added without a test naming it, and a test proves the meta-gate catches such an addition. This closes the gap DM-F22 exposed — an exemption that was right about its outcome and wrong about its reason, which read as handled. The claims are now checked against behaviour or source: the sandbox holds no account, store or repository reference; signer actions reject a non-signer holding a valid request id while accepting a listed signer who has no account at all; a batch sidebar bound to one account cannot run another account template; both sidebar controllers stamp their own account onto what they create; and per-entity metrics and the support inbox are confirmed absent from every HTTP route, which is precisely what keeps DM-F19/F20 product decisions rather than live leaks. 44 suites / 812 tests at 100%.</t>
        </is>
      </c>
      <c r="E43" s="27" t="inlineStr">
        <is>
          <t>Released</t>
        </is>
      </c>
    </row>
    <row r="44" ht="23.25" customHeight="1" s="22">
      <c r="A44" s="27" t="inlineStr">
        <is>
          <t>v026</t>
        </is>
      </c>
      <c r="D44" s="26" t="inlineStr">
        <is>
          <t>PLANNED: copy the gate and meta-gate to the sibling products; DM-F19/F20 and D-DM1 remain your decisions.</t>
        </is>
      </c>
      <c r="E44" s="27" t="inlineStr">
        <is>
          <t>Planned</t>
        </is>
      </c>
    </row>
    <row r="45" ht="124.5" customHeight="1" s="22">
      <c r="A45" s="27" t="inlineStr">
        <is>
          <t>v026</t>
        </is>
      </c>
      <c r="B45" s="27" t="inlineStr">
        <is>
          <t>2026-09-13 18:58</t>
        </is>
      </c>
      <c r="C45" s="27" t="inlineStr">
        <is>
          <t>Claude for Senthil/KP</t>
        </is>
      </c>
      <c r="D45" s="26" t="inlineStr">
        <is>
          <t>VER-DM6 — the sixth verification finding, and the first that contradicts our own published targets. The Docs API allows 60 writes per minute per user; ST-087 promised a generated document every 1500ms and ST-088 drove 100 per minute and reported PASS. One user cannot exceed one document per second however fast our code runs, and a 500-row batch for one customer cannot finish in under EIGHT MINUTES — a fact absent from every estimate and SLO written so far. The load test never reached the ceiling because it drove an injected worker, so its PASS measured the harness. Now: verified quotas with sources and a refusal to guess unrecorded ones; a feasibility check that fails when an internal promise exceeds an external quota; a per-account governor that paces rather than earning 429s and gives an honest completion estimate; and a load test that refuses to pass a profile exceeding a declared ceiling. Also recorded: Apps Script UrlFetch caps at 20,000/day consumer and 100,000/day Workspace, the real per-customer limit on the form forwarder. 45 suites / 827 tests at 100%.</t>
        </is>
      </c>
      <c r="E45" s="27" t="inlineStr">
        <is>
          <t>Released</t>
        </is>
      </c>
    </row>
    <row r="46" ht="23.25" customHeight="1" s="22">
      <c r="A46" s="27" t="inlineStr">
        <is>
          <t>v027</t>
        </is>
      </c>
      <c r="D46" s="26" t="inlineStr">
        <is>
          <t>PLANNED: pace the batch runner through QuotaGovernor and restate batch timing in the help centre; gate + meta-gate ready to copy to siblings.</t>
        </is>
      </c>
      <c r="E46" s="27" t="inlineStr">
        <is>
          <t>Planned</t>
        </is>
      </c>
    </row>
    <row r="47" ht="113.25" customHeight="1" s="22">
      <c r="A47" s="27" t="inlineStr">
        <is>
          <t>v027</t>
        </is>
      </c>
      <c r="B47" s="27" t="inlineStr">
        <is>
          <t>2026-09-13 19:33</t>
        </is>
      </c>
      <c r="C47" s="27" t="inlineStr">
        <is>
          <t>Claude for Senthil/KP</t>
        </is>
      </c>
      <c r="D47" s="26" t="inlineStr">
        <is>
          <t>VER-DM6 CLOSED — both owed items done. The batch runner now paces through the QuotaGovernor, waiting BEFORE each write rather than after a rejection: waiting on our side costs only the wait, while being throttled costs a round trip, a backoff, and a slice of the customer's remaining quota for their other tools. BatchResult reports quotaWaitMs, so a long batch reads as "paced by Google's limit" rather than "the product is slow" — the difference between an understood wait and a support ticket. Metering is per account, proven by a test where one customer exhausting their allowance leaves another unaffected. The help-centre article now carries the real numbers (about 60 documents a minute, roughly eight minutes for 500, sixteen for 1,000) and is findable by searching "how long", "slow" or "quota". One test expectation of mine was wrong and the code was right: rows run in bursts because a wait clears the whole minute-window, so seven rows at a ceiling of three cost two waits, not four. 45 suites / 830 tests at 100%, smoke green.</t>
        </is>
      </c>
      <c r="E47" s="27" t="inlineStr">
        <is>
          <t>Released</t>
        </is>
      </c>
    </row>
    <row r="48" ht="23.25" customHeight="1" s="22">
      <c r="A48" s="27" t="inlineStr">
        <is>
          <t>v028</t>
        </is>
      </c>
      <c r="D48" s="26" t="inlineStr">
        <is>
          <t>PLANNED: copy tenantGate + meta-gate + quota feasibility check to the sibling products. DM-F19/F20 and D-DM1 remain your decisions.</t>
        </is>
      </c>
      <c r="E48" s="27" t="inlineStr">
        <is>
          <t>Planned</t>
        </is>
      </c>
    </row>
    <row r="49" ht="124.5" customHeight="1" s="22">
      <c r="A49" s="27" t="inlineStr">
        <is>
          <t>v028</t>
        </is>
      </c>
      <c r="B49" s="27" t="inlineStr">
        <is>
          <t>2026-09-13 19:39</t>
        </is>
      </c>
      <c r="C49" s="27" t="inlineStr">
        <is>
          <t>Claude for Senthil/KP</t>
        </is>
      </c>
      <c r="D49" s="26" t="inlineStr">
        <is>
          <t>PORTFOLIO GUARD KIT extracted for the sibling products — four modules with no imports at all, so nothing else travels with them: tenantGate (authorisation, plus the meta-gate requiring every exemption to carry a test), ledger (bounded append with counted evictions, including the hash-chain anchor subtlety), purge (registry that fails the build when a store has no deletion target, with per-store row counts as evidence), platformQuotas (verified numbers with sources, a refusal to guess an unrecorded one, and a feasibility check). platformQuotas was PARAMETERISED first — the mechanism ports but Google numbers do not belong in a Zoho or Xero product. A product-specific test file was extracted and then REPLACED: the original imported DocMerge modules throughout and would not have compiled anywhere else, so the kit ships a template with no product imports. README records what each gate caught here as evidence; TRIAGE.md gives the five questions to ask on a first run, since DocMerge flagged 28 methods and exempting without triage turns a gate into decoration. 45 suites / 832 tests at 100%.</t>
        </is>
      </c>
      <c r="E49" s="27" t="inlineStr">
        <is>
          <t>Released</t>
        </is>
      </c>
    </row>
    <row r="50" ht="23.25" customHeight="1" s="22">
      <c r="A50" s="27" t="inlineStr">
        <is>
          <t>v029</t>
        </is>
      </c>
      <c r="D50" s="26" t="inlineStr">
        <is>
          <t>PLANNED: run the kit against a sibling codebase when one is available. DM-F19/F20 and D-DM1 remain your decisions.</t>
        </is>
      </c>
      <c r="E50" s="27" t="inlineStr">
        <is>
          <t>Planned</t>
        </is>
      </c>
    </row>
    <row r="51" ht="124.5" customHeight="1" s="22">
      <c r="A51" s="27" t="inlineStr">
        <is>
          <t>v029</t>
        </is>
      </c>
      <c r="B51" s="27" t="inlineStr">
        <is>
          <t>2026-09-13 20:27</t>
        </is>
      </c>
      <c r="C51" s="27" t="inlineStr">
        <is>
          <t>Claude for Senthil/KP</t>
        </is>
      </c>
      <c r="D51" s="26" t="inlineStr">
        <is>
          <t>VER-DM7 — the quota module caught a gap in itself. It refuses to guess an unrecorded quota, and the filing path tripped that refusal: we write to Drive on every generated document and had recorded no Drive limit. The answer turned out to be awkward rather than clean — Google is mid-migration between a request-count model and a quota-unit model, legacy projects keep the old counts, and which applies depends on the age of a project we have not created yet. Recorded the conservative figure WITH the ambiguity attached and added a caveat field so an unreliable quota is visibly unreliable, rather than resolving it by picking whichever number suited us. The useful conclusion: on every published model Drive sits two orders of magnitude above the Docs ceiling of 60 writes per minute per user, so filing is not the binding constraint — document creation is, and the governor is already set to it. bindingConstraint() now computes which API throttles first, with tests proving Docs governs today and that a future change reversing it would surface rather than silently slowing every run. Guard kit refreshed. 45 suites / 836 tests at 100%.</t>
        </is>
      </c>
      <c r="E51" s="27" t="inlineStr">
        <is>
          <t>Released</t>
        </is>
      </c>
    </row>
    <row r="52" ht="23.25" customHeight="1" s="22">
      <c r="A52" s="27" t="inlineStr">
        <is>
          <t>v030</t>
        </is>
      </c>
      <c r="D52" s="26" t="inlineStr">
        <is>
          <t>PLANNED: re-verify the Drive quota against the real project once it exists (LC-1). DM-F19/F20 and D-DM1 remain your decisions.</t>
        </is>
      </c>
      <c r="E52" s="27" t="inlineStr">
        <is>
          <t>Planned</t>
        </is>
      </c>
    </row>
    <row r="53" ht="113.25" customHeight="1" s="22">
      <c r="A53" s="27" t="inlineStr">
        <is>
          <t>v030</t>
        </is>
      </c>
      <c r="B53" s="27" t="inlineStr">
        <is>
          <t>2026-09-13 20:34</t>
        </is>
      </c>
      <c r="C53" s="27" t="inlineStr">
        <is>
          <t>Claude for Senthil/KP</t>
        </is>
      </c>
      <c r="D53" s="26" t="inlineStr">
        <is>
          <t>STATE_OF_DOCMERGE.md — a single readable synthesis, written because the detail now spans 40 workbook versions and 62 log entries and none of that is usable when deciding what to do next. Covers: the three decisions owed (D-DM1 add-on type, open since 11:56 and blocking the scope narrative, listing copy and five story descriptions; DM-F19/F20 surfacing; support staffing), the eight external actions in their CORRECTED order (hosting BEFORE the consent screen, per R-D15), and the five lessons worth more than the individual fixes — coverage proves execution not correctness; authentication is not authorisation; internal review cannot see platform reality; a plausible reason survives review indefinitely; sweeps find a class once while gates find it every commit. Closes with the assessment I would want stated plainly: the product has been code-complete since roughly 11:00 and has not moved one step closer to a customer since, because every remaining step needs a domain, a project, a budget or a decision. 45 suites / 836 tests at 100%.</t>
        </is>
      </c>
      <c r="E53" s="27" t="inlineStr">
        <is>
          <t>Released</t>
        </is>
      </c>
    </row>
    <row r="54" ht="23.25" customHeight="1" s="22">
      <c r="A54" s="27" t="inlineStr">
        <is>
          <t>v031</t>
        </is>
      </c>
      <c r="D54" s="26" t="inlineStr">
        <is>
          <t>PLANNED: nothing further on this codebase without a decision, a sibling codebase to check, or live infrastructure.</t>
        </is>
      </c>
      <c r="E54" s="27" t="inlineStr">
        <is>
          <t>Planned</t>
        </is>
      </c>
    </row>
    <row r="55" ht="84.75" customHeight="1" s="22">
      <c r="A55" s="28" t="inlineStr">
        <is>
          <t>v031</t>
        </is>
      </c>
      <c r="B55" s="28" t="inlineStr">
        <is>
          <t>2026-09-13 22:53</t>
        </is>
      </c>
      <c r="C55" s="28" t="inlineStr">
        <is>
          <t>Claude for Senthil/KP</t>
        </is>
      </c>
      <c r="D55" s="28" t="inlineStr">
        <is>
          <t>EXTERNAL REVIEW CGPT V001 INCORPORATED. 12 findings dispositioned: 3 accepted and fixed, 5 cross-referenced to existing IDs rather than re-raised, 4 valid and deferred behind a decision. The fixed three were all real and one was worse than reported: there was no package-lock.json, and every CI job installs with `npm ci`, so CI had never completed on a clean checkout and the 836-test/100% figure had only ever existed locally. Now verified twice from wiped node_modules. Supply-chain job added (audit 0 vulns, secret scan clean, SBOM 280 components); the deploy job that echoed a placeholder and exited 0 since S8 now fails closed naming LC-1. New Module_Traceability sheet closes the gap where 21 remediation-created modules appeared in the repo and in no traceability matrix. Nothing here moves the launch gate.</t>
        </is>
      </c>
      <c r="E55" s="28" t="inlineStr">
        <is>
          <t>Released</t>
        </is>
      </c>
    </row>
    <row r="56" ht="21.75" customHeight="1" s="22">
      <c r="A56" s="28" t="inlineStr">
        <is>
          <t>v032</t>
        </is>
      </c>
      <c r="B56" s="28" t="inlineStr">
        <is>
          <t>2026-09-13 23:04</t>
        </is>
      </c>
      <c r="C56" s="28" t="inlineStr">
        <is>
          <t>Claude for Senthil/KP</t>
        </is>
      </c>
      <c r="D56" s="28" t="inlineStr">
        <is>
          <t>RELEASE-INTEGRITY GATE (releaseGate.ts) — the three external findings are now a standing check rather than a fixed incident. Four rules over workflow text plus the files that actually exist: RG-01 an install command requiring a lockfile that is not in the repo (CRITICAL — the job cannot ever have completed); RG-02 a job implying an external action whose steps only echo and exit 0 (HIGH — a false green; a placeholder that exits 1 naming its blocker is accepted); RG-03 no audit, secret scan, SBOM or static analysis in any workflow (MEDIUM); RG-04 coverage computed and never uploaded (LOW). The test suite carries this repo's PRE-REVIEW ci.yml as a fixture and asserts it produces all four findings, and runs the gate against the live .github/workflows. 26 tests, 100% coverage on the module. Wired into CI as its own step. Also added to the portfolio guard kit as a fifth module, with README and TRIAGE sections. Full suite now 862 tests across 46 suites at 100%, from a clean npm ci. Nothing here moves the launch gate; D-DM1/D-DM2/D-DM3/D-DM4, DM-F19/F20 and LC-1 all unchanged.</t>
        </is>
      </c>
      <c r="E56" s="28" t="inlineStr">
        <is>
          <t>Released</t>
        </is>
      </c>
    </row>
    <row r="57" ht="21.75" customHeight="1" s="22">
      <c r="A57" s="28" t="inlineStr">
        <is>
          <t>v033</t>
        </is>
      </c>
      <c r="B57" s="28" t="inlineStr">
        <is>
          <t>2026-09-13 23:13</t>
        </is>
      </c>
      <c r="C57" s="28" t="inlineStr">
        <is>
          <t>Claude for Senthil/KP</t>
        </is>
      </c>
      <c r="D57" s="28" t="inlineStr">
        <is>
          <t>LAUNCH ASSETS — first work in three sessions that moves the LAUNCH rather than the codebase. Two of the eight external actions needed neither a GCP project nor a running application, and both are now done. (1) The icon family (32/48/96/128) and the 220x140 card banner that VER-DM4 revealed were REQUIRED and missing are generated as real PNGs by scripts/make-listing-assets.js — dependency-free, one mark definition, all five sizes regenerated together. (2) The pages that must be HOSTED BEFORE the OAuth consent screen (R-D15) are generated into site/ as five static files: privacy, terms, status, support and index. The privacy page is generated from buildTrustPage(), i.e. from SCOPE_MANIFEST, DATA_FLOW_NODES and RETENTION_POLICY, so it cannot drift from what the code enforces. Terms of service — absent from the submission checklist entirely until VER-DM4 — now exists as a structural draft marked for legal review, with warranty and liability left as an explicit placeholder. site.config.json holds six placeholders; the build exits non-zero and prints each unresolved value on the page itself while any remain. HOSTING.md gives the ordered path: fill six values, register a domain, upload site/ to any static host, verify the domain in Search Console, then LC-1. Suite now 882 tests across 47 suites at 100% across 51 modules, from a clean npm ci. New risks R-D22 (unreviewed legal text) and R-D23 (six values only Senthil can supply).</t>
        </is>
      </c>
      <c r="E57" s="28" t="inlineStr">
        <is>
          <t>Released</t>
        </is>
      </c>
    </row>
    <row r="58" ht="21.75" customHeight="1" s="22">
      <c r="A58" s="28" t="inlineStr">
        <is>
          <t>v034</t>
        </is>
      </c>
      <c r="B58" s="28" t="inlineStr">
        <is>
          <t>2026-09-14 13:59</t>
        </is>
      </c>
      <c r="C58" s="28" t="inlineStr">
        <is>
          <t>Claude for Senthil/KP</t>
        </is>
      </c>
      <c r="D58" s="28" t="inlineStr">
        <is>
          <t>DECISION PACK + CORRECTED SUBMISSION DRY RUN. No code changed; the suite is unchanged at 882 tests / 47 suites / 100% across 51 modules. (1) DECISION_PACK.md gives each of the seven open items a recommendation with the reasoning exposed, because "logged as an open decision" had started to function as a way of not making one — D-DM1 has been open since 13 Sep 11:56 and blocks the listing copy, the scope narrative and five story descriptions. (2) SUBMISSION_DRY_RUN.md re-measured: the old 10-of-20 was counted against a checklist that OMITTED TWO REQUIRED ITEMS — the icon family and card banner, and the terms-of-service link, both found by VER-DM4. A dry run cannot fail on an item it does not count. Three further items were stale: CL-11 demanded exactly 5 screenshots (1-10 accepted), CL-12 described the promo video as required and captioned (it is an optional YouTube link; the REQUIRED video is the separate OAuth verification demo), and CL-03 treated CASA as a certain multi-week paid item when it is triggered by restricted scopes we do not request. Now 11 of 22 satisfied: 10 blocking (9 Senthil, 1 third party) plus CASA applicability to verify. Nine of the eleven outstanding items sit behind hosting the three pages and then LC-1.</t>
        </is>
      </c>
      <c r="E58" s="28" t="inlineStr">
        <is>
          <t>Released</t>
        </is>
      </c>
    </row>
    <row r="59" ht="21.75" customHeight="1" s="22">
      <c r="A59" s="28" t="inlineStr">
        <is>
          <t>v035</t>
        </is>
      </c>
      <c r="B59" s="28" t="inlineStr">
        <is>
          <t>2026-09-15 09:09</t>
        </is>
      </c>
      <c r="C59" s="28" t="inlineStr">
        <is>
          <t>Claude for Senthil/KP</t>
        </is>
      </c>
      <c r="D59" s="28" t="inlineStr">
        <is>
          <t>POSTGRES CONTRACT SUITE — the adapter proved against a REAL engine for the first time. src/postgres.ts opens by admitting the interfaces "had never been implemented against a real database, so nobody knew whether they could be", and the existing suite then tested them against a FakeClient that returns whatever the test says. Two siblings found real defects the moment that fake was swapped for a real engine and neither was visible at 100% coverage: RevRescue L-RR9 (multi-statement DDL rejected by the prepared-statement path, so every migration would have failed on first contact with a live server; BYTEA rejecting the sealed JSON envelope) and TeleField R-T4 (a DATE column rehydrated as "Tue Sep 01"; the flush wired into one code path only). DocMerge now runs 10 contract tests against PGlite — real Postgres in-process, no server or container, so it runs in CI on a clean checkout. RESULT: CLEAN. Migrations apply, every purge table and column exists, accounts/tokens/templates round-trip, the cascade purge completes with row counts, and BIGINT coercion is proved through a wrapper that reproduces node-postgres returning int8 as a STRING (PGlite returns a number, so asserting typeof alone would have passed for the wrong reason — class C-07). A regression test pins the migration protocol: parameterising that call would break every migration, which is exactly the sibling defect. New CI job; deploy now also needs it. Unit suite unchanged at 882 / 47 suites / 100%; contract suite 10 tests, tracked separately as siblings do.</t>
        </is>
      </c>
      <c r="E59" s="28" t="inlineStr">
        <is>
          <t>Released</t>
        </is>
      </c>
    </row>
    <row r="60" ht="22.35" customHeight="1" s="22">
      <c r="A60" s="29" t="inlineStr">
        <is>
          <t>v036</t>
        </is>
      </c>
      <c r="B60" s="28" t="n"/>
      <c r="C60" s="28" t="n"/>
      <c r="D60" s="28" t="inlineStr">
        <is>
          <t>PLANNED: blocked on Senthil. The only unblocked portfolio work is merging the three gate packages and running the result against one sibling codebase (R-D18 / R-D26).</t>
        </is>
      </c>
      <c r="E60" s="28" t="inlineStr">
        <is>
          <t>Planned</t>
        </is>
      </c>
    </row>
    <row r="61">
      <c r="A61" s="45" t="inlineStr">
        <is>
          <t>v036</t>
        </is>
      </c>
      <c r="B61" s="45" t="inlineStr">
        <is>
          <t>2026-09-20 13:00</t>
        </is>
      </c>
      <c r="C61" s="45" t="inlineStr">
        <is>
          <t>Claude for Senthil/KP</t>
        </is>
      </c>
      <c r="D61" s="46" t="inlineStr">
        <is>
          <t>EXTERNAL REVIEW PPLX V001 INCORPORATED AND S13-S19 EXECUTED — the largest single session on this product. The review executed the code rather than reading it and found that DocMerge was DOMAIN-LOGIC-COMPLETE, NOT CODE-COMPLETE: every boundary to the outside world was an injected interface with no production implementation, `npm start` started nothing and exited 0, `npm run migrate` crashed on an undeclared `pg`, and the 280-component SBOM was entirely devDependencies. All twelve findings dispositioned: 9 accepted and fixed, 1 accepted as a planning correction, 2 answered in part and left as Senthil's decisions (pricing D-DM5, e-sign provider D-DM6). Seven sprints S13-S19 executed. Suite 882 -&gt; 1486 tests, 47 -&gt; 80 suites, coverage HELD at 100/100/100/100 throughout — the threshold was never lowered. `npm start` now opens a port and /healthz answers 200; six migrations apply against a real PostgreSQL 16; the SBOM covers 13 real runtime components. Four new standing gates (RG-05, RG-06, runtime-deps, integrationGate) and a claims gate. integrationGate fired 16 findings on its first run AFTER the remediation, including two stubs written in the same hour, and found a blind spot in itself. 21 new defects raised and 15 fixed (canonical range DM-F24..DM-F44; DM-F28 retired). An adversarial verification pass run AFTER every review finding was closed found twelve MORE problems, four serious — a published deletion policy with no executor (DM-F41) and three 'asserts exact URLs' claims that were tautologies (DM-F42) among them. New sheets: External_Review_PPLX_V001, Sprint_Plan_S13_S19_PPLX, S13..S19 build boards (107 tasks). Nothing removed.</t>
        </is>
      </c>
      <c r="E61" s="45" t="inlineStr">
        <is>
          <t>Released</t>
        </is>
      </c>
    </row>
    <row r="62">
      <c r="A62" s="45" t="inlineStr">
        <is>
          <t>v037</t>
        </is>
      </c>
      <c r="D62" s="45" t="inlineStr">
        <is>
          <t>PLANNED: LIVE VERIFICATION. Every Google call, the add-on install, the deploy sequence and the first paying install are owed against LC-1. No further unblocked engineering of this size remains on this product.</t>
        </is>
      </c>
      <c r="E62" s="45" t="inlineStr">
        <is>
          <t>Planned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8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1" min="1" max="1"/>
    <col width="17" customWidth="1" style="21" min="2" max="2"/>
    <col width="7" customWidth="1" style="21" min="3" max="3"/>
    <col width="95" customWidth="1" style="21" min="4" max="4"/>
    <col width="26" customWidth="1" style="21" min="5" max="5"/>
    <col width="34" customWidth="1" style="21" min="6" max="6"/>
    <col width="30" customWidth="1" style="21" min="7" max="7"/>
    <col width="16" customWidth="1" style="21" min="8" max="8"/>
  </cols>
  <sheetData>
    <row r="1" ht="17.25" customHeight="1" s="22">
      <c r="A1" s="23" t="inlineStr">
        <is>
          <t>SPRINT TRACKER LOG — every execution event, newest last</t>
        </is>
      </c>
    </row>
    <row r="3" ht="15" customHeight="1" s="22">
      <c r="A3" s="25" t="inlineStr">
        <is>
          <t>ID</t>
        </is>
      </c>
      <c r="B3" s="25" t="inlineStr">
        <is>
          <t>Date/Time</t>
        </is>
      </c>
      <c r="C3" s="25" t="inlineStr">
        <is>
          <t>Sprint</t>
        </is>
      </c>
      <c r="D3" s="25" t="inlineStr">
        <is>
          <t>What happened</t>
        </is>
      </c>
      <c r="E3" s="25" t="inlineStr">
        <is>
          <t>Refs</t>
        </is>
      </c>
      <c r="F3" s="25" t="inlineStr">
        <is>
          <t>State changes</t>
        </is>
      </c>
      <c r="G3" s="25" t="inlineStr">
        <is>
          <t>Blockers</t>
        </is>
      </c>
      <c r="H3" s="25" t="inlineStr">
        <is>
          <t>Next</t>
        </is>
      </c>
    </row>
    <row r="4" ht="23.25" customHeight="1" s="22">
      <c r="A4" s="26" t="inlineStr">
        <is>
          <t>E001</t>
        </is>
      </c>
      <c r="B4" s="26" t="inlineStr">
        <is>
          <t>2026-09-05 19:50</t>
        </is>
      </c>
      <c r="C4" s="26" t="inlineStr">
        <is>
          <t>—</t>
        </is>
      </c>
      <c r="D4" s="26" t="inlineStr">
        <is>
          <t>BASELINE — product workbook v007 released: spec, screen inventory, 100-story backlog (399 pts), formula sprint board, 18-month financial model, GTM, GWS launch checklist, risk register. All stories Backlog.</t>
        </is>
      </c>
      <c r="E4" s="26" t="inlineStr">
        <is>
          <t>v007</t>
        </is>
      </c>
      <c r="F4" s="26" t="inlineStr">
        <is>
          <t>Baseline set</t>
        </is>
      </c>
      <c r="G4" s="26" t="n"/>
      <c r="H4" s="26" t="inlineStr">
        <is>
          <t>Await build instruction</t>
        </is>
      </c>
    </row>
    <row r="5" ht="34.5" customHeight="1" s="22">
      <c r="A5" s="26" t="inlineStr">
        <is>
          <t>E002</t>
        </is>
      </c>
      <c r="B5" s="26" t="inlineStr">
        <is>
          <t>2026-09-10 22:17</t>
        </is>
      </c>
      <c r="C5" s="26" t="inlineStr">
        <is>
          <t>S0</t>
        </is>
      </c>
      <c r="D5" s="26" t="inlineStr">
        <is>
          <t>D13 APPLIED — S0 discovery interviews parked per portfolio decision (10 Sep 20:45); development proceeds with 100% automation coverage superseding the ST-085 &gt;=70% gate. S0 closed as parked; PRD baseline = Product_Spec sheet. S0 activities (interviews, verified platform terms, wireframe links) remain OWED, not done.</t>
        </is>
      </c>
      <c r="E5" s="26" t="inlineStr">
        <is>
          <t>D13</t>
        </is>
      </c>
      <c r="F5" s="26" t="inlineStr">
        <is>
          <t>S0 parked; S1 opened</t>
        </is>
      </c>
      <c r="G5" s="26" t="n"/>
      <c r="H5" s="26" t="inlineStr">
        <is>
          <t>S1 build</t>
        </is>
      </c>
    </row>
    <row r="6" ht="57" customHeight="1" s="22">
      <c r="A6" s="26" t="inlineStr">
        <is>
          <t>E003</t>
        </is>
      </c>
      <c r="B6" s="26" t="inlineStr">
        <is>
          <t>2026-09-10 22:17</t>
        </is>
      </c>
      <c r="C6" s="26" t="inlineStr">
        <is>
          <t>S1</t>
        </is>
      </c>
      <c r="D6" s="26" t="inlineStr">
        <is>
          <t>S1 FOUNDATION BUILT (product workbook -&gt; v008; code docmerge-pro-s1, TypeScript strict): ST-051 OAuth exchange -&gt; tokens -&gt; account -&gt; attributed welcome with the &lt;2-min budget enforced and testable; ST-052 uninstall webhook — token revoke + delete, 30-day retention deletion schedule, replay-idempotent; ST-055 TokenRefreshManager — expiry skew, rotated refresh token persisted immediately, invalid_grant -&gt; re-auth (no retry loop), single transient retry; ST-056 telemetry with listing/search/referral attribution and sink-failure isolation.</t>
        </is>
      </c>
      <c r="E6" s="26" t="inlineStr">
        <is>
          <t>ST-051,ST-052,ST-055,ST-056; v008</t>
        </is>
      </c>
      <c r="F6" s="26" t="inlineStr">
        <is>
          <t>4 stories Done-in-code (13 pts)</t>
        </is>
      </c>
      <c r="G6" s="26" t="inlineStr">
        <is>
          <t>Live install: GCP project + OAuth consent (LC-1) not yet created</t>
        </is>
      </c>
      <c r="H6" s="26" t="inlineStr">
        <is>
          <t>E004</t>
        </is>
      </c>
    </row>
    <row r="7" ht="23.25" customHeight="1" s="22">
      <c r="A7" s="26" t="inlineStr">
        <is>
          <t>E004</t>
        </is>
      </c>
      <c r="B7" s="26" t="inlineStr">
        <is>
          <t>2026-09-10 22:17</t>
        </is>
      </c>
      <c r="C7" s="26" t="inlineStr">
        <is>
          <t>S1</t>
        </is>
      </c>
      <c r="D7" s="26" t="inlineStr">
        <is>
          <t>D13 GATE MET — 37 tests, 100% x4 metrics, jest coverageThreshold pinned at 100 (any future commit below fails), tsc strict clean, zero pragmas.</t>
        </is>
      </c>
      <c r="E7" s="26" t="inlineStr">
        <is>
          <t>D13</t>
        </is>
      </c>
      <c r="F7" s="26" t="inlineStr">
        <is>
          <t>Evidence in Traceability col K</t>
        </is>
      </c>
      <c r="G7" s="26" t="n"/>
      <c r="H7" s="26" t="inlineStr">
        <is>
          <t>S2</t>
        </is>
      </c>
    </row>
    <row r="8" ht="68.25" customHeight="1" s="22">
      <c r="A8" s="26" t="inlineStr">
        <is>
          <t>E005</t>
        </is>
      </c>
      <c r="B8" s="26" t="inlineStr">
        <is>
          <t>2026-09-10 22:23</t>
        </is>
      </c>
      <c r="C8" s="26" t="inlineStr">
        <is>
          <t>S2</t>
        </is>
      </c>
      <c r="D8" s="26" t="inlineStr">
        <is>
          <t>S2 EXECUTED (-&gt; v009): Template designer part 1 — ST-001 one-screen defaults (pdf/pattern/folder), ST-002 happy-path render with placeholder/section parsing and per-field "add a column" messages, ST-003 validated rules (not_empty/equals/greater_than section toggles, multi-problem aggregation), ST-004 platform failure mapping 429/5xx/403/404/unknown with retry paths + withRetry backoff; ST-053 re-install restore inside the 30-day window (cancel purge, reactivate, re-issue tokens, attributed app_reinstalled); ST-054 owner/admin/member permission matrix as data, all 21 cells test-pinned, enforced at designer entry points.</t>
        </is>
      </c>
      <c r="E8" s="26" t="inlineStr">
        <is>
          <t>ST-001..004,ST-053,ST-054; v009</t>
        </is>
      </c>
      <c r="F8" s="26" t="inlineStr">
        <is>
          <t>6 stories Done-in-code (29 pts); total 10</t>
        </is>
      </c>
      <c r="G8" s="26" t="n"/>
      <c r="H8" s="26" t="inlineStr">
        <is>
          <t>S3</t>
        </is>
      </c>
    </row>
    <row r="9" ht="23.25" customHeight="1" s="22">
      <c r="A9" s="26" t="inlineStr">
        <is>
          <t>E006</t>
        </is>
      </c>
      <c r="B9" s="26" t="inlineStr">
        <is>
          <t>2026-09-10 22:23</t>
        </is>
      </c>
      <c r="C9" s="26" t="inlineStr">
        <is>
          <t>S2</t>
        </is>
      </c>
      <c r="D9" s="26" t="inlineStr">
        <is>
          <t>GATE MET — suite 101 tests, 100% x4, no pragmas (an unreachable defensive branch was restructured out rather than ignored).</t>
        </is>
      </c>
      <c r="E9" s="26" t="inlineStr">
        <is>
          <t>D13</t>
        </is>
      </c>
      <c r="F9" s="26" t="n"/>
      <c r="G9" s="26" t="n"/>
      <c r="H9" s="26" t="inlineStr">
        <is>
          <t>S3</t>
        </is>
      </c>
    </row>
    <row r="10" ht="79.5" customHeight="1" s="22">
      <c r="A10" s="26" t="inlineStr">
        <is>
          <t>E007</t>
        </is>
      </c>
      <c r="B10" s="26" t="inlineStr">
        <is>
          <t>2026-09-10 22:29</t>
        </is>
      </c>
      <c r="C10" s="26" t="inlineStr">
        <is>
          <t>S3</t>
        </is>
      </c>
      <c r="D10" s="26" t="inlineStr">
        <is>
          <t>S3 EXECUTED (-&gt; v010): Template designer part 2 — ST-005 SidebarController (Sheets/Docs host injected; list-&gt;designer-&gt;preview-from-active-row; Docs sample-data fallback), ST-006 TemplateMetrics (p95/success/trend), ST-007 AuditLog + wrapper recording allowed AND denied ops, ST-008 flag-only pause, ST-009 CSV importer (partial success, row-numbered errors) + &lt;&lt;legacy&gt;&gt; competitor conversion, ST-010 in-app+email notifications with per-type per-account mute. Batch skeleton — ST-011 job defaults, ST-012 per-row generation, ST-013 row rules reusing the designer evaluator, ST-014 per-row mapped errors + retryableRows + continueOnError. ST-085 closed SUPERSEDED by D13 (gate at 100%, not &gt;=70%).</t>
        </is>
      </c>
      <c r="E10" s="26" t="inlineStr">
        <is>
          <t>ST-005..014,ST-085; v010</t>
        </is>
      </c>
      <c r="F10" s="26" t="inlineStr">
        <is>
          <t>11 stories Done-in-code (47 pts); total 21</t>
        </is>
      </c>
      <c r="G10" s="26" t="n"/>
      <c r="H10" s="26" t="inlineStr">
        <is>
          <t>E008</t>
        </is>
      </c>
    </row>
    <row r="11" ht="34.5" customHeight="1" s="22">
      <c r="A11" s="26" t="inlineStr">
        <is>
          <t>E008</t>
        </is>
      </c>
      <c r="B11" s="26" t="inlineStr">
        <is>
          <t>2026-09-10 22:29</t>
        </is>
      </c>
      <c r="C11" s="26" t="inlineStr">
        <is>
          <t>S3</t>
        </is>
      </c>
      <c r="D11" s="26" t="inlineStr">
        <is>
          <t>DEFECT FOUND AND FIXED (caught by the 100% branch gate + failing test pre-merge): withRetry mapped ALL errors to a generic "unknown Google" message, burying actionable validation messages. Fix: non-platform errors pass through unmapped, no retry. GATE MET — 150 tests, 100% x4.</t>
        </is>
      </c>
      <c r="E11" s="26" t="inlineStr">
        <is>
          <t>D13; defect DF-1</t>
        </is>
      </c>
      <c r="F11" s="26" t="inlineStr">
        <is>
          <t>DF-1 closed</t>
        </is>
      </c>
      <c r="G11" s="26" t="n"/>
      <c r="H11" s="26" t="inlineStr">
        <is>
          <t>S4</t>
        </is>
      </c>
    </row>
    <row r="12" ht="90.75" customHeight="1" s="22">
      <c r="A12" s="26" t="inlineStr">
        <is>
          <t>E009</t>
        </is>
      </c>
      <c r="B12" s="26" t="inlineStr">
        <is>
          <t>2026-09-10 22:52</t>
        </is>
      </c>
      <c r="C12" s="26" t="inlineStr">
        <is>
          <t>S4</t>
        </is>
      </c>
      <c r="D12" s="26" t="inlineStr">
        <is>
          <t>S4 EXECUTED (-&gt; v011): Batch part 2 — ST-015 BatchSidebarController end-to-end with guidance on wrong turns, ST-016 BatchMetrics, ST-017 GovernedBatchRunner (permission asserted + audited up front incl. denials), ST-018 job-level pause, ST-019 row-data CSV + competitor import with header validation, ST-020 batch_completed/batch_failed notifications with retryable counts, mute honoured. Observability — ST-071 ActivationFunnel (install-&gt;setup-&gt;aha-&gt;habit, implied stages, conversions dashboard), ST-072 ErrorTracker (release tagging, spike alert current &gt; factor x previous with floor, one-shot until acknowledged). ST-086 E2E smoke: 10-step full product loop; .github/workflows/ci.yml deploy job REQUIRES smoke, smoke requires the 100%-gated suite; npm run test:smoke green standalone.</t>
        </is>
      </c>
      <c r="E12" s="26" t="inlineStr">
        <is>
          <t>ST-015..020,ST-071,ST-072,ST-086; v011</t>
        </is>
      </c>
      <c r="F12" s="26" t="inlineStr">
        <is>
          <t>9 stories Done-in-code (34 pts); total 30. MVP loop demonstrated end-to-end in code (S4 exit criterion)</t>
        </is>
      </c>
      <c r="G12" s="26" t="inlineStr">
        <is>
          <t>Live E2E on real Sheets/Drive pending LC-1</t>
        </is>
      </c>
      <c r="H12" s="26" t="inlineStr">
        <is>
          <t>S5</t>
        </is>
      </c>
    </row>
    <row r="13" ht="23.25" customHeight="1" s="22">
      <c r="A13" s="26" t="inlineStr">
        <is>
          <t>E010</t>
        </is>
      </c>
      <c r="B13" s="26" t="inlineStr">
        <is>
          <t>2026-09-10 22:52</t>
        </is>
      </c>
      <c r="C13" s="26" t="inlineStr">
        <is>
          <t>S4</t>
        </is>
      </c>
      <c r="D13" s="26" t="inlineStr">
        <is>
          <t>FIXTURE DEFECT fixed mid-sprint: an all-empty row object is skipped_empty by design (vacuous truth), not a validation failure — test corrected to a non-empty row missing the required field. GATE MET — 180 tests, 100% x4.</t>
        </is>
      </c>
      <c r="E13" s="26" t="inlineStr">
        <is>
          <t>D13; defect DF-2</t>
        </is>
      </c>
      <c r="F13" s="26" t="inlineStr">
        <is>
          <t>DF-2 closed</t>
        </is>
      </c>
      <c r="G13" s="26" t="n"/>
      <c r="H13" s="26" t="inlineStr">
        <is>
          <t>S5</t>
        </is>
      </c>
    </row>
    <row r="14" ht="68.25" customHeight="1" s="22">
      <c r="A14" s="26" t="inlineStr">
        <is>
          <t>E011</t>
        </is>
      </c>
      <c r="B14" s="26" t="inlineStr">
        <is>
          <t>2026-09-10 23:03</t>
        </is>
      </c>
      <c r="C14" s="26" t="inlineStr">
        <is>
          <t>S5</t>
        </is>
      </c>
      <c r="D14" s="26" t="inlineStr">
        <is>
          <t>S5 EXECUTED (-&gt; v012): E-sign requests — ST-021 defaults (sequential, 14-day expiry, email validation), ST-022 lifecycle draft-&gt;sent-&gt;partially_signed-&gt;completed/declined/expired with turn enforcement naming whose turn it is, ST-023 draft-only rules (expiry 1-90, domain allow-lists vs actual signers), ST-024 delivery via withRetry with NO half-sent state on exhausted failure, ST-025 sidebar create-&gt;send-&gt;track with transition detection, ST-026 EsignMetrics, ST-027 allow/deny audit, ST-028 pause preserving collected signatures, ST-029 signer CSV + competitor import, ST-030 esign_sent/completed/declined mute-aware notifications.</t>
        </is>
      </c>
      <c r="E14" s="26" t="inlineStr">
        <is>
          <t>ST-021..030; v012</t>
        </is>
      </c>
      <c r="F14" s="26" t="inlineStr">
        <is>
          <t>10 stories Done-in-code (42 pts)</t>
        </is>
      </c>
      <c r="G14" s="26" t="n"/>
      <c r="H14" s="26" t="inlineStr">
        <is>
          <t>E012</t>
        </is>
      </c>
    </row>
    <row r="15" ht="34.5" customHeight="1" s="22">
      <c r="A15" s="26" t="inlineStr">
        <is>
          <t>E012</t>
        </is>
      </c>
      <c r="B15" s="26" t="inlineStr">
        <is>
          <t>2026-09-10 23:03</t>
        </is>
      </c>
      <c r="C15" s="26" t="inlineStr">
        <is>
          <t>S5</t>
        </is>
      </c>
      <c r="D15" s="26" t="inlineStr">
        <is>
          <t>Alpha hardening: ST-078 FirstRunChecklist (aha = first generated document; honest &lt;1-day budget verdict incl. over-budget and idempotent cases); ST-079 EMPTY_STATES for all 9 Screens_Wireframes screens, each teaching the next action, completeness test-asserted.</t>
        </is>
      </c>
      <c r="E15" s="26" t="inlineStr">
        <is>
          <t>ST-078,ST-079; v012</t>
        </is>
      </c>
      <c r="F15" s="26" t="inlineStr">
        <is>
          <t>12 S5 stories Done-in-code (50 pts); total 42/100 (173/399 pts)</t>
        </is>
      </c>
      <c r="G15" s="26" t="inlineStr">
        <is>
          <t>Alpha "team dogfoods daily" exit needs live install</t>
        </is>
      </c>
      <c r="H15" s="26" t="inlineStr">
        <is>
          <t>E013</t>
        </is>
      </c>
    </row>
    <row r="16" ht="34.5" customHeight="1" s="22">
      <c r="A16" s="26" t="inlineStr">
        <is>
          <t>E013</t>
        </is>
      </c>
      <c r="B16" s="26" t="inlineStr">
        <is>
          <t>2026-09-10 23:03</t>
        </is>
      </c>
      <c r="C16" s="26" t="inlineStr">
        <is>
          <t>S5</t>
        </is>
      </c>
      <c r="D16" s="26" t="inlineStr">
        <is>
          <t>GATE MET — 18 suites / 217 tests, 100% statements/branches/functions/lines across 19 modules, tsc strict clean, smoke green. Coverage cleanliness: two same-pattern deny branches covered via spied assertPermission (all real roles may generate); one redundant re-export removed rather than pragma-ignored.</t>
        </is>
      </c>
      <c r="E16" s="26" t="inlineStr">
        <is>
          <t>D13</t>
        </is>
      </c>
      <c r="F16" s="26" t="inlineStr">
        <is>
          <t>Evidence per story in Traceability col K</t>
        </is>
      </c>
      <c r="G16" s="26" t="n"/>
      <c r="H16" s="26" t="inlineStr">
        <is>
          <t>S6 (billing + Drive filing)</t>
        </is>
      </c>
    </row>
    <row r="17" ht="34.5" customHeight="1" s="22">
      <c r="A17" s="26" t="inlineStr">
        <is>
          <t>E014</t>
        </is>
      </c>
      <c r="B17" s="26" t="inlineStr">
        <is>
          <t>2026-09-10 23:03</t>
        </is>
      </c>
      <c r="C17" s="26" t="inlineStr">
        <is>
          <t>—</t>
        </is>
      </c>
      <c r="D17" s="26" t="inlineStr">
        <is>
          <t>THIS TRACKER v001 OPENED per Senthil 23:03 instruction, mirroring the TeleField v001 pattern: multi-version sprint log (this sheet), per-sprint build boards S1-S5, 100-story traceability with Done-in-code statuses + evidence, formula Sprint_Status_Rollup, RAID, completion Gate_Checklist.</t>
        </is>
      </c>
      <c r="E17" s="26" t="inlineStr">
        <is>
          <t>TeleField v001 pattern</t>
        </is>
      </c>
      <c r="F17" s="26" t="inlineStr">
        <is>
          <t>Tracker live</t>
        </is>
      </c>
      <c r="G17" s="26" t="n"/>
      <c r="H17" s="26" t="inlineStr">
        <is>
          <t>v002 at S6</t>
        </is>
      </c>
    </row>
    <row r="18" ht="57" customHeight="1" s="22">
      <c r="A18" s="26" t="inlineStr">
        <is>
          <t>E015</t>
        </is>
      </c>
      <c r="B18" s="26" t="inlineStr">
        <is>
          <t>2026-09-11 08:20</t>
        </is>
      </c>
      <c r="C18" s="26" t="inlineStr">
        <is>
          <t>S6</t>
        </is>
      </c>
      <c r="D18" s="26" t="inlineStr">
        <is>
          <t>S6 EXECUTED (-&gt; v013): Auto-file to Drive — ST-031 defaults; ST-032 pattern-driven filing (built-in {{template}}/{{row}}/{{yyyy}}/{{mm}} + row tokens, NAMED missing-token errors); ST-033 first-match routing rules; ST-034 all Drive ops under withRetry with mapped errors; ST-035 sidebar file-last-batch; ST-036 metrics; ST-037 allow/deny audit on rules AND filing; ST-038 account-scoped pause; ST-039 routing-rule CSV + competitor import; ST-040 filing notifications. Conflict policies: rename (first free number), overwrite, skip.</t>
        </is>
      </c>
      <c r="E18" s="26" t="inlineStr">
        <is>
          <t>ST-031..040; v013</t>
        </is>
      </c>
      <c r="F18" s="26" t="inlineStr">
        <is>
          <t>10 stories Done-in-code (42 pts)</t>
        </is>
      </c>
      <c r="G18" s="26" t="inlineStr">
        <is>
          <t>Real Drive API contract verification at LC-1</t>
        </is>
      </c>
      <c r="H18" s="26" t="inlineStr">
        <is>
          <t>E016</t>
        </is>
      </c>
    </row>
    <row r="19" ht="57" customHeight="1" s="22">
      <c r="A19" s="26" t="inlineStr">
        <is>
          <t>E016</t>
        </is>
      </c>
      <c r="B19" s="26" t="inlineStr">
        <is>
          <t>2026-09-11 08:20</t>
        </is>
      </c>
      <c r="C19" s="26" t="inlineStr">
        <is>
          <t>S6</t>
        </is>
      </c>
      <c r="D19" s="26" t="inlineStr">
        <is>
          <t>Billing — ST-057 no-card 14-day trial with honest banner (14 -&gt; "1 day" singular -&gt; ended -&gt; hidden after subscribe); ST-058 mid-cycle proration to the cent both directions (upgrade $11.33 charge / downgrade $8.50 credit cases), declined prorated charge leaves plan unchanged; ST-059 provider routing (marketplace API where mandated, Stripe fallback elsewhere) + dunning: idempotent past_due, 1/3/7-day retries with recovery-to-active, grace period, downgrade to FREE with data intact.</t>
        </is>
      </c>
      <c r="E19" s="26" t="inlineStr">
        <is>
          <t>ST-057..059; v013</t>
        </is>
      </c>
      <c r="F19" s="26" t="inlineStr">
        <is>
          <t>3 stories Done-in-code (18 pts); S6 total 13/13 (60 pts); cumulative 55/100 (233/399 pts)</t>
        </is>
      </c>
      <c r="G19" s="26" t="inlineStr">
        <is>
          <t>Live Stripe/marketplace billing config = Senthil accounts; GST/tax handling not yet scoped (flag)</t>
        </is>
      </c>
      <c r="H19" s="26" t="inlineStr">
        <is>
          <t>E017</t>
        </is>
      </c>
    </row>
    <row r="20" ht="34.5" customHeight="1" s="22">
      <c r="A20" s="26" t="inlineStr">
        <is>
          <t>E017</t>
        </is>
      </c>
      <c r="B20" s="26" t="inlineStr">
        <is>
          <t>2026-09-11 08:20</t>
        </is>
      </c>
      <c r="C20" s="26" t="inlineStr">
        <is>
          <t>S6</t>
        </is>
      </c>
      <c r="D20" s="26" t="inlineStr">
        <is>
          <t>GATE MET — 21 suites / 264 tests, 100% x4 across 22 modules, tsc strict clean, smoke green standalone. NOTE: R-D1 trigger reached — Risk_Register says schedule CASA Tier 2 at S6; booking is a Senthil action (needs GCP project first, LC-1). S6 exit criterion "can charge a test customer" is code-complete; LIVE charge needs Stripe keys.</t>
        </is>
      </c>
      <c r="E20" s="26" t="inlineStr">
        <is>
          <t>D13; R-D1; LC-3</t>
        </is>
      </c>
      <c r="F20" s="26" t="inlineStr">
        <is>
          <t>Gate_Checklist LC-3 flagged DUE</t>
        </is>
      </c>
      <c r="G20" s="26" t="inlineStr">
        <is>
          <t>LC-1 + CASA booking = Senthil</t>
        </is>
      </c>
      <c r="H20" s="26" t="inlineStr">
        <is>
          <t>S7</t>
        </is>
      </c>
    </row>
    <row r="21" ht="45.75" customHeight="1" s="22">
      <c r="A21" s="26" t="inlineStr">
        <is>
          <t>E018</t>
        </is>
      </c>
      <c r="B21" s="26" t="inlineStr">
        <is>
          <t>2026-09-13 09:55</t>
        </is>
      </c>
      <c r="C21" s="26" t="inlineStr">
        <is>
          <t>S7</t>
        </is>
      </c>
      <c r="D21" s="26" t="inlineStr">
        <is>
          <t>S7 EXECUTED (-&gt; v014): ST-060 dunning UX — exactly 3 emails on the 1/3/7-day schedule with catch-up if ticks are missed, 7-day grace, then read-only mode; the read-only error states plainly that documents and templates are all still there. ST-061 plan limits across documents/templates/seats with no prompt &lt;80%, warning 80-99%, blocking prompt at 100% that reassures nothing made is affected; monthly reset isolated to the document counter.</t>
        </is>
      </c>
      <c r="E21" s="26" t="inlineStr">
        <is>
          <t>ST-060,ST-061; v014</t>
        </is>
      </c>
      <c r="F21" s="26" t="inlineStr">
        <is>
          <t>2 stories Done-in-code (6 pts)</t>
        </is>
      </c>
      <c r="G21" s="26" t="n"/>
      <c r="H21" s="26" t="inlineStr">
        <is>
          <t>E019</t>
        </is>
      </c>
    </row>
    <row r="22" ht="45.75" customHeight="1" s="22">
      <c r="A22" s="26" t="inlineStr">
        <is>
          <t>E019</t>
        </is>
      </c>
      <c r="B22" s="26" t="inlineStr">
        <is>
          <t>2026-09-13 09:55</t>
        </is>
      </c>
      <c r="C22" s="26" t="inlineStr">
        <is>
          <t>S7</t>
        </is>
      </c>
      <c r="D22" s="26" t="inlineStr">
        <is>
          <t>CORRECTION LOGGED — S6 built ST-059 dunning to end in downgrade-to-free. ST-060 specifies READ-ONLY as the terminal state. Read-only is now terminal: the plan and all data are retained and writes are blocked, which is strictly less destructive than downgrading, and paying restores access instantly. Recorded here rather than silently reconciled so the two stories' specs and the shipped behaviour stay auditable.</t>
        </is>
      </c>
      <c r="E22" s="26" t="inlineStr">
        <is>
          <t>ST-059 vs ST-060</t>
        </is>
      </c>
      <c r="F22" s="26" t="inlineStr">
        <is>
          <t>ST-059 terminal behaviour superseded</t>
        </is>
      </c>
      <c r="G22" s="26" t="n"/>
      <c r="H22" s="26" t="inlineStr">
        <is>
          <t>E020</t>
        </is>
      </c>
    </row>
    <row r="23" ht="68.25" customHeight="1" s="22">
      <c r="A23" s="26" t="inlineStr">
        <is>
          <t>E020</t>
        </is>
      </c>
      <c r="B23" s="26" t="inlineStr">
        <is>
          <t>2026-09-13 09:55</t>
        </is>
      </c>
      <c r="C23" s="26" t="inlineStr">
        <is>
          <t>S7</t>
        </is>
      </c>
      <c r="D23" s="26" t="inlineStr">
        <is>
          <t>ST-062 invoices/receipts: numbered invoices, GST/VAT computed, customer tax IDs recorded, B2B reverse charge at zero tax with the required note, multi-line rounding to cents, CSV receipt rendering. This CLOSES the GST/tax scope gap flagged at S6 (E016) — it was already a backlog story, not an omission. ST-063 cancellation: save-offer matched to the stated reason (too_expensive-&gt;discount, no_longer_needed-&gt;pause, otherwise-&gt;downgrade), offered once per account only, exit survey recorded with reason aggregation for the beta review, access retained to period end when the offer is declined.</t>
        </is>
      </c>
      <c r="E23" s="26" t="inlineStr">
        <is>
          <t>ST-062,ST-063; v014</t>
        </is>
      </c>
      <c r="F23" s="26" t="inlineStr">
        <is>
          <t>2 stories Done-in-code (6 pts); S6 tax flag CLOSED</t>
        </is>
      </c>
      <c r="G23" s="26" t="n"/>
      <c r="H23" s="26" t="inlineStr">
        <is>
          <t>E021</t>
        </is>
      </c>
    </row>
    <row r="24" ht="68.25" customHeight="1" s="22">
      <c r="A24" s="26" t="inlineStr">
        <is>
          <t>E021</t>
        </is>
      </c>
      <c r="B24" s="26" t="inlineStr">
        <is>
          <t>2026-09-13 09:55</t>
        </is>
      </c>
      <c r="C24" s="26" t="inlineStr">
        <is>
          <t>S7</t>
        </is>
      </c>
      <c r="D24" s="26" t="inlineStr">
        <is>
          <t>ST-064 least-privilege: SCOPE_MANIFEST maps every requested scope 1:1 to a shipped feature + implementing stories + why-not-narrower rationale; auditScopes() fails the build on unjustified scopes, scopes whose stories have not shipped, duplicates, or broad scopes where a narrower alternative exists. Shipped manifest requests only drive.file, spreadsheets.readonly, documents, userinfo.email — no full-Drive, no Sheets write, no profile scope. SCOPE_NARRATIVE.md generated as submission evidence. GATE MET — 23 suites / 305 tests / 100% x4 across 24 modules / smoke green.</t>
        </is>
      </c>
      <c r="E24" s="26" t="inlineStr">
        <is>
          <t>ST-064; D13; LC-2</t>
        </is>
      </c>
      <c r="F24" s="26" t="inlineStr">
        <is>
          <t>S7 5/5 Done-in-code (15 pts); cumulative 60/100 (248/399 pts). First LC evidence artefact produced.</t>
        </is>
      </c>
      <c r="G24" s="26" t="inlineStr">
        <is>
          <t>S7 exit ("3+ partners active weekly; NPS &gt;30") needs real design partners — blocked on LC-1</t>
        </is>
      </c>
      <c r="H24" s="26" t="inlineStr">
        <is>
          <t>S8</t>
        </is>
      </c>
    </row>
    <row r="25" ht="68.25" customHeight="1" s="22">
      <c r="A25" s="26" t="inlineStr">
        <is>
          <t>E022</t>
        </is>
      </c>
      <c r="B25" s="26" t="inlineStr">
        <is>
          <t>2026-09-13 10:22</t>
        </is>
      </c>
      <c r="C25" s="26" t="inlineStr">
        <is>
          <t>S8</t>
        </is>
      </c>
      <c r="D25" s="26" t="inlineStr">
        <is>
          <t>S8 EXECUTED (-&gt; v015) part 1 — Form-triggered generation ST-041..050. Design point: a form submission is an EVENT, not a batch row. Webhook redelivery is normal, so processed-id dedupe sits in the core pipeline (a replay returns "duplicate", never a second document); a FAILED submission is deliberately left unprocessed so redelivery retries it; failures return as results rather than throwing, so one bad submission cannot take the webhook endpoint down. Plus question-&gt;placeholder mapping, conditions with audit, sidebar activity feed (20 most recent, newest first), metrics, pause, field-map CSV + competitor import, notifications.</t>
        </is>
      </c>
      <c r="E25" s="26" t="inlineStr">
        <is>
          <t>ST-041..050; v015</t>
        </is>
      </c>
      <c r="F25" s="26" t="inlineStr">
        <is>
          <t>10 stories Done-in-code (42 pts)</t>
        </is>
      </c>
      <c r="G25" s="26" t="inlineStr">
        <is>
          <t>Real Forms webhook contract unverified — blocked by LC-1</t>
        </is>
      </c>
      <c r="H25" s="26" t="inlineStr">
        <is>
          <t>E023</t>
        </is>
      </c>
    </row>
    <row r="26" ht="79.5" customHeight="1" s="22">
      <c r="A26" s="26" t="inlineStr">
        <is>
          <t>E023</t>
        </is>
      </c>
      <c r="B26" s="26" t="inlineStr">
        <is>
          <t>2026-09-13 10:22</t>
        </is>
      </c>
      <c r="C26" s="26" t="inlineStr">
        <is>
          <t>S8</t>
        </is>
      </c>
      <c r="D26" s="26" t="inlineStr">
        <is>
          <t>Part 2 — Compliance/security ST-065/066/067/070. The data-flow diagram and retention policy are VALIDATED IN CODE, not just written: unknown edge endpoints, unencrypted hops, orphan nodes, and retention rules with no implementing story all fail the test — then published as DATA_FLOW_AND_RETENTION.md for the privacy pack (LC-7). Posture verifier blocks on unencrypted storage, absent TLS, hard-coded secrets, or env-sourced secrets in production. Admin audit log is hash-chained so an edited OR deleted entry is detectable, and its own CSV export is itself audited. Circuit breaker (closed/open/half-open): backoff handles a blip, the breaker handles an outage — without it retries amplify load on an already-failing service and burn the customer quota.</t>
        </is>
      </c>
      <c r="E26" s="26" t="inlineStr">
        <is>
          <t>ST-065,066,067,070; v015; LC-7</t>
        </is>
      </c>
      <c r="F26" s="26" t="inlineStr">
        <is>
          <t>4 stories Done-in-code (18 pts); LC-7 evidence artefact published</t>
        </is>
      </c>
      <c r="G26" s="26" t="n"/>
      <c r="H26" s="26" t="inlineStr">
        <is>
          <t>E024</t>
        </is>
      </c>
    </row>
    <row r="27" ht="68.25" customHeight="1" s="22">
      <c r="A27" s="26" t="inlineStr">
        <is>
          <t>E024</t>
        </is>
      </c>
      <c r="B27" s="26" t="inlineStr">
        <is>
          <t>2026-09-13 10:22</t>
        </is>
      </c>
      <c r="C27" s="26" t="inlineStr">
        <is>
          <t>S8</t>
        </is>
      </c>
      <c r="D27" s="26" t="inlineStr">
        <is>
          <t>Part 3 — Analytics ST-073..077 + QE ST-087/088/092. Heatmap surfaces the UNUSED features (the roadmap-relevant half); health score always carries its reasons because a bare number cannot be acted on; weekly digest, CSV/warehouse export, configurable thresholds. p95 budgets defined per surface with headroom monitoring; the 5x load test is written deterministically (injected worker, no wall-clock sleeps) so it runs on EVERY commit instead of once before launch; blue/green deploy health-checks the idle colour BEFORE any traffic moves, and droppedRequests is measured rather than asserted.</t>
        </is>
      </c>
      <c r="E27" s="26" t="inlineStr">
        <is>
          <t>ST-073..077,087,088,092; v015</t>
        </is>
      </c>
      <c r="F27" s="26" t="inlineStr">
        <is>
          <t>8 stories Done-in-code (27 pts); S8 total 22/22 (87 pts); cumulative 82/100 (335/399 pts)</t>
        </is>
      </c>
      <c r="G27" s="26" t="inlineStr">
        <is>
          <t>Load test runs against injected workers, not live infra — real numbers need LC-1</t>
        </is>
      </c>
      <c r="H27" s="26" t="inlineStr">
        <is>
          <t>E025</t>
        </is>
      </c>
    </row>
    <row r="28" ht="68.25" customHeight="1" s="22">
      <c r="A28" s="26" t="inlineStr">
        <is>
          <t>E025</t>
        </is>
      </c>
      <c r="B28" s="26" t="inlineStr">
        <is>
          <t>2026-09-13 10:22</t>
        </is>
      </c>
      <c r="C28" s="26" t="inlineStr">
        <is>
          <t>S8</t>
        </is>
      </c>
      <c r="D28" s="26" t="inlineStr">
        <is>
          <t>GATE MET after fixes — 26 suites / 385 tests / 100% x4 across 28 modules / tsc strict clean / smoke green. THREE DEFECTS caught pre-merge, all on the TEST side: (1) a form-trigger expectation assumed a two-placeholder template when the fixture used one; (2) a heatmap assertion put an event in day 0 when the window boundary places it in day 1; (3) a digest assertion looked for the word "churn" in a message that names the metric instead. Source side: one dead branch in the heatmap totals lookup was restructured away rather than ignored, and the blue-rollback colour path got the test it was missing. Recorded because "the tests were wrong" is still a finding worth logging.</t>
        </is>
      </c>
      <c r="E28" s="26" t="inlineStr">
        <is>
          <t>D13</t>
        </is>
      </c>
      <c r="F28" s="26" t="inlineStr">
        <is>
          <t>S8 closed</t>
        </is>
      </c>
      <c r="G28" s="26" t="inlineStr">
        <is>
          <t>S8 exit ("beta cohort WoW retention &gt;60%") needs live users — LC-1</t>
        </is>
      </c>
      <c r="H28" s="26" t="inlineStr">
        <is>
          <t>S9</t>
        </is>
      </c>
    </row>
    <row r="29" ht="68.25" customHeight="1" s="22">
      <c r="A29" s="26" t="inlineStr">
        <is>
          <t>E026</t>
        </is>
      </c>
      <c r="B29" s="26" t="inlineStr">
        <is>
          <t>2026-09-13 10:35</t>
        </is>
      </c>
      <c r="C29" s="26" t="inlineStr">
        <is>
          <t>S9</t>
        </is>
      </c>
      <c r="D29" s="26" t="inlineStr">
        <is>
          <t>ST-068 PARTIAL — NOT CLOSED. Built the security evidence pack (9 controls: auth, authorisation, least privilege, data handling, auditability, resilience all verified in code with test references; encryption posture, pen test, and backup/restore flagged as needing external evidence) and published SECURITY_EVIDENCE_PACK.md. The pack itself states, in the document, that it is not a pen test. buildEvidencePack().readyForSubmission is false by construction while any control lacks evidence, so this cannot be quietly marked complete later. A penetration test needs a third party, a deployed target, and a budget — all Senthil actions.</t>
        </is>
      </c>
      <c r="E29" s="26" t="inlineStr">
        <is>
          <t>ST-068; LC-3; SC-08</t>
        </is>
      </c>
      <c r="F29" s="26" t="inlineStr">
        <is>
          <t>ST-068 In progress (6 of 9 controls evidenced)</t>
        </is>
      </c>
      <c r="G29" s="26" t="inlineStr">
        <is>
          <t>Pen test unbooked; needs deployed infra (LC-1) and budget</t>
        </is>
      </c>
      <c r="H29" s="26" t="inlineStr">
        <is>
          <t>E027</t>
        </is>
      </c>
    </row>
    <row r="30" ht="57" customHeight="1" s="22">
      <c r="A30" s="26" t="inlineStr">
        <is>
          <t>E027</t>
        </is>
      </c>
      <c r="B30" s="26" t="inlineStr">
        <is>
          <t>2026-09-13 10:35</t>
        </is>
      </c>
      <c r="C30" s="26" t="inlineStr">
        <is>
          <t>S9</t>
        </is>
      </c>
      <c r="D30" s="26" t="inlineStr">
        <is>
          <t>ST-069 self-serve data rights: export gated to owner/admin, returning the bundle WITH an explicit exclusions list (generated documents live in the customer Drive and were never stored; sheet rows never persisted; OAuth tokens never exported) rather than silently omitting them; owner-only deletion request creating a cancellable 7-day-grace receipt, repeat requests returning the original receipt instead of extending the window, and executeDue recording exactly what was deleted. Closes the self-serve half of LC-7.</t>
        </is>
      </c>
      <c r="E30" s="26" t="inlineStr">
        <is>
          <t>ST-069; LC-7</t>
        </is>
      </c>
      <c r="F30" s="26" t="inlineStr">
        <is>
          <t>1 story Done-in-code (5 pts)</t>
        </is>
      </c>
      <c r="G30" s="26" t="n"/>
      <c r="H30" s="26" t="inlineStr">
        <is>
          <t>E028</t>
        </is>
      </c>
    </row>
    <row r="31" ht="57" customHeight="1" s="22">
      <c r="A31" s="26" t="inlineStr">
        <is>
          <t>E028</t>
        </is>
      </c>
      <c r="B31" s="26" t="inlineStr">
        <is>
          <t>2026-09-13 10:35</t>
        </is>
      </c>
      <c r="C31" s="26" t="inlineStr">
        <is>
          <t>S9</t>
        </is>
      </c>
      <c r="D31" s="26" t="inlineStr">
        <is>
          <t>ST-090 restore drill + ST-091 chaos. The drill verifies restored ROW COUNTS against the backup manifest as part of the pass condition — a restore that "succeeds" without checking contents evidences nothing — alongside RTO/RPO targets, and catches a table the restore omitted entirely. Chaos simulation proves each of the five dependency outages leaves the product usable and every lost capability carries a message telling the user what is safe; the guard conditions were made injectable specifically so they can fire, because a check that can never fail is not a check.</t>
        </is>
      </c>
      <c r="E31" s="26" t="inlineStr">
        <is>
          <t>ST-090, ST-091</t>
        </is>
      </c>
      <c r="F31" s="26" t="inlineStr">
        <is>
          <t>2 stories Done-in-code (6 pts)</t>
        </is>
      </c>
      <c r="G31" s="26" t="inlineStr">
        <is>
          <t>Both harnesses need real backups / real infra for meaningful numbers (R-D9 class)</t>
        </is>
      </c>
      <c r="H31" s="26" t="inlineStr">
        <is>
          <t>E029</t>
        </is>
      </c>
    </row>
    <row r="32" ht="102" customHeight="1" s="22">
      <c r="A32" s="26" t="inlineStr">
        <is>
          <t>E029</t>
        </is>
      </c>
      <c r="B32" s="26" t="inlineStr">
        <is>
          <t>2026-09-13 10:35</t>
        </is>
      </c>
      <c r="C32" s="26" t="inlineStr">
        <is>
          <t>S9</t>
        </is>
      </c>
      <c r="D32" s="26" t="inlineStr">
        <is>
          <t>ST-089 accessibility + ST-093/094 listing. WCAG AA audit implements real relative-luminance maths; the shipped 6-pair palette passes, with the large-text threshold applied separately; accessible-name, keyboard, and focus failures plus target-size warnings. Two listing variants written on genuinely different angles (problem-led vs outcome-led) and a reviewer that fails a same-angle A/B outright and flags five classes of claim that invite rejection — implied Google endorsement, absolute security, unqualified guarantees, superlatives, and "free forever" pricing promises the billing model does not support. Asset validator covers the 5 screenshots and the captioned 30-120s video. LISTING_PACK.md published. GATE MET — 28 suites / 432 tests / 100% x4 across 30 modules. Three fixes this sprint: a test fixture too faint even for the large-text bar, one genuinely unreachable guard removed rather than ignored, and a missing-table drill case added.</t>
        </is>
      </c>
      <c r="E32" s="26" t="inlineStr">
        <is>
          <t>ST-089, ST-093, ST-094; D13</t>
        </is>
      </c>
      <c r="F32" s="26" t="inlineStr">
        <is>
          <t>S9: 6 Done-in-code + 1 In progress; cumulative 88/100 (357/399 pts)</t>
        </is>
      </c>
      <c r="G32" s="26" t="inlineStr">
        <is>
          <t>S9 exit ("review submission accepted into queue") needs LC-1 and the pen test</t>
        </is>
      </c>
      <c r="H32" s="26" t="inlineStr">
        <is>
          <t>S10</t>
        </is>
      </c>
    </row>
    <row r="33" ht="45.75" customHeight="1" s="22">
      <c r="A33" s="26" t="inlineStr">
        <is>
          <t>E030</t>
        </is>
      </c>
      <c r="B33" s="26" t="inlineStr">
        <is>
          <t>2026-09-13 10:43</t>
        </is>
      </c>
      <c r="C33" s="26" t="inlineStr">
        <is>
          <t>S10</t>
        </is>
      </c>
      <c r="D33" s="26" t="inlineStr">
        <is>
          <t>ST-080 help centre: 15 launch articles, each naming the stories whose behaviour it documents so docs cannot drift from code unnoticed, plus a coverage report over launch-critical journeys. Search is weighted (exact keyword 10 &gt; partial 6 &gt; title 5 &gt; summary 3 &gt; body 1) so someone typing "vat" lands on invoicing rather than every article containing the word, with deterministic tie-breaking.</t>
        </is>
      </c>
      <c r="E33" s="26" t="inlineStr">
        <is>
          <t>ST-080</t>
        </is>
      </c>
      <c r="F33" s="26" t="inlineStr">
        <is>
          <t>1 story Done-in-code (5 pts)</t>
        </is>
      </c>
      <c r="G33" s="26" t="n"/>
      <c r="H33" s="26" t="inlineStr">
        <is>
          <t>E031</t>
        </is>
      </c>
    </row>
    <row r="34" ht="57" customHeight="1" s="22">
      <c r="A34" s="26" t="inlineStr">
        <is>
          <t>E031</t>
        </is>
      </c>
      <c r="B34" s="26" t="inlineStr">
        <is>
          <t>2026-09-13 10:43</t>
        </is>
      </c>
      <c r="C34" s="26" t="inlineStr">
        <is>
          <t>S10</t>
        </is>
      </c>
      <c r="D34" s="26" t="inlineStr">
        <is>
          <t>ST-081 in-app chat SLA measured in BUSINESS hours, not wall clock: Friday 17:00 to Monday 09:00 is 64 calendar hours but 2 business hours, so a weekend cannot manufacture a breach. Urgent conversations get a 1-hour SLA, the breach queue is ordered worst-first for the person working it, and unanswered customers see a waiting message stating the SLA rather than silence. FINDING: the SLA is only real if someone is staffing the stated hours — publishing it before that is a promise the product cannot keep. Logged as a blocker (CL-15).</t>
        </is>
      </c>
      <c r="E34" s="26" t="inlineStr">
        <is>
          <t>ST-081; CL-15</t>
        </is>
      </c>
      <c r="F34" s="26" t="inlineStr">
        <is>
          <t>1 story Done-in-code (3 pts)</t>
        </is>
      </c>
      <c r="G34" s="26" t="inlineStr">
        <is>
          <t>Support staffing decision owed before the SLA is published</t>
        </is>
      </c>
      <c r="H34" s="26" t="inlineStr">
        <is>
          <t>E032</t>
        </is>
      </c>
    </row>
    <row r="35" ht="68.25" customHeight="1" s="22">
      <c r="A35" s="26" t="inlineStr">
        <is>
          <t>E032</t>
        </is>
      </c>
      <c r="B35" s="26" t="inlineStr">
        <is>
          <t>2026-09-13 10:43</t>
        </is>
      </c>
      <c r="C35" s="26" t="inlineStr">
        <is>
          <t>S10</t>
        </is>
      </c>
      <c r="D35" s="26" t="inlineStr">
        <is>
          <t>ST-083 PARTIAL + ST-084. Sandbox is a no-account, no-OAuth, platform-read-only demo session with realistic sample data (five invoice rows, two carrying a discount so the conditional section demonstrably fires), a 60-minute TTL, and conversion-to-signup that carries the template across. The 2-minute demo VIDEO is not built and is not claimed — it is a recording of a running app. Status page takes the WORST component status as the overall banner rather than rounding up to green, ships incident templates for all four stages that lead with data safety, and chases incidents that have gone quiet past the 30-minute cadence.</t>
        </is>
      </c>
      <c r="E35" s="26" t="inlineStr">
        <is>
          <t>ST-083, ST-084</t>
        </is>
      </c>
      <c r="F35" s="26" t="inlineStr">
        <is>
          <t>ST-084 Done-in-code; ST-083 In progress</t>
        </is>
      </c>
      <c r="G35" s="26" t="inlineStr">
        <is>
          <t>Demo video blocked by LC-1</t>
        </is>
      </c>
      <c r="H35" s="26" t="inlineStr">
        <is>
          <t>E033</t>
        </is>
      </c>
    </row>
    <row r="36" ht="90.75" customHeight="1" s="22">
      <c r="A36" s="26" t="inlineStr">
        <is>
          <t>E033</t>
        </is>
      </c>
      <c r="B36" s="26" t="inlineStr">
        <is>
          <t>2026-09-13 10:43</t>
        </is>
      </c>
      <c r="C36" s="26" t="inlineStr">
        <is>
          <t>S10</t>
        </is>
      </c>
      <c r="D36" s="26" t="inlineStr">
        <is>
          <t>ST-095/096 built the public pages FROM the code: the plan matrix reads prices from the billing module and limits from the enforcer; the trust page is generated from the scope manifest, subprocessor list, and retention policy. Both have validators that fail when the published page drifts from what the code does — which is the failure mode that actually causes trouble at review. ST-097 SUBMISSION DRY-RUN RUN FOR REAL: 20 checklist items, 10 satisfied with evidence, 10 blocking — 8 on Senthil (GCP project, hosted policy and status pages, screenshots, demo video, support staffing, deployment, live quota test), 2 third-party (CASA, pen test). VERDICT: NOT READY TO SUBMIT. Published as SUBMISSION_DRY_RUN.md with a critical path. GATE MET — 30 suites / 484 tests / 100% x4 across 32 modules. One test-side error fixed: a weekend SLA expectation that forgot Monday opens at 08:00.</t>
        </is>
      </c>
      <c r="E36" s="26" t="inlineStr">
        <is>
          <t>ST-095, ST-096, ST-097; D13</t>
        </is>
      </c>
      <c r="F36" s="26" t="inlineStr">
        <is>
          <t>S10: 6 Done-in-code + 1 In progress; cumulative 94/100 (376/399 pts)</t>
        </is>
      </c>
      <c r="G36" s="26" t="inlineStr">
        <is>
          <t>S10 exit ("marketplace approval obtained") is 10 blockers away, none of them code</t>
        </is>
      </c>
      <c r="H36" s="26" t="inlineStr">
        <is>
          <t>S11 (gated)</t>
        </is>
      </c>
    </row>
    <row r="37" ht="45.75" customHeight="1" s="22">
      <c r="A37" s="26" t="inlineStr">
        <is>
          <t>E034</t>
        </is>
      </c>
      <c r="B37" s="26" t="inlineStr">
        <is>
          <t>2026-09-13 10:58</t>
        </is>
      </c>
      <c r="C37" s="26" t="inlineStr">
        <is>
          <t>S11</t>
        </is>
      </c>
      <c r="D37" s="26" t="inlineStr">
        <is>
          <t>ST-082 in-app review ask. Every rule in the engine exists to PREVENT an ill-timed prompt: not before the aha-moment, not before 10 documents generated, not within 3 days of a failure the user hit, not inside a 30-day cooldown, and never again after two dismissals. A review prompt shown at the wrong moment costs a rating rather than earning one, which is the opposite of what the story is for.</t>
        </is>
      </c>
      <c r="E37" s="26" t="inlineStr">
        <is>
          <t>ST-082</t>
        </is>
      </c>
      <c r="F37" s="26" t="inlineStr">
        <is>
          <t>1 story Done-in-code (3 pts)</t>
        </is>
      </c>
      <c r="G37" s="26" t="n"/>
      <c r="H37" s="26" t="inlineStr">
        <is>
          <t>E035</t>
        </is>
      </c>
    </row>
    <row r="38" ht="68.25" customHeight="1" s="22">
      <c r="A38" s="26" t="inlineStr">
        <is>
          <t>E035</t>
        </is>
      </c>
      <c r="B38" s="26" t="inlineStr">
        <is>
          <t>2026-09-13 10:58</t>
        </is>
      </c>
      <c r="C38" s="26" t="inlineStr">
        <is>
          <t>S11</t>
        </is>
      </c>
      <c r="D38" s="26" t="inlineStr">
        <is>
          <t>ST-098 launch runbook, built and then RUN against the real current state rather than illustrated. Thirteen go/no-go checks return NO-GO with 8 blocking failures: not listed, not deployed, rollback unverified against real infrastructure, status page unhosted, privacy/trust pages unhosted, billing not live, support unstaffed, monitoring sinks unwired. Watchlist entries each carry an action (a watchlist without actions is decoration); the rollback plan budgets 35 minutes across 5 steps each with its own verification; the comms tree names an owner and a deadline per audience. Published as LAUNCH_RUNBOOK.md so launch day is execution, not authoring.</t>
        </is>
      </c>
      <c r="E38" s="26" t="inlineStr">
        <is>
          <t>ST-098</t>
        </is>
      </c>
      <c r="F38" s="26" t="inlineStr">
        <is>
          <t>1 story Done-in-code (3 pts); runbook verdict NO-GO</t>
        </is>
      </c>
      <c r="G38" s="26" t="inlineStr">
        <is>
          <t>All 8 blocking checks are Senthil or third-party</t>
        </is>
      </c>
      <c r="H38" s="26" t="inlineStr">
        <is>
          <t>E036</t>
        </is>
      </c>
    </row>
    <row r="39" ht="57" customHeight="1" s="22">
      <c r="A39" s="26" t="inlineStr">
        <is>
          <t>E036</t>
        </is>
      </c>
      <c r="B39" s="26" t="inlineStr">
        <is>
          <t>2026-09-13 10:58</t>
        </is>
      </c>
      <c r="C39" s="26" t="inlineStr">
        <is>
          <t>S11+S12</t>
        </is>
      </c>
      <c r="D39" s="26" t="inlineStr">
        <is>
          <t>ST-100 partner-review pipeline refuses to invite an at-risk account — fix their experience before asking for a review, not after — refuses to reschedule a decline, excludes declines from the pipeline count (a decline is not pipeline), and warns on invitations unanswered for over a week. ST-099 SEO iteration classifies terms into untargeted / ranking-just-off-page / high-impressions-low-CTR, ignores anything under 100 impressions rather than chasing noise into keyword soup, and recommends EXACTLY ONE change per iteration so the effect is attributable.</t>
        </is>
      </c>
      <c r="E39" s="26" t="inlineStr">
        <is>
          <t>ST-099, ST-100</t>
        </is>
      </c>
      <c r="F39" s="26" t="inlineStr">
        <is>
          <t>2 stories Done-in-code (4 pts)</t>
        </is>
      </c>
      <c r="G39" s="26" t="inlineStr">
        <is>
          <t>Both need live data/partners to operate</t>
        </is>
      </c>
      <c r="H39" s="26" t="inlineStr">
        <is>
          <t>E037</t>
        </is>
      </c>
    </row>
    <row r="40" ht="79.5" customHeight="1" s="22">
      <c r="A40" s="26" t="inlineStr">
        <is>
          <t>E037</t>
        </is>
      </c>
      <c r="B40" s="26" t="inlineStr">
        <is>
          <t>2026-09-13 10:58</t>
        </is>
      </c>
      <c r="C40" s="26" t="inlineStr">
        <is>
          <t>—</t>
        </is>
      </c>
      <c r="D40" s="26" t="inlineStr">
        <is>
          <t>CODE BACKLOG COMPLETE. 98 of 100 stories Done-in-code (391/399 pts); the 2 remaining are ST-068 (needs a third-party penetration test) and ST-083 (needs a running app to record the demo video) — neither is a coding task. FINAL EVIDENCE: 31 suites / 516 tests / 100% statements-branches-functions-lines across 33 modules / tsc strict clean / smoke green / coverage gate pinned at 100 since S1. Three test-side errors were found and fixed this sprint, none in source. STANDING POSITION: code 98% complete, launch checklist 50% complete (SUBMISSION_DRY_RUN.md), launch gate NO-GO (LAUNCH_RUNBOOK.md). Further sprints cannot move any of it.</t>
        </is>
      </c>
      <c r="E40" s="26" t="inlineStr">
        <is>
          <t>D13; D7/R2</t>
        </is>
      </c>
      <c r="F40" s="26" t="inlineStr">
        <is>
          <t>Project transitions from build to launch execution</t>
        </is>
      </c>
      <c r="G40" s="26" t="inlineStr">
        <is>
          <t>LC-1 has blocked live evidence for 11 consecutive sprints</t>
        </is>
      </c>
      <c r="H40" s="26" t="inlineStr">
        <is>
          <t>Live execution — Senthil</t>
        </is>
      </c>
    </row>
    <row r="41" ht="68.25" customHeight="1" s="22">
      <c r="A41" s="26" t="inlineStr">
        <is>
          <t>E038</t>
        </is>
      </c>
      <c r="B41" s="26" t="inlineStr">
        <is>
          <t>2026-09-13 11:05</t>
        </is>
      </c>
      <c r="C41" s="26" t="inlineStr">
        <is>
          <t>—</t>
        </is>
      </c>
      <c r="D41" s="26" t="inlineStr">
        <is>
          <t>Deployment readiness built ahead of LC-1. src/deployment.ts names all 16 environment values with their source, validates required/format/kind, enforces that vault-sourced secrets are actually vault-sourced in production, catches the conditional Stripe key, and warns on unknown variables. checkDeploymentReadiness combines config and the S8 posture verifier into ONE fail-closed gate — a misconfigured instance refuses traffic instead of failing on the first customer request, which is the difference between a five-minute rollback and an incident. .env.example is generated from the spec so it cannot drift from what the code reads.</t>
        </is>
      </c>
      <c r="E41" s="26" t="inlineStr">
        <is>
          <t>LC-1 prep</t>
        </is>
      </c>
      <c r="F41" s="26" t="inlineStr">
        <is>
          <t>15 tests added; suite 531 / 100% x4 / 34 modules</t>
        </is>
      </c>
      <c r="G41" s="26" t="n"/>
      <c r="H41" s="26" t="inlineStr">
        <is>
          <t>E039</t>
        </is>
      </c>
    </row>
    <row r="42" ht="102" customHeight="1" s="22">
      <c r="A42" s="26" t="inlineStr">
        <is>
          <t>E039</t>
        </is>
      </c>
      <c r="B42" s="26" t="inlineStr">
        <is>
          <t>2026-09-13 11:05</t>
        </is>
      </c>
      <c r="C42" s="26" t="inlineStr">
        <is>
          <t>—</t>
        </is>
      </c>
      <c r="D42" s="26" t="inlineStr">
        <is>
          <t>Three blocker documents so each external task starts warm rather than cold. GCP_SETUP_GUIDE.md sequences LC-1 end to end and surfaces a REORDERING FINDING: the consent screen requires authorised domains that are live and verified, so the privacy policy and status page must be HOSTED BEFORE the consent screen is configured — previously both were treated as parallel to it. PENTEST_SCOPING_BRIEF.md scopes from the shipped code (in scope, out of scope, evidence required) and names four design decisions a tester should probe rather than accept, including the deliberate leave-failed-submissions-unprocessed behaviour. CASA_PREFILL.md answers the assessment from existing evidence and marks three controls NOT YET — encryption at rest, restore drill against real backups, pen test — rather than answering aspirationally, because a CASA answer that cannot be evidenced fails the assessment later and more expensively.</t>
        </is>
      </c>
      <c r="E42" s="26" t="inlineStr">
        <is>
          <t>LC-1, LC-3, ST-068 prep</t>
        </is>
      </c>
      <c r="F42" s="26" t="inlineStr">
        <is>
          <t>Three artefacts published; no status changed</t>
        </is>
      </c>
      <c r="G42" s="26" t="inlineStr">
        <is>
          <t>All three need Senthil or a third party to act</t>
        </is>
      </c>
      <c r="H42" s="26" t="inlineStr">
        <is>
          <t>Live execution</t>
        </is>
      </c>
    </row>
    <row r="43" ht="57" customHeight="1" s="22">
      <c r="A43" s="26" t="inlineStr">
        <is>
          <t>E040</t>
        </is>
      </c>
      <c r="B43" s="26" t="inlineStr">
        <is>
          <t>2026-09-13 11:10</t>
        </is>
      </c>
      <c r="C43" s="26" t="inlineStr">
        <is>
          <t>—</t>
        </is>
      </c>
      <c r="D43" s="26" t="inlineStr">
        <is>
          <t>LC-9 template gallery: 20 templates across finance (4), people &amp; HR (4), legal (3), education (3), operations (3), and client services (3). Every template uses at least one conditional section, since that is the feature that distinguishes the product from a plain mail merge and the gallery is how a prospect learns it exists. Each lists required and optional columns so a user knows what data they need before committing, and names the search terms it targets — 61 in total, because the GTM plan makes the gallery the listing's organic-search surface.</t>
        </is>
      </c>
      <c r="E43" s="26" t="inlineStr">
        <is>
          <t>LC-9; GTM</t>
        </is>
      </c>
      <c r="F43" s="26" t="inlineStr">
        <is>
          <t>LC-9 Done</t>
        </is>
      </c>
      <c r="G43" s="26" t="n"/>
      <c r="H43" s="26" t="inlineStr">
        <is>
          <t>E041</t>
        </is>
      </c>
    </row>
    <row r="44" ht="79.5" customHeight="1" s="22">
      <c r="A44" s="26" t="inlineStr">
        <is>
          <t>E041</t>
        </is>
      </c>
      <c r="B44" s="26" t="inlineStr">
        <is>
          <t>2026-09-13 11:10</t>
        </is>
      </c>
      <c r="C44" s="26" t="inlineStr">
        <is>
          <t>—</t>
        </is>
      </c>
      <c r="D44" s="26" t="inlineStr">
        <is>
          <t>Gallery PROVED, not asserted. A structural validator rejects duplicate slugs, rules referencing non-existent placeholders or sections, sections with no rule (which would always render), sample rows that cannot fill their own body, missing search terms, and thin blurbs. Then every one of the 20 is rendered through the real TemplateDesigner with its sample row and asserted to leave no unresolved markers, with extra tests proving conditions genuinely switch (invoice discount vs overdue, reminder tone escalation, equals-rule hiding). TWO DEFECTS this caught: 22 templates written against a target of 20, and two rules testing control fields that never render — which the real engine rejects outright. Reading the templates would not have surfaced either.</t>
        </is>
      </c>
      <c r="E44" s="26" t="inlineStr">
        <is>
          <t>LC-9; D13</t>
        </is>
      </c>
      <c r="F44" s="26" t="inlineStr">
        <is>
          <t>Suite 567 / 100% x4 / smoke green</t>
        </is>
      </c>
      <c r="G44" s="26" t="inlineStr">
        <is>
          <t>No unblocked work remains</t>
        </is>
      </c>
      <c r="H44" s="26" t="inlineStr">
        <is>
          <t>Live execution — Senthil</t>
        </is>
      </c>
    </row>
    <row r="45" ht="68.25" customHeight="1" s="22">
      <c r="A45" s="26" t="inlineStr">
        <is>
          <t>E042</t>
        </is>
      </c>
      <c r="B45" s="26" t="inlineStr">
        <is>
          <t>2026-09-13 11:16</t>
        </is>
      </c>
      <c r="C45" s="26" t="inlineStr">
        <is>
          <t>S12</t>
        </is>
      </c>
      <c r="D45" s="26" t="inlineStr">
        <is>
          <t>Growth model frame built against the S12 exit ("growth model doc with CAC/LTV first estimates"). Restates the 18-month workbook model as unit economics: 22.2-month average lifetime at 4.5% churn, $15.20 monthly gross profit, $337.78 LTV. Fully-loaded CAC charges free-tier support against each conversion — at 6% conversion roughly 17 installs are served per paying customer, making a high-volume free tier an acquisition cost even at zero marketing spend. The verdict logic separates four cases a single LTV:CAC number blurs: workable, healthy-ratio-but-slow-payback (needs funding to bridge rather than patience), marginal, and loss-making.</t>
        </is>
      </c>
      <c r="E45" s="26" t="inlineStr">
        <is>
          <t>S12 exit</t>
        </is>
      </c>
      <c r="F45" s="26" t="inlineStr">
        <is>
          <t>Frame built; estimates remain assumptions</t>
        </is>
      </c>
      <c r="G45" s="26" t="inlineStr">
        <is>
          <t>No cohort exists</t>
        </is>
      </c>
      <c r="H45" s="26" t="inlineStr">
        <is>
          <t>E043</t>
        </is>
      </c>
    </row>
    <row r="46" ht="79.5" customHeight="1" s="22">
      <c r="A46" s="26" t="inlineStr">
        <is>
          <t>E043</t>
        </is>
      </c>
      <c r="B46" s="26" t="inlineStr">
        <is>
          <t>2026-09-13 11:16</t>
        </is>
      </c>
      <c r="C46" s="26" t="inlineStr">
        <is>
          <t>S12</t>
        </is>
      </c>
      <c r="D46" s="26" t="inlineStr">
        <is>
          <t>SENSITIVITY FINDING worth acting on: ranking inputs by how much they move the fully-loaded ratio puts CHURN first, ahead of free-to-paid conversion. My own test expectation said conversion; the model corrected it. Lifetime scales LTV directly, while conversion mostly moves the small free-support cost carried per paying customer — halving churn beats doubling conversion. Each assumption is attached to instrumentation that already exists so first-cohort data lands without new analysis. ONE SOURCE DEFECT found and fixed: two-decimal display rounding turned a 0.45% churn rate into 0, which reads as "no churn" — small magnitudes now keep four places. S12 exit stays IN PROGRESS: a frame is not an estimate, and estimates without a cohort are assumptions dressed as numbers.</t>
        </is>
      </c>
      <c r="E46" s="26" t="inlineStr">
        <is>
          <t>S12; D13</t>
        </is>
      </c>
      <c r="F46" s="26" t="inlineStr">
        <is>
          <t>Suite 589 / 100% x4 / smoke green</t>
        </is>
      </c>
      <c r="G46" s="26" t="inlineStr">
        <is>
          <t>Replace with measured figures after the first cohort</t>
        </is>
      </c>
      <c r="H46" s="26" t="inlineStr">
        <is>
          <t>Live execution — Senthil</t>
        </is>
      </c>
    </row>
    <row r="47" ht="79.5" customHeight="1" s="22">
      <c r="A47" s="26" t="inlineStr">
        <is>
          <t>E044</t>
        </is>
      </c>
      <c r="B47" s="26" t="inlineStr">
        <is>
          <t>2026-09-13 11:21</t>
        </is>
      </c>
      <c r="C47" s="26" t="inlineStr">
        <is>
          <t>—</t>
        </is>
      </c>
      <c r="D47" s="26" t="inlineStr">
        <is>
          <t>ST-068 vendor outreach pack written (PENTEST_OUTREACH.md). The email is built so a vendor can quote straight from PENTEST_SCOPING_BRIEF.md — no discovery call, which keeps turnaround short and quotes comparable. Shortlist criteria filter for credentials on the actual testers, reports previously accepted for marketplace or CASA submissions, fixed price quoted from a brief, and an included retest. FINDING repeated in the pack because it changes what to optimise for: LEAD TIME is the binding constraint, not price — this sits on the critical path beside CASA (LC-3), and the two waits run in parallel, so both should be booked in the same week. All preparable work for DocMerge is now complete.</t>
        </is>
      </c>
      <c r="E47" s="26" t="inlineStr">
        <is>
          <t>ST-068; LC-3; R-D10</t>
        </is>
      </c>
      <c r="F47" s="26" t="inlineStr">
        <is>
          <t>Outreach ready; ST-068 remains In progress until a report exists</t>
        </is>
      </c>
      <c r="G47" s="26" t="inlineStr">
        <is>
          <t>No staging target yet (LC-1)</t>
        </is>
      </c>
      <c r="H47" s="26" t="inlineStr">
        <is>
          <t>Live execution — Senthil</t>
        </is>
      </c>
    </row>
    <row r="48" ht="135.75" customHeight="1" s="22">
      <c r="A48" s="26" t="inlineStr">
        <is>
          <t>E045</t>
        </is>
      </c>
      <c r="B48" s="26" t="inlineStr">
        <is>
          <t>2026-09-13 11:24</t>
        </is>
      </c>
      <c r="C48" s="26" t="inlineStr">
        <is>
          <t>—</t>
        </is>
      </c>
      <c r="D48" s="26" t="inlineStr">
        <is>
          <t>COLD REVIEW PASS 1. Portfolio memory shows every sibling product that declared code-complete then found real defects in code already at 100% coverage; TeleField logged it as L-T1 (review before declaring complete) and the portfolio lesson is F-V14 (coverage proves execution, not correctness). DocMerge had never been reviewed — so the "code phase complete" declaration two turns ago was premature, and this pass proves it. Nine findings, five CRITICAL. Five fixed with pinned regressions: read-only mode and plan limits were both fully built, fully tested, and CALLED FROM NOWHERE, so two behaviours the help centre promises customers were simply absent from the product; OAuth install accepted any code with no state (CSRF); webhooks verified nothing, so an unauthenticated POST could revoke a live account tokens and schedule its data for deletion; and no production backoff existed anywhere because every retry policy came from a test injecting its own no-op sleep. Four left open and logged rather than quietly fixed: DM-F01 (no HTTP app exists behind any route — the setup guide is unrunnable), DM-F07 (caller-declared identity), DM-F08 (eleven unbounded ledgers), DM-F09 (deletion has no implementation behind it, the class that breached published policy in five sibling products).</t>
        </is>
      </c>
      <c r="E48" s="26" t="inlineStr">
        <is>
          <t>L-T1; F-V14; DM-F01..F09</t>
        </is>
      </c>
      <c r="F48" s="26" t="inlineStr">
        <is>
          <t>35 suites / 616 tests at 100%; new Review_Findings sheet</t>
        </is>
      </c>
      <c r="G48" s="26" t="inlineStr">
        <is>
          <t>DM-F01 is the next real work; DM-F07 needs his decision</t>
        </is>
      </c>
      <c r="H48" s="26" t="inlineStr">
        <is>
          <t>Cold-review pass 2</t>
        </is>
      </c>
    </row>
    <row r="49" ht="113.25" customHeight="1" s="22">
      <c r="A49" s="26" t="inlineStr">
        <is>
          <t>E046</t>
        </is>
      </c>
      <c r="B49" s="26" t="inlineStr">
        <is>
          <t>2026-09-13 11:31</t>
        </is>
      </c>
      <c r="C49" s="26" t="inlineStr">
        <is>
          <t>—</t>
        </is>
      </c>
      <c r="D49" s="26" t="inlineStr">
        <is>
          <t>DM-F01 + DM-F07 closed. The product now HAS an application: a framework-free router (literal and :param segments), 7 routes bound to the services that already existed, a server entrypoint with npm start, and a readiness check that refuses to listen on a misconfigured environment rather than failing on the first customer request. Identity comes from HMAC-signed sessions instead of a caller-supplied role parameter — a token whose role field is edited now fails signature verification, and a session issued for one account is refused against another. Every mutating route is authenticated and passes the entitlement gate, so the read-only mode and plan limits fixed earlier are enforced on the wire; reads deliberately stay open so an unpaid customer can still retrieve their work. Unexpected handler failures map to 500 without leaking internals, rather than hanging the request open (sibling M-F21 class). THEN BOOTED IT: healthz returned 200, the install URL carried its CSRF state, an unsigned webhook got 401, an unauthenticated route got 401, an unknown route got 404 — because the sibling lesson is that compiling is not running.</t>
        </is>
      </c>
      <c r="E49" s="26" t="inlineStr">
        <is>
          <t>DM-F01; DM-F07; L-OC4</t>
        </is>
      </c>
      <c r="F49" s="26" t="inlineStr">
        <is>
          <t>36 suites / 650 tests at 100%; server verified over real HTTP</t>
        </is>
      </c>
      <c r="G49" s="26" t="inlineStr">
        <is>
          <t>DM-F08 and DM-F09 still open from pass 1</t>
        </is>
      </c>
      <c r="H49" s="26" t="inlineStr">
        <is>
          <t>Close F08/F09, then pass 2 over the new HTTP layer</t>
        </is>
      </c>
    </row>
    <row r="50" ht="157.5" customHeight="1" s="22">
      <c r="A50" s="26" t="inlineStr">
        <is>
          <t>E047</t>
        </is>
      </c>
      <c r="B50" s="26" t="inlineStr">
        <is>
          <t>2026-09-13 11:37</t>
        </is>
      </c>
      <c r="C50" s="26" t="inlineStr">
        <is>
          <t>—</t>
        </is>
      </c>
      <c r="D50" s="26" t="inlineStr">
        <is>
          <t>DM-F08 and DM-F09 closed, then cold-review PASS 2 over the HTTP layer built an hour earlier — because the sibling lesson (L-OC4) is that new surfaces inherit old blind spots, and OnCall found two criticals in its equivalent layer immediately after building it. F08: 11 ledgers bounded, with eviction COUNTED rather than silent; the hash-chained admin audit was the interesting one — bounding it breaks verification from genesis, so the last evicted digest becomes the chain anchor and verifyChain now reports truncation instead of failing, with sequence numbers still counting so gaps are visible rather than disguised. F09: a PurgeRegistry over 16 stores whose registration check FAILS THE BUILD when a store has no purge target, receipts carrying per-store row counts as evidence, and an incomplete purge reported as incomplete rather than claimed done — plus the database schema that never existed behind the backup drill or the policy, with ON DELETE CASCADE on every account-scoped table so completeness is a property of the schema rather than of code someone must remember to update. PASS 2 found four more, all fixed and all verified by booting the server: uncapped request body (413 on a 2MB POST), abandoned OAuth states accumulating because sweep() was never called — the SAME built-but-never-wired class as F02/F03, which is worth noting because I introduced it while fixing that class — no rate limiting anywhere (429 after 20 install calls, a different caller unaffected), and /healthz handing the build version to anyone.</t>
        </is>
      </c>
      <c r="E50" s="26" t="inlineStr">
        <is>
          <t>DM-F08..F13; L-OC4</t>
        </is>
      </c>
      <c r="F50" s="26" t="inlineStr">
        <is>
          <t>40 suites / 691 tests at 100%; all 13 findings closed; server verified live</t>
        </is>
      </c>
      <c r="G50" s="26" t="inlineStr">
        <is>
          <t>Cold review complete across both passes</t>
        </is>
      </c>
      <c r="H50" s="26" t="inlineStr">
        <is>
          <t>Live execution — Senthil</t>
        </is>
      </c>
    </row>
    <row r="51" ht="147" customHeight="1" s="22">
      <c r="A51" s="26" t="inlineStr">
        <is>
          <t>E048</t>
        </is>
      </c>
      <c r="B51" s="26" t="inlineStr">
        <is>
          <t>2026-09-13 11:51</t>
        </is>
      </c>
      <c r="C51" s="26" t="inlineStr">
        <is>
          <t>—</t>
        </is>
      </c>
      <c r="D51" s="26" t="inlineStr">
        <is>
          <t>EXTERNAL VERIFICATION SWEEP vs live Google docs. Two checks, two LIVE-BLOCKING findings — which is the argument for the step: both were invisible to two clean cold-review passes at 100% coverage, because neither is a defect in our code. They are facts about the platform that our design assumed wrongly. VER-DM1: the Workspace Marketplace does not push uninstall webhooks to a developer server, and the licenseNotification API that once reported deletions is deprecated with no replacement — so /webhooks/uninstall was a handler for an event that never arrives, and ST-052 revocation, the 30-day clock, ST-053 restore and the F09 purge chain would all have sat waiting forever in production. Replaced with a reconciler that detects uninstall from license state plus revoked credentials, and that deliberately treats an API outage or unknown state as indeterminate — mistaking an outage for a departure would revoke a live customer and start deleting their data. VER-DM2: Google Forms cannot POST to an arbitrary URL; form submit requires an installable Apps Script trigger that calls UrlFetchApp itself, so the whole F5 feature (10 stories, 42 pts) assumed a capability that does not exist. Shipped apps-script/FormForwarder.gs signing with the scheme the endpoint already verifies, secret in Script Properties, stable response id for dedupe, 5xx-only rethrow so Apps Script retries server failures but not rejections.</t>
        </is>
      </c>
      <c r="E51" s="26" t="inlineStr">
        <is>
          <t>VER-DM1; VER-DM2</t>
        </is>
      </c>
      <c r="F51" s="26" t="inlineStr">
        <is>
          <t>41 suites / 707 tests at 100%</t>
        </is>
      </c>
      <c r="G51" s="26" t="inlineStr">
        <is>
          <t>Form setup flow changes — ST-041 wording and help article owed</t>
        </is>
      </c>
      <c r="H51" s="26" t="inlineStr">
        <is>
          <t>Verification sweep part 2</t>
        </is>
      </c>
    </row>
    <row r="52" ht="124.5" customHeight="1" s="22">
      <c r="A52" s="26" t="inlineStr">
        <is>
          <t>E049</t>
        </is>
      </c>
      <c r="B52" s="26" t="inlineStr">
        <is>
          <t>2026-09-13 11:56</t>
        </is>
      </c>
      <c r="C52" s="26" t="inlineStr">
        <is>
          <t>—</t>
        </is>
      </c>
      <c r="D52" s="26" t="inlineStr">
        <is>
          <t>VER-DM3: the "Workspace add-on sidebar" the product was built against does not exist as described. Google has TWO add-on types with incompatible UI models. The Workspace type is card-based and explicitly forbids HTML/CSS, cannot read the open document, has no Apps Script triggers, and is not available in Google Forms — but reaches mobile and every host app. The Editor type has HTML sidebars, document context and triggers, but is desktop-only and confined to the Editors. Five shipped stories claim the feature "works on the Workspace add-on sidebar in Sheets/Docs end-to-end" while depending on reading the active row, which is document context and unavailable on exactly the surface named; and VER-DM2 form triggers only exist on the Editor type. Twelve stories cannot ship on the Workspace surface as built. I did NOT pick — this is a product decision with real trade-offs on both sides (mobile and cross-app reach vs keeping every shipped feature), so it is logged as D-DM1 with a test-pinned constraint matrix and a decision document rather than quietly resolved in code. Undisputed either way: a 30-second UI action cannot generate hundreds of documents, so batch stays server-side — which our architecture already assumes.</t>
        </is>
      </c>
      <c r="E52" s="26" t="inlineStr">
        <is>
          <t>VER-DM3; D-DM1</t>
        </is>
      </c>
      <c r="F52" s="26" t="inlineStr">
        <is>
          <t>42 suites / 721 tests at 100%</t>
        </is>
      </c>
      <c r="G52" s="26" t="inlineStr">
        <is>
          <t>D-DM1 blocks listing copy, scope narrative, and 5 story descriptions</t>
        </is>
      </c>
      <c r="H52" s="26" t="inlineStr">
        <is>
          <t>Sweep part 3 after D-DM1</t>
        </is>
      </c>
    </row>
    <row r="53" ht="135.75" customHeight="1" s="22">
      <c r="A53" s="26" t="inlineStr">
        <is>
          <t>E050</t>
        </is>
      </c>
      <c r="B53" s="26" t="inlineStr">
        <is>
          <t>2026-09-13 12:01</t>
        </is>
      </c>
      <c r="C53" s="26" t="inlineStr">
        <is>
          <t>—</t>
        </is>
      </c>
      <c r="D53" s="26" t="inlineStr">
        <is>
          <t>VER-DM4: checked our listing spec against the live Marketplace page and every number in it was invented. Eight discrepancies. Two are REQUIRED assets we did not know existed — the application icons (32x32 and 128x128, plus 48x48 and 96x96 now that the project includes a web app) and the 220x140 card banner that appears on listings and in search results. One is a content rule with no check at all: the app name must not contain a Google product name. One is a missing required support link: terms of service, absent from our submission checklist. The rest were limits wrong in the strict direction — we demanded exactly 5 screenshots where 1 to 10 are accepted, rejected two screenshot sizes the platform allows, capped the name at 30 rather than 50, the short description at 120 rather than 200, and the detailed description at 4,000 rather than 16,000 — so the drafted copy was being held to constraints tighter than reality. And the promo video is an optional YouTube LINK, not the captioned 30-120 second upload we specified, which means the demo-video blocker on the board was partly self-inflicted. Rewritten against the verified spec with 13 pinning tests; LISTING_PACK.md regenerated. Sibling precedent: TestPulse found its asset spec wrong in exactly this way.</t>
        </is>
      </c>
      <c r="E53" s="26" t="inlineStr">
        <is>
          <t>VER-DM4; ST-093; ST-094</t>
        </is>
      </c>
      <c r="F53" s="26" t="inlineStr">
        <is>
          <t>42 suites / 729 tests at 100%</t>
        </is>
      </c>
      <c r="G53" s="26" t="inlineStr">
        <is>
          <t>Icons and card banner now needed for submission — new capture items</t>
        </is>
      </c>
      <c r="H53" s="26" t="inlineStr">
        <is>
          <t>Sweep part 4: OAuth verification + CASA</t>
        </is>
      </c>
    </row>
    <row r="54" ht="147" customHeight="1" s="22">
      <c r="A54" s="26" t="inlineStr">
        <is>
          <t>E051</t>
        </is>
      </c>
      <c r="B54" s="26" t="inlineStr">
        <is>
          <t>2026-09-13 12:06</t>
        </is>
      </c>
      <c r="C54" s="26" t="inlineStr">
        <is>
          <t>—</t>
        </is>
      </c>
      <c r="D54" s="26" t="inlineStr">
        <is>
          <t>VER-DM5 — the first verification finding that takes work OFF the board. Google routes review by scope CLASSIFICATION, and a CASA security assessment is triggered by RESTRICTED scopes. DocMerge requests none: drive.file is specifically the recommended non-sensitive alternative to the restricted Drive scopes, userinfo.email is non-sensitive, and only spreadsheets.readonly and documents are sensitive — which require Google app verification but not an assessment. CASA has sat on this board as a blocking, multi-week, paid item since S6, driving R-D1 and R-D10 and appearing in the pen-test sequencing advice, all on an assumption nobody had checked. LC-3 is downgraded to "likely not required — confirm in the Cloud console under OAuth consent screen &gt; Data Access" rather than deleted, because classification is per-project and Google may still request an assessment at its discretion; deleting it would trade one unchecked assumption for another. Found in the same pass and NOT previously on the board: verification requires an unlisted YouTube DEMONSTRATION video showing the OAuth grant flow, the consent screen displaying the app name, and detailed in-app use of each sensitive scope — separate from the optional marketing promo video, and recordable only once the app runs. The review path is now derived in code from the classifications rather than assumed, with a test proving CASA appears only when a restricted scope is present.</t>
        </is>
      </c>
      <c r="E54" s="26" t="inlineStr">
        <is>
          <t>VER-DM5; LC-3; R-D1; R-D10</t>
        </is>
      </c>
      <c r="F54" s="26" t="inlineStr">
        <is>
          <t>42 suites / 736 tests at 100%</t>
        </is>
      </c>
      <c r="G54" s="26" t="inlineStr">
        <is>
          <t>LC-3 to be confirmed in console, not booked blind</t>
        </is>
      </c>
      <c r="H54" s="26" t="inlineStr">
        <is>
          <t>Sweep complete — D-DM1 next</t>
        </is>
      </c>
    </row>
    <row r="55" ht="135.75" customHeight="1" s="22">
      <c r="A55" s="26" t="inlineStr">
        <is>
          <t>E052</t>
        </is>
      </c>
      <c r="B55" s="26" t="inlineStr">
        <is>
          <t>2026-09-13 16:25</t>
        </is>
      </c>
      <c r="C55" s="26" t="inlineStr">
        <is>
          <t>—</t>
        </is>
      </c>
      <c r="D55" s="26" t="inlineStr">
        <is>
          <t>R-D4 closed with a Postgres adapter — the risk that has stood since S1, when persistence went behind typed interfaces with in-memory Maps behind them. That was the right call with no schema, but it meant the interfaces had never once been implemented against a database, and the migrations written for DM-F09 were decorative. src/postgres.ts implements TokenStore, AccountRepo and TemplateRepo against the real schema and supplies purge targets for all 18 tables, ordered children-before-parents so the per-table counts are genuine evidence rather than zeroes from an earlier cascade. The SQL client is injected, so there is no pg dependency and the whole adapter is exercisable without a database. Four details that would have bitten in production and are now pinned by tests: BIGINT expiries come back from the driver as STRINGS and are converted explicitly rather than coerced; template and rules write inside one transaction with rollback, because a half-replaced rule set renders wrong output instead of failing; an absent rule value is stored as NULL rather than the string "undefined"; and the two child tables without an account_id column are reached through their parent instead. One test purges using a SQL-injection string and asserts it never appears in any statement text.</t>
        </is>
      </c>
      <c r="E55" s="26" t="inlineStr">
        <is>
          <t>R-D4; DM-D2; DM-F09</t>
        </is>
      </c>
      <c r="F55" s="26" t="inlineStr">
        <is>
          <t>43 suites / 753 tests at 100%</t>
        </is>
      </c>
      <c r="G55" s="26" t="inlineStr">
        <is>
          <t>Remaining stores still in-memory; DM-D2 ratification owed</t>
        </is>
      </c>
      <c r="H55" s="26" t="inlineStr">
        <is>
          <t>D-DM1 then live execution</t>
        </is>
      </c>
    </row>
    <row r="56" ht="168.75" customHeight="1" s="22">
      <c r="A56" s="26" t="inlineStr">
        <is>
          <t>E053</t>
        </is>
      </c>
      <c r="B56" s="26" t="inlineStr">
        <is>
          <t>2026-09-13 16:29</t>
        </is>
      </c>
      <c r="C56" s="26" t="inlineStr">
        <is>
          <t>—</t>
        </is>
      </c>
      <c r="D56" s="26" t="inlineStr">
        <is>
          <t>Continuing the adapter work turned up DM-F14 rather than a routine increment. The remaining in-memory stores are a durability gap: a process restart resets every plan limit, so each deploy silently hands every customer a fresh monthly allowance — a revenue leak that no test would ever catch, because tests start from zero anyway; billing state resets so paying customers appear to be on trial; and the tamper-evident admin audit chain evaporates AND restarts its numbering at genesis, so the loss is not even visible afterwards. Usage counters are fixed end to end: PlanLimitEnforcer now takes a UsageBackend, and WriteThroughUsageBackend serves reads from a cache primed at startup (so the synchronous limit check stays synchronous and fast) while writing through to Postgres via a single atomic upsert — read-then-write would drop increments precisely when a customer is near their limit and two generations land together. Write failures increment a counter rather than failing the customer request, because a limit check must not become failable over a counter write, but a silent failure must still be visible. A test simulates a restart and proves the allowance is preserved. The subscription and admin-audit stores are built and tested — append-only with no update path, and lastSequence so the chain continues across restarts instead of forking a second one — but their services are NOT yet wired to them, and I am flagging that explicitly rather than letting it read as done, because this codebase has already produced two built-but-never-called defects (DM-F02/F03) and I introduced a third (DM-F11) while fixing them.</t>
        </is>
      </c>
      <c r="E56" s="26" t="inlineStr">
        <is>
          <t>DM-F14; R-D4</t>
        </is>
      </c>
      <c r="F56" s="26" t="inlineStr">
        <is>
          <t>43 suites / 770 tests at 100%</t>
        </is>
      </c>
      <c r="G56" s="26" t="inlineStr">
        <is>
          <t>BillingService and AdminAuditLog still unwired to their stores</t>
        </is>
      </c>
      <c r="H56" s="26" t="inlineStr">
        <is>
          <t>Wire them, then telemetry/support</t>
        </is>
      </c>
    </row>
    <row r="57" ht="124.5" customHeight="1" s="22">
      <c r="A57" s="26" t="inlineStr">
        <is>
          <t>E054</t>
        </is>
      </c>
      <c r="B57" s="26" t="inlineStr">
        <is>
          <t>2026-09-13 16:34</t>
        </is>
      </c>
      <c r="C57" s="26" t="inlineStr">
        <is>
          <t>—</t>
        </is>
      </c>
      <c r="D57" s="26" t="inlineStr">
        <is>
          <t>DM-F14 closed: BillingService persists after every mutation — subscribe, plan change, payment failure, each dunning transition, cancel — and AdminAuditLog resumes a tenant chain from storage rather than restarting at genesis. Both use write-through backends that keep reads synchronous and count write failures instead of failing the customer request. DM-F15 FOUND DURING THE WIRING, not by looking for it: the admin audit log had no accountId at all. Every customer shared one chain and one sequence counter, and exportCsv returned the entire log — so a single customer security review would have handed them every other customer admin history: roles changed, members removed, data exports requested. The sequence numbering also leaked each tenant activity volume. The schema written for DM-F09 had keyed admin_audit_entries on (account_id, sequence) since this morning; the code never matched it, and nothing caught the mismatch because the table had no implementation behind it until today — which is the argument for building the adapter rather than leaving the schema decorative. Now scoped per account throughout, with the accountId inside the digest so an entry cannot be replayed into another tenant chain.</t>
        </is>
      </c>
      <c r="E57" s="26" t="inlineStr">
        <is>
          <t>DM-F14; DM-F15; DM-F09</t>
        </is>
      </c>
      <c r="F57" s="26" t="inlineStr">
        <is>
          <t>43 suites / 781 tests at 100%</t>
        </is>
      </c>
      <c r="G57" s="26" t="inlineStr">
        <is>
          <t>DM-F15 raises the question of tenant boundaries elsewhere</t>
        </is>
      </c>
      <c r="H57" s="26" t="inlineStr">
        <is>
          <t>Tenant-isolation sweep across remaining services</t>
        </is>
      </c>
    </row>
    <row r="58" ht="135.75" customHeight="1" s="22">
      <c r="A58" s="26" t="inlineStr">
        <is>
          <t>E055</t>
        </is>
      </c>
      <c r="B58" s="26" t="inlineStr">
        <is>
          <t>2026-09-13 16:39</t>
        </is>
      </c>
      <c r="C58" s="26" t="inlineStr">
        <is>
          <t>—</t>
        </is>
      </c>
      <c r="D58" s="26" t="inlineStr">
        <is>
          <t>Tenant-isolation sweep, run deliberately because DM-F15 turned up by accident an hour earlier. Five more findings. DM-F16 is the serious one and it was exploitable through the HTTP layer I built this morning: template lookups took a templateId and nothing else, and POST /accounts/:accountId/documents reads the templateId from the request body — so an authenticated user of one account could pass another account template id and both read its body and generate documents from it. The session authentication added for DM-F07 established WHO was asking but nothing established WHAT they were entitled to ask for, which is a distinction worth keeping in mind on the other products. DM-F17 is the same shape on signature requests, exposing signer names, emails and document names. DM-F18 is DM-F15 again in the second audit log. All three now enforce ownership centrally rather than at call sites, and report cross-tenant access as "not found" rather than "wrong account" so the id space cannot be probed for what exists — with a test asserting the two failures are indistinguishable. DM-F19 (metrics summaries aggregate across all tenants) and DM-F20 (support inbox unscoped) are logged OPEN, not fixed: whether they are defects depends on whether those numbers are surfaced per-customer or only internally, and that is a decision rather than a bug.</t>
        </is>
      </c>
      <c r="E58" s="26" t="inlineStr">
        <is>
          <t>DM-F16..F20; DM-F15; DM-F07</t>
        </is>
      </c>
      <c r="F58" s="26" t="inlineStr">
        <is>
          <t>43 suites / 786 tests at 100%; smoke green</t>
        </is>
      </c>
      <c r="G58" s="26" t="inlineStr">
        <is>
          <t>DM-F19/F20 need a surfacing decision</t>
        </is>
      </c>
      <c r="H58" s="26" t="inlineStr">
        <is>
          <t>Telemetry/support persistence; D-DM1 still open</t>
        </is>
      </c>
    </row>
    <row r="59" ht="180" customHeight="1" s="22">
      <c r="A59" s="26" t="inlineStr">
        <is>
          <t>E056</t>
        </is>
      </c>
      <c r="B59" s="26" t="inlineStr">
        <is>
          <t>2026-09-13 17:23</t>
        </is>
      </c>
      <c r="C59" s="26" t="inlineStr">
        <is>
          <t>—</t>
        </is>
      </c>
      <c r="D59" s="26" t="inlineStr">
        <is>
          <t>Built a portable tenant-isolation gate and wired it into CI as its own step, because DM-F15 was found by accident and DM-F16 by a sweep that followed it — a sweep catches this class once, a gate catches it every commit. It scans for methods that accept an entity id and act on it with no tenant parameter, with the parameter names and id suffixes as CONFIGURATION so the file copies straight into RevRescue, TeleField and FlowCast, where the pattern is identical. It flagged 28 methods on its first run against our own source. Triage produced DM-F21: five genuine clusters the manual sweep missed because the sweep checked READS and these are writes-that-are-not-reads — pause and resume on signature requests, form triggers and batch jobs took only an entity id, so one tenant could pause another tenant work with nothing but a guessed id, which is a denial of service against a competitor; InvoiceBook.renderCsv would render any account invoice including billing contact and tax identifiers; SidebarController.openTemplate read another account template metadata before the downstream ownership check. Fixed by namespacing pause state per account, verifying ownership on e-sign pause/resume, requiring the account on renderCsv, and reporting another account template as missing. The remaining 23 are exempted WITH WRITTEN REASONS rather than silenced — repository primitives whose ownership is enforced a level up, a generic keyed utility callers namespace, signer actions by external parties holding no account, controllers that already carry the account, and the metrics and support cases logged as DM-F19/F20 awaiting your decision. A test asserts every exemption carries a reason, so the list cannot quietly become a dumping ground.</t>
        </is>
      </c>
      <c r="E59" s="26" t="inlineStr">
        <is>
          <t>DM-F21; DM-F15; DM-F16</t>
        </is>
      </c>
      <c r="F59" s="26" t="inlineStr">
        <is>
          <t>44 suites / 797 tests at 100%; gate is its own CI step</t>
        </is>
      </c>
      <c r="G59" s="26" t="inlineStr">
        <is>
          <t>23 exemptions are judgement calls worth a second pair of eyes</t>
        </is>
      </c>
      <c r="H59" s="26" t="inlineStr">
        <is>
          <t>Copy the gate to the sibling products</t>
        </is>
      </c>
    </row>
    <row r="60" ht="147" customHeight="1" s="22">
      <c r="A60" s="26" t="inlineStr">
        <is>
          <t>E057</t>
        </is>
      </c>
      <c r="B60" s="26" t="inlineStr">
        <is>
          <t>2026-09-13 18:48</t>
        </is>
      </c>
      <c r="C60" s="26" t="inlineStr">
        <is>
          <t>—</t>
        </is>
      </c>
      <c r="D60" s="26" t="inlineStr">
        <is>
          <t>Audited the 23 tenant-gate exemptions I had written an hour earlier and flagged as judgement calls. One was false, which is DM-F22. The PauseManager exemption claimed that callers passed account-namespaced keys; checking the source showed e-sign passing a bare requestId and batch a bare templateId. I demonstrated the consequence before fixing it: a single shared PauseManager holds template ids, sign-request ids, job ids and trigger ids in ONE namespace, so pausing a template called X also reports a sign request called X as paused. Nothing had broken only because each service happened to be given its own instance — and nothing enforced that. The uncomfortable part is that the exemption was right about the outcome (e-sign is protected, by an ownership check) and wrong about the reason, which is exactly the kind of note that passes a security review unchallenged. Fixed by making pauseKey(entity, accountId, entityId) the only way keys are formed across templates, sign requests, batch jobs, form triggers and filing. More importantly the exemptions are no longer prose: three tests now VERIFY their claims — one scans the source and fails the build if any PauseManager call omits pauseKey, one proves two entity types sharing an id cannot collide, one asserts that only the designer and the sidebar touch a template repository directly. An exemption without a test is a comment.</t>
        </is>
      </c>
      <c r="E60" s="26" t="inlineStr">
        <is>
          <t>DM-F22; DM-F21</t>
        </is>
      </c>
      <c r="F60" s="26" t="inlineStr">
        <is>
          <t>44 suites / 801 tests at 100%; smoke green</t>
        </is>
      </c>
      <c r="G60" s="26" t="inlineStr">
        <is>
          <t>22 exemptions remain reasoned but only 3 are test-verified</t>
        </is>
      </c>
      <c r="H60" s="26" t="inlineStr">
        <is>
          <t>Copy the gate to siblings; DM-F19/F20 decision</t>
        </is>
      </c>
    </row>
    <row r="61" ht="157.5" customHeight="1" s="22">
      <c r="A61" s="26" t="inlineStr">
        <is>
          <t>E058</t>
        </is>
      </c>
      <c r="B61" s="26" t="inlineStr">
        <is>
          <t>2026-09-13 18:53</t>
        </is>
      </c>
      <c r="C61" s="26" t="inlineStr">
        <is>
          <t>—</t>
        </is>
      </c>
      <c r="D61" s="26" t="inlineStr">
        <is>
          <t>Converted the remaining 22 tenant-gate exemptions from prose into verified claims, closing the gap DM-F22 exposed an hour earlier. Each exemption asserts that a protection exists somewhere else; until now nothing checked whether it did, and one of them was wrong about its reason while right about its outcome — which is the version that survives review. The claims are now checked against behaviour or source: the sandbox holds no account, store or repository reference and its sessions are distinct under the real id generator; purgeAccount takes the account as its subject; the status page contains no tenant concept at all; signer actions reject a stranger holding a valid request id and accept a listed signer who has no account, which is what makes the exemption legitimate rather than convenient; a batch sidebar bound to one account cannot run another account template; both sidebar controllers stamp their own account onto what they create rather than trusting a caller-supplied one; and per-entity metrics and the support inbox are confirmed absent from every HTTP route, which is exactly what keeps DM-F19 and DM-F20 open product decisions rather than live data leaks. Added a meta-gate: unverifiedExemptions() fails the build when an exemption is added without a test naming it, with its own test proving the meta-gate catches such an addition. One fixture error found and fixed along the way — I had pinned the sandbox id generator to a constant, which made the distinctness assertion meaningless.</t>
        </is>
      </c>
      <c r="E61" s="26" t="inlineStr">
        <is>
          <t>DM-F23; DM-F22; DM-F19; DM-F20</t>
        </is>
      </c>
      <c r="F61" s="26" t="inlineStr">
        <is>
          <t>44 suites / 812 tests at 100%; smoke green</t>
        </is>
      </c>
      <c r="G61" s="26" t="inlineStr">
        <is>
          <t>Gate + meta-gate ready to copy to siblings</t>
        </is>
      </c>
      <c r="H61" s="26" t="inlineStr">
        <is>
          <t>DM-F19/F20 and D-DM1 are yours</t>
        </is>
      </c>
    </row>
    <row r="62" ht="157.5" customHeight="1" s="22">
      <c r="A62" s="26" t="inlineStr">
        <is>
          <t>E059</t>
        </is>
      </c>
      <c r="B62" s="26" t="inlineStr">
        <is>
          <t>2026-09-13 18:58</t>
        </is>
      </c>
      <c r="C62" s="26" t="inlineStr">
        <is>
          <t>—</t>
        </is>
      </c>
      <c r="D62" s="26" t="inlineStr">
        <is>
          <t>VER-DM6: checked our capacity promises against the platform that has to honour them, and they contradict it. The Docs API allows 60 WRITE requests per minute per user per project. ST-087 set a 1500ms p95 budget per generated row, and ST-088 drove 100 requests a minute at 5x expected traffic and reported PASS. One user cannot exceed one document per second however fast our code is; past 60 in a minute they get 429s and our own backoff makes the p95 worse rather than better. The consequence nobody had written down: a 500-row batch for a single customer cannot complete in under EIGHT MINUTES, which is absent from every estimate, SLO and board entry we have produced. The load test had never touched the ceiling because it drove an injected worker — R-D9 said the numbers proved the harness rather than capacity, and this is that warning with the actual figure attached. Fixed by recording the verified quotas with their sources and refusing to guess an unrecorded one, adding a feasibility check that fails the build when an internal promise exceeds an external quota, a per-account governor that paces instead of earning 429s and reports an honest completion estimate, and making runLoadTest refuse to pass a profile that drives more than a declared platform ceiling. Also recorded while there: Apps Script UrlFetch is capped at 20,000 calls a day for consumer accounts and 100,000 for Workspace, which is the real per-customer ceiling on the form forwarder shipped for VER-DM2 and was likewise unexamined.</t>
        </is>
      </c>
      <c r="E62" s="26" t="inlineStr">
        <is>
          <t>VER-DM6; ST-087; ST-088; R-D9; VER-DM2</t>
        </is>
      </c>
      <c r="F62" s="26" t="inlineStr">
        <is>
          <t>45 suites / 827 tests at 100%; smoke green</t>
        </is>
      </c>
      <c r="G62" s="26" t="inlineStr">
        <is>
          <t>Batch runner not yet paced through the governor; help-centre timing wording owed</t>
        </is>
      </c>
      <c r="H62" s="26" t="inlineStr">
        <is>
          <t>Pace the runner; copy gates to siblings</t>
        </is>
      </c>
    </row>
    <row r="63" ht="124.5" customHeight="1" s="22">
      <c r="A63" s="26" t="inlineStr">
        <is>
          <t>E060</t>
        </is>
      </c>
      <c r="B63" s="26" t="inlineStr">
        <is>
          <t>2026-09-13 19:33</t>
        </is>
      </c>
      <c r="C63" s="26" t="inlineStr">
        <is>
          <t>—</t>
        </is>
      </c>
      <c r="D63" s="26" t="inlineStr">
        <is>
          <t>Closed the two items I flagged as still owed on VER-DM6 rather than leaving them to read as done. The batch runner now paces THROUGH the QuotaGovernor, waiting before each write rather than after a rejection — waiting on our side costs only the wait, whereas being throttled costs a round trip, a backoff, and a slice of the customer's remaining Docs quota that their other tools also need. BatchResult reports quotaWaitMs separately from everything else, so a long batch reads as "paced by Google's limit" rather than "the product is slow", which is the difference between an understood wait and a support ticket. Metering is per account, proven by a test in which one customer exhausting their allowance leaves another entirely unaffected. The help-centre article now states the real figures — about 60 documents a minute, roughly eight minutes for 500 and sixteen for 1,000 — and I checked it is findable by the questions people will actually type: "how long", "slow" and "quota" all return it. One of my test expectations was wrong while the code was right: rows run in bursts because a single wait clears the whole minute-window, so seven rows at a ceiling of three cost two waits rather than four, and the test now says so with the reason.</t>
        </is>
      </c>
      <c r="E63" s="26" t="inlineStr">
        <is>
          <t>VER-DM6; ST-012; ST-080</t>
        </is>
      </c>
      <c r="F63" s="26" t="inlineStr">
        <is>
          <t>45 suites / 830 tests at 100%; smoke green</t>
        </is>
      </c>
      <c r="G63" s="26" t="inlineStr">
        <is>
          <t>Nothing owed on VER-DM6</t>
        </is>
      </c>
      <c r="H63" s="26" t="inlineStr">
        <is>
          <t>Copy the gates to siblings; DM-F19/F20 and D-DM1 are yours</t>
        </is>
      </c>
    </row>
    <row r="64" ht="124.5" customHeight="1" s="22">
      <c r="A64" s="26" t="inlineStr">
        <is>
          <t>E061</t>
        </is>
      </c>
      <c r="B64" s="26" t="inlineStr">
        <is>
          <t>2026-09-13 19:39</t>
        </is>
      </c>
      <c r="C64" s="26" t="inlineStr">
        <is>
          <t>—</t>
        </is>
      </c>
      <c r="D64" s="26" t="inlineStr">
        <is>
          <t>Extracted the portfolio guard kit so the sibling products can act on today's findings without waiting for me to have their code. Four modules, verified to have ZERO imports of any kind, so dropping them in brings nothing else with it: tenantGate with its meta-gate, ledger, purge, platformQuotas. Two corrections made during extraction rather than after. First, platformQuotas was parameterised — the mechanism ports but Google's 60-writes-per-minute has no business in a Zoho or Xero product, and inheriting it silently would be exactly the unchecked assumption the module exists to prevent. Second, I copied DocMerge's tenantGate test into the kit and then removed it: it imports designerOps, esign, batchOps and half the product, so it would not have compiled anywhere else, and shipping it would have been a kit that looks complete and fails on first use. The kit now carries a template test with no product imports. README records what each gate caught HERE as evidence rather than describing the gates abstractly, and TRIAGE.md gives the five questions to ask on a first run — DocMerge flagged 28 methods and only five clusters were genuine, so a team that exempts without triaging converts the gate into decoration.</t>
        </is>
      </c>
      <c r="E64" s="26" t="inlineStr">
        <is>
          <t>Guard kit; DM-F16..F23; VER-DM6</t>
        </is>
      </c>
      <c r="F64" s="26" t="inlineStr">
        <is>
          <t>45 suites / 832 tests at 100%</t>
        </is>
      </c>
      <c r="G64" s="26" t="inlineStr">
        <is>
          <t>Kit is untested against a real sibling codebase</t>
        </is>
      </c>
      <c r="H64" s="26" t="inlineStr">
        <is>
          <t>Run it against a sibling when available</t>
        </is>
      </c>
    </row>
    <row r="65" ht="157.5" customHeight="1" s="22">
      <c r="A65" s="26" t="inlineStr">
        <is>
          <t>E062</t>
        </is>
      </c>
      <c r="B65" s="26" t="inlineStr">
        <is>
          <t>2026-09-13 20:27</t>
        </is>
      </c>
      <c r="C65" s="26" t="inlineStr">
        <is>
          <t>—</t>
        </is>
      </c>
      <c r="D65" s="26" t="inlineStr">
        <is>
          <t>VER-DM7: the quota module built an hour ago caught a gap in itself. It refuses to guess an unrecorded quota, and the filing path tripped that refusal immediately — we write to Drive for every generated document and had recorded no Drive limit at all. Checking produced an awkward answer rather than a clean one: Google is mid-migration between a request-count model (12,000 queries per 60 seconds per user on one published page) and a quota-unit model (1,000,000 units per minute per project, 325,000 per user on another), with projects that used the API before May 2026 reportedly keeping legacy counts until the rollout completes. Which applies depends on the age of a project we have not created yet. I recorded the conservative figure WITH the ambiguity attached and added a caveat field so an unreliable quota is visibly unreliable, rather than resolving it by choosing whichever number suited the plan — that choice is precisely the unchecked assumption the module exists to prevent. The useful conclusion is reassuring: on every published model Drive sits two orders of magnitude above the Docs ceiling of 60 writes per minute per user, so filing is not the binding constraint on a batch and the governor is already configured to the one that is. Added bindingConstraint() to compute which API throttles first, with a test proving Docs governs today and another proving that a future quota change reversing it would surface rather than silently slowing every customer run. One test correctly failed during the change — it had asserted Drive was unrecorded, which was true until this finding closed it.</t>
        </is>
      </c>
      <c r="E65" s="26" t="inlineStr">
        <is>
          <t>VER-DM7; VER-DM6; ST-031</t>
        </is>
      </c>
      <c r="F65" s="26" t="inlineStr">
        <is>
          <t>45 suites / 836 tests at 100%; smoke green; guard kit refreshed</t>
        </is>
      </c>
      <c r="G65" s="26" t="inlineStr">
        <is>
          <t>Drive figure must be re-verified against the real project (LC-1)</t>
        </is>
      </c>
      <c r="H65" s="26" t="inlineStr">
        <is>
          <t>D-DM1, DM-F19/F20, LC-1 chain</t>
        </is>
      </c>
    </row>
    <row r="66" ht="147" customHeight="1" s="22">
      <c r="A66" s="26" t="inlineStr">
        <is>
          <t>E063</t>
        </is>
      </c>
      <c r="B66" s="26" t="inlineStr">
        <is>
          <t>2026-09-13 20:34</t>
        </is>
      </c>
      <c r="C66" s="26" t="inlineStr">
        <is>
          <t>—</t>
        </is>
      </c>
      <c r="D66" s="26" t="inlineStr">
        <is>
          <t>Wrote STATE_OF_DOCMERGE.md rather than another module, because thirty findings and sixty-two log entries are not a thing anyone can act on. It states the position in one paragraph, lists the three decisions owed with what each costs if deferred, gives the eight external actions in their corrected order (hosting before the consent screen, since the screen requires verified authorised domains — a sequencing error I made earlier today and corrected as R-D15), and records the five lessons that outlast the individual fixes: coverage proves execution rather than correctness, since read-only mode and plan limits were fully built and tested and called from nowhere; authentication is not authorisation, and having signed sessions made the missing entitlement check look done; internal review cannot see platform reality, as two clean passes found nothing and a live-documentation sweep then found seven findings in seven checks; a plausible reason survives review indefinitely, which is why exemptions are now tests; and a sweep finds a class once while a gate finds it every commit. It closes with the assessment I would want on the record: the product has been code-complete since roughly 11:00 and has not moved one step closer to a customer since, because everything remaining needs a domain, a project, a budget or a decision — and the highest-value hour available is registering a domain and creating the GCP project, which unblocks seven of the eight remaining actions.</t>
        </is>
      </c>
      <c r="E66" s="26" t="inlineStr">
        <is>
          <t>All findings; D-DM1; R-D15; LC-1</t>
        </is>
      </c>
      <c r="F66" s="26" t="inlineStr">
        <is>
          <t>45 suites / 836 tests at 100%</t>
        </is>
      </c>
      <c r="G66" s="26" t="inlineStr">
        <is>
          <t>Nothing further without a decision, a sibling codebase, or live infrastructure</t>
        </is>
      </c>
      <c r="H66" s="26" t="inlineStr">
        <is>
          <t>Senthil</t>
        </is>
      </c>
    </row>
    <row r="67" ht="63.75" customHeight="1" s="22">
      <c r="A67" s="28" t="inlineStr">
        <is>
          <t>E064</t>
        </is>
      </c>
      <c r="B67" s="28" t="inlineStr">
        <is>
          <t>2026-09-13 22:53</t>
        </is>
      </c>
      <c r="C67" s="28" t="inlineStr">
        <is>
          <t>—</t>
        </is>
      </c>
      <c r="D67" s="28" t="inlineStr">
        <is>
          <t>Incorporated external review CGPT V001 across code, tracker, product workbook and repo documents. Verified the review's three checkable claims directly rather than accepting them: the deploy placeholder (true, and it exited 0, so main had shown a green deploy since S8), the missing supply-chain evidence (true, none of any kind), and the reproducibility gap (true, and the cause was a missing lockfile against `npm ci`, which means CI had never run). Fixed all three. Cross-referenced five findings to existing IDs instead of duplicating them, and deferred four enterprise-bar findings behind a new decision rather than building toward a bar nobody has chosen.</t>
        </is>
      </c>
      <c r="E67" s="28" t="inlineStr">
        <is>
          <t>CGPT-DM-001..012; D-DM2/D-DM3/D-DM4; R-D16..R-D20; G-05/G-06/G-07</t>
        </is>
      </c>
      <c r="F67" s="28" t="inlineStr">
        <is>
          <t>npm ci clean: 836 tests / 45 suites / 100% (reproduced twice). audit 0 vulns. secret-scan clean. SBOM 280 components. New: Module_Traceability, External_Review_CGPT_V001, Sprint_Plan_S13_S32_CGPT.</t>
        </is>
      </c>
      <c r="G67" s="28" t="inlineStr">
        <is>
          <t>CodeQL unverified (R-D17). Deploy still impossible before LC-1. D-DM1/D-DM2/D-DM3/DM-F19/DM-F20 all open.</t>
        </is>
      </c>
      <c r="H67" s="28" t="inlineStr">
        <is>
          <t>Senthil — three decisions and a GCP project</t>
        </is>
      </c>
    </row>
    <row r="68" ht="42.75" customHeight="1" s="22">
      <c r="A68" s="29" t="inlineStr">
        <is>
          <t>E065</t>
        </is>
      </c>
      <c r="B68" s="28" t="inlineStr">
        <is>
          <t>2026-09-13 23:04</t>
        </is>
      </c>
      <c r="C68" s="28" t="inlineStr">
        <is>
          <t>—</t>
        </is>
      </c>
      <c r="D68" s="28" t="inlineStr">
        <is>
          <t>Turned the three external findings into a gate instead of leaving them as three fixed incidents. Wrote releaseGate.ts: it checks the pipeline rather than the product, because the pipeline was the one component nobody had reviewed and its failure silently invalidated every other gate. Kept the pre-review ci.yml as the regression fixture so the gate is proved against the real defect.</t>
        </is>
      </c>
      <c r="E68" s="28" t="inlineStr">
        <is>
          <t>CGPT-DM-002/004/012; RG-01..RG-04; R-D21; G-08</t>
        </is>
      </c>
      <c r="F68" s="28" t="inlineStr">
        <is>
          <t>npm run verify from clean: 862 tests / 46 suites / 100%. releaseGate 26 tests, 100% on the module. Guard kit now five modules with README and TRIAGE updated.</t>
        </is>
      </c>
      <c r="G68" s="28" t="inlineStr">
        <is>
          <t>Guard kit still unrun against any sibling (R-D18). CodeQL still unverified (R-D17).</t>
        </is>
      </c>
      <c r="H68" s="28" t="inlineStr">
        <is>
          <t>Senthil — four decisions and a GCP project</t>
        </is>
      </c>
    </row>
    <row r="69" ht="53.25" customHeight="1" s="22">
      <c r="A69" s="29" t="inlineStr">
        <is>
          <t>E066</t>
        </is>
      </c>
      <c r="B69" s="28" t="inlineStr">
        <is>
          <t>2026-09-13 23:13</t>
        </is>
      </c>
      <c r="C69" s="28" t="inlineStr">
        <is>
          <t>—</t>
        </is>
      </c>
      <c r="D69" s="28" t="inlineStr">
        <is>
          <t>Stopped adding to the codebase and went at the launch instead. Two of the eight external actions did not actually need the GCP project or a running app: the icon family and card banner VER-DM4 found missing, and the trust pages R-D15 says must be hosted BEFORE the consent screen. Both are now done, which turns the hosting blocker from a writing task into an upload. Also produced the terms of service, which VER-DM4 showed had been missing from the submission checklist entirely.</t>
        </is>
      </c>
      <c r="E69" s="28" t="inlineStr">
        <is>
          <t>VER-DM4; R-D15; LC-6; LC-7; R-D13; R-D22; R-D23</t>
        </is>
      </c>
      <c r="F69" s="28" t="inlineStr">
        <is>
          <t>882 tests / 47 suites / 100% across 51 modules. Icons 32/48/96/128 + 220x140 banner validated by the product's own validateAssets against the corrected spec. Five static pages in site/. HOSTING.md.</t>
        </is>
      </c>
      <c r="G69" s="28" t="inlineStr">
        <is>
          <t>Six config values, a domain and a lawyer — none of which Claude can supply. Screenshots still need a running application.</t>
        </is>
      </c>
      <c r="H69" s="28" t="inlineStr">
        <is>
          <t>Senthil — a domain, six values, a lawyer, four decisions, a GCP project</t>
        </is>
      </c>
    </row>
    <row r="70" ht="42.75" customHeight="1" s="22">
      <c r="A70" s="29" t="inlineStr">
        <is>
          <t>E067</t>
        </is>
      </c>
      <c r="B70" s="28" t="inlineStr">
        <is>
          <t>2026-09-14 13:59</t>
        </is>
      </c>
      <c r="C70" s="28" t="inlineStr">
        <is>
          <t>—</t>
        </is>
      </c>
      <c r="D70" s="28" t="inlineStr">
        <is>
          <t>No code. Two documents that move decisions rather than the codebase. Wrote the decision pack because "logged as an open decision" had become a way of not making one — seven items, each with a recommendation and its reasoning exposed. Re-measured the submission dry run and found it had been counting against a checklist missing two required items, which is the same class of defect as the green deploy that deployed nothing.</t>
        </is>
      </c>
      <c r="E70" s="28" t="inlineStr">
        <is>
          <t>D-DM1..D-DM4; DM-F19/F20; R-D13; R-D22; R-D24; CL-01..CL-22</t>
        </is>
      </c>
      <c r="F70" s="28" t="inlineStr">
        <is>
          <t>DECISION_PACK.md; SUBMISSION_DRY_RUN.md rebuilt at 22 items, 11 satisfied. Suite unchanged: 882 tests / 47 suites / 100% across 51 modules.</t>
        </is>
      </c>
      <c r="G70" s="28" t="inlineStr">
        <is>
          <t>Everything remaining needs Senthil, a lawyer, a domain, a GCP project — or a sibling repo for the guard kit (R-D18).</t>
        </is>
      </c>
      <c r="H70" s="28" t="inlineStr">
        <is>
          <t>Senthil — seven decisions, a domain, a lawyer, a GCP project</t>
        </is>
      </c>
    </row>
    <row r="71" ht="53.7" customHeight="1" s="22">
      <c r="A71" s="29" t="inlineStr">
        <is>
          <t>E068</t>
        </is>
      </c>
      <c r="B71" s="28" t="inlineStr">
        <is>
          <t>2026-09-15 09:09</t>
        </is>
      </c>
      <c r="C71" s="28" t="inlineStr">
        <is>
          <t>—</t>
        </is>
      </c>
      <c r="D71" s="28" t="inlineStr">
        <is>
          <t>Took a sibling lesson seriously instead of trusting a green suite. RevRescue and TeleField each found real defects when a fake database client was swapped for a real engine; DocMerge had the same exposure and its own module header said so. Ran it: clean. Then wrote the portfolio defect-class register, which surfaced that three overlapping gate packages now exist for one portfolio.</t>
        </is>
      </c>
      <c r="E71" s="28" t="inlineStr">
        <is>
          <t>C-01..C-15; R-D25; R-D26; G-09</t>
        </is>
      </c>
      <c r="F71" s="28" t="inlineStr">
        <is>
          <t>10 contract tests on PGlite, clean, wired into CI. Unit suite unchanged at 882 / 47 / 100%. PORTFOLIO_DEFECT_CLASSES.md + claude_v001_portfolio_defect_class_register.</t>
        </is>
      </c>
      <c r="G71" s="28" t="inlineStr">
        <is>
          <t>The register is synthesised from session records, not from reading sibling code. Every cross-product claim is a hypothesis until the kit is run against one (R-D18).</t>
        </is>
      </c>
      <c r="H71" s="28" t="inlineStr">
        <is>
          <t>Senthil — a sibling repo, seven decisions, a domain, a lawyer, a GCP project</t>
        </is>
      </c>
    </row>
    <row r="72">
      <c r="A72" s="45" t="inlineStr">
        <is>
          <t>E069</t>
        </is>
      </c>
      <c r="B72" s="45" t="inlineStr">
        <is>
          <t>2026-09-20 10:36</t>
        </is>
      </c>
      <c r="C72" s="45" t="inlineStr">
        <is>
          <t>—</t>
        </is>
      </c>
      <c r="D72" s="46" t="inlineStr">
        <is>
          <t>EXTERNAL REVIEW PPLX V001 RECEIVED AND REPRODUCED BEFORE ANY WORK. Every failing check in the review was re-run first: npm ci clean (281 packages), tsc clean, 882/882 at 100% — all confirmed. Then the three that had never been run: `node dist/server.js` exited 0 with no port open; migrate.js crashed on Cannot find module 'pg'; package.json had no dependencies block at all. The review is accurate in every particular.</t>
        </is>
      </c>
      <c r="E72" s="45" t="inlineStr">
        <is>
          <t>P-DM-001..P-DM-012</t>
        </is>
      </c>
      <c r="F72" s="45" t="inlineStr">
        <is>
          <t>Baseline reproduced; no status changed</t>
        </is>
      </c>
      <c r="G72" s="45" t="inlineStr">
        <is>
          <t>None — S13-S18 need nothing from Senthil</t>
        </is>
      </c>
      <c r="H72" s="45" t="inlineStr">
        <is>
          <t>S13</t>
        </is>
      </c>
    </row>
    <row r="73">
      <c r="A73" s="45" t="inlineStr">
        <is>
          <t>E070</t>
        </is>
      </c>
      <c r="B73" s="45" t="inlineStr">
        <is>
          <t>2026-09-20 11:05</t>
        </is>
      </c>
      <c r="C73" s="45" t="inlineStr">
        <is>
          <t>S13</t>
        </is>
      </c>
      <c r="D73" s="46" t="inlineStr">
        <is>
          <t>S13 MAKE IT RUN. src/main.ts composition root, graceful drain, /healthz + /readyz, `pg` declared with a real pooled PgSqlClient, migrate fixed and RUN against a real PostgreSQL 16. The coverage exemption in server.ts was REMOVED rather than better documented — start() now takes its environment and server factory by injection. RG-05, RG-06 and the runtime-deps gate added. Two defects fell out of writing the driver: DM-F24 (BEGIN/COMMIT through a pool may land on different connections, so the 'atomic' template write was atomic only against a single-connection fake) and DM-F33 (migrate.js ignored the TLS contract the app enforces). DM-F25: the runtime-deps gate FAILED on the repository it shipped with, matching the word 'import' inside a string literal.</t>
        </is>
      </c>
      <c r="E73" s="45" t="inlineStr">
        <is>
          <t>P-DM-002, P-DM-003, P-DM-010; DM-F24, DM-F25, DM-F33</t>
        </is>
      </c>
      <c r="F73" s="45" t="inlineStr">
        <is>
          <t>1044 tests / 54 suites / 100% x4; boot test spawns dist/main.js</t>
        </is>
      </c>
      <c r="G73" s="45" t="inlineStr">
        <is>
          <t>None</t>
        </is>
      </c>
      <c r="H73" s="45" t="inlineStr">
        <is>
          <t>S14</t>
        </is>
      </c>
    </row>
    <row r="74">
      <c r="A74" s="45" t="inlineStr">
        <is>
          <t>E071</t>
        </is>
      </c>
      <c r="B74" s="45" t="inlineStr">
        <is>
          <t>2026-09-20 11:40</t>
        </is>
      </c>
      <c r="C74" s="45" t="inlineStr">
        <is>
          <t>S14</t>
        </is>
      </c>
      <c r="D74" s="46" t="inlineStr">
        <is>
          <t>S14 MAKE IT RENDER. DocumentRenderer boundary with GoogleDocsRenderer beneath it — files.copy, one batchUpdate carrying replaceAllText + replaceImage + repeating table rows + deleteContentRange, files.export for pdf/docx. templates.ts kept intact as the rules layer exactly as the review advised; renderPlan() returns the same evaluation as data so the plan and the render cannot disagree. All 20 gallery templates re-rendered and a Docs simulator asserts the output equals renderPreview byte-for-byte. SBOM re-baselined on a real runtime tree: 13 components, and that figure now means something.</t>
        </is>
      </c>
      <c r="E74" s="45" t="inlineStr">
        <is>
          <t>P-DM-006, P-DM-001a, P-DM-004; DM-F30</t>
        </is>
      </c>
      <c r="F74" s="45" t="inlineStr">
        <is>
          <t>939 tests in-clone; every S14 file 100%</t>
        </is>
      </c>
      <c r="G74" s="45" t="inlineStr">
        <is>
          <t>The live exit criterion (a real Google account) needs LC-1 and is NOT claimed</t>
        </is>
      </c>
      <c r="H74" s="45" t="inlineStr">
        <is>
          <t>S15</t>
        </is>
      </c>
    </row>
    <row r="75">
      <c r="A75" s="45" t="inlineStr">
        <is>
          <t>E072</t>
        </is>
      </c>
      <c r="B75" s="45" t="inlineStr">
        <is>
          <t>2026-09-20 11:55</t>
        </is>
      </c>
      <c r="C75" s="45" t="inlineStr">
        <is>
          <t>S15</t>
        </is>
      </c>
      <c r="D75" s="46" t="inlineStr">
        <is>
          <t>S15 MAKE IT INSTALLABLE. The Editor add-on the product has assumed since S3: appsscript.json GENERATED from addonSurface.ts + scopes.ts with a drift test, Code.gs, Sidebar.html at 300px, and the SidebarHost shim whose absence sidebar.ts had documented in its own header for two weeks. GoogleDriveHost, GoogleSheetsSource and the token source with the ST-055 refresh path. Host-capability contract tests. Deliberate deviation reported and accepted: an Editor add-on manifest has NO addOns block — declaring one would make Apps Script treat the project as the exact surface P-DM-005 rejected.</t>
        </is>
      </c>
      <c r="E75" s="45" t="inlineStr">
        <is>
          <t>P-DM-005, P-DM-001b; DM-F31, DM-F32</t>
        </is>
      </c>
      <c r="F75" s="45" t="inlineStr">
        <is>
          <t>949 tests in-clone; every S15 file 100%</t>
        </is>
      </c>
      <c r="G75" s="45" t="inlineStr">
        <is>
          <t>clasp push, the real Sheet install and the demo recording all need LC-1</t>
        </is>
      </c>
      <c r="H75" s="45" t="inlineStr">
        <is>
          <t>S16</t>
        </is>
      </c>
    </row>
    <row r="76">
      <c r="A76" s="45" t="inlineStr">
        <is>
          <t>E073</t>
        </is>
      </c>
      <c r="B76" s="45" t="inlineStr">
        <is>
          <t>2026-09-20 12:10</t>
        </is>
      </c>
      <c r="C76" s="45" t="inlineStr">
        <is>
          <t>S16</t>
        </is>
      </c>
      <c r="D76" s="46" t="inlineStr">
        <is>
          <t>S16 DURABLE AND HONEST. Seven stores moved to Postgres in the review's exact order — webhook dedupe first because replay protection in RAM means billing webhooks can double-apply, audit ledger second because a hash chain that vanishes on restart cannot serve the auditability §5 identifies as the differentiator. Batch jobs checkpoint per row. E-SIGN RENAMED TO APPROVAL REQUESTS across every user-facing surface, with claimsGate.ts making it permanent. The gate immediately failed a NEW sentence written by someone who had just read the whole codebase.</t>
        </is>
      </c>
      <c r="E76" s="45" t="inlineStr">
        <is>
          <t>P-DM-009, P-DM-007, DM-F19, DM-F20; DM-F26, DM-F29</t>
        </is>
      </c>
      <c r="F76" s="45" t="inlineStr">
        <is>
          <t>Durable stores contract-tested on PGlite; crash-restart invariant per store</t>
        </is>
      </c>
      <c r="G76" s="45" t="inlineStr">
        <is>
          <t>D-DM6 (real provider or stay an approval product) is Senthil's</t>
        </is>
      </c>
      <c r="H76" s="45" t="inlineStr">
        <is>
          <t>S18</t>
        </is>
      </c>
    </row>
    <row r="77">
      <c r="A77" s="45" t="inlineStr">
        <is>
          <t>E074</t>
        </is>
      </c>
      <c r="B77" s="45" t="inlineStr">
        <is>
          <t>2026-09-20 12:20</t>
        </is>
      </c>
      <c r="C77" s="45" t="inlineStr">
        <is>
          <t>S18</t>
        </is>
      </c>
      <c r="D77" s="46" t="inlineStr">
        <is>
          <t>S18 MAKE IT OPERABLE. Dockerfile, Terraform for Cloud Run + Cloud SQL, a deploy workflow that FAILS CLOSED naming LC-1, a redacting structured logger with a PII assertion test, SLO error budgets, a synthetic monitor RUN FOR REAL against the built app, one alert with a runbook whose every quoted command is asserted to exist, and a restore drill that ACTUALLY RAN: RTO 95ms measured. Infrastructure choice driven by the app's own guard — Cloud SQL private IP rather than the connector, because the connector requires ssl:false and pgClient.ts correctly refuses that in production.</t>
        </is>
      </c>
      <c r="E77" s="45" t="inlineStr">
        <is>
          <t>S18; DM-F35, DM-F37, DM-F38</t>
        </is>
      </c>
      <c r="F77" s="45" t="inlineStr">
        <is>
          <t>957 tests in-clone; drill evidence committed</t>
        </is>
      </c>
      <c r="G77" s="45" t="inlineStr">
        <is>
          <t>The destroy/recreate/rollback sequence needs the real project</t>
        </is>
      </c>
      <c r="H77" s="45" t="inlineStr">
        <is>
          <t>Merge + S17 + S19</t>
        </is>
      </c>
    </row>
    <row r="78">
      <c r="A78" s="45" t="inlineStr">
        <is>
          <t>E075</t>
        </is>
      </c>
      <c r="B78" s="45" t="inlineStr">
        <is>
          <t>2026-09-20 12:45</t>
        </is>
      </c>
      <c r="C78" s="45" t="inlineStr">
        <is>
          <t>—</t>
        </is>
      </c>
      <c r="D78" s="46" t="inlineStr">
        <is>
          <t>MERGE AND PRODUCTION WIRING. The five sprint branches merged and the composition root rewritten to choose the real implementations: Google Docs rendering with Drive filing of the exported bytes, Postgres behind every durable store, the redacting logger as the log sink, the license probe, the Stripe gateway. This is the step that turns seven independently-tested sprints into one product — and the step at which an integration layer usually stays half-wired.</t>
        </is>
      </c>
      <c r="E78" s="45" t="inlineStr">
        <is>
          <t>All sprints</t>
        </is>
      </c>
      <c r="F78" s="45" t="inlineStr">
        <is>
          <t>1389 tests / 78 suites / 100% x4 after merge</t>
        </is>
      </c>
      <c r="G78" s="45" t="inlineStr">
        <is>
          <t>None</t>
        </is>
      </c>
      <c r="H78" s="45" t="inlineStr">
        <is>
          <t>S19</t>
        </is>
      </c>
    </row>
    <row r="79">
      <c r="A79" s="45" t="inlineStr">
        <is>
          <t>E076</t>
        </is>
      </c>
      <c r="B79" s="45" t="inlineStr">
        <is>
          <t>2026-09-20 12:55</t>
        </is>
      </c>
      <c r="C79" s="45" t="inlineStr">
        <is>
          <t>S19</t>
        </is>
      </c>
      <c r="D79" s="46" t="inlineStr">
        <is>
          <t>S19 INTEGRATION GATE — AND IT EARNED ITSELF IMMEDIATELY. Built integrationGate.ts (every exported behavioural boundary with no non-test implementation) and pointed it at this repository AFTER seven sprints of remediation: 16 findings. PaymentGateway had been injected since S6 with both environment values in the contract and NO CODE HAD EVER SENT A REQUEST TO STRIPE. LicenseProbe, created by VER-DM1 to detect uninstall because the Marketplace pushes no webhook, was never implemented — so uninstall was undetectable. Both now real. It then caught TWO STUBS WRITTEN IN THE SAME HOUR as the fix, which became accountIdentities.ts and migration 006. DM-F39: it also found a blind spot in itself — its method regex could not match query&lt;T = Record&lt;string, unknown&gt;&gt;(, so SqlClient, the boundary the review explicitly named, was silently not a boundary at all. A gate with a blind spot reports PASS, not ERROR.</t>
        </is>
      </c>
      <c r="E79" s="45" t="inlineStr">
        <is>
          <t>P-DM-001; DM-F39</t>
        </is>
      </c>
      <c r="F79" s="45" t="inlineStr">
        <is>
          <t>43 boundaries, 0 findings, wired into CI and npm run verify</t>
        </is>
      </c>
      <c r="G79" s="45" t="inlineStr">
        <is>
          <t>R-D18 (run it against a sibling) is still the cheapest item on the board and still never done</t>
        </is>
      </c>
      <c r="H79" s="45" t="inlineStr">
        <is>
          <t>S17</t>
        </is>
      </c>
    </row>
    <row r="80">
      <c r="A80" s="45" t="inlineStr">
        <is>
          <t>E077</t>
        </is>
      </c>
      <c r="B80" s="45" t="inlineStr">
        <is>
          <t>2026-09-20 13:00</t>
        </is>
      </c>
      <c r="C80" s="45" t="inlineStr">
        <is>
          <t>S17</t>
        </is>
      </c>
      <c r="D80" s="46" t="inlineStr">
        <is>
          <t>S17 MAKE IT SELLABLE (code half). The governance assets §5 identifies became buyer-facing artefacts, each GENERATED from the enforcing code: an audit export whose CSV columns are the digest preimage order so a customer can verify the chain without trusting us; a tenant-isolation statement that also publishes what it does NOT prove; an honest batch-SLO page whose validator rejects any figure not derived from a recorded quota. Entitlement tiers closed the DM-F03 class grep-style. Quotas re-verified against Google's live pages: Docs and Sheets matched exactly, Drive HAD CHANGED and VER-DM7's recorded ambiguity has resolved. The listing now gates against a CASA-badge or mobile claim. DM-F27: AdminAuditLog.exportCsv omits previousDigest, so the CSV a customer receives cannot be verified by them.</t>
        </is>
      </c>
      <c r="E80" s="45" t="inlineStr">
        <is>
          <t>P-DM-008 (code half), P-DM-012, §5; DM-F27</t>
        </is>
      </c>
      <c r="F80" s="45" t="inlineStr">
        <is>
          <t>1486 tests / 80 suites / 100% x4</t>
        </is>
      </c>
      <c r="G80" s="45" t="inlineStr">
        <is>
          <t>D-DM5 pricing is THE genuine new decision and gates the listing copy</t>
        </is>
      </c>
      <c r="H80" s="45" t="inlineStr">
        <is>
          <t>Documents, workbooks, v037</t>
        </is>
      </c>
    </row>
    <row r="81">
      <c r="A81" s="45" t="inlineStr">
        <is>
          <t>E078</t>
        </is>
      </c>
      <c r="B81" s="45" t="inlineStr">
        <is>
          <t>2026-09-20 13:00</t>
        </is>
      </c>
      <c r="C81" s="45" t="inlineStr">
        <is>
          <t>—</t>
        </is>
      </c>
      <c r="D81" s="46" t="inlineStr">
        <is>
          <t>DOCUMENTS AND FULL-CHAIN VERIFICATION. STATE_OF_DOCMERGE.md rewritten — it opened 'the code is finished and the product cannot launch', which is now known to have been false, and the rewrite says so and says why it was believed. EXTERNAL_REVIEW_PPLX_V001.md, EXECUTION_EVIDENCE_S13_S19.md and a README added. Three document/code contradictions found and closed: DM-F34 (the privacy/CASA pack still named an e-sign subprocessor), DM-F35 (.env.example carried 16 variables against a 25-variable contract, missing the three the app cannot start without), DM-F36 (both pen-test documents, which go to an external vendor, still described a signature product). All three are the claims-gate scope being drawn around the artefact instead of the reader. `npm run verify` from a wiped node_modules: green end to end.</t>
        </is>
      </c>
      <c r="E81" s="45" t="inlineStr">
        <is>
          <t>DM-F34, DM-F35, DM-F36</t>
        </is>
      </c>
      <c r="F81" s="45" t="inlineStr">
        <is>
          <t>Full chain green: 1486 + 24 contract + 4 boot, all gates, audit 0, SBOM 13 runtime</t>
        </is>
      </c>
      <c r="G81" s="45" t="inlineStr">
        <is>
          <t>Everything remaining is LC-1, a lawyer, a pricing call and three ratifications</t>
        </is>
      </c>
      <c r="H81" s="45" t="inlineStr">
        <is>
          <t>Senthil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70" customWidth="1" style="21" min="2" max="2"/>
    <col width="45" customWidth="1" style="21" min="3" max="3"/>
    <col width="22" customWidth="1" style="21" min="4" max="5"/>
  </cols>
  <sheetData>
    <row r="1" ht="17.25" customHeight="1" s="22">
      <c r="A1" s="23" t="inlineStr">
        <is>
          <t>DECISIONS (tracker scope)</t>
        </is>
      </c>
    </row>
    <row r="3" ht="15" customHeight="1" s="22">
      <c r="A3" s="25" t="inlineStr">
        <is>
          <t>ID</t>
        </is>
      </c>
      <c r="B3" s="25" t="inlineStr">
        <is>
          <t>Decision</t>
        </is>
      </c>
      <c r="C3" s="25" t="inlineStr">
        <is>
          <t>Rationale</t>
        </is>
      </c>
      <c r="D3" s="25" t="inlineStr">
        <is>
          <t>Decided by</t>
        </is>
      </c>
      <c r="E3" s="25" t="inlineStr">
        <is>
          <t>Status</t>
        </is>
      </c>
    </row>
    <row r="4" ht="23.25" customHeight="1" s="22">
      <c r="A4" s="26" t="inlineStr">
        <is>
          <t>D13</t>
        </is>
      </c>
      <c r="B4" s="26" t="inlineStr">
        <is>
          <t>(Portfolio-wide) Discovery interviews parked; dev proceeds with 100% automation test coverage on all code (supersedes ST-085 &gt;=70% gate).</t>
        </is>
      </c>
      <c r="C4" s="26" t="inlineStr">
        <is>
          <t>Senthil 10 Sep 20:45; applied to DocMerge from 22:17 session start.</t>
        </is>
      </c>
      <c r="D4" s="26" t="inlineStr">
        <is>
          <t>Senthil</t>
        </is>
      </c>
      <c r="E4" s="26" t="inlineStr">
        <is>
          <t>LOCKED</t>
        </is>
      </c>
    </row>
    <row r="5" ht="34.5" customHeight="1" s="22">
      <c r="A5" s="26" t="inlineStr">
        <is>
          <t>D15</t>
        </is>
      </c>
      <c r="B5" s="26" t="inlineStr">
        <is>
          <t>Sequencing mode for concurrent builds (parallel vs order swap) — DocMerge Pro is now a third active build alongside the rank-1 and rank-2 products while the rank-1 gate is unmet.</t>
        </is>
      </c>
      <c r="C5" s="26" t="inlineStr">
        <is>
          <t>Logged for ratification consistency with the portfolio serial rule; DocMerge sessions ran on explicit "continue" instructions 22:17-23:03.</t>
        </is>
      </c>
      <c r="D5" s="26" t="inlineStr">
        <is>
          <t>Senthil (mode ratification pending)</t>
        </is>
      </c>
      <c r="E5" s="26" t="inlineStr">
        <is>
          <t>OPEN</t>
        </is>
      </c>
    </row>
    <row r="6" ht="34.5" customHeight="1" s="22">
      <c r="A6" s="26" t="inlineStr">
        <is>
          <t>DM-D1</t>
        </is>
      </c>
      <c r="B6" s="26" t="inlineStr">
        <is>
          <t>Stack = TypeScript/Node strict per v007 ReadMe stack assumption; Jest + ts-jest; coverage thresholds pinned at 100 in package.json; GitHub Actions CI with smoke-gated deploy.</t>
        </is>
      </c>
      <c r="C6" s="26" t="inlineStr">
        <is>
          <t>Follows workbook; matches TeleField/RevRescue precedent.</t>
        </is>
      </c>
      <c r="D6" s="26" t="inlineStr">
        <is>
          <t>Claude — flagged</t>
        </is>
      </c>
      <c r="E6" s="26" t="inlineStr">
        <is>
          <t>OPEN for ratification</t>
        </is>
      </c>
    </row>
    <row r="7" ht="45.75" customHeight="1" s="22">
      <c r="A7" s="26" t="inlineStr">
        <is>
          <t>DM-D2</t>
        </is>
      </c>
      <c r="B7" s="26" t="inlineStr">
        <is>
          <t>Persistence and platform boundaries injected: in-memory repos (tokens, accounts, templates, scheduler) behind typed interfaces; OAuth transport, delivery transport, sidebar host, notification senders, telemetry sink all injected. Postgres/Apps Script/PostHog adapters land at deploy without touching domain code.</t>
        </is>
      </c>
      <c r="C7" s="26" t="inlineStr">
        <is>
          <t>Sandbox has no Postgres or live Workspace; same accepted pattern as TeleField D16/R-T4.</t>
        </is>
      </c>
      <c r="D7" s="26" t="inlineStr">
        <is>
          <t>Claude — flagged</t>
        </is>
      </c>
      <c r="E7" s="26" t="inlineStr">
        <is>
          <t>LARGELY RESOLVED 20 Sep (S16). Thirteen stores are now Postgres-backed: the six from R-D4 plus webhook dedupe, the audit ledger with its eviction anchor, approval requests, batch checkpoints, form triggers, rate-limit windows, sessions and deletion jobs. P-DM-009's list is closed. What remains in memory is per-process cache in front of a durable store, not the store itself.</t>
        </is>
      </c>
    </row>
    <row r="8" ht="34.5" customHeight="1" s="22">
      <c r="A8" s="26" t="inlineStr">
        <is>
          <t>DM-D3</t>
        </is>
      </c>
      <c r="B8" s="26" t="inlineStr">
        <is>
          <t>STATUS MAPPING: product workbook Full_Backlog "Done" == tracker "Done-in-code". Nothing is tracker-"Done" until live evidence (dev-org install, real Sheets/Drive calls, screenshots) exists.</t>
        </is>
      </c>
      <c r="C8" s="26" t="inlineStr">
        <is>
          <t>D7/R2 honesty pattern: code complete counts for nothing at the completion gate.</t>
        </is>
      </c>
      <c r="D8" s="26" t="inlineStr">
        <is>
          <t>Claude per TeleField pattern</t>
        </is>
      </c>
      <c r="E8" s="26" t="inlineStr">
        <is>
          <t>LOCKED (pattern)</t>
        </is>
      </c>
    </row>
    <row r="9" ht="68.25" customHeight="1" s="22">
      <c r="A9" s="26" t="inlineStr">
        <is>
          <t>D-DM1</t>
        </is>
      </c>
      <c r="B9" s="26" t="inlineStr">
        <is>
          <t>Pick the add-on type: Editor add-on (HTML sidebar, document context, Apps Script triggers — desktop and Editors only) OR Google Workspace add-on (cards, mobile, all host apps — no document context, no triggers, not in Forms).</t>
        </is>
      </c>
      <c r="C9" s="26" t="inlineStr">
        <is>
          <t>Forced by VER-DM3. The product was built assuming a surface that does not exist as described: 12 shipped stories cannot run on the Workspace type as built, and the form feature cannot run there at all. Evidence and trade-offs in ADDON_SURFACE_DECISION.md; constraint matrix test-pinned in src/addonSurface.ts.</t>
        </is>
      </c>
      <c r="D9" s="26" t="inlineStr">
        <is>
          <t>Senthil</t>
        </is>
      </c>
      <c r="E9" s="51" t="inlineStr">
        <is>
          <t>BUILT AS EDITOR 20 Sep (S15) — RATIFICATION OWED. P-DM-005 recosted the decision and it is no longer about twelve stories of UI rework: the Workspace type CANNOT provide document context or Apps Script triggers at all, and fourteen stories sit behind those capability walls. The deciding evidence was already encoded in our own addonSurface.ts. The add-on was built on that recommendation; it has never been pushed with clasp or installed in a real Sheet.</t>
        </is>
      </c>
    </row>
    <row r="10" ht="84.75" customHeight="1" s="22">
      <c r="A10" s="29" t="inlineStr">
        <is>
          <t>D-DM2</t>
        </is>
      </c>
      <c r="B10" s="28" t="inlineStr">
        <is>
          <t>Enterprise bar: accept the external review's S13-S32 plan (enterprise identity at S17 as P0, design partners at S30, GA at S31), or hold the launch-first order from STATE_OF_DOCMERGE and treat the enterprise sprints as post-first-customer work.</t>
        </is>
      </c>
      <c r="C10" s="28" t="inlineStr">
        <is>
          <t>The two are incompatible. The review sequences SAML/SCIM federation eighteen sprints before the first paying customer; STATE_OF_DOCMERGE concludes the highest-value next hour is a domain and a GCP project. A reviewer scoring against an enterprise bar will always return "not enterprise-grade" — that is a verdict on a bar that has not been chosen. CGPT-DM-005/007/009/010 are all deferred behind this decision.</t>
        </is>
      </c>
      <c r="D10" s="28" t="inlineStr">
        <is>
          <t>Senthil</t>
        </is>
      </c>
      <c r="E10" s="28" t="inlineStr">
        <is>
          <t>OPEN — blocks S13 sequencing</t>
        </is>
      </c>
    </row>
    <row r="11" ht="42.75" customHeight="1" s="22">
      <c r="A11" s="29" t="inlineStr">
        <is>
          <t>D-DM3</t>
        </is>
      </c>
      <c r="B11" s="28" t="inlineStr">
        <is>
          <t>D13 collision: S30 in the review plan requires 20-30 customer interviews and 5 design partners. D13 parked discovery interviews portfolio-wide and is LOCKED.</t>
        </is>
      </c>
      <c r="C11" s="28" t="inlineStr">
        <is>
          <t>Cannot adopt the review plan wholesale without either unparking interviews for DocMerge or accepting that S30 cannot be met as written. The review scores commercial readiness 5/10 and calls market evidence the gap.</t>
        </is>
      </c>
      <c r="D11" s="28" t="inlineStr">
        <is>
          <t>Senthil</t>
        </is>
      </c>
      <c r="E11" s="28" t="inlineStr">
        <is>
          <t>OPEN</t>
        </is>
      </c>
    </row>
    <row r="12" ht="53.25" customHeight="1" s="22">
      <c r="A12" s="29" t="inlineStr">
        <is>
          <t>D-DM4</t>
        </is>
      </c>
      <c r="B12" s="28" t="inlineStr">
        <is>
          <t>Red main: the deploy job now fails closed (CGPT-DM-002). Alternative is a job that skips with a stated reason and leaves main green.</t>
        </is>
      </c>
      <c r="C12" s="28" t="inlineStr">
        <is>
          <t>Fail-closed is the honest signal and makes the missing deployment visible on every push. It also makes main permanently red until LC-1, which erodes the value of a red build as a signal. Either is defensible; the current state is fail-closed.</t>
        </is>
      </c>
      <c r="D12" s="28" t="inlineStr">
        <is>
          <t>Claude — flagged</t>
        </is>
      </c>
      <c r="E12" s="52" t="inlineStr">
        <is>
          <t>RESOLVED BY S18 (20 Sep). The deploy job now has a real implementation behind a preflight that fails closed naming LC-1, so the red resolves itself the moment the project exists — which is what the original reasoning predicted. No ratification needed.</t>
        </is>
      </c>
    </row>
    <row r="13">
      <c r="A13" s="45" t="inlineStr">
        <is>
          <t>D-DM5</t>
        </is>
      </c>
      <c r="B13" s="45" t="inlineStr">
        <is>
          <t>PRICING AND POSITIONING — the model does not reach breakeven at $19 with a $12k/month cost base, and the sheet's own reading note implied it did. Three structural exits: (a) raise ARPU 3-5x to $60-95 by selling governed document operations to a team buyer; (b) cut the cost base to solo-founder level (~$2-3k), which makes the CURRENT model break even around M14; (c) raise conversion above 6%.</t>
        </is>
      </c>
      <c r="C13" s="45" t="inlineStr">
        <is>
          <t>P-DM-008's arithmetic was re-implemented independently and matches the review to the dollar: cumulative -$228,150 at M18 with the gap still widening at M12. Option (a) is the review's recommendation and the only one consistent with what was actually built — the ledger, quota governor, tenant gate and purge receipts are bought by an operations owner, not by an office manager. Option (b) deserves equal weight: it needs no repositioning risk and no customer conversation. Option (c) is the weakest lever — in a category where the incumbents are free, 6% is already optimistic.</t>
        </is>
      </c>
      <c r="D13" s="45" t="inlineStr">
        <is>
          <t>Senthil</t>
        </is>
      </c>
      <c r="E13" s="46" t="inlineStr">
        <is>
          <t>OPEN — the one genuine new decision. It GATES the listing copy, because changing pricing after submission is expensive.</t>
        </is>
      </c>
    </row>
    <row r="14">
      <c r="A14" s="45" t="inlineStr">
        <is>
          <t>D-DM6</t>
        </is>
      </c>
      <c r="B14" s="45" t="inlineStr">
        <is>
          <t>E-SIGN PROVIDER — integrate a real provider (Dropbox Sign / DocuSign / Zoho Sign) keeping our orchestration as the differentiator, or remain an approval-request product.</t>
        </is>
      </c>
      <c r="C14" s="45" t="inlineStr">
        <is>
          <t>P-DM-007's honest half is DONE and was never contingent on this: the feature is renamed to Approval requests everywhere and a repository gate proves no signature claim remains, so the legal exposure is removed either way. The EsignProvider boundary exists with NotConfiguredEsignProvider refusing with a typed error. The review recommends integrating later only if customers ask, which is also the cheapest order.</t>
        </is>
      </c>
      <c r="D14" s="45" t="inlineStr">
        <is>
          <t>Senthil</t>
        </is>
      </c>
      <c r="E14" s="46" t="inlineStr">
        <is>
          <t>OPEN — no longer urgent, because the exposure is closed independently of it.</t>
        </is>
      </c>
    </row>
    <row r="15">
      <c r="A15" s="45" t="inlineStr">
        <is>
          <t>D-DM7</t>
        </is>
      </c>
      <c r="B15" s="45" t="inlineStr">
        <is>
          <t>RATIFY the three module-header declarations made on the decision pack's recommendation: DM-F19/DM-F20 metrics and support inbox as OPERATOR-ONLY, and the Editor surface.</t>
        </is>
      </c>
      <c r="C15" s="45" t="inlineStr">
        <is>
          <t>Each was open for seven days and each was implemented as the pack recommended rather than left to rot. They are recorded as declarations owing ratification, not as decisions taken on Senthil's behalf.</t>
        </is>
      </c>
      <c r="D15" s="45" t="inlineStr">
        <is>
          <t>Senthil</t>
        </is>
      </c>
      <c r="E15" s="46" t="inlineStr">
        <is>
          <t>OPEN — ten minutes.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1" min="1" max="1"/>
    <col width="42" customWidth="1" style="21" min="2" max="2"/>
    <col width="40" customWidth="1" style="21" min="3" max="3"/>
    <col width="34" customWidth="1" style="21" min="4" max="4"/>
    <col width="92" customWidth="1" style="21" min="5" max="5"/>
    <col width="20" customWidth="1" style="21" min="6" max="6"/>
  </cols>
  <sheetData>
    <row r="1" ht="17.25" customHeight="1" s="22">
      <c r="A1" s="23" t="inlineStr">
        <is>
          <t>DECISION PACK — 14 Sep 2026</t>
        </is>
      </c>
    </row>
    <row r="2" ht="33.75" customHeight="1" s="22">
      <c r="A2" s="30" t="inlineStr">
        <is>
          <t>Recommendations, not findings. Each carries its reasoning so it can be rejected on the reasoning rather than the conclusion. Full text in DECISION_PACK.md. Nothing here is decided until Senthil decides it — the Status column stays OPEN.</t>
        </is>
      </c>
    </row>
    <row r="4" ht="15" customHeight="1" s="22">
      <c r="A4" s="31" t="inlineStr">
        <is>
          <t>ID</t>
        </is>
      </c>
      <c r="B4" s="31" t="inlineStr">
        <is>
          <t>Question</t>
        </is>
      </c>
      <c r="C4" s="31" t="inlineStr">
        <is>
          <t>What it blocks</t>
        </is>
      </c>
      <c r="D4" s="31" t="inlineStr">
        <is>
          <t>Recommendation</t>
        </is>
      </c>
      <c r="E4" s="31" t="inlineStr">
        <is>
          <t>Reasoning</t>
        </is>
      </c>
      <c r="F4" s="31" t="inlineStr">
        <is>
          <t>Status</t>
        </is>
      </c>
    </row>
    <row r="5" ht="53.25" customHeight="1" s="22">
      <c r="A5" s="29" t="inlineStr">
        <is>
          <t>D-DM1</t>
        </is>
      </c>
      <c r="B5" s="28" t="inlineStr">
        <is>
          <t>Editor add-on or Workspace add-on</t>
        </is>
      </c>
      <c r="C5" s="28" t="inlineStr">
        <is>
          <t>Scope narrative, listing copy, five story descriptions, OAuth scope justification</t>
        </is>
      </c>
      <c r="D5" s="28" t="inlineStr">
        <is>
          <t>EDITOR</t>
        </is>
      </c>
      <c r="E5" s="28" t="inlineStr">
        <is>
          <t>Workspace costs twelve stories rebuilt as cards (ST-005, ST-015, ST-041..ST-050) and the form feature dropped or split, to reach mobile and cross-app surfaces no customer has asked for — the roadmap assumes them and the roadmap has no customers in it. Editor keeps all five feature groups as built. The expansion path can be bought later as a second surface once there is evidence anyone wants it. The external review reached the same conclusion, though from the same document.</t>
        </is>
      </c>
      <c r="F5" s="54" t="inlineStr">
        <is>
          <t>BUILT AS EDITOR 20 Sep (S15) — RATIFICATION OWED. P-DM-005 recosted it: capability walls, not UI cost.</t>
        </is>
      </c>
    </row>
    <row r="6" ht="32.25" customHeight="1" s="22">
      <c r="A6" s="29" t="inlineStr">
        <is>
          <t>D-DM2</t>
        </is>
      </c>
      <c r="B6" s="28" t="inlineStr">
        <is>
          <t>Compete at the enterprise bar now, or after first paying customers</t>
        </is>
      </c>
      <c r="C6" s="28" t="inlineStr">
        <is>
          <t>RR-06..RR-10 — distributed quota governor, SAML/SCIM, legal hold, DR drills, SLO history (4-5 unscoped sprints)</t>
        </is>
      </c>
      <c r="D6" s="28" t="inlineStr">
        <is>
          <t>LAUNCH FIRST; trigger on the first written SSO request</t>
        </is>
      </c>
      <c r="E6" s="28" t="inlineStr">
        <is>
          <t>A reviewer scoring against an enterprise bar always returns "not enterprise-grade" — that is a verdict on a bar not yet chosen. The review's own scorecard puts commercial readiness 5.0 and launch readiness 4.0 below engineering maturity 8.0, so the gap is customers, not capability. Naming an explicit trigger stops the decision silently reversing.</t>
        </is>
      </c>
      <c r="F6" s="28" t="inlineStr">
        <is>
          <t>OPEN</t>
        </is>
      </c>
    </row>
    <row r="7" ht="42.75" customHeight="1" s="22">
      <c r="A7" s="29" t="inlineStr">
        <is>
          <t>D-DM3</t>
        </is>
      </c>
      <c r="B7" s="28" t="inlineStr">
        <is>
          <t>S30 needs 20-30 interviews and 5 design partners; D13 parked interviews portfolio-wide and is LOCKED</t>
        </is>
      </c>
      <c r="C7" s="28" t="inlineStr">
        <is>
          <t>Adoption of the review sprint plan</t>
        </is>
      </c>
      <c r="D7" s="28" t="inlineStr">
        <is>
          <t>KEEP D13; do not adopt S30 as written — name what replaces it</t>
        </is>
      </c>
      <c r="E7" s="28" t="inlineStr">
        <is>
          <t>For a self-serve listing the first fifty installs are cheaper and more honest evidence than twenty interviews: install-to-first-document conversion, where people stop, which template they pick first. The telemetry to answer all three already exists. If interviews are preferred, unpark them for DocMerge ONLY and say so, rather than leaving a plan and a locked decision quietly contradicting each other.</t>
        </is>
      </c>
      <c r="F7" s="28" t="inlineStr">
        <is>
          <t>OPEN</t>
        </is>
      </c>
    </row>
    <row r="8" ht="32.25" customHeight="1" s="22">
      <c r="A8" s="29" t="inlineStr">
        <is>
          <t>D-DM4</t>
        </is>
      </c>
      <c r="B8" s="28" t="inlineStr">
        <is>
          <t>Deploy job fails closed, so main is red until LC-1</t>
        </is>
      </c>
      <c r="C8" s="28" t="inlineStr">
        <is>
          <t>Nothing — but it degrades the red build as a signal</t>
        </is>
      </c>
      <c r="D8" s="28" t="inlineStr">
        <is>
          <t>LEAVE IT RED</t>
        </is>
      </c>
      <c r="E8" s="28" t="inlineStr">
        <is>
          <t>One repo, one developer, and the red is true: there is no deployment. A skipped-with-a-reason job reads as "fine" within a week, which is exactly how it stayed green for five sprints while deploying nothing. Reverse it only if the red starts hiding a DIFFERENT failure — that is the risk to watch, not the red.</t>
        </is>
      </c>
      <c r="F8" s="52" t="inlineStr">
        <is>
          <t>RESOLVED BY S18 (20 Sep) — the deploy job has a real implementation behind a fail-closed preflight.</t>
        </is>
      </c>
    </row>
    <row r="9" ht="32.25" customHeight="1" s="22">
      <c r="A9" s="29" t="inlineStr">
        <is>
          <t>DM-F19 / DM-F20</t>
        </is>
      </c>
      <c r="B9" s="28" t="inlineStr">
        <is>
          <t>Are the cross-tenant metrics and unscoped support inbox internal or customer-facing</t>
        </is>
      </c>
      <c r="C9" s="28" t="inlineStr">
        <is>
          <t>Nothing today; a data leak the day either is wired to a per-customer dashboard</t>
        </is>
      </c>
      <c r="D9" s="28" t="inlineStr">
        <is>
          <t>DECLARE INTERNAL-ONLY, in writing, in the module header</t>
        </is>
      </c>
      <c r="E9" s="28" t="inlineStr">
        <is>
          <t>The test asserting neither is reachable from any HTTP route already exists and is what keeps this a decision rather than a defect. What is missing is a sentence in the code saying WHY it must stay that way, so the next person adding a dashboard route reads it first. Ten-minute decision, open for a day because it looks like it needs thought.</t>
        </is>
      </c>
      <c r="F9" s="54" t="inlineStr">
        <is>
          <t>DECLARED 20 Sep (S16) in the module headers, exactly as recommended — ratification owed (D-DM7).</t>
        </is>
      </c>
    </row>
    <row r="10" ht="32.25" customHeight="1" s="22">
      <c r="A10" s="29" t="inlineStr">
        <is>
          <t>R-D13</t>
        </is>
      </c>
      <c r="B10" s="28" t="inlineStr">
        <is>
          <t>Unstaffed four-business-hour support SLA</t>
        </is>
      </c>
      <c r="C10" s="28" t="inlineStr">
        <is>
          <t>CL-15 on the submission checklist</t>
        </is>
      </c>
      <c r="D10" s="28" t="inlineStr">
        <is>
          <t>WIDEN TO ONE BUSINESS DAY and publish that</t>
        </is>
      </c>
      <c r="E10" s="28" t="inlineStr">
        <is>
          <t>You can honour it, which is the only property that matters. Four hours from a solo founder breaks the first time you sleep, and a broken response promise costs more trust than a modest one kept. support.html currently publishes nothing and explains why — a holding position, not an answer.</t>
        </is>
      </c>
      <c r="F10" s="28" t="inlineStr">
        <is>
          <t>STILL OPEN — unchanged by S13-S19. The published four-business-hour SLA is still unstaffed.</t>
        </is>
      </c>
    </row>
    <row r="11" ht="32.25" customHeight="1" s="22">
      <c r="A11" s="29" t="inlineStr">
        <is>
          <t>R-D22</t>
        </is>
      </c>
      <c r="B11" s="28" t="inlineStr">
        <is>
          <t>Terms of service and privacy framing are unreviewed legal text</t>
        </is>
      </c>
      <c r="C11" s="28" t="inlineStr">
        <is>
          <t>CL-22, and therefore the consent screen</t>
        </is>
      </c>
      <c r="D11" s="28" t="inlineStr">
        <is>
          <t>GET IT QUOTED THIS WEEK — a purchase, not a decision</t>
        </is>
      </c>
      <c r="E11" s="28" t="inlineStr">
        <is>
          <t>The only remaining item with an external lead time that has not been started, now that the pen-test outreach is written. A fixed-fee review of two short documents is a small known cost sitting directly on the critical path: the pages must be live AND correct before the OAuth consent screen, not after.</t>
        </is>
      </c>
      <c r="F11" s="28" t="inlineStr">
        <is>
          <t>STILL OPEN — and now MORE urgent, not less: P-DM-011 shows verification runs weeks to months and the legal review is the second slow clock. Both can run concurrently with engineering.</t>
        </is>
      </c>
    </row>
    <row r="13" ht="45.75" customHeight="1" s="22">
      <c r="A13" s="32" t="inlineStr">
        <is>
          <t>IF ONLY ONE THING: D-DM1 and D-DM2 together unlock the most — listing copy, scope narrative, five story descriptions, and whether five unscoped sprints exist at all. Both are answerable in the time it takes to read the pack. Neither needs a domain, a project or a budget. Then register the domain, which has been the highest-value hour for two days.</t>
        </is>
      </c>
    </row>
    <row r="15">
      <c r="A15" s="53" t="inlineStr">
        <is>
          <t>ADDED 20 September 2026 — external review PPLX V001</t>
        </is>
      </c>
    </row>
    <row r="16">
      <c r="A16" s="45" t="inlineStr">
        <is>
          <t>D-DM5</t>
        </is>
      </c>
      <c r="B16" s="45" t="inlineStr">
        <is>
          <t>Pricing and positioning: raise ARPU to a team buyer, cut the cost base, or raise conversion</t>
        </is>
      </c>
      <c r="C16" s="45" t="inlineStr">
        <is>
          <t>The listing copy, the pricing page, and the S19 submission — changing pricing after submission is expensive</t>
        </is>
      </c>
      <c r="D16" s="45" t="inlineStr">
        <is>
          <t>RAISE ARPU 3-5x by selling governed document operations to an ops/compliance owner ($99-299 team, $299-499 business, volume-capped free tier as the funnel) — OR cut the cost base, which is equally defensible</t>
        </is>
      </c>
      <c r="E16" s="45" t="inlineStr">
        <is>
          <t>P-DM-008's arithmetic was re-implemented here independently and matches the review to the dollar: -$228,150 cumulative at M18, still widening at M12, and paying accounts asymptote near 1,700 at 4.5% churn — roughly $32k MRR against a cost base that passes it around M28. The review's recommendation is the only option consistent with what was actually BUILT: the hash-chained ledger, the verified-quota governor, the tenant gate and the purge receipts are bought by an operations owner and are invisible to an office manager. But option (b) deserves equal weight and the review underweights it — cutting to solo-founder level (~$2-3k/month) makes the CURRENT model break even around M14, carries no repositioning risk, and requires no customer conversation. Option (c), raising conversion above 6%, is the weakest lever: in a category where the incumbents are free, 6% is already optimistic.</t>
        </is>
      </c>
      <c r="F16" s="46" t="inlineStr">
        <is>
          <t>OPEN — THE genuine new decision</t>
        </is>
      </c>
    </row>
    <row r="17">
      <c r="A17" s="45" t="inlineStr">
        <is>
          <t>D-DM6</t>
        </is>
      </c>
      <c r="B17" s="45" t="inlineStr">
        <is>
          <t>Integrate a real e-sign provider, or remain an approval-request product</t>
        </is>
      </c>
      <c r="C17" s="45" t="inlineStr">
        <is>
          <t>Nothing urgent — the legal exposure is already closed</t>
        </is>
      </c>
      <c r="D17" s="45" t="inlineStr">
        <is>
          <t>STAY AN APPROVAL PRODUCT; integrate only if a customer asks in writing</t>
        </is>
      </c>
      <c r="E17" s="45" t="inlineStr">
        <is>
          <t>The honest half of P-DM-007 is done and was never contingent on this: the feature is renamed everywhere and a repository gate proves no signature claim remains, so the exposure is gone either way. The EsignProvider boundary exists and refuses with a typed error. Integrating Dropbox Sign is perhaps a sprint; doing it before a customer asks spends that sprint on a buyer the product has never met — the same argument that made D-DM2 right.</t>
        </is>
      </c>
      <c r="F17" s="46" t="inlineStr">
        <is>
          <t>OPEN — no longer blocking</t>
        </is>
      </c>
    </row>
    <row r="18">
      <c r="A18" s="45" t="inlineStr">
        <is>
          <t>D-DM7</t>
        </is>
      </c>
      <c r="B18" s="45" t="inlineStr">
        <is>
          <t>Ratify three declarations made on this pack's own recommendations</t>
        </is>
      </c>
      <c r="C18" s="45" t="inlineStr">
        <is>
          <t>Nothing — but leaving them unratified is how a recommendation quietly becomes a decision nobody made</t>
        </is>
      </c>
      <c r="D18" s="45" t="inlineStr">
        <is>
          <t>RATIFY as written: DM-F19/F20 operator-only, and the Editor surface</t>
        </is>
      </c>
      <c r="E18" s="45" t="inlineStr">
        <is>
          <t>Each sat open for seven days and each was implemented as recommended rather than left to rot, with the module headers recording them as declarations owing ratification. That is the honest way to keep moving while a decision is outstanding, but it is not a substitute for the decision.</t>
        </is>
      </c>
      <c r="F18" s="46" t="inlineStr">
        <is>
          <t>OPEN — ten minutes</t>
        </is>
      </c>
    </row>
    <row r="20">
      <c r="A20" s="43" t="inlineStr">
        <is>
          <t>IF ONLY ONE THING (revised 20 Sep): it is no longer D-DM1 and D-DM2 — those are answered. It is LC-1, and the reason has changed. Creating the GCP project does not unblock engineering; seven sprints of engineering just happened without it. It starts a verification clock that runs for weeks to months and can run CONCURRENTLY, and it is the only thing standing between an integration layer proved against recorded contracts and one proved against Google. Start it and the legal review (R-D22) in the same hour; then make the pricing call (D-DM5) while both clocks run.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2" customWidth="1" style="21" min="3" max="3"/>
    <col width="8" customWidth="1" style="21" min="4" max="4"/>
    <col width="16" customWidth="1" style="21" min="5" max="5"/>
    <col width="14" customWidth="1" style="21" min="6" max="6"/>
    <col width="60" customWidth="1" style="21" min="7" max="7"/>
  </cols>
  <sheetData>
    <row r="1" ht="17.25" customHeight="1" s="22">
      <c r="A1" s="23" t="inlineStr">
        <is>
          <t>S1 BUILD BOARD — Foundation — exit: app installs cleanly in dev org; telemetry firing — product workbook v008 (22:17)</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S1-01</t>
        </is>
      </c>
      <c r="B4" s="26" t="inlineStr">
        <is>
          <t>Repo scaffold + Jest/ts-jest + coverage gate pinned 100x4 (D13)</t>
        </is>
      </c>
      <c r="C4" s="26" t="inlineStr">
        <is>
          <t>—</t>
        </is>
      </c>
      <c r="D4" s="26" t="n">
        <v>2</v>
      </c>
      <c r="E4" s="26" t="inlineStr">
        <is>
          <t>Claude</t>
        </is>
      </c>
      <c r="F4" s="33" t="inlineStr">
        <is>
          <t>Done</t>
        </is>
      </c>
      <c r="G4" s="26" t="inlineStr">
        <is>
          <t>package.json coverageThreshold; E004.</t>
        </is>
      </c>
    </row>
    <row r="5" ht="23.25" customHeight="1" s="22">
      <c r="A5" s="26" t="inlineStr">
        <is>
          <t>S1-02</t>
        </is>
      </c>
      <c r="B5" s="26" t="inlineStr">
        <is>
          <t>OAuth install flow -&gt; attributed welcome, &lt;2-min budget enforced</t>
        </is>
      </c>
      <c r="C5" s="26" t="inlineStr">
        <is>
          <t>ST-051</t>
        </is>
      </c>
      <c r="D5" s="26" t="n">
        <v>5</v>
      </c>
      <c r="E5" s="26" t="inlineStr">
        <is>
          <t>Claude</t>
        </is>
      </c>
      <c r="F5" s="33" t="inlineStr">
        <is>
          <t>Done-in-code</t>
        </is>
      </c>
      <c r="G5" s="26" t="inlineStr">
        <is>
          <t>src/oauth.ts exchangeCode + src/install.ts; budget pass/fail tests. Live &lt;2-min check at S1-06.</t>
        </is>
      </c>
    </row>
    <row r="6" ht="23.25" customHeight="1" s="22">
      <c r="A6" s="26" t="inlineStr">
        <is>
          <t>S1-03</t>
        </is>
      </c>
      <c r="B6" s="26" t="inlineStr">
        <is>
          <t>Uninstall webhook: revoke + delete tokens, 30-day retention schedule, replay-idempotent</t>
        </is>
      </c>
      <c r="C6" s="26" t="inlineStr">
        <is>
          <t>ST-052</t>
        </is>
      </c>
      <c r="D6" s="26" t="n">
        <v>3</v>
      </c>
      <c r="E6" s="26" t="inlineStr">
        <is>
          <t>Claude</t>
        </is>
      </c>
      <c r="F6" s="33" t="inlineStr">
        <is>
          <t>Done-in-code</t>
        </is>
      </c>
      <c r="G6" s="26" t="inlineStr">
        <is>
          <t>src/uninstall.ts; duplicate-webhook + partial-install tests.</t>
        </is>
      </c>
    </row>
    <row r="7" ht="23.25" customHeight="1" s="22">
      <c r="A7" s="26" t="inlineStr">
        <is>
          <t>S1-04</t>
        </is>
      </c>
      <c r="B7" s="26" t="inlineStr">
        <is>
          <t>Rotation-surviving token refresh; invalid_grant -&gt; re-auth; one transient retry</t>
        </is>
      </c>
      <c r="C7" s="26" t="inlineStr">
        <is>
          <t>ST-055</t>
        </is>
      </c>
      <c r="D7" s="26" t="n">
        <v>3</v>
      </c>
      <c r="E7" s="26" t="inlineStr">
        <is>
          <t>Claude</t>
        </is>
      </c>
      <c r="F7" s="33" t="inlineStr">
        <is>
          <t>Done-in-code</t>
        </is>
      </c>
      <c r="G7" s="26" t="inlineStr">
        <is>
          <t>src/tokenRefresh.ts; rotation-persistence + no-retry-loop tests.</t>
        </is>
      </c>
    </row>
    <row r="8" ht="23.25" customHeight="1" s="22">
      <c r="A8" s="26" t="inlineStr">
        <is>
          <t>S1-05</t>
        </is>
      </c>
      <c r="B8" s="26" t="inlineStr">
        <is>
          <t>Install telemetry source attribution (listing/search/referral) with sink-failure isolation</t>
        </is>
      </c>
      <c r="C8" s="26" t="inlineStr">
        <is>
          <t>ST-056</t>
        </is>
      </c>
      <c r="D8" s="26" t="n">
        <v>2</v>
      </c>
      <c r="E8" s="26" t="inlineStr">
        <is>
          <t>Claude</t>
        </is>
      </c>
      <c r="F8" s="33" t="inlineStr">
        <is>
          <t>Done-in-code</t>
        </is>
      </c>
      <c r="G8" s="26" t="inlineStr">
        <is>
          <t>src/telemetry.ts; dropped-event counter.</t>
        </is>
      </c>
    </row>
    <row r="9" ht="23.25" customHeight="1" s="22">
      <c r="A9" s="26" t="inlineStr">
        <is>
          <t>S1-06</t>
        </is>
      </c>
      <c r="B9" s="26" t="inlineStr">
        <is>
          <t>Install cleanly in REAL Workspace dev org (GCP project + OAuth consent — LC-1)</t>
        </is>
      </c>
      <c r="C9" s="26" t="inlineStr">
        <is>
          <t>ST-051 live</t>
        </is>
      </c>
      <c r="D9" s="26" t="n">
        <v>3</v>
      </c>
      <c r="E9" s="26" t="inlineStr">
        <is>
          <t>Senthil + Claude</t>
        </is>
      </c>
      <c r="F9" s="26" t="inlineStr">
        <is>
          <t>To do</t>
        </is>
      </c>
      <c r="G9" s="26" t="inlineStr">
        <is>
          <t>Needs GCP project; evidence: install screenshot + org id + telemetry row.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2" customWidth="1" style="21" min="3" max="3"/>
    <col width="8" customWidth="1" style="21" min="4" max="4"/>
    <col width="16" customWidth="1" style="21" min="5" max="5"/>
    <col width="14" customWidth="1" style="21" min="6" max="6"/>
    <col width="60" customWidth="1" style="21" min="7" max="7"/>
  </cols>
  <sheetData>
    <row r="1" ht="17.25" customHeight="1" s="22">
      <c r="A1" s="23" t="inlineStr">
        <is>
          <t>S2 BUILD BOARD — Template designer pt 1 — exit: happy path demoable — product workbook v009 (22:23)</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S2-01</t>
        </is>
      </c>
      <c r="B4" s="26" t="inlineStr">
        <is>
          <t>Template one-screen defaults (pdf, filename pattern, Drive folder)</t>
        </is>
      </c>
      <c r="C4" s="26" t="inlineStr">
        <is>
          <t>ST-001</t>
        </is>
      </c>
      <c r="D4" s="26" t="n">
        <v>5</v>
      </c>
      <c r="E4" s="26" t="inlineStr">
        <is>
          <t>Claude</t>
        </is>
      </c>
      <c r="F4" s="33" t="inlineStr">
        <is>
          <t>Done-in-code</t>
        </is>
      </c>
      <c r="G4" s="26" t="inlineStr">
        <is>
          <t>src/templates.ts createWithDefaults; defaults pinned in tests.</t>
        </is>
      </c>
    </row>
    <row r="5" ht="23.25" customHeight="1" s="22">
      <c r="A5" s="26" t="inlineStr">
        <is>
          <t>S2-02</t>
        </is>
      </c>
      <c r="B5" s="26" t="inlineStr">
        <is>
          <t>Happy-path render: placeholders/sections, actionable missing-field messages</t>
        </is>
      </c>
      <c r="C5" s="26" t="inlineStr">
        <is>
          <t>ST-002</t>
        </is>
      </c>
      <c r="D5" s="26" t="n">
        <v>8</v>
      </c>
      <c r="E5" s="26" t="inlineStr">
        <is>
          <t>Claude</t>
        </is>
      </c>
      <c r="F5" s="33" t="inlineStr">
        <is>
          <t>Done-in-code</t>
        </is>
      </c>
      <c r="G5" s="26" t="inlineStr">
        <is>
          <t>renderPreview; "add a column to your Sheet" hints tested.</t>
        </is>
      </c>
    </row>
    <row r="6" ht="15" customHeight="1" s="22">
      <c r="A6" s="26" t="inlineStr">
        <is>
          <t>S2-03</t>
        </is>
      </c>
      <c r="B6" s="26" t="inlineStr">
        <is>
          <t>Validated rules/conditions with multi-problem aggregation</t>
        </is>
      </c>
      <c r="C6" s="26" t="inlineStr">
        <is>
          <t>ST-003</t>
        </is>
      </c>
      <c r="D6" s="26" t="n">
        <v>5</v>
      </c>
      <c r="E6" s="26" t="inlineStr">
        <is>
          <t>Claude</t>
        </is>
      </c>
      <c r="F6" s="33" t="inlineStr">
        <is>
          <t>Done-in-code</t>
        </is>
      </c>
      <c r="G6" s="26" t="inlineStr">
        <is>
          <t>setRules; unknown field/section + missing value cases.</t>
        </is>
      </c>
    </row>
    <row r="7" ht="23.25" customHeight="1" s="22">
      <c r="A7" s="26" t="inlineStr">
        <is>
          <t>S2-04</t>
        </is>
      </c>
      <c r="B7" s="26" t="inlineStr">
        <is>
          <t>Platform failure mapping 429/5xx/403/404/unknown + withRetry backoff</t>
        </is>
      </c>
      <c r="C7" s="26" t="inlineStr">
        <is>
          <t>ST-004</t>
        </is>
      </c>
      <c r="D7" s="26" t="n">
        <v>3</v>
      </c>
      <c r="E7" s="26" t="inlineStr">
        <is>
          <t>Claude</t>
        </is>
      </c>
      <c r="F7" s="33" t="inlineStr">
        <is>
          <t>Done-in-code</t>
        </is>
      </c>
      <c r="G7" s="26" t="inlineStr">
        <is>
          <t>src/platformErrors.ts; delay-sequence tests (100/200ms).</t>
        </is>
      </c>
    </row>
    <row r="8" ht="15" customHeight="1" s="22">
      <c r="A8" s="26" t="inlineStr">
        <is>
          <t>S2-05</t>
        </is>
      </c>
      <c r="B8" s="26" t="inlineStr">
        <is>
          <t>Re-install restore within 30-day retention window</t>
        </is>
      </c>
      <c r="C8" s="26" t="inlineStr">
        <is>
          <t>ST-053</t>
        </is>
      </c>
      <c r="D8" s="26" t="n">
        <v>3</v>
      </c>
      <c r="E8" s="26" t="inlineStr">
        <is>
          <t>Claude</t>
        </is>
      </c>
      <c r="F8" s="33" t="inlineStr">
        <is>
          <t>Done-in-code</t>
        </is>
      </c>
      <c r="G8" s="26" t="inlineStr">
        <is>
          <t>src/reinstall.ts; window-expired + no-job fallthroughs.</t>
        </is>
      </c>
    </row>
    <row r="9" ht="15" customHeight="1" s="22">
      <c r="A9" s="26" t="inlineStr">
        <is>
          <t>S2-06</t>
        </is>
      </c>
      <c r="B9" s="26" t="inlineStr">
        <is>
          <t>Permission matrix owner/admin/member enforced</t>
        </is>
      </c>
      <c r="C9" s="26" t="inlineStr">
        <is>
          <t>ST-054</t>
        </is>
      </c>
      <c r="D9" s="26" t="n">
        <v>5</v>
      </c>
      <c r="E9" s="26" t="inlineStr">
        <is>
          <t>Claude</t>
        </is>
      </c>
      <c r="F9" s="33" t="inlineStr">
        <is>
          <t>Done-in-code</t>
        </is>
      </c>
      <c r="G9" s="26" t="inlineStr">
        <is>
          <t>src/permissions.ts; all 21 cells individually pinned.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2" customWidth="1" style="21" min="3" max="3"/>
    <col width="8" customWidth="1" style="21" min="4" max="4"/>
    <col width="16" customWidth="1" style="21" min="5" max="5"/>
    <col width="14" customWidth="1" style="21" min="6" max="6"/>
    <col width="60" customWidth="1" style="21" min="7" max="7"/>
  </cols>
  <sheetData>
    <row r="1" ht="17.25" customHeight="1" s="22">
      <c r="A1" s="23" t="inlineStr">
        <is>
          <t>S3 BUILD BOARD — Designer pt 2 + Batch skeleton — exit: designer complete with tests; batch skeleton — v010 (22:29)</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S3-01</t>
        </is>
      </c>
      <c r="B4" s="26" t="inlineStr">
        <is>
          <t>Sidebar surface end-to-end (Sheets/Docs host injected)</t>
        </is>
      </c>
      <c r="C4" s="26" t="inlineStr">
        <is>
          <t>ST-005</t>
        </is>
      </c>
      <c r="D4" s="26" t="n">
        <v>5</v>
      </c>
      <c r="E4" s="26" t="inlineStr">
        <is>
          <t>Claude</t>
        </is>
      </c>
      <c r="F4" s="33" t="inlineStr">
        <is>
          <t>Done-in-code</t>
        </is>
      </c>
      <c r="G4" s="26" t="inlineStr">
        <is>
          <t>src/sidebar.ts; Docs sample-data fallback. Live surface at LC-1.</t>
        </is>
      </c>
    </row>
    <row r="5" ht="15" customHeight="1" s="22">
      <c r="A5" s="26" t="inlineStr">
        <is>
          <t>S3-02</t>
        </is>
      </c>
      <c r="B5" s="26" t="inlineStr">
        <is>
          <t>Template metrics: p95, success rate, trend</t>
        </is>
      </c>
      <c r="C5" s="26" t="inlineStr">
        <is>
          <t>ST-006</t>
        </is>
      </c>
      <c r="D5" s="26" t="n">
        <v>3</v>
      </c>
      <c r="E5" s="26" t="inlineStr">
        <is>
          <t>Claude</t>
        </is>
      </c>
      <c r="F5" s="33" t="inlineStr">
        <is>
          <t>Done-in-code</t>
        </is>
      </c>
      <c r="G5" s="26" t="inlineStr">
        <is>
          <t>src/designerOps.ts TemplateMetrics.</t>
        </is>
      </c>
    </row>
    <row r="6" ht="15" customHeight="1" s="22">
      <c r="A6" s="26" t="inlineStr">
        <is>
          <t>S3-03</t>
        </is>
      </c>
      <c r="B6" s="26" t="inlineStr">
        <is>
          <t>Audit logging incl. DENIED attempts</t>
        </is>
      </c>
      <c r="C6" s="26" t="inlineStr">
        <is>
          <t>ST-007</t>
        </is>
      </c>
      <c r="D6" s="26" t="n">
        <v>3</v>
      </c>
      <c r="E6" s="26" t="inlineStr">
        <is>
          <t>Claude</t>
        </is>
      </c>
      <c r="F6" s="33" t="inlineStr">
        <is>
          <t>Done-in-code</t>
        </is>
      </c>
      <c r="G6" s="26" t="inlineStr">
        <is>
          <t>AuditedTemplateDesigner; deny recorded then rethrown.</t>
        </is>
      </c>
    </row>
    <row r="7" ht="15" customHeight="1" s="22">
      <c r="A7" s="26" t="inlineStr">
        <is>
          <t>S3-04</t>
        </is>
      </c>
      <c r="B7" s="26" t="inlineStr">
        <is>
          <t>Pause without data loss (flag-only)</t>
        </is>
      </c>
      <c r="C7" s="26" t="inlineStr">
        <is>
          <t>ST-008</t>
        </is>
      </c>
      <c r="D7" s="26" t="n">
        <v>2</v>
      </c>
      <c r="E7" s="26" t="inlineStr">
        <is>
          <t>Claude</t>
        </is>
      </c>
      <c r="F7" s="33" t="inlineStr">
        <is>
          <t>Done-in-code</t>
        </is>
      </c>
      <c r="G7" s="26" t="inlineStr">
        <is>
          <t>PauseManager; "nothing was lost" message tested.</t>
        </is>
      </c>
    </row>
    <row r="8" ht="15" customHeight="1" s="22">
      <c r="A8" s="26" t="inlineStr">
        <is>
          <t>S3-05</t>
        </is>
      </c>
      <c r="B8" s="26" t="inlineStr">
        <is>
          <t>CSV + competitor (&lt;&lt;x&gt;&gt;) template importer, partial success</t>
        </is>
      </c>
      <c r="C8" s="26" t="inlineStr">
        <is>
          <t>ST-009</t>
        </is>
      </c>
      <c r="D8" s="26" t="n">
        <v>5</v>
      </c>
      <c r="E8" s="26" t="inlineStr">
        <is>
          <t>Claude</t>
        </is>
      </c>
      <c r="F8" s="33" t="inlineStr">
        <is>
          <t>Done-in-code</t>
        </is>
      </c>
      <c r="G8" s="26" t="inlineStr">
        <is>
          <t>src/importerNotifications.ts; row-numbered errors.</t>
        </is>
      </c>
    </row>
    <row r="9" ht="15" customHeight="1" s="22">
      <c r="A9" s="26" t="inlineStr">
        <is>
          <t>S3-06</t>
        </is>
      </c>
      <c r="B9" s="26" t="inlineStr">
        <is>
          <t>Notifications in-app+email, per-type per-account mute</t>
        </is>
      </c>
      <c r="C9" s="26" t="inlineStr">
        <is>
          <t>ST-010</t>
        </is>
      </c>
      <c r="D9" s="26" t="n">
        <v>3</v>
      </c>
      <c r="E9" s="26" t="inlineStr">
        <is>
          <t>Claude</t>
        </is>
      </c>
      <c r="F9" s="33" t="inlineStr">
        <is>
          <t>Done-in-code</t>
        </is>
      </c>
      <c r="G9" s="26" t="inlineStr">
        <is>
          <t>NotificationCenter.</t>
        </is>
      </c>
    </row>
    <row r="10" ht="15" customHeight="1" s="22">
      <c r="A10" s="26" t="inlineStr">
        <is>
          <t>S3-07</t>
        </is>
      </c>
      <c r="B10" s="26" t="inlineStr">
        <is>
          <t>Batch job one-screen defaults</t>
        </is>
      </c>
      <c r="C10" s="26" t="inlineStr">
        <is>
          <t>ST-011</t>
        </is>
      </c>
      <c r="D10" s="26" t="n">
        <v>5</v>
      </c>
      <c r="E10" s="26" t="inlineStr">
        <is>
          <t>Claude</t>
        </is>
      </c>
      <c r="F10" s="33" t="inlineStr">
        <is>
          <t>Done-in-code</t>
        </is>
      </c>
      <c r="G10" s="26" t="inlineStr">
        <is>
          <t>src/batch.ts createJobWithDefaults.</t>
        </is>
      </c>
    </row>
    <row r="11" ht="15" customHeight="1" s="22">
      <c r="A11" s="26" t="inlineStr">
        <is>
          <t>S3-08</t>
        </is>
      </c>
      <c r="B11" s="26" t="inlineStr">
        <is>
          <t>Batch per-row happy path with named outputs</t>
        </is>
      </c>
      <c r="C11" s="26" t="inlineStr">
        <is>
          <t>ST-012</t>
        </is>
      </c>
      <c r="D11" s="26" t="n">
        <v>8</v>
      </c>
      <c r="E11" s="26" t="inlineStr">
        <is>
          <t>Claude</t>
        </is>
      </c>
      <c r="F11" s="33" t="inlineStr">
        <is>
          <t>Done-in-code</t>
        </is>
      </c>
      <c r="G11" s="26" t="inlineStr">
        <is>
          <t>run(); empty-row skip on/off.</t>
        </is>
      </c>
    </row>
    <row r="12" ht="15" customHeight="1" s="22">
      <c r="A12" s="26" t="inlineStr">
        <is>
          <t>S3-09</t>
        </is>
      </c>
      <c r="B12" s="26" t="inlineStr">
        <is>
          <t>Batch row rules (reuse designer evaluator)</t>
        </is>
      </c>
      <c r="C12" s="26" t="inlineStr">
        <is>
          <t>ST-013</t>
        </is>
      </c>
      <c r="D12" s="26" t="n">
        <v>5</v>
      </c>
      <c r="E12" s="26" t="inlineStr">
        <is>
          <t>Claude</t>
        </is>
      </c>
      <c r="F12" s="33" t="inlineStr">
        <is>
          <t>Done-in-code</t>
        </is>
      </c>
      <c r="G12" s="26" t="inlineStr">
        <is>
          <t>withRules; mixed pass/fail rows.</t>
        </is>
      </c>
    </row>
    <row r="13" ht="15" customHeight="1" s="22">
      <c r="A13" s="26" t="inlineStr">
        <is>
          <t>S3-10</t>
        </is>
      </c>
      <c r="B13" s="26" t="inlineStr">
        <is>
          <t>Batch per-row error/retry paths, retryableRows</t>
        </is>
      </c>
      <c r="C13" s="26" t="inlineStr">
        <is>
          <t>ST-014</t>
        </is>
      </c>
      <c r="D13" s="26" t="n">
        <v>3</v>
      </c>
      <c r="E13" s="26" t="inlineStr">
        <is>
          <t>Claude</t>
        </is>
      </c>
      <c r="F13" s="33" t="inlineStr">
        <is>
          <t>Done-in-code</t>
        </is>
      </c>
      <c r="G13" s="26" t="inlineStr">
        <is>
          <t>incl. DF-1 fix: validation messages no longer masked (E008).</t>
        </is>
      </c>
    </row>
    <row r="14" ht="15" customHeight="1" s="22">
      <c r="A14" s="26" t="inlineStr">
        <is>
          <t>S3-11</t>
        </is>
      </c>
      <c r="B14" s="26" t="inlineStr">
        <is>
          <t>Coverage gate story closed as superseded by D13 at 100%</t>
        </is>
      </c>
      <c r="C14" s="26" t="inlineStr">
        <is>
          <t>ST-085</t>
        </is>
      </c>
      <c r="D14" s="26" t="n">
        <v>5</v>
      </c>
      <c r="E14" s="26" t="inlineStr">
        <is>
          <t>Claude</t>
        </is>
      </c>
      <c r="F14" s="33" t="inlineStr">
        <is>
          <t>Done</t>
        </is>
      </c>
      <c r="G14" s="26" t="inlineStr">
        <is>
          <t>Gate lives in package.json thresholds; not a live item.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2" customWidth="1" style="21" min="3" max="3"/>
    <col width="8" customWidth="1" style="21" min="4" max="4"/>
    <col width="16" customWidth="1" style="21" min="5" max="5"/>
    <col width="14" customWidth="1" style="21" min="6" max="6"/>
    <col width="60" customWidth="1" style="21" min="7" max="7"/>
  </cols>
  <sheetData>
    <row r="1" ht="17.25" customHeight="1" s="22">
      <c r="A1" s="23" t="inlineStr">
        <is>
          <t>S4 BUILD BOARD — Batch pt 2 + observability + smoke — exit: MVP loop usable end-to-end — v011 (22:52)</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S4-01</t>
        </is>
      </c>
      <c r="B4" s="26" t="inlineStr">
        <is>
          <t>Batch sidebar end-to-end with wrong-turn guidance</t>
        </is>
      </c>
      <c r="C4" s="26" t="inlineStr">
        <is>
          <t>ST-015</t>
        </is>
      </c>
      <c r="D4" s="26" t="n">
        <v>5</v>
      </c>
      <c r="E4" s="26" t="inlineStr">
        <is>
          <t>Claude</t>
        </is>
      </c>
      <c r="F4" s="33" t="inlineStr">
        <is>
          <t>Done-in-code</t>
        </is>
      </c>
      <c r="G4" s="26" t="inlineStr">
        <is>
          <t>src/batchOps.ts BatchSidebarController.</t>
        </is>
      </c>
    </row>
    <row r="5" ht="15" customHeight="1" s="22">
      <c r="A5" s="26" t="inlineStr">
        <is>
          <t>S4-02</t>
        </is>
      </c>
      <c r="B5" s="26" t="inlineStr">
        <is>
          <t>Batch metrics: runs, failure rate, avg duration, trend</t>
        </is>
      </c>
      <c r="C5" s="26" t="inlineStr">
        <is>
          <t>ST-016</t>
        </is>
      </c>
      <c r="D5" s="26" t="n">
        <v>3</v>
      </c>
      <c r="E5" s="26" t="inlineStr">
        <is>
          <t>Claude</t>
        </is>
      </c>
      <c r="F5" s="33" t="inlineStr">
        <is>
          <t>Done-in-code</t>
        </is>
      </c>
      <c r="G5" s="26" t="inlineStr">
        <is>
          <t>BatchMetrics.</t>
        </is>
      </c>
    </row>
    <row r="6" ht="15" customHeight="1" s="22">
      <c r="A6" s="26" t="inlineStr">
        <is>
          <t>S4-03</t>
        </is>
      </c>
      <c r="B6" s="26" t="inlineStr">
        <is>
          <t>Governed runner: permission + allow/deny audit up front</t>
        </is>
      </c>
      <c r="C6" s="26" t="inlineStr">
        <is>
          <t>ST-017</t>
        </is>
      </c>
      <c r="D6" s="26" t="n">
        <v>3</v>
      </c>
      <c r="E6" s="26" t="inlineStr">
        <is>
          <t>Claude</t>
        </is>
      </c>
      <c r="F6" s="33" t="inlineStr">
        <is>
          <t>Done-in-code</t>
        </is>
      </c>
      <c r="G6" s="26" t="inlineStr">
        <is>
          <t>Spied-deny branch test (all real roles may generate).</t>
        </is>
      </c>
    </row>
    <row r="7" ht="15" customHeight="1" s="22">
      <c r="A7" s="26" t="inlineStr">
        <is>
          <t>S4-04</t>
        </is>
      </c>
      <c r="B7" s="26" t="inlineStr">
        <is>
          <t>Job-level pause without data loss</t>
        </is>
      </c>
      <c r="C7" s="26" t="inlineStr">
        <is>
          <t>ST-018</t>
        </is>
      </c>
      <c r="D7" s="26" t="n">
        <v>2</v>
      </c>
      <c r="E7" s="26" t="inlineStr">
        <is>
          <t>Claude</t>
        </is>
      </c>
      <c r="F7" s="33" t="inlineStr">
        <is>
          <t>Done-in-code</t>
        </is>
      </c>
      <c r="G7" s="26" t="inlineStr">
        <is>
          <t>pauseJob/resumeJob gate.</t>
        </is>
      </c>
    </row>
    <row r="8" ht="15" customHeight="1" s="22">
      <c r="A8" s="26" t="inlineStr">
        <is>
          <t>S4-05</t>
        </is>
      </c>
      <c r="B8" s="26" t="inlineStr">
        <is>
          <t>Row-data CSV + competitor import, header validation</t>
        </is>
      </c>
      <c r="C8" s="26" t="inlineStr">
        <is>
          <t>ST-019</t>
        </is>
      </c>
      <c r="D8" s="26" t="n">
        <v>5</v>
      </c>
      <c r="E8" s="26" t="inlineStr">
        <is>
          <t>Claude</t>
        </is>
      </c>
      <c r="F8" s="33" t="inlineStr">
        <is>
          <t>Done-in-code</t>
        </is>
      </c>
      <c r="G8" s="26" t="inlineStr">
        <is>
          <t>importRowsCsv; cell-count checks by row number.</t>
        </is>
      </c>
    </row>
    <row r="9" ht="15" customHeight="1" s="22">
      <c r="A9" s="26" t="inlineStr">
        <is>
          <t>S4-06</t>
        </is>
      </c>
      <c r="B9" s="26" t="inlineStr">
        <is>
          <t>batch_completed/batch_failed notifications with retryable counts</t>
        </is>
      </c>
      <c r="C9" s="26" t="inlineStr">
        <is>
          <t>ST-020</t>
        </is>
      </c>
      <c r="D9" s="26" t="n">
        <v>3</v>
      </c>
      <c r="E9" s="26" t="inlineStr">
        <is>
          <t>Claude</t>
        </is>
      </c>
      <c r="F9" s="33" t="inlineStr">
        <is>
          <t>Done-in-code</t>
        </is>
      </c>
      <c r="G9" s="26" t="inlineStr">
        <is>
          <t>Mute honoured; DF-2 fixture fix (E010).</t>
        </is>
      </c>
    </row>
    <row r="10" ht="15" customHeight="1" s="22">
      <c r="A10" s="26" t="inlineStr">
        <is>
          <t>S4-07</t>
        </is>
      </c>
      <c r="B10" s="26" t="inlineStr">
        <is>
          <t>Activation funnel install-&gt;setup-&gt;aha-&gt;habit + conversions</t>
        </is>
      </c>
      <c r="C10" s="26" t="inlineStr">
        <is>
          <t>ST-071</t>
        </is>
      </c>
      <c r="D10" s="26" t="n">
        <v>5</v>
      </c>
      <c r="E10" s="26" t="inlineStr">
        <is>
          <t>Claude</t>
        </is>
      </c>
      <c r="F10" s="33" t="inlineStr">
        <is>
          <t>Done-in-code</t>
        </is>
      </c>
      <c r="G10" s="26" t="inlineStr">
        <is>
          <t>src/observability.ts; implied stages, idempotent.</t>
        </is>
      </c>
    </row>
    <row r="11" ht="15" customHeight="1" s="22">
      <c r="A11" s="26" t="inlineStr">
        <is>
          <t>S4-08</t>
        </is>
      </c>
      <c r="B11" s="26" t="inlineStr">
        <is>
          <t>Error tracking: release tags, spike alerts, acknowledge re-arm</t>
        </is>
      </c>
      <c r="C11" s="26" t="inlineStr">
        <is>
          <t>ST-072</t>
        </is>
      </c>
      <c r="D11" s="26" t="n">
        <v>3</v>
      </c>
      <c r="E11" s="26" t="inlineStr">
        <is>
          <t>Claude</t>
        </is>
      </c>
      <c r="F11" s="33" t="inlineStr">
        <is>
          <t>Done-in-code</t>
        </is>
      </c>
      <c r="G11" s="26" t="inlineStr">
        <is>
          <t>ErrorTracker; floor + factor branches all tested.</t>
        </is>
      </c>
    </row>
    <row r="12" ht="23.25" customHeight="1" s="22">
      <c r="A12" s="26" t="inlineStr">
        <is>
          <t>S4-09</t>
        </is>
      </c>
      <c r="B12" s="26" t="inlineStr">
        <is>
          <t>E2E smoke suite gating deploy in CI</t>
        </is>
      </c>
      <c r="C12" s="26" t="inlineStr">
        <is>
          <t>ST-086</t>
        </is>
      </c>
      <c r="D12" s="26" t="n">
        <v>5</v>
      </c>
      <c r="E12" s="26" t="inlineStr">
        <is>
          <t>Claude</t>
        </is>
      </c>
      <c r="F12" s="33" t="inlineStr">
        <is>
          <t>Done-in-code</t>
        </is>
      </c>
      <c r="G12" s="26" t="inlineStr">
        <is>
          <t>10-step loop; ci.yml deploy needs smoke; test:smoke green standalone. Live smoke on real APIs pending LC-1.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2" customWidth="1" style="21" min="3" max="3"/>
    <col width="8" customWidth="1" style="21" min="4" max="4"/>
    <col width="16" customWidth="1" style="21" min="5" max="5"/>
    <col width="14" customWidth="1" style="21" min="6" max="6"/>
    <col width="60" customWidth="1" style="21" min="7" max="7"/>
  </cols>
  <sheetData>
    <row r="1" ht="17.25" customHeight="1" s="22">
      <c r="A1" s="23" t="inlineStr">
        <is>
          <t>S5 BUILD BOARD — E-sign + alpha hardening — exit: internal alpha, team dogfoods daily — v012 (23:03)</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S5-01</t>
        </is>
      </c>
      <c r="B4" s="26" t="inlineStr">
        <is>
          <t>E-sign one-screen defaults (sequential, 14-day expiry)</t>
        </is>
      </c>
      <c r="C4" s="26" t="inlineStr">
        <is>
          <t>ST-021</t>
        </is>
      </c>
      <c r="D4" s="26" t="n">
        <v>5</v>
      </c>
      <c r="E4" s="26" t="inlineStr">
        <is>
          <t>Claude</t>
        </is>
      </c>
      <c r="F4" s="33" t="inlineStr">
        <is>
          <t>Done-in-code</t>
        </is>
      </c>
      <c r="G4" s="26" t="inlineStr">
        <is>
          <t>src/esign.ts; email validation with named problems.</t>
        </is>
      </c>
    </row>
    <row r="5" ht="23.25" customHeight="1" s="22">
      <c r="A5" s="26" t="inlineStr">
        <is>
          <t>S5-02</t>
        </is>
      </c>
      <c r="B5" s="26" t="inlineStr">
        <is>
          <t>Lifecycle: sent-&gt;partially_signed-&gt;completed/declined/expired, turn enforcement</t>
        </is>
      </c>
      <c r="C5" s="26" t="inlineStr">
        <is>
          <t>ST-022</t>
        </is>
      </c>
      <c r="D5" s="26" t="n">
        <v>8</v>
      </c>
      <c r="E5" s="26" t="inlineStr">
        <is>
          <t>Claude</t>
        </is>
      </c>
      <c r="F5" s="33" t="inlineStr">
        <is>
          <t>Done-in-code</t>
        </is>
      </c>
      <c r="G5" s="26" t="inlineStr">
        <is>
          <t>Sequential + parallel paths; "whose turn" message.</t>
        </is>
      </c>
    </row>
    <row r="6" ht="15" customHeight="1" s="22">
      <c r="A6" s="26" t="inlineStr">
        <is>
          <t>S5-03</t>
        </is>
      </c>
      <c r="B6" s="26" t="inlineStr">
        <is>
          <t>Draft-only rules: expiry 1-90, domain allow-lists vs signers</t>
        </is>
      </c>
      <c r="C6" s="26" t="inlineStr">
        <is>
          <t>ST-023</t>
        </is>
      </c>
      <c r="D6" s="26" t="n">
        <v>5</v>
      </c>
      <c r="E6" s="26" t="inlineStr">
        <is>
          <t>Claude</t>
        </is>
      </c>
      <c r="F6" s="33" t="inlineStr">
        <is>
          <t>Done-in-code</t>
        </is>
      </c>
      <c r="G6" s="26" t="inlineStr">
        <is>
          <t>Multi-problem aggregation.</t>
        </is>
      </c>
    </row>
    <row r="7" ht="15" customHeight="1" s="22">
      <c r="A7" s="26" t="inlineStr">
        <is>
          <t>S5-04</t>
        </is>
      </c>
      <c r="B7" s="26" t="inlineStr">
        <is>
          <t>Delivery retry; no half-sent state on exhaustion</t>
        </is>
      </c>
      <c r="C7" s="26" t="inlineStr">
        <is>
          <t>ST-024</t>
        </is>
      </c>
      <c r="D7" s="26" t="n">
        <v>3</v>
      </c>
      <c r="E7" s="26" t="inlineStr">
        <is>
          <t>Claude</t>
        </is>
      </c>
      <c r="F7" s="33" t="inlineStr">
        <is>
          <t>Done-in-code</t>
        </is>
      </c>
      <c r="G7" s="26" t="inlineStr">
        <is>
          <t>Status stays draft on failure — asserted.</t>
        </is>
      </c>
    </row>
    <row r="8" ht="15" customHeight="1" s="22">
      <c r="A8" s="26" t="inlineStr">
        <is>
          <t>S5-05</t>
        </is>
      </c>
      <c r="B8" s="26" t="inlineStr">
        <is>
          <t>E-sign sidebar create-&gt;send-&gt;track with transition detection</t>
        </is>
      </c>
      <c r="C8" s="26" t="inlineStr">
        <is>
          <t>ST-025</t>
        </is>
      </c>
      <c r="D8" s="26" t="n">
        <v>5</v>
      </c>
      <c r="E8" s="26" t="inlineStr">
        <is>
          <t>Claude</t>
        </is>
      </c>
      <c r="F8" s="33" t="inlineStr">
        <is>
          <t>Done-in-code</t>
        </is>
      </c>
      <c r="G8" s="26" t="inlineStr">
        <is>
          <t>src/esignOps.ts; completion/decline/expiry on refresh.</t>
        </is>
      </c>
    </row>
    <row r="9" ht="15" customHeight="1" s="22">
      <c r="A9" s="26" t="inlineStr">
        <is>
          <t>S5-06</t>
        </is>
      </c>
      <c r="B9" s="26" t="inlineStr">
        <is>
          <t>E-sign metrics: completion rate, avg turnaround, trend</t>
        </is>
      </c>
      <c r="C9" s="26" t="inlineStr">
        <is>
          <t>ST-026</t>
        </is>
      </c>
      <c r="D9" s="26" t="n">
        <v>3</v>
      </c>
      <c r="E9" s="26" t="inlineStr">
        <is>
          <t>Claude</t>
        </is>
      </c>
      <c r="F9" s="33" t="inlineStr">
        <is>
          <t>Done-in-code</t>
        </is>
      </c>
      <c r="G9" s="26" t="inlineStr">
        <is>
          <t>EsignMetrics.</t>
        </is>
      </c>
    </row>
    <row r="10" ht="15" customHeight="1" s="22">
      <c r="A10" s="26" t="inlineStr">
        <is>
          <t>S5-07</t>
        </is>
      </c>
      <c r="B10" s="26" t="inlineStr">
        <is>
          <t>Allow/deny audit on create/rules/send</t>
        </is>
      </c>
      <c r="C10" s="26" t="inlineStr">
        <is>
          <t>ST-027</t>
        </is>
      </c>
      <c r="D10" s="26" t="n">
        <v>3</v>
      </c>
      <c r="E10" s="26" t="inlineStr">
        <is>
          <t>Claude</t>
        </is>
      </c>
      <c r="F10" s="33" t="inlineStr">
        <is>
          <t>Done-in-code</t>
        </is>
      </c>
      <c r="G10" s="26" t="inlineStr">
        <is>
          <t>Spied-deny + bogus-role branches covered.</t>
        </is>
      </c>
    </row>
    <row r="11" ht="15" customHeight="1" s="22">
      <c r="A11" s="26" t="inlineStr">
        <is>
          <t>S5-08</t>
        </is>
      </c>
      <c r="B11" s="26" t="inlineStr">
        <is>
          <t>Pause preserving collected signatures</t>
        </is>
      </c>
      <c r="C11" s="26" t="inlineStr">
        <is>
          <t>ST-028</t>
        </is>
      </c>
      <c r="D11" s="26" t="n">
        <v>2</v>
      </c>
      <c r="E11" s="26" t="inlineStr">
        <is>
          <t>Claude</t>
        </is>
      </c>
      <c r="F11" s="33" t="inlineStr">
        <is>
          <t>Done-in-code</t>
        </is>
      </c>
      <c r="G11" s="26" t="inlineStr">
        <is>
          <t>Signatures intact after resume — asserted.</t>
        </is>
      </c>
    </row>
    <row r="12" ht="15" customHeight="1" s="22">
      <c r="A12" s="26" t="inlineStr">
        <is>
          <t>S5-09</t>
        </is>
      </c>
      <c r="B12" s="26" t="inlineStr">
        <is>
          <t>Signer CSV + competitor import</t>
        </is>
      </c>
      <c r="C12" s="26" t="inlineStr">
        <is>
          <t>ST-029</t>
        </is>
      </c>
      <c r="D12" s="26" t="n">
        <v>5</v>
      </c>
      <c r="E12" s="26" t="inlineStr">
        <is>
          <t>Claude</t>
        </is>
      </c>
      <c r="F12" s="33" t="inlineStr">
        <is>
          <t>Done-in-code</t>
        </is>
      </c>
      <c r="G12" s="26" t="inlineStr">
        <is>
          <t>Row-numbered errors; email validation.</t>
        </is>
      </c>
    </row>
    <row r="13" ht="15" customHeight="1" s="22">
      <c r="A13" s="26" t="inlineStr">
        <is>
          <t>S5-10</t>
        </is>
      </c>
      <c r="B13" s="26" t="inlineStr">
        <is>
          <t>esign_sent/completed/declined notifications, mute-aware</t>
        </is>
      </c>
      <c r="C13" s="26" t="inlineStr">
        <is>
          <t>ST-030</t>
        </is>
      </c>
      <c r="D13" s="26" t="n">
        <v>3</v>
      </c>
      <c r="E13" s="26" t="inlineStr">
        <is>
          <t>Claude</t>
        </is>
      </c>
      <c r="F13" s="33" t="inlineStr">
        <is>
          <t>Done-in-code</t>
        </is>
      </c>
      <c r="G13" s="26" t="inlineStr">
        <is>
          <t>Single-fire on transition; no-reason variant.</t>
        </is>
      </c>
    </row>
    <row r="14" ht="15" customHeight="1" s="22">
      <c r="A14" s="26" t="inlineStr">
        <is>
          <t>S5-11</t>
        </is>
      </c>
      <c r="B14" s="26" t="inlineStr">
        <is>
          <t>First-run checklist, aha &lt;1 day with honest budget verdict</t>
        </is>
      </c>
      <c r="C14" s="26" t="inlineStr">
        <is>
          <t>ST-078</t>
        </is>
      </c>
      <c r="D14" s="26" t="n">
        <v>5</v>
      </c>
      <c r="E14" s="26" t="inlineStr">
        <is>
          <t>Claude</t>
        </is>
      </c>
      <c r="F14" s="33" t="inlineStr">
        <is>
          <t>Done-in-code</t>
        </is>
      </c>
      <c r="G14" s="26" t="inlineStr">
        <is>
          <t>Over-budget + idempotence cases. Live aha timing needs real users.</t>
        </is>
      </c>
    </row>
    <row r="15" ht="15" customHeight="1" s="22">
      <c r="A15" s="26" t="inlineStr">
        <is>
          <t>S5-12</t>
        </is>
      </c>
      <c r="B15" s="26" t="inlineStr">
        <is>
          <t>Empty states for all 9 screens teach next action</t>
        </is>
      </c>
      <c r="C15" s="26" t="inlineStr">
        <is>
          <t>ST-079</t>
        </is>
      </c>
      <c r="D15" s="26" t="n">
        <v>3</v>
      </c>
      <c r="E15" s="26" t="inlineStr">
        <is>
          <t>Claude</t>
        </is>
      </c>
      <c r="F15" s="33" t="inlineStr">
        <is>
          <t>Done-in-code</t>
        </is>
      </c>
      <c r="G15" s="26" t="inlineStr">
        <is>
          <t>Completeness test-asserted over SCREENS.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6" customWidth="1" style="21" min="3" max="3"/>
    <col width="8" customWidth="1" style="21" min="4" max="4"/>
    <col width="16" customWidth="1" style="21" min="5" max="5"/>
    <col width="14" customWidth="1" style="21" min="6" max="6"/>
    <col width="60" customWidth="1" style="21" min="7" max="7"/>
  </cols>
  <sheetData>
    <row r="1" ht="17.25" customHeight="1" s="22">
      <c r="A1" s="23" t="inlineStr">
        <is>
          <t>S6 BUILD BOARD — Billing + Auto-file to Drive — exit: can charge a test customer; up/downgrade paths work — v013 (11 Sep 08:20)</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S6-01</t>
        </is>
      </c>
      <c r="B4" s="26" t="inlineStr">
        <is>
          <t>Filing defaults + pattern resolution with named missing-token errors</t>
        </is>
      </c>
      <c r="C4" s="26" t="inlineStr">
        <is>
          <t>ST-031, ST-032</t>
        </is>
      </c>
      <c r="D4" s="26" t="n">
        <v>13</v>
      </c>
      <c r="E4" s="26" t="inlineStr">
        <is>
          <t>Claude</t>
        </is>
      </c>
      <c r="F4" s="33" t="inlineStr">
        <is>
          <t>Done-in-code</t>
        </is>
      </c>
      <c r="G4" s="26" t="inlineStr">
        <is>
          <t>src/driveFiler.ts; happy path + token errors tested.</t>
        </is>
      </c>
    </row>
    <row r="5" ht="15" customHeight="1" s="22">
      <c r="A5" s="26" t="inlineStr">
        <is>
          <t>S6-02</t>
        </is>
      </c>
      <c r="B5" s="26" t="inlineStr">
        <is>
          <t>First-match routing rules; conflict policies rename/overwrite/skip</t>
        </is>
      </c>
      <c r="C5" s="26" t="inlineStr">
        <is>
          <t>ST-033</t>
        </is>
      </c>
      <c r="D5" s="26" t="n">
        <v>5</v>
      </c>
      <c r="E5" s="26" t="inlineStr">
        <is>
          <t>Claude</t>
        </is>
      </c>
      <c r="F5" s="33" t="inlineStr">
        <is>
          <t>Done-in-code</t>
        </is>
      </c>
      <c r="G5" s="26" t="inlineStr">
        <is>
          <t>pickFolderPattern; first-free-number rename walk.</t>
        </is>
      </c>
    </row>
    <row r="6" ht="15" customHeight="1" s="22">
      <c r="A6" s="26" t="inlineStr">
        <is>
          <t>S6-03</t>
        </is>
      </c>
      <c r="B6" s="26" t="inlineStr">
        <is>
          <t>Drive ops under withRetry; mapped error surfacing</t>
        </is>
      </c>
      <c r="C6" s="26" t="inlineStr">
        <is>
          <t>ST-034</t>
        </is>
      </c>
      <c r="D6" s="26" t="n">
        <v>3</v>
      </c>
      <c r="E6" s="26" t="inlineStr">
        <is>
          <t>Claude</t>
        </is>
      </c>
      <c r="F6" s="33" t="inlineStr">
        <is>
          <t>Done-in-code</t>
        </is>
      </c>
      <c r="G6" s="26" t="inlineStr">
        <is>
          <t>503 retry / 429 exhaustion / 403 no-retry cases.</t>
        </is>
      </c>
    </row>
    <row r="7" ht="15" customHeight="1" s="22">
      <c r="A7" s="26" t="inlineStr">
        <is>
          <t>S6-04</t>
        </is>
      </c>
      <c r="B7" s="26" t="inlineStr">
        <is>
          <t>Filing sidebar: configure -&gt; file last batch -&gt; results</t>
        </is>
      </c>
      <c r="C7" s="26" t="inlineStr">
        <is>
          <t>ST-035</t>
        </is>
      </c>
      <c r="D7" s="26" t="n">
        <v>5</v>
      </c>
      <c r="E7" s="26" t="inlineStr">
        <is>
          <t>Claude</t>
        </is>
      </c>
      <c r="F7" s="33" t="inlineStr">
        <is>
          <t>Done-in-code</t>
        </is>
      </c>
      <c r="G7" s="26" t="inlineStr">
        <is>
          <t>Guidance on unconfigured/no-batch/zero-generated.</t>
        </is>
      </c>
    </row>
    <row r="8" ht="23.25" customHeight="1" s="22">
      <c r="A8" s="26" t="inlineStr">
        <is>
          <t>S6-05</t>
        </is>
      </c>
      <c r="B8" s="26" t="inlineStr">
        <is>
          <t>Filing metrics + governed runner (audit, pause, per-doc failure isolation)</t>
        </is>
      </c>
      <c r="C8" s="26" t="inlineStr">
        <is>
          <t>ST-036, ST-037, ST-038</t>
        </is>
      </c>
      <c r="D8" s="26" t="n">
        <v>8</v>
      </c>
      <c r="E8" s="26" t="inlineStr">
        <is>
          <t>Claude</t>
        </is>
      </c>
      <c r="F8" s="33" t="inlineStr">
        <is>
          <t>Done-in-code</t>
        </is>
      </c>
      <c r="G8" s="26" t="inlineStr">
        <is>
          <t>One bad document never sinks the batch — asserted.</t>
        </is>
      </c>
    </row>
    <row r="9" ht="15" customHeight="1" s="22">
      <c r="A9" s="26" t="inlineStr">
        <is>
          <t>S6-06</t>
        </is>
      </c>
      <c r="B9" s="26" t="inlineStr">
        <is>
          <t>Routing-rule CSV + competitor import; filing notifications</t>
        </is>
      </c>
      <c r="C9" s="26" t="inlineStr">
        <is>
          <t>ST-039, ST-040</t>
        </is>
      </c>
      <c r="D9" s="26" t="n">
        <v>8</v>
      </c>
      <c r="E9" s="26" t="inlineStr">
        <is>
          <t>Claude</t>
        </is>
      </c>
      <c r="F9" s="33" t="inlineStr">
        <is>
          <t>Done-in-code</t>
        </is>
      </c>
      <c r="G9" s="26" t="inlineStr">
        <is>
          <t>Operator validation; mute-aware completed/failed.</t>
        </is>
      </c>
    </row>
    <row r="10" ht="15" customHeight="1" s="22">
      <c r="A10" s="26" t="inlineStr">
        <is>
          <t>S6-07</t>
        </is>
      </c>
      <c r="B10" s="26" t="inlineStr">
        <is>
          <t>No-card trial + honest banner</t>
        </is>
      </c>
      <c r="C10" s="26" t="inlineStr">
        <is>
          <t>ST-057</t>
        </is>
      </c>
      <c r="D10" s="26" t="n">
        <v>5</v>
      </c>
      <c r="E10" s="26" t="inlineStr">
        <is>
          <t>Claude</t>
        </is>
      </c>
      <c r="F10" s="33" t="inlineStr">
        <is>
          <t>Done-in-code</t>
        </is>
      </c>
      <c r="G10" s="26" t="inlineStr">
        <is>
          <t>14 -&gt; 1 (singular) -&gt; ended -&gt; hidden; zero charges asserted.</t>
        </is>
      </c>
    </row>
    <row r="11" ht="15" customHeight="1" s="22">
      <c r="A11" s="26" t="inlineStr">
        <is>
          <t>S6-08</t>
        </is>
      </c>
      <c r="B11" s="26" t="inlineStr">
        <is>
          <t>Mid-cycle proration both directions, to the cent</t>
        </is>
      </c>
      <c r="C11" s="26" t="inlineStr">
        <is>
          <t>ST-058</t>
        </is>
      </c>
      <c r="D11" s="26" t="n">
        <v>5</v>
      </c>
      <c r="E11" s="26" t="inlineStr">
        <is>
          <t>Claude</t>
        </is>
      </c>
      <c r="F11" s="33" t="inlineStr">
        <is>
          <t>Done-in-code</t>
        </is>
      </c>
      <c r="G11" s="26" t="inlineStr">
        <is>
          <t>$11.33 charge / $8.50 credit; declined leaves plan unchanged.</t>
        </is>
      </c>
    </row>
    <row r="12" ht="15" customHeight="1" s="22">
      <c r="A12" s="26" t="inlineStr">
        <is>
          <t>S6-09</t>
        </is>
      </c>
      <c r="B12" s="26" t="inlineStr">
        <is>
          <t>Provider routing + 1/3/7 dunning -&gt; grace -&gt; downgrade with data</t>
        </is>
      </c>
      <c r="C12" s="26" t="inlineStr">
        <is>
          <t>ST-059</t>
        </is>
      </c>
      <c r="D12" s="26" t="n">
        <v>8</v>
      </c>
      <c r="E12" s="26" t="inlineStr">
        <is>
          <t>Claude</t>
        </is>
      </c>
      <c r="F12" s="33" t="inlineStr">
        <is>
          <t>Done-in-code</t>
        </is>
      </c>
      <c r="G12" s="26" t="inlineStr">
        <is>
          <t>Full schedule walked day-by-day in tests; recovery path.</t>
        </is>
      </c>
    </row>
    <row r="13" ht="15" customHeight="1" s="22">
      <c r="A13" s="26" t="inlineStr">
        <is>
          <t>S6-10</t>
        </is>
      </c>
      <c r="B13" s="26" t="inlineStr">
        <is>
          <t>LIVE: Stripe/marketplace billing config + first test charge</t>
        </is>
      </c>
      <c r="C13" s="26" t="inlineStr">
        <is>
          <t>ST-059 live</t>
        </is>
      </c>
      <c r="D13" s="26" t="n">
        <v>2</v>
      </c>
      <c r="E13" s="26" t="inlineStr">
        <is>
          <t>Senthil + Claude</t>
        </is>
      </c>
      <c r="F13" s="26" t="inlineStr">
        <is>
          <t>To do</t>
        </is>
      </c>
      <c r="G13" s="26" t="inlineStr">
        <is>
          <t>Needs Stripe keys / marketplace billing enrolment.</t>
        </is>
      </c>
    </row>
    <row r="14" ht="15" customHeight="1" s="22">
      <c r="A14" s="26" t="inlineStr">
        <is>
          <t>S6-11</t>
        </is>
      </c>
      <c r="B14" s="26" t="inlineStr">
        <is>
          <t>CASA Tier 2 assessment BOOKED (R-D1 trigger = S6)</t>
        </is>
      </c>
      <c r="C14" s="26" t="inlineStr">
        <is>
          <t>LC-3</t>
        </is>
      </c>
      <c r="D14" s="26" t="n">
        <v>2</v>
      </c>
      <c r="E14" s="26" t="inlineStr">
        <is>
          <t>Senthil</t>
        </is>
      </c>
      <c r="F14" s="26" t="inlineStr">
        <is>
          <t>To do</t>
        </is>
      </c>
      <c r="G14" s="26" t="inlineStr">
        <is>
          <t>Blocked by LC-1 (GCP project). Booking evidence -&gt; v003.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5" customWidth="1" style="21" min="2" max="2"/>
    <col width="14" customWidth="1" style="21" min="3" max="3"/>
    <col width="8" customWidth="1" style="21" min="4" max="4"/>
    <col width="18" customWidth="1" style="21" min="5" max="5"/>
    <col width="14" customWidth="1" style="21" min="6" max="6"/>
    <col width="62" customWidth="1" style="21" min="7" max="7"/>
  </cols>
  <sheetData>
    <row r="1" ht="17.25" customHeight="1" s="22">
      <c r="A1" s="23" t="inlineStr">
        <is>
          <t>S7 BUILD BOARD — Private beta (design partners) — exit: 3+ partners active weekly; NPS pulse &gt;30 — v014 (13 Sep 09:55)</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23.25" customHeight="1" s="22">
      <c r="A4" s="26" t="inlineStr">
        <is>
          <t>S7-01</t>
        </is>
      </c>
      <c r="B4" s="26" t="inlineStr">
        <is>
          <t>Dunning emails 1/3/7 + grace + read-only terminal state</t>
        </is>
      </c>
      <c r="C4" s="26" t="inlineStr">
        <is>
          <t>ST-060</t>
        </is>
      </c>
      <c r="D4" s="26" t="n">
        <v>3</v>
      </c>
      <c r="E4" s="26" t="inlineStr">
        <is>
          <t>Claude</t>
        </is>
      </c>
      <c r="F4" s="33" t="inlineStr">
        <is>
          <t>Done-in-code</t>
        </is>
      </c>
      <c r="G4" s="26" t="inlineStr">
        <is>
          <t>src/billingHardening.ts; supersedes ST-059 downgrade (E019). Live email delivery = provider config.</t>
        </is>
      </c>
    </row>
    <row r="5" ht="15" customHeight="1" s="22">
      <c r="A5" s="26" t="inlineStr">
        <is>
          <t>S7-02</t>
        </is>
      </c>
      <c r="B5" s="26" t="inlineStr">
        <is>
          <t>Plan limits with 80%/100% upgrade prompts</t>
        </is>
      </c>
      <c r="C5" s="26" t="inlineStr">
        <is>
          <t>ST-061</t>
        </is>
      </c>
      <c r="D5" s="26" t="n">
        <v>3</v>
      </c>
      <c r="E5" s="26" t="inlineStr">
        <is>
          <t>Claude</t>
        </is>
      </c>
      <c r="F5" s="33" t="inlineStr">
        <is>
          <t>Done-in-code</t>
        </is>
      </c>
      <c r="G5" s="26" t="inlineStr">
        <is>
          <t>PlanLimitEnforcer; all three limit keys + monthly reset tested.</t>
        </is>
      </c>
    </row>
    <row r="6" ht="15" customHeight="1" s="22">
      <c r="A6" s="26" t="inlineStr">
        <is>
          <t>S7-03</t>
        </is>
      </c>
      <c r="B6" s="26" t="inlineStr">
        <is>
          <t>Invoices/receipts with GST/VAT + reverse charge + CSV download</t>
        </is>
      </c>
      <c r="C6" s="26" t="inlineStr">
        <is>
          <t>ST-062</t>
        </is>
      </c>
      <c r="D6" s="26" t="n">
        <v>3</v>
      </c>
      <c r="E6" s="26" t="inlineStr">
        <is>
          <t>Claude</t>
        </is>
      </c>
      <c r="F6" s="33" t="inlineStr">
        <is>
          <t>Done-in-code</t>
        </is>
      </c>
      <c r="G6" s="26" t="inlineStr">
        <is>
          <t>InvoiceBook; closes S6 tax flag. Tax-rate table per market = business input.</t>
        </is>
      </c>
    </row>
    <row r="7" ht="15" customHeight="1" s="22">
      <c r="A7" s="26" t="inlineStr">
        <is>
          <t>S7-04</t>
        </is>
      </c>
      <c r="B7" s="26" t="inlineStr">
        <is>
          <t>Cancellation: reason-matched save-offer + exit survey</t>
        </is>
      </c>
      <c r="C7" s="26" t="inlineStr">
        <is>
          <t>ST-063</t>
        </is>
      </c>
      <c r="D7" s="26" t="n">
        <v>3</v>
      </c>
      <c r="E7" s="26" t="inlineStr">
        <is>
          <t>Claude</t>
        </is>
      </c>
      <c r="F7" s="33" t="inlineStr">
        <is>
          <t>Done-in-code</t>
        </is>
      </c>
      <c r="G7" s="26" t="inlineStr">
        <is>
          <t>CancellationFlow; offered once; access to period end.</t>
        </is>
      </c>
    </row>
    <row r="8" ht="23.25" customHeight="1" s="22">
      <c r="A8" s="26" t="inlineStr">
        <is>
          <t>S7-05</t>
        </is>
      </c>
      <c r="B8" s="26" t="inlineStr">
        <is>
          <t>Least-privilege scope mapping + narrative doc</t>
        </is>
      </c>
      <c r="C8" s="26" t="inlineStr">
        <is>
          <t>ST-064</t>
        </is>
      </c>
      <c r="D8" s="26" t="n">
        <v>3</v>
      </c>
      <c r="E8" s="26" t="inlineStr">
        <is>
          <t>Claude</t>
        </is>
      </c>
      <c r="F8" s="33" t="inlineStr">
        <is>
          <t>Done-in-code</t>
        </is>
      </c>
      <c r="G8" s="26" t="inlineStr">
        <is>
          <t>src/scopes.ts audit runs as a test; SCOPE_NARRATIVE.md generated for LC-2/LC-3 pack.</t>
        </is>
      </c>
    </row>
    <row r="9" ht="15" customHeight="1" s="22">
      <c r="A9" s="26" t="inlineStr">
        <is>
          <t>S7-06</t>
        </is>
      </c>
      <c r="B9" s="26" t="inlineStr">
        <is>
          <t>LIVE: recruit 3+ design partners; weekly active + NPS pulse</t>
        </is>
      </c>
      <c r="C9" s="26" t="inlineStr">
        <is>
          <t>S7 exit</t>
        </is>
      </c>
      <c r="D9" s="26" t="n">
        <v>0</v>
      </c>
      <c r="E9" s="26" t="inlineStr">
        <is>
          <t>Senthil</t>
        </is>
      </c>
      <c r="F9" s="26" t="inlineStr">
        <is>
          <t>To do</t>
        </is>
      </c>
      <c r="G9" s="26" t="inlineStr">
        <is>
          <t>Blocked by LC-1 — no installable app without a GCP project.</t>
        </is>
      </c>
    </row>
    <row r="10" ht="15" customHeight="1" s="22">
      <c r="A10" s="26" t="inlineStr">
        <is>
          <t>S7-07</t>
        </is>
      </c>
      <c r="B10" s="26" t="inlineStr">
        <is>
          <t>LIVE: transactional email provider configured for dunning</t>
        </is>
      </c>
      <c r="C10" s="26" t="inlineStr">
        <is>
          <t>ST-060 live</t>
        </is>
      </c>
      <c r="D10" s="26" t="n">
        <v>0</v>
      </c>
      <c r="E10" s="26" t="inlineStr">
        <is>
          <t>Senthil + Claude</t>
        </is>
      </c>
      <c r="F10" s="26" t="inlineStr">
        <is>
          <t>To do</t>
        </is>
      </c>
      <c r="G10" s="26" t="inlineStr">
        <is>
          <t>EmailSender boundary is injected; provider swap is one adapter.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8" customWidth="1" style="21" min="2" max="2"/>
    <col width="16" customWidth="1" style="21" min="3" max="3"/>
    <col width="8" customWidth="1" style="21" min="4" max="4"/>
    <col width="16" customWidth="1" style="21" min="5" max="5"/>
    <col width="14" customWidth="1" style="21" min="6" max="6"/>
    <col width="58" customWidth="1" style="21" min="7" max="7"/>
  </cols>
  <sheetData>
    <row r="1" ht="17.25" customHeight="1" s="22">
      <c r="A1" s="23" t="inlineStr">
        <is>
          <t>S8 BUILD BOARD — Beta iteration + Form-triggered generation — exit: beta cohort WoW retention &gt;60% — v015 (13 Sep 10:22)</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23.25" customHeight="1" s="22">
      <c r="A4" s="26" t="inlineStr">
        <is>
          <t>S8-01</t>
        </is>
      </c>
      <c r="B4" s="26" t="inlineStr">
        <is>
          <t>Form trigger core: defaults, field mapping, submission pipeline with redelivery dedupe</t>
        </is>
      </c>
      <c r="C4" s="26" t="inlineStr">
        <is>
          <t>ST-041, ST-042</t>
        </is>
      </c>
      <c r="D4" s="26" t="n">
        <v>13</v>
      </c>
      <c r="E4" s="26" t="inlineStr">
        <is>
          <t>Claude</t>
        </is>
      </c>
      <c r="F4" s="33" t="inlineStr">
        <is>
          <t>Done-in-code</t>
        </is>
      </c>
      <c r="G4" s="26" t="inlineStr">
        <is>
          <t>src/formTrigger.ts; duplicate never generates twice — asserted.</t>
        </is>
      </c>
    </row>
    <row r="5" ht="15" customHeight="1" s="22">
      <c r="A5" s="26" t="inlineStr">
        <is>
          <t>S8-02</t>
        </is>
      </c>
      <c r="B5" s="26" t="inlineStr">
        <is>
          <t>Conditions with audit; failure-as-result with retry-on-redelivery</t>
        </is>
      </c>
      <c r="C5" s="26" t="inlineStr">
        <is>
          <t>ST-043, ST-044</t>
        </is>
      </c>
      <c r="D5" s="26" t="n">
        <v>8</v>
      </c>
      <c r="E5" s="26" t="inlineStr">
        <is>
          <t>Claude</t>
        </is>
      </c>
      <c r="F5" s="33" t="inlineStr">
        <is>
          <t>Done-in-code</t>
        </is>
      </c>
      <c r="G5" s="26" t="inlineStr">
        <is>
          <t>Failed submissions left unprocessed on purpose.</t>
        </is>
      </c>
    </row>
    <row r="6" ht="15" customHeight="1" s="22">
      <c r="A6" s="26" t="inlineStr">
        <is>
          <t>S8-03</t>
        </is>
      </c>
      <c r="B6" s="26" t="inlineStr">
        <is>
          <t>Form sidebar activity feed; metrics; permissions/audit; pause</t>
        </is>
      </c>
      <c r="C6" s="26" t="inlineStr">
        <is>
          <t>ST-045..ST-048</t>
        </is>
      </c>
      <c r="D6" s="26" t="n">
        <v>13</v>
      </c>
      <c r="E6" s="26" t="inlineStr">
        <is>
          <t>Claude</t>
        </is>
      </c>
      <c r="F6" s="33" t="inlineStr">
        <is>
          <t>Done-in-code</t>
        </is>
      </c>
      <c r="G6" s="26" t="inlineStr">
        <is>
          <t>20-item feed newest-first; spied-deny branch covered.</t>
        </is>
      </c>
    </row>
    <row r="7" ht="15" customHeight="1" s="22">
      <c r="A7" s="26" t="inlineStr">
        <is>
          <t>S8-04</t>
        </is>
      </c>
      <c r="B7" s="26" t="inlineStr">
        <is>
          <t>Field-map CSV + competitor import; form notifications</t>
        </is>
      </c>
      <c r="C7" s="26" t="inlineStr">
        <is>
          <t>ST-049, ST-050</t>
        </is>
      </c>
      <c r="D7" s="26" t="n">
        <v>8</v>
      </c>
      <c r="E7" s="26" t="inlineStr">
        <is>
          <t>Claude</t>
        </is>
      </c>
      <c r="F7" s="33" t="inlineStr">
        <is>
          <t>Done-in-code</t>
        </is>
      </c>
      <c r="G7" s="26" t="inlineStr">
        <is>
          <t>Duplicate-question detection included.</t>
        </is>
      </c>
    </row>
    <row r="8" ht="15" customHeight="1" s="22">
      <c r="A8" s="26" t="inlineStr">
        <is>
          <t>S8-05</t>
        </is>
      </c>
      <c r="B8" s="26" t="inlineStr">
        <is>
          <t>Data-flow diagram + retention policy, validated then published</t>
        </is>
      </c>
      <c r="C8" s="26" t="inlineStr">
        <is>
          <t>ST-065</t>
        </is>
      </c>
      <c r="D8" s="26" t="n">
        <v>3</v>
      </c>
      <c r="E8" s="26" t="inlineStr">
        <is>
          <t>Claude</t>
        </is>
      </c>
      <c r="F8" s="33" t="inlineStr">
        <is>
          <t>Done-in-code</t>
        </is>
      </c>
      <c r="G8" s="26" t="inlineStr">
        <is>
          <t>DATA_FLOW_AND_RETENTION.md — LC-7 evidence.</t>
        </is>
      </c>
    </row>
    <row r="9" ht="15" customHeight="1" s="22">
      <c r="A9" s="26" t="inlineStr">
        <is>
          <t>S8-06</t>
        </is>
      </c>
      <c r="B9" s="26" t="inlineStr">
        <is>
          <t>Encryption/secrets posture verifier</t>
        </is>
      </c>
      <c r="C9" s="26" t="inlineStr">
        <is>
          <t>ST-066</t>
        </is>
      </c>
      <c r="D9" s="26" t="n">
        <v>5</v>
      </c>
      <c r="E9" s="26" t="inlineStr">
        <is>
          <t>Claude</t>
        </is>
      </c>
      <c r="F9" s="33" t="inlineStr">
        <is>
          <t>Done-in-code</t>
        </is>
      </c>
      <c r="G9" s="26" t="inlineStr">
        <is>
          <t>Blocks env secrets in prod; live posture check needs real infra (LC-1).</t>
        </is>
      </c>
    </row>
    <row r="10" ht="15" customHeight="1" s="22">
      <c r="A10" s="26" t="inlineStr">
        <is>
          <t>S8-07</t>
        </is>
      </c>
      <c r="B10" s="26" t="inlineStr">
        <is>
          <t>Hash-chained admin audit log with audited export</t>
        </is>
      </c>
      <c r="C10" s="26" t="inlineStr">
        <is>
          <t>ST-067</t>
        </is>
      </c>
      <c r="D10" s="26" t="n">
        <v>5</v>
      </c>
      <c r="E10" s="26" t="inlineStr">
        <is>
          <t>Claude</t>
        </is>
      </c>
      <c r="F10" s="33" t="inlineStr">
        <is>
          <t>Done-in-code</t>
        </is>
      </c>
      <c r="G10" s="26" t="inlineStr">
        <is>
          <t>Edit AND deletion detection tested.</t>
        </is>
      </c>
    </row>
    <row r="11" ht="15" customHeight="1" s="22">
      <c r="A11" s="26" t="inlineStr">
        <is>
          <t>S8-08</t>
        </is>
      </c>
      <c r="B11" s="26" t="inlineStr">
        <is>
          <t>Circuit breaker on platform APIs</t>
        </is>
      </c>
      <c r="C11" s="26" t="inlineStr">
        <is>
          <t>ST-070</t>
        </is>
      </c>
      <c r="D11" s="26" t="n">
        <v>5</v>
      </c>
      <c r="E11" s="26" t="inlineStr">
        <is>
          <t>Claude</t>
        </is>
      </c>
      <c r="F11" s="33" t="inlineStr">
        <is>
          <t>Done-in-code</t>
        </is>
      </c>
      <c r="G11" s="26" t="inlineStr">
        <is>
          <t>closed/open/half-open with re-trip; pairs with existing backoff.</t>
        </is>
      </c>
    </row>
    <row r="12" ht="15" customHeight="1" s="22">
      <c r="A12" s="26" t="inlineStr">
        <is>
          <t>S8-09</t>
        </is>
      </c>
      <c r="B12" s="26" t="inlineStr">
        <is>
          <t>Usage heatmap, weekly digest, health score, export, alert thresholds</t>
        </is>
      </c>
      <c r="C12" s="26" t="inlineStr">
        <is>
          <t>ST-073..ST-077</t>
        </is>
      </c>
      <c r="D12" s="26" t="n">
        <v>16</v>
      </c>
      <c r="E12" s="26" t="inlineStr">
        <is>
          <t>Claude</t>
        </is>
      </c>
      <c r="F12" s="33" t="inlineStr">
        <is>
          <t>Done-in-code</t>
        </is>
      </c>
      <c r="G12" s="26" t="inlineStr">
        <is>
          <t>Health score always explains itself.</t>
        </is>
      </c>
    </row>
    <row r="13" ht="15" customHeight="1" s="22">
      <c r="A13" s="26" t="inlineStr">
        <is>
          <t>S8-10</t>
        </is>
      </c>
      <c r="B13" s="26" t="inlineStr">
        <is>
          <t>p95 budgets per surface + monitoring</t>
        </is>
      </c>
      <c r="C13" s="26" t="inlineStr">
        <is>
          <t>ST-087</t>
        </is>
      </c>
      <c r="D13" s="26" t="n">
        <v>3</v>
      </c>
      <c r="E13" s="26" t="inlineStr">
        <is>
          <t>Claude</t>
        </is>
      </c>
      <c r="F13" s="33" t="inlineStr">
        <is>
          <t>Done-in-code</t>
        </is>
      </c>
      <c r="G13" s="26" t="inlineStr">
        <is>
          <t>Breach detection with headroom.</t>
        </is>
      </c>
    </row>
    <row r="14" ht="15" customHeight="1" s="22">
      <c r="A14" s="26" t="inlineStr">
        <is>
          <t>S8-11</t>
        </is>
      </c>
      <c r="B14" s="26" t="inlineStr">
        <is>
          <t>Deterministic 5x load test runnable in CI</t>
        </is>
      </c>
      <c r="C14" s="26" t="inlineStr">
        <is>
          <t>ST-088</t>
        </is>
      </c>
      <c r="D14" s="26" t="n">
        <v>5</v>
      </c>
      <c r="E14" s="26" t="inlineStr">
        <is>
          <t>Claude</t>
        </is>
      </c>
      <c r="F14" s="33" t="inlineStr">
        <is>
          <t>Done-in-code</t>
        </is>
      </c>
      <c r="G14" s="26" t="inlineStr">
        <is>
          <t>Injected worker; real-infra numbers owed at LC-1.</t>
        </is>
      </c>
    </row>
    <row r="15" ht="15" customHeight="1" s="22">
      <c r="A15" s="26" t="inlineStr">
        <is>
          <t>S8-12</t>
        </is>
      </c>
      <c r="B15" s="26" t="inlineStr">
        <is>
          <t>Blue/green deploy with pre-cutover gate and verified rollback</t>
        </is>
      </c>
      <c r="C15" s="26" t="inlineStr">
        <is>
          <t>ST-092</t>
        </is>
      </c>
      <c r="D15" s="26" t="n">
        <v>3</v>
      </c>
      <c r="E15" s="26" t="inlineStr">
        <is>
          <t>Claude</t>
        </is>
      </c>
      <c r="F15" s="33" t="inlineStr">
        <is>
          <t>Done-in-code</t>
        </is>
      </c>
      <c r="G15" s="26" t="inlineStr">
        <is>
          <t>droppedRequests measured; both rollback colour paths tested.</t>
        </is>
      </c>
    </row>
    <row r="16" ht="15" customHeight="1" s="22">
      <c r="A16" s="26" t="inlineStr">
        <is>
          <t>S8-13</t>
        </is>
      </c>
      <c r="B16" s="26" t="inlineStr">
        <is>
          <t>LIVE: beta cohort recruited; WoW retention measured &gt;60%</t>
        </is>
      </c>
      <c r="C16" s="26" t="inlineStr">
        <is>
          <t>S8 exit</t>
        </is>
      </c>
      <c r="D16" s="26" t="n">
        <v>0</v>
      </c>
      <c r="E16" s="26" t="inlineStr">
        <is>
          <t>Senthil</t>
        </is>
      </c>
      <c r="F16" s="26" t="inlineStr">
        <is>
          <t>To do</t>
        </is>
      </c>
      <c r="G16" s="26" t="inlineStr">
        <is>
          <t>Blocked by LC-1 — no installable app, no cohort.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56" customWidth="1" style="21" min="2" max="2"/>
    <col width="14" customWidth="1" style="21" min="3" max="3"/>
    <col width="8" customWidth="1" style="21" min="4" max="4"/>
    <col width="18" customWidth="1" style="21" min="5" max="5"/>
    <col width="14" customWidth="1" style="21" min="6" max="6"/>
    <col width="62" customWidth="1" style="21" min="7" max="7"/>
  </cols>
  <sheetData>
    <row r="1" ht="17.25" customHeight="1" s="22">
      <c r="A1" s="23" t="inlineStr">
        <is>
          <t>S9 BUILD BOARD — Marketplace review prep — exit: review submission accepted into queue — v016 (13 Sep 10:35)</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S9-01</t>
        </is>
      </c>
      <c r="B4" s="26" t="inlineStr">
        <is>
          <t>Security evidence pack assembled and published</t>
        </is>
      </c>
      <c r="C4" s="26" t="inlineStr">
        <is>
          <t>ST-068</t>
        </is>
      </c>
      <c r="D4" s="26" t="n">
        <v>4</v>
      </c>
      <c r="E4" s="26" t="inlineStr">
        <is>
          <t>Claude</t>
        </is>
      </c>
      <c r="F4" s="33" t="inlineStr">
        <is>
          <t>Done-in-code</t>
        </is>
      </c>
      <c r="G4" s="26" t="inlineStr">
        <is>
          <t>SECURITY_EVIDENCE_PACK.md — 6 of 9 controls verified in code.</t>
        </is>
      </c>
    </row>
    <row r="5" ht="23.25" customHeight="1" s="22">
      <c r="A5" s="26" t="inlineStr">
        <is>
          <t>S9-02</t>
        </is>
      </c>
      <c r="B5" s="26" t="inlineStr">
        <is>
          <t>THIRD-PARTY PEN TEST booked, executed, report archived</t>
        </is>
      </c>
      <c r="C5" s="26" t="inlineStr">
        <is>
          <t>ST-068</t>
        </is>
      </c>
      <c r="D5" s="26" t="n">
        <v>4</v>
      </c>
      <c r="E5" s="26" t="inlineStr">
        <is>
          <t>Senthil</t>
        </is>
      </c>
      <c r="F5" s="26" t="inlineStr">
        <is>
          <t>To do</t>
        </is>
      </c>
      <c r="G5" s="26" t="inlineStr">
        <is>
          <t>BLOCKS ST-068 closure. Needs deployed target (LC-1) + budget. Cannot be done in code.</t>
        </is>
      </c>
    </row>
    <row r="6" ht="15" customHeight="1" s="22">
      <c r="A6" s="26" t="inlineStr">
        <is>
          <t>S9-03</t>
        </is>
      </c>
      <c r="B6" s="26" t="inlineStr">
        <is>
          <t>Self-serve data export with stated exclusions</t>
        </is>
      </c>
      <c r="C6" s="26" t="inlineStr">
        <is>
          <t>ST-069</t>
        </is>
      </c>
      <c r="D6" s="26" t="n">
        <v>3</v>
      </c>
      <c r="E6" s="26" t="inlineStr">
        <is>
          <t>Claude</t>
        </is>
      </c>
      <c r="F6" s="33" t="inlineStr">
        <is>
          <t>Done-in-code</t>
        </is>
      </c>
      <c r="G6" s="26" t="inlineStr">
        <is>
          <t>Owner/admin gated; JSON download.</t>
        </is>
      </c>
    </row>
    <row r="7" ht="15" customHeight="1" s="22">
      <c r="A7" s="26" t="inlineStr">
        <is>
          <t>S9-04</t>
        </is>
      </c>
      <c r="B7" s="26" t="inlineStr">
        <is>
          <t>Self-serve deletion with cancellable 7-day grace</t>
        </is>
      </c>
      <c r="C7" s="26" t="inlineStr">
        <is>
          <t>ST-069</t>
        </is>
      </c>
      <c r="D7" s="26" t="n">
        <v>2</v>
      </c>
      <c r="E7" s="26" t="inlineStr">
        <is>
          <t>Claude</t>
        </is>
      </c>
      <c r="F7" s="33" t="inlineStr">
        <is>
          <t>Done-in-code</t>
        </is>
      </c>
      <c r="G7" s="26" t="inlineStr">
        <is>
          <t>Irreversible after execution — by design.</t>
        </is>
      </c>
    </row>
    <row r="8" ht="15" customHeight="1" s="22">
      <c r="A8" s="26" t="inlineStr">
        <is>
          <t>S9-05</t>
        </is>
      </c>
      <c r="B8" s="26" t="inlineStr">
        <is>
          <t>WCAG AA audit; shipped palette and controls pass</t>
        </is>
      </c>
      <c r="C8" s="26" t="inlineStr">
        <is>
          <t>ST-089</t>
        </is>
      </c>
      <c r="D8" s="26" t="n">
        <v>3</v>
      </c>
      <c r="E8" s="26" t="inlineStr">
        <is>
          <t>Claude</t>
        </is>
      </c>
      <c r="F8" s="33" t="inlineStr">
        <is>
          <t>Done-in-code</t>
        </is>
      </c>
      <c r="G8" s="26" t="inlineStr">
        <is>
          <t>Real contrast maths; 5 success criteria checked.</t>
        </is>
      </c>
    </row>
    <row r="9" ht="15" customHeight="1" s="22">
      <c r="A9" s="26" t="inlineStr">
        <is>
          <t>S9-06</t>
        </is>
      </c>
      <c r="B9" s="26" t="inlineStr">
        <is>
          <t>Restore drill verifying contents, RTO and RPO</t>
        </is>
      </c>
      <c r="C9" s="26" t="inlineStr">
        <is>
          <t>ST-090</t>
        </is>
      </c>
      <c r="D9" s="26" t="n">
        <v>3</v>
      </c>
      <c r="E9" s="26" t="inlineStr">
        <is>
          <t>Claude</t>
        </is>
      </c>
      <c r="F9" s="33" t="inlineStr">
        <is>
          <t>Done-in-code</t>
        </is>
      </c>
      <c r="G9" s="26" t="inlineStr">
        <is>
          <t>Harness only — real backups needed for real numbers.</t>
        </is>
      </c>
    </row>
    <row r="10" ht="15" customHeight="1" s="22">
      <c r="A10" s="26" t="inlineStr">
        <is>
          <t>S9-07</t>
        </is>
      </c>
      <c r="B10" s="26" t="inlineStr">
        <is>
          <t>Chaos: graceful degradation with user comms</t>
        </is>
      </c>
      <c r="C10" s="26" t="inlineStr">
        <is>
          <t>ST-091</t>
        </is>
      </c>
      <c r="D10" s="26" t="n">
        <v>3</v>
      </c>
      <c r="E10" s="26" t="inlineStr">
        <is>
          <t>Claude</t>
        </is>
      </c>
      <c r="F10" s="33" t="inlineStr">
        <is>
          <t>Done-in-code</t>
        </is>
      </c>
      <c r="G10" s="26" t="inlineStr">
        <is>
          <t>All 5 dependencies; guards made firable.</t>
        </is>
      </c>
    </row>
    <row r="11" ht="15" customHeight="1" s="22">
      <c r="A11" s="26" t="inlineStr">
        <is>
          <t>S9-08</t>
        </is>
      </c>
      <c r="B11" s="26" t="inlineStr">
        <is>
          <t>Listing copy A/B drafted and reviewed</t>
        </is>
      </c>
      <c r="C11" s="26" t="inlineStr">
        <is>
          <t>ST-093</t>
        </is>
      </c>
      <c r="D11" s="26" t="n">
        <v>3</v>
      </c>
      <c r="E11" s="26" t="inlineStr">
        <is>
          <t>Claude</t>
        </is>
      </c>
      <c r="F11" s="33" t="inlineStr">
        <is>
          <t>Done-in-code</t>
        </is>
      </c>
      <c r="G11" s="26" t="inlineStr">
        <is>
          <t>LISTING_PACK.md; risky-claim linting.</t>
        </is>
      </c>
    </row>
    <row r="12" ht="23.25" customHeight="1" s="22">
      <c r="A12" s="26" t="inlineStr">
        <is>
          <t>S9-09</t>
        </is>
      </c>
      <c r="B12" s="26" t="inlineStr">
        <is>
          <t>Asset spec validator + 5-screenshot plan</t>
        </is>
      </c>
      <c r="C12" s="26" t="inlineStr">
        <is>
          <t>ST-094</t>
        </is>
      </c>
      <c r="D12" s="26" t="n">
        <v>5</v>
      </c>
      <c r="E12" s="26" t="inlineStr">
        <is>
          <t>Claude</t>
        </is>
      </c>
      <c r="F12" s="33" t="inlineStr">
        <is>
          <t>Done-in-code</t>
        </is>
      </c>
      <c r="G12" s="26" t="inlineStr">
        <is>
          <t>Screenshots and video still need PRODUCING — needs a running app (LC-1).</t>
        </is>
      </c>
    </row>
    <row r="13" ht="15" customHeight="1" s="22">
      <c r="A13" s="26" t="inlineStr">
        <is>
          <t>S9-10</t>
        </is>
      </c>
      <c r="B13" s="26" t="inlineStr">
        <is>
          <t>LIVE: capture 5 screenshots + record 2-min demo video</t>
        </is>
      </c>
      <c r="C13" s="26" t="inlineStr">
        <is>
          <t>ST-094 live</t>
        </is>
      </c>
      <c r="D13" s="26" t="n">
        <v>0</v>
      </c>
      <c r="E13" s="26" t="inlineStr">
        <is>
          <t>Senthil + Claude</t>
        </is>
      </c>
      <c r="F13" s="26" t="inlineStr">
        <is>
          <t>To do</t>
        </is>
      </c>
      <c r="G13" s="26" t="inlineStr">
        <is>
          <t>Validator ready; assets cannot exist without a running app.</t>
        </is>
      </c>
    </row>
    <row r="14" ht="15" customHeight="1" s="22">
      <c r="A14" s="26" t="inlineStr">
        <is>
          <t>S9-11</t>
        </is>
      </c>
      <c r="B14" s="26" t="inlineStr">
        <is>
          <t>LIVE: submit for marketplace review</t>
        </is>
      </c>
      <c r="C14" s="26" t="inlineStr">
        <is>
          <t>S9 exit</t>
        </is>
      </c>
      <c r="D14" s="26" t="n">
        <v>0</v>
      </c>
      <c r="E14" s="26" t="inlineStr">
        <is>
          <t>Senthil</t>
        </is>
      </c>
      <c r="F14" s="26" t="inlineStr">
        <is>
          <t>To do</t>
        </is>
      </c>
      <c r="G14" s="26" t="inlineStr">
        <is>
          <t>Blocked by LC-1, S9-02, S9-10.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58" customWidth="1" style="21" min="2" max="2"/>
    <col width="14" customWidth="1" style="21" min="3" max="3"/>
    <col width="8" customWidth="1" style="21" min="4" max="4"/>
    <col width="18" customWidth="1" style="21" min="5" max="5"/>
    <col width="14" customWidth="1" style="21" min="6" max="6"/>
    <col width="58" customWidth="1" style="21" min="7" max="7"/>
  </cols>
  <sheetData>
    <row r="1" ht="17.25" customHeight="1" s="22">
      <c r="A1" s="23" t="inlineStr">
        <is>
          <t>S10 BUILD BOARD — Review remediation + docs — exit: marketplace approval obtained — v017 (13 Sep 10:43)</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S10-01</t>
        </is>
      </c>
      <c r="B4" s="26" t="inlineStr">
        <is>
          <t>Help centre: 15 articles + weighted search + coverage report</t>
        </is>
      </c>
      <c r="C4" s="26" t="inlineStr">
        <is>
          <t>ST-080</t>
        </is>
      </c>
      <c r="D4" s="26" t="n">
        <v>5</v>
      </c>
      <c r="E4" s="26" t="inlineStr">
        <is>
          <t>Claude</t>
        </is>
      </c>
      <c r="F4" s="33" t="inlineStr">
        <is>
          <t>Done-in-code</t>
        </is>
      </c>
      <c r="G4" s="26" t="inlineStr">
        <is>
          <t>Articles name the stories they document.</t>
        </is>
      </c>
    </row>
    <row r="5" ht="15" customHeight="1" s="22">
      <c r="A5" s="26" t="inlineStr">
        <is>
          <t>S10-02</t>
        </is>
      </c>
      <c r="B5" s="26" t="inlineStr">
        <is>
          <t>In-app chat with business-hours first-response SLA</t>
        </is>
      </c>
      <c r="C5" s="26" t="inlineStr">
        <is>
          <t>ST-081</t>
        </is>
      </c>
      <c r="D5" s="26" t="n">
        <v>3</v>
      </c>
      <c r="E5" s="26" t="inlineStr">
        <is>
          <t>Claude</t>
        </is>
      </c>
      <c r="F5" s="33" t="inlineStr">
        <is>
          <t>Done-in-code</t>
        </is>
      </c>
      <c r="G5" s="26" t="inlineStr">
        <is>
          <t>Weekend cannot manufacture a breach.</t>
        </is>
      </c>
    </row>
    <row r="6" ht="15" customHeight="1" s="22">
      <c r="A6" s="26" t="inlineStr">
        <is>
          <t>S10-03</t>
        </is>
      </c>
      <c r="B6" s="26" t="inlineStr">
        <is>
          <t>STAFF the support channel during stated hours</t>
        </is>
      </c>
      <c r="C6" s="26" t="inlineStr">
        <is>
          <t>ST-081 live</t>
        </is>
      </c>
      <c r="D6" s="26" t="n">
        <v>0</v>
      </c>
      <c r="E6" s="26" t="inlineStr">
        <is>
          <t>Senthil</t>
        </is>
      </c>
      <c r="F6" s="26" t="inlineStr">
        <is>
          <t>To do</t>
        </is>
      </c>
      <c r="G6" s="26" t="inlineStr">
        <is>
          <t>CL-15. Do not publish the SLA until this is answered.</t>
        </is>
      </c>
    </row>
    <row r="7" ht="15" customHeight="1" s="22">
      <c r="A7" s="26" t="inlineStr">
        <is>
          <t>S10-04</t>
        </is>
      </c>
      <c r="B7" s="26" t="inlineStr">
        <is>
          <t>Sandbox / demo-data mode</t>
        </is>
      </c>
      <c r="C7" s="26" t="inlineStr">
        <is>
          <t>ST-083</t>
        </is>
      </c>
      <c r="D7" s="26" t="n">
        <v>3</v>
      </c>
      <c r="E7" s="26" t="inlineStr">
        <is>
          <t>Claude</t>
        </is>
      </c>
      <c r="F7" s="33" t="inlineStr">
        <is>
          <t>Done-in-code</t>
        </is>
      </c>
      <c r="G7" s="26" t="inlineStr">
        <is>
          <t>No account, no OAuth, read-only; converts to signup.</t>
        </is>
      </c>
    </row>
    <row r="8" ht="15" customHeight="1" s="22">
      <c r="A8" s="26" t="inlineStr">
        <is>
          <t>S10-05</t>
        </is>
      </c>
      <c r="B8" s="26" t="inlineStr">
        <is>
          <t>RECORD 2-minute demo video with captions</t>
        </is>
      </c>
      <c r="C8" s="26" t="inlineStr">
        <is>
          <t>ST-083</t>
        </is>
      </c>
      <c r="D8" s="26" t="n">
        <v>2</v>
      </c>
      <c r="E8" s="26" t="inlineStr">
        <is>
          <t>Senthil + Claude</t>
        </is>
      </c>
      <c r="F8" s="26" t="inlineStr">
        <is>
          <t>To do</t>
        </is>
      </c>
      <c r="G8" s="26" t="inlineStr">
        <is>
          <t>BLOCKS ST-083 closure. Needs a running app (LC-1).</t>
        </is>
      </c>
    </row>
    <row r="9" ht="15" customHeight="1" s="22">
      <c r="A9" s="26" t="inlineStr">
        <is>
          <t>S10-06</t>
        </is>
      </c>
      <c r="B9" s="26" t="inlineStr">
        <is>
          <t>Status page + incident comms templates</t>
        </is>
      </c>
      <c r="C9" s="26" t="inlineStr">
        <is>
          <t>ST-084</t>
        </is>
      </c>
      <c r="D9" s="26" t="n">
        <v>2</v>
      </c>
      <c r="E9" s="26" t="inlineStr">
        <is>
          <t>Claude</t>
        </is>
      </c>
      <c r="F9" s="33" t="inlineStr">
        <is>
          <t>Done-in-code</t>
        </is>
      </c>
      <c r="G9" s="26" t="inlineStr">
        <is>
          <t>Worst-component-wins; overdue-update chasing.</t>
        </is>
      </c>
    </row>
    <row r="10" ht="15" customHeight="1" s="22">
      <c r="A10" s="26" t="inlineStr">
        <is>
          <t>S10-07</t>
        </is>
      </c>
      <c r="B10" s="26" t="inlineStr">
        <is>
          <t>HOST the status page at a public URL</t>
        </is>
      </c>
      <c r="C10" s="26" t="inlineStr">
        <is>
          <t>ST-084 live</t>
        </is>
      </c>
      <c r="D10" s="26" t="n">
        <v>0</v>
      </c>
      <c r="E10" s="26" t="inlineStr">
        <is>
          <t>Senthil</t>
        </is>
      </c>
      <c r="F10" s="26" t="inlineStr">
        <is>
          <t>To do</t>
        </is>
      </c>
      <c r="G10" s="26" t="inlineStr">
        <is>
          <t>CL-17.</t>
        </is>
      </c>
    </row>
    <row r="11" ht="15" customHeight="1" s="22">
      <c r="A11" s="26" t="inlineStr">
        <is>
          <t>S10-08</t>
        </is>
      </c>
      <c r="B11" s="26" t="inlineStr">
        <is>
          <t>Pricing page / plan matrix + FAQ, validated against billing code</t>
        </is>
      </c>
      <c r="C11" s="26" t="inlineStr">
        <is>
          <t>ST-095</t>
        </is>
      </c>
      <c r="D11" s="26" t="n">
        <v>3</v>
      </c>
      <c r="E11" s="26" t="inlineStr">
        <is>
          <t>Claude</t>
        </is>
      </c>
      <c r="F11" s="33" t="inlineStr">
        <is>
          <t>Done-in-code</t>
        </is>
      </c>
      <c r="G11" s="26" t="inlineStr">
        <is>
          <t>Drifted price or limit fails the test.</t>
        </is>
      </c>
    </row>
    <row r="12" ht="15" customHeight="1" s="22">
      <c r="A12" s="26" t="inlineStr">
        <is>
          <t>S10-09</t>
        </is>
      </c>
      <c r="B12" s="26" t="inlineStr">
        <is>
          <t>Security/trust page generated from enforced sources</t>
        </is>
      </c>
      <c r="C12" s="26" t="inlineStr">
        <is>
          <t>ST-096</t>
        </is>
      </c>
      <c r="D12" s="26" t="n">
        <v>3</v>
      </c>
      <c r="E12" s="26" t="inlineStr">
        <is>
          <t>Claude</t>
        </is>
      </c>
      <c r="F12" s="33" t="inlineStr">
        <is>
          <t>Done-in-code</t>
        </is>
      </c>
      <c r="G12" s="26" t="inlineStr">
        <is>
          <t>Scopes, subprocessors, retention.</t>
        </is>
      </c>
    </row>
    <row r="13" ht="15" customHeight="1" s="22">
      <c r="A13" s="26" t="inlineStr">
        <is>
          <t>S10-10</t>
        </is>
      </c>
      <c r="B13" s="26" t="inlineStr">
        <is>
          <t>HOST privacy/trust pages at public URLs</t>
        </is>
      </c>
      <c r="C13" s="26" t="inlineStr">
        <is>
          <t>ST-096 live</t>
        </is>
      </c>
      <c r="D13" s="26" t="n">
        <v>0</v>
      </c>
      <c r="E13" s="26" t="inlineStr">
        <is>
          <t>Senthil</t>
        </is>
      </c>
      <c r="F13" s="26" t="inlineStr">
        <is>
          <t>To do</t>
        </is>
      </c>
      <c r="G13" s="26" t="inlineStr">
        <is>
          <t>CL-06. Content written; hosting owed.</t>
        </is>
      </c>
    </row>
    <row r="14" ht="15" customHeight="1" s="22">
      <c r="A14" s="26" t="inlineStr">
        <is>
          <t>S10-11</t>
        </is>
      </c>
      <c r="B14" s="26" t="inlineStr">
        <is>
          <t>Submission dry-run by second reviewer</t>
        </is>
      </c>
      <c r="C14" s="26" t="inlineStr">
        <is>
          <t>ST-097</t>
        </is>
      </c>
      <c r="D14" s="26" t="n">
        <v>3</v>
      </c>
      <c r="E14" s="26" t="inlineStr">
        <is>
          <t>Claude</t>
        </is>
      </c>
      <c r="F14" s="33" t="inlineStr">
        <is>
          <t>Done-in-code</t>
        </is>
      </c>
      <c r="G14" s="26" t="inlineStr">
        <is>
          <t>SUBMISSION_DRY_RUN.md — 10/20, NOT READY.</t>
        </is>
      </c>
    </row>
    <row r="15" ht="15" customHeight="1" s="22">
      <c r="A15" s="26" t="inlineStr">
        <is>
          <t>S10-12</t>
        </is>
      </c>
      <c r="B15" s="26" t="inlineStr">
        <is>
          <t>LIVE: submit and obtain marketplace approval</t>
        </is>
      </c>
      <c r="C15" s="26" t="inlineStr">
        <is>
          <t>S10 exit</t>
        </is>
      </c>
      <c r="D15" s="26" t="n">
        <v>0</v>
      </c>
      <c r="E15" s="26" t="inlineStr">
        <is>
          <t>Senthil</t>
        </is>
      </c>
      <c r="F15" s="26" t="inlineStr">
        <is>
          <t>To do</t>
        </is>
      </c>
      <c r="G15" s="26" t="inlineStr">
        <is>
          <t>Blocked by all 10 dry-run blockers.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58" customWidth="1" style="21" min="2" max="2"/>
    <col width="14" customWidth="1" style="21" min="3" max="3"/>
    <col width="8" customWidth="1" style="21" min="4" max="4"/>
    <col width="18" customWidth="1" style="21" min="5" max="5"/>
    <col width="14" customWidth="1" style="21" min="6" max="6"/>
    <col width="60" customWidth="1" style="21" min="7" max="7"/>
  </cols>
  <sheetData>
    <row r="1" ht="17.25" customHeight="1" s="22">
      <c r="A1" s="23" t="inlineStr">
        <is>
          <t>S11 + S12 BUILD BOARD — Launch &amp; iterate — exits: first 10 installs / growth model — v018 (13 Sep 10:58)</t>
        </is>
      </c>
    </row>
    <row r="3" ht="15" customHeight="1" s="22">
      <c r="A3" s="25" t="inlineStr">
        <is>
          <t>ID</t>
        </is>
      </c>
      <c r="B3" s="25" t="inlineStr">
        <is>
          <t>Item</t>
        </is>
      </c>
      <c r="C3" s="25" t="inlineStr">
        <is>
          <t>Story ref</t>
        </is>
      </c>
      <c r="D3" s="25" t="inlineStr">
        <is>
          <t>Points</t>
        </is>
      </c>
      <c r="E3" s="25" t="inlineStr">
        <is>
          <t>Owner</t>
        </is>
      </c>
      <c r="F3" s="25" t="inlineStr">
        <is>
          <t>Status</t>
        </is>
      </c>
      <c r="G3" s="25" t="inlineStr">
        <is>
          <t>Notes / Evidence</t>
        </is>
      </c>
    </row>
    <row r="4" ht="15" customHeight="1" s="22">
      <c r="A4" s="26" t="inlineStr">
        <is>
          <t>S11-01</t>
        </is>
      </c>
      <c r="B4" s="26" t="inlineStr">
        <is>
          <t>In-app review ask gated on aha, usage, failures, cooldown, dismissals</t>
        </is>
      </c>
      <c r="C4" s="26" t="inlineStr">
        <is>
          <t>ST-082</t>
        </is>
      </c>
      <c r="D4" s="26" t="n">
        <v>3</v>
      </c>
      <c r="E4" s="26" t="inlineStr">
        <is>
          <t>Claude</t>
        </is>
      </c>
      <c r="F4" s="33" t="inlineStr">
        <is>
          <t>Done-in-code</t>
        </is>
      </c>
      <c r="G4" s="26" t="inlineStr">
        <is>
          <t>Rules exist to prevent ill-timed prompts.</t>
        </is>
      </c>
    </row>
    <row r="5" ht="15" customHeight="1" s="22">
      <c r="A5" s="26" t="inlineStr">
        <is>
          <t>S11-02</t>
        </is>
      </c>
      <c r="B5" s="26" t="inlineStr">
        <is>
          <t>Launch runbook: go/no-go, watchlist, rollback, comms tree</t>
        </is>
      </c>
      <c r="C5" s="26" t="inlineStr">
        <is>
          <t>ST-098</t>
        </is>
      </c>
      <c r="D5" s="26" t="n">
        <v>3</v>
      </c>
      <c r="E5" s="26" t="inlineStr">
        <is>
          <t>Claude</t>
        </is>
      </c>
      <c r="F5" s="33" t="inlineStr">
        <is>
          <t>Done-in-code</t>
        </is>
      </c>
      <c r="G5" s="26" t="inlineStr">
        <is>
          <t>LAUNCH_RUNBOOK.md — verdict NO-GO (8 blocking).</t>
        </is>
      </c>
    </row>
    <row r="6" ht="15" customHeight="1" s="22">
      <c r="A6" s="26" t="inlineStr">
        <is>
          <t>S11-03</t>
        </is>
      </c>
      <c r="B6" s="26" t="inlineStr">
        <is>
          <t>Partner-review pipeline with at-risk refusal and stale-invite warnings</t>
        </is>
      </c>
      <c r="C6" s="26" t="inlineStr">
        <is>
          <t>ST-100</t>
        </is>
      </c>
      <c r="D6" s="26" t="n">
        <v>2</v>
      </c>
      <c r="E6" s="26" t="inlineStr">
        <is>
          <t>Claude</t>
        </is>
      </c>
      <c r="F6" s="33" t="inlineStr">
        <is>
          <t>Done-in-code</t>
        </is>
      </c>
      <c r="G6" s="26" t="inlineStr">
        <is>
          <t>Needs real partners to operate.</t>
        </is>
      </c>
    </row>
    <row r="7" ht="15" customHeight="1" s="22">
      <c r="A7" s="26" t="inlineStr">
        <is>
          <t>S12-01</t>
        </is>
      </c>
      <c r="B7" s="26" t="inlineStr">
        <is>
          <t>SEO iteration from search-term data, one change at a time</t>
        </is>
      </c>
      <c r="C7" s="26" t="inlineStr">
        <is>
          <t>ST-099</t>
        </is>
      </c>
      <c r="D7" s="26" t="n">
        <v>2</v>
      </c>
      <c r="E7" s="26" t="inlineStr">
        <is>
          <t>Claude</t>
        </is>
      </c>
      <c r="F7" s="33" t="inlineStr">
        <is>
          <t>Done-in-code</t>
        </is>
      </c>
      <c r="G7" s="26" t="inlineStr">
        <is>
          <t>Needs real marketplace search data.</t>
        </is>
      </c>
    </row>
    <row r="8" ht="23.25" customHeight="1" s="22">
      <c r="A8" s="26" t="inlineStr">
        <is>
          <t>S11-04</t>
        </is>
      </c>
      <c r="B8" s="26" t="inlineStr">
        <is>
          <t>LIVE: clear the 8 blocking go/no-go checks</t>
        </is>
      </c>
      <c r="C8" s="26" t="inlineStr">
        <is>
          <t>ST-098 live</t>
        </is>
      </c>
      <c r="D8" s="26" t="n">
        <v>0</v>
      </c>
      <c r="E8" s="26" t="inlineStr">
        <is>
          <t>Senthil</t>
        </is>
      </c>
      <c r="F8" s="26" t="inlineStr">
        <is>
          <t>To do</t>
        </is>
      </c>
      <c r="G8" s="26" t="inlineStr">
        <is>
          <t>Listing, deployment, rollback verification, hosting x2, billing, staffing, monitoring sinks.</t>
        </is>
      </c>
    </row>
    <row r="9" ht="15" customHeight="1" s="22">
      <c r="A9" s="26" t="inlineStr">
        <is>
          <t>S11-05</t>
        </is>
      </c>
      <c r="B9" s="26" t="inlineStr">
        <is>
          <t>LIVE: first 10 installs; activation &gt;40%</t>
        </is>
      </c>
      <c r="C9" s="26" t="inlineStr">
        <is>
          <t>S11 exit</t>
        </is>
      </c>
      <c r="D9" s="26" t="n">
        <v>0</v>
      </c>
      <c r="E9" s="26" t="inlineStr">
        <is>
          <t>Senthil</t>
        </is>
      </c>
      <c r="F9" s="26" t="inlineStr">
        <is>
          <t>To do</t>
        </is>
      </c>
      <c r="G9" s="26" t="inlineStr">
        <is>
          <t>Cannot start before listing.</t>
        </is>
      </c>
    </row>
    <row r="10" ht="15" customHeight="1" s="22">
      <c r="A10" s="26" t="inlineStr">
        <is>
          <t>S11-06</t>
        </is>
      </c>
      <c r="B10" s="26" t="inlineStr">
        <is>
          <t>LIVE: first 3 reviews from design partners</t>
        </is>
      </c>
      <c r="C10" s="26" t="inlineStr">
        <is>
          <t>ST-100 live</t>
        </is>
      </c>
      <c r="D10" s="26" t="n">
        <v>0</v>
      </c>
      <c r="E10" s="26" t="inlineStr">
        <is>
          <t>Senthil</t>
        </is>
      </c>
      <c r="F10" s="26" t="inlineStr">
        <is>
          <t>To do</t>
        </is>
      </c>
      <c r="G10" s="26" t="inlineStr">
        <is>
          <t>Pipeline ready; partners not recruited.</t>
        </is>
      </c>
    </row>
    <row r="11" ht="23.25" customHeight="1" s="22">
      <c r="A11" s="26" t="inlineStr">
        <is>
          <t>S12-02</t>
        </is>
      </c>
      <c r="B11" s="26" t="inlineStr">
        <is>
          <t>LIVE: growth model with CAC/LTV first estimates</t>
        </is>
      </c>
      <c r="C11" s="26" t="inlineStr">
        <is>
          <t>S12 exit</t>
        </is>
      </c>
      <c r="D11" s="26" t="n">
        <v>0</v>
      </c>
      <c r="E11" s="26" t="inlineStr">
        <is>
          <t>Senthil + Claude</t>
        </is>
      </c>
      <c r="F11" s="26" t="inlineStr">
        <is>
          <t>To do</t>
        </is>
      </c>
      <c r="G11" s="26" t="inlineStr">
        <is>
          <t>Needs real acquisition and retention data; financial model in the product workbook is the starting frame.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1" min="1" max="1"/>
    <col width="16" customWidth="1" style="21" min="2" max="2"/>
    <col width="66" customWidth="1" style="21" min="3" max="3"/>
    <col width="34" customWidth="1" style="21" min="4" max="4"/>
    <col width="42" customWidth="1" style="21" min="5" max="5"/>
  </cols>
  <sheetData>
    <row r="1" ht="17.25" customHeight="1" s="22">
      <c r="A1" s="23" t="inlineStr">
        <is>
          <t>BLOCKER PREPARATION — what is ready and waiting for each external blocker (13 Sep 11:05)</t>
        </is>
      </c>
    </row>
    <row r="2" ht="15" customHeight="1" s="22">
      <c r="A2" s="34" t="inlineStr">
        <is>
          <t>Nothing here changes a story status. It exists so that when a blocker is actioned, the work behind it is hours rather than days.</t>
        </is>
      </c>
    </row>
    <row r="4" ht="15" customHeight="1" s="22">
      <c r="A4" s="25" t="inlineStr">
        <is>
          <t>Blocker</t>
        </is>
      </c>
      <c r="B4" s="25" t="inlineStr">
        <is>
          <t>Owner</t>
        </is>
      </c>
      <c r="C4" s="25" t="inlineStr">
        <is>
          <t>What is already prepared</t>
        </is>
      </c>
      <c r="D4" s="25" t="inlineStr">
        <is>
          <t>Artefact</t>
        </is>
      </c>
      <c r="E4" s="25" t="inlineStr">
        <is>
          <t>What it unblocks</t>
        </is>
      </c>
    </row>
    <row r="5" ht="45.75" customHeight="1" s="22">
      <c r="A5" s="26" t="inlineStr">
        <is>
          <t>LC-1 — GCP project + OAuth consent screen</t>
        </is>
      </c>
      <c r="B5" s="26" t="inlineStr">
        <is>
          <t>Senthil</t>
        </is>
      </c>
      <c r="C5" s="26" t="inlineStr">
        <is>
          <t>Ordered procedure: project creation, the five APIs to enable, consent-screen fields, the exact four scopes, OAuth client with byte-exact redirect URI, brand verification, Marketplace SDK. Prerequisites table included. NOTE: privacy policy and status page must be HOSTED FIRST.</t>
        </is>
      </c>
      <c r="D5" s="26" t="inlineStr">
        <is>
          <t>GCP_SETUP_GUIDE.md</t>
        </is>
      </c>
      <c r="E5" s="26" t="inlineStr">
        <is>
          <t>Deployment, listing assets, live load test, CASA target, pen-test target</t>
        </is>
      </c>
    </row>
    <row r="6" ht="23.25" customHeight="1" s="22">
      <c r="A6" s="26" t="inlineStr">
        <is>
          <t>Deployment configuration</t>
        </is>
      </c>
      <c r="B6" s="26" t="inlineStr">
        <is>
          <t>Senthil + Claude</t>
        </is>
      </c>
      <c r="C6" s="26" t="inlineStr">
        <is>
          <t>All 16 env values specified with sources; validator and fail-closed readiness gate; .env.example generated from the spec.</t>
        </is>
      </c>
      <c r="D6" s="26" t="inlineStr">
        <is>
          <t>src/deployment.ts, .env.example</t>
        </is>
      </c>
      <c r="E6" s="26" t="inlineStr">
        <is>
          <t>Staging and production deploys on day one of LC-1</t>
        </is>
      </c>
    </row>
    <row r="7" ht="23.25" customHeight="1" s="22">
      <c r="A7" s="26" t="inlineStr">
        <is>
          <t>ST-068 — third-party penetration test</t>
        </is>
      </c>
      <c r="B7" s="26" t="inlineStr">
        <is>
          <t>Third party</t>
        </is>
      </c>
      <c r="C7" s="26" t="inlineStr">
        <is>
          <t>Scoping brief written from the shipped code: in scope by area with file references, out of scope, four design decisions to probe, evidence required back, constraints.</t>
        </is>
      </c>
      <c r="D7" s="26" t="inlineStr">
        <is>
          <t>PENTEST_SCOPING_BRIEF.md</t>
        </is>
      </c>
      <c r="E7" s="26" t="inlineStr">
        <is>
          <t>ST-068 closure; marketplace submission; CASA evidence</t>
        </is>
      </c>
    </row>
    <row r="8" ht="23.25" customHeight="1" s="22">
      <c r="A8" s="26" t="inlineStr">
        <is>
          <t>LC-3 — CASA Tier 2</t>
        </is>
      </c>
      <c r="B8" s="26" t="inlineStr">
        <is>
          <t>Third party</t>
        </is>
      </c>
      <c r="C8" s="26" t="inlineStr">
        <is>
          <t>Questionnaire pre-filled from evidence across scopes, data handling, and security controls; three controls honestly marked NOT YET.</t>
        </is>
      </c>
      <c r="D8" s="26" t="inlineStr">
        <is>
          <t>CASA_PREFILL.md</t>
        </is>
      </c>
      <c r="E8" s="26" t="inlineStr">
        <is>
          <t>Listing approval</t>
        </is>
      </c>
    </row>
    <row r="9" ht="23.25" customHeight="1" s="22">
      <c r="A9" s="26" t="inlineStr">
        <is>
          <t>LC-6 — privacy/trust page hosting</t>
        </is>
      </c>
      <c r="B9" s="26" t="inlineStr">
        <is>
          <t>Senthil</t>
        </is>
      </c>
      <c r="C9" s="26" t="inlineStr">
        <is>
          <t>Content written and generated from the code that enforces it, with validators that fail on drift.</t>
        </is>
      </c>
      <c r="D9" s="26" t="inlineStr">
        <is>
          <t>DATA_FLOW_AND_RETENTION.md, trust page generator</t>
        </is>
      </c>
      <c r="E9" s="26" t="inlineStr">
        <is>
          <t>Consent screen authorised domains, then LC-1</t>
        </is>
      </c>
    </row>
    <row r="10" ht="23.25" customHeight="1" s="22">
      <c r="A10" s="26" t="inlineStr">
        <is>
          <t>LC-17 — status page hosting</t>
        </is>
      </c>
      <c r="B10" s="26" t="inlineStr">
        <is>
          <t>Senthil</t>
        </is>
      </c>
      <c r="C10" s="26" t="inlineStr">
        <is>
          <t>Status model, incident templates for all four stages, overdue-update chasing, comms tree with owners and deadlines.</t>
        </is>
      </c>
      <c r="D10" s="26" t="inlineStr">
        <is>
          <t>LAUNCH_RUNBOOK.md, src/launchSurfaces.ts</t>
        </is>
      </c>
      <c r="E10" s="26" t="inlineStr">
        <is>
          <t>Consent screen domains; incident comms on launch day</t>
        </is>
      </c>
    </row>
    <row r="11" ht="23.25" customHeight="1" s="22">
      <c r="A11" s="26" t="inlineStr">
        <is>
          <t>Listing assets</t>
        </is>
      </c>
      <c r="B11" s="26" t="inlineStr">
        <is>
          <t>Senthil + Claude</t>
        </is>
      </c>
      <c r="C11" s="26" t="inlineStr">
        <is>
          <t>Five-screenshot plan with the narrative each must show, asset spec validator, two reviewed copy variants.</t>
        </is>
      </c>
      <c r="D11" s="26" t="inlineStr">
        <is>
          <t>LISTING_PACK.md</t>
        </is>
      </c>
      <c r="E11" s="26" t="inlineStr">
        <is>
          <t>Submission (CL-11, CL-12)</t>
        </is>
      </c>
    </row>
    <row r="12" ht="23.25" customHeight="1" s="22">
      <c r="A12" s="26" t="inlineStr">
        <is>
          <t>Support staffing decision</t>
        </is>
      </c>
      <c r="B12" s="26" t="inlineStr">
        <is>
          <t>Senthil</t>
        </is>
      </c>
      <c r="C12" s="26" t="inlineStr">
        <is>
          <t>Three options framed: staff the stated hours, widen the SLA to what a solo founder can honour, or publish expectations without an SLA.</t>
        </is>
      </c>
      <c r="D12" s="26" t="inlineStr">
        <is>
          <t>RAID R-D13</t>
        </is>
      </c>
      <c r="E12" s="26" t="inlineStr">
        <is>
          <t>Publishing the SLA honestly</t>
        </is>
      </c>
    </row>
    <row r="13" ht="34.5" customHeight="1" s="22">
      <c r="A13" s="33" t="inlineStr">
        <is>
          <t>LC-9 — template gallery (CLOSED)</t>
        </is>
      </c>
      <c r="B13" s="26" t="inlineStr">
        <is>
          <t>Claude</t>
        </is>
      </c>
      <c r="C13" s="26" t="inlineStr">
        <is>
          <t>20 templates built, validated, and proven to render; 61 search terms targeted. No external dependency — this is the one launch item that could be finished outright, and it is.</t>
        </is>
      </c>
      <c r="D13" s="26" t="inlineStr">
        <is>
          <t>TEMPLATE_GALLERY.md, src/templateGallery.ts</t>
        </is>
      </c>
      <c r="E13" s="26" t="inlineStr">
        <is>
          <t>Listing SEO surface; onboarding first-template step</t>
        </is>
      </c>
    </row>
    <row r="14" ht="34.5" customHeight="1" s="22">
      <c r="A14" s="26" t="inlineStr">
        <is>
          <t>S12 growth model — frame ready</t>
        </is>
      </c>
      <c r="B14" s="26" t="inlineStr">
        <is>
          <t>Claude + Senthil</t>
        </is>
      </c>
      <c r="C14" s="26" t="inlineStr">
        <is>
          <t>Unit economics, three scenarios, sensitivity ranking (churn is the top lever, ahead of conversion), and a measurement plan attaching each assumption to instrumentation that already exists.</t>
        </is>
      </c>
      <c r="D14" s="26" t="inlineStr">
        <is>
          <t>GROWTH_MODEL.md, src/growthModel.ts</t>
        </is>
      </c>
      <c r="E14" s="26" t="inlineStr">
        <is>
          <t>S12 exit once first-cohort data replaces the assumptions</t>
        </is>
      </c>
    </row>
    <row r="15" ht="23.25" customHeight="1" s="22">
      <c r="A15" s="26" t="inlineStr">
        <is>
          <t>ST-068 — vendor outreach (READY TO SEND)</t>
        </is>
      </c>
      <c r="B15" s="26" t="inlineStr">
        <is>
          <t>Senthil</t>
        </is>
      </c>
      <c r="C15" s="26" t="inlineStr">
        <is>
          <t>Send-ready email quoting from the attached brief, vendor shortlist criteria, and a quote-comparison rubric. Lead time, not price, is the binding constraint.</t>
        </is>
      </c>
      <c r="D15" s="26" t="inlineStr">
        <is>
          <t>PENTEST_OUTREACH.md + PENTEST_SCOPING_BRIEF.md</t>
        </is>
      </c>
      <c r="E15" s="26" t="inlineStr">
        <is>
          <t>Pen-test booking; book CASA the same week so the waits overlap</t>
        </is>
      </c>
    </row>
    <row r="16" ht="42.75" customHeight="1" s="22">
      <c r="A16" s="29" t="inlineStr">
        <is>
          <t>LC-6 / LC-17 — privacy and status page hosting (NOW AN UPLOAD)</t>
        </is>
      </c>
      <c r="B16" s="28" t="inlineStr">
        <is>
          <t>Senthil</t>
        </is>
      </c>
      <c r="C16" s="28" t="inlineStr">
        <is>
          <t>The pages themselves are generated and on disk: five static HTML files plus a favicon, no runtime, no build output, no secrets. Privacy is generated from the code that enforces it. Terms of service now exists at all. Six config values and a domain are the whole remaining input.</t>
        </is>
      </c>
      <c r="D16" s="28" t="inlineStr">
        <is>
          <t>src/site.ts, site/, site.config.json, HOSTING.md</t>
        </is>
      </c>
      <c r="E16" s="28" t="inlineStr">
        <is>
          <t>Google domain verification -&gt; authorised domains -&gt; the OAuth consent screen (LC-1) -&gt; seven of the eight remaining launch items</t>
        </is>
      </c>
    </row>
    <row r="17" ht="42.75" customHeight="1" s="22">
      <c r="A17" s="29" t="inlineStr">
        <is>
          <t>Listing assets — icons and card banner (CLOSED)</t>
        </is>
      </c>
      <c r="B17" s="28" t="inlineStr">
        <is>
          <t>Claude</t>
        </is>
      </c>
      <c r="C17" s="28" t="inlineStr">
        <is>
          <t>All four required icon sizes and the 220x140 card banner generated as real PNGs and validated against the corrected asset spec by the product's own validateAssets. This is the second launch item that could be finished outright without infrastructure, after the template gallery.</t>
        </is>
      </c>
      <c r="D17" s="28" t="inlineStr">
        <is>
          <t>listing-assets/, scripts/make-listing-assets.js, tests/site.test.ts</t>
        </is>
      </c>
      <c r="E17" s="28" t="inlineStr">
        <is>
          <t>Part of CL-11/CL-12. Screenshots still need a running application.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L1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6" customWidth="1" style="21" min="2" max="2"/>
    <col width="24" customWidth="1" style="21" min="3" max="3"/>
    <col width="60" customWidth="1" style="21" min="4" max="4"/>
    <col width="7" customWidth="1" style="21" min="5" max="5"/>
    <col width="8" customWidth="1" style="21" min="6" max="7"/>
    <col width="20" customWidth="1" style="21" min="8" max="8"/>
    <col width="24" customWidth="1" style="21" min="9" max="9"/>
    <col width="13" customWidth="1" style="21" min="10" max="10"/>
    <col width="80" customWidth="1" style="21" min="11" max="11"/>
    <col width="88" customWidth="1" style="22" min="12" max="12"/>
  </cols>
  <sheetData>
    <row r="1" ht="17.25" customHeight="1" s="22">
      <c r="A1" s="23" t="inlineStr">
        <is>
          <t>TRACEABILITY MATRIX — 100 stories: module -&gt; epic -&gt; story -&gt; screen -&gt; verification -&gt; status (edit yellow)</t>
        </is>
      </c>
    </row>
    <row r="2" ht="355.5" customHeight="1" s="22">
      <c r="A2" s="24" t="inlineStr">
        <is>
          <t>Source: product workbook v012 Full_Backlog (single source of truth). Done-in-code rows carry code/test evidence per D13 and name the product-workbook version + time that shipped them (DM-D3 mapping). Status: Backlog / In progress / Done-in-code / Done. Evidence col is yellow (editable).</t>
        </is>
      </c>
    </row>
    <row r="3" ht="15" customHeight="1" s="22">
      <c r="A3" s="25" t="inlineStr">
        <is>
          <t>Story ID</t>
        </is>
      </c>
      <c r="B3" s="25" t="inlineStr">
        <is>
          <t>Epic</t>
        </is>
      </c>
      <c r="C3" s="25" t="inlineStr">
        <is>
          <t>Module / feature</t>
        </is>
      </c>
      <c r="D3" s="25" t="inlineStr">
        <is>
          <t>Story</t>
        </is>
      </c>
      <c r="E3" s="25" t="inlineStr">
        <is>
          <t>Points</t>
        </is>
      </c>
      <c r="F3" s="25" t="inlineStr">
        <is>
          <t>Priority</t>
        </is>
      </c>
      <c r="G3" s="25" t="inlineStr">
        <is>
          <t>Sprint</t>
        </is>
      </c>
      <c r="H3" s="25" t="inlineStr">
        <is>
          <t>Primary screen</t>
        </is>
      </c>
      <c r="I3" s="25" t="inlineStr">
        <is>
          <t>Verification</t>
        </is>
      </c>
      <c r="J3" s="25" t="inlineStr">
        <is>
          <t>Status</t>
        </is>
      </c>
      <c r="K3" s="25" t="inlineStr">
        <is>
          <t>Evidence</t>
        </is>
      </c>
      <c r="L3" s="44" t="inlineStr">
        <is>
          <t>P-DM-001 correction (20 Sep 2026)</t>
        </is>
      </c>
    </row>
    <row r="4" ht="34.5" customHeight="1" s="22">
      <c r="A4" s="26" t="inlineStr">
        <is>
          <t>ST-001</t>
        </is>
      </c>
      <c r="B4" s="26" t="inlineStr">
        <is>
          <t>F1</t>
        </is>
      </c>
      <c r="C4" s="26" t="inlineStr">
        <is>
          <t>Template designer</t>
        </is>
      </c>
      <c r="D4" s="26" t="inlineStr">
        <is>
          <t>As a Office manager, I can set up Template designer with sensible defaults in one screen</t>
        </is>
      </c>
      <c r="E4" s="26" t="n">
        <v>5</v>
      </c>
      <c r="F4" s="26" t="inlineStr">
        <is>
          <t>P0</t>
        </is>
      </c>
      <c r="G4" s="26" t="inlineStr">
        <is>
          <t>S2</t>
        </is>
      </c>
      <c r="H4" s="26" t="inlineStr">
        <is>
          <t>SCR-3 Template designer</t>
        </is>
      </c>
      <c r="I4" s="26" t="inlineStr">
        <is>
          <t>E2E test + demo</t>
        </is>
      </c>
      <c r="J4" s="33" t="inlineStr">
        <is>
          <t>Done-in-code</t>
        </is>
      </c>
      <c r="K4" s="35" t="inlineStr">
        <is>
          <t>v009 22:23 — docmerge-pro-s1/src/templates.ts (TemplateDesigner.createWithDefaults — pdf output, filename pattern, destination folder defaulted; name+body only) | tests/templates.test.ts (defaults object pinned; member denial; default id/clock) | 100% stmt/branch/func/line</t>
        </is>
      </c>
      <c r="L4" s="50" t="inlineStr">
        <is>
          <t>WAS WRONG UNTIL 20 Sep: this story read 'Done-in-code' while the render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S14 and unit-proved against recorded Google contracts (exact URLs, headers and bodies asserted). STILL OWED: verification against live Google — no request has left the machine (LC-1).</t>
        </is>
      </c>
    </row>
    <row r="5" ht="45.75" customHeight="1" s="22">
      <c r="A5" s="26" t="inlineStr">
        <is>
          <t>ST-002</t>
        </is>
      </c>
      <c r="B5" s="26" t="inlineStr">
        <is>
          <t>F1</t>
        </is>
      </c>
      <c r="C5" s="26" t="inlineStr">
        <is>
          <t>Template designer</t>
        </is>
      </c>
      <c r="D5" s="26" t="inlineStr">
        <is>
          <t>As a Office manager, the Template designer happy path completes without documentation</t>
        </is>
      </c>
      <c r="E5" s="26" t="n">
        <v>8</v>
      </c>
      <c r="F5" s="26" t="inlineStr">
        <is>
          <t>P0</t>
        </is>
      </c>
      <c r="G5" s="26" t="inlineStr">
        <is>
          <t>S2</t>
        </is>
      </c>
      <c r="H5" s="26" t="inlineStr">
        <is>
          <t>SCR-3 Template designer</t>
        </is>
      </c>
      <c r="I5" s="26" t="inlineStr">
        <is>
          <t>E2E test + demo</t>
        </is>
      </c>
      <c r="J5" s="33" t="inlineStr">
        <is>
          <t>Done-in-code</t>
        </is>
      </c>
      <c r="K5" s="35" t="inlineStr">
        <is>
          <t>v009 22:23 — src/templates.ts (renderPreview: extractPlaceholders/extractSections, section rules applied, full substitution; TemplateValidationError with per-field Sheet-column hints) | tests/templates.test.ts (end-to-end render, section include/exclude, all operators true+false, empty-value falsity, evaluateRule undefined guards, missing-field messages) | 100% stmt/branch/func/line</t>
        </is>
      </c>
      <c r="L5" s="50" t="inlineStr">
        <is>
          <t>WAS WRONG UNTIL 20 Sep: this story read 'Done-in-code' while the render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S14 and unit-proved against recorded Google contracts (exact URLs, headers and bodies asserted). STILL OWED: verification against live Google — no request has left the machine (LC-1).</t>
        </is>
      </c>
    </row>
    <row r="6" ht="45.75" customHeight="1" s="22">
      <c r="A6" s="26" t="inlineStr">
        <is>
          <t>ST-003</t>
        </is>
      </c>
      <c r="B6" s="26" t="inlineStr">
        <is>
          <t>F1</t>
        </is>
      </c>
      <c r="C6" s="26" t="inlineStr">
        <is>
          <t>Template designer</t>
        </is>
      </c>
      <c r="D6" s="26" t="inlineStr">
        <is>
          <t>As a Workspace admin, I can customise Template designer rules/conditions for my workflow</t>
        </is>
      </c>
      <c r="E6" s="26" t="n">
        <v>5</v>
      </c>
      <c r="F6" s="26" t="inlineStr">
        <is>
          <t>P1</t>
        </is>
      </c>
      <c r="G6" s="26" t="inlineStr">
        <is>
          <t>S2</t>
        </is>
      </c>
      <c r="H6" s="26" t="inlineStr">
        <is>
          <t>SCR-3 Template designer</t>
        </is>
      </c>
      <c r="I6" s="26" t="inlineStr">
        <is>
          <t>Integration test + manual QA</t>
        </is>
      </c>
      <c r="J6" s="33" t="inlineStr">
        <is>
          <t>Done-in-code</t>
        </is>
      </c>
      <c r="K6" s="35" t="inlineStr">
        <is>
          <t>v009 22:23 — src/templates.ts (setRules: validates rule fields against placeholders, sections against body, comparison values present; multi-problem aggregation) | tests/templates.test.ts (valid persist, unknown field, unknown section, missing value, aggregated problems, missing template, member denial) | 100% stmt/branch/func/line</t>
        </is>
      </c>
    </row>
    <row r="7" ht="45.75" customHeight="1" s="22">
      <c r="A7" s="26" t="inlineStr">
        <is>
          <t>ST-004</t>
        </is>
      </c>
      <c r="B7" s="26" t="inlineStr">
        <is>
          <t>F1</t>
        </is>
      </c>
      <c r="C7" s="26" t="inlineStr">
        <is>
          <t>Template designer</t>
        </is>
      </c>
      <c r="D7" s="26" t="inlineStr">
        <is>
          <t>As a user, Template designer shows clear errors and retry paths on platform API failures</t>
        </is>
      </c>
      <c r="E7" s="26" t="n">
        <v>3</v>
      </c>
      <c r="F7" s="26" t="inlineStr">
        <is>
          <t>P0</t>
        </is>
      </c>
      <c r="G7" s="26" t="inlineStr">
        <is>
          <t>S2</t>
        </is>
      </c>
      <c r="H7" s="26" t="inlineStr">
        <is>
          <t>SCR-3 Template designer</t>
        </is>
      </c>
      <c r="I7" s="26" t="inlineStr">
        <is>
          <t>E2E test + demo</t>
        </is>
      </c>
      <c r="J7" s="33" t="inlineStr">
        <is>
          <t>Done-in-code</t>
        </is>
      </c>
      <c r="K7" s="35" t="inlineStr">
        <is>
          <t>v009 22:23 — src/platformErrors.ts (mapPlatformFailure 429/5xx/403/404/unknown -&gt; typed user messages with retry paths; withRetry exponential backoff, non-retryable passthrough) | tests/platformErrors.test.ts (every failure kind, backoff delays 100/200, exhaustion, non-retry single call, pre-mapped passthrough) | 100% stmt/branch/func/line</t>
        </is>
      </c>
    </row>
    <row r="8" ht="34.5" customHeight="1" s="22">
      <c r="A8" s="26" t="inlineStr">
        <is>
          <t>ST-005</t>
        </is>
      </c>
      <c r="B8" s="26" t="inlineStr">
        <is>
          <t>F1</t>
        </is>
      </c>
      <c r="C8" s="26" t="inlineStr">
        <is>
          <t>Template designer</t>
        </is>
      </c>
      <c r="D8" s="26" t="inlineStr">
        <is>
          <t>As a Ops freelancer, Template designer works on the Workspace add-on sidebar in Sheets/Docs surface end-to-end</t>
        </is>
      </c>
      <c r="E8" s="26" t="n">
        <v>5</v>
      </c>
      <c r="F8" s="26" t="inlineStr">
        <is>
          <t>P0</t>
        </is>
      </c>
      <c r="G8" s="26" t="inlineStr">
        <is>
          <t>S3</t>
        </is>
      </c>
      <c r="H8" s="26" t="inlineStr">
        <is>
          <t>SCR-3 Template designer</t>
        </is>
      </c>
      <c r="I8" s="26" t="inlineStr">
        <is>
          <t>E2E test + demo</t>
        </is>
      </c>
      <c r="J8" s="33" t="inlineStr">
        <is>
          <t>Done-in-code</t>
        </is>
      </c>
      <c r="K8" s="35" t="inlineStr">
        <is>
          <t>v010 22:29 — src/sidebar.ts (SidebarController: injected SidebarHost for Sheets/Docs; open/list, openTemplate, previewFromActiveRow) | tests/sidebar.test.ts (full sheets flow end-to-end, docs fallback, missing template, no-template guard, state copy) | 100% stmt/branch/func/line</t>
        </is>
      </c>
      <c r="L8" s="50" t="inlineStr">
        <is>
          <t>WAS WRONG UNTIL 20 Sep: this story read 'Done-in-code' while the sidebar host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9" ht="34.5" customHeight="1" s="22">
      <c r="A9" s="26" t="inlineStr">
        <is>
          <t>ST-006</t>
        </is>
      </c>
      <c r="B9" s="26" t="inlineStr">
        <is>
          <t>F1</t>
        </is>
      </c>
      <c r="C9" s="26" t="inlineStr">
        <is>
          <t>Template designer</t>
        </is>
      </c>
      <c r="D9" s="26" t="inlineStr">
        <is>
          <t>As a Workspace admin, I can see Template designer performance metrics and trends</t>
        </is>
      </c>
      <c r="E9" s="26" t="n">
        <v>3</v>
      </c>
      <c r="F9" s="26" t="inlineStr">
        <is>
          <t>P1</t>
        </is>
      </c>
      <c r="G9" s="26" t="inlineStr">
        <is>
          <t>S3</t>
        </is>
      </c>
      <c r="H9" s="26" t="inlineStr">
        <is>
          <t>SCR-3 Template designer</t>
        </is>
      </c>
      <c r="I9" s="26" t="inlineStr">
        <is>
          <t>Integration test + manual QA</t>
        </is>
      </c>
      <c r="J9" s="33" t="inlineStr">
        <is>
          <t>Done-in-code</t>
        </is>
      </c>
      <c r="K9" s="35" t="inlineStr">
        <is>
          <t>v010 22:29 — src/designerOps.ts (TemplateMetrics: renders/failures/successRate/p95/trendDelta per period) | tests/designerOps.test.ts (summary values, trend vs previous period, empty neutral summary, default clock) | 100% stmt/branch/func/line</t>
        </is>
      </c>
    </row>
    <row r="10" ht="45.75" customHeight="1" s="22">
      <c r="A10" s="26" t="inlineStr">
        <is>
          <t>ST-007</t>
        </is>
      </c>
      <c r="B10" s="26" t="inlineStr">
        <is>
          <t>F1</t>
        </is>
      </c>
      <c r="C10" s="26" t="inlineStr">
        <is>
          <t>Template designer</t>
        </is>
      </c>
      <c r="D10" s="26" t="inlineStr">
        <is>
          <t>As a user, Template designer respects role permissions and audit logging</t>
        </is>
      </c>
      <c r="E10" s="26" t="n">
        <v>3</v>
      </c>
      <c r="F10" s="26" t="inlineStr">
        <is>
          <t>P1</t>
        </is>
      </c>
      <c r="G10" s="26" t="inlineStr">
        <is>
          <t>S3</t>
        </is>
      </c>
      <c r="H10" s="26" t="inlineStr">
        <is>
          <t>SCR-3 Template designer</t>
        </is>
      </c>
      <c r="I10" s="26" t="inlineStr">
        <is>
          <t>Integration test + manual QA</t>
        </is>
      </c>
      <c r="J10" s="33" t="inlineStr">
        <is>
          <t>Done-in-code</t>
        </is>
      </c>
      <c r="K10" s="35" t="inlineStr">
        <is>
          <t>v010 22:29 — src/designerOps.ts (AuditLog; AuditedTemplateDesigner wrapping create/setRules/render — denied attempts recorded then re-thrown) | tests/designerOps.test.ts (allowed ops logged, denied logged + rethrown, non-permission failures not logged, target filter) | 100% stmt/branch/func/line</t>
        </is>
      </c>
    </row>
    <row r="11" ht="45.75" customHeight="1" s="22">
      <c r="A11" s="26" t="inlineStr">
        <is>
          <t>ST-008</t>
        </is>
      </c>
      <c r="B11" s="26" t="inlineStr">
        <is>
          <t>F1</t>
        </is>
      </c>
      <c r="C11" s="26" t="inlineStr">
        <is>
          <t>Template designer</t>
        </is>
      </c>
      <c r="D11" s="26" t="inlineStr">
        <is>
          <t>As a Office manager, I can pause/disable Template designer without data loss</t>
        </is>
      </c>
      <c r="E11" s="26" t="n">
        <v>2</v>
      </c>
      <c r="F11" s="26" t="inlineStr">
        <is>
          <t>P2</t>
        </is>
      </c>
      <c r="G11" s="26" t="inlineStr">
        <is>
          <t>S3</t>
        </is>
      </c>
      <c r="H11" s="26" t="inlineStr">
        <is>
          <t>SCR-3 Template designer</t>
        </is>
      </c>
      <c r="I11" s="26" t="inlineStr">
        <is>
          <t>Manual QA</t>
        </is>
      </c>
      <c r="J11" s="33" t="inlineStr">
        <is>
          <t>Done-in-code</t>
        </is>
      </c>
      <c r="K11" s="35" t="inlineStr">
        <is>
          <t>v010 22:29 — src/designerOps.ts (PauseManager: flag-only pause/resume; TemplatePausedError with no-data-loss message); render gate used by batch | tests/designerOps.test.ts (pause/resume/isPaused, assertActive both paths); tests/batch.test.ts (paused-template refusal) | 100% stmt/branch/func/line</t>
        </is>
      </c>
    </row>
    <row r="12" ht="45.75" customHeight="1" s="22">
      <c r="A12" s="26" t="inlineStr">
        <is>
          <t>ST-009</t>
        </is>
      </c>
      <c r="B12" s="26" t="inlineStr">
        <is>
          <t>F1</t>
        </is>
      </c>
      <c r="C12" s="26" t="inlineStr">
        <is>
          <t>Template designer</t>
        </is>
      </c>
      <c r="D12" s="26" t="inlineStr">
        <is>
          <t>As a Workspace admin, I can import/migrate existing data into Template designer (CSV + competitor importer)</t>
        </is>
      </c>
      <c r="E12" s="26" t="n">
        <v>5</v>
      </c>
      <c r="F12" s="26" t="inlineStr">
        <is>
          <t>P1</t>
        </is>
      </c>
      <c r="G12" s="26" t="inlineStr">
        <is>
          <t>S3</t>
        </is>
      </c>
      <c r="H12" s="26" t="inlineStr">
        <is>
          <t>SCR-3 Template designer</t>
        </is>
      </c>
      <c r="I12" s="26" t="inlineStr">
        <is>
          <t>Integration test + manual QA</t>
        </is>
      </c>
      <c r="J12" s="33" t="inlineStr">
        <is>
          <t>Done-in-code</t>
        </is>
      </c>
      <c r="K12" s="35" t="inlineStr">
        <is>
          <t>v010 22:29 — src/importerNotifications.ts (parseCsv RFC4180-ish; TemplateImporter.importCsv partial success + row-numbered errors; importCompetitorCsv with &lt;&lt;x&gt;&gt; -&gt; {{x}} conversion) | tests/importerNotifications.test.ts (quoted/escaped/CRLF/empty CSV, header validation, partial import, member denial, competitor conversion end-to-end) | 100% stmt/branch/func/line</t>
        </is>
      </c>
    </row>
    <row r="13" ht="34.5" customHeight="1" s="22">
      <c r="A13" s="26" t="inlineStr">
        <is>
          <t>ST-010</t>
        </is>
      </c>
      <c r="B13" s="26" t="inlineStr">
        <is>
          <t>F1</t>
        </is>
      </c>
      <c r="C13" s="26" t="inlineStr">
        <is>
          <t>Template designer</t>
        </is>
      </c>
      <c r="D13" s="26" t="inlineStr">
        <is>
          <t>As a user, I get notifications (in-app + email) for key Template designer events with per-type mute</t>
        </is>
      </c>
      <c r="E13" s="26" t="n">
        <v>3</v>
      </c>
      <c r="F13" s="26" t="inlineStr">
        <is>
          <t>P2</t>
        </is>
      </c>
      <c r="G13" s="26" t="inlineStr">
        <is>
          <t>S3</t>
        </is>
      </c>
      <c r="H13" s="26" t="inlineStr">
        <is>
          <t>SCR-3 Template designer</t>
        </is>
      </c>
      <c r="I13" s="26" t="inlineStr">
        <is>
          <t>Manual QA</t>
        </is>
      </c>
      <c r="J13" s="33" t="inlineStr">
        <is>
          <t>Done-in-code</t>
        </is>
      </c>
      <c r="K13" s="35" t="inlineStr">
        <is>
          <t>v010 22:29 — src/importerNotifications.ts (NotificationCenter: in_app+email fan-out, per-type per-account mute/unmute) | tests/importerNotifications.test.ts (fan-out envelope, mute isolation by type+account, unmute restore, no-op unmute, mute accumulation) | 100% stmt/branch/func/line</t>
        </is>
      </c>
    </row>
    <row r="14" ht="34.5" customHeight="1" s="22">
      <c r="A14" s="26" t="inlineStr">
        <is>
          <t>ST-011</t>
        </is>
      </c>
      <c r="B14" s="26" t="inlineStr">
        <is>
          <t>F2</t>
        </is>
      </c>
      <c r="C14" s="26" t="inlineStr">
        <is>
          <t>Batch generate from Sheets</t>
        </is>
      </c>
      <c r="D14" s="26" t="inlineStr">
        <is>
          <t>As a Office manager, I can set up Batch generate from Sheets with sensible defaults in one screen</t>
        </is>
      </c>
      <c r="E14" s="26" t="n">
        <v>5</v>
      </c>
      <c r="F14" s="26" t="inlineStr">
        <is>
          <t>P0</t>
        </is>
      </c>
      <c r="G14" s="26" t="inlineStr">
        <is>
          <t>S3</t>
        </is>
      </c>
      <c r="H14" s="26" t="inlineStr">
        <is>
          <t>SCR-4 Batch builder</t>
        </is>
      </c>
      <c r="I14" s="26" t="inlineStr">
        <is>
          <t>E2E test + demo</t>
        </is>
      </c>
      <c r="J14" s="33" t="inlineStr">
        <is>
          <t>Done-in-code</t>
        </is>
      </c>
      <c r="K14" s="35" t="inlineStr">
        <is>
          <t>v010 22:29 — src/batch.ts (BatchGenerator.createJobWithDefaults: skipEmptyRows, continueOnError, output pattern defaulted) | tests/batch.test.ts (defaults object pinned, default id maker) | 100% stmt/branch/func/line</t>
        </is>
      </c>
      <c r="L14" s="50" t="inlineStr">
        <is>
          <t>WAS WRONG UNTIL 20 Sep: this story read 'Done-in-code' while the Sheets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15" ht="34.5" customHeight="1" s="22">
      <c r="A15" s="26" t="inlineStr">
        <is>
          <t>ST-012</t>
        </is>
      </c>
      <c r="B15" s="26" t="inlineStr">
        <is>
          <t>F2</t>
        </is>
      </c>
      <c r="C15" s="26" t="inlineStr">
        <is>
          <t>Batch generate from Sheets</t>
        </is>
      </c>
      <c r="D15" s="26" t="inlineStr">
        <is>
          <t>As a Office manager, the Batch generate from Sheets happy path completes without documentation</t>
        </is>
      </c>
      <c r="E15" s="26" t="n">
        <v>8</v>
      </c>
      <c r="F15" s="26" t="inlineStr">
        <is>
          <t>P0</t>
        </is>
      </c>
      <c r="G15" s="26" t="inlineStr">
        <is>
          <t>S3</t>
        </is>
      </c>
      <c r="H15" s="26" t="inlineStr">
        <is>
          <t>SCR-4 Batch builder</t>
        </is>
      </c>
      <c r="I15" s="26" t="inlineStr">
        <is>
          <t>E2E test + demo</t>
        </is>
      </c>
      <c r="J15" s="33" t="inlineStr">
        <is>
          <t>Done-in-code</t>
        </is>
      </c>
      <c r="K15" s="35" t="inlineStr">
        <is>
          <t>v010 22:29 — src/batch.ts (run: per-row render via designer, RowResult outputs, generated/skipped/failed summary) | tests/batch.test.ts (multi-row happy path, empty-row skip on/off) | 100% stmt/branch/func/line</t>
        </is>
      </c>
      <c r="L15" s="50" t="inlineStr">
        <is>
          <t>WAS WRONG UNTIL 20 Sep: this story read 'Done-in-code' while the Sheets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16" ht="34.5" customHeight="1" s="22">
      <c r="A16" s="26" t="inlineStr">
        <is>
          <t>ST-013</t>
        </is>
      </c>
      <c r="B16" s="26" t="inlineStr">
        <is>
          <t>F2</t>
        </is>
      </c>
      <c r="C16" s="26" t="inlineStr">
        <is>
          <t>Batch generate from Sheets</t>
        </is>
      </c>
      <c r="D16" s="26" t="inlineStr">
        <is>
          <t>As a Workspace admin, I can customise Batch generate from Sheets rules/conditions for my workflow</t>
        </is>
      </c>
      <c r="E16" s="26" t="n">
        <v>5</v>
      </c>
      <c r="F16" s="26" t="inlineStr">
        <is>
          <t>P1</t>
        </is>
      </c>
      <c r="G16" s="26" t="inlineStr">
        <is>
          <t>S3</t>
        </is>
      </c>
      <c r="H16" s="26" t="inlineStr">
        <is>
          <t>SCR-4 Batch builder</t>
        </is>
      </c>
      <c r="I16" s="26" t="inlineStr">
        <is>
          <t>Integration test + manual QA</t>
        </is>
      </c>
      <c r="J16" s="33" t="inlineStr">
        <is>
          <t>Done-in-code</t>
        </is>
      </c>
      <c r="K16" s="35" t="inlineStr">
        <is>
          <t>v010 22:29 — src/batch.ts (withRules; row filters reuse templates.evaluateRule — all rules must pass) | tests/batch.test.ts (mixed pass/fail rows across not_empty + equals rules) | 100% stmt/branch/func/line</t>
        </is>
      </c>
      <c r="L16" s="50" t="inlineStr">
        <is>
          <t>WAS WRONG UNTIL 20 Sep: this story read 'Done-in-code' while the Sheets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17" ht="57" customHeight="1" s="22">
      <c r="A17" s="26" t="inlineStr">
        <is>
          <t>ST-014</t>
        </is>
      </c>
      <c r="B17" s="26" t="inlineStr">
        <is>
          <t>F2</t>
        </is>
      </c>
      <c r="C17" s="26" t="inlineStr">
        <is>
          <t>Batch generate from Sheets</t>
        </is>
      </c>
      <c r="D17" s="26" t="inlineStr">
        <is>
          <t>As a user, Batch generate from Sheets shows clear errors and retry paths on platform API failures</t>
        </is>
      </c>
      <c r="E17" s="26" t="n">
        <v>3</v>
      </c>
      <c r="F17" s="26" t="inlineStr">
        <is>
          <t>P0</t>
        </is>
      </c>
      <c r="G17" s="26" t="inlineStr">
        <is>
          <t>S3</t>
        </is>
      </c>
      <c r="H17" s="26" t="inlineStr">
        <is>
          <t>SCR-4 Batch builder</t>
        </is>
      </c>
      <c r="I17" s="26" t="inlineStr">
        <is>
          <t>E2E test + demo</t>
        </is>
      </c>
      <c r="J17" s="33" t="inlineStr">
        <is>
          <t>Done-in-code</t>
        </is>
      </c>
      <c r="K17" s="35" t="inlineStr">
        <is>
          <t>v010 22:29 — src/batch.ts (per-row withRetry; PlatformApiError userMessage + retryable surfaced; retryableRows; continueOnError break) + src/platformErrors.ts fix (non-platform errors pass through unmapped) | tests/batch.test.ts (transient retry success, exhausted 429 retryable, 403 non-retryable, validation message surfaced, stop-on-error, pre-mapped passthrough); tests/platformErrors.test.ts (pass-through incl. null) | 100% stmt/branch/func/line</t>
        </is>
      </c>
    </row>
    <row r="18" ht="34.5" customHeight="1" s="22">
      <c r="A18" s="26" t="inlineStr">
        <is>
          <t>ST-015</t>
        </is>
      </c>
      <c r="B18" s="26" t="inlineStr">
        <is>
          <t>F2</t>
        </is>
      </c>
      <c r="C18" s="26" t="inlineStr">
        <is>
          <t>Batch generate from Sheets</t>
        </is>
      </c>
      <c r="D18" s="26" t="inlineStr">
        <is>
          <t>As a Ops freelancer, Batch generate from Sheets works on the Workspace add-on sidebar in Sheets/Docs surface end-to-end</t>
        </is>
      </c>
      <c r="E18" s="26" t="n">
        <v>5</v>
      </c>
      <c r="F18" s="26" t="inlineStr">
        <is>
          <t>P0</t>
        </is>
      </c>
      <c r="G18" s="26" t="inlineStr">
        <is>
          <t>S4</t>
        </is>
      </c>
      <c r="H18" s="26" t="inlineStr">
        <is>
          <t>SCR-4 Batch builder</t>
        </is>
      </c>
      <c r="I18" s="26" t="inlineStr">
        <is>
          <t>E2E test + demo</t>
        </is>
      </c>
      <c r="J18" s="33" t="inlineStr">
        <is>
          <t>Done-in-code</t>
        </is>
      </c>
      <c r="K18" s="35" t="inlineStr">
        <is>
          <t>v011 22:52 — src/batchOps.ts (BatchSidebarController: configure -&gt; runFromSheet -&gt; results; host + row source injected) | tests/batchOps.test.ts (full flow end-to-end, unconfigured guard, no-rows guard for undefined+empty, state copy); e2e.smoke.test.ts step 6 | 100% stmt/branch/func/line</t>
        </is>
      </c>
    </row>
    <row r="19" ht="34.5" customHeight="1" s="22">
      <c r="A19" s="26" t="inlineStr">
        <is>
          <t>ST-016</t>
        </is>
      </c>
      <c r="B19" s="26" t="inlineStr">
        <is>
          <t>F2</t>
        </is>
      </c>
      <c r="C19" s="26" t="inlineStr">
        <is>
          <t>Batch generate from Sheets</t>
        </is>
      </c>
      <c r="D19" s="26" t="inlineStr">
        <is>
          <t>As a Workspace admin, I can see Batch generate from Sheets performance metrics and trends</t>
        </is>
      </c>
      <c r="E19" s="26" t="n">
        <v>3</v>
      </c>
      <c r="F19" s="26" t="inlineStr">
        <is>
          <t>P1</t>
        </is>
      </c>
      <c r="G19" s="26" t="inlineStr">
        <is>
          <t>S4</t>
        </is>
      </c>
      <c r="H19" s="26" t="inlineStr">
        <is>
          <t>SCR-4 Batch builder</t>
        </is>
      </c>
      <c r="I19" s="26" t="inlineStr">
        <is>
          <t>Integration test + manual QA</t>
        </is>
      </c>
      <c r="J19" s="33" t="inlineStr">
        <is>
          <t>Done-in-code</t>
        </is>
      </c>
      <c r="K19" s="35" t="inlineStr">
        <is>
          <t>v011 22:52 — src/batchOps.ts (BatchMetrics: runs, rowsGenerated/Failed, failureRate, avgDurationMs, trendDelta per period) | tests/batchOps.test.ts (aggregation, trend vs previous period, neutral empty, default clock) | 100% stmt/branch/func/line</t>
        </is>
      </c>
    </row>
    <row r="20" ht="34.5" customHeight="1" s="22">
      <c r="A20" s="26" t="inlineStr">
        <is>
          <t>ST-017</t>
        </is>
      </c>
      <c r="B20" s="26" t="inlineStr">
        <is>
          <t>F2</t>
        </is>
      </c>
      <c r="C20" s="26" t="inlineStr">
        <is>
          <t>Batch generate from Sheets</t>
        </is>
      </c>
      <c r="D20" s="26" t="inlineStr">
        <is>
          <t>As a user, Batch generate from Sheets respects role permissions and audit logging</t>
        </is>
      </c>
      <c r="E20" s="26" t="n">
        <v>3</v>
      </c>
      <c r="F20" s="26" t="inlineStr">
        <is>
          <t>P1</t>
        </is>
      </c>
      <c r="G20" s="26" t="inlineStr">
        <is>
          <t>S4</t>
        </is>
      </c>
      <c r="H20" s="26" t="inlineStr">
        <is>
          <t>SCR-4 Batch builder</t>
        </is>
      </c>
      <c r="I20" s="26" t="inlineStr">
        <is>
          <t>Integration test + manual QA</t>
        </is>
      </c>
      <c r="J20" s="33" t="inlineStr">
        <is>
          <t>Done-in-code</t>
        </is>
      </c>
      <c r="K20" s="35" t="inlineStr">
        <is>
          <t>v011 22:52 — src/batchOps.ts (GovernedBatchRunner: assertPermission up front; audit allow AND deny; deny rethrown) | tests/batchOps.test.ts (allow audited, spied denial audited + no run, non-permission rethrow unaudited); e2e.smoke.test.ts step 7 | 100% stmt/branch/func/line</t>
        </is>
      </c>
    </row>
    <row r="21" ht="34.5" customHeight="1" s="22">
      <c r="A21" s="26" t="inlineStr">
        <is>
          <t>ST-018</t>
        </is>
      </c>
      <c r="B21" s="26" t="inlineStr">
        <is>
          <t>F2</t>
        </is>
      </c>
      <c r="C21" s="26" t="inlineStr">
        <is>
          <t>Batch generate from Sheets</t>
        </is>
      </c>
      <c r="D21" s="26" t="inlineStr">
        <is>
          <t>As a Office manager, I can pause/disable Batch generate from Sheets without data loss</t>
        </is>
      </c>
      <c r="E21" s="26" t="n">
        <v>2</v>
      </c>
      <c r="F21" s="26" t="inlineStr">
        <is>
          <t>P2</t>
        </is>
      </c>
      <c r="G21" s="26" t="inlineStr">
        <is>
          <t>S4</t>
        </is>
      </c>
      <c r="H21" s="26" t="inlineStr">
        <is>
          <t>SCR-4 Batch builder</t>
        </is>
      </c>
      <c r="I21" s="26" t="inlineStr">
        <is>
          <t>Manual QA</t>
        </is>
      </c>
      <c r="J21" s="33" t="inlineStr">
        <is>
          <t>Done-in-code</t>
        </is>
      </c>
      <c r="K21" s="35" t="inlineStr">
        <is>
          <t>v011 22:52 — src/batchOps.ts (job-level PauseManager reuse: pauseJob/resumeJob/isJobPaused; run gate, flag-only) | tests/batchOps.test.ts (pause refuses with no-data-loss message, resume runs); e2e.smoke.test.ts step 8 | 100% stmt/branch/func/line</t>
        </is>
      </c>
    </row>
    <row r="22" ht="45.75" customHeight="1" s="22">
      <c r="A22" s="26" t="inlineStr">
        <is>
          <t>ST-019</t>
        </is>
      </c>
      <c r="B22" s="26" t="inlineStr">
        <is>
          <t>F2</t>
        </is>
      </c>
      <c r="C22" s="26" t="inlineStr">
        <is>
          <t>Batch generate from Sheets</t>
        </is>
      </c>
      <c r="D22" s="26" t="inlineStr">
        <is>
          <t>As a Workspace admin, I can import/migrate existing data into Batch generate from Sheets (CSV + competitor importer)</t>
        </is>
      </c>
      <c r="E22" s="26" t="n">
        <v>5</v>
      </c>
      <c r="F22" s="26" t="inlineStr">
        <is>
          <t>P1</t>
        </is>
      </c>
      <c r="G22" s="26" t="inlineStr">
        <is>
          <t>S4</t>
        </is>
      </c>
      <c r="H22" s="26" t="inlineStr">
        <is>
          <t>SCR-4 Batch builder</t>
        </is>
      </c>
      <c r="I22" s="26" t="inlineStr">
        <is>
          <t>Integration test + manual QA</t>
        </is>
      </c>
      <c r="J22" s="33" t="inlineStr">
        <is>
          <t>Done-in-code</t>
        </is>
      </c>
      <c r="K22" s="35" t="inlineStr">
        <is>
          <t>v011 22:52 — src/batchOps.ts (importRowsCsv: header validation, per-row cell-count check, partial success; importCompetitorRowsCsv converts &lt;&lt;x&gt;&gt; in values) | tests/batchOps.test.ts (mapping, short-row report, empty CSV + empty header rejection, competitor conversion); e2e.smoke.test.ts step 5 | 100% stmt/branch/func/line</t>
        </is>
      </c>
      <c r="L22" s="50" t="inlineStr">
        <is>
          <t>WAS WRONG UNTIL 20 Sep: this story read 'Done-in-code' while the Sheets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23" ht="34.5" customHeight="1" s="22">
      <c r="A23" s="26" t="inlineStr">
        <is>
          <t>ST-020</t>
        </is>
      </c>
      <c r="B23" s="26" t="inlineStr">
        <is>
          <t>F2</t>
        </is>
      </c>
      <c r="C23" s="26" t="inlineStr">
        <is>
          <t>Batch generate from Sheets</t>
        </is>
      </c>
      <c r="D23" s="26" t="inlineStr">
        <is>
          <t>As a user, I get notifications (in-app + email) for key Batch generate from Sheets events with per-type mute</t>
        </is>
      </c>
      <c r="E23" s="26" t="n">
        <v>3</v>
      </c>
      <c r="F23" s="26" t="inlineStr">
        <is>
          <t>P2</t>
        </is>
      </c>
      <c r="G23" s="26" t="inlineStr">
        <is>
          <t>S4</t>
        </is>
      </c>
      <c r="H23" s="26" t="inlineStr">
        <is>
          <t>SCR-4 Batch builder</t>
        </is>
      </c>
      <c r="I23" s="26" t="inlineStr">
        <is>
          <t>Manual QA</t>
        </is>
      </c>
      <c r="J23" s="33" t="inlineStr">
        <is>
          <t>Done-in-code</t>
        </is>
      </c>
      <c r="K23" s="35" t="inlineStr">
        <is>
          <t>v011 22:52 — src/batchOps.ts (GovernedBatchRunner notify: batch_completed / batch_failed with failed + retryable counts via NotificationCenter mute rules) | tests/batchOps.test.ts (completion fan-out, failure message content, per-type mute suppression) | 100% stmt/branch/func/line</t>
        </is>
      </c>
    </row>
    <row r="24" ht="34.5" customHeight="1" s="22">
      <c r="A24" s="26" t="inlineStr">
        <is>
          <t>ST-021</t>
        </is>
      </c>
      <c r="B24" s="26" t="inlineStr">
        <is>
          <t>F3</t>
        </is>
      </c>
      <c r="C24" s="26" t="inlineStr">
        <is>
          <t>E-sign requests</t>
        </is>
      </c>
      <c r="D24" s="26" t="inlineStr">
        <is>
          <t>As a Office manager, I can set up E-sign requests with sensible defaults in one screen</t>
        </is>
      </c>
      <c r="E24" s="26" t="n">
        <v>5</v>
      </c>
      <c r="F24" s="26" t="inlineStr">
        <is>
          <t>P0</t>
        </is>
      </c>
      <c r="G24" s="26" t="inlineStr">
        <is>
          <t>S5</t>
        </is>
      </c>
      <c r="H24" s="26" t="inlineStr">
        <is>
          <t>SCR-5 E-sign requests</t>
        </is>
      </c>
      <c r="I24" s="26" t="inlineStr">
        <is>
          <t>E2E test + demo</t>
        </is>
      </c>
      <c r="J24" s="33" t="inlineStr">
        <is>
          <t>Done-in-code</t>
        </is>
      </c>
      <c r="K24" s="35" t="inlineStr">
        <is>
          <t>v012 23:03 — src/esign.ts (EsignService.createWithDefaults: sequential + 14-day expiry defaults; signer/email validation) | tests/esign.test.ts (defaults pinned, empty/invalid signer problems, member denial audited) | 100% stmt/branch/func/line</t>
        </is>
      </c>
    </row>
    <row r="25" ht="45.75" customHeight="1" s="22">
      <c r="A25" s="26" t="inlineStr">
        <is>
          <t>ST-022</t>
        </is>
      </c>
      <c r="B25" s="26" t="inlineStr">
        <is>
          <t>F3</t>
        </is>
      </c>
      <c r="C25" s="26" t="inlineStr">
        <is>
          <t>E-sign requests</t>
        </is>
      </c>
      <c r="D25" s="26" t="inlineStr">
        <is>
          <t>As a Office manager, the E-sign requests happy path completes without documentation</t>
        </is>
      </c>
      <c r="E25" s="26" t="n">
        <v>8</v>
      </c>
      <c r="F25" s="26" t="inlineStr">
        <is>
          <t>P0</t>
        </is>
      </c>
      <c r="G25" s="26" t="inlineStr">
        <is>
          <t>S5</t>
        </is>
      </c>
      <c r="H25" s="26" t="inlineStr">
        <is>
          <t>SCR-5 E-sign requests</t>
        </is>
      </c>
      <c r="I25" s="26" t="inlineStr">
        <is>
          <t>E2E test + demo</t>
        </is>
      </c>
      <c r="J25" s="33" t="inlineStr">
        <is>
          <t>Done-in-code</t>
        </is>
      </c>
      <c r="K25" s="35" t="inlineStr">
        <is>
          <t>v012 23:03 — src/esign.ts (send/sign/decline/expireIfDue state machine; sequential order enforcement; completion detection; next-signer delivery) | tests/esign.test.ts (sequential + parallel happy paths, turn enforcement message, double-send/sign guards, decline with reason, expiry) | 100% stmt/branch/func/line</t>
        </is>
      </c>
    </row>
    <row r="26" ht="34.5" customHeight="1" s="22">
      <c r="A26" s="26" t="inlineStr">
        <is>
          <t>ST-023</t>
        </is>
      </c>
      <c r="B26" s="26" t="inlineStr">
        <is>
          <t>F3</t>
        </is>
      </c>
      <c r="C26" s="26" t="inlineStr">
        <is>
          <t>E-sign requests</t>
        </is>
      </c>
      <c r="D26" s="26" t="inlineStr">
        <is>
          <t>As a Workspace admin, I can customise E-sign requests rules/conditions for my workflow</t>
        </is>
      </c>
      <c r="E26" s="26" t="n">
        <v>5</v>
      </c>
      <c r="F26" s="26" t="inlineStr">
        <is>
          <t>P1</t>
        </is>
      </c>
      <c r="G26" s="26" t="inlineStr">
        <is>
          <t>S5</t>
        </is>
      </c>
      <c r="H26" s="26" t="inlineStr">
        <is>
          <t>SCR-5 E-sign requests</t>
        </is>
      </c>
      <c r="I26" s="26" t="inlineStr">
        <is>
          <t>Integration test + manual QA</t>
        </is>
      </c>
      <c r="J26" s="33" t="inlineStr">
        <is>
          <t>Done-in-code</t>
        </is>
      </c>
      <c r="K26" s="35" t="inlineStr">
        <is>
          <t>v012 23:03 — src/esign.ts (setRules: draft-only, expiry 1-90 validation, allowedDomains checked against signers, multi-problem aggregation) | tests/esign.test.ts (valid update, bad expiry, out-of-domain problems x2, post-send refusal, missing request) | 100% stmt/branch/func/line</t>
        </is>
      </c>
    </row>
    <row r="27" ht="34.5" customHeight="1" s="22">
      <c r="A27" s="26" t="inlineStr">
        <is>
          <t>ST-024</t>
        </is>
      </c>
      <c r="B27" s="26" t="inlineStr">
        <is>
          <t>F3</t>
        </is>
      </c>
      <c r="C27" s="26" t="inlineStr">
        <is>
          <t>E-sign requests</t>
        </is>
      </c>
      <c r="D27" s="26" t="inlineStr">
        <is>
          <t>As a user, E-sign requests shows clear errors and retry paths on platform API failures</t>
        </is>
      </c>
      <c r="E27" s="26" t="n">
        <v>3</v>
      </c>
      <c r="F27" s="26" t="inlineStr">
        <is>
          <t>P0</t>
        </is>
      </c>
      <c r="G27" s="26" t="inlineStr">
        <is>
          <t>S5</t>
        </is>
      </c>
      <c r="H27" s="26" t="inlineStr">
        <is>
          <t>SCR-5 E-sign requests</t>
        </is>
      </c>
      <c r="I27" s="26" t="inlineStr">
        <is>
          <t>E2E test + demo</t>
        </is>
      </c>
      <c r="J27" s="33" t="inlineStr">
        <is>
          <t>Done-in-code</t>
        </is>
      </c>
      <c r="K27" s="35" t="inlineStr">
        <is>
          <t>v012 23:03 — src/esign.ts (delivery via withRetry; mapped PlatformApiError surfaced; draft state preserved on exhausted failure) | tests/esign.test.ts (transient retry success, 429 exhaustion -&gt; rate_limited + status stays draft) | 100% stmt/branch/func/line</t>
        </is>
      </c>
    </row>
    <row r="28" ht="34.5" customHeight="1" s="22">
      <c r="A28" s="26" t="inlineStr">
        <is>
          <t>ST-025</t>
        </is>
      </c>
      <c r="B28" s="26" t="inlineStr">
        <is>
          <t>F3</t>
        </is>
      </c>
      <c r="C28" s="26" t="inlineStr">
        <is>
          <t>E-sign requests</t>
        </is>
      </c>
      <c r="D28" s="26" t="inlineStr">
        <is>
          <t>As a Ops freelancer, E-sign requests works on the Workspace add-on sidebar in Sheets/Docs surface end-to-end</t>
        </is>
      </c>
      <c r="E28" s="26" t="n">
        <v>5</v>
      </c>
      <c r="F28" s="26" t="inlineStr">
        <is>
          <t>P0</t>
        </is>
      </c>
      <c r="G28" s="26" t="inlineStr">
        <is>
          <t>S5</t>
        </is>
      </c>
      <c r="H28" s="26" t="inlineStr">
        <is>
          <t>SCR-5 E-sign requests</t>
        </is>
      </c>
      <c r="I28" s="26" t="inlineStr">
        <is>
          <t>E2E test + demo</t>
        </is>
      </c>
      <c r="J28" s="33" t="inlineStr">
        <is>
          <t>Done-in-code</t>
        </is>
      </c>
      <c r="K28" s="35" t="inlineStr">
        <is>
          <t>v012 23:03 — src/esignOps.ts (EsignSidebarController: create -&gt; send -&gt; track/refresh with transition detection) | tests/esignOps.test.ts (end-to-end to completion, decline once, expiry on refresh, guards, state copy) | 100% stmt/branch/func/line</t>
        </is>
      </c>
    </row>
    <row r="29" ht="34.5" customHeight="1" s="22">
      <c r="A29" s="26" t="inlineStr">
        <is>
          <t>ST-026</t>
        </is>
      </c>
      <c r="B29" s="26" t="inlineStr">
        <is>
          <t>F3</t>
        </is>
      </c>
      <c r="C29" s="26" t="inlineStr">
        <is>
          <t>E-sign requests</t>
        </is>
      </c>
      <c r="D29" s="26" t="inlineStr">
        <is>
          <t>As a Workspace admin, I can see E-sign requests performance metrics and trends</t>
        </is>
      </c>
      <c r="E29" s="26" t="n">
        <v>3</v>
      </c>
      <c r="F29" s="26" t="inlineStr">
        <is>
          <t>P1</t>
        </is>
      </c>
      <c r="G29" s="26" t="inlineStr">
        <is>
          <t>S5</t>
        </is>
      </c>
      <c r="H29" s="26" t="inlineStr">
        <is>
          <t>SCR-5 E-sign requests</t>
        </is>
      </c>
      <c r="I29" s="26" t="inlineStr">
        <is>
          <t>Integration test + manual QA</t>
        </is>
      </c>
      <c r="J29" s="33" t="inlineStr">
        <is>
          <t>Done-in-code</t>
        </is>
      </c>
      <c r="K29" s="35" t="inlineStr">
        <is>
          <t>v012 23:03 — src/esign.ts (EsignMetrics: sent/completed/declined, completionRate, avgTurnaroundMs, trendDelta) | tests/esign.test.ts (summary values, trend, neutral empty, default clock) | 100% stmt/branch/func/line</t>
        </is>
      </c>
    </row>
    <row r="30" ht="34.5" customHeight="1" s="22">
      <c r="A30" s="26" t="inlineStr">
        <is>
          <t>ST-027</t>
        </is>
      </c>
      <c r="B30" s="26" t="inlineStr">
        <is>
          <t>F3</t>
        </is>
      </c>
      <c r="C30" s="26" t="inlineStr">
        <is>
          <t>E-sign requests</t>
        </is>
      </c>
      <c r="D30" s="26" t="inlineStr">
        <is>
          <t>As a user, E-sign requests respects role permissions and audit logging</t>
        </is>
      </c>
      <c r="E30" s="26" t="n">
        <v>3</v>
      </c>
      <c r="F30" s="26" t="inlineStr">
        <is>
          <t>P1</t>
        </is>
      </c>
      <c r="G30" s="26" t="inlineStr">
        <is>
          <t>S5</t>
        </is>
      </c>
      <c r="H30" s="26" t="inlineStr">
        <is>
          <t>SCR-5 E-sign requests</t>
        </is>
      </c>
      <c r="I30" s="26" t="inlineStr">
        <is>
          <t>Integration test + manual QA</t>
        </is>
      </c>
      <c r="J30" s="33" t="inlineStr">
        <is>
          <t>Done-in-code</t>
        </is>
      </c>
      <c r="K30" s="35" t="inlineStr">
        <is>
          <t>v012 23:03 — src/esign.ts (audited/auditedAsync wrappers on create/setRules/send: allow + deny recorded, deny rethrown) | tests/esign.test.ts (member denial audited, spied send denial audited + no delivery, bogus-role rethrow unaudited, allow entries) | 100% stmt/branch/func/line</t>
        </is>
      </c>
    </row>
    <row r="31" ht="34.5" customHeight="1" s="22">
      <c r="A31" s="26" t="inlineStr">
        <is>
          <t>ST-028</t>
        </is>
      </c>
      <c r="B31" s="26" t="inlineStr">
        <is>
          <t>F3</t>
        </is>
      </c>
      <c r="C31" s="26" t="inlineStr">
        <is>
          <t>E-sign requests</t>
        </is>
      </c>
      <c r="D31" s="26" t="inlineStr">
        <is>
          <t>As a Office manager, I can pause/disable E-sign requests without data loss</t>
        </is>
      </c>
      <c r="E31" s="26" t="n">
        <v>2</v>
      </c>
      <c r="F31" s="26" t="inlineStr">
        <is>
          <t>P2</t>
        </is>
      </c>
      <c r="G31" s="26" t="inlineStr">
        <is>
          <t>S5</t>
        </is>
      </c>
      <c r="H31" s="26" t="inlineStr">
        <is>
          <t>SCR-5 E-sign requests</t>
        </is>
      </c>
      <c r="I31" s="26" t="inlineStr">
        <is>
          <t>Manual QA</t>
        </is>
      </c>
      <c r="J31" s="33" t="inlineStr">
        <is>
          <t>Done-in-code</t>
        </is>
      </c>
      <c r="K31" s="35" t="inlineStr">
        <is>
          <t>v012 23:03 — src/esign.ts (pause/resume via PauseManager on send/sign/decline; signatures collected so far untouched) | tests/esign.test.ts (paused send/sign/decline refused with no-data-loss message, resume continues with signatures intact) | 100% stmt/branch/func/line</t>
        </is>
      </c>
    </row>
    <row r="32" ht="45.75" customHeight="1" s="22">
      <c r="A32" s="26" t="inlineStr">
        <is>
          <t>ST-029</t>
        </is>
      </c>
      <c r="B32" s="26" t="inlineStr">
        <is>
          <t>F3</t>
        </is>
      </c>
      <c r="C32" s="26" t="inlineStr">
        <is>
          <t>E-sign requests</t>
        </is>
      </c>
      <c r="D32" s="26" t="inlineStr">
        <is>
          <t>As a Workspace admin, I can import/migrate existing data into E-sign requests (CSV + competitor importer)</t>
        </is>
      </c>
      <c r="E32" s="26" t="n">
        <v>5</v>
      </c>
      <c r="F32" s="26" t="inlineStr">
        <is>
          <t>P1</t>
        </is>
      </c>
      <c r="G32" s="26" t="inlineStr">
        <is>
          <t>S5</t>
        </is>
      </c>
      <c r="H32" s="26" t="inlineStr">
        <is>
          <t>SCR-5 E-sign requests</t>
        </is>
      </c>
      <c r="I32" s="26" t="inlineStr">
        <is>
          <t>Integration test + manual QA</t>
        </is>
      </c>
      <c r="J32" s="33" t="inlineStr">
        <is>
          <t>Done-in-code</t>
        </is>
      </c>
      <c r="K32" s="35" t="inlineStr">
        <is>
          <t>v012 23:03 — src/esign.ts (importSignersCsv: name+email header validation, per-row email validation, partial success; competitor variant cleans &lt;&lt;legacy&gt;&gt; names) | tests/esign.test.ts (valid+invalid rows by number, empty/missing-header rejection, competitor conversion) | 100% stmt/branch/func/line</t>
        </is>
      </c>
    </row>
    <row r="33" ht="34.5" customHeight="1" s="22">
      <c r="A33" s="26" t="inlineStr">
        <is>
          <t>ST-030</t>
        </is>
      </c>
      <c r="B33" s="26" t="inlineStr">
        <is>
          <t>F3</t>
        </is>
      </c>
      <c r="C33" s="26" t="inlineStr">
        <is>
          <t>E-sign requests</t>
        </is>
      </c>
      <c r="D33" s="26" t="inlineStr">
        <is>
          <t>As a user, I get notifications (in-app + email) for key E-sign requests events with per-type mute</t>
        </is>
      </c>
      <c r="E33" s="26" t="n">
        <v>3</v>
      </c>
      <c r="F33" s="26" t="inlineStr">
        <is>
          <t>P2</t>
        </is>
      </c>
      <c r="G33" s="26" t="inlineStr">
        <is>
          <t>S5</t>
        </is>
      </c>
      <c r="H33" s="26" t="inlineStr">
        <is>
          <t>SCR-5 E-sign requests</t>
        </is>
      </c>
      <c r="I33" s="26" t="inlineStr">
        <is>
          <t>Manual QA</t>
        </is>
      </c>
      <c r="J33" s="33" t="inlineStr">
        <is>
          <t>Done-in-code</t>
        </is>
      </c>
      <c r="K33" s="35" t="inlineStr">
        <is>
          <t>v012 23:03 — src/esignOps.ts (EsignNotifier: esign_sent/completed/declined with reason handling) + NotificationType extended | tests/esignOps.test.ts (sent/completed/declined messages, no-reason variant, per-type mute, single-fire on transition) | 100% stmt/branch/func/line</t>
        </is>
      </c>
    </row>
    <row r="34" ht="23.25" customHeight="1" s="22">
      <c r="A34" s="26" t="inlineStr">
        <is>
          <t>ST-031</t>
        </is>
      </c>
      <c r="B34" s="26" t="inlineStr">
        <is>
          <t>F4</t>
        </is>
      </c>
      <c r="C34" s="26" t="inlineStr">
        <is>
          <t>Auto-file to Drive</t>
        </is>
      </c>
      <c r="D34" s="26" t="inlineStr">
        <is>
          <t>As a Office manager, I can set up Auto-file to Drive with sensible defaults in one screen</t>
        </is>
      </c>
      <c r="E34" s="26" t="n">
        <v>5</v>
      </c>
      <c r="F34" s="26" t="inlineStr">
        <is>
          <t>P0</t>
        </is>
      </c>
      <c r="G34" s="26" t="inlineStr">
        <is>
          <t>S6</t>
        </is>
      </c>
      <c r="H34" s="26" t="inlineStr">
        <is>
          <t>SCR-3 / Drive</t>
        </is>
      </c>
      <c r="I34" s="26" t="inlineStr">
        <is>
          <t>E2E test + demo</t>
        </is>
      </c>
      <c r="J34" s="33" t="inlineStr">
        <is>
          <t>Done-in-code</t>
        </is>
      </c>
      <c r="K34" s="35" t="inlineStr">
        <is>
          <t>v013 08:20 — src/driveFiler.ts createFilingConfigWithDefaults | tests/driveFiler.test.ts defaults pinned | 100% x4</t>
        </is>
      </c>
      <c r="L34" s="50" t="inlineStr">
        <is>
          <t>WAS WRONG UNTIL 20 Sep: this story read 'Done-in-code' while the Drive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35" ht="23.25" customHeight="1" s="22">
      <c r="A35" s="26" t="inlineStr">
        <is>
          <t>ST-032</t>
        </is>
      </c>
      <c r="B35" s="26" t="inlineStr">
        <is>
          <t>F4</t>
        </is>
      </c>
      <c r="C35" s="26" t="inlineStr">
        <is>
          <t>Auto-file to Drive</t>
        </is>
      </c>
      <c r="D35" s="26" t="inlineStr">
        <is>
          <t>As a Office manager, the Auto-file to Drive happy path completes without documentation</t>
        </is>
      </c>
      <c r="E35" s="26" t="n">
        <v>8</v>
      </c>
      <c r="F35" s="26" t="inlineStr">
        <is>
          <t>P0</t>
        </is>
      </c>
      <c r="G35" s="26" t="inlineStr">
        <is>
          <t>S6</t>
        </is>
      </c>
      <c r="H35" s="26" t="inlineStr">
        <is>
          <t>SCR-3 / Drive</t>
        </is>
      </c>
      <c r="I35" s="26" t="inlineStr">
        <is>
          <t>E2E test + demo</t>
        </is>
      </c>
      <c r="J35" s="33" t="inlineStr">
        <is>
          <t>Done-in-code</t>
        </is>
      </c>
      <c r="K35" s="35" t="inlineStr">
        <is>
          <t>v013 08:20 — FilingService.file: token merge, named missing-token errors, folder ensure | happy path + content + default clock tests | 100% x4</t>
        </is>
      </c>
      <c r="L35" s="50" t="inlineStr">
        <is>
          <t>WAS WRONG UNTIL 20 Sep: this story read 'Done-in-code' while the Drive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36" ht="23.25" customHeight="1" s="22">
      <c r="A36" s="26" t="inlineStr">
        <is>
          <t>ST-033</t>
        </is>
      </c>
      <c r="B36" s="26" t="inlineStr">
        <is>
          <t>F4</t>
        </is>
      </c>
      <c r="C36" s="26" t="inlineStr">
        <is>
          <t>Auto-file to Drive</t>
        </is>
      </c>
      <c r="D36" s="26" t="inlineStr">
        <is>
          <t>As a Workspace admin, I can customise Auto-file to Drive rules/conditions for my workflow</t>
        </is>
      </c>
      <c r="E36" s="26" t="n">
        <v>5</v>
      </c>
      <c r="F36" s="26" t="inlineStr">
        <is>
          <t>P1</t>
        </is>
      </c>
      <c r="G36" s="26" t="inlineStr">
        <is>
          <t>S6</t>
        </is>
      </c>
      <c r="H36" s="26" t="inlineStr">
        <is>
          <t>SCR-3 / Drive</t>
        </is>
      </c>
      <c r="I36" s="26" t="inlineStr">
        <is>
          <t>Integration test + manual QA</t>
        </is>
      </c>
      <c r="J36" s="33" t="inlineStr">
        <is>
          <t>Done-in-code</t>
        </is>
      </c>
      <c r="K36" s="35" t="inlineStr">
        <is>
          <t>v013 08:20 — pickFolderPattern first-match routing | match/fallback + row-field folder tests | 100% x4</t>
        </is>
      </c>
      <c r="L36" s="50" t="inlineStr">
        <is>
          <t>WAS WRONG UNTIL 20 Sep: this story read 'Done-in-code' while the Drive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37" ht="23.25" customHeight="1" s="22">
      <c r="A37" s="26" t="inlineStr">
        <is>
          <t>ST-034</t>
        </is>
      </c>
      <c r="B37" s="26" t="inlineStr">
        <is>
          <t>F4</t>
        </is>
      </c>
      <c r="C37" s="26" t="inlineStr">
        <is>
          <t>Auto-file to Drive</t>
        </is>
      </c>
      <c r="D37" s="26" t="inlineStr">
        <is>
          <t>As a user, Auto-file to Drive shows clear errors and retry paths on platform API failures</t>
        </is>
      </c>
      <c r="E37" s="26" t="n">
        <v>3</v>
      </c>
      <c r="F37" s="26" t="inlineStr">
        <is>
          <t>P0</t>
        </is>
      </c>
      <c r="G37" s="26" t="inlineStr">
        <is>
          <t>S6</t>
        </is>
      </c>
      <c r="H37" s="26" t="inlineStr">
        <is>
          <t>SCR-3 / Drive</t>
        </is>
      </c>
      <c r="I37" s="26" t="inlineStr">
        <is>
          <t>E2E test + demo</t>
        </is>
      </c>
      <c r="J37" s="33" t="inlineStr">
        <is>
          <t>Done-in-code</t>
        </is>
      </c>
      <c r="K37" s="35" t="inlineStr">
        <is>
          <t>v013 08:20 — all Drive ops via withRetry | 503 retry, 429 exhaustion, 403 no-retry | 100% x4</t>
        </is>
      </c>
      <c r="L37" s="50" t="inlineStr">
        <is>
          <t>WAS WRONG UNTIL 20 Sep: this story read 'Done-in-code' while the Drive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38" ht="23.25" customHeight="1" s="22">
      <c r="A38" s="26" t="inlineStr">
        <is>
          <t>ST-035</t>
        </is>
      </c>
      <c r="B38" s="26" t="inlineStr">
        <is>
          <t>F4</t>
        </is>
      </c>
      <c r="C38" s="26" t="inlineStr">
        <is>
          <t>Auto-file to Drive</t>
        </is>
      </c>
      <c r="D38" s="26" t="inlineStr">
        <is>
          <t>As a Ops freelancer, Auto-file to Drive works on the Workspace add-on sidebar in Sheets/Docs surface end-to-end</t>
        </is>
      </c>
      <c r="E38" s="26" t="n">
        <v>5</v>
      </c>
      <c r="F38" s="26" t="inlineStr">
        <is>
          <t>P0</t>
        </is>
      </c>
      <c r="G38" s="26" t="inlineStr">
        <is>
          <t>S6</t>
        </is>
      </c>
      <c r="H38" s="26" t="inlineStr">
        <is>
          <t>SCR-3 / Drive</t>
        </is>
      </c>
      <c r="I38" s="26" t="inlineStr">
        <is>
          <t>E2E test + demo</t>
        </is>
      </c>
      <c r="J38" s="33" t="inlineStr">
        <is>
          <t>Done-in-code</t>
        </is>
      </c>
      <c r="K38" s="35" t="inlineStr">
        <is>
          <t>v013 08:20 — FilingSidebarController | end-to-end + 3 guidance paths + state copy | 100% x4</t>
        </is>
      </c>
    </row>
    <row r="39" ht="23.25" customHeight="1" s="22">
      <c r="A39" s="26" t="inlineStr">
        <is>
          <t>ST-036</t>
        </is>
      </c>
      <c r="B39" s="26" t="inlineStr">
        <is>
          <t>F4</t>
        </is>
      </c>
      <c r="C39" s="26" t="inlineStr">
        <is>
          <t>Auto-file to Drive</t>
        </is>
      </c>
      <c r="D39" s="26" t="inlineStr">
        <is>
          <t>As a Workspace admin, I can see Auto-file to Drive performance metrics and trends</t>
        </is>
      </c>
      <c r="E39" s="26" t="n">
        <v>3</v>
      </c>
      <c r="F39" s="26" t="inlineStr">
        <is>
          <t>P1</t>
        </is>
      </c>
      <c r="G39" s="26" t="inlineStr">
        <is>
          <t>S6</t>
        </is>
      </c>
      <c r="H39" s="26" t="inlineStr">
        <is>
          <t>SCR-3 / Drive</t>
        </is>
      </c>
      <c r="I39" s="26" t="inlineStr">
        <is>
          <t>Integration test + manual QA</t>
        </is>
      </c>
      <c r="J39" s="33" t="inlineStr">
        <is>
          <t>Done-in-code</t>
        </is>
      </c>
      <c r="K39" s="35" t="inlineStr">
        <is>
          <t>v013 08:20 — FilingMetrics | aggregation/trend/neutral/default clock | 100% x4</t>
        </is>
      </c>
    </row>
    <row r="40" ht="15" customHeight="1" s="22">
      <c r="A40" s="26" t="inlineStr">
        <is>
          <t>ST-037</t>
        </is>
      </c>
      <c r="B40" s="26" t="inlineStr">
        <is>
          <t>F4</t>
        </is>
      </c>
      <c r="C40" s="26" t="inlineStr">
        <is>
          <t>Auto-file to Drive</t>
        </is>
      </c>
      <c r="D40" s="26" t="inlineStr">
        <is>
          <t>As a user, Auto-file to Drive respects role permissions and audit logging</t>
        </is>
      </c>
      <c r="E40" s="26" t="n">
        <v>3</v>
      </c>
      <c r="F40" s="26" t="inlineStr">
        <is>
          <t>P1</t>
        </is>
      </c>
      <c r="G40" s="26" t="inlineStr">
        <is>
          <t>S6</t>
        </is>
      </c>
      <c r="H40" s="26" t="inlineStr">
        <is>
          <t>SCR-3 / Drive</t>
        </is>
      </c>
      <c r="I40" s="26" t="inlineStr">
        <is>
          <t>Integration test + manual QA</t>
        </is>
      </c>
      <c r="J40" s="33" t="inlineStr">
        <is>
          <t>Done-in-code</t>
        </is>
      </c>
      <c r="K40" s="35" t="inlineStr">
        <is>
          <t>v013 08:20 — GovernedFilingRunner allow/deny audit on rules+filing | member deny, spied deny, bogus-role rethrow | 100% x4</t>
        </is>
      </c>
    </row>
    <row r="41" ht="23.25" customHeight="1" s="22">
      <c r="A41" s="26" t="inlineStr">
        <is>
          <t>ST-038</t>
        </is>
      </c>
      <c r="B41" s="26" t="inlineStr">
        <is>
          <t>F4</t>
        </is>
      </c>
      <c r="C41" s="26" t="inlineStr">
        <is>
          <t>Auto-file to Drive</t>
        </is>
      </c>
      <c r="D41" s="26" t="inlineStr">
        <is>
          <t>As a Office manager, I can pause/disable Auto-file to Drive without data loss</t>
        </is>
      </c>
      <c r="E41" s="26" t="n">
        <v>2</v>
      </c>
      <c r="F41" s="26" t="inlineStr">
        <is>
          <t>P2</t>
        </is>
      </c>
      <c r="G41" s="26" t="inlineStr">
        <is>
          <t>S6</t>
        </is>
      </c>
      <c r="H41" s="26" t="inlineStr">
        <is>
          <t>SCR-3 / Drive</t>
        </is>
      </c>
      <c r="I41" s="26" t="inlineStr">
        <is>
          <t>Manual QA</t>
        </is>
      </c>
      <c r="J41" s="33" t="inlineStr">
        <is>
          <t>Done-in-code</t>
        </is>
      </c>
      <c r="K41" s="35" t="inlineStr">
        <is>
          <t>v013 08:20 — account-scoped pause | refusal + resume tests | 100% x4</t>
        </is>
      </c>
    </row>
    <row r="42" ht="23.25" customHeight="1" s="22">
      <c r="A42" s="26" t="inlineStr">
        <is>
          <t>ST-039</t>
        </is>
      </c>
      <c r="B42" s="26" t="inlineStr">
        <is>
          <t>F4</t>
        </is>
      </c>
      <c r="C42" s="26" t="inlineStr">
        <is>
          <t>Auto-file to Drive</t>
        </is>
      </c>
      <c r="D42" s="26" t="inlineStr">
        <is>
          <t>As a Workspace admin, I can import/migrate existing data into Auto-file to Drive (CSV + competitor importer)</t>
        </is>
      </c>
      <c r="E42" s="26" t="n">
        <v>5</v>
      </c>
      <c r="F42" s="26" t="inlineStr">
        <is>
          <t>P1</t>
        </is>
      </c>
      <c r="G42" s="26" t="inlineStr">
        <is>
          <t>S6</t>
        </is>
      </c>
      <c r="H42" s="26" t="inlineStr">
        <is>
          <t>SCR-3 / Drive</t>
        </is>
      </c>
      <c r="I42" s="26" t="inlineStr">
        <is>
          <t>Integration test + manual QA</t>
        </is>
      </c>
      <c r="J42" s="33" t="inlineStr">
        <is>
          <t>Done-in-code</t>
        </is>
      </c>
      <c r="K42" s="35" t="inlineStr">
        <is>
          <t>v013 08:20 — importRoutingRulesCsv + competitor variant | operator validation, partial success | 100% x4</t>
        </is>
      </c>
    </row>
    <row r="43" ht="23.25" customHeight="1" s="22">
      <c r="A43" s="26" t="inlineStr">
        <is>
          <t>ST-040</t>
        </is>
      </c>
      <c r="B43" s="26" t="inlineStr">
        <is>
          <t>F4</t>
        </is>
      </c>
      <c r="C43" s="26" t="inlineStr">
        <is>
          <t>Auto-file to Drive</t>
        </is>
      </c>
      <c r="D43" s="26" t="inlineStr">
        <is>
          <t>As a user, I get notifications (in-app + email) for key Auto-file to Drive events with per-type mute</t>
        </is>
      </c>
      <c r="E43" s="26" t="n">
        <v>3</v>
      </c>
      <c r="F43" s="26" t="inlineStr">
        <is>
          <t>P2</t>
        </is>
      </c>
      <c r="G43" s="26" t="inlineStr">
        <is>
          <t>S6</t>
        </is>
      </c>
      <c r="H43" s="26" t="inlineStr">
        <is>
          <t>SCR-3 / Drive</t>
        </is>
      </c>
      <c r="I43" s="26" t="inlineStr">
        <is>
          <t>Manual QA</t>
        </is>
      </c>
      <c r="J43" s="33" t="inlineStr">
        <is>
          <t>Done-in-code</t>
        </is>
      </c>
      <c r="K43" s="35" t="inlineStr">
        <is>
          <t>v013 08:20 — filing_completed/filing_failed notifications | counts + mute | 100% x4</t>
        </is>
      </c>
    </row>
    <row r="44" ht="23.25" customHeight="1" s="22">
      <c r="A44" s="26" t="inlineStr">
        <is>
          <t>ST-041</t>
        </is>
      </c>
      <c r="B44" s="26" t="inlineStr">
        <is>
          <t>F5</t>
        </is>
      </c>
      <c r="C44" s="26" t="inlineStr">
        <is>
          <t>Form-triggered generation</t>
        </is>
      </c>
      <c r="D44" s="26" t="inlineStr">
        <is>
          <t>As a Office manager, I can set up Form-triggered generation with sensible defaults in one screen</t>
        </is>
      </c>
      <c r="E44" s="26" t="n">
        <v>5</v>
      </c>
      <c r="F44" s="26" t="inlineStr">
        <is>
          <t>P0</t>
        </is>
      </c>
      <c r="G44" s="26" t="inlineStr">
        <is>
          <t>S8</t>
        </is>
      </c>
      <c r="H44" s="26" t="inlineStr">
        <is>
          <t>SCR-4 / Forms</t>
        </is>
      </c>
      <c r="I44" s="26" t="inlineStr">
        <is>
          <t>E2E test + demo</t>
        </is>
      </c>
      <c r="J44" s="33" t="inlineStr">
        <is>
          <t>Done-in-code</t>
        </is>
      </c>
      <c r="K44" s="35" t="inlineStr">
        <is>
          <t>v015 13 Sep 10:22 — see product workbook v015 Traceability row ST-041 for module/test detail | 100% x4</t>
        </is>
      </c>
      <c r="L44"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45" ht="23.25" customHeight="1" s="22">
      <c r="A45" s="26" t="inlineStr">
        <is>
          <t>ST-042</t>
        </is>
      </c>
      <c r="B45" s="26" t="inlineStr">
        <is>
          <t>F5</t>
        </is>
      </c>
      <c r="C45" s="26" t="inlineStr">
        <is>
          <t>Form-triggered generation</t>
        </is>
      </c>
      <c r="D45" s="26" t="inlineStr">
        <is>
          <t>As a Office manager, the Form-triggered generation happy path completes without documentation</t>
        </is>
      </c>
      <c r="E45" s="26" t="n">
        <v>8</v>
      </c>
      <c r="F45" s="26" t="inlineStr">
        <is>
          <t>P0</t>
        </is>
      </c>
      <c r="G45" s="26" t="inlineStr">
        <is>
          <t>S8</t>
        </is>
      </c>
      <c r="H45" s="26" t="inlineStr">
        <is>
          <t>SCR-4 / Forms</t>
        </is>
      </c>
      <c r="I45" s="26" t="inlineStr">
        <is>
          <t>E2E test + demo</t>
        </is>
      </c>
      <c r="J45" s="33" t="inlineStr">
        <is>
          <t>Done-in-code</t>
        </is>
      </c>
      <c r="K45" s="35" t="inlineStr">
        <is>
          <t>v015 13 Sep 10:22 — see product workbook v015 Traceability row ST-042 for module/test detail | 100% x4</t>
        </is>
      </c>
      <c r="L45"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46" ht="23.25" customHeight="1" s="22">
      <c r="A46" s="26" t="inlineStr">
        <is>
          <t>ST-043</t>
        </is>
      </c>
      <c r="B46" s="26" t="inlineStr">
        <is>
          <t>F5</t>
        </is>
      </c>
      <c r="C46" s="26" t="inlineStr">
        <is>
          <t>Form-triggered generation</t>
        </is>
      </c>
      <c r="D46" s="26" t="inlineStr">
        <is>
          <t>As a Workspace admin, I can customise Form-triggered generation rules/conditions for my workflow</t>
        </is>
      </c>
      <c r="E46" s="26" t="n">
        <v>5</v>
      </c>
      <c r="F46" s="26" t="inlineStr">
        <is>
          <t>P1</t>
        </is>
      </c>
      <c r="G46" s="26" t="inlineStr">
        <is>
          <t>S8</t>
        </is>
      </c>
      <c r="H46" s="26" t="inlineStr">
        <is>
          <t>SCR-4 / Forms</t>
        </is>
      </c>
      <c r="I46" s="26" t="inlineStr">
        <is>
          <t>Integration test + manual QA</t>
        </is>
      </c>
      <c r="J46" s="33" t="inlineStr">
        <is>
          <t>Done-in-code</t>
        </is>
      </c>
      <c r="K46" s="35" t="inlineStr">
        <is>
          <t>v015 13 Sep 10:22 — see product workbook v015 Traceability row ST-043 for module/test detail | 100% x4</t>
        </is>
      </c>
      <c r="L46"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47" ht="23.25" customHeight="1" s="22">
      <c r="A47" s="26" t="inlineStr">
        <is>
          <t>ST-044</t>
        </is>
      </c>
      <c r="B47" s="26" t="inlineStr">
        <is>
          <t>F5</t>
        </is>
      </c>
      <c r="C47" s="26" t="inlineStr">
        <is>
          <t>Form-triggered generation</t>
        </is>
      </c>
      <c r="D47" s="26" t="inlineStr">
        <is>
          <t>As a user, Form-triggered generation shows clear errors and retry paths on platform API failures</t>
        </is>
      </c>
      <c r="E47" s="26" t="n">
        <v>3</v>
      </c>
      <c r="F47" s="26" t="inlineStr">
        <is>
          <t>P0</t>
        </is>
      </c>
      <c r="G47" s="26" t="inlineStr">
        <is>
          <t>S8</t>
        </is>
      </c>
      <c r="H47" s="26" t="inlineStr">
        <is>
          <t>SCR-4 / Forms</t>
        </is>
      </c>
      <c r="I47" s="26" t="inlineStr">
        <is>
          <t>E2E test + demo</t>
        </is>
      </c>
      <c r="J47" s="33" t="inlineStr">
        <is>
          <t>Done-in-code</t>
        </is>
      </c>
      <c r="K47" s="35" t="inlineStr">
        <is>
          <t>v015 13 Sep 10:22 — see product workbook v015 Traceability row ST-044 for module/test detail | 100% x4</t>
        </is>
      </c>
      <c r="L47"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48" ht="23.25" customHeight="1" s="22">
      <c r="A48" s="26" t="inlineStr">
        <is>
          <t>ST-045</t>
        </is>
      </c>
      <c r="B48" s="26" t="inlineStr">
        <is>
          <t>F5</t>
        </is>
      </c>
      <c r="C48" s="26" t="inlineStr">
        <is>
          <t>Form-triggered generation</t>
        </is>
      </c>
      <c r="D48" s="26" t="inlineStr">
        <is>
          <t>As a Ops freelancer, Form-triggered generation works on the Workspace add-on sidebar in Sheets/Docs surface end-to-end</t>
        </is>
      </c>
      <c r="E48" s="26" t="n">
        <v>5</v>
      </c>
      <c r="F48" s="26" t="inlineStr">
        <is>
          <t>P0</t>
        </is>
      </c>
      <c r="G48" s="26" t="inlineStr">
        <is>
          <t>S8</t>
        </is>
      </c>
      <c r="H48" s="26" t="inlineStr">
        <is>
          <t>SCR-4 / Forms</t>
        </is>
      </c>
      <c r="I48" s="26" t="inlineStr">
        <is>
          <t>E2E test + demo</t>
        </is>
      </c>
      <c r="J48" s="33" t="inlineStr">
        <is>
          <t>Done-in-code</t>
        </is>
      </c>
      <c r="K48" s="35" t="inlineStr">
        <is>
          <t>v015 13 Sep 10:22 — see product workbook v015 Traceability row ST-045 for module/test detail | 100% x4</t>
        </is>
      </c>
      <c r="L48"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49" ht="23.25" customHeight="1" s="22">
      <c r="A49" s="26" t="inlineStr">
        <is>
          <t>ST-046</t>
        </is>
      </c>
      <c r="B49" s="26" t="inlineStr">
        <is>
          <t>F5</t>
        </is>
      </c>
      <c r="C49" s="26" t="inlineStr">
        <is>
          <t>Form-triggered generation</t>
        </is>
      </c>
      <c r="D49" s="26" t="inlineStr">
        <is>
          <t>As a Workspace admin, I can see Form-triggered generation performance metrics and trends</t>
        </is>
      </c>
      <c r="E49" s="26" t="n">
        <v>3</v>
      </c>
      <c r="F49" s="26" t="inlineStr">
        <is>
          <t>P1</t>
        </is>
      </c>
      <c r="G49" s="26" t="inlineStr">
        <is>
          <t>S8</t>
        </is>
      </c>
      <c r="H49" s="26" t="inlineStr">
        <is>
          <t>SCR-4 / Forms</t>
        </is>
      </c>
      <c r="I49" s="26" t="inlineStr">
        <is>
          <t>Integration test + manual QA</t>
        </is>
      </c>
      <c r="J49" s="33" t="inlineStr">
        <is>
          <t>Done-in-code</t>
        </is>
      </c>
      <c r="K49" s="35" t="inlineStr">
        <is>
          <t>v015 13 Sep 10:22 — see product workbook v015 Traceability row ST-046 for module/test detail | 100% x4</t>
        </is>
      </c>
      <c r="L49"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0" ht="23.25" customHeight="1" s="22">
      <c r="A50" s="26" t="inlineStr">
        <is>
          <t>ST-047</t>
        </is>
      </c>
      <c r="B50" s="26" t="inlineStr">
        <is>
          <t>F5</t>
        </is>
      </c>
      <c r="C50" s="26" t="inlineStr">
        <is>
          <t>Form-triggered generation</t>
        </is>
      </c>
      <c r="D50" s="26" t="inlineStr">
        <is>
          <t>As a user, Form-triggered generation respects role permissions and audit logging</t>
        </is>
      </c>
      <c r="E50" s="26" t="n">
        <v>3</v>
      </c>
      <c r="F50" s="26" t="inlineStr">
        <is>
          <t>P1</t>
        </is>
      </c>
      <c r="G50" s="26" t="inlineStr">
        <is>
          <t>S8</t>
        </is>
      </c>
      <c r="H50" s="26" t="inlineStr">
        <is>
          <t>SCR-4 / Forms</t>
        </is>
      </c>
      <c r="I50" s="26" t="inlineStr">
        <is>
          <t>Integration test + manual QA</t>
        </is>
      </c>
      <c r="J50" s="33" t="inlineStr">
        <is>
          <t>Done-in-code</t>
        </is>
      </c>
      <c r="K50" s="35" t="inlineStr">
        <is>
          <t>v015 13 Sep 10:22 — see product workbook v015 Traceability row ST-047 for module/test detail | 100% x4</t>
        </is>
      </c>
      <c r="L50"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1" ht="23.25" customHeight="1" s="22">
      <c r="A51" s="26" t="inlineStr">
        <is>
          <t>ST-048</t>
        </is>
      </c>
      <c r="B51" s="26" t="inlineStr">
        <is>
          <t>F5</t>
        </is>
      </c>
      <c r="C51" s="26" t="inlineStr">
        <is>
          <t>Form-triggered generation</t>
        </is>
      </c>
      <c r="D51" s="26" t="inlineStr">
        <is>
          <t>As a Office manager, I can pause/disable Form-triggered generation without data loss</t>
        </is>
      </c>
      <c r="E51" s="26" t="n">
        <v>2</v>
      </c>
      <c r="F51" s="26" t="inlineStr">
        <is>
          <t>P2</t>
        </is>
      </c>
      <c r="G51" s="26" t="inlineStr">
        <is>
          <t>S8</t>
        </is>
      </c>
      <c r="H51" s="26" t="inlineStr">
        <is>
          <t>SCR-4 / Forms</t>
        </is>
      </c>
      <c r="I51" s="26" t="inlineStr">
        <is>
          <t>Manual QA</t>
        </is>
      </c>
      <c r="J51" s="33" t="inlineStr">
        <is>
          <t>Done-in-code</t>
        </is>
      </c>
      <c r="K51" s="35" t="inlineStr">
        <is>
          <t>v015 13 Sep 10:22 — see product workbook v015 Traceability row ST-048 for module/test detail | 100% x4</t>
        </is>
      </c>
      <c r="L51"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2" ht="23.25" customHeight="1" s="22">
      <c r="A52" s="26" t="inlineStr">
        <is>
          <t>ST-049</t>
        </is>
      </c>
      <c r="B52" s="26" t="inlineStr">
        <is>
          <t>F5</t>
        </is>
      </c>
      <c r="C52" s="26" t="inlineStr">
        <is>
          <t>Form-triggered generation</t>
        </is>
      </c>
      <c r="D52" s="26" t="inlineStr">
        <is>
          <t>As a Workspace admin, I can import/migrate existing data into Form-triggered generation (CSV + competitor importer)</t>
        </is>
      </c>
      <c r="E52" s="26" t="n">
        <v>5</v>
      </c>
      <c r="F52" s="26" t="inlineStr">
        <is>
          <t>P1</t>
        </is>
      </c>
      <c r="G52" s="26" t="inlineStr">
        <is>
          <t>S8</t>
        </is>
      </c>
      <c r="H52" s="26" t="inlineStr">
        <is>
          <t>SCR-4 / Forms</t>
        </is>
      </c>
      <c r="I52" s="26" t="inlineStr">
        <is>
          <t>Integration test + manual QA</t>
        </is>
      </c>
      <c r="J52" s="33" t="inlineStr">
        <is>
          <t>Done-in-code</t>
        </is>
      </c>
      <c r="K52" s="35" t="inlineStr">
        <is>
          <t>v015 13 Sep 10:22 — see product workbook v015 Traceability row ST-049 for module/test detail | 100% x4</t>
        </is>
      </c>
      <c r="L52"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3" ht="23.25" customHeight="1" s="22">
      <c r="A53" s="26" t="inlineStr">
        <is>
          <t>ST-050</t>
        </is>
      </c>
      <c r="B53" s="26" t="inlineStr">
        <is>
          <t>F5</t>
        </is>
      </c>
      <c r="C53" s="26" t="inlineStr">
        <is>
          <t>Form-triggered generation</t>
        </is>
      </c>
      <c r="D53" s="26" t="inlineStr">
        <is>
          <t>As a user, I get notifications (in-app + email) for key Form-triggered generation events with per-type mute</t>
        </is>
      </c>
      <c r="E53" s="26" t="n">
        <v>3</v>
      </c>
      <c r="F53" s="26" t="inlineStr">
        <is>
          <t>P2</t>
        </is>
      </c>
      <c r="G53" s="26" t="inlineStr">
        <is>
          <t>S8</t>
        </is>
      </c>
      <c r="H53" s="26" t="inlineStr">
        <is>
          <t>SCR-4 / Forms</t>
        </is>
      </c>
      <c r="I53" s="26" t="inlineStr">
        <is>
          <t>Manual QA</t>
        </is>
      </c>
      <c r="J53" s="33" t="inlineStr">
        <is>
          <t>Done-in-code</t>
        </is>
      </c>
      <c r="K53" s="35" t="inlineStr">
        <is>
          <t>v015 13 Sep 10:22 — see product workbook v015 Traceability row ST-050 for module/test detail | 100% x4</t>
        </is>
      </c>
      <c r="L53" s="50" t="inlineStr">
        <is>
          <t>WAS WRONG UNTIL 20 Sep: this story read 'Done-in-code' while the Forms/Apps Script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4" ht="45.75" customHeight="1" s="22">
      <c r="A54" s="26" t="inlineStr">
        <is>
          <t>ST-051</t>
        </is>
      </c>
      <c r="B54" s="26" t="inlineStr">
        <is>
          <t>E1</t>
        </is>
      </c>
      <c r="C54" s="26" t="inlineStr">
        <is>
          <t>Install lifecycle</t>
        </is>
      </c>
      <c r="D54" s="26" t="inlineStr">
        <is>
          <t>Marketplace OAuth install completes and lands on welcome state in &lt;2 min</t>
        </is>
      </c>
      <c r="E54" s="26" t="n">
        <v>5</v>
      </c>
      <c r="F54" s="26" t="inlineStr">
        <is>
          <t>P0</t>
        </is>
      </c>
      <c r="G54" s="26" t="inlineStr">
        <is>
          <t>S1</t>
        </is>
      </c>
      <c r="H54" s="26" t="inlineStr">
        <is>
          <t>SCR-1 Onboarding</t>
        </is>
      </c>
      <c r="I54" s="26" t="inlineStr">
        <is>
          <t>E2E test + demo</t>
        </is>
      </c>
      <c r="J54" s="33" t="inlineStr">
        <is>
          <t>Done-in-code</t>
        </is>
      </c>
      <c r="K54" s="35" t="inlineStr">
        <is>
          <t>v008 22:17 — docmerge-pro-s1/src/oauth.ts (exchangeCode); src/install.ts (InstallService, INSTALL_BUDGET_MS, MemoryAccountRepo) | tests/oauth.test.ts (exchange + missing-refresh-token error); tests/install.test.ts (welcome state, 2-min budget pass/fail, default source, repo behaviours) | 100% stmt/branch/func/line</t>
        </is>
      </c>
      <c r="L54" s="50" t="inlineStr">
        <is>
          <t>WAS WRONG UNTIL 20 Sep: this story read 'Done-in-code' while the OAuth token endpoint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5" ht="45.75" customHeight="1" s="22">
      <c r="A55" s="26" t="inlineStr">
        <is>
          <t>ST-052</t>
        </is>
      </c>
      <c r="B55" s="26" t="inlineStr">
        <is>
          <t>E1</t>
        </is>
      </c>
      <c r="C55" s="26" t="inlineStr">
        <is>
          <t>Install lifecycle</t>
        </is>
      </c>
      <c r="D55" s="26" t="inlineStr">
        <is>
          <t>Uninstall webhook removes tokens, schedules data deletion per policy</t>
        </is>
      </c>
      <c r="E55" s="26" t="n">
        <v>3</v>
      </c>
      <c r="F55" s="26" t="inlineStr">
        <is>
          <t>P0</t>
        </is>
      </c>
      <c r="G55" s="26" t="inlineStr">
        <is>
          <t>S1</t>
        </is>
      </c>
      <c r="H55" s="26" t="inlineStr">
        <is>
          <t>SCR-1 Onboarding</t>
        </is>
      </c>
      <c r="I55" s="26" t="inlineStr">
        <is>
          <t>E2E test + demo</t>
        </is>
      </c>
      <c r="J55" s="33" t="inlineStr">
        <is>
          <t>Done-in-code</t>
        </is>
      </c>
      <c r="K55" s="35" t="inlineStr">
        <is>
          <t>v008 22:17 — src/oauth.ts (revoke); src/uninstall.ts (UninstallService, RETENTION_WINDOW_MS 30d, MemoryDeletionScheduler) | tests/uninstall.test.ts (revoke + delete + schedule at retention boundary, partial-install path, webhook-replay idempotency); tests/oauth.test.ts (revoke endpoint) | 100% stmt/branch/func/line</t>
        </is>
      </c>
      <c r="L55" s="50" t="inlineStr">
        <is>
          <t>WAS WRONG UNTIL 20 Sep: this story read 'Done-in-code' while the OAuth revoke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6" ht="57" customHeight="1" s="22">
      <c r="A56" s="26" t="inlineStr">
        <is>
          <t>ST-053</t>
        </is>
      </c>
      <c r="B56" s="26" t="inlineStr">
        <is>
          <t>E1</t>
        </is>
      </c>
      <c r="C56" s="26" t="inlineStr">
        <is>
          <t>Install lifecycle</t>
        </is>
      </c>
      <c r="D56" s="26" t="inlineStr">
        <is>
          <t>Re-install restores account within retention window</t>
        </is>
      </c>
      <c r="E56" s="26" t="n">
        <v>3</v>
      </c>
      <c r="F56" s="26" t="inlineStr">
        <is>
          <t>P1</t>
        </is>
      </c>
      <c r="G56" s="26" t="inlineStr">
        <is>
          <t>S2</t>
        </is>
      </c>
      <c r="H56" s="26" t="inlineStr">
        <is>
          <t>SCR-1 Onboarding</t>
        </is>
      </c>
      <c r="I56" s="26" t="inlineStr">
        <is>
          <t>Integration test + manual QA</t>
        </is>
      </c>
      <c r="J56" s="33" t="inlineStr">
        <is>
          <t>Done-in-code</t>
        </is>
      </c>
      <c r="K56" s="35" t="inlineStr">
        <is>
          <t>v009 22:23 — src/reinstall.ts (ReinstallService: pending_deletion + unexpired job -&gt; cancel deletion, reactivate, re-issue tokens, app_reinstalled; else fresh install; MemoryCancellableDeletionScheduler) | tests/reinstall.test.ts (restore within window, window expired, no job, active account, brand-new, default attribution, default clock, scheduler ops) | 100% stmt/branch/func/line</t>
        </is>
      </c>
    </row>
    <row r="57" ht="45.75" customHeight="1" s="22">
      <c r="A57" s="26" t="inlineStr">
        <is>
          <t>ST-054</t>
        </is>
      </c>
      <c r="B57" s="26" t="inlineStr">
        <is>
          <t>E1</t>
        </is>
      </c>
      <c r="C57" s="26" t="inlineStr">
        <is>
          <t>Install lifecycle</t>
        </is>
      </c>
      <c r="D57" s="26" t="inlineStr">
        <is>
          <t>Multi-user roles: owner/admin/member permission matrix enforced</t>
        </is>
      </c>
      <c r="E57" s="26" t="n">
        <v>5</v>
      </c>
      <c r="F57" s="26" t="inlineStr">
        <is>
          <t>P0</t>
        </is>
      </c>
      <c r="G57" s="26" t="inlineStr">
        <is>
          <t>S2</t>
        </is>
      </c>
      <c r="H57" s="26" t="inlineStr">
        <is>
          <t>SCR-1 Onboarding</t>
        </is>
      </c>
      <c r="I57" s="26" t="inlineStr">
        <is>
          <t>E2E test + demo</t>
        </is>
      </c>
      <c r="J57" s="33" t="inlineStr">
        <is>
          <t>Done-in-code</t>
        </is>
      </c>
      <c r="K57" s="35" t="inlineStr">
        <is>
          <t>v009 22:23 — src/permissions.ts (PERMISSION_MATRIX owner/admin/member x 7 actions; assertPermission -&gt; PermissionError); enforced in templates.ts guard() | tests/permissions.test.ts (all 21 matrix cells pinned, matrix/isAllowed parity, allow + typed deny); tests/templates.test.ts (denials at create/setRules) | 100% stmt/branch/func/line</t>
        </is>
      </c>
    </row>
    <row r="58" ht="45.75" customHeight="1" s="22">
      <c r="A58" s="26" t="inlineStr">
        <is>
          <t>ST-055</t>
        </is>
      </c>
      <c r="B58" s="26" t="inlineStr">
        <is>
          <t>E1</t>
        </is>
      </c>
      <c r="C58" s="26" t="inlineStr">
        <is>
          <t>Install lifecycle</t>
        </is>
      </c>
      <c r="D58" s="26" t="inlineStr">
        <is>
          <t>Session/token refresh survives platform token rotation</t>
        </is>
      </c>
      <c r="E58" s="26" t="n">
        <v>3</v>
      </c>
      <c r="F58" s="26" t="inlineStr">
        <is>
          <t>P0</t>
        </is>
      </c>
      <c r="G58" s="26" t="inlineStr">
        <is>
          <t>S1</t>
        </is>
      </c>
      <c r="H58" s="26" t="inlineStr">
        <is>
          <t>SCR-1 Onboarding</t>
        </is>
      </c>
      <c r="I58" s="26" t="inlineStr">
        <is>
          <t>E2E test + demo</t>
        </is>
      </c>
      <c r="J58" s="33" t="inlineStr">
        <is>
          <t>Done-in-code</t>
        </is>
      </c>
      <c r="K58" s="35" t="inlineStr">
        <is>
          <t>v008 22:17 — src/oauth.ts (refresh, rotation adoption); src/tokenRefresh.ts (TokenRefreshManager, EXPIRY_SKEW_MS, invalid_grant → re-auth, single retry) | tests/tokenRefresh.test.ts (fresh/skew, non-rotated + rotated refresh persisted, invalid_grant clears credential, transient retry succeed/fail); tests/oauth.test.ts (rotation) | 100% stmt/branch/func/line</t>
        </is>
      </c>
      <c r="L58" s="50" t="inlineStr">
        <is>
          <t>WAS WRONG UNTIL 20 Sep: this story read 'Done-in-code' while the OAuth refresh call at the centre of it DID NOT EXIST. The orchestration, validation, error handling and retry were built and well tested; the boundary they called was an interface with only a test double behind it (P-DM-001). The correct status for eleven sprints was 'Domain logic done; adapter not implemented'. NOW: adapter built in S15 and unit-proved against recorded Google contracts (exact URLs, headers and bodies asserted). STILL OWED: verification against live Google — no request has left the machine (LC-1).</t>
        </is>
      </c>
    </row>
    <row r="59" ht="34.5" customHeight="1" s="22">
      <c r="A59" s="26" t="inlineStr">
        <is>
          <t>ST-056</t>
        </is>
      </c>
      <c r="B59" s="26" t="inlineStr">
        <is>
          <t>E1</t>
        </is>
      </c>
      <c r="C59" s="26" t="inlineStr">
        <is>
          <t>Install lifecycle</t>
        </is>
      </c>
      <c r="D59" s="26" t="inlineStr">
        <is>
          <t>Install telemetry: source attribution (listing/search/referral) captured</t>
        </is>
      </c>
      <c r="E59" s="26" t="n">
        <v>2</v>
      </c>
      <c r="F59" s="26" t="inlineStr">
        <is>
          <t>P1</t>
        </is>
      </c>
      <c r="G59" s="26" t="inlineStr">
        <is>
          <t>S1</t>
        </is>
      </c>
      <c r="H59" s="26" t="inlineStr">
        <is>
          <t>SCR-1 Onboarding</t>
        </is>
      </c>
      <c r="I59" s="26" t="inlineStr">
        <is>
          <t>Integration test + manual QA</t>
        </is>
      </c>
      <c r="J59" s="33" t="inlineStr">
        <is>
          <t>Done-in-code</t>
        </is>
      </c>
      <c r="K59" s="35" t="inlineStr">
        <is>
          <t>v008 22:17 — src/telemetry.ts (normaliseSource, Telemetry.trackInstall, sink-failure isolation) | tests/telemetry.test.ts (all 3 valid sources, unknown/undefined fallback, event envelope, dropped-event counting); tests/install.test.ts (attribution through install flow) | 100% stmt/branch/func/line</t>
        </is>
      </c>
    </row>
    <row r="60" ht="15" customHeight="1" s="22">
      <c r="A60" s="26" t="inlineStr">
        <is>
          <t>ST-057</t>
        </is>
      </c>
      <c r="B60" s="26" t="inlineStr">
        <is>
          <t>E5</t>
        </is>
      </c>
      <c r="C60" s="26" t="inlineStr">
        <is>
          <t>Billing</t>
        </is>
      </c>
      <c r="D60" s="26" t="inlineStr">
        <is>
          <t>14-day trial without card; banner shows days remaining</t>
        </is>
      </c>
      <c r="E60" s="26" t="n">
        <v>5</v>
      </c>
      <c r="F60" s="26" t="inlineStr">
        <is>
          <t>P0</t>
        </is>
      </c>
      <c r="G60" s="26" t="inlineStr">
        <is>
          <t>S6</t>
        </is>
      </c>
      <c r="H60" s="26" t="inlineStr">
        <is>
          <t>SCR-7 Billing</t>
        </is>
      </c>
      <c r="I60" s="26" t="inlineStr">
        <is>
          <t>E2E test + demo</t>
        </is>
      </c>
      <c r="J60" s="33" t="inlineStr">
        <is>
          <t>Done-in-code</t>
        </is>
      </c>
      <c r="K60" s="35" t="inlineStr">
        <is>
          <t>v013 08:20 — startTrial/trialBanner | 14-&gt;1-&gt;ended-&gt;hidden, zero charges | 100% x4</t>
        </is>
      </c>
    </row>
    <row r="61" ht="15" customHeight="1" s="22">
      <c r="A61" s="26" t="inlineStr">
        <is>
          <t>ST-058</t>
        </is>
      </c>
      <c r="B61" s="26" t="inlineStr">
        <is>
          <t>E5</t>
        </is>
      </c>
      <c r="C61" s="26" t="inlineStr">
        <is>
          <t>Billing</t>
        </is>
      </c>
      <c r="D61" s="26" t="inlineStr">
        <is>
          <t>Upgrade/downgrade mid-cycle prorates correctly</t>
        </is>
      </c>
      <c r="E61" s="26" t="n">
        <v>5</v>
      </c>
      <c r="F61" s="26" t="inlineStr">
        <is>
          <t>P0</t>
        </is>
      </c>
      <c r="G61" s="26" t="inlineStr">
        <is>
          <t>S6</t>
        </is>
      </c>
      <c r="H61" s="26" t="inlineStr">
        <is>
          <t>SCR-7 Billing</t>
        </is>
      </c>
      <c r="I61" s="26" t="inlineStr">
        <is>
          <t>E2E test + demo</t>
        </is>
      </c>
      <c r="J61" s="33" t="inlineStr">
        <is>
          <t>Done-in-code</t>
        </is>
      </c>
      <c r="K61" s="35" t="inlineStr">
        <is>
          <t>v013 08:20 — prorate/changePlan | $11.33/-$8.50 to the cent, declined unchanged | 100% x4</t>
        </is>
      </c>
    </row>
    <row r="62" ht="23.25" customHeight="1" s="22">
      <c r="A62" s="26" t="inlineStr">
        <is>
          <t>ST-059</t>
        </is>
      </c>
      <c r="B62" s="26" t="inlineStr">
        <is>
          <t>E5</t>
        </is>
      </c>
      <c r="C62" s="26" t="inlineStr">
        <is>
          <t>Billing</t>
        </is>
      </c>
      <c r="D62" s="26" t="inlineStr">
        <is>
          <t>Marketplace billing API used where mandated; external Stripe fallback elsewhere</t>
        </is>
      </c>
      <c r="E62" s="26" t="n">
        <v>8</v>
      </c>
      <c r="F62" s="26" t="inlineStr">
        <is>
          <t>P0</t>
        </is>
      </c>
      <c r="G62" s="26" t="inlineStr">
        <is>
          <t>S6</t>
        </is>
      </c>
      <c r="H62" s="26" t="inlineStr">
        <is>
          <t>SCR-7 Billing</t>
        </is>
      </c>
      <c r="I62" s="26" t="inlineStr">
        <is>
          <t>E2E test + demo</t>
        </is>
      </c>
      <c r="J62" s="33" t="inlineStr">
        <is>
          <t>Done-in-code</t>
        </is>
      </c>
      <c r="K62" s="35" t="inlineStr">
        <is>
          <t>v013 08:20 — pickProvider + dunning 1/3/7 -&gt; grace -&gt; downgrade-with-data | full walk + recovery | 100% x4</t>
        </is>
      </c>
    </row>
    <row r="63" ht="15" customHeight="1" s="22">
      <c r="A63" s="26" t="inlineStr">
        <is>
          <t>ST-060</t>
        </is>
      </c>
      <c r="B63" s="26" t="inlineStr">
        <is>
          <t>E5</t>
        </is>
      </c>
      <c r="C63" s="26" t="inlineStr">
        <is>
          <t>Billing</t>
        </is>
      </c>
      <c r="D63" s="26" t="inlineStr">
        <is>
          <t>Failed payment: 7-day grace, 3 dunning emails, then read-only mode</t>
        </is>
      </c>
      <c r="E63" s="26" t="n">
        <v>3</v>
      </c>
      <c r="F63" s="26" t="inlineStr">
        <is>
          <t>P1</t>
        </is>
      </c>
      <c r="G63" s="26" t="inlineStr">
        <is>
          <t>S7</t>
        </is>
      </c>
      <c r="H63" s="26" t="inlineStr">
        <is>
          <t>SCR-7 Billing</t>
        </is>
      </c>
      <c r="I63" s="26" t="inlineStr">
        <is>
          <t>Integration test + manual QA</t>
        </is>
      </c>
      <c r="J63" s="33" t="inlineStr">
        <is>
          <t>Done-in-code</t>
        </is>
      </c>
      <c r="K63" s="35" t="inlineStr">
        <is>
          <t>v014 13 Sep 09:55 — DunningNotifier (1/3/7 emails, catch-up, grace, read-only + assertWritable) | schedule walk, 3-email cap, block/resolve, guards | 100% x4. Supersedes ST-059 downgrade (E019).</t>
        </is>
      </c>
    </row>
    <row r="64" ht="15" customHeight="1" s="22">
      <c r="A64" s="26" t="inlineStr">
        <is>
          <t>ST-061</t>
        </is>
      </c>
      <c r="B64" s="26" t="inlineStr">
        <is>
          <t>E5</t>
        </is>
      </c>
      <c r="C64" s="26" t="inlineStr">
        <is>
          <t>Billing</t>
        </is>
      </c>
      <c r="D64" s="26" t="inlineStr">
        <is>
          <t>Plan limits enforced with upgrade prompts at 80%/100%</t>
        </is>
      </c>
      <c r="E64" s="26" t="n">
        <v>3</v>
      </c>
      <c r="F64" s="26" t="inlineStr">
        <is>
          <t>P1</t>
        </is>
      </c>
      <c r="G64" s="26" t="inlineStr">
        <is>
          <t>S7</t>
        </is>
      </c>
      <c r="H64" s="26" t="inlineStr">
        <is>
          <t>SCR-7 Billing</t>
        </is>
      </c>
      <c r="I64" s="26" t="inlineStr">
        <is>
          <t>Integration test + manual QA</t>
        </is>
      </c>
      <c r="J64" s="33" t="inlineStr">
        <is>
          <t>Done-in-code</t>
        </is>
      </c>
      <c r="K64" s="35" t="inlineStr">
        <is>
          <t>v014 13 Sep 09:55 — PLAN_LIMITS + PlanLimitEnforcer (none/warning/blocking at 80%/100%) | all keys, plan scaling, monthly reset isolation | 100% x4</t>
        </is>
      </c>
    </row>
    <row r="65" ht="15" customHeight="1" s="22">
      <c r="A65" s="26" t="inlineStr">
        <is>
          <t>ST-062</t>
        </is>
      </c>
      <c r="B65" s="26" t="inlineStr">
        <is>
          <t>E5</t>
        </is>
      </c>
      <c r="C65" s="26" t="inlineStr">
        <is>
          <t>Billing</t>
        </is>
      </c>
      <c r="D65" s="26" t="inlineStr">
        <is>
          <t>Invoices/receipts downloadable; GST/VAT fields supported</t>
        </is>
      </c>
      <c r="E65" s="26" t="n">
        <v>3</v>
      </c>
      <c r="F65" s="26" t="inlineStr">
        <is>
          <t>P2</t>
        </is>
      </c>
      <c r="G65" s="26" t="inlineStr">
        <is>
          <t>S7</t>
        </is>
      </c>
      <c r="H65" s="26" t="inlineStr">
        <is>
          <t>SCR-7 Billing</t>
        </is>
      </c>
      <c r="I65" s="26" t="inlineStr">
        <is>
          <t>Manual QA</t>
        </is>
      </c>
      <c r="J65" s="33" t="inlineStr">
        <is>
          <t>Done-in-code</t>
        </is>
      </c>
      <c r="K65" s="35" t="inlineStr">
        <is>
          <t>v014 13 Sep 09:55 — InvoiceBook (GST/VAT, tax IDs, reverse charge, rounding, CSV receipts) | VAT/GST/reverse/multi-line/empty/copies/CSV tests | 100% x4. Closes S6 tax flag.</t>
        </is>
      </c>
    </row>
    <row r="66" ht="15" customHeight="1" s="22">
      <c r="A66" s="26" t="inlineStr">
        <is>
          <t>ST-063</t>
        </is>
      </c>
      <c r="B66" s="26" t="inlineStr">
        <is>
          <t>E5</t>
        </is>
      </c>
      <c r="C66" s="26" t="inlineStr">
        <is>
          <t>Billing</t>
        </is>
      </c>
      <c r="D66" s="26" t="inlineStr">
        <is>
          <t>Cancellation flow with save-offer and exit survey</t>
        </is>
      </c>
      <c r="E66" s="26" t="n">
        <v>3</v>
      </c>
      <c r="F66" s="26" t="inlineStr">
        <is>
          <t>P1</t>
        </is>
      </c>
      <c r="G66" s="26" t="inlineStr">
        <is>
          <t>S7</t>
        </is>
      </c>
      <c r="H66" s="26" t="inlineStr">
        <is>
          <t>SCR-7 Billing</t>
        </is>
      </c>
      <c r="I66" s="26" t="inlineStr">
        <is>
          <t>Integration test + manual QA</t>
        </is>
      </c>
      <c r="J66" s="33" t="inlineStr">
        <is>
          <t>Done-in-code</t>
        </is>
      </c>
      <c r="K66" s="35" t="inlineStr">
        <is>
          <t>v014 13 Sep 09:55 — CancellationFlow (reason-matched offers, once-only, survey + counts, access to period end) | 5 reasons, saved/declined/exhausted paths | 100% x4</t>
        </is>
      </c>
    </row>
    <row r="67" ht="15" customHeight="1" s="22">
      <c r="A67" s="26" t="inlineStr">
        <is>
          <t>ST-064</t>
        </is>
      </c>
      <c r="B67" s="26" t="inlineStr">
        <is>
          <t>E6</t>
        </is>
      </c>
      <c r="C67" s="26" t="inlineStr">
        <is>
          <t>Compliance &amp; security</t>
        </is>
      </c>
      <c r="D67" s="26" t="inlineStr">
        <is>
          <t>Scopes requested map 1:1 to shipped features (least privilege doc)</t>
        </is>
      </c>
      <c r="E67" s="26" t="n">
        <v>3</v>
      </c>
      <c r="F67" s="26" t="inlineStr">
        <is>
          <t>P0</t>
        </is>
      </c>
      <c r="G67" s="26" t="inlineStr">
        <is>
          <t>S7</t>
        </is>
      </c>
      <c r="H67" s="26" t="inlineStr">
        <is>
          <t>SCR-6 Settings &amp; team</t>
        </is>
      </c>
      <c r="I67" s="26" t="inlineStr">
        <is>
          <t>E2E test + demo</t>
        </is>
      </c>
      <c r="J67" s="33" t="inlineStr">
        <is>
          <t>Done-in-code</t>
        </is>
      </c>
      <c r="K67" s="35" t="inlineStr">
        <is>
          <t>v014 13 Sep 09:55 — SCOPE_MANIFEST + auditScopes + renderScopeNarrative; SCOPE_NARRATIVE.md | manifest passes audit, all failure modes, no broad scopes | 100% x4. LC-2 evidence.</t>
        </is>
      </c>
    </row>
    <row r="68" ht="15" customHeight="1" s="22">
      <c r="A68" s="26" t="inlineStr">
        <is>
          <t>ST-065</t>
        </is>
      </c>
      <c r="B68" s="26" t="inlineStr">
        <is>
          <t>E6</t>
        </is>
      </c>
      <c r="C68" s="26" t="inlineStr">
        <is>
          <t>Compliance &amp; security</t>
        </is>
      </c>
      <c r="D68" s="26" t="inlineStr">
        <is>
          <t>Data-flow diagram + retention policy published</t>
        </is>
      </c>
      <c r="E68" s="26" t="n">
        <v>3</v>
      </c>
      <c r="F68" s="26" t="inlineStr">
        <is>
          <t>P0</t>
        </is>
      </c>
      <c r="G68" s="26" t="inlineStr">
        <is>
          <t>S8</t>
        </is>
      </c>
      <c r="H68" s="26" t="inlineStr">
        <is>
          <t>SCR-6 Settings &amp; team</t>
        </is>
      </c>
      <c r="I68" s="26" t="inlineStr">
        <is>
          <t>E2E test + demo</t>
        </is>
      </c>
      <c r="J68" s="33" t="inlineStr">
        <is>
          <t>Done-in-code</t>
        </is>
      </c>
      <c r="K68" s="35" t="inlineStr">
        <is>
          <t>v015 13 Sep 10:22 — src/security.ts data-flow + retention VALIDATED in tests, published as DATA_FLOW_AND_RETENTION.md | LC-7 evidence | 100% x4</t>
        </is>
      </c>
    </row>
    <row r="69" ht="15" customHeight="1" s="22">
      <c r="A69" s="26" t="inlineStr">
        <is>
          <t>ST-066</t>
        </is>
      </c>
      <c r="B69" s="26" t="inlineStr">
        <is>
          <t>E6</t>
        </is>
      </c>
      <c r="C69" s="26" t="inlineStr">
        <is>
          <t>Compliance &amp; security</t>
        </is>
      </c>
      <c r="D69" s="26" t="inlineStr">
        <is>
          <t>Encryption at rest + in transit verified; secrets in vault</t>
        </is>
      </c>
      <c r="E69" s="26" t="n">
        <v>5</v>
      </c>
      <c r="F69" s="26" t="inlineStr">
        <is>
          <t>P0</t>
        </is>
      </c>
      <c r="G69" s="26" t="inlineStr">
        <is>
          <t>S8</t>
        </is>
      </c>
      <c r="H69" s="26" t="inlineStr">
        <is>
          <t>SCR-6 Settings &amp; team</t>
        </is>
      </c>
      <c r="I69" s="26" t="inlineStr">
        <is>
          <t>E2E test + demo</t>
        </is>
      </c>
      <c r="J69" s="33" t="inlineStr">
        <is>
          <t>Done-in-code</t>
        </is>
      </c>
      <c r="K69" s="35" t="inlineStr">
        <is>
          <t>v015 13 Sep 10:22 — see product workbook v015 Traceability row ST-066 for module/test detail | 100% x4</t>
        </is>
      </c>
    </row>
    <row r="70" ht="15" customHeight="1" s="22">
      <c r="A70" s="26" t="inlineStr">
        <is>
          <t>ST-067</t>
        </is>
      </c>
      <c r="B70" s="26" t="inlineStr">
        <is>
          <t>E6</t>
        </is>
      </c>
      <c r="C70" s="26" t="inlineStr">
        <is>
          <t>Compliance &amp; security</t>
        </is>
      </c>
      <c r="D70" s="26" t="inlineStr">
        <is>
          <t>Audit log for admin-sensitive actions</t>
        </is>
      </c>
      <c r="E70" s="26" t="n">
        <v>5</v>
      </c>
      <c r="F70" s="26" t="inlineStr">
        <is>
          <t>P1</t>
        </is>
      </c>
      <c r="G70" s="26" t="inlineStr">
        <is>
          <t>S8</t>
        </is>
      </c>
      <c r="H70" s="26" t="inlineStr">
        <is>
          <t>SCR-6 Settings &amp; team</t>
        </is>
      </c>
      <c r="I70" s="26" t="inlineStr">
        <is>
          <t>Integration test + manual QA</t>
        </is>
      </c>
      <c r="J70" s="33" t="inlineStr">
        <is>
          <t>Done-in-code</t>
        </is>
      </c>
      <c r="K70" s="35" t="inlineStr">
        <is>
          <t>v015 13 Sep 10:22 — src/security.ts AdminAuditLog hash chain; edit and deletion both detected in tests | 100% x4</t>
        </is>
      </c>
    </row>
    <row r="71" ht="15" customHeight="1" s="22">
      <c r="A71" s="26" t="inlineStr">
        <is>
          <t>ST-068</t>
        </is>
      </c>
      <c r="B71" s="26" t="inlineStr">
        <is>
          <t>E6</t>
        </is>
      </c>
      <c r="C71" s="26" t="inlineStr">
        <is>
          <t>Compliance &amp; security</t>
        </is>
      </c>
      <c r="D71" s="26" t="inlineStr">
        <is>
          <t>Pen-test (or platform-required evidence) completed and archived</t>
        </is>
      </c>
      <c r="E71" s="26" t="n">
        <v>8</v>
      </c>
      <c r="F71" s="26" t="inlineStr">
        <is>
          <t>P0</t>
        </is>
      </c>
      <c r="G71" s="26" t="inlineStr">
        <is>
          <t>S9</t>
        </is>
      </c>
      <c r="H71" s="26" t="inlineStr">
        <is>
          <t>SCR-6 Settings &amp; team</t>
        </is>
      </c>
      <c r="I71" s="26" t="inlineStr">
        <is>
          <t>E2E test + demo</t>
        </is>
      </c>
      <c r="J71" s="36" t="inlineStr">
        <is>
          <t>In progress</t>
        </is>
      </c>
      <c r="K71" s="35" t="inlineStr">
        <is>
          <t>v016 13 Sep 10:35 — src/reviewPrep.ts evidence pack + SECURITY_EVIDENCE_PACK.md; 6 of 9 controls verified in code. NOT DONE: SC-08 third-party pen test not started (E026).</t>
        </is>
      </c>
    </row>
    <row r="72" ht="15" customHeight="1" s="22">
      <c r="A72" s="26" t="inlineStr">
        <is>
          <t>ST-069</t>
        </is>
      </c>
      <c r="B72" s="26" t="inlineStr">
        <is>
          <t>E6</t>
        </is>
      </c>
      <c r="C72" s="26" t="inlineStr">
        <is>
          <t>Compliance &amp; security</t>
        </is>
      </c>
      <c r="D72" s="26" t="inlineStr">
        <is>
          <t>Data export + delete-my-data self-serve</t>
        </is>
      </c>
      <c r="E72" s="26" t="n">
        <v>5</v>
      </c>
      <c r="F72" s="26" t="inlineStr">
        <is>
          <t>P0</t>
        </is>
      </c>
      <c r="G72" s="26" t="inlineStr">
        <is>
          <t>S9</t>
        </is>
      </c>
      <c r="H72" s="26" t="inlineStr">
        <is>
          <t>SCR-6 Settings &amp; team</t>
        </is>
      </c>
      <c r="I72" s="26" t="inlineStr">
        <is>
          <t>E2E test + demo</t>
        </is>
      </c>
      <c r="J72" s="33" t="inlineStr">
        <is>
          <t>Done-in-code</t>
        </is>
      </c>
      <c r="K72" s="35" t="inlineStr">
        <is>
          <t>v016 13 Sep 10:35 — SelfServeDataRights export (stated exclusions) + owner-only deletion with cancellable grace | 100% x4</t>
        </is>
      </c>
    </row>
    <row r="73" ht="15" customHeight="1" s="22">
      <c r="A73" s="26" t="inlineStr">
        <is>
          <t>ST-070</t>
        </is>
      </c>
      <c r="B73" s="26" t="inlineStr">
        <is>
          <t>E6</t>
        </is>
      </c>
      <c r="C73" s="26" t="inlineStr">
        <is>
          <t>Compliance &amp; security</t>
        </is>
      </c>
      <c r="D73" s="26" t="inlineStr">
        <is>
          <t>Rate-limit backoff + circuit breaker on platform APIs</t>
        </is>
      </c>
      <c r="E73" s="26" t="n">
        <v>5</v>
      </c>
      <c r="F73" s="26" t="inlineStr">
        <is>
          <t>P0</t>
        </is>
      </c>
      <c r="G73" s="26" t="inlineStr">
        <is>
          <t>S8</t>
        </is>
      </c>
      <c r="H73" s="26" t="inlineStr">
        <is>
          <t>SCR-6 Settings &amp; team</t>
        </is>
      </c>
      <c r="I73" s="26" t="inlineStr">
        <is>
          <t>E2E test + demo</t>
        </is>
      </c>
      <c r="J73" s="33" t="inlineStr">
        <is>
          <t>Done-in-code</t>
        </is>
      </c>
      <c r="K73" s="35" t="inlineStr">
        <is>
          <t>v015 13 Sep 10:22 — src/security.ts CircuitBreaker closed/open/half-open + re-trip; fast-fail proven not to call the failing service | 100% x4</t>
        </is>
      </c>
    </row>
    <row r="74" ht="45.75" customHeight="1" s="22">
      <c r="A74" s="26" t="inlineStr">
        <is>
          <t>ST-071</t>
        </is>
      </c>
      <c r="B74" s="26" t="inlineStr">
        <is>
          <t>E7</t>
        </is>
      </c>
      <c r="C74" s="26" t="inlineStr">
        <is>
          <t>Telemetry &amp; analytics</t>
        </is>
      </c>
      <c r="D74" s="26" t="inlineStr">
        <is>
          <t>Activation funnel events (install-&gt;setup-&gt;aha-&gt;habit) in one dashboard</t>
        </is>
      </c>
      <c r="E74" s="26" t="n">
        <v>5</v>
      </c>
      <c r="F74" s="26" t="inlineStr">
        <is>
          <t>P0</t>
        </is>
      </c>
      <c r="G74" s="26" t="inlineStr">
        <is>
          <t>S4</t>
        </is>
      </c>
      <c r="H74" s="26" t="inlineStr">
        <is>
          <t>SCR-8 Analytics</t>
        </is>
      </c>
      <c r="I74" s="26" t="inlineStr">
        <is>
          <t>E2E test + demo</t>
        </is>
      </c>
      <c r="J74" s="33" t="inlineStr">
        <is>
          <t>Done-in-code</t>
        </is>
      </c>
      <c r="K74" s="35" t="inlineStr">
        <is>
          <t>v011 22:52 — src/observability.ts (ActivationFunnel: reach with implied earlier stages, idempotent; dashboard counts + stage-to-stage conversions) | tests/observability.test.ts (implication/idempotence, conversion rates, empty funnel zero rates, stage order); e2e.smoke.test.ts funnel checks | 100% stmt/branch/func/line</t>
        </is>
      </c>
    </row>
    <row r="75" ht="45.75" customHeight="1" s="22">
      <c r="A75" s="26" t="inlineStr">
        <is>
          <t>ST-072</t>
        </is>
      </c>
      <c r="B75" s="26" t="inlineStr">
        <is>
          <t>E7</t>
        </is>
      </c>
      <c r="C75" s="26" t="inlineStr">
        <is>
          <t>Telemetry &amp; analytics</t>
        </is>
      </c>
      <c r="D75" s="26" t="inlineStr">
        <is>
          <t>Error tracking with release tagging; alert on error-rate spike</t>
        </is>
      </c>
      <c r="E75" s="26" t="n">
        <v>3</v>
      </c>
      <c r="F75" s="26" t="inlineStr">
        <is>
          <t>P0</t>
        </is>
      </c>
      <c r="G75" s="26" t="inlineStr">
        <is>
          <t>S4</t>
        </is>
      </c>
      <c r="H75" s="26" t="inlineStr">
        <is>
          <t>SCR-8 Analytics</t>
        </is>
      </c>
      <c r="I75" s="26" t="inlineStr">
        <is>
          <t>E2E test + demo</t>
        </is>
      </c>
      <c r="J75" s="33" t="inlineStr">
        <is>
          <t>Done-in-code</t>
        </is>
      </c>
      <c r="K75" s="35" t="inlineStr">
        <is>
          <t>v011 22:52 — src/observability.ts (ErrorTracker: release-tagged capture, countsByRelease, spike alert current &gt; factor x previous with min floor, one-shot until acknowledge) | tests/observability.test.ts (counts, floor silence, spike alert once, within-factor silence, per-release independence, acknowledge re-arm, default clock) | 100% stmt/branch/func/line</t>
        </is>
      </c>
    </row>
    <row r="76" ht="15" customHeight="1" s="22">
      <c r="A76" s="26" t="inlineStr">
        <is>
          <t>ST-073</t>
        </is>
      </c>
      <c r="B76" s="26" t="inlineStr">
        <is>
          <t>E7</t>
        </is>
      </c>
      <c r="C76" s="26" t="inlineStr">
        <is>
          <t>Telemetry &amp; analytics</t>
        </is>
      </c>
      <c r="D76" s="26" t="inlineStr">
        <is>
          <t>Feature-usage heatmap for roadmap decisions</t>
        </is>
      </c>
      <c r="E76" s="26" t="n">
        <v>3</v>
      </c>
      <c r="F76" s="26" t="inlineStr">
        <is>
          <t>P2</t>
        </is>
      </c>
      <c r="G76" s="26" t="inlineStr">
        <is>
          <t>S8</t>
        </is>
      </c>
      <c r="H76" s="26" t="inlineStr">
        <is>
          <t>SCR-8 Analytics</t>
        </is>
      </c>
      <c r="I76" s="26" t="inlineStr">
        <is>
          <t>Manual QA</t>
        </is>
      </c>
      <c r="J76" s="33" t="inlineStr">
        <is>
          <t>Done-in-code</t>
        </is>
      </c>
      <c r="K76" s="35" t="inlineStr">
        <is>
          <t>v015 13 Sep 10:22 — see product workbook v015 Traceability row ST-073 for module/test detail | 100% x4</t>
        </is>
      </c>
    </row>
    <row r="77" ht="15" customHeight="1" s="22">
      <c r="A77" s="26" t="inlineStr">
        <is>
          <t>ST-074</t>
        </is>
      </c>
      <c r="B77" s="26" t="inlineStr">
        <is>
          <t>E7</t>
        </is>
      </c>
      <c r="C77" s="26" t="inlineStr">
        <is>
          <t>Telemetry &amp; analytics</t>
        </is>
      </c>
      <c r="D77" s="26" t="inlineStr">
        <is>
          <t>Weekly automated metrics email to team</t>
        </is>
      </c>
      <c r="E77" s="26" t="n">
        <v>2</v>
      </c>
      <c r="F77" s="26" t="inlineStr">
        <is>
          <t>P2</t>
        </is>
      </c>
      <c r="G77" s="26" t="inlineStr">
        <is>
          <t>S8</t>
        </is>
      </c>
      <c r="H77" s="26" t="inlineStr">
        <is>
          <t>SCR-8 Analytics</t>
        </is>
      </c>
      <c r="I77" s="26" t="inlineStr">
        <is>
          <t>Manual QA</t>
        </is>
      </c>
      <c r="J77" s="33" t="inlineStr">
        <is>
          <t>Done-in-code</t>
        </is>
      </c>
      <c r="K77" s="35" t="inlineStr">
        <is>
          <t>v015 13 Sep 10:22 — see product workbook v015 Traceability row ST-074 for module/test detail | 100% x4</t>
        </is>
      </c>
    </row>
    <row r="78" ht="15" customHeight="1" s="22">
      <c r="A78" s="26" t="inlineStr">
        <is>
          <t>ST-075</t>
        </is>
      </c>
      <c r="B78" s="26" t="inlineStr">
        <is>
          <t>E7</t>
        </is>
      </c>
      <c r="C78" s="26" t="inlineStr">
        <is>
          <t>Telemetry &amp; analytics</t>
        </is>
      </c>
      <c r="D78" s="26" t="inlineStr">
        <is>
          <t>Health score computed per account (usage+billing+support)</t>
        </is>
      </c>
      <c r="E78" s="26" t="n">
        <v>5</v>
      </c>
      <c r="F78" s="26" t="inlineStr">
        <is>
          <t>P1</t>
        </is>
      </c>
      <c r="G78" s="26" t="inlineStr">
        <is>
          <t>S8</t>
        </is>
      </c>
      <c r="H78" s="26" t="inlineStr">
        <is>
          <t>SCR-8 Analytics</t>
        </is>
      </c>
      <c r="I78" s="26" t="inlineStr">
        <is>
          <t>Integration test + manual QA</t>
        </is>
      </c>
      <c r="J78" s="33" t="inlineStr">
        <is>
          <t>Done-in-code</t>
        </is>
      </c>
      <c r="K78" s="35" t="inlineStr">
        <is>
          <t>v015 13 Sep 10:22 — see product workbook v015 Traceability row ST-075 for module/test detail | 100% x4</t>
        </is>
      </c>
    </row>
    <row r="79" ht="15" customHeight="1" s="22">
      <c r="A79" s="26" t="inlineStr">
        <is>
          <t>ST-076</t>
        </is>
      </c>
      <c r="B79" s="26" t="inlineStr">
        <is>
          <t>E7</t>
        </is>
      </c>
      <c r="C79" s="26" t="inlineStr">
        <is>
          <t>Telemetry &amp; analytics</t>
        </is>
      </c>
      <c r="D79" s="26" t="inlineStr">
        <is>
          <t>Metrics export to CSV/warehouse for founder analysis</t>
        </is>
      </c>
      <c r="E79" s="26" t="n">
        <v>3</v>
      </c>
      <c r="F79" s="26" t="inlineStr">
        <is>
          <t>P2</t>
        </is>
      </c>
      <c r="G79" s="26" t="inlineStr">
        <is>
          <t>S8</t>
        </is>
      </c>
      <c r="H79" s="26" t="inlineStr">
        <is>
          <t>SCR-8 Analytics</t>
        </is>
      </c>
      <c r="I79" s="26" t="inlineStr">
        <is>
          <t>Manual QA</t>
        </is>
      </c>
      <c r="J79" s="33" t="inlineStr">
        <is>
          <t>Done-in-code</t>
        </is>
      </c>
      <c r="K79" s="35" t="inlineStr">
        <is>
          <t>v015 13 Sep 10:22 — see product workbook v015 Traceability row ST-076 for module/test detail | 100% x4</t>
        </is>
      </c>
    </row>
    <row r="80" ht="15" customHeight="1" s="22">
      <c r="A80" s="26" t="inlineStr">
        <is>
          <t>ST-077</t>
        </is>
      </c>
      <c r="B80" s="26" t="inlineStr">
        <is>
          <t>E7</t>
        </is>
      </c>
      <c r="C80" s="26" t="inlineStr">
        <is>
          <t>Telemetry &amp; analytics</t>
        </is>
      </c>
      <c r="D80" s="26" t="inlineStr">
        <is>
          <t>Alert thresholds configurable (activation drop, error spike, churn signal)</t>
        </is>
      </c>
      <c r="E80" s="26" t="n">
        <v>3</v>
      </c>
      <c r="F80" s="26" t="inlineStr">
        <is>
          <t>P2</t>
        </is>
      </c>
      <c r="G80" s="26" t="inlineStr">
        <is>
          <t>S8</t>
        </is>
      </c>
      <c r="H80" s="26" t="inlineStr">
        <is>
          <t>SCR-8 Analytics</t>
        </is>
      </c>
      <c r="I80" s="26" t="inlineStr">
        <is>
          <t>Manual QA</t>
        </is>
      </c>
      <c r="J80" s="33" t="inlineStr">
        <is>
          <t>Done-in-code</t>
        </is>
      </c>
      <c r="K80" s="35" t="inlineStr">
        <is>
          <t>v015 13 Sep 10:22 — see product workbook v015 Traceability row ST-077 for module/test detail | 100% x4</t>
        </is>
      </c>
    </row>
    <row r="81" ht="45.75" customHeight="1" s="22">
      <c r="A81" s="26" t="inlineStr">
        <is>
          <t>ST-078</t>
        </is>
      </c>
      <c r="B81" s="26" t="inlineStr">
        <is>
          <t>E8</t>
        </is>
      </c>
      <c r="C81" s="26" t="inlineStr">
        <is>
          <t>Onboarding/docs/support</t>
        </is>
      </c>
      <c r="D81" s="26" t="inlineStr">
        <is>
          <t>First-run checklist reaches aha-moment in &lt;1 day</t>
        </is>
      </c>
      <c r="E81" s="26" t="n">
        <v>5</v>
      </c>
      <c r="F81" s="26" t="inlineStr">
        <is>
          <t>P0</t>
        </is>
      </c>
      <c r="G81" s="26" t="inlineStr">
        <is>
          <t>S5</t>
        </is>
      </c>
      <c r="H81" s="26" t="inlineStr">
        <is>
          <t>SCR-1 / SCR-9</t>
        </is>
      </c>
      <c r="I81" s="26" t="inlineStr">
        <is>
          <t>E2E test + demo</t>
        </is>
      </c>
      <c r="J81" s="33" t="inlineStr">
        <is>
          <t>Done-in-code</t>
        </is>
      </c>
      <c r="K81" s="35" t="inlineStr">
        <is>
          <t>v012 23:03 — src/esignOps.ts (FirstRunChecklist: 4 ordered steps, aha = generate_first_document, &lt;1-day budget verdict, idempotent first-completion-wins) | tests/esignOps.test.ts (step order + hints, aha within budget, over-budget honesty, idempotence, default clock) | 100% stmt/branch/func/line</t>
        </is>
      </c>
    </row>
    <row r="82" ht="34.5" customHeight="1" s="22">
      <c r="A82" s="26" t="inlineStr">
        <is>
          <t>ST-079</t>
        </is>
      </c>
      <c r="B82" s="26" t="inlineStr">
        <is>
          <t>E8</t>
        </is>
      </c>
      <c r="C82" s="26" t="inlineStr">
        <is>
          <t>Onboarding/docs/support</t>
        </is>
      </c>
      <c r="D82" s="26" t="inlineStr">
        <is>
          <t>Empty states teach next action on every screen</t>
        </is>
      </c>
      <c r="E82" s="26" t="n">
        <v>3</v>
      </c>
      <c r="F82" s="26" t="inlineStr">
        <is>
          <t>P1</t>
        </is>
      </c>
      <c r="G82" s="26" t="inlineStr">
        <is>
          <t>S5</t>
        </is>
      </c>
      <c r="H82" s="26" t="inlineStr">
        <is>
          <t>SCR-1 / SCR-9</t>
        </is>
      </c>
      <c r="I82" s="26" t="inlineStr">
        <is>
          <t>Integration test + manual QA</t>
        </is>
      </c>
      <c r="J82" s="33" t="inlineStr">
        <is>
          <t>Done-in-code</t>
        </is>
      </c>
      <c r="K82" s="35" t="inlineStr">
        <is>
          <t>v012 23:03 — src/esignOps.ts (EMPTY_STATES registry: all 9 Screens_Wireframes screens with message + actionLabel; getEmptyState copy) | tests/esignOps.test.ts (all 9 screens asserted non-trivial, defensive copy) | 100% stmt/branch/func/line</t>
        </is>
      </c>
    </row>
    <row r="83" ht="15" customHeight="1" s="22">
      <c r="A83" s="26" t="inlineStr">
        <is>
          <t>ST-080</t>
        </is>
      </c>
      <c r="B83" s="26" t="inlineStr">
        <is>
          <t>E8</t>
        </is>
      </c>
      <c r="C83" s="26" t="inlineStr">
        <is>
          <t>Onboarding/docs/support</t>
        </is>
      </c>
      <c r="D83" s="26" t="inlineStr">
        <is>
          <t>Help center with 15 launch articles + search</t>
        </is>
      </c>
      <c r="E83" s="26" t="n">
        <v>5</v>
      </c>
      <c r="F83" s="26" t="inlineStr">
        <is>
          <t>P1</t>
        </is>
      </c>
      <c r="G83" s="26" t="inlineStr">
        <is>
          <t>S10</t>
        </is>
      </c>
      <c r="H83" s="26" t="inlineStr">
        <is>
          <t>SCR-1 / SCR-9</t>
        </is>
      </c>
      <c r="I83" s="26" t="inlineStr">
        <is>
          <t>Integration test + manual QA</t>
        </is>
      </c>
      <c r="J83" s="33" t="inlineStr">
        <is>
          <t>Done-in-code</t>
        </is>
      </c>
      <c r="K83" s="35" t="inlineStr">
        <is>
          <t>v017 13 Sep 10:43 — src/helpCenter.ts 15 articles + weighted search + coverage report | 100% x4</t>
        </is>
      </c>
    </row>
    <row r="84" ht="15" customHeight="1" s="22">
      <c r="A84" s="26" t="inlineStr">
        <is>
          <t>ST-081</t>
        </is>
      </c>
      <c r="B84" s="26" t="inlineStr">
        <is>
          <t>E8</t>
        </is>
      </c>
      <c r="C84" s="26" t="inlineStr">
        <is>
          <t>Onboarding/docs/support</t>
        </is>
      </c>
      <c r="D84" s="26" t="inlineStr">
        <is>
          <t>In-app chat with &lt;4 business-hr first response</t>
        </is>
      </c>
      <c r="E84" s="26" t="n">
        <v>3</v>
      </c>
      <c r="F84" s="26" t="inlineStr">
        <is>
          <t>P0</t>
        </is>
      </c>
      <c r="G84" s="26" t="inlineStr">
        <is>
          <t>S10</t>
        </is>
      </c>
      <c r="H84" s="26" t="inlineStr">
        <is>
          <t>SCR-1 / SCR-9</t>
        </is>
      </c>
      <c r="I84" s="26" t="inlineStr">
        <is>
          <t>E2E test + demo</t>
        </is>
      </c>
      <c r="J84" s="33" t="inlineStr">
        <is>
          <t>Done-in-code</t>
        </is>
      </c>
      <c r="K84" s="35" t="inlineStr">
        <is>
          <t>v017 13 Sep 10:43 — SupportInbox, business-hours SLA (weekend-safe), urgent tier, breach queue | 100% x4. Staffing (CL-15) owed.</t>
        </is>
      </c>
    </row>
    <row r="85" ht="15" customHeight="1" s="22">
      <c r="A85" s="26" t="inlineStr">
        <is>
          <t>ST-082</t>
        </is>
      </c>
      <c r="B85" s="26" t="inlineStr">
        <is>
          <t>E8</t>
        </is>
      </c>
      <c r="C85" s="26" t="inlineStr">
        <is>
          <t>Onboarding/docs/support</t>
        </is>
      </c>
      <c r="D85" s="26" t="inlineStr">
        <is>
          <t>In-app review ask after aha-moment (marketplace rating engine)</t>
        </is>
      </c>
      <c r="E85" s="26" t="n">
        <v>3</v>
      </c>
      <c r="F85" s="26" t="inlineStr">
        <is>
          <t>P1</t>
        </is>
      </c>
      <c r="G85" s="26" t="inlineStr">
        <is>
          <t>S11</t>
        </is>
      </c>
      <c r="H85" s="26" t="inlineStr">
        <is>
          <t>SCR-1 / SCR-9</t>
        </is>
      </c>
      <c r="I85" s="26" t="inlineStr">
        <is>
          <t>Integration test + manual QA</t>
        </is>
      </c>
      <c r="J85" s="33" t="inlineStr">
        <is>
          <t>Done-in-code</t>
        </is>
      </c>
      <c r="K85" s="35" t="inlineStr">
        <is>
          <t>v018 13 Sep 10:58 — src/launchOps.ts shouldAskForReview + ReviewPrompter; every suppression rule tested | 100% x4</t>
        </is>
      </c>
    </row>
    <row r="86" ht="15" customHeight="1" s="22">
      <c r="A86" s="26" t="inlineStr">
        <is>
          <t>ST-083</t>
        </is>
      </c>
      <c r="B86" s="26" t="inlineStr">
        <is>
          <t>E8</t>
        </is>
      </c>
      <c r="C86" s="26" t="inlineStr">
        <is>
          <t>Onboarding/docs/support</t>
        </is>
      </c>
      <c r="D86" s="26" t="inlineStr">
        <is>
          <t>Demo video (2 min) + interactive sandbox/demo data mode</t>
        </is>
      </c>
      <c r="E86" s="26" t="n">
        <v>5</v>
      </c>
      <c r="F86" s="26" t="inlineStr">
        <is>
          <t>P1</t>
        </is>
      </c>
      <c r="G86" s="26" t="inlineStr">
        <is>
          <t>S10</t>
        </is>
      </c>
      <c r="H86" s="26" t="inlineStr">
        <is>
          <t>SCR-1 / SCR-9</t>
        </is>
      </c>
      <c r="I86" s="26" t="inlineStr">
        <is>
          <t>Integration test + manual QA</t>
        </is>
      </c>
      <c r="J86" s="36" t="inlineStr">
        <is>
          <t>In progress</t>
        </is>
      </c>
      <c r="K86" s="35" t="inlineStr">
        <is>
          <t>v017 13 Sep 10:43 — SandboxMode + DEMO_DATASET complete | 100% x4. NOT DONE: 2-minute demo video needs a running app (S10-05).</t>
        </is>
      </c>
    </row>
    <row r="87" ht="15" customHeight="1" s="22">
      <c r="A87" s="26" t="inlineStr">
        <is>
          <t>ST-084</t>
        </is>
      </c>
      <c r="B87" s="26" t="inlineStr">
        <is>
          <t>E8</t>
        </is>
      </c>
      <c r="C87" s="26" t="inlineStr">
        <is>
          <t>Onboarding/docs/support</t>
        </is>
      </c>
      <c r="D87" s="26" t="inlineStr">
        <is>
          <t>Status page + incident comms template</t>
        </is>
      </c>
      <c r="E87" s="26" t="n">
        <v>2</v>
      </c>
      <c r="F87" s="26" t="inlineStr">
        <is>
          <t>P2</t>
        </is>
      </c>
      <c r="G87" s="26" t="inlineStr">
        <is>
          <t>S10</t>
        </is>
      </c>
      <c r="H87" s="26" t="inlineStr">
        <is>
          <t>SCR-1 / SCR-9</t>
        </is>
      </c>
      <c r="I87" s="26" t="inlineStr">
        <is>
          <t>Manual QA</t>
        </is>
      </c>
      <c r="J87" s="33" t="inlineStr">
        <is>
          <t>Done-in-code</t>
        </is>
      </c>
      <c r="K87" s="35" t="inlineStr">
        <is>
          <t>v017 13 Sep 10:43 — StatusPage worst-wins + incident templates + overdue chasing | 100% x4. Hosting (CL-17) owed.</t>
        </is>
      </c>
    </row>
    <row r="88" ht="34.5" customHeight="1" s="22">
      <c r="A88" s="26" t="inlineStr">
        <is>
          <t>ST-085</t>
        </is>
      </c>
      <c r="B88" s="26" t="inlineStr">
        <is>
          <t>EQ</t>
        </is>
      </c>
      <c r="C88" s="26" t="inlineStr">
        <is>
          <t>Quality engineering</t>
        </is>
      </c>
      <c r="D88" s="26" t="inlineStr">
        <is>
          <t>Unit+integration test coverage gate ≥70% on core modules</t>
        </is>
      </c>
      <c r="E88" s="26" t="n">
        <v>5</v>
      </c>
      <c r="F88" s="26" t="inlineStr">
        <is>
          <t>P0</t>
        </is>
      </c>
      <c r="G88" s="26" t="inlineStr">
        <is>
          <t>S3</t>
        </is>
      </c>
      <c r="H88" s="26" t="inlineStr">
        <is>
          <t>CI / all screens</t>
        </is>
      </c>
      <c r="I88" s="26" t="inlineStr">
        <is>
          <t>E2E test + demo</t>
        </is>
      </c>
      <c r="J88" s="33" t="inlineStr">
        <is>
          <t>Done-in-code</t>
        </is>
      </c>
      <c r="K88" s="35" t="inlineStr">
        <is>
          <t>v010 22:29 — SUPERSEDED by D13: coverage gate pinned at 100% (not ≥70%) in package.json jest coverageThreshold — build fails below 100 | Every suite runs under the gate; evidence: 150/150 tests, 100/100/100/100 all 15 modules | 100% stmt/branch/func/line</t>
        </is>
      </c>
    </row>
    <row r="89" ht="45.75" customHeight="1" s="22">
      <c r="A89" s="26" t="inlineStr">
        <is>
          <t>ST-086</t>
        </is>
      </c>
      <c r="B89" s="26" t="inlineStr">
        <is>
          <t>EQ</t>
        </is>
      </c>
      <c r="C89" s="26" t="inlineStr">
        <is>
          <t>Quality engineering</t>
        </is>
      </c>
      <c r="D89" s="26" t="inlineStr">
        <is>
          <t>E2E smoke suite runs on every deploy</t>
        </is>
      </c>
      <c r="E89" s="26" t="n">
        <v>5</v>
      </c>
      <c r="F89" s="26" t="inlineStr">
        <is>
          <t>P0</t>
        </is>
      </c>
      <c r="G89" s="26" t="inlineStr">
        <is>
          <t>S4</t>
        </is>
      </c>
      <c r="H89" s="26" t="inlineStr">
        <is>
          <t>CI / all screens</t>
        </is>
      </c>
      <c r="I89" s="26" t="inlineStr">
        <is>
          <t>E2E test + demo</t>
        </is>
      </c>
      <c r="J89" s="33" t="inlineStr">
        <is>
          <t>Done-in-code</t>
        </is>
      </c>
      <c r="K89" s="35" t="inlineStr">
        <is>
          <t>v011 22:52 — tests/e2e.smoke.test.ts (10-step full product loop) + .github/workflows/ci.yml (deploy job needs smoke job; smoke runs npm run test:smoke; test job runs 100%-gated jest first) + package.json test:smoke script | Smoke suite green standalone (npm run test:smoke) and inside the full 180-test run | 100% stmt/branch/func/line</t>
        </is>
      </c>
    </row>
    <row r="90" ht="15" customHeight="1" s="22">
      <c r="A90" s="26" t="inlineStr">
        <is>
          <t>ST-087</t>
        </is>
      </c>
      <c r="B90" s="26" t="inlineStr">
        <is>
          <t>EQ</t>
        </is>
      </c>
      <c r="C90" s="26" t="inlineStr">
        <is>
          <t>Quality engineering</t>
        </is>
      </c>
      <c r="D90" s="26" t="inlineStr">
        <is>
          <t>p95 latency budgets defined and monitored per surface</t>
        </is>
      </c>
      <c r="E90" s="26" t="n">
        <v>3</v>
      </c>
      <c r="F90" s="26" t="inlineStr">
        <is>
          <t>P0</t>
        </is>
      </c>
      <c r="G90" s="26" t="inlineStr">
        <is>
          <t>S8</t>
        </is>
      </c>
      <c r="H90" s="26" t="inlineStr">
        <is>
          <t>CI / all screens</t>
        </is>
      </c>
      <c r="I90" s="26" t="inlineStr">
        <is>
          <t>E2E test + demo</t>
        </is>
      </c>
      <c r="J90" s="33" t="inlineStr">
        <is>
          <t>Done-in-code</t>
        </is>
      </c>
      <c r="K90" s="35" t="inlineStr">
        <is>
          <t>v015 13 Sep 10:22 — see product workbook v015 Traceability row ST-087 for module/test detail | 100% x4</t>
        </is>
      </c>
    </row>
    <row r="91" ht="15" customHeight="1" s="22">
      <c r="A91" s="26" t="inlineStr">
        <is>
          <t>ST-088</t>
        </is>
      </c>
      <c r="B91" s="26" t="inlineStr">
        <is>
          <t>EQ</t>
        </is>
      </c>
      <c r="C91" s="26" t="inlineStr">
        <is>
          <t>Quality engineering</t>
        </is>
      </c>
      <c r="D91" s="26" t="inlineStr">
        <is>
          <t>Load test at 5x expected launch traffic</t>
        </is>
      </c>
      <c r="E91" s="26" t="n">
        <v>5</v>
      </c>
      <c r="F91" s="26" t="inlineStr">
        <is>
          <t>P1</t>
        </is>
      </c>
      <c r="G91" s="26" t="inlineStr">
        <is>
          <t>S8</t>
        </is>
      </c>
      <c r="H91" s="26" t="inlineStr">
        <is>
          <t>CI / all screens</t>
        </is>
      </c>
      <c r="I91" s="26" t="inlineStr">
        <is>
          <t>Integration test + manual QA</t>
        </is>
      </c>
      <c r="J91" s="33" t="inlineStr">
        <is>
          <t>Done-in-code</t>
        </is>
      </c>
      <c r="K91" s="35" t="inlineStr">
        <is>
          <t>v015 13 Sep 10:22 — src/performance.ts runLoadTest, deterministic so it runs every commit; p95 + error-ceiling judgement | 100% x4</t>
        </is>
      </c>
    </row>
    <row r="92" ht="15" customHeight="1" s="22">
      <c r="A92" s="26" t="inlineStr">
        <is>
          <t>ST-089</t>
        </is>
      </c>
      <c r="B92" s="26" t="inlineStr">
        <is>
          <t>EQ</t>
        </is>
      </c>
      <c r="C92" s="26" t="inlineStr">
        <is>
          <t>Quality engineering</t>
        </is>
      </c>
      <c r="D92" s="26" t="inlineStr">
        <is>
          <t>Accessibility WCAG AA pass on primary flows</t>
        </is>
      </c>
      <c r="E92" s="26" t="n">
        <v>3</v>
      </c>
      <c r="F92" s="26" t="inlineStr">
        <is>
          <t>P1</t>
        </is>
      </c>
      <c r="G92" s="26" t="inlineStr">
        <is>
          <t>S9</t>
        </is>
      </c>
      <c r="H92" s="26" t="inlineStr">
        <is>
          <t>CI / all screens</t>
        </is>
      </c>
      <c r="I92" s="26" t="inlineStr">
        <is>
          <t>Integration test + manual QA</t>
        </is>
      </c>
      <c r="J92" s="33" t="inlineStr">
        <is>
          <t>Done-in-code</t>
        </is>
      </c>
      <c r="K92" s="35" t="inlineStr">
        <is>
          <t>v016 13 Sep 10:35 — WCAG AA audit, real contrast maths, shipped palette passes | 100% x4</t>
        </is>
      </c>
    </row>
    <row r="93" ht="15" customHeight="1" s="22">
      <c r="A93" s="26" t="inlineStr">
        <is>
          <t>ST-090</t>
        </is>
      </c>
      <c r="B93" s="26" t="inlineStr">
        <is>
          <t>EQ</t>
        </is>
      </c>
      <c r="C93" s="26" t="inlineStr">
        <is>
          <t>Quality engineering</t>
        </is>
      </c>
      <c r="D93" s="26" t="inlineStr">
        <is>
          <t>Backup + restore drill executed</t>
        </is>
      </c>
      <c r="E93" s="26" t="n">
        <v>3</v>
      </c>
      <c r="F93" s="26" t="inlineStr">
        <is>
          <t>P1</t>
        </is>
      </c>
      <c r="G93" s="26" t="inlineStr">
        <is>
          <t>S9</t>
        </is>
      </c>
      <c r="H93" s="26" t="inlineStr">
        <is>
          <t>CI / all screens</t>
        </is>
      </c>
      <c r="I93" s="26" t="inlineStr">
        <is>
          <t>Integration test + manual QA</t>
        </is>
      </c>
      <c r="J93" s="33" t="inlineStr">
        <is>
          <t>Done-in-code</t>
        </is>
      </c>
      <c r="K93" s="35" t="inlineStr">
        <is>
          <t>v016 13 Sep 10:35 — runRestoreDrill verifies contents + RTO/RPO; omitted-table case | 100% x4. Harness only (R-D9 class).</t>
        </is>
      </c>
    </row>
    <row r="94" ht="15" customHeight="1" s="22">
      <c r="A94" s="26" t="inlineStr">
        <is>
          <t>ST-091</t>
        </is>
      </c>
      <c r="B94" s="26" t="inlineStr">
        <is>
          <t>EQ</t>
        </is>
      </c>
      <c r="C94" s="26" t="inlineStr">
        <is>
          <t>Quality engineering</t>
        </is>
      </c>
      <c r="D94" s="26" t="inlineStr">
        <is>
          <t>Chaos test: platform API outage degrades gracefully with user comms</t>
        </is>
      </c>
      <c r="E94" s="26" t="n">
        <v>3</v>
      </c>
      <c r="F94" s="26" t="inlineStr">
        <is>
          <t>P2</t>
        </is>
      </c>
      <c r="G94" s="26" t="inlineStr">
        <is>
          <t>S9</t>
        </is>
      </c>
      <c r="H94" s="26" t="inlineStr">
        <is>
          <t>CI / all screens</t>
        </is>
      </c>
      <c r="I94" s="26" t="inlineStr">
        <is>
          <t>Manual QA</t>
        </is>
      </c>
      <c r="J94" s="33" t="inlineStr">
        <is>
          <t>Done-in-code</t>
        </is>
      </c>
      <c r="K94" s="35" t="inlineStr">
        <is>
          <t>v016 13 Sep 10:35 — simulateOutage across 5 dependencies; guards injectable so they can fire | 100% x4</t>
        </is>
      </c>
    </row>
    <row r="95" ht="15" customHeight="1" s="22">
      <c r="A95" s="26" t="inlineStr">
        <is>
          <t>ST-092</t>
        </is>
      </c>
      <c r="B95" s="26" t="inlineStr">
        <is>
          <t>EQ</t>
        </is>
      </c>
      <c r="C95" s="26" t="inlineStr">
        <is>
          <t>Quality engineering</t>
        </is>
      </c>
      <c r="D95" s="26" t="inlineStr">
        <is>
          <t>Zero-downtime deploy verified (blue/green or rolling)</t>
        </is>
      </c>
      <c r="E95" s="26" t="n">
        <v>3</v>
      </c>
      <c r="F95" s="26" t="inlineStr">
        <is>
          <t>P2</t>
        </is>
      </c>
      <c r="G95" s="26" t="inlineStr">
        <is>
          <t>S8</t>
        </is>
      </c>
      <c r="H95" s="26" t="inlineStr">
        <is>
          <t>CI / all screens</t>
        </is>
      </c>
      <c r="I95" s="26" t="inlineStr">
        <is>
          <t>Manual QA</t>
        </is>
      </c>
      <c r="J95" s="33" t="inlineStr">
        <is>
          <t>Done-in-code</t>
        </is>
      </c>
      <c r="K95" s="35" t="inlineStr">
        <is>
          <t>v015 13 Sep 10:22 — src/performance.ts BlueGreenDeployer; pre-cutover abort, both rollback colour paths, droppedRequests measured | 100% x4</t>
        </is>
      </c>
    </row>
    <row r="96" ht="15" customHeight="1" s="22">
      <c r="A96" s="26" t="inlineStr">
        <is>
          <t>ST-093</t>
        </is>
      </c>
      <c r="B96" s="26" t="inlineStr">
        <is>
          <t>EL</t>
        </is>
      </c>
      <c r="C96" s="26" t="inlineStr">
        <is>
          <t>Listing &amp; launch</t>
        </is>
      </c>
      <c r="D96" s="26" t="inlineStr">
        <is>
          <t>Marketplace listing copy A + B variants drafted and reviewed</t>
        </is>
      </c>
      <c r="E96" s="26" t="n">
        <v>3</v>
      </c>
      <c r="F96" s="26" t="inlineStr">
        <is>
          <t>P0</t>
        </is>
      </c>
      <c r="G96" s="26" t="inlineStr">
        <is>
          <t>S9</t>
        </is>
      </c>
      <c r="H96" s="26" t="inlineStr">
        <is>
          <t>Marketplace listing</t>
        </is>
      </c>
      <c r="I96" s="26" t="inlineStr">
        <is>
          <t>E2E test + demo</t>
        </is>
      </c>
      <c r="J96" s="33" t="inlineStr">
        <is>
          <t>Done-in-code</t>
        </is>
      </c>
      <c r="K96" s="35" t="inlineStr">
        <is>
          <t>v016 13 Sep 10:35 — two distinct-angle variants + risky-claim reviewer; LISTING_PACK.md | 100% x4</t>
        </is>
      </c>
    </row>
    <row r="97" ht="15" customHeight="1" s="22">
      <c r="A97" s="26" t="inlineStr">
        <is>
          <t>ST-094</t>
        </is>
      </c>
      <c r="B97" s="26" t="inlineStr">
        <is>
          <t>EL</t>
        </is>
      </c>
      <c r="C97" s="26" t="inlineStr">
        <is>
          <t>Listing &amp; launch</t>
        </is>
      </c>
      <c r="D97" s="26" t="inlineStr">
        <is>
          <t>5 screenshots + 2-min demo video meet platform asset specs</t>
        </is>
      </c>
      <c r="E97" s="26" t="n">
        <v>5</v>
      </c>
      <c r="F97" s="26" t="inlineStr">
        <is>
          <t>P0</t>
        </is>
      </c>
      <c r="G97" s="26" t="inlineStr">
        <is>
          <t>S9</t>
        </is>
      </c>
      <c r="H97" s="26" t="inlineStr">
        <is>
          <t>Marketplace listing</t>
        </is>
      </c>
      <c r="I97" s="26" t="inlineStr">
        <is>
          <t>E2E test + demo</t>
        </is>
      </c>
      <c r="J97" s="33" t="inlineStr">
        <is>
          <t>Done-in-code</t>
        </is>
      </c>
      <c r="K97" s="35" t="inlineStr">
        <is>
          <t>v016 13 Sep 10:35 — validateAssets + 5-screenshot plan | 100% x4. Assets themselves still to be produced (S9-10).</t>
        </is>
      </c>
    </row>
    <row r="98" ht="15" customHeight="1" s="22">
      <c r="A98" s="26" t="inlineStr">
        <is>
          <t>ST-095</t>
        </is>
      </c>
      <c r="B98" s="26" t="inlineStr">
        <is>
          <t>EL</t>
        </is>
      </c>
      <c r="C98" s="26" t="inlineStr">
        <is>
          <t>Listing &amp; launch</t>
        </is>
      </c>
      <c r="D98" s="26" t="inlineStr">
        <is>
          <t>Pricing page/plan matrix published with FAQ</t>
        </is>
      </c>
      <c r="E98" s="26" t="n">
        <v>3</v>
      </c>
      <c r="F98" s="26" t="inlineStr">
        <is>
          <t>P0</t>
        </is>
      </c>
      <c r="G98" s="26" t="inlineStr">
        <is>
          <t>S10</t>
        </is>
      </c>
      <c r="H98" s="26" t="inlineStr">
        <is>
          <t>Marketplace listing</t>
        </is>
      </c>
      <c r="I98" s="26" t="inlineStr">
        <is>
          <t>E2E test + demo</t>
        </is>
      </c>
      <c r="J98" s="33" t="inlineStr">
        <is>
          <t>Done-in-code</t>
        </is>
      </c>
      <c r="K98" s="35" t="inlineStr">
        <is>
          <t>v017 13 Sep 10:43 — buildPlanMatrix from billing code + PRICING_FAQ + drift validator | 100% x4</t>
        </is>
      </c>
    </row>
    <row r="99" ht="15" customHeight="1" s="22">
      <c r="A99" s="26" t="inlineStr">
        <is>
          <t>ST-096</t>
        </is>
      </c>
      <c r="B99" s="26" t="inlineStr">
        <is>
          <t>EL</t>
        </is>
      </c>
      <c r="C99" s="26" t="inlineStr">
        <is>
          <t>Listing &amp; launch</t>
        </is>
      </c>
      <c r="D99" s="26" t="inlineStr">
        <is>
          <t>Security/trust page (data handling, subprocessors) live</t>
        </is>
      </c>
      <c r="E99" s="26" t="n">
        <v>3</v>
      </c>
      <c r="F99" s="26" t="inlineStr">
        <is>
          <t>P0</t>
        </is>
      </c>
      <c r="G99" s="26" t="inlineStr">
        <is>
          <t>S10</t>
        </is>
      </c>
      <c r="H99" s="26" t="inlineStr">
        <is>
          <t>Marketplace listing</t>
        </is>
      </c>
      <c r="I99" s="26" t="inlineStr">
        <is>
          <t>E2E test + demo</t>
        </is>
      </c>
      <c r="J99" s="33" t="inlineStr">
        <is>
          <t>Done-in-code</t>
        </is>
      </c>
      <c r="K99" s="35" t="inlineStr">
        <is>
          <t>v017 13 Sep 10:43 — buildTrustPage from scope manifest/subprocessors/retention + validator | 100% x4. Hosting (CL-06) owed.</t>
        </is>
      </c>
    </row>
    <row r="100" ht="15" customHeight="1" s="22">
      <c r="A100" s="26" t="inlineStr">
        <is>
          <t>ST-097</t>
        </is>
      </c>
      <c r="B100" s="26" t="inlineStr">
        <is>
          <t>EL</t>
        </is>
      </c>
      <c r="C100" s="26" t="inlineStr">
        <is>
          <t>Listing &amp; launch</t>
        </is>
      </c>
      <c r="D100" s="26" t="inlineStr">
        <is>
          <t>Submission dry-run against platform checklist by second reviewer</t>
        </is>
      </c>
      <c r="E100" s="26" t="n">
        <v>3</v>
      </c>
      <c r="F100" s="26" t="inlineStr">
        <is>
          <t>P0</t>
        </is>
      </c>
      <c r="G100" s="26" t="inlineStr">
        <is>
          <t>S10</t>
        </is>
      </c>
      <c r="H100" s="26" t="inlineStr">
        <is>
          <t>Marketplace listing</t>
        </is>
      </c>
      <c r="I100" s="26" t="inlineStr">
        <is>
          <t>E2E test + demo</t>
        </is>
      </c>
      <c r="J100" s="33" t="inlineStr">
        <is>
          <t>Done-in-code</t>
        </is>
      </c>
      <c r="K100" s="35" t="inlineStr">
        <is>
          <t>v017 13 Sep 10:43 — runSubmissionDryRun + SUBMISSION_DRY_RUN.md | VERDICT NOT READY: 10/20 satisfied, 10 blocking | 100% x4</t>
        </is>
      </c>
    </row>
    <row r="101" ht="15" customHeight="1" s="22">
      <c r="A101" s="26" t="inlineStr">
        <is>
          <t>ST-098</t>
        </is>
      </c>
      <c r="B101" s="26" t="inlineStr">
        <is>
          <t>EL</t>
        </is>
      </c>
      <c r="C101" s="26" t="inlineStr">
        <is>
          <t>Listing &amp; launch</t>
        </is>
      </c>
      <c r="D101" s="26" t="inlineStr">
        <is>
          <t>Launch-day runbook: monitoring, rollback, comms tree</t>
        </is>
      </c>
      <c r="E101" s="26" t="n">
        <v>3</v>
      </c>
      <c r="F101" s="26" t="inlineStr">
        <is>
          <t>P1</t>
        </is>
      </c>
      <c r="G101" s="26" t="inlineStr">
        <is>
          <t>S11</t>
        </is>
      </c>
      <c r="H101" s="26" t="inlineStr">
        <is>
          <t>Marketplace listing</t>
        </is>
      </c>
      <c r="I101" s="26" t="inlineStr">
        <is>
          <t>Integration test + manual QA</t>
        </is>
      </c>
      <c r="J101" s="33" t="inlineStr">
        <is>
          <t>Done-in-code</t>
        </is>
      </c>
      <c r="K101" s="35" t="inlineStr">
        <is>
          <t>v018 13 Sep 10:58 — evaluateGoNoGo + watchlist/rollback/comms + LAUNCH_RUNBOOK.md | verdict NO-GO, 8 blocking | 100% x4</t>
        </is>
      </c>
    </row>
    <row r="102" ht="15" customHeight="1" s="22">
      <c r="A102" s="26" t="inlineStr">
        <is>
          <t>ST-099</t>
        </is>
      </c>
      <c r="B102" s="26" t="inlineStr">
        <is>
          <t>EL</t>
        </is>
      </c>
      <c r="C102" s="26" t="inlineStr">
        <is>
          <t>Listing &amp; launch</t>
        </is>
      </c>
      <c r="D102" s="26" t="inlineStr">
        <is>
          <t>Post-launch listing SEO iteration 1 from search-term data</t>
        </is>
      </c>
      <c r="E102" s="26" t="n">
        <v>2</v>
      </c>
      <c r="F102" s="26" t="inlineStr">
        <is>
          <t>P2</t>
        </is>
      </c>
      <c r="G102" s="26" t="inlineStr">
        <is>
          <t>S12</t>
        </is>
      </c>
      <c r="H102" s="26" t="inlineStr">
        <is>
          <t>Marketplace listing</t>
        </is>
      </c>
      <c r="I102" s="26" t="inlineStr">
        <is>
          <t>Manual QA</t>
        </is>
      </c>
      <c r="J102" s="33" t="inlineStr">
        <is>
          <t>Done-in-code</t>
        </is>
      </c>
      <c r="K102" s="35" t="inlineStr">
        <is>
          <t>v018 13 Sep 10:58 — findSeoOpportunities + planSeoIteration, one change per iteration | 100% x4</t>
        </is>
      </c>
    </row>
    <row r="103" ht="15" customHeight="1" s="22">
      <c r="A103" s="26" t="inlineStr">
        <is>
          <t>ST-100</t>
        </is>
      </c>
      <c r="B103" s="26" t="inlineStr">
        <is>
          <t>EL</t>
        </is>
      </c>
      <c r="C103" s="26" t="inlineStr">
        <is>
          <t>Listing &amp; launch</t>
        </is>
      </c>
      <c r="D103" s="26" t="inlineStr">
        <is>
          <t>First 10 design-partner reviews scheduled</t>
        </is>
      </c>
      <c r="E103" s="26" t="n">
        <v>2</v>
      </c>
      <c r="F103" s="26" t="inlineStr">
        <is>
          <t>P1</t>
        </is>
      </c>
      <c r="G103" s="26" t="inlineStr">
        <is>
          <t>S11</t>
        </is>
      </c>
      <c r="H103" s="26" t="inlineStr">
        <is>
          <t>Marketplace listing</t>
        </is>
      </c>
      <c r="I103" s="26" t="inlineStr">
        <is>
          <t>Integration test + manual QA</t>
        </is>
      </c>
      <c r="J103" s="33" t="inlineStr">
        <is>
          <t>Done-in-code</t>
        </is>
      </c>
      <c r="K103" s="35" t="inlineStr">
        <is>
          <t>v018 13 Sep 10:58 — PartnerReviewPipeline, at-risk refusal + stale-invite warnings | 100% x4</t>
        </is>
      </c>
    </row>
    <row r="105">
      <c r="A105" s="53" t="inlineStr">
        <is>
          <t>STATUS CORRECTION — external review PPLX V001 §7.4 (20 September 2026)</t>
        </is>
      </c>
    </row>
    <row r="106">
      <c r="A106" s="45" t="inlineStr">
        <is>
          <t>The review's fourth 'what to do this week' item: "Traceability_Matrix 'Done-in-code' for ST-001/002/005, ST-011..013/019, ST-031..034, ST-041..050 and ST-051/052/055 should read 'Domain logic done; adapter not implemented (P-DM-001)'. The 98/100 figure is the single most misleading number in the portfolio, and leaving it uncorrected is how the last three days happened."</t>
        </is>
      </c>
    </row>
    <row r="107">
      <c r="A107" s="45" t="inlineStr">
        <is>
          <t>That correction is applied in column L for all 24 affected stories, and then carried forward: S14 and S15 built the adapters, so the status is honest again. Both facts are recorded rather than the second overwriting the first, because the interesting fact is not that the adapter exists now — it is that the board said it existed for eleven sprints.</t>
        </is>
      </c>
    </row>
    <row r="108">
      <c r="A108" s="45" t="inlineStr">
        <is>
          <t>Why the number survived scrutiny: 'Done-in-code' was defined (DM-D3) as 'the code is written and tested at 100%', and for these stories that was TRUE. Every line that existed was tested. The definition contained no clause about whether the thing the code calls exists, because until an outsider executed `npm start` nobody had reason to think it might not.</t>
        </is>
      </c>
    </row>
    <row r="109">
      <c r="A109" s="45" t="inlineStr">
        <is>
          <t>DM-D3 is therefore AMENDED from v036: a story that crosses a platform boundary is 'Done-in-code' only when a non-test implementation of that boundary exists. integrationGate.ts enforces it on every commit, so the definition is now mechanical rather than a habit of mind.</t>
        </is>
      </c>
    </row>
    <row r="110">
      <c r="A110" s="45" t="inlineStr">
        <is>
          <t>The honest headline for v036: 100 of 100 stories have domain logic complete and tested; 98 have an adapter behind every boundary they cross; ZERO have been verified against live Google. The third number is the one that matters now, and it is LC-1, not engineering.</t>
        </is>
      </c>
    </row>
    <row r="112">
      <c r="A112" s="45" t="inlineStr">
        <is>
          <t>ST-068: Pen test — UNCHANGED as In progress, but the scoping brief was corrected (DM-F36): it described a product that sends documents for signature, which P-DM-007 established it does not do. Sending that to a vendor would have scoped the test against a feature that does not exist.</t>
        </is>
      </c>
    </row>
    <row r="113">
      <c r="A113" s="45" t="inlineStr">
        <is>
          <t>ST-083: Demo video — the sandbox half has been Done since v017. The recording is now blocked ONLY on LC-1 rather than on the application existing, and S15 established it is the same recording as the OAuth verification video.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9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21" min="1" max="1"/>
    <col width="46" customWidth="1" style="21" min="2" max="2"/>
    <col width="30" customWidth="1" style="21" min="3" max="3"/>
    <col width="34" customWidth="1" style="21" min="4" max="4"/>
    <col width="54" customWidth="1" style="21" min="5" max="5"/>
    <col width="34" customWidth="1" style="21" min="6" max="6"/>
  </cols>
  <sheetData>
    <row r="1" ht="17.25" customHeight="1" s="22">
      <c r="A1" s="23" t="inlineStr">
        <is>
          <t>MODULE TRACEABILITY — all 49 source modules -&gt; stories, findings, tests</t>
        </is>
      </c>
    </row>
    <row r="2" ht="73.5" customHeight="1" s="22">
      <c r="A2" s="30" t="inlineStr">
        <is>
          <t>Added v031. The story-level Traceability_Matrix maps 100 backlog stories to code, but 21 source modules created during the finding remediation (session, entitlements, tenantGate, purge, ledger, platformQuotas, postgres, webhookSecurity, rateLimit, server, app and others) existed in the repo and appeared nowhere in it: the remediation went into the code and never came back into the traceability. This sheet closes that from the other direction — every module, what it implements, which findings it answers, and which suite covers it. Story and finding IDs are extracted from the source, not assigned by hand. Coverage is 100% statement/branch/function/line on every module (jest --coverage, 13 Sep 2026 22:5x, 836 tests / 45 suites).</t>
        </is>
      </c>
    </row>
    <row r="4" ht="15" customHeight="1" s="22">
      <c r="A4" s="31" t="inlineStr">
        <is>
          <t>Module (src/*.ts)</t>
        </is>
      </c>
      <c r="B4" s="31" t="inlineStr">
        <is>
          <t>Implements (stories)</t>
        </is>
      </c>
      <c r="C4" s="31" t="inlineStr">
        <is>
          <t>Findings addressed</t>
        </is>
      </c>
      <c r="D4" s="31" t="inlineStr">
        <is>
          <t>Test suite(s)</t>
        </is>
      </c>
      <c r="E4" s="31" t="inlineStr">
        <is>
          <t>Note</t>
        </is>
      </c>
      <c r="F4" s="31" t="inlineStr">
        <is>
          <t>Origin</t>
        </is>
      </c>
    </row>
    <row r="5" ht="21.75" customHeight="1" s="22">
      <c r="A5" s="29" t="inlineStr">
        <is>
          <t>addonSurface</t>
        </is>
      </c>
      <c r="B5" s="28" t="inlineStr">
        <is>
          <t>ST-005, ST-015, ST-025, ST-035, ST-041, ST-042, ST-043, ST-044, ST-045, ST-046, ST-047, ST-048, ST-049, ST-050</t>
        </is>
      </c>
      <c r="C5" s="28" t="inlineStr">
        <is>
          <t>VER-DM2, VER-DM3</t>
        </is>
      </c>
      <c r="D5" s="28" t="inlineStr">
        <is>
          <t>addonSurface.test.ts</t>
        </is>
      </c>
      <c r="E5" s="28" t="n"/>
      <c r="F5" s="28" t="inlineStr">
        <is>
          <t>S1-S12 backlog</t>
        </is>
      </c>
    </row>
    <row r="6" ht="15" customHeight="1" s="22">
      <c r="A6" s="29" t="inlineStr">
        <is>
          <t>analytics</t>
        </is>
      </c>
      <c r="B6" s="28" t="inlineStr">
        <is>
          <t>ST-073, ST-074, ST-075, ST-076, ST-077</t>
        </is>
      </c>
      <c r="C6" s="28" t="inlineStr">
        <is>
          <t>—</t>
        </is>
      </c>
      <c r="D6" s="28" t="inlineStr">
        <is>
          <t>analyticsPerformance.test.ts</t>
        </is>
      </c>
      <c r="E6" s="28" t="inlineStr">
        <is>
          <t>No namesake suite; covered by the suites named (verified by import).</t>
        </is>
      </c>
      <c r="F6" s="28" t="inlineStr">
        <is>
          <t>S1-S12 backlog</t>
        </is>
      </c>
    </row>
    <row r="7" ht="21.75" customHeight="1" s="22">
      <c r="A7" s="29" t="inlineStr">
        <is>
          <t>app</t>
        </is>
      </c>
      <c r="B7" s="28" t="inlineStr">
        <is>
          <t>—</t>
        </is>
      </c>
      <c r="C7" s="28" t="inlineStr">
        <is>
          <t>DM-F01, DM-F02, DM-F04, DM-F07, DM-F11, DM-F12, DM-F13</t>
        </is>
      </c>
      <c r="D7" s="28" t="inlineStr">
        <is>
          <t>app.test.ts</t>
        </is>
      </c>
      <c r="E7" s="28" t="n"/>
      <c r="F7" s="28" t="inlineStr">
        <is>
          <t>Finding remediation (post code-complete)</t>
        </is>
      </c>
    </row>
    <row r="8" ht="15" customHeight="1" s="22">
      <c r="A8" s="29" t="inlineStr">
        <is>
          <t>batch</t>
        </is>
      </c>
      <c r="B8" s="28" t="inlineStr">
        <is>
          <t>ST-011, ST-012, ST-013, ST-014</t>
        </is>
      </c>
      <c r="C8" s="28" t="inlineStr">
        <is>
          <t>VER-DM6</t>
        </is>
      </c>
      <c r="D8" s="28" t="inlineStr">
        <is>
          <t>batch.test.ts</t>
        </is>
      </c>
      <c r="E8" s="28" t="n"/>
      <c r="F8" s="28" t="inlineStr">
        <is>
          <t>S1-S12 backlog</t>
        </is>
      </c>
    </row>
    <row r="9" ht="15" customHeight="1" s="22">
      <c r="A9" s="29" t="inlineStr">
        <is>
          <t>batchOps</t>
        </is>
      </c>
      <c r="B9" s="28" t="inlineStr">
        <is>
          <t>ST-011, ST-015, ST-016, ST-017, ST-018, ST-019, ST-020</t>
        </is>
      </c>
      <c r="C9" s="28" t="inlineStr">
        <is>
          <t>DM-F21</t>
        </is>
      </c>
      <c r="D9" s="28" t="inlineStr">
        <is>
          <t>batchOps.test.ts</t>
        </is>
      </c>
      <c r="E9" s="28" t="n"/>
      <c r="F9" s="28" t="inlineStr">
        <is>
          <t>S1-S12 backlog</t>
        </is>
      </c>
    </row>
    <row r="10" ht="15" customHeight="1" s="22">
      <c r="A10" s="29" t="inlineStr">
        <is>
          <t>billing</t>
        </is>
      </c>
      <c r="B10" s="28" t="inlineStr">
        <is>
          <t>ST-057, ST-058, ST-059</t>
        </is>
      </c>
      <c r="C10" s="28" t="inlineStr">
        <is>
          <t>DM-F14</t>
        </is>
      </c>
      <c r="D10" s="28" t="inlineStr">
        <is>
          <t>billing.test.ts</t>
        </is>
      </c>
      <c r="E10" s="28" t="n"/>
      <c r="F10" s="28" t="inlineStr">
        <is>
          <t>S1-S12 backlog</t>
        </is>
      </c>
    </row>
    <row r="11" ht="15" customHeight="1" s="22">
      <c r="A11" s="29" t="inlineStr">
        <is>
          <t>billingHardening</t>
        </is>
      </c>
      <c r="B11" s="28" t="inlineStr">
        <is>
          <t>ST-059, ST-060, ST-061, ST-062, ST-063</t>
        </is>
      </c>
      <c r="C11" s="28" t="inlineStr">
        <is>
          <t>DM-F08, DM-F14, DM-F21</t>
        </is>
      </c>
      <c r="D11" s="28" t="inlineStr">
        <is>
          <t>billingHardening.test.ts</t>
        </is>
      </c>
      <c r="E11" s="28" t="n"/>
      <c r="F11" s="28" t="inlineStr">
        <is>
          <t>S1-S12 backlog</t>
        </is>
      </c>
    </row>
    <row r="12" ht="15" customHeight="1" s="22">
      <c r="A12" s="29" t="inlineStr">
        <is>
          <t>deployment</t>
        </is>
      </c>
      <c r="B12" s="28" t="inlineStr">
        <is>
          <t>—</t>
        </is>
      </c>
      <c r="C12" s="28" t="inlineStr">
        <is>
          <t>—</t>
        </is>
      </c>
      <c r="D12" s="28" t="inlineStr">
        <is>
          <t>deployment.test.ts</t>
        </is>
      </c>
      <c r="E12" s="28" t="n"/>
      <c r="F12" s="28" t="inlineStr">
        <is>
          <t>Supporting module</t>
        </is>
      </c>
    </row>
    <row r="13" ht="15" customHeight="1" s="22">
      <c r="A13" s="29" t="inlineStr">
        <is>
          <t>designerOps</t>
        </is>
      </c>
      <c r="B13" s="28" t="inlineStr">
        <is>
          <t>ST-006, ST-007, ST-008</t>
        </is>
      </c>
      <c r="C13" s="28" t="inlineStr">
        <is>
          <t>DM-F08, DM-F15, DM-F18, DM-F22</t>
        </is>
      </c>
      <c r="D13" s="28" t="inlineStr">
        <is>
          <t>designerOps.test.ts</t>
        </is>
      </c>
      <c r="E13" s="28" t="n"/>
      <c r="F13" s="28" t="inlineStr">
        <is>
          <t>S1-S12 backlog</t>
        </is>
      </c>
    </row>
    <row r="14" ht="15" customHeight="1" s="22">
      <c r="A14" s="29" t="inlineStr">
        <is>
          <t>driveFiler</t>
        </is>
      </c>
      <c r="B14" s="28" t="inlineStr">
        <is>
          <t>ST-031, ST-032, ST-033, ST-034</t>
        </is>
      </c>
      <c r="C14" s="28" t="inlineStr">
        <is>
          <t>—</t>
        </is>
      </c>
      <c r="D14" s="28" t="inlineStr">
        <is>
          <t>driveFiler.test.ts</t>
        </is>
      </c>
      <c r="E14" s="28" t="n"/>
      <c r="F14" s="28" t="inlineStr">
        <is>
          <t>S1-S12 backlog</t>
        </is>
      </c>
    </row>
    <row r="15" ht="15" customHeight="1" s="22">
      <c r="A15" s="29" t="inlineStr">
        <is>
          <t>driveFilerOps</t>
        </is>
      </c>
      <c r="B15" s="28" t="inlineStr">
        <is>
          <t>ST-033, ST-035, ST-036, ST-037, ST-038, ST-039, ST-040</t>
        </is>
      </c>
      <c r="C15" s="28" t="inlineStr">
        <is>
          <t>—</t>
        </is>
      </c>
      <c r="D15" s="28" t="inlineStr">
        <is>
          <t>driveFilerOps.test.ts</t>
        </is>
      </c>
      <c r="E15" s="28" t="n"/>
      <c r="F15" s="28" t="inlineStr">
        <is>
          <t>S1-S12 backlog</t>
        </is>
      </c>
    </row>
    <row r="16" ht="15" customHeight="1" s="22">
      <c r="A16" s="29" t="inlineStr">
        <is>
          <t>entitlements</t>
        </is>
      </c>
      <c r="B16" s="28" t="inlineStr">
        <is>
          <t>ST-060, ST-061</t>
        </is>
      </c>
      <c r="C16" s="28" t="inlineStr">
        <is>
          <t>DM-F02, DM-F03</t>
        </is>
      </c>
      <c r="D16" s="28" t="inlineStr">
        <is>
          <t>app.test.ts, coldReviewFixes.test.ts</t>
        </is>
      </c>
      <c r="E16" s="28" t="inlineStr">
        <is>
          <t>No namesake suite; covered by the suites named (verified by import).</t>
        </is>
      </c>
      <c r="F16" s="28" t="inlineStr">
        <is>
          <t>S1-S12 backlog</t>
        </is>
      </c>
    </row>
    <row r="17" ht="21.75" customHeight="1" s="22">
      <c r="A17" s="29" t="inlineStr">
        <is>
          <t>esign</t>
        </is>
      </c>
      <c r="B17" s="28" t="inlineStr">
        <is>
          <t>ST-021, ST-022, ST-023, ST-024, ST-025, ST-026, ST-027, ST-028, ST-029, ST-030</t>
        </is>
      </c>
      <c r="C17" s="28" t="inlineStr">
        <is>
          <t>DM-F17, DM-F21</t>
        </is>
      </c>
      <c r="D17" s="28" t="inlineStr">
        <is>
          <t>esign.test.ts</t>
        </is>
      </c>
      <c r="E17" s="28" t="n"/>
      <c r="F17" s="28" t="inlineStr">
        <is>
          <t>S1-S12 backlog</t>
        </is>
      </c>
    </row>
    <row r="18" ht="15" customHeight="1" s="22">
      <c r="A18" s="29" t="inlineStr">
        <is>
          <t>esignOps</t>
        </is>
      </c>
      <c r="B18" s="28" t="inlineStr">
        <is>
          <t>ST-025, ST-030, ST-078, ST-079</t>
        </is>
      </c>
      <c r="C18" s="28" t="inlineStr">
        <is>
          <t>—</t>
        </is>
      </c>
      <c r="D18" s="28" t="inlineStr">
        <is>
          <t>esignOps.test.ts</t>
        </is>
      </c>
      <c r="E18" s="28" t="n"/>
      <c r="F18" s="28" t="inlineStr">
        <is>
          <t>S1-S12 backlog</t>
        </is>
      </c>
    </row>
    <row r="19" ht="21.75" customHeight="1" s="22">
      <c r="A19" s="29" t="inlineStr">
        <is>
          <t>formTrigger</t>
        </is>
      </c>
      <c r="B19" s="28" t="inlineStr">
        <is>
          <t>ST-041, ST-042, ST-043, ST-044, ST-045, ST-046, ST-047, ST-048, ST-049, ST-050</t>
        </is>
      </c>
      <c r="C19" s="28" t="inlineStr">
        <is>
          <t>DM-F21</t>
        </is>
      </c>
      <c r="D19" s="28" t="inlineStr">
        <is>
          <t>formTrigger.test.ts</t>
        </is>
      </c>
      <c r="E19" s="28" t="n"/>
      <c r="F19" s="28" t="inlineStr">
        <is>
          <t>S1-S12 backlog</t>
        </is>
      </c>
    </row>
    <row r="20" ht="15" customHeight="1" s="22">
      <c r="A20" s="29" t="inlineStr">
        <is>
          <t>growthModel</t>
        </is>
      </c>
      <c r="B20" s="28" t="inlineStr">
        <is>
          <t>—</t>
        </is>
      </c>
      <c r="C20" s="28" t="inlineStr">
        <is>
          <t>—</t>
        </is>
      </c>
      <c r="D20" s="28" t="inlineStr">
        <is>
          <t>growthModel.test.ts</t>
        </is>
      </c>
      <c r="E20" s="28" t="n"/>
      <c r="F20" s="28" t="inlineStr">
        <is>
          <t>Supporting module</t>
        </is>
      </c>
    </row>
    <row r="21" ht="53.25" customHeight="1" s="22">
      <c r="A21" s="29" t="inlineStr">
        <is>
          <t>helpCenter</t>
        </is>
      </c>
      <c r="B21" s="28" t="inlineStr">
        <is>
          <t>ST-001, ST-002, ST-003, ST-004, ST-005, ST-007, ST-009, ST-011, ST-012, ST-013, ST-014, ST-021, ST-022, ST-023, ST-031, ST-032, ST-033, ST-041, ST-042, ST-043, ST-052, ST-054, ST-057, ST-058, ST-059, ST-060, ST-061, ST-062, ST-064, ST-067, ST-069, ST-078, ST-080, ST-081</t>
        </is>
      </c>
      <c r="C21" s="28" t="inlineStr">
        <is>
          <t>—</t>
        </is>
      </c>
      <c r="D21" s="28" t="inlineStr">
        <is>
          <t>helpCenter.test.ts</t>
        </is>
      </c>
      <c r="E21" s="28" t="n"/>
      <c r="F21" s="28" t="inlineStr">
        <is>
          <t>S1-S12 backlog</t>
        </is>
      </c>
    </row>
    <row r="22" ht="15" customHeight="1" s="22">
      <c r="A22" s="29" t="inlineStr">
        <is>
          <t>importerNotifications</t>
        </is>
      </c>
      <c r="B22" s="28" t="inlineStr">
        <is>
          <t>ST-009, ST-010</t>
        </is>
      </c>
      <c r="C22" s="28" t="inlineStr">
        <is>
          <t>—</t>
        </is>
      </c>
      <c r="D22" s="28" t="inlineStr">
        <is>
          <t>importerNotifications.test.ts</t>
        </is>
      </c>
      <c r="E22" s="28" t="n"/>
      <c r="F22" s="28" t="inlineStr">
        <is>
          <t>S1-S12 backlog</t>
        </is>
      </c>
    </row>
    <row r="23" ht="15" customHeight="1" s="22">
      <c r="A23" s="29" t="inlineStr">
        <is>
          <t>index</t>
        </is>
      </c>
      <c r="B23" s="28" t="inlineStr">
        <is>
          <t>—</t>
        </is>
      </c>
      <c r="C23" s="28" t="inlineStr">
        <is>
          <t>—</t>
        </is>
      </c>
      <c r="D23" s="28" t="inlineStr">
        <is>
          <t>tokenRefresh.test.ts</t>
        </is>
      </c>
      <c r="E23" s="28" t="inlineStr">
        <is>
          <t>No namesake suite; covered by the suites named (verified by import).</t>
        </is>
      </c>
      <c r="F23" s="28" t="inlineStr">
        <is>
          <t>Supporting module</t>
        </is>
      </c>
    </row>
    <row r="24" ht="15" customHeight="1" s="22">
      <c r="A24" s="29" t="inlineStr">
        <is>
          <t>install</t>
        </is>
      </c>
      <c r="B24" s="28" t="inlineStr">
        <is>
          <t>ST-051</t>
        </is>
      </c>
      <c r="C24" s="28" t="inlineStr">
        <is>
          <t>—</t>
        </is>
      </c>
      <c r="D24" s="28" t="inlineStr">
        <is>
          <t>install.test.ts</t>
        </is>
      </c>
      <c r="E24" s="28" t="n"/>
      <c r="F24" s="28" t="inlineStr">
        <is>
          <t>S1-S12 backlog</t>
        </is>
      </c>
    </row>
    <row r="25" ht="15" customHeight="1" s="22">
      <c r="A25" s="29" t="inlineStr">
        <is>
          <t>launchOps</t>
        </is>
      </c>
      <c r="B25" s="28" t="inlineStr">
        <is>
          <t>ST-082, ST-098, ST-099, ST-100</t>
        </is>
      </c>
      <c r="C25" s="28" t="inlineStr">
        <is>
          <t>—</t>
        </is>
      </c>
      <c r="D25" s="28" t="inlineStr">
        <is>
          <t>launchOps.test.ts</t>
        </is>
      </c>
      <c r="E25" s="28" t="n"/>
      <c r="F25" s="28" t="inlineStr">
        <is>
          <t>S1-S12 backlog</t>
        </is>
      </c>
    </row>
    <row r="26" ht="15" customHeight="1" s="22">
      <c r="A26" s="29" t="inlineStr">
        <is>
          <t>launchSurfaces</t>
        </is>
      </c>
      <c r="B26" s="28" t="inlineStr">
        <is>
          <t>ST-083, ST-084, ST-095, ST-096, ST-097</t>
        </is>
      </c>
      <c r="C26" s="28" t="inlineStr">
        <is>
          <t>—</t>
        </is>
      </c>
      <c r="D26" s="28" t="inlineStr">
        <is>
          <t>launchSurfaces.test.ts</t>
        </is>
      </c>
      <c r="E26" s="28" t="n"/>
      <c r="F26" s="28" t="inlineStr">
        <is>
          <t>S1-S12 backlog</t>
        </is>
      </c>
    </row>
    <row r="27" ht="15" customHeight="1" s="22">
      <c r="A27" s="29" t="inlineStr">
        <is>
          <t>ledger</t>
        </is>
      </c>
      <c r="B27" s="28" t="inlineStr">
        <is>
          <t>—</t>
        </is>
      </c>
      <c r="C27" s="28" t="inlineStr">
        <is>
          <t>DM-F08</t>
        </is>
      </c>
      <c r="D27" s="28" t="inlineStr">
        <is>
          <t>ledger.test.ts</t>
        </is>
      </c>
      <c r="E27" s="28" t="n"/>
      <c r="F27" s="28" t="inlineStr">
        <is>
          <t>Finding remediation (post code-complete)</t>
        </is>
      </c>
    </row>
    <row r="28" ht="15" customHeight="1" s="22">
      <c r="A28" s="29" t="inlineStr">
        <is>
          <t>licenseReconciler</t>
        </is>
      </c>
      <c r="B28" s="28" t="inlineStr">
        <is>
          <t>ST-052, ST-053</t>
        </is>
      </c>
      <c r="C28" s="28" t="inlineStr">
        <is>
          <t>VER-DM1</t>
        </is>
      </c>
      <c r="D28" s="28" t="inlineStr">
        <is>
          <t>licenseReconciler.test.ts</t>
        </is>
      </c>
      <c r="E28" s="28" t="n"/>
      <c r="F28" s="28" t="inlineStr">
        <is>
          <t>S1-S12 backlog</t>
        </is>
      </c>
    </row>
    <row r="29" ht="15" customHeight="1" s="22">
      <c r="A29" s="29" t="inlineStr">
        <is>
          <t>listing</t>
        </is>
      </c>
      <c r="B29" s="28" t="inlineStr">
        <is>
          <t>ST-089, ST-093, ST-094</t>
        </is>
      </c>
      <c r="C29" s="28" t="inlineStr">
        <is>
          <t>VER-DM4</t>
        </is>
      </c>
      <c r="D29" s="28" t="inlineStr">
        <is>
          <t>listing.test.ts</t>
        </is>
      </c>
      <c r="E29" s="28" t="n"/>
      <c r="F29" s="28" t="inlineStr">
        <is>
          <t>S1-S12 backlog</t>
        </is>
      </c>
    </row>
    <row r="30" ht="15" customHeight="1" s="22">
      <c r="A30" s="29" t="inlineStr">
        <is>
          <t>oauth</t>
        </is>
      </c>
      <c r="B30" s="28" t="inlineStr">
        <is>
          <t>ST-051, ST-052, ST-055</t>
        </is>
      </c>
      <c r="C30" s="28" t="inlineStr">
        <is>
          <t>DM-F04, DM-F08</t>
        </is>
      </c>
      <c r="D30" s="28" t="inlineStr">
        <is>
          <t>oauth.test.ts</t>
        </is>
      </c>
      <c r="E30" s="28" t="n"/>
      <c r="F30" s="28" t="inlineStr">
        <is>
          <t>S1-S12 backlog</t>
        </is>
      </c>
    </row>
    <row r="31" ht="15" customHeight="1" s="22">
      <c r="A31" s="29" t="inlineStr">
        <is>
          <t>observability</t>
        </is>
      </c>
      <c r="B31" s="28" t="inlineStr">
        <is>
          <t>ST-071, ST-072</t>
        </is>
      </c>
      <c r="C31" s="28" t="inlineStr">
        <is>
          <t>DM-F08</t>
        </is>
      </c>
      <c r="D31" s="28" t="inlineStr">
        <is>
          <t>observability.test.ts</t>
        </is>
      </c>
      <c r="E31" s="28" t="n"/>
      <c r="F31" s="28" t="inlineStr">
        <is>
          <t>S1-S12 backlog</t>
        </is>
      </c>
    </row>
    <row r="32" ht="21.75" customHeight="1" s="22">
      <c r="A32" s="29" t="inlineStr">
        <is>
          <t>performance</t>
        </is>
      </c>
      <c r="B32" s="28" t="inlineStr">
        <is>
          <t>ST-087, ST-088, ST-092</t>
        </is>
      </c>
      <c r="C32" s="28" t="inlineStr">
        <is>
          <t>VER-DM6</t>
        </is>
      </c>
      <c r="D32" s="28" t="inlineStr">
        <is>
          <t>analyticsPerformance.test.ts, platformQuotas.test.ts</t>
        </is>
      </c>
      <c r="E32" s="28" t="inlineStr">
        <is>
          <t>No namesake suite; covered by the suites named (verified by import).</t>
        </is>
      </c>
      <c r="F32" s="28" t="inlineStr">
        <is>
          <t>S1-S12 backlog</t>
        </is>
      </c>
    </row>
    <row r="33" ht="15" customHeight="1" s="22">
      <c r="A33" s="29" t="inlineStr">
        <is>
          <t>permissions</t>
        </is>
      </c>
      <c r="B33" s="28" t="inlineStr">
        <is>
          <t>ST-054, ST-064</t>
        </is>
      </c>
      <c r="C33" s="28" t="inlineStr">
        <is>
          <t>—</t>
        </is>
      </c>
      <c r="D33" s="28" t="inlineStr">
        <is>
          <t>permissions.test.ts</t>
        </is>
      </c>
      <c r="E33" s="28" t="n"/>
      <c r="F33" s="28" t="inlineStr">
        <is>
          <t>S1-S12 backlog</t>
        </is>
      </c>
    </row>
    <row r="34" ht="15" customHeight="1" s="22">
      <c r="A34" s="29" t="inlineStr">
        <is>
          <t>platformErrors</t>
        </is>
      </c>
      <c r="B34" s="28" t="inlineStr">
        <is>
          <t>ST-004</t>
        </is>
      </c>
      <c r="C34" s="28" t="inlineStr">
        <is>
          <t>DM-F06</t>
        </is>
      </c>
      <c r="D34" s="28" t="inlineStr">
        <is>
          <t>platformErrors.test.ts</t>
        </is>
      </c>
      <c r="E34" s="28" t="n"/>
      <c r="F34" s="28" t="inlineStr">
        <is>
          <t>S1-S12 backlog</t>
        </is>
      </c>
    </row>
    <row r="35" ht="15" customHeight="1" s="22">
      <c r="A35" s="29" t="inlineStr">
        <is>
          <t>platformQuotas</t>
        </is>
      </c>
      <c r="B35" s="28" t="inlineStr">
        <is>
          <t>ST-087, ST-088</t>
        </is>
      </c>
      <c r="C35" s="28" t="inlineStr">
        <is>
          <t>VER-DM2, VER-DM6, VER-DM7</t>
        </is>
      </c>
      <c r="D35" s="28" t="inlineStr">
        <is>
          <t>platformQuotas.test.ts</t>
        </is>
      </c>
      <c r="E35" s="28" t="n"/>
      <c r="F35" s="28" t="inlineStr">
        <is>
          <t>S1-S12 backlog</t>
        </is>
      </c>
    </row>
    <row r="36" ht="15" customHeight="1" s="22">
      <c r="A36" s="29" t="inlineStr">
        <is>
          <t>postgres</t>
        </is>
      </c>
      <c r="B36" s="28" t="inlineStr">
        <is>
          <t>—</t>
        </is>
      </c>
      <c r="C36" s="28" t="inlineStr">
        <is>
          <t>DM-F09, DM-F14, DM-F15</t>
        </is>
      </c>
      <c r="D36" s="28" t="inlineStr">
        <is>
          <t>postgres.test.ts</t>
        </is>
      </c>
      <c r="E36" s="28" t="n"/>
      <c r="F36" s="28" t="inlineStr">
        <is>
          <t>Finding remediation (post code-complete)</t>
        </is>
      </c>
    </row>
    <row r="37" ht="15" customHeight="1" s="22">
      <c r="A37" s="29" t="inlineStr">
        <is>
          <t>purge</t>
        </is>
      </c>
      <c r="B37" s="28" t="inlineStr">
        <is>
          <t>—</t>
        </is>
      </c>
      <c r="C37" s="28" t="inlineStr">
        <is>
          <t>DM-F09</t>
        </is>
      </c>
      <c r="D37" s="28" t="inlineStr">
        <is>
          <t>purge.test.ts</t>
        </is>
      </c>
      <c r="E37" s="28" t="n"/>
      <c r="F37" s="28" t="inlineStr">
        <is>
          <t>Finding remediation (post code-complete)</t>
        </is>
      </c>
    </row>
    <row r="38" ht="15" customHeight="1" s="22">
      <c r="A38" s="29" t="inlineStr">
        <is>
          <t>rateLimit</t>
        </is>
      </c>
      <c r="B38" s="28" t="inlineStr">
        <is>
          <t>—</t>
        </is>
      </c>
      <c r="C38" s="28" t="inlineStr">
        <is>
          <t>DM-F12</t>
        </is>
      </c>
      <c r="D38" s="28" t="inlineStr">
        <is>
          <t>rateLimit.test.ts</t>
        </is>
      </c>
      <c r="E38" s="28" t="n"/>
      <c r="F38" s="28" t="inlineStr">
        <is>
          <t>Finding remediation (post code-complete)</t>
        </is>
      </c>
    </row>
    <row r="39" ht="15" customHeight="1" s="22">
      <c r="A39" s="29" t="inlineStr">
        <is>
          <t>reinstall</t>
        </is>
      </c>
      <c r="B39" s="28" t="inlineStr">
        <is>
          <t>ST-053</t>
        </is>
      </c>
      <c r="C39" s="28" t="inlineStr">
        <is>
          <t>—</t>
        </is>
      </c>
      <c r="D39" s="28" t="inlineStr">
        <is>
          <t>reinstall.test.ts</t>
        </is>
      </c>
      <c r="E39" s="28" t="n"/>
      <c r="F39" s="28" t="inlineStr">
        <is>
          <t>S1-S12 backlog</t>
        </is>
      </c>
    </row>
    <row r="40" ht="15" customHeight="1" s="22">
      <c r="A40" s="29" t="inlineStr">
        <is>
          <t>reviewPrep</t>
        </is>
      </c>
      <c r="B40" s="28" t="inlineStr">
        <is>
          <t>ST-068, ST-069, ST-090, ST-091</t>
        </is>
      </c>
      <c r="C40" s="28" t="inlineStr">
        <is>
          <t>—</t>
        </is>
      </c>
      <c r="D40" s="28" t="inlineStr">
        <is>
          <t>reviewPrep.test.ts</t>
        </is>
      </c>
      <c r="E40" s="28" t="n"/>
      <c r="F40" s="28" t="inlineStr">
        <is>
          <t>S1-S12 backlog</t>
        </is>
      </c>
    </row>
    <row r="41" ht="32.25" customHeight="1" s="22">
      <c r="A41" s="29" t="inlineStr">
        <is>
          <t>scopes</t>
        </is>
      </c>
      <c r="B41" s="28" t="inlineStr">
        <is>
          <t>ST-001, ST-002, ST-005, ST-011, ST-012, ST-013, ST-019, ST-031, ST-032, ST-033, ST-034, ST-051, ST-054, ST-057, ST-064</t>
        </is>
      </c>
      <c r="C41" s="28" t="inlineStr">
        <is>
          <t>VER-DM5</t>
        </is>
      </c>
      <c r="D41" s="28" t="inlineStr">
        <is>
          <t>scopes.test.ts</t>
        </is>
      </c>
      <c r="E41" s="28" t="n"/>
      <c r="F41" s="28" t="inlineStr">
        <is>
          <t>S1-S12 backlog</t>
        </is>
      </c>
    </row>
    <row r="42" ht="21.75" customHeight="1" s="22">
      <c r="A42" s="29" t="inlineStr">
        <is>
          <t>security</t>
        </is>
      </c>
      <c r="B42" s="28" t="inlineStr">
        <is>
          <t>ST-007, ST-012, ST-031, ST-032, ST-052, ST-053, ST-056, ST-065, ST-066, ST-067, ST-070, ST-071</t>
        </is>
      </c>
      <c r="C42" s="28" t="inlineStr">
        <is>
          <t>DM-F08, DM-F14, DM-F15</t>
        </is>
      </c>
      <c r="D42" s="28" t="inlineStr">
        <is>
          <t>security.test.ts</t>
        </is>
      </c>
      <c r="E42" s="28" t="n"/>
      <c r="F42" s="28" t="inlineStr">
        <is>
          <t>S1-S12 backlog</t>
        </is>
      </c>
    </row>
    <row r="43" ht="15" customHeight="1" s="22">
      <c r="A43" s="29" t="inlineStr">
        <is>
          <t>server</t>
        </is>
      </c>
      <c r="B43" s="28" t="inlineStr">
        <is>
          <t>—</t>
        </is>
      </c>
      <c r="C43" s="28" t="inlineStr">
        <is>
          <t>DM-F01, DM-F10</t>
        </is>
      </c>
      <c r="D43" s="28" t="inlineStr">
        <is>
          <t>server.test.ts</t>
        </is>
      </c>
      <c r="E43" s="28" t="n"/>
      <c r="F43" s="28" t="inlineStr">
        <is>
          <t>Finding remediation (post code-complete)</t>
        </is>
      </c>
    </row>
    <row r="44" ht="15" customHeight="1" s="22">
      <c r="A44" s="29" t="inlineStr">
        <is>
          <t>session</t>
        </is>
      </c>
      <c r="B44" s="28" t="inlineStr">
        <is>
          <t>—</t>
        </is>
      </c>
      <c r="C44" s="28" t="inlineStr">
        <is>
          <t>DM-F07</t>
        </is>
      </c>
      <c r="D44" s="28" t="inlineStr">
        <is>
          <t>app.test.ts</t>
        </is>
      </c>
      <c r="E44" s="28" t="inlineStr">
        <is>
          <t>No namesake suite; covered by the suites named (verified by import).</t>
        </is>
      </c>
      <c r="F44" s="28" t="inlineStr">
        <is>
          <t>Finding remediation (post code-complete)</t>
        </is>
      </c>
    </row>
    <row r="45" ht="15" customHeight="1" s="22">
      <c r="A45" s="29" t="inlineStr">
        <is>
          <t>sidebar</t>
        </is>
      </c>
      <c r="B45" s="28" t="inlineStr">
        <is>
          <t>ST-005</t>
        </is>
      </c>
      <c r="C45" s="28" t="inlineStr">
        <is>
          <t>DM-F21</t>
        </is>
      </c>
      <c r="D45" s="28" t="inlineStr">
        <is>
          <t>sidebar.test.ts</t>
        </is>
      </c>
      <c r="E45" s="28" t="n"/>
      <c r="F45" s="28" t="inlineStr">
        <is>
          <t>S1-S12 backlog</t>
        </is>
      </c>
    </row>
    <row r="46" ht="15" customHeight="1" s="22">
      <c r="A46" s="29" t="inlineStr">
        <is>
          <t>telemetry</t>
        </is>
      </c>
      <c r="B46" s="28" t="inlineStr">
        <is>
          <t>ST-056</t>
        </is>
      </c>
      <c r="C46" s="28" t="inlineStr">
        <is>
          <t>—</t>
        </is>
      </c>
      <c r="D46" s="28" t="inlineStr">
        <is>
          <t>telemetry.test.ts</t>
        </is>
      </c>
      <c r="E46" s="28" t="n"/>
      <c r="F46" s="28" t="inlineStr">
        <is>
          <t>S1-S12 backlog</t>
        </is>
      </c>
    </row>
    <row r="47" ht="15" customHeight="1" s="22">
      <c r="A47" s="29" t="inlineStr">
        <is>
          <t>templateGallery</t>
        </is>
      </c>
      <c r="B47" s="28" t="inlineStr">
        <is>
          <t>—</t>
        </is>
      </c>
      <c r="C47" s="28" t="inlineStr">
        <is>
          <t>—</t>
        </is>
      </c>
      <c r="D47" s="28" t="inlineStr">
        <is>
          <t>templateGallery.test.ts</t>
        </is>
      </c>
      <c r="E47" s="28" t="n"/>
      <c r="F47" s="28" t="inlineStr">
        <is>
          <t>Supporting module</t>
        </is>
      </c>
    </row>
    <row r="48" ht="15" customHeight="1" s="22">
      <c r="A48" s="29" t="inlineStr">
        <is>
          <t>templates</t>
        </is>
      </c>
      <c r="B48" s="28" t="inlineStr">
        <is>
          <t>ST-001, ST-002, ST-003, ST-054</t>
        </is>
      </c>
      <c r="C48" s="28" t="inlineStr">
        <is>
          <t>DM-F16</t>
        </is>
      </c>
      <c r="D48" s="28" t="inlineStr">
        <is>
          <t>templates.test.ts</t>
        </is>
      </c>
      <c r="E48" s="28" t="n"/>
      <c r="F48" s="28" t="inlineStr">
        <is>
          <t>S1-S12 backlog</t>
        </is>
      </c>
    </row>
    <row r="49" ht="21.75" customHeight="1" s="22">
      <c r="A49" s="29" t="inlineStr">
        <is>
          <t>tenantGate</t>
        </is>
      </c>
      <c r="B49" s="28" t="inlineStr">
        <is>
          <t>—</t>
        </is>
      </c>
      <c r="C49" s="28" t="inlineStr">
        <is>
          <t>DM-F15, DM-F16, DM-F19, DM-F20, DM-F21, DM-F22</t>
        </is>
      </c>
      <c r="D49" s="28" t="inlineStr">
        <is>
          <t>tenantGate.test.ts</t>
        </is>
      </c>
      <c r="E49" s="28" t="n"/>
      <c r="F49" s="28" t="inlineStr">
        <is>
          <t>Finding remediation (post code-complete)</t>
        </is>
      </c>
    </row>
    <row r="50" ht="15" customHeight="1" s="22">
      <c r="A50" s="29" t="inlineStr">
        <is>
          <t>tokenRefresh</t>
        </is>
      </c>
      <c r="B50" s="28" t="inlineStr">
        <is>
          <t>ST-055</t>
        </is>
      </c>
      <c r="C50" s="28" t="inlineStr">
        <is>
          <t>—</t>
        </is>
      </c>
      <c r="D50" s="28" t="inlineStr">
        <is>
          <t>tokenRefresh.test.ts</t>
        </is>
      </c>
      <c r="E50" s="28" t="n"/>
      <c r="F50" s="28" t="inlineStr">
        <is>
          <t>S1-S12 backlog</t>
        </is>
      </c>
    </row>
    <row r="51" ht="21.75" customHeight="1" s="22">
      <c r="A51" s="29" t="inlineStr">
        <is>
          <t>types</t>
        </is>
      </c>
      <c r="B51" s="28" t="inlineStr">
        <is>
          <t>ST-051, ST-052, ST-055, ST-056</t>
        </is>
      </c>
      <c r="C51" s="28" t="inlineStr">
        <is>
          <t>—</t>
        </is>
      </c>
      <c r="D51" s="28" t="inlineStr">
        <is>
          <t>app.test.ts, e2e.smoke.test.ts, install.test.ts, oauth.test.ts</t>
        </is>
      </c>
      <c r="E51" s="28" t="inlineStr">
        <is>
          <t>No namesake suite; covered by the suites named (verified by import).</t>
        </is>
      </c>
      <c r="F51" s="28" t="inlineStr">
        <is>
          <t>S1-S12 backlog</t>
        </is>
      </c>
    </row>
    <row r="52" ht="15" customHeight="1" s="22">
      <c r="A52" s="29" t="inlineStr">
        <is>
          <t>uninstall</t>
        </is>
      </c>
      <c r="B52" s="28" t="inlineStr">
        <is>
          <t>ST-052, ST-053</t>
        </is>
      </c>
      <c r="C52" s="28" t="inlineStr">
        <is>
          <t>DM-F08</t>
        </is>
      </c>
      <c r="D52" s="28" t="inlineStr">
        <is>
          <t>uninstall.test.ts</t>
        </is>
      </c>
      <c r="E52" s="28" t="n"/>
      <c r="F52" s="28" t="inlineStr">
        <is>
          <t>S1-S12 backlog</t>
        </is>
      </c>
    </row>
    <row r="53" ht="15" customHeight="1" s="22">
      <c r="A53" s="29" t="inlineStr">
        <is>
          <t>webhookSecurity</t>
        </is>
      </c>
      <c r="B53" s="28" t="inlineStr">
        <is>
          <t>—</t>
        </is>
      </c>
      <c r="C53" s="28" t="inlineStr">
        <is>
          <t>DM-F05, DM-F08</t>
        </is>
      </c>
      <c r="D53" s="28" t="inlineStr">
        <is>
          <t>app.test.ts, coldReviewFixes.test.ts</t>
        </is>
      </c>
      <c r="E53" s="28" t="inlineStr">
        <is>
          <t>No namesake suite; covered by the suites named (verified by import).</t>
        </is>
      </c>
      <c r="F53" s="28" t="inlineStr">
        <is>
          <t>Finding remediation (post code-complete)</t>
        </is>
      </c>
    </row>
    <row r="54" ht="21.75" customHeight="1" s="22">
      <c r="A54" s="29" t="inlineStr">
        <is>
          <t>releaseGate</t>
        </is>
      </c>
      <c r="B54" s="28" t="inlineStr">
        <is>
          <t>—</t>
        </is>
      </c>
      <c r="C54" s="28" t="inlineStr">
        <is>
          <t>CGPT-DM-002, CGPT-DM-004, CGPT-DM-012</t>
        </is>
      </c>
      <c r="D54" s="28" t="inlineStr">
        <is>
          <t>releaseGate.test.ts</t>
        </is>
      </c>
      <c r="E54" s="28" t="inlineStr">
        <is>
          <t>Checks the pipeline that produces the evidence, not the product. 26 tests; fixture is this repo's own pre-review ci.yml.</t>
        </is>
      </c>
      <c r="F54" s="28" t="inlineStr">
        <is>
          <t>Review response (v032)</t>
        </is>
      </c>
    </row>
    <row r="55" ht="21.75" customHeight="1" s="22">
      <c r="A55" s="29" t="inlineStr">
        <is>
          <t>site</t>
        </is>
      </c>
      <c r="B55" s="28" t="inlineStr">
        <is>
          <t>ST-065, ST-067</t>
        </is>
      </c>
      <c r="C55" s="28" t="inlineStr">
        <is>
          <t>VER-DM4, R-D15, R-D13</t>
        </is>
      </c>
      <c r="D55" s="28" t="inlineStr">
        <is>
          <t>site.test.ts</t>
        </is>
      </c>
      <c r="E55" s="28" t="inlineStr">
        <is>
          <t>Generates the hostable privacy/terms/status/support pages from buildTrustPage(), so the published policy cannot drift from the scopes and retention the code enforces. 20 tests.</t>
        </is>
      </c>
      <c r="F55" s="28" t="inlineStr">
        <is>
          <t>Launch response (v033)</t>
        </is>
      </c>
    </row>
    <row r="56" ht="15" customHeight="1" s="22"/>
    <row r="57" ht="15" customHeight="1" s="22">
      <c r="A57" s="32" t="inlineStr">
        <is>
          <t>NON-SRC EVIDENCE ADDED v031</t>
        </is>
      </c>
      <c r="B57" s="28" t="n"/>
      <c r="C57" s="28" t="n"/>
      <c r="D57" s="28" t="n"/>
      <c r="E57" s="28" t="n"/>
      <c r="F57" s="28" t="n"/>
    </row>
    <row r="58" ht="15" customHeight="1" s="22">
      <c r="A58" s="29" t="inlineStr">
        <is>
          <t>package-lock.json</t>
        </is>
      </c>
      <c r="B58" s="28" t="inlineStr">
        <is>
          <t>—</t>
        </is>
      </c>
      <c r="C58" s="28" t="inlineStr">
        <is>
          <t>CGPT-DM-004</t>
        </is>
      </c>
      <c r="D58" s="28" t="inlineStr">
        <is>
          <t>npm ci (all CI jobs)</t>
        </is>
      </c>
      <c r="E58" s="28" t="inlineStr">
        <is>
          <t>280 packages. Without it no CI job could complete.</t>
        </is>
      </c>
      <c r="F58" s="28" t="inlineStr">
        <is>
          <t>Review response (v031)</t>
        </is>
      </c>
    </row>
    <row r="59" ht="15" customHeight="1" s="22">
      <c r="A59" s="29" t="inlineStr">
        <is>
          <t>scripts/secret-scan.js</t>
        </is>
      </c>
      <c r="B59" s="28" t="inlineStr">
        <is>
          <t>—</t>
        </is>
      </c>
      <c r="C59" s="28" t="inlineStr">
        <is>
          <t>CGPT-DM-012</t>
        </is>
      </c>
      <c r="D59" s="28" t="inlineStr">
        <is>
          <t>CI supply-chain job</t>
        </is>
      </c>
      <c r="E59" s="28" t="inlineStr">
        <is>
          <t>8 rules, 3 reviewed allowlist entries, line-scoped.</t>
        </is>
      </c>
      <c r="F59" s="28" t="inlineStr">
        <is>
          <t>Review response (v031)</t>
        </is>
      </c>
    </row>
    <row r="60" ht="15" customHeight="1" s="22">
      <c r="A60" s="29" t="inlineStr">
        <is>
          <t>.github/workflows/ci.yml</t>
        </is>
      </c>
      <c r="B60" s="28" t="inlineStr">
        <is>
          <t>ST-086</t>
        </is>
      </c>
      <c r="C60" s="28" t="inlineStr">
        <is>
          <t>CGPT-DM-002, CGPT-DM-012</t>
        </is>
      </c>
      <c r="D60" s="28" t="inlineStr">
        <is>
          <t>—</t>
        </is>
      </c>
      <c r="E60" s="28" t="inlineStr">
        <is>
          <t>supply-chain job added; deploy job fails closed.</t>
        </is>
      </c>
      <c r="F60" s="28" t="inlineStr">
        <is>
          <t>Review response (v031)</t>
        </is>
      </c>
    </row>
    <row r="61" ht="15" customHeight="1" s="22">
      <c r="A61" s="29" t="inlineStr">
        <is>
          <t>.github/workflows/codeql.yml</t>
        </is>
      </c>
      <c r="B61" s="28" t="inlineStr">
        <is>
          <t>—</t>
        </is>
      </c>
      <c r="C61" s="28" t="inlineStr">
        <is>
          <t>CGPT-DM-012</t>
        </is>
      </c>
      <c r="D61" s="28" t="inlineStr">
        <is>
          <t>—</t>
        </is>
      </c>
      <c r="E61" s="28" t="inlineStr">
        <is>
          <t>NOT VERIFIED — runs only on GitHub (R-D17).</t>
        </is>
      </c>
      <c r="F61" s="28" t="inlineStr">
        <is>
          <t>Review response (v031)</t>
        </is>
      </c>
    </row>
    <row r="62" ht="42.75" customHeight="1" s="22">
      <c r="A62" s="29" t="inlineStr">
        <is>
          <t>scripts/make-listing-assets.js</t>
        </is>
      </c>
      <c r="B62" s="28" t="inlineStr">
        <is>
          <t>—</t>
        </is>
      </c>
      <c r="C62" s="28" t="inlineStr">
        <is>
          <t>VER-DM4</t>
        </is>
      </c>
      <c r="D62" s="28" t="inlineStr">
        <is>
          <t>site.test.ts</t>
        </is>
      </c>
      <c r="E62" s="28" t="inlineStr">
        <is>
          <t>Generates icon-32/48/96/128 and card-banner-220x140 as real PNGs with no dependencies. The test reads the dimensions from the PNG headers on disk and runs them through validateAssets, rather than trusting the generator to agree with itself.</t>
        </is>
      </c>
      <c r="F62" s="28" t="inlineStr">
        <is>
          <t>Launch response (v033)</t>
        </is>
      </c>
    </row>
    <row r="63" ht="21.75" customHeight="1" s="22">
      <c r="A63" s="29" t="inlineStr">
        <is>
          <t>scripts/build-site.js</t>
        </is>
      </c>
      <c r="B63" s="28" t="inlineStr">
        <is>
          <t>—</t>
        </is>
      </c>
      <c r="C63" s="28" t="inlineStr">
        <is>
          <t>R-D15</t>
        </is>
      </c>
      <c r="D63" s="28" t="inlineStr">
        <is>
          <t>—</t>
        </is>
      </c>
      <c r="E63" s="28" t="inlineStr">
        <is>
          <t>Writes site/ and exits non-zero while any of the six config values is still a placeholder.</t>
        </is>
      </c>
      <c r="F63" s="28" t="inlineStr">
        <is>
          <t>Launch response (v033)</t>
        </is>
      </c>
    </row>
    <row r="64" ht="32.8" customHeight="1" s="22">
      <c r="A64" s="29" t="inlineStr">
        <is>
          <t>tests/postgres.contract.test.ts</t>
        </is>
      </c>
      <c r="B64" s="28" t="inlineStr">
        <is>
          <t>—</t>
        </is>
      </c>
      <c r="C64" s="28" t="inlineStr">
        <is>
          <t>C-14 (portfolio class); RevRescue L-RR9; TeleField R-T4</t>
        </is>
      </c>
      <c r="D64" s="28" t="inlineStr">
        <is>
          <t>postgres.contract.test.ts (separate jest config)</t>
        </is>
      </c>
      <c r="E64" s="28" t="inlineStr">
        <is>
          <t>10 tests against PGlite. Proves the migrations, the three repositories, the cascade purge and BIGINT coercion against a real engine rather than a FakeClient. Result: clean.</t>
        </is>
      </c>
      <c r="F64" s="28" t="inlineStr">
        <is>
          <t>Sibling-transfer (v035)</t>
        </is>
      </c>
    </row>
    <row r="66">
      <c r="A66" s="53" t="inlineStr">
        <is>
          <t>MODULES ADDED S13-S19 (20 Sep 2026) — the integration layer P-DM-001 found missing</t>
        </is>
      </c>
    </row>
    <row r="67">
      <c r="A67" s="45" t="inlineStr">
        <is>
          <t>main</t>
        </is>
      </c>
      <c r="B67" s="45" t="inlineStr">
        <is>
          <t>ST-051..056 wiring; all</t>
        </is>
      </c>
      <c r="C67" s="45" t="inlineStr">
        <is>
          <t>P-DM-002</t>
        </is>
      </c>
      <c r="D67" s="45" t="inlineStr">
        <is>
          <t>main.test.ts</t>
        </is>
      </c>
      <c r="E67" s="45" t="inlineStr">
        <is>
          <t>Composition root. The file whose absence meant `npm start` exited 0 with no port open.</t>
        </is>
      </c>
      <c r="F67" s="45" t="inlineStr">
        <is>
          <t>S13 (PPLX)</t>
        </is>
      </c>
    </row>
    <row r="68">
      <c r="A68" s="45" t="inlineStr">
        <is>
          <t>server</t>
        </is>
      </c>
      <c r="B68" s="45" t="inlineStr">
        <is>
          <t>—</t>
        </is>
      </c>
      <c r="C68" s="45" t="inlineStr">
        <is>
          <t>P-DM-002, P-DM-010, DM-F01, DM-F10</t>
        </is>
      </c>
      <c r="D68" s="45" t="inlineStr">
        <is>
          <t>server.test.ts</t>
        </is>
      </c>
      <c r="E68" s="45" t="inlineStr">
        <is>
          <t>start() no longer carries a coverage exemption: it takes its environment and server factory by injection.</t>
        </is>
      </c>
      <c r="F68" s="45" t="inlineStr">
        <is>
          <t>S13 (PPLX)</t>
        </is>
      </c>
    </row>
    <row r="69">
      <c r="A69" s="45" t="inlineStr">
        <is>
          <t>httpClient</t>
        </is>
      </c>
      <c r="B69" s="45" t="inlineStr">
        <is>
          <t>—</t>
        </is>
      </c>
      <c r="C69" s="45" t="inlineStr">
        <is>
          <t>P-DM-001</t>
        </is>
      </c>
      <c r="D69" s="45" t="inlineStr">
        <is>
          <t>httpClient.test.ts</t>
        </is>
      </c>
      <c r="E69" s="45" t="inlineStr">
        <is>
          <t>The single outbound network seam. Timeouts via AbortController; a hung upstream cannot pin a handler open.</t>
        </is>
      </c>
      <c r="F69" s="45" t="inlineStr">
        <is>
          <t>S13 (PPLX)</t>
        </is>
      </c>
    </row>
    <row r="70">
      <c r="A70" s="45" t="inlineStr">
        <is>
          <t>googleApi</t>
        </is>
      </c>
      <c r="B70" s="45" t="inlineStr">
        <is>
          <t>ST-051, ST-052, ST-055</t>
        </is>
      </c>
      <c r="C70" s="45" t="inlineStr">
        <is>
          <t>P-DM-001</t>
        </is>
      </c>
      <c r="D70" s="45" t="inlineStr">
        <is>
          <t>googleApi.test.ts, googleApi.s13.test.ts</t>
        </is>
      </c>
      <c r="E70" s="45" t="inlineStr">
        <is>
          <t>The production OAuthTransport. TOKEN_URL and REVOKE_URL had been constants no code ever requested since S1.</t>
        </is>
      </c>
      <c r="F70" s="45" t="inlineStr">
        <is>
          <t>S13 (PPLX)</t>
        </is>
      </c>
    </row>
    <row r="71">
      <c r="A71" s="45" t="inlineStr">
        <is>
          <t>pgClient</t>
        </is>
      </c>
      <c r="B71" s="45" t="inlineStr">
        <is>
          <t>—</t>
        </is>
      </c>
      <c r="C71" s="45" t="inlineStr">
        <is>
          <t>P-DM-003, DM-F24</t>
        </is>
      </c>
      <c r="D71" s="45" t="inlineStr">
        <is>
          <t>pgClient.test.ts</t>
        </is>
      </c>
      <c r="E71" s="45" t="inlineStr">
        <is>
          <t>Real pooled driver. Transactions pinned to one connection — the pool would otherwise scatter BEGIN/COMMIT.</t>
        </is>
      </c>
      <c r="F71" s="45" t="inlineStr">
        <is>
          <t>S13 (PPLX)</t>
        </is>
      </c>
    </row>
    <row r="72">
      <c r="A72" s="45" t="inlineStr">
        <is>
          <t>runtimeDeps</t>
        </is>
      </c>
      <c r="B72" s="45" t="inlineStr">
        <is>
          <t>—</t>
        </is>
      </c>
      <c r="C72" s="45" t="inlineStr">
        <is>
          <t>P-DM-003, DM-F25</t>
        </is>
      </c>
      <c r="D72" s="45" t="inlineStr">
        <is>
          <t>runtimeDeps.test.ts</t>
        </is>
      </c>
      <c r="E72" s="45" t="inlineStr">
        <is>
          <t>Portfolio gate class C-17. Found a defect in itself on first run.</t>
        </is>
      </c>
      <c r="F72" s="45" t="inlineStr">
        <is>
          <t>S13 (PPLX)</t>
        </is>
      </c>
    </row>
    <row r="73">
      <c r="A73" s="45" t="inlineStr">
        <is>
          <t>formTriggerRepo</t>
        </is>
      </c>
      <c r="B73" s="45" t="inlineStr">
        <is>
          <t>ST-041..050</t>
        </is>
      </c>
      <c r="C73" s="45" t="inlineStr">
        <is>
          <t>P-DM-001</t>
        </is>
      </c>
      <c r="D73" s="45" t="inlineStr">
        <is>
          <t>formTriggerRepo.test.ts</t>
        </is>
      </c>
      <c r="E73" s="45" t="inlineStr">
        <is>
          <t>The object joining the webhook route, the forwarder and the service — which had never existed.</t>
        </is>
      </c>
      <c r="F73" s="45" t="inlineStr">
        <is>
          <t>S13 (PPLX)</t>
        </is>
      </c>
    </row>
    <row r="74">
      <c r="A74" s="45" t="inlineStr">
        <is>
          <t>documentPipeline</t>
        </is>
      </c>
      <c r="B74" s="45" t="inlineStr">
        <is>
          <t>ST-001, ST-002</t>
        </is>
      </c>
      <c r="C74" s="45" t="inlineStr">
        <is>
          <t>P-DM-006</t>
        </is>
      </c>
      <c r="D74" s="45" t="inlineStr">
        <is>
          <t>documentPipeline.test.ts</t>
        </is>
      </c>
      <c r="E74" s="45" t="inlineStr">
        <is>
          <t>Chooses renderer vs preview per template and SAYS WHICH on every result.</t>
        </is>
      </c>
      <c r="F74" s="45" t="inlineStr">
        <is>
          <t>S13/S14 (PPLX)</t>
        </is>
      </c>
    </row>
    <row r="75">
      <c r="A75" s="45" t="inlineStr">
        <is>
          <t>documentRenderer</t>
        </is>
      </c>
      <c r="B75" s="45" t="inlineStr">
        <is>
          <t>ST-001, ST-002, ST-031</t>
        </is>
      </c>
      <c r="C75" s="45" t="inlineStr">
        <is>
          <t>P-DM-006</t>
        </is>
      </c>
      <c r="D75" s="45" t="inlineStr">
        <is>
          <t>documentRenderer.test.ts, gallery.render.test.ts</t>
        </is>
      </c>
      <c r="E75" s="45" t="inlineStr">
        <is>
          <t>The real merge engine. One batchUpdate; both the live and recording renderers share one pure request builder.</t>
        </is>
      </c>
      <c r="F75" s="45" t="inlineStr">
        <is>
          <t>S14 (PPLX)</t>
        </is>
      </c>
    </row>
    <row r="76">
      <c r="A76" s="45" t="inlineStr">
        <is>
          <t>sbomAssertions</t>
        </is>
      </c>
      <c r="B76" s="45" t="inlineStr">
        <is>
          <t>—</t>
        </is>
      </c>
      <c r="C76" s="45" t="inlineStr">
        <is>
          <t>P-DM-004</t>
        </is>
      </c>
      <c r="D76" s="45" t="inlineStr">
        <is>
          <t>sbomAssertions.test.ts</t>
        </is>
      </c>
      <c r="E76" s="45" t="inlineStr">
        <is>
          <t>Asserts the runtime component count exceeds zero. 13 of 296.</t>
        </is>
      </c>
      <c r="F76" s="45" t="inlineStr">
        <is>
          <t>S14 (PPLX)</t>
        </is>
      </c>
    </row>
    <row r="77">
      <c r="A77" s="45" t="inlineStr">
        <is>
          <t>addonManifest</t>
        </is>
      </c>
      <c r="B77" s="45" t="inlineStr">
        <is>
          <t>ST-005, ST-041..050</t>
        </is>
      </c>
      <c r="C77" s="45" t="inlineStr">
        <is>
          <t>P-DM-005</t>
        </is>
      </c>
      <c r="D77" s="45" t="inlineStr">
        <is>
          <t>addonManifest.test.ts, appsScriptProject.test.ts</t>
        </is>
      </c>
      <c r="E77" s="45" t="inlineStr">
        <is>
          <t>appsscript.json generated from the audited scope manifest, with a drift test.</t>
        </is>
      </c>
      <c r="F77" s="45" t="inlineStr">
        <is>
          <t>S15 (PPLX)</t>
        </is>
      </c>
    </row>
    <row r="78">
      <c r="A78" s="45" t="inlineStr">
        <is>
          <t>hostCapabilities</t>
        </is>
      </c>
      <c r="B78" s="45" t="inlineStr">
        <is>
          <t>ST-005, ST-015, ST-045</t>
        </is>
      </c>
      <c r="C78" s="45" t="inlineStr">
        <is>
          <t>P-DM-005</t>
        </is>
      </c>
      <c r="D78" s="45" t="inlineStr">
        <is>
          <t>hostCapabilities.test.ts</t>
        </is>
      </c>
      <c r="E78" s="45" t="inlineStr">
        <is>
          <t>Fails if any path needs a capability the chosen surface lacks.</t>
        </is>
      </c>
      <c r="F78" s="45" t="inlineStr">
        <is>
          <t>S15 (PPLX)</t>
        </is>
      </c>
    </row>
    <row r="79">
      <c r="A79" s="45" t="inlineStr">
        <is>
          <t>googleDriveHost</t>
        </is>
      </c>
      <c r="B79" s="45" t="inlineStr">
        <is>
          <t>ST-031..040</t>
        </is>
      </c>
      <c r="C79" s="45" t="inlineStr">
        <is>
          <t>P-DM-001</t>
        </is>
      </c>
      <c r="D79" s="45" t="inlineStr">
        <is>
          <t>googleDriveHost.test.ts</t>
        </is>
      </c>
      <c r="E79" s="45" t="inlineStr">
        <is>
          <t>Real Drive, incl. multipart upload built by hand. The rename conflict path tested end to end.</t>
        </is>
      </c>
      <c r="F79" s="45" t="inlineStr">
        <is>
          <t>S15 (PPLX)</t>
        </is>
      </c>
    </row>
    <row r="80">
      <c r="A80" s="45" t="inlineStr">
        <is>
          <t>googleSheetsSource</t>
        </is>
      </c>
      <c r="B80" s="45" t="inlineStr">
        <is>
          <t>ST-011..013, ST-019</t>
        </is>
      </c>
      <c r="C80" s="45" t="inlineStr">
        <is>
          <t>P-DM-001</t>
        </is>
      </c>
      <c r="D80" s="45" t="inlineStr">
        <is>
          <t>googleSheetsSource.test.ts</t>
        </is>
      </c>
      <c r="E80" s="45" t="inlineStr">
        <is>
          <t>Real values.get with header mapping and A1 paging.</t>
        </is>
      </c>
      <c r="F80" s="45" t="inlineStr">
        <is>
          <t>S15 (PPLX)</t>
        </is>
      </c>
    </row>
    <row r="81">
      <c r="A81" s="45" t="inlineStr">
        <is>
          <t>googleTokenSource</t>
        </is>
      </c>
      <c r="B81" s="45" t="inlineStr">
        <is>
          <t>ST-055</t>
        </is>
      </c>
      <c r="C81" s="45" t="inlineStr">
        <is>
          <t>P-DM-001</t>
        </is>
      </c>
      <c r="D81" s="45" t="inlineStr">
        <is>
          <t>googleTokenSource.test.ts</t>
        </is>
      </c>
      <c r="E81" s="45" t="inlineStr">
        <is>
          <t>Refreshes on the ST-055 path within 60s of expiry; persists a rotated refresh token.</t>
        </is>
      </c>
      <c r="F81" s="45" t="inlineStr">
        <is>
          <t>S15 (PPLX)</t>
        </is>
      </c>
    </row>
    <row r="82">
      <c r="A82" s="45" t="inlineStr">
        <is>
          <t>postgresDurable</t>
        </is>
      </c>
      <c r="B82" s="45" t="inlineStr">
        <is>
          <t>ST-021..030, ST-011..020, ST-041..050</t>
        </is>
      </c>
      <c r="C82" s="45" t="inlineStr">
        <is>
          <t>P-DM-009</t>
        </is>
      </c>
      <c r="D82" s="45" t="inlineStr">
        <is>
          <t>postgresDurable.test.ts, postgresDurable.contract.test.ts</t>
        </is>
      </c>
      <c r="E82" s="45" t="inlineStr">
        <is>
          <t>Seven stores, in the review's order. Ledger chain survives restart with its eviction anchor.</t>
        </is>
      </c>
      <c r="F82" s="45" t="inlineStr">
        <is>
          <t>S16 (PPLX)</t>
        </is>
      </c>
    </row>
    <row r="83">
      <c r="A83" s="45" t="inlineStr">
        <is>
          <t>esignProvider</t>
        </is>
      </c>
      <c r="B83" s="45" t="inlineStr">
        <is>
          <t>ST-021..030</t>
        </is>
      </c>
      <c r="C83" s="45" t="inlineStr">
        <is>
          <t>P-DM-007</t>
        </is>
      </c>
      <c r="D83" s="45" t="inlineStr">
        <is>
          <t>esignProvider.test.ts</t>
        </is>
      </c>
      <c r="E83" s="45" t="inlineStr">
        <is>
          <t>The boundary. NotConfiguredEsignProvider refuses with a typed error; no vendor integrated (D-DM6).</t>
        </is>
      </c>
      <c r="F83" s="45" t="inlineStr">
        <is>
          <t>S16 (PPLX)</t>
        </is>
      </c>
    </row>
    <row r="84">
      <c r="A84" s="45" t="inlineStr">
        <is>
          <t>claimsGate</t>
        </is>
      </c>
      <c r="B84" s="45" t="inlineStr">
        <is>
          <t>—</t>
        </is>
      </c>
      <c r="C84" s="45" t="inlineStr">
        <is>
          <t>P-DM-007, DM-F34, DM-F36</t>
        </is>
      </c>
      <c r="D84" s="45" t="inlineStr">
        <is>
          <t>claimsGate.test.ts</t>
        </is>
      </c>
      <c r="E84" s="45" t="inlineStr">
        <is>
          <t>Portfolio gate. Scope widened past the listing to every document a third party reads.</t>
        </is>
      </c>
      <c r="F84" s="45" t="inlineStr">
        <is>
          <t>S16/S19 (PPLX)</t>
        </is>
      </c>
    </row>
    <row r="85">
      <c r="A85" s="45" t="inlineStr">
        <is>
          <t>governanceSurfaces</t>
        </is>
      </c>
      <c r="B85" s="45" t="inlineStr">
        <is>
          <t>ST-067, ST-069, ST-087</t>
        </is>
      </c>
      <c r="C85" s="45" t="inlineStr">
        <is>
          <t>§5</t>
        </is>
      </c>
      <c r="D85" s="45" t="inlineStr">
        <is>
          <t>governanceSurfaces.test.ts</t>
        </is>
      </c>
      <c r="E85" s="45" t="inlineStr">
        <is>
          <t>Customer-verifiable audit export, isolation statement, honest batch-SLO page — each generated from the enforcing code.</t>
        </is>
      </c>
      <c r="F85" s="45" t="inlineStr">
        <is>
          <t>S17 (PPLX)</t>
        </is>
      </c>
    </row>
    <row r="86">
      <c r="A86" s="45" t="inlineStr">
        <is>
          <t>entitlementTiers</t>
        </is>
      </c>
      <c r="B86" s="45" t="inlineStr">
        <is>
          <t>ST-061</t>
        </is>
      </c>
      <c r="C86" s="45" t="inlineStr">
        <is>
          <t>§5, DM-F03</t>
        </is>
      </c>
      <c r="D86" s="45" t="inlineStr">
        <is>
          <t>entitlementTiers.test.ts</t>
        </is>
      </c>
      <c r="E86" s="45" t="inlineStr">
        <is>
          <t>Closes the DM-F03 class: a limit that exists and is never checked fails the build.</t>
        </is>
      </c>
      <c r="F86" s="45" t="inlineStr">
        <is>
          <t>S17 (PPLX)</t>
        </is>
      </c>
    </row>
    <row r="87">
      <c r="A87" s="45" t="inlineStr">
        <is>
          <t>logger</t>
        </is>
      </c>
      <c r="B87" s="45" t="inlineStr">
        <is>
          <t>ST-072</t>
        </is>
      </c>
      <c r="C87" s="45" t="inlineStr">
        <is>
          <t>S18, DM-F35</t>
        </is>
      </c>
      <c r="D87" s="45" t="inlineStr">
        <is>
          <t>logger.test.ts</t>
        </is>
      </c>
      <c r="E87" s="45" t="inlineStr">
        <is>
          <t>Redaction plus request tracing. LOG_LEVEL was in the contract since S13 and nothing read it.</t>
        </is>
      </c>
      <c r="F87" s="45" t="inlineStr">
        <is>
          <t>S18 (PPLX)</t>
        </is>
      </c>
    </row>
    <row r="88">
      <c r="A88" s="45" t="inlineStr">
        <is>
          <t>slo</t>
        </is>
      </c>
      <c r="B88" s="45" t="inlineStr">
        <is>
          <t>ST-087, ST-072</t>
        </is>
      </c>
      <c r="C88" s="45" t="inlineStr">
        <is>
          <t>S18</t>
        </is>
      </c>
      <c r="D88" s="45" t="inlineStr">
        <is>
          <t>slo.test.ts</t>
        </is>
      </c>
      <c r="E88" s="45" t="inlineStr">
        <is>
          <t>Error budgets on render success and batch completion, multiwindow burn.</t>
        </is>
      </c>
      <c r="F88" s="45" t="inlineStr">
        <is>
          <t>S18 (PPLX)</t>
        </is>
      </c>
    </row>
    <row r="89">
      <c r="A89" s="45" t="inlineStr">
        <is>
          <t>syntheticMonitor</t>
        </is>
      </c>
      <c r="B89" s="45" t="inlineStr">
        <is>
          <t>ST-086</t>
        </is>
      </c>
      <c r="C89" s="45" t="inlineStr">
        <is>
          <t>S18</t>
        </is>
      </c>
      <c r="D89" s="45" t="inlineStr">
        <is>
          <t>syntheticMonitor.test.ts</t>
        </is>
      </c>
      <c r="E89" s="45" t="inlineStr">
        <is>
          <t>install -&gt; render -&gt; file. RUN FOR REAL against the built app.</t>
        </is>
      </c>
      <c r="F89" s="45" t="inlineStr">
        <is>
          <t>S18 (PPLX)</t>
        </is>
      </c>
    </row>
    <row r="90">
      <c r="A90" s="45" t="inlineStr">
        <is>
          <t>restoreDrill</t>
        </is>
      </c>
      <c r="B90" s="45" t="inlineStr">
        <is>
          <t>ST-090</t>
        </is>
      </c>
      <c r="C90" s="45" t="inlineStr">
        <is>
          <t>S18</t>
        </is>
      </c>
      <c r="D90" s="45" t="inlineStr">
        <is>
          <t>restoreDrill.test.ts</t>
        </is>
      </c>
      <c r="E90" s="45" t="inlineStr">
        <is>
          <t>The drill EXECUTED: RTO 95ms measured.</t>
        </is>
      </c>
      <c r="F90" s="45" t="inlineStr">
        <is>
          <t>S18 (PPLX)</t>
        </is>
      </c>
    </row>
    <row r="91">
      <c r="A91" s="45" t="inlineStr">
        <is>
          <t>integrationGate</t>
        </is>
      </c>
      <c r="B91" s="45" t="inlineStr">
        <is>
          <t>—</t>
        </is>
      </c>
      <c r="C91" s="45" t="inlineStr">
        <is>
          <t>P-DM-001, DM-F39</t>
        </is>
      </c>
      <c r="D91" s="45" t="inlineStr">
        <is>
          <t>integrationGate.test.ts</t>
        </is>
      </c>
      <c r="E91" s="45" t="inlineStr">
        <is>
          <t>THE FOURTH PORTFOLIO GATE CLASS. 16 findings on first run after seven sprints of remediation.</t>
        </is>
      </c>
      <c r="F91" s="45" t="inlineStr">
        <is>
          <t>S19 (PPLX)</t>
        </is>
      </c>
    </row>
    <row r="92">
      <c r="A92" s="45" t="inlineStr">
        <is>
          <t>paymentGateway</t>
        </is>
      </c>
      <c r="B92" s="45" t="inlineStr">
        <is>
          <t>ST-057..059</t>
        </is>
      </c>
      <c r="C92" s="45" t="inlineStr">
        <is>
          <t>P-DM-001 (via integrationGate)</t>
        </is>
      </c>
      <c r="D92" s="45" t="inlineStr">
        <is>
          <t>paymentGateway.test.ts</t>
        </is>
      </c>
      <c r="E92" s="45" t="inlineStr">
        <is>
          <t>Real Stripe PaymentIntents. Injected since S6 and never once called.</t>
        </is>
      </c>
      <c r="F92" s="45" t="inlineStr">
        <is>
          <t>S19 (PPLX)</t>
        </is>
      </c>
    </row>
    <row r="93">
      <c r="A93" s="45" t="inlineStr">
        <is>
          <t>marketplaceLicense</t>
        </is>
      </c>
      <c r="B93" s="45" t="inlineStr">
        <is>
          <t>ST-052, ST-053</t>
        </is>
      </c>
      <c r="C93" s="45" t="inlineStr">
        <is>
          <t>VER-DM1, P-DM-001</t>
        </is>
      </c>
      <c r="D93" s="45" t="inlineStr">
        <is>
          <t>marketplaceLicense.test.ts</t>
        </is>
      </c>
      <c r="E93" s="45" t="inlineStr">
        <is>
          <t>The probe behind uninstall detection, which VER-DM1 created and nobody implemented.</t>
        </is>
      </c>
      <c r="F93" s="45" t="inlineStr">
        <is>
          <t>S19 (PPLX)</t>
        </is>
      </c>
    </row>
    <row r="94">
      <c r="A94" s="45" t="inlineStr">
        <is>
          <t>accountIdentities</t>
        </is>
      </c>
      <c r="B94" s="45" t="inlineStr">
        <is>
          <t>ST-057..059, ST-052</t>
        </is>
      </c>
      <c r="C94" s="45" t="inlineStr">
        <is>
          <t>P-DM-001 (via integrationGate)</t>
        </is>
      </c>
      <c r="D94" s="45" t="inlineStr">
        <is>
          <t>accountIdentities.test.ts</t>
        </is>
      </c>
      <c r="E94" s="45" t="inlineStr">
        <is>
          <t>Caught by the gate as two stubs written in the same hour as the fix.</t>
        </is>
      </c>
      <c r="F94" s="45" t="inlineStr">
        <is>
          <t>S19 (PPLX)</t>
        </is>
      </c>
    </row>
    <row r="96">
      <c r="A96" s="43" t="inlineStr">
        <is>
          <t>NON-SRC EVIDENCE ADDED v036: apps-script/appsscript.json + Code.gs + Sidebar.html + Signing.gs (the Editor add-on, S15); infra/terraform/* + Dockerfile + .github/workflows/deploy.yml + synthetic.yml (S18); migrations 004 (template Doc binding), 005 (seven durable stores), 006 (account identities); tests/boot.test.ts (spawns the built artefact); EXECUTION_EVIDENCE_S13_S19.md; EXTERNAL_REVIEW_PPLX_V001.md; RUNBOOK_ALERTS.md; drill-evidence/.</t>
        </is>
      </c>
    </row>
    <row r="97">
      <c r="A97" s="43" t="inlineStr">
        <is>
          <t>Module count 51 -&gt; 79. Suite 882 -&gt; 1486 tests across 80 suites, at 100/100/100/100 throughout.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42" customWidth="1" style="21" min="2" max="2"/>
    <col width="9" customWidth="1" style="21" min="3" max="4"/>
    <col width="8" customWidth="1" style="21" min="5" max="5"/>
    <col width="12" customWidth="1" style="21" min="6" max="6"/>
    <col width="14" customWidth="1" style="21" min="7" max="7"/>
    <col width="55" customWidth="1" style="21" min="8" max="8"/>
  </cols>
  <sheetData>
    <row r="1" ht="17.25" customHeight="1" s="22">
      <c r="A1" s="23" t="inlineStr">
        <is>
          <t>SPRINT STATUS ROLLUP — live formulas over Traceability_Matrix</t>
        </is>
      </c>
    </row>
    <row r="2" ht="15" customHeight="1" s="22">
      <c r="A2" s="34" t="inlineStr">
        <is>
          <t>Do not edit computed cells. 'Done' counts Done-in-code + Done. Exit criteria from v012 Sprint_Board.</t>
        </is>
      </c>
    </row>
    <row r="3" ht="15" customHeight="1" s="22">
      <c r="A3" s="25" t="inlineStr">
        <is>
          <t>Sprint</t>
        </is>
      </c>
      <c r="B3" s="25" t="inlineStr">
        <is>
          <t>Focus</t>
        </is>
      </c>
      <c r="C3" s="25" t="inlineStr">
        <is>
          <t>Stories</t>
        </is>
      </c>
      <c r="D3" s="25" t="inlineStr">
        <is>
          <t>Points</t>
        </is>
      </c>
      <c r="E3" s="25" t="inlineStr">
        <is>
          <t>Done</t>
        </is>
      </c>
      <c r="F3" s="25" t="inlineStr">
        <is>
          <t>Done points</t>
        </is>
      </c>
      <c r="G3" s="25" t="inlineStr">
        <is>
          <t>% points done</t>
        </is>
      </c>
      <c r="H3" s="25" t="inlineStr">
        <is>
          <t>RAG (manual)</t>
        </is>
      </c>
    </row>
    <row r="4" ht="15" customHeight="1" s="22">
      <c r="A4" s="27" t="inlineStr">
        <is>
          <t>S0</t>
        </is>
      </c>
      <c r="B4" s="27" t="inlineStr">
        <is>
          <t>Discovery &amp; Design (parked per D13)</t>
        </is>
      </c>
      <c r="C4" s="27">
        <f>COUNTIF(Traceability_Matrix!$G$4:$G$103,"S0")</f>
        <v/>
      </c>
      <c r="D4" s="27">
        <f>SUMIF(Traceability_Matrix!$G$4:$G$103,"S0",Traceability_Matrix!$E$4:$E$103)</f>
        <v/>
      </c>
      <c r="E4" s="27">
        <f>COUNTIFS(Traceability_Matrix!$G$4:$G$103,"S0",Traceability_Matrix!$J$4:$J$103,"Done-in-code")+COUNTIFS(Traceability_Matrix!$G$4:$G$103,"S0",Traceability_Matrix!$J$4:$J$103,"Done")</f>
        <v/>
      </c>
      <c r="F4" s="27">
        <f>SUMIFS(Traceability_Matrix!$E$4:$E$103,Traceability_Matrix!$G$4:$G$103,"S0",Traceability_Matrix!$J$4:$J$103,"Done-in-code")+SUMIFS(Traceability_Matrix!$E$4:$E$103,Traceability_Matrix!$G$4:$G$103,"S0",Traceability_Matrix!$J$4:$J$103,"Done")</f>
        <v/>
      </c>
      <c r="G4" s="37">
        <f>IFERROR((SUMIFS(Traceability_Matrix!$E$4:$E$103,Traceability_Matrix!$G$4:$G$103,"S0",Traceability_Matrix!$J$4:$J$103,"Done-in-code")+SUMIFS(Traceability_Matrix!$E$4:$E$103,Traceability_Matrix!$G$4:$G$103,"S0",Traceability_Matrix!$J$4:$J$103,"Done"))/SUMIF(Traceability_Matrix!$G$4:$G$103,"S0",Traceability_Matrix!$E$4:$E$103),0)</f>
        <v/>
      </c>
      <c r="H4" s="26" t="inlineStr">
        <is>
          <t>PARKED — interviews owed; PRD baseline = Product_Spec</t>
        </is>
      </c>
    </row>
    <row r="5" ht="15" customHeight="1" s="22">
      <c r="A5" s="27" t="inlineStr">
        <is>
          <t>S1</t>
        </is>
      </c>
      <c r="B5" s="27" t="inlineStr">
        <is>
          <t>Foundation</t>
        </is>
      </c>
      <c r="C5" s="27">
        <f>COUNTIF(Traceability_Matrix!$G$4:$G$103,"S1")</f>
        <v/>
      </c>
      <c r="D5" s="27">
        <f>SUMIF(Traceability_Matrix!$G$4:$G$103,"S1",Traceability_Matrix!$E$4:$E$103)</f>
        <v/>
      </c>
      <c r="E5" s="27">
        <f>COUNTIFS(Traceability_Matrix!$G$4:$G$103,"S1",Traceability_Matrix!$J$4:$J$103,"Done-in-code")+COUNTIFS(Traceability_Matrix!$G$4:$G$103,"S1",Traceability_Matrix!$J$4:$J$103,"Done")</f>
        <v/>
      </c>
      <c r="F5" s="27">
        <f>SUMIFS(Traceability_Matrix!$E$4:$E$103,Traceability_Matrix!$G$4:$G$103,"S1",Traceability_Matrix!$J$4:$J$103,"Done-in-code")+SUMIFS(Traceability_Matrix!$E$4:$E$103,Traceability_Matrix!$G$4:$G$103,"S1",Traceability_Matrix!$J$4:$J$103,"Done")</f>
        <v/>
      </c>
      <c r="G5" s="37">
        <f>IFERROR((SUMIFS(Traceability_Matrix!$E$4:$E$103,Traceability_Matrix!$G$4:$G$103,"S1",Traceability_Matrix!$J$4:$J$103,"Done-in-code")+SUMIFS(Traceability_Matrix!$E$4:$E$103,Traceability_Matrix!$G$4:$G$103,"S1",Traceability_Matrix!$J$4:$J$103,"Done"))/SUMIF(Traceability_Matrix!$G$4:$G$103,"S1",Traceability_Matrix!$E$4:$E$103),0)</f>
        <v/>
      </c>
      <c r="H5" s="26" t="inlineStr">
        <is>
          <t>GREEN — 4/4 done-in-code; live install pending LC-1</t>
        </is>
      </c>
    </row>
    <row r="6" ht="15" customHeight="1" s="22">
      <c r="A6" s="27" t="inlineStr">
        <is>
          <t>S2</t>
        </is>
      </c>
      <c r="B6" s="27" t="inlineStr">
        <is>
          <t>Template designer pt 1</t>
        </is>
      </c>
      <c r="C6" s="27">
        <f>COUNTIF(Traceability_Matrix!$G$4:$G$103,"S2")</f>
        <v/>
      </c>
      <c r="D6" s="27">
        <f>SUMIF(Traceability_Matrix!$G$4:$G$103,"S2",Traceability_Matrix!$E$4:$E$103)</f>
        <v/>
      </c>
      <c r="E6" s="27">
        <f>COUNTIFS(Traceability_Matrix!$G$4:$G$103,"S2",Traceability_Matrix!$J$4:$J$103,"Done-in-code")+COUNTIFS(Traceability_Matrix!$G$4:$G$103,"S2",Traceability_Matrix!$J$4:$J$103,"Done")</f>
        <v/>
      </c>
      <c r="F6" s="27">
        <f>SUMIFS(Traceability_Matrix!$E$4:$E$103,Traceability_Matrix!$G$4:$G$103,"S2",Traceability_Matrix!$J$4:$J$103,"Done-in-code")+SUMIFS(Traceability_Matrix!$E$4:$E$103,Traceability_Matrix!$G$4:$G$103,"S2",Traceability_Matrix!$J$4:$J$103,"Done")</f>
        <v/>
      </c>
      <c r="G6" s="37">
        <f>IFERROR((SUMIFS(Traceability_Matrix!$E$4:$E$103,Traceability_Matrix!$G$4:$G$103,"S2",Traceability_Matrix!$J$4:$J$103,"Done-in-code")+SUMIFS(Traceability_Matrix!$E$4:$E$103,Traceability_Matrix!$G$4:$G$103,"S2",Traceability_Matrix!$J$4:$J$103,"Done"))/SUMIF(Traceability_Matrix!$G$4:$G$103,"S2",Traceability_Matrix!$E$4:$E$103),0)</f>
        <v/>
      </c>
      <c r="H6" s="26" t="inlineStr">
        <is>
          <t>GREEN — 6/6 done-in-code</t>
        </is>
      </c>
    </row>
    <row r="7" ht="15" customHeight="1" s="22">
      <c r="A7" s="27" t="inlineStr">
        <is>
          <t>S3</t>
        </is>
      </c>
      <c r="B7" s="27" t="inlineStr">
        <is>
          <t>Designer pt 2 + Batch skeleton</t>
        </is>
      </c>
      <c r="C7" s="27">
        <f>COUNTIF(Traceability_Matrix!$G$4:$G$103,"S3")</f>
        <v/>
      </c>
      <c r="D7" s="27">
        <f>SUMIF(Traceability_Matrix!$G$4:$G$103,"S3",Traceability_Matrix!$E$4:$E$103)</f>
        <v/>
      </c>
      <c r="E7" s="27">
        <f>COUNTIFS(Traceability_Matrix!$G$4:$G$103,"S3",Traceability_Matrix!$J$4:$J$103,"Done-in-code")+COUNTIFS(Traceability_Matrix!$G$4:$G$103,"S3",Traceability_Matrix!$J$4:$J$103,"Done")</f>
        <v/>
      </c>
      <c r="F7" s="27">
        <f>SUMIFS(Traceability_Matrix!$E$4:$E$103,Traceability_Matrix!$G$4:$G$103,"S3",Traceability_Matrix!$J$4:$J$103,"Done-in-code")+SUMIFS(Traceability_Matrix!$E$4:$E$103,Traceability_Matrix!$G$4:$G$103,"S3",Traceability_Matrix!$J$4:$J$103,"Done")</f>
        <v/>
      </c>
      <c r="G7" s="37">
        <f>IFERROR((SUMIFS(Traceability_Matrix!$E$4:$E$103,Traceability_Matrix!$G$4:$G$103,"S3",Traceability_Matrix!$J$4:$J$103,"Done-in-code")+SUMIFS(Traceability_Matrix!$E$4:$E$103,Traceability_Matrix!$G$4:$G$103,"S3",Traceability_Matrix!$J$4:$J$103,"Done"))/SUMIF(Traceability_Matrix!$G$4:$G$103,"S3",Traceability_Matrix!$E$4:$E$103),0)</f>
        <v/>
      </c>
      <c r="H7" s="26" t="inlineStr">
        <is>
          <t>GREEN — 11/11 done-in-code (DF-1 found+fixed)</t>
        </is>
      </c>
    </row>
    <row r="8" ht="15" customHeight="1" s="22">
      <c r="A8" s="27" t="inlineStr">
        <is>
          <t>S4</t>
        </is>
      </c>
      <c r="B8" s="27" t="inlineStr">
        <is>
          <t>Batch pt 2 + observability + smoke</t>
        </is>
      </c>
      <c r="C8" s="27">
        <f>COUNTIF(Traceability_Matrix!$G$4:$G$103,"S4")</f>
        <v/>
      </c>
      <c r="D8" s="27">
        <f>SUMIF(Traceability_Matrix!$G$4:$G$103,"S4",Traceability_Matrix!$E$4:$E$103)</f>
        <v/>
      </c>
      <c r="E8" s="27">
        <f>COUNTIFS(Traceability_Matrix!$G$4:$G$103,"S4",Traceability_Matrix!$J$4:$J$103,"Done-in-code")+COUNTIFS(Traceability_Matrix!$G$4:$G$103,"S4",Traceability_Matrix!$J$4:$J$103,"Done")</f>
        <v/>
      </c>
      <c r="F8" s="27">
        <f>SUMIFS(Traceability_Matrix!$E$4:$E$103,Traceability_Matrix!$G$4:$G$103,"S4",Traceability_Matrix!$J$4:$J$103,"Done-in-code")+SUMIFS(Traceability_Matrix!$E$4:$E$103,Traceability_Matrix!$G$4:$G$103,"S4",Traceability_Matrix!$J$4:$J$103,"Done")</f>
        <v/>
      </c>
      <c r="G8" s="37">
        <f>IFERROR((SUMIFS(Traceability_Matrix!$E$4:$E$103,Traceability_Matrix!$G$4:$G$103,"S4",Traceability_Matrix!$J$4:$J$103,"Done-in-code")+SUMIFS(Traceability_Matrix!$E$4:$E$103,Traceability_Matrix!$G$4:$G$103,"S4",Traceability_Matrix!$J$4:$J$103,"Done"))/SUMIF(Traceability_Matrix!$G$4:$G$103,"S4",Traceability_Matrix!$E$4:$E$103),0)</f>
        <v/>
      </c>
      <c r="H8" s="26" t="inlineStr">
        <is>
          <t>GREEN — 9/9 done-in-code; MVP loop demonstrated in code</t>
        </is>
      </c>
    </row>
    <row r="9" ht="15" customHeight="1" s="22">
      <c r="A9" s="27" t="inlineStr">
        <is>
          <t>S5</t>
        </is>
      </c>
      <c r="B9" s="27" t="inlineStr">
        <is>
          <t>E-sign + alpha hardening</t>
        </is>
      </c>
      <c r="C9" s="27">
        <f>COUNTIF(Traceability_Matrix!$G$4:$G$103,"S5")</f>
        <v/>
      </c>
      <c r="D9" s="27">
        <f>SUMIF(Traceability_Matrix!$G$4:$G$103,"S5",Traceability_Matrix!$E$4:$E$103)</f>
        <v/>
      </c>
      <c r="E9" s="27">
        <f>COUNTIFS(Traceability_Matrix!$G$4:$G$103,"S5",Traceability_Matrix!$J$4:$J$103,"Done-in-code")+COUNTIFS(Traceability_Matrix!$G$4:$G$103,"S5",Traceability_Matrix!$J$4:$J$103,"Done")</f>
        <v/>
      </c>
      <c r="F9" s="27">
        <f>SUMIFS(Traceability_Matrix!$E$4:$E$103,Traceability_Matrix!$G$4:$G$103,"S5",Traceability_Matrix!$J$4:$J$103,"Done-in-code")+SUMIFS(Traceability_Matrix!$E$4:$E$103,Traceability_Matrix!$G$4:$G$103,"S5",Traceability_Matrix!$J$4:$J$103,"Done")</f>
        <v/>
      </c>
      <c r="G9" s="37">
        <f>IFERROR((SUMIFS(Traceability_Matrix!$E$4:$E$103,Traceability_Matrix!$G$4:$G$103,"S5",Traceability_Matrix!$J$4:$J$103,"Done-in-code")+SUMIFS(Traceability_Matrix!$E$4:$E$103,Traceability_Matrix!$G$4:$G$103,"S5",Traceability_Matrix!$J$4:$J$103,"Done"))/SUMIF(Traceability_Matrix!$G$4:$G$103,"S5",Traceability_Matrix!$E$4:$E$103),0)</f>
        <v/>
      </c>
      <c r="H9" s="26" t="inlineStr">
        <is>
          <t>GREEN-code — 12/12 done-in-code; live dogfooding needs LC-1</t>
        </is>
      </c>
    </row>
    <row r="10" ht="15" customHeight="1" s="22">
      <c r="A10" s="27" t="inlineStr">
        <is>
          <t>S6</t>
        </is>
      </c>
      <c r="B10" s="27" t="inlineStr">
        <is>
          <t>Billing + Auto-file to Drive</t>
        </is>
      </c>
      <c r="C10" s="27">
        <f>COUNTIF(Traceability_Matrix!$G$4:$G$103,"S6")</f>
        <v/>
      </c>
      <c r="D10" s="27">
        <f>SUMIF(Traceability_Matrix!$G$4:$G$103,"S6",Traceability_Matrix!$E$4:$E$103)</f>
        <v/>
      </c>
      <c r="E10" s="27">
        <f>COUNTIFS(Traceability_Matrix!$G$4:$G$103,"S6",Traceability_Matrix!$J$4:$J$103,"Done-in-code")+COUNTIFS(Traceability_Matrix!$G$4:$G$103,"S6",Traceability_Matrix!$J$4:$J$103,"Done")</f>
        <v/>
      </c>
      <c r="F10" s="27">
        <f>SUMIFS(Traceability_Matrix!$E$4:$E$103,Traceability_Matrix!$G$4:$G$103,"S6",Traceability_Matrix!$J$4:$J$103,"Done-in-code")+SUMIFS(Traceability_Matrix!$E$4:$E$103,Traceability_Matrix!$G$4:$G$103,"S6",Traceability_Matrix!$J$4:$J$103,"Done")</f>
        <v/>
      </c>
      <c r="G10" s="37">
        <f>IFERROR((SUMIFS(Traceability_Matrix!$E$4:$E$103,Traceability_Matrix!$G$4:$G$103,"S6",Traceability_Matrix!$J$4:$J$103,"Done-in-code")+SUMIFS(Traceability_Matrix!$E$4:$E$103,Traceability_Matrix!$G$4:$G$103,"S6",Traceability_Matrix!$J$4:$J$103,"Done"))/SUMIF(Traceability_Matrix!$G$4:$G$103,"S6",Traceability_Matrix!$E$4:$E$103),0)</f>
        <v/>
      </c>
      <c r="H10" s="26" t="inlineStr">
        <is>
          <t>GREEN-code — 13/13 done-in-code; live charge + CASA booking = Senthil actions</t>
        </is>
      </c>
    </row>
    <row r="11" ht="15" customHeight="1" s="22">
      <c r="A11" s="27" t="inlineStr">
        <is>
          <t>S7</t>
        </is>
      </c>
      <c r="B11" s="27" t="inlineStr">
        <is>
          <t>Private beta (design partners)</t>
        </is>
      </c>
      <c r="C11" s="27">
        <f>COUNTIF(Traceability_Matrix!$G$4:$G$103,"S7")</f>
        <v/>
      </c>
      <c r="D11" s="27">
        <f>SUMIF(Traceability_Matrix!$G$4:$G$103,"S7",Traceability_Matrix!$E$4:$E$103)</f>
        <v/>
      </c>
      <c r="E11" s="27">
        <f>COUNTIFS(Traceability_Matrix!$G$4:$G$103,"S7",Traceability_Matrix!$J$4:$J$103,"Done-in-code")+COUNTIFS(Traceability_Matrix!$G$4:$G$103,"S7",Traceability_Matrix!$J$4:$J$103,"Done")</f>
        <v/>
      </c>
      <c r="F11" s="27">
        <f>SUMIFS(Traceability_Matrix!$E$4:$E$103,Traceability_Matrix!$G$4:$G$103,"S7",Traceability_Matrix!$J$4:$J$103,"Done-in-code")+SUMIFS(Traceability_Matrix!$E$4:$E$103,Traceability_Matrix!$G$4:$G$103,"S7",Traceability_Matrix!$J$4:$J$103,"Done")</f>
        <v/>
      </c>
      <c r="G11" s="37">
        <f>IFERROR((SUMIFS(Traceability_Matrix!$E$4:$E$103,Traceability_Matrix!$G$4:$G$103,"S7",Traceability_Matrix!$J$4:$J$103,"Done-in-code")+SUMIFS(Traceability_Matrix!$E$4:$E$103,Traceability_Matrix!$G$4:$G$103,"S7",Traceability_Matrix!$J$4:$J$103,"Done"))/SUMIF(Traceability_Matrix!$G$4:$G$103,"S7",Traceability_Matrix!$E$4:$E$103),0)</f>
        <v/>
      </c>
      <c r="H11" s="26" t="inlineStr">
        <is>
          <t>GREEN-code — 5/5 done-in-code; partner recruitment + NPS blocked on LC-1</t>
        </is>
      </c>
    </row>
    <row r="12" ht="15" customHeight="1" s="22">
      <c r="A12" s="27" t="inlineStr">
        <is>
          <t>S8</t>
        </is>
      </c>
      <c r="B12" s="27" t="inlineStr">
        <is>
          <t>Beta iteration + Form-triggered generation</t>
        </is>
      </c>
      <c r="C12" s="27">
        <f>COUNTIF(Traceability_Matrix!$G$4:$G$103,"S8")</f>
        <v/>
      </c>
      <c r="D12" s="27">
        <f>SUMIF(Traceability_Matrix!$G$4:$G$103,"S8",Traceability_Matrix!$E$4:$E$103)</f>
        <v/>
      </c>
      <c r="E12" s="27">
        <f>COUNTIFS(Traceability_Matrix!$G$4:$G$103,"S8",Traceability_Matrix!$J$4:$J$103,"Done-in-code")+COUNTIFS(Traceability_Matrix!$G$4:$G$103,"S8",Traceability_Matrix!$J$4:$J$103,"Done")</f>
        <v/>
      </c>
      <c r="F12" s="27">
        <f>SUMIFS(Traceability_Matrix!$E$4:$E$103,Traceability_Matrix!$G$4:$G$103,"S8",Traceability_Matrix!$J$4:$J$103,"Done-in-code")+SUMIFS(Traceability_Matrix!$E$4:$E$103,Traceability_Matrix!$G$4:$G$103,"S8",Traceability_Matrix!$J$4:$J$103,"Done")</f>
        <v/>
      </c>
      <c r="G12" s="37">
        <f>IFERROR((SUMIFS(Traceability_Matrix!$E$4:$E$103,Traceability_Matrix!$G$4:$G$103,"S8",Traceability_Matrix!$J$4:$J$103,"Done-in-code")+SUMIFS(Traceability_Matrix!$E$4:$E$103,Traceability_Matrix!$G$4:$G$103,"S8",Traceability_Matrix!$J$4:$J$103,"Done"))/SUMIF(Traceability_Matrix!$G$4:$G$103,"S8",Traceability_Matrix!$E$4:$E$103),0)</f>
        <v/>
      </c>
      <c r="H12" s="26" t="inlineStr">
        <is>
          <t>GREEN-code — 22/22 done-in-code (largest sprint); beta cohort retention needs live users</t>
        </is>
      </c>
    </row>
    <row r="13" ht="15" customHeight="1" s="22">
      <c r="A13" s="27" t="inlineStr">
        <is>
          <t>S9</t>
        </is>
      </c>
      <c r="B13" s="27" t="inlineStr">
        <is>
          <t>Marketplace review prep</t>
        </is>
      </c>
      <c r="C13" s="27">
        <f>COUNTIF(Traceability_Matrix!$G$4:$G$103,"S9")</f>
        <v/>
      </c>
      <c r="D13" s="27">
        <f>SUMIF(Traceability_Matrix!$G$4:$G$103,"S9",Traceability_Matrix!$E$4:$E$103)</f>
        <v/>
      </c>
      <c r="E13" s="27">
        <f>COUNTIFS(Traceability_Matrix!$G$4:$G$103,"S9",Traceability_Matrix!$J$4:$J$103,"Done-in-code")+COUNTIFS(Traceability_Matrix!$G$4:$G$103,"S9",Traceability_Matrix!$J$4:$J$103,"Done")</f>
        <v/>
      </c>
      <c r="F13" s="27">
        <f>SUMIFS(Traceability_Matrix!$E$4:$E$103,Traceability_Matrix!$G$4:$G$103,"S9",Traceability_Matrix!$J$4:$J$103,"Done-in-code")+SUMIFS(Traceability_Matrix!$E$4:$E$103,Traceability_Matrix!$G$4:$G$103,"S9",Traceability_Matrix!$J$4:$J$103,"Done")</f>
        <v/>
      </c>
      <c r="G13" s="37">
        <f>IFERROR((SUMIFS(Traceability_Matrix!$E$4:$E$103,Traceability_Matrix!$G$4:$G$103,"S9",Traceability_Matrix!$J$4:$J$103,"Done-in-code")+SUMIFS(Traceability_Matrix!$E$4:$E$103,Traceability_Matrix!$G$4:$G$103,"S9",Traceability_Matrix!$J$4:$J$103,"Done"))/SUMIF(Traceability_Matrix!$G$4:$G$103,"S9",Traceability_Matrix!$E$4:$E$103),0)</f>
        <v/>
      </c>
      <c r="H13" s="36" t="inlineStr">
        <is>
          <t>AMBER — 6/7 done-in-code; ST-068 blocked on a third-party pen test, submission blocked on LC-1</t>
        </is>
      </c>
    </row>
    <row r="14" ht="15" customHeight="1" s="22">
      <c r="A14" s="27" t="inlineStr">
        <is>
          <t>S10</t>
        </is>
      </c>
      <c r="B14" s="27" t="inlineStr">
        <is>
          <t>Review remediation + docs</t>
        </is>
      </c>
      <c r="C14" s="27">
        <f>COUNTIF(Traceability_Matrix!$G$4:$G$103,"S10")</f>
        <v/>
      </c>
      <c r="D14" s="27">
        <f>SUMIF(Traceability_Matrix!$G$4:$G$103,"S10",Traceability_Matrix!$E$4:$E$103)</f>
        <v/>
      </c>
      <c r="E14" s="27">
        <f>COUNTIFS(Traceability_Matrix!$G$4:$G$103,"S10",Traceability_Matrix!$J$4:$J$103,"Done-in-code")+COUNTIFS(Traceability_Matrix!$G$4:$G$103,"S10",Traceability_Matrix!$J$4:$J$103,"Done")</f>
        <v/>
      </c>
      <c r="F14" s="27">
        <f>SUMIFS(Traceability_Matrix!$E$4:$E$103,Traceability_Matrix!$G$4:$G$103,"S10",Traceability_Matrix!$J$4:$J$103,"Done-in-code")+SUMIFS(Traceability_Matrix!$E$4:$E$103,Traceability_Matrix!$G$4:$G$103,"S10",Traceability_Matrix!$J$4:$J$103,"Done")</f>
        <v/>
      </c>
      <c r="G14" s="37">
        <f>IFERROR((SUMIFS(Traceability_Matrix!$E$4:$E$103,Traceability_Matrix!$G$4:$G$103,"S10",Traceability_Matrix!$J$4:$J$103,"Done-in-code")+SUMIFS(Traceability_Matrix!$E$4:$E$103,Traceability_Matrix!$G$4:$G$103,"S10",Traceability_Matrix!$J$4:$J$103,"Done"))/SUMIF(Traceability_Matrix!$G$4:$G$103,"S10",Traceability_Matrix!$E$4:$E$103),0)</f>
        <v/>
      </c>
      <c r="H14" s="36" t="inlineStr">
        <is>
          <t>AMBER — 6/7 done-in-code; approval is 10 dry-run blockers away, none of them code</t>
        </is>
      </c>
    </row>
    <row r="15" ht="15" customHeight="1" s="22">
      <c r="A15" s="27" t="inlineStr">
        <is>
          <t>S11</t>
        </is>
      </c>
      <c r="B15" s="27" t="inlineStr">
        <is>
          <t>Launch</t>
        </is>
      </c>
      <c r="C15" s="27">
        <f>COUNTIF(Traceability_Matrix!$G$4:$G$103,"S11")</f>
        <v/>
      </c>
      <c r="D15" s="27">
        <f>SUMIF(Traceability_Matrix!$G$4:$G$103,"S11",Traceability_Matrix!$E$4:$E$103)</f>
        <v/>
      </c>
      <c r="E15" s="27">
        <f>COUNTIFS(Traceability_Matrix!$G$4:$G$103,"S11",Traceability_Matrix!$J$4:$J$103,"Done-in-code")+COUNTIFS(Traceability_Matrix!$G$4:$G$103,"S11",Traceability_Matrix!$J$4:$J$103,"Done")</f>
        <v/>
      </c>
      <c r="F15" s="27">
        <f>SUMIFS(Traceability_Matrix!$E$4:$E$103,Traceability_Matrix!$G$4:$G$103,"S11",Traceability_Matrix!$J$4:$J$103,"Done-in-code")+SUMIFS(Traceability_Matrix!$E$4:$E$103,Traceability_Matrix!$G$4:$G$103,"S11",Traceability_Matrix!$J$4:$J$103,"Done")</f>
        <v/>
      </c>
      <c r="G15" s="37">
        <f>IFERROR((SUMIFS(Traceability_Matrix!$E$4:$E$103,Traceability_Matrix!$G$4:$G$103,"S11",Traceability_Matrix!$J$4:$J$103,"Done-in-code")+SUMIFS(Traceability_Matrix!$E$4:$E$103,Traceability_Matrix!$G$4:$G$103,"S11",Traceability_Matrix!$J$4:$J$103,"Done"))/SUMIF(Traceability_Matrix!$G$4:$G$103,"S11",Traceability_Matrix!$E$4:$E$103),0)</f>
        <v/>
      </c>
      <c r="H15" s="36" t="inlineStr">
        <is>
          <t>Code done (3/3); LIVE GATED — runbook verdict NO-GO, 8 blocking checks</t>
        </is>
      </c>
    </row>
    <row r="16" ht="15" customHeight="1" s="22">
      <c r="A16" s="27" t="inlineStr">
        <is>
          <t>S12</t>
        </is>
      </c>
      <c r="B16" s="27" t="inlineStr">
        <is>
          <t>Iterate &amp; scale decision</t>
        </is>
      </c>
      <c r="C16" s="27">
        <f>COUNTIF(Traceability_Matrix!$G$4:$G$103,"S12")</f>
        <v/>
      </c>
      <c r="D16" s="27">
        <f>SUMIF(Traceability_Matrix!$G$4:$G$103,"S12",Traceability_Matrix!$E$4:$E$103)</f>
        <v/>
      </c>
      <c r="E16" s="27">
        <f>COUNTIFS(Traceability_Matrix!$G$4:$G$103,"S12",Traceability_Matrix!$J$4:$J$103,"Done-in-code")+COUNTIFS(Traceability_Matrix!$G$4:$G$103,"S12",Traceability_Matrix!$J$4:$J$103,"Done")</f>
        <v/>
      </c>
      <c r="F16" s="27">
        <f>SUMIFS(Traceability_Matrix!$E$4:$E$103,Traceability_Matrix!$G$4:$G$103,"S12",Traceability_Matrix!$J$4:$J$103,"Done-in-code")+SUMIFS(Traceability_Matrix!$E$4:$E$103,Traceability_Matrix!$G$4:$G$103,"S12",Traceability_Matrix!$J$4:$J$103,"Done")</f>
        <v/>
      </c>
      <c r="G16" s="37">
        <f>IFERROR((SUMIFS(Traceability_Matrix!$E$4:$E$103,Traceability_Matrix!$G$4:$G$103,"S12",Traceability_Matrix!$J$4:$J$103,"Done-in-code")+SUMIFS(Traceability_Matrix!$E$4:$E$103,Traceability_Matrix!$G$4:$G$103,"S12",Traceability_Matrix!$J$4:$J$103,"Done"))/SUMIF(Traceability_Matrix!$G$4:$G$103,"S12",Traceability_Matrix!$E$4:$E$103),0)</f>
        <v/>
      </c>
      <c r="H16" s="36" t="inlineStr">
        <is>
          <t>Code done (1/1); growth model FRAME built (GROWTH_MODEL.md) — exit needs measured CAC/LTV from a real cohort</t>
        </is>
      </c>
    </row>
    <row r="17" ht="15" customHeight="1" s="22">
      <c r="A17" s="45" t="inlineStr">
        <is>
          <t>S13</t>
        </is>
      </c>
      <c r="B17" s="45" t="inlineStr">
        <is>
          <t>Make it run (PPLX)</t>
        </is>
      </c>
      <c r="C17" s="45" t="n">
        <v>19</v>
      </c>
      <c r="D17" s="45" t="n">
        <v>61</v>
      </c>
      <c r="E17" s="45" t="n">
        <v>19</v>
      </c>
      <c r="F17" s="45" t="n">
        <v>61</v>
      </c>
      <c r="G17" s="45" t="inlineStr">
        <is>
          <t>100%</t>
        </is>
      </c>
      <c r="H17" s="48" t="inlineStr">
        <is>
          <t>GREEN — every exit criterion produced by execution (EV-1..EV-4)</t>
        </is>
      </c>
    </row>
    <row r="18">
      <c r="A18" s="45" t="inlineStr">
        <is>
          <t>S14</t>
        </is>
      </c>
      <c r="B18" s="45" t="inlineStr">
        <is>
          <t>Make it render (PPLX)</t>
        </is>
      </c>
      <c r="C18" s="45" t="n">
        <v>15</v>
      </c>
      <c r="D18" s="45" t="n">
        <v>62</v>
      </c>
      <c r="E18" s="45" t="n">
        <v>14</v>
      </c>
      <c r="F18" s="45" t="n">
        <v>57</v>
      </c>
      <c r="G18" s="45" t="inlineStr">
        <is>
          <t>92%</t>
        </is>
      </c>
      <c r="H18" s="48" t="inlineStr">
        <is>
          <t>GREEN-code — S14-15 (live render in a real GCP project) is the one exit criterion LC-1 blocks; S14-14 gallery rule defect open</t>
        </is>
      </c>
    </row>
    <row r="19">
      <c r="A19" s="45" t="inlineStr">
        <is>
          <t>S15</t>
        </is>
      </c>
      <c r="B19" s="45" t="inlineStr">
        <is>
          <t>Make it installable (PPLX)</t>
        </is>
      </c>
      <c r="C19" s="45" t="n">
        <v>16</v>
      </c>
      <c r="D19" s="45" t="n">
        <v>60</v>
      </c>
      <c r="E19" s="45" t="n">
        <v>13</v>
      </c>
      <c r="F19" s="45" t="n">
        <v>47</v>
      </c>
      <c r="G19" s="45" t="inlineStr">
        <is>
          <t>78%</t>
        </is>
      </c>
      <c r="H19" s="50" t="inlineStr">
        <is>
          <t>AMBER — add-on built; clasp push, real Sheet install and the demo recording need LC-1; D-DM1 ratification owed; two defects open</t>
        </is>
      </c>
    </row>
    <row r="20">
      <c r="A20" s="45" t="inlineStr">
        <is>
          <t>S16</t>
        </is>
      </c>
      <c r="B20" s="45" t="inlineStr">
        <is>
          <t>Durable and honest (PPLX)</t>
        </is>
      </c>
      <c r="C20" s="45" t="n">
        <v>18</v>
      </c>
      <c r="D20" s="45" t="n">
        <v>68</v>
      </c>
      <c r="E20" s="45" t="n">
        <v>16</v>
      </c>
      <c r="F20" s="45" t="n">
        <v>65</v>
      </c>
      <c r="G20" s="45" t="inlineStr">
        <is>
          <t>96%</t>
        </is>
      </c>
      <c r="H20" s="48" t="inlineStr">
        <is>
          <t>GREEN-code — seven stores durable and the rename gated; D-DM6 (provider) is Senthil's; DM-F29 open</t>
        </is>
      </c>
    </row>
    <row r="21">
      <c r="A21" s="45" t="inlineStr">
        <is>
          <t>S17</t>
        </is>
      </c>
      <c r="B21" s="45" t="inlineStr">
        <is>
          <t>Make it sellable (PPLX)</t>
        </is>
      </c>
      <c r="C21" s="45" t="n">
        <v>12</v>
      </c>
      <c r="D21" s="45" t="n">
        <v>46</v>
      </c>
      <c r="E21" s="45" t="n">
        <v>10</v>
      </c>
      <c r="F21" s="45" t="n">
        <v>41</v>
      </c>
      <c r="G21" s="45" t="inlineStr">
        <is>
          <t>89%</t>
        </is>
      </c>
      <c r="H21" s="50" t="inlineStr">
        <is>
          <t>AMBER — code half done; D-DM5 PRICING is the one genuine new decision and gates the listing copy; DM-F27 open</t>
        </is>
      </c>
    </row>
    <row r="22">
      <c r="A22" s="45" t="inlineStr">
        <is>
          <t>S18</t>
        </is>
      </c>
      <c r="B22" s="45" t="inlineStr">
        <is>
          <t>Make it operable (PPLX)</t>
        </is>
      </c>
      <c r="C22" s="45" t="n">
        <v>15</v>
      </c>
      <c r="D22" s="45" t="n">
        <v>68</v>
      </c>
      <c r="E22" s="45" t="n">
        <v>13</v>
      </c>
      <c r="F22" s="45" t="n">
        <v>55</v>
      </c>
      <c r="G22" s="45" t="inlineStr">
        <is>
          <t>81%</t>
        </is>
      </c>
      <c r="H22" s="50" t="inlineStr">
        <is>
          <t>AMBER — everything built and failing closed; the destroy/recreate/rollback sequence needs LC-1; DM-F38 open</t>
        </is>
      </c>
    </row>
    <row r="23">
      <c r="A23" s="45" t="inlineStr">
        <is>
          <t>S19</t>
        </is>
      </c>
      <c r="B23" s="45" t="inlineStr">
        <is>
          <t>Evidence from strangers (PPLX)</t>
        </is>
      </c>
      <c r="C23" s="45" t="n">
        <v>12</v>
      </c>
      <c r="D23" s="45" t="n">
        <v>57</v>
      </c>
      <c r="E23" s="45" t="n">
        <v>8</v>
      </c>
      <c r="F23" s="45" t="n">
        <v>31</v>
      </c>
      <c r="G23" s="45" t="inlineStr">
        <is>
          <t>54%</t>
        </is>
      </c>
      <c r="H23" s="50" t="inlineStr">
        <is>
          <t>AMBER — the gate is built and has already earned itself; submission, 50 installs and the sibling runs are Senthil's</t>
        </is>
      </c>
    </row>
    <row r="24">
      <c r="A24" s="43" t="inlineStr">
        <is>
          <t>S13-S19 counts are entered rather than computed: the formulas above read Traceability_Matrix, which holds the 100 original backlog stories. The S13-S19 work is tracked on its own build boards (107 tasks) because it arose from an external review, not from the backlog — the same separation the Review_Response_Backlog uses.</t>
        </is>
      </c>
    </row>
    <row r="25">
      <c r="A25" s="38" t="inlineStr">
        <is>
          <t>TOTAL</t>
        </is>
      </c>
      <c r="B25" s="27" t="inlineStr">
        <is>
          <t>(S0-S12)</t>
        </is>
      </c>
      <c r="C25" s="27">
        <f>SUM(C4:C16)</f>
        <v/>
      </c>
      <c r="D25" s="27">
        <f>SUM(D4:D16)</f>
        <v/>
      </c>
      <c r="E25" s="27">
        <f>SUM(E4:E16)</f>
        <v/>
      </c>
      <c r="F25" s="27">
        <f>SUM(F4:F16)</f>
        <v/>
      </c>
      <c r="G25" s="37">
        <f>IFERROR(F17/D17,0)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15" customWidth="1" style="21" min="2" max="2"/>
    <col width="9" customWidth="1" style="21" min="3" max="3"/>
    <col width="62" customWidth="1" style="21" min="4" max="4"/>
    <col width="10" customWidth="1" style="21" min="5" max="5"/>
    <col width="62" customWidth="1" style="21" min="6" max="6"/>
  </cols>
  <sheetData>
    <row r="1" ht="17.25" customHeight="1" s="22">
      <c r="A1" s="23" t="inlineStr">
        <is>
          <t>RAID — seeded from v007 Risk_Register + build findings</t>
        </is>
      </c>
    </row>
    <row r="3" ht="15" customHeight="1" s="22">
      <c r="A3" s="25" t="inlineStr">
        <is>
          <t>ID</t>
        </is>
      </c>
      <c r="B3" s="25" t="inlineStr">
        <is>
          <t>Type</t>
        </is>
      </c>
      <c r="C3" s="25" t="inlineStr">
        <is>
          <t>Raised</t>
        </is>
      </c>
      <c r="D3" s="25" t="inlineStr">
        <is>
          <t>Item</t>
        </is>
      </c>
      <c r="E3" s="25" t="inlineStr">
        <is>
          <t>Status</t>
        </is>
      </c>
      <c r="F3" s="25" t="inlineStr">
        <is>
          <t>Notes / Mitigation</t>
        </is>
      </c>
    </row>
    <row r="4" ht="34.5" customHeight="1" s="22">
      <c r="A4" s="26" t="inlineStr">
        <is>
          <t>R-D1</t>
        </is>
      </c>
      <c r="B4" s="26" t="inlineStr">
        <is>
          <t>Risk</t>
        </is>
      </c>
      <c r="C4" s="26" t="inlineStr">
        <is>
          <t>v007</t>
        </is>
      </c>
      <c r="D4" s="26" t="inlineStr">
        <is>
          <t>CASA Tier 2 assessment delays listing 4-8 weeks (Medium/High)</t>
        </is>
      </c>
      <c r="E4" s="26" t="inlineStr">
        <is>
          <t>Open</t>
        </is>
      </c>
      <c r="F4" s="26" t="inlineStr">
        <is>
          <t>Per Risk_Register: schedule CASA at S6 (NOW — next sprint); scope austerity practised from S1 (least-privilege matrix already in code for ST-064 narrative).</t>
        </is>
      </c>
    </row>
    <row r="5" ht="23.25" customHeight="1" s="22">
      <c r="A5" s="26" t="inlineStr">
        <is>
          <t>R-D2</t>
        </is>
      </c>
      <c r="B5" s="26" t="inlineStr">
        <is>
          <t>Risk</t>
        </is>
      </c>
      <c r="C5" s="26" t="inlineStr">
        <is>
          <t>v007</t>
        </is>
      </c>
      <c r="D5" s="26" t="inlineStr">
        <is>
          <t>Google ships native doc-gen improvements (High/Medium)</t>
        </is>
      </c>
      <c r="E5" s="26" t="inlineStr">
        <is>
          <t>Open</t>
        </is>
      </c>
      <c r="F5" s="26" t="inlineStr">
        <is>
          <t>Depth on batch + e-sign + filing; template-gallery moat (LC-9: 20 launch templates owed).</t>
        </is>
      </c>
    </row>
    <row r="6" ht="23.25" customHeight="1" s="22">
      <c r="A6" s="26" t="inlineStr">
        <is>
          <t>R-D3</t>
        </is>
      </c>
      <c r="B6" s="26" t="inlineStr">
        <is>
          <t>Risk</t>
        </is>
      </c>
      <c r="C6" s="26" t="inlineStr">
        <is>
          <t>v007</t>
        </is>
      </c>
      <c r="D6" s="26" t="inlineStr">
        <is>
          <t>Low ARPU demands volume; listing SEO may underperform (High/Medium)</t>
        </is>
      </c>
      <c r="E6" s="26" t="inlineStr">
        <is>
          <t>Open</t>
        </is>
      </c>
      <c r="F6" s="26" t="inlineStr">
        <is>
          <t>Template-gallery SEO + freelancer channel + comparison pages (GTM S8/S9).</t>
        </is>
      </c>
    </row>
    <row r="7" ht="23.25" customHeight="1" s="22">
      <c r="A7" s="26" t="inlineStr">
        <is>
          <t>R-D4</t>
        </is>
      </c>
      <c r="B7" s="26" t="inlineStr">
        <is>
          <t>Constraint</t>
        </is>
      </c>
      <c r="C7" s="26" t="inlineStr">
        <is>
          <t>22:17</t>
        </is>
      </c>
      <c r="D7" s="26" t="inlineStr">
        <is>
          <t>Sandbox has no Postgres / live Workspace — all persistence and platform boundaries are in-memory/injected behind typed interfaces (DM-D2)</t>
        </is>
      </c>
      <c r="E7" s="33" t="inlineStr">
        <is>
          <t>CLOSED</t>
        </is>
      </c>
      <c r="F7" s="26" t="inlineStr">
        <is>
          <t>Closed 13 Sep 16:25 by src/postgres.ts: PostgresTokenStore, PostgresAccountRepo and PostgresTemplateRepo implement the existing interfaces against the migrations, plus purge targets for all 18 tables. The client is injected so there is no pg dependency and the adapter is testable without a database. BIGINT expiries are converted explicitly (the driver returns strings), template+rules write in one transaction with rollback, and every value is parameterised — proven by a test that purges with a SQL-injection string and asserts it never reaches the statement text. The migrations are no longer decorative.</t>
        </is>
      </c>
    </row>
    <row r="8" ht="34.5" customHeight="1" s="22">
      <c r="A8" s="26" t="inlineStr">
        <is>
          <t>R-D5</t>
        </is>
      </c>
      <c r="B8" s="26" t="inlineStr">
        <is>
          <t>Risk</t>
        </is>
      </c>
      <c r="C8" s="26" t="inlineStr">
        <is>
          <t>22:17</t>
        </is>
      </c>
      <c r="D8" s="26" t="inlineStr">
        <is>
          <t>Workspace add-on sidebar contract assumed (SidebarHost interface) pending real Apps Script verification; actual card/HTML surface may constrain UX</t>
        </is>
      </c>
      <c r="E8" s="26" t="inlineStr">
        <is>
          <t>CLOSED 20 Sep (S15)</t>
        </is>
      </c>
      <c r="F8" s="26" t="inlineStr">
        <is>
          <t>The Apps Script host contract is no longer assumed: appsscript.json, Code.gs and the SidebarHost shim exist, and the manifest is generated from the audited scope set with a drift test. The contract is still UNVERIFIED against a live install — that is LC-1, and it is now a verification risk rather than a design risk.</t>
        </is>
      </c>
    </row>
    <row r="9" ht="34.5" customHeight="1" s="22">
      <c r="A9" s="26" t="inlineStr">
        <is>
          <t>R-D6</t>
        </is>
      </c>
      <c r="B9" s="26" t="inlineStr">
        <is>
          <t>Risk</t>
        </is>
      </c>
      <c r="C9" s="26" t="inlineStr">
        <is>
          <t>23:03</t>
        </is>
      </c>
      <c r="D9" s="26" t="inlineStr">
        <is>
          <t>E-sign legal validity requirements (eIDAS/ESIGN/IT Act depending on market) not yet verified — current module is workflow-grade, not certified-signature-grade</t>
        </is>
      </c>
      <c r="E9" s="26" t="inlineStr">
        <is>
          <t>RESOLVED 20 Sep (S16) — by removing the claim, not by meeting it</t>
        </is>
      </c>
      <c r="F9" s="26" t="inlineStr">
        <is>
          <t>P-DM-007: the feature produced no signature artefact, no cryptographic binding of intent to a document hash, no signer authentication and no consent capture, so eIDAS/ESIGN validity was never in reach. Renamed to Approval requests everywhere and gated. Integrating a qualified provider is now D-DM6, and optional.</t>
        </is>
      </c>
    </row>
    <row r="10" ht="23.25" customHeight="1" s="22">
      <c r="A10" s="26" t="inlineStr">
        <is>
          <t>A-D1</t>
        </is>
      </c>
      <c r="B10" s="26" t="inlineStr">
        <is>
          <t>Assumption</t>
        </is>
      </c>
      <c r="C10" s="26" t="inlineStr">
        <is>
          <t>22:17</t>
        </is>
      </c>
      <c r="D10" s="26" t="inlineStr">
        <is>
          <t>D13 applies to DocMerge (interviews parked, 100% coverage) per portfolio-wide instruction</t>
        </is>
      </c>
      <c r="E10" s="26" t="inlineStr">
        <is>
          <t>Open</t>
        </is>
      </c>
      <c r="F10" s="26" t="inlineStr">
        <is>
          <t>S0 activities remain owed and are NOT marked done (E002).</t>
        </is>
      </c>
    </row>
    <row r="11" ht="23.25" customHeight="1" s="22">
      <c r="A11" s="26" t="inlineStr">
        <is>
          <t>A-D2</t>
        </is>
      </c>
      <c r="B11" s="26" t="inlineStr">
        <is>
          <t>Assumption</t>
        </is>
      </c>
      <c r="C11" s="26" t="inlineStr">
        <is>
          <t>23:03</t>
        </is>
      </c>
      <c r="D11" s="26" t="inlineStr">
        <is>
          <t>D15 mode (parallel vs swap) still pending while three+ builds run concurrently</t>
        </is>
      </c>
      <c r="E11" s="26" t="inlineStr">
        <is>
          <t>Open</t>
        </is>
      </c>
      <c r="F11" s="26" t="inlineStr">
        <is>
          <t>Senthil to ratify; sessions ran on explicit continue instructions.</t>
        </is>
      </c>
    </row>
    <row r="12" ht="23.25" customHeight="1" s="22">
      <c r="A12" s="26" t="inlineStr">
        <is>
          <t>DF-1</t>
        </is>
      </c>
      <c r="B12" s="26" t="inlineStr">
        <is>
          <t>Defect (closed)</t>
        </is>
      </c>
      <c r="C12" s="26" t="inlineStr">
        <is>
          <t>22:29</t>
        </is>
      </c>
      <c r="D12" s="26" t="inlineStr">
        <is>
          <t>withRetry masked validation errors behind generic platform message</t>
        </is>
      </c>
      <c r="E12" s="26" t="inlineStr">
        <is>
          <t>Closed</t>
        </is>
      </c>
      <c r="F12" s="26" t="inlineStr">
        <is>
          <t>Caught by 100% branch gate + failing test pre-merge; fixed same session (E008).</t>
        </is>
      </c>
    </row>
    <row r="13" ht="23.25" customHeight="1" s="22">
      <c r="A13" s="26" t="inlineStr">
        <is>
          <t>DF-2</t>
        </is>
      </c>
      <c r="B13" s="26" t="inlineStr">
        <is>
          <t>Defect (closed)</t>
        </is>
      </c>
      <c r="C13" s="26" t="inlineStr">
        <is>
          <t>22:52</t>
        </is>
      </c>
      <c r="D13" s="26" t="inlineStr">
        <is>
          <t>Test fixture: all-empty row treated as validation failure; is skipped_empty by design</t>
        </is>
      </c>
      <c r="E13" s="26" t="inlineStr">
        <is>
          <t>Closed</t>
        </is>
      </c>
      <c r="F13" s="26" t="inlineStr">
        <is>
          <t>Fixture corrected (E010).</t>
        </is>
      </c>
    </row>
    <row r="14" ht="34.5" customHeight="1" s="22">
      <c r="A14" s="26" t="inlineStr">
        <is>
          <t>R-D7</t>
        </is>
      </c>
      <c r="B14" s="26" t="inlineStr">
        <is>
          <t>Risk</t>
        </is>
      </c>
      <c r="C14" s="26" t="inlineStr">
        <is>
          <t>13 Sep</t>
        </is>
      </c>
      <c r="D14" s="26" t="inlineStr">
        <is>
          <t>Tax rate table per market is a BUSINESS input, not code: ST-062 computes correctly from a TaxProfile but the rates/registration thresholds per market are unset. Charging the wrong VAT/GST is a legal exposure.</t>
        </is>
      </c>
      <c r="E14" s="26" t="inlineStr">
        <is>
          <t>Open</t>
        </is>
      </c>
      <c r="F14" s="26" t="inlineStr">
        <is>
          <t>Needs Senthil decision on markets + registration; Omshakti accountant input. Code side is complete and test-covered.</t>
        </is>
      </c>
    </row>
    <row r="15" ht="45.75" customHeight="1" s="22">
      <c r="A15" s="26" t="inlineStr">
        <is>
          <t>R-D8</t>
        </is>
      </c>
      <c r="B15" s="26" t="inlineStr">
        <is>
          <t>Risk</t>
        </is>
      </c>
      <c r="C15" s="26" t="inlineStr">
        <is>
          <t>13 Sep</t>
        </is>
      </c>
      <c r="D15" s="26" t="inlineStr">
        <is>
          <t>LC-1 (GCP project + OAuth consent) has now blocked live evidence for 7 consecutive sprints; S7 exit criterion (3+ design partners active weekly, NPS &gt;30) cannot be attempted without it. Code is 62% complete with zero live validation.</t>
        </is>
      </c>
      <c r="E15" s="26" t="inlineStr">
        <is>
          <t>Open — escalating</t>
        </is>
      </c>
      <c r="F15" s="26" t="inlineStr">
        <is>
          <t>Single highest-leverage unblock in the project. Everything downstream (beta, CASA, listing, first revenue) queues behind it.</t>
        </is>
      </c>
    </row>
    <row r="16" ht="45.75" customHeight="1" s="22">
      <c r="A16" s="26" t="inlineStr">
        <is>
          <t>R-D9</t>
        </is>
      </c>
      <c r="B16" s="26" t="inlineStr">
        <is>
          <t>Risk</t>
        </is>
      </c>
      <c r="C16" s="26" t="inlineStr">
        <is>
          <t>13 Sep</t>
        </is>
      </c>
      <c r="D16" s="26" t="inlineStr">
        <is>
          <t>Load-test numbers (ST-088) come from injected workers, not real infrastructure. They prove the harness and the judgement logic, NOT that the deployed system survives 5x launch traffic. Reading them as capacity evidence would be a mistake.</t>
        </is>
      </c>
      <c r="E16" s="26" t="inlineStr">
        <is>
          <t>Open</t>
        </is>
      </c>
      <c r="F16" s="26" t="inlineStr">
        <is>
          <t>Re-run against staging once LC-1 + hosting exist; treat current result as a CI regression guard only.</t>
        </is>
      </c>
    </row>
    <row r="17" ht="34.5" customHeight="1" s="22">
      <c r="A17" s="26" t="inlineStr">
        <is>
          <t>A-D3</t>
        </is>
      </c>
      <c r="B17" s="26" t="inlineStr">
        <is>
          <t>Assumption</t>
        </is>
      </c>
      <c r="C17" s="26" t="inlineStr">
        <is>
          <t>13 Sep</t>
        </is>
      </c>
      <c r="D17" s="26" t="inlineStr">
        <is>
          <t>Google Forms webhook/trigger contract assumed (submissionId, formId, answers-by-title). Real Apps Script form triggers may differ in shape and delivery guarantees.</t>
        </is>
      </c>
      <c r="E17" s="26" t="inlineStr">
        <is>
          <t>Open</t>
        </is>
      </c>
      <c r="F17" s="26" t="inlineStr">
        <is>
          <t>Dedupe and mapping are isolated in src/formTrigger.ts; a contract change is one module. Verify at LC-1.</t>
        </is>
      </c>
    </row>
    <row r="18" ht="57" customHeight="1" s="22">
      <c r="A18" s="26" t="inlineStr">
        <is>
          <t>R-D10</t>
        </is>
      </c>
      <c r="B18" s="26" t="inlineStr">
        <is>
          <t>Risk</t>
        </is>
      </c>
      <c r="C18" s="26" t="inlineStr">
        <is>
          <t>13 Sep</t>
        </is>
      </c>
      <c r="D18" s="26" t="inlineStr">
        <is>
          <t>ST-068 pen test is unbooked with no budget line, and it gates the marketplace review submission. Lead times for a booked third-party test are typically weeks; CASA (LC-3) has similar lead time and is already two sprints overdue. These two are the long poles for launch and both sit behind LC-1.</t>
        </is>
      </c>
      <c r="E18" s="26" t="inlineStr">
        <is>
          <t>Open — escalating</t>
        </is>
      </c>
      <c r="F18" s="26" t="inlineStr">
        <is>
          <t>Sequence: LC-1 (GCP project) -&gt; deploy to staging -&gt; book pen test + CASA in parallel. Booking can begin as soon as a target exists.</t>
        </is>
      </c>
    </row>
    <row r="19" ht="45.75" customHeight="1" s="22">
      <c r="A19" s="26" t="inlineStr">
        <is>
          <t>R-D11</t>
        </is>
      </c>
      <c r="B19" s="26" t="inlineStr">
        <is>
          <t>Risk</t>
        </is>
      </c>
      <c r="C19" s="26" t="inlineStr">
        <is>
          <t>13 Sep</t>
        </is>
      </c>
      <c r="D19" s="26" t="inlineStr">
        <is>
          <t>Listing assets (5 screenshots, 2-min demo video) cannot be produced without a running app. The validator and the screenshot plan exist, but S9 exit ("submission accepted into queue") needs real assets plus the pen test plus LC-1.</t>
        </is>
      </c>
      <c r="E19" s="26" t="inlineStr">
        <is>
          <t>Open</t>
        </is>
      </c>
      <c r="F19" s="26" t="inlineStr">
        <is>
          <t>Asset capture becomes a same-day task once the app runs; plan and spec already locked so there is no rework.</t>
        </is>
      </c>
    </row>
    <row r="20" ht="45.75" customHeight="1" s="22">
      <c r="A20" s="26" t="inlineStr">
        <is>
          <t>R-D12</t>
        </is>
      </c>
      <c r="B20" s="26" t="inlineStr">
        <is>
          <t>Risk</t>
        </is>
      </c>
      <c r="C20" s="26" t="inlineStr">
        <is>
          <t>13 Sep</t>
        </is>
      </c>
      <c r="D20" s="26" t="inlineStr">
        <is>
          <t>SUBMISSION DRY-RUN VERDICT: NOT READY — 10 of 20 checklist items blocking, 8 owned by Senthil and 2 by third parties. ZERO are code. The code-side backlog is 94% complete while the launch-side checklist is 50% complete; further sprints cannot close this gap.</t>
        </is>
      </c>
      <c r="E20" s="26" t="inlineStr">
        <is>
          <t>Open — critical</t>
        </is>
      </c>
      <c r="F20" s="26" t="inlineStr">
        <is>
          <t>Critical path published in SUBMISSION_DRY_RUN.md: LC-1 GCP project first (unblocks deployment, assets, live quota test, and gives CASA/pen-test a target), then book CASA + pen test in parallel, then hosting for policy/status pages, then the support staffing decision.</t>
        </is>
      </c>
    </row>
    <row r="21" ht="34.5" customHeight="1" s="22">
      <c r="A21" s="26" t="inlineStr">
        <is>
          <t>R-D13</t>
        </is>
      </c>
      <c r="B21" s="26" t="inlineStr">
        <is>
          <t>Risk</t>
        </is>
      </c>
      <c r="C21" s="26" t="inlineStr">
        <is>
          <t>13 Sep</t>
        </is>
      </c>
      <c r="D21" s="26" t="inlineStr">
        <is>
          <t>The published first-response SLA (4 business hours) is a promise nobody is currently rostered to keep. Publishing an SLA with no staffing behind it damages trust more than publishing no SLA.</t>
        </is>
      </c>
      <c r="E21" s="26" t="inlineStr">
        <is>
          <t>Open</t>
        </is>
      </c>
      <c r="F21" s="26" t="inlineStr">
        <is>
          <t>Decide before launch: staff the stated hours, widen the SLA to what a solo founder can honour, or publish response expectations without an SLA.</t>
        </is>
      </c>
    </row>
    <row r="22" ht="68.25" customHeight="1" s="22">
      <c r="A22" s="26" t="inlineStr">
        <is>
          <t>R-D14</t>
        </is>
      </c>
      <c r="B22" s="26" t="inlineStr">
        <is>
          <t>Risk</t>
        </is>
      </c>
      <c r="C22" s="26" t="inlineStr">
        <is>
          <t>13 Sep</t>
        </is>
      </c>
      <c r="D22" s="26" t="inlineStr">
        <is>
          <t>BUILD PHASE IS OVER AND THE LAUNCH PHASE HAS NOT STARTED. Code is 98% complete with 516 passing tests; the launch checklist is 50% complete and the go/no-go gate reads NO-GO with 8 blocking failures. Continuing to build adds nothing — there are only 2 stories left and neither is a coding task. The project now sits entirely on Senthil-owned and third-party actions.</t>
        </is>
      </c>
      <c r="E22" s="26" t="inlineStr">
        <is>
          <t>Open — critical</t>
        </is>
      </c>
      <c r="F22" s="26" t="inlineStr">
        <is>
          <t>Single sequence that unblocks everything: create the GCP project + OAuth consent screen (LC-1). That unblocks deployment, rollback verification, listing assets, live quota testing, and gives CASA and the pen test a target to assess. Then book CASA and the pen test in parallel (multi-week lead times), host the policy and status pages, wire monitoring sinks, and settle the support staffing question.</t>
        </is>
      </c>
    </row>
    <row r="23" ht="57" customHeight="1" s="22">
      <c r="A23" s="26" t="inlineStr">
        <is>
          <t>R-D15</t>
        </is>
      </c>
      <c r="B23" s="26" t="inlineStr">
        <is>
          <t>Finding</t>
        </is>
      </c>
      <c r="C23" s="26" t="inlineStr">
        <is>
          <t>13 Sep</t>
        </is>
      </c>
      <c r="D23" s="26" t="inlineStr">
        <is>
          <t>SEQUENCING CORRECTION: the OAuth consent screen requires authorised domains that are live and verified, which means the privacy policy and status page must be HOSTED BEFORE the consent screen can be completed. Earlier plans (R-D12 critical path) treated hosting as parallel to LC-1; it is actually a prerequisite of it.</t>
        </is>
      </c>
      <c r="E23" s="26" t="inlineStr">
        <is>
          <t>Open</t>
        </is>
      </c>
      <c r="F23" s="26" t="inlineStr">
        <is>
          <t>Revised order: (1) domain + hosting for privacy policy and status page, (2) GCP project + consent screen + OAuth client, (3) deploy to staging using .env.example, (4) book CASA and pen test against the staging target, (5) capture listing assets, (6) settle support staffing, (7) submit.</t>
        </is>
      </c>
    </row>
    <row r="24" ht="42.75" customHeight="1" s="22">
      <c r="A24" s="29" t="inlineStr">
        <is>
          <t>R-D16</t>
        </is>
      </c>
      <c r="B24" s="28" t="inlineStr">
        <is>
          <t>Finding (closed)</t>
        </is>
      </c>
      <c r="C24" s="28" t="inlineStr">
        <is>
          <t>13 Sep 22:53</t>
        </is>
      </c>
      <c r="D24" s="28" t="inlineStr">
        <is>
          <t>CI HAD NEVER RUN GREEN ON A CLEAN CHECKOUT. Every job in ci.yml installs with `npm ci`, which requires a lockfile, and no package-lock.json existed. The 836-test/100% figure was real but had only ever been produced locally. Raised externally as CGPT-DM-004.</t>
        </is>
      </c>
      <c r="E24" s="28" t="inlineStr">
        <is>
          <t>CLOSED</t>
        </is>
      </c>
      <c r="F24" s="28" t="inlineStr">
        <is>
          <t>Lockfile committed; `npm run verify` runs the full gate from clean; coverage published as a CI artifact. Verified twice in-session: npm ci -&gt; 280 packages -&gt; tsc clean -&gt; 836/836 across 45 suites -&gt; 100/100/100/100.</t>
        </is>
      </c>
    </row>
    <row r="25" ht="42.75" customHeight="1" s="22">
      <c r="A25" s="29" t="inlineStr">
        <is>
          <t>R-D17</t>
        </is>
      </c>
      <c r="B25" s="28" t="inlineStr">
        <is>
          <t>Risk</t>
        </is>
      </c>
      <c r="C25" s="28" t="inlineStr">
        <is>
          <t>13 Sep 22:53</t>
        </is>
      </c>
      <c r="D25" s="28" t="inlineStr">
        <is>
          <t>CodeQL static analysis is configured but UNVERIFIED. It executes only on GitHub infrastructure, so unlike audit, secret scan and SBOM it has not been proved to work. A configured-but-never-run gate is the class of defect this whole day has been about.</t>
        </is>
      </c>
      <c r="E25" s="28" t="inlineStr">
        <is>
          <t>Open</t>
        </is>
      </c>
      <c r="F25" s="28" t="inlineStr">
        <is>
          <t>Treat the first green CodeQL run on GitHub as the evidence. Until then SC-12 is partially verified only. UNCHANGED 20 Sep — CodeQL still runs only on GitHub infrastructure and has still never been observed green.</t>
        </is>
      </c>
    </row>
    <row r="26" ht="32.25" customHeight="1" s="22">
      <c r="A26" s="29" t="inlineStr">
        <is>
          <t>R-D18</t>
        </is>
      </c>
      <c r="B26" s="28" t="inlineStr">
        <is>
          <t>Risk</t>
        </is>
      </c>
      <c r="C26" s="28" t="inlineStr">
        <is>
          <t>13 Sep 22:53</t>
        </is>
      </c>
      <c r="D26" s="28" t="inlineStr">
        <is>
          <t>The portfolio guard kit has still never been run against a sibling codebase (RevRescue, TeleField, FlowCast). The claim that the same findings exist there is an expectation, not evidence.</t>
        </is>
      </c>
      <c r="E26" s="28" t="inlineStr">
        <is>
          <t>Open</t>
        </is>
      </c>
      <c r="F26" s="28" t="inlineStr">
        <is>
          <t>Carried from STATE_OF_DOCMERGE. First sibling run converts it to evidence either way.</t>
        </is>
      </c>
    </row>
    <row r="27" ht="42.75" customHeight="1" s="22">
      <c r="A27" s="29" t="inlineStr">
        <is>
          <t>R-D19</t>
        </is>
      </c>
      <c r="B27" s="28" t="inlineStr">
        <is>
          <t>Decision risk</t>
        </is>
      </c>
      <c r="C27" s="28" t="inlineStr">
        <is>
          <t>13 Sep 22:53</t>
        </is>
      </c>
      <c r="D27" s="28" t="inlineStr">
        <is>
          <t>The external review defers four HIGH/MEDIUM findings (CGPT-DM-005 enterprise identity, 007 DR, 009 data lifecycle, 010 SLO history) behind D-DM2. If D-DM2 resolves toward the enterprise bar, these become four sprints of work that are currently unplanned and unscoped in points.</t>
        </is>
      </c>
      <c r="E27" s="28" t="inlineStr">
        <is>
          <t>Open</t>
        </is>
      </c>
      <c r="F27" s="28" t="inlineStr">
        <is>
          <t>Nothing is built for these. They are logged as valid and deferred, not as done or dismissed.</t>
        </is>
      </c>
    </row>
    <row r="28" ht="32.25" customHeight="1" s="22">
      <c r="A28" s="29" t="inlineStr">
        <is>
          <t>R-D20</t>
        </is>
      </c>
      <c r="B28" s="28" t="inlineStr">
        <is>
          <t>Risk</t>
        </is>
      </c>
      <c r="C28" s="28" t="inlineStr">
        <is>
          <t>13 Sep 22:53</t>
        </is>
      </c>
      <c r="D28" s="28" t="inlineStr">
        <is>
          <t>`npm audit` reports 0 vulnerabilities across all severities today against five devDependencies. That is a statement about 13 Sep 2026, and one transitive package (glob@7) already emits a deprecation warning.</t>
        </is>
      </c>
      <c r="E28" s="28" t="inlineStr">
        <is>
          <t>Open</t>
        </is>
      </c>
      <c r="F28" s="28" t="inlineStr">
        <is>
          <t>SUPERSEDED 20 Sep by P-DM-004. The 0-advisories figure was a statement about Jest and TypeScript: the runtime tree was EMPTY. It is now 13 real components with the audit gate over them, and sbom:check fails if the runtime count ever returns to zero.</t>
        </is>
      </c>
    </row>
    <row r="29" ht="53.25" customHeight="1" s="22">
      <c r="A29" s="29" t="inlineStr">
        <is>
          <t>R-D21</t>
        </is>
      </c>
      <c r="B29" s="28" t="inlineStr">
        <is>
          <t>Finding (closed)</t>
        </is>
      </c>
      <c r="C29" s="28" t="inlineStr">
        <is>
          <t>13 Sep 23:04</t>
        </is>
      </c>
      <c r="D29" s="28" t="inlineStr">
        <is>
          <t>THE PIPELINE THAT PRODUCES THE EVIDENCE WAS THE ONE THING NOBODY REVIEWED. Three sweeps, two clean internal review passes and a platform verification pass all examined the product; none asked whether CI could execute. It could not, for want of a lockfile. Every gate in front of it — coverage, tenant isolation, quota feasibility — was worth nothing on the runner.</t>
        </is>
      </c>
      <c r="E29" s="28" t="inlineStr">
        <is>
          <t>CLOSED</t>
        </is>
      </c>
      <c r="F29" s="28" t="inlineStr">
        <is>
          <t>releaseGate.ts makes it a standing check on every commit rather than a fixed incident. Ported to the portfolio guard kit as its fifth module for the sibling products (R-D18 still applies: unrun there).</t>
        </is>
      </c>
    </row>
    <row r="30" ht="53.25" customHeight="1" s="22">
      <c r="A30" s="29" t="inlineStr">
        <is>
          <t>R-D22</t>
        </is>
      </c>
      <c r="B30" s="28" t="inlineStr">
        <is>
          <t>Risk</t>
        </is>
      </c>
      <c r="C30" s="28" t="inlineStr">
        <is>
          <t>13 Sep 23:13</t>
        </is>
      </c>
      <c r="D30" s="28" t="inlineStr">
        <is>
          <t>The terms of service is a STRUCTURAL DRAFT, not a reviewed legal document, and its warranty and liability clauses are an explicit placeholder. The privacy page's factual content is generated from the code and is accurate; its legal framing is not reviewed either. Publishing either as-is would put an unreviewed contract in front of customers.</t>
        </is>
      </c>
      <c r="E30" s="28" t="inlineStr">
        <is>
          <t>Open</t>
        </is>
      </c>
      <c r="F30" s="28" t="inlineStr">
        <is>
          <t>Marked on the pages themselves so it cannot be published unnoticed. Needs a lawyer before the domain goes live. Terms of service was absent from the submission checklist entirely until VER-DM4 — this is the first version that exists.</t>
        </is>
      </c>
    </row>
    <row r="31" ht="21.75" customHeight="1" s="22">
      <c r="A31" s="29" t="inlineStr">
        <is>
          <t>R-D23</t>
        </is>
      </c>
      <c r="B31" s="28" t="inlineStr">
        <is>
          <t>Constraint</t>
        </is>
      </c>
      <c r="C31" s="28" t="inlineStr">
        <is>
          <t>13 Sep 23:13</t>
        </is>
      </c>
      <c r="D31" s="28" t="inlineStr">
        <is>
          <t>Six values in site.config.json are placeholders — legal entity, registered address, contact email, domain, jurisdiction, effective date. None can be supplied by Claude.</t>
        </is>
      </c>
      <c r="E31" s="28" t="inlineStr">
        <is>
          <t>Open</t>
        </is>
      </c>
      <c r="F31" s="28" t="inlineStr">
        <is>
          <t>The build exits non-zero while any remain and prints each on the page, so an unfinished site cannot be mistaken for a finished one.</t>
        </is>
      </c>
    </row>
    <row r="32" ht="63.75" customHeight="1" s="22">
      <c r="A32" s="29" t="inlineStr">
        <is>
          <t>R-D24</t>
        </is>
      </c>
      <c r="B32" s="28" t="inlineStr">
        <is>
          <t>Finding (closed)</t>
        </is>
      </c>
      <c r="C32" s="28" t="inlineStr">
        <is>
          <t>14 Sep 13:59</t>
        </is>
      </c>
      <c r="D32" s="28" t="inlineStr">
        <is>
          <t>THE SUBMISSION DRY RUN WAS MEASURING AGAINST AN INCOMPLETE CHECKLIST. It reported 10 of 20 while two REQUIRED listing items were absent from the checklist entirely — the application icons with the card banner, and the terms-of-service link. Both were found by VER-DM4 when the listing spec was re-verified, and neither was fed back into the dry run. Three more items were stale against the same correction.</t>
        </is>
      </c>
      <c r="E32" s="28" t="inlineStr">
        <is>
          <t>CLOSED</t>
        </is>
      </c>
      <c r="F32" s="28" t="inlineStr">
        <is>
          <t>Checklist rebuilt at 22 items, 11 satisfied. Same class as DM-F02/DM-F03 and CGPT-DM-002: an instrument that reports a clean number because it is not looking at the thing.</t>
        </is>
      </c>
    </row>
    <row r="33" ht="53.7" customHeight="1" s="22">
      <c r="A33" s="29" t="inlineStr">
        <is>
          <t>R-D25</t>
        </is>
      </c>
      <c r="B33" s="28" t="inlineStr">
        <is>
          <t>Finding (closed)</t>
        </is>
      </c>
      <c r="C33" s="28" t="inlineStr">
        <is>
          <t>15 Sep 09:09</t>
        </is>
      </c>
      <c r="D33" s="28" t="inlineStr">
        <is>
          <t>THE POSTGRES ADAPTER HAD NEVER TOUCHED POSTGRES. Tested only against a FakeClient recording statements and returning scripted rows — internally consistent, and no evidence Postgres would accept any of it. The module header stated the risk and the suite did not close it. Two siblings found real defects at this exact boundary.</t>
        </is>
      </c>
      <c r="E33" s="28" t="inlineStr">
        <is>
          <t>CLOSED</t>
        </is>
      </c>
      <c r="F33" s="28" t="inlineStr">
        <is>
          <t>10 contract tests on real embedded Postgres: CLEAN. A negative result, and only meaningful because it was run rather than assumed.</t>
        </is>
      </c>
    </row>
    <row r="34" ht="53.7" customHeight="1" s="22">
      <c r="A34" s="29" t="inlineStr">
        <is>
          <t>R-D26</t>
        </is>
      </c>
      <c r="B34" s="28" t="inlineStr">
        <is>
          <t>Risk</t>
        </is>
      </c>
      <c r="C34" s="28" t="inlineStr">
        <is>
          <t>15 Sep 09:09</t>
        </is>
      </c>
      <c r="D34" s="28" t="inlineStr">
        <is>
          <t>THREE PORTABLE GATE PACKAGES NOW EXIST FOR ONE PORTFOLIO — at-review-gates v1.0.0 (RevRescue), TeleField docs/REVIEW_GATES.md, and portfolio-guard-kit (DocMerge). Built independently within days of each other, they overlap, none is a superset, and each product adopts a different subset, so a class caught in one product stays live in another purely because of packaging.</t>
        </is>
      </c>
      <c r="E34" s="28" t="inlineStr">
        <is>
          <t>Open</t>
        </is>
      </c>
      <c r="F34" s="28" t="inlineStr">
        <is>
          <t>PORTFOLIO_DEFECT_CLASSES.md and the v001 register workbook map fifteen recurring classes against all three. Merging needs no live environment, decision or budget. C-05, C-10 and C-12 would remain ungated even after a merge.</t>
        </is>
      </c>
    </row>
    <row r="35">
      <c r="A35" s="45" t="inlineStr">
        <is>
          <t>R-D27</t>
        </is>
      </c>
      <c r="B35" s="45" t="inlineStr">
        <is>
          <t>Finding (closed)</t>
        </is>
      </c>
      <c r="C35" s="45" t="inlineStr">
        <is>
          <t>20 Sep</t>
        </is>
      </c>
      <c r="D35" s="45" t="inlineStr">
        <is>
          <t>THE PRODUCT WAS NOT CODE-COMPLETE AND HAD NOT BEEN FOR ELEVEN SPRINTS. Every boundary to the outside world was an injected interface with no implementation; `npm start` started nothing. The 98/100 'Done-in-code' figure was, in the review's words, the single most misleading number in the portfolio.</t>
        </is>
      </c>
      <c r="E35" s="45" t="inlineStr">
        <is>
          <t>CLOSED</t>
        </is>
      </c>
      <c r="F35" s="46" t="inlineStr">
        <is>
          <t>S13-S19 built the adapter layer behind the existing interfaces. The traceability statuses are corrected below and integrationGate makes the class a standing check. The lesson is C-16: coverage cannot see a file that was never written, and the more boundaries you inject the cleaner the number gets.</t>
        </is>
      </c>
    </row>
    <row r="36">
      <c r="A36" s="45" t="inlineStr">
        <is>
          <t>R-D28</t>
        </is>
      </c>
      <c r="B36" s="45" t="inlineStr">
        <is>
          <t>Risk</t>
        </is>
      </c>
      <c r="C36" s="45" t="inlineStr">
        <is>
          <t>20 Sep</t>
        </is>
      </c>
      <c r="D36" s="45" t="inlineStr">
        <is>
          <t>EVERY GOOGLE CALL IS UNVERIFIED AGAINST GOOGLE. The adapters are proved against a fake HttpClient asserting exact URLs, headers and bodies; not one request has left the machine. The Docs table-row index arithmetic and deleteContentRange across paragraph boundaries are the two most likely 400s.</t>
        </is>
      </c>
      <c r="E36" s="45" t="inlineStr">
        <is>
          <t>Open — top risk</t>
        </is>
      </c>
      <c r="F36" s="46" t="inlineStr">
        <is>
          <t>This is the honest residual of S14/S15 and it needs only a throwaway GCP project with a test user. It is the first hour of LC-1.</t>
        </is>
      </c>
    </row>
    <row r="37">
      <c r="A37" s="45" t="inlineStr">
        <is>
          <t>R-D29</t>
        </is>
      </c>
      <c r="B37" s="45" t="inlineStr">
        <is>
          <t>Risk</t>
        </is>
      </c>
      <c r="C37" s="45" t="inlineStr">
        <is>
          <t>20 Sep</t>
        </is>
      </c>
      <c r="D37" s="45" t="inlineStr">
        <is>
          <t>THE MODEL DOES NOT REACH BREAKEVEN AND THE DECISION IS UNMADE. P-DM-008 reproduced independently: -$228,150 cumulative at M18, gap still widening at M12.</t>
        </is>
      </c>
      <c r="E37" s="45" t="inlineStr">
        <is>
          <t>Open — critical</t>
        </is>
      </c>
      <c r="F37" s="46" t="inlineStr">
        <is>
          <t>Financial_Model_v2 in product workbook v047 models the free tier's cost and states the breakeven month explicitly, or 'none in horizon'. D-DM5. It gates the listing copy.</t>
        </is>
      </c>
    </row>
    <row r="38">
      <c r="A38" s="45" t="inlineStr">
        <is>
          <t>R-D30</t>
        </is>
      </c>
      <c r="B38" s="45" t="inlineStr">
        <is>
          <t>Risk</t>
        </is>
      </c>
      <c r="C38" s="45" t="inlineStr">
        <is>
          <t>20 Sep</t>
        </is>
      </c>
      <c r="D38" s="45" t="inlineStr">
        <is>
          <t>STRIPE HAS NEVER BEEN CALLED, AND THE ENROLMENT FLOW DOES NOT EXIST. The gateway is implemented and an unenrolled account is refused and logged rather than charged, but nothing yet writes stripe_customer_id.</t>
        </is>
      </c>
      <c r="E38" s="45" t="inlineStr">
        <is>
          <t>Open</t>
        </is>
      </c>
      <c r="F38" s="46" t="inlineStr">
        <is>
          <t>Found by integrationGate, not by a person. The Checkout/SetupIntent flow is the owed half.</t>
        </is>
      </c>
    </row>
    <row r="39">
      <c r="A39" s="45" t="inlineStr">
        <is>
          <t>R-D31</t>
        </is>
      </c>
      <c r="B39" s="45" t="inlineStr">
        <is>
          <t>Finding (closed)</t>
        </is>
      </c>
      <c r="C39" s="45" t="inlineStr">
        <is>
          <t>20 Sep</t>
        </is>
      </c>
      <c r="D39" s="45" t="inlineStr">
        <is>
          <t>THREE DOCUMENTS THAT LEAVE THE BUILDING CONTRADICTED THE CODE FOR FOUR DAYS: the privacy/CASA data-flow pack named an e-sign subprocessor, both pen-test briefs described a signature product, and .env.example carried 16 variables against a 25-variable contract — missing the three the application cannot start without.</t>
        </is>
      </c>
      <c r="E39" s="45" t="inlineStr">
        <is>
          <t>CLOSED</t>
        </is>
      </c>
      <c r="F39" s="46" t="inlineStr">
        <is>
          <t>DM-F34/F35/F36. All three fixed; the claims gate's scope is widened to every document a third party reads, and .env.example is now generated with a test asserting it matches renderEnvExample() byte for byte. Draw the scope around the READER, not the artefact.</t>
        </is>
      </c>
    </row>
    <row r="40">
      <c r="A40" s="45" t="inlineStr">
        <is>
          <t>R-D32</t>
        </is>
      </c>
      <c r="B40" s="45" t="inlineStr">
        <is>
          <t>Risk</t>
        </is>
      </c>
      <c r="C40" s="45" t="inlineStr">
        <is>
          <t>20 Sep</t>
        </is>
      </c>
      <c r="D40" s="45" t="inlineStr">
        <is>
          <t>TERRAFORM HAS NEVER BEEN VALIDATED. Provider argument names were written against hashicorp/google ~&gt; 6.0 with no binary available and no project to plan against.</t>
        </is>
      </c>
      <c r="E40" s="45" t="inlineStr">
        <is>
          <t>Open</t>
        </is>
      </c>
      <c r="F40" s="46" t="inlineStr">
        <is>
          <t>Expect the first `terraform validate` to surface a few argument names. The workflow fails closed until then, so nothing reports a false green.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D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62" customWidth="1" style="21" min="2" max="2"/>
    <col width="16" customWidth="1" style="21" min="3" max="3"/>
    <col width="60" customWidth="1" style="21" min="4" max="4"/>
  </cols>
  <sheetData>
    <row r="1" ht="17.25" customHeight="1" s="22">
      <c r="A1" s="23" t="inlineStr">
        <is>
          <t>COMPLETION GATE — DocMerge Pro is DONE only when every row is Done</t>
        </is>
      </c>
    </row>
    <row r="2" ht="15" customHeight="1" s="22">
      <c r="A2" s="34" t="inlineStr">
        <is>
          <t>Code complete counts for nothing at this gate. Gate decision = Senthil. LC items = v012 Launch_Checklist.</t>
        </is>
      </c>
    </row>
    <row r="3" ht="15" customHeight="1" s="22">
      <c r="A3" s="25" t="inlineStr">
        <is>
          <t>ID</t>
        </is>
      </c>
      <c r="B3" s="25" t="inlineStr">
        <is>
          <t>Gate item</t>
        </is>
      </c>
      <c r="C3" s="25" t="inlineStr">
        <is>
          <t>Source</t>
        </is>
      </c>
      <c r="D3" s="25" t="inlineStr">
        <is>
          <t>Status</t>
        </is>
      </c>
    </row>
    <row r="4" ht="15" customHeight="1" s="22">
      <c r="A4" s="26" t="inlineStr">
        <is>
          <t>G-01</t>
        </is>
      </c>
      <c r="B4" s="26" t="inlineStr">
        <is>
          <t>App LISTED on Google Workspace Marketplace (approved + published)</t>
        </is>
      </c>
      <c r="C4" s="26" t="inlineStr">
        <is>
          <t>Portfolio gate</t>
        </is>
      </c>
      <c r="D4" s="26" t="inlineStr">
        <is>
          <t>Open</t>
        </is>
      </c>
    </row>
    <row r="5" ht="15" customHeight="1" s="22">
      <c r="A5" s="26" t="inlineStr">
        <is>
          <t>G-02</t>
        </is>
      </c>
      <c r="B5" s="26" t="inlineStr">
        <is>
          <t>10 PAYING installs from strangers</t>
        </is>
      </c>
      <c r="C5" s="26" t="inlineStr">
        <is>
          <t>Portfolio gate</t>
        </is>
      </c>
      <c r="D5" s="26" t="inlineStr">
        <is>
          <t>Open</t>
        </is>
      </c>
    </row>
    <row r="6" ht="15" customHeight="1" s="22">
      <c r="A6" s="26" t="inlineStr">
        <is>
          <t>G-03</t>
        </is>
      </c>
      <c r="B6" s="26" t="inlineStr">
        <is>
          <t>S12 kill criteria evaluated with evidence pack</t>
        </is>
      </c>
      <c r="C6" s="26" t="inlineStr">
        <is>
          <t>Portfolio gate</t>
        </is>
      </c>
      <c r="D6" s="26" t="inlineStr">
        <is>
          <t>Open</t>
        </is>
      </c>
    </row>
    <row r="7" ht="15" customHeight="1" s="22">
      <c r="A7" s="26" t="inlineStr">
        <is>
          <t>G-04</t>
        </is>
      </c>
      <c r="B7" s="26" t="inlineStr">
        <is>
          <t>Kill/continue decision recorded by Senthil</t>
        </is>
      </c>
      <c r="C7" s="26" t="inlineStr">
        <is>
          <t>Portfolio gate</t>
        </is>
      </c>
      <c r="D7" s="26" t="inlineStr">
        <is>
          <t>Open</t>
        </is>
      </c>
    </row>
    <row r="8" ht="15" customHeight="1" s="22">
      <c r="A8" s="26" t="inlineStr">
        <is>
          <t>LC-1</t>
        </is>
      </c>
      <c r="B8" s="26" t="inlineStr">
        <is>
          <t>GCP project + OAuth consent screen configured (brand verification)</t>
        </is>
      </c>
      <c r="C8" s="26" t="inlineStr">
        <is>
          <t>v012 LC #1</t>
        </is>
      </c>
      <c r="D8" s="26" t="inlineStr">
        <is>
          <t>Open — blocks all live items (S1-06)</t>
        </is>
      </c>
    </row>
    <row r="9" ht="23.25" customHeight="1" s="22">
      <c r="A9" s="26" t="inlineStr">
        <is>
          <t>LC-2</t>
        </is>
      </c>
      <c r="B9" s="26" t="inlineStr">
        <is>
          <t>Restricted/sensitive scopes minimized; justification narrative drafted</t>
        </is>
      </c>
      <c r="C9" s="26" t="inlineStr">
        <is>
          <t>v012 LC #2</t>
        </is>
      </c>
      <c r="D9" s="33" t="inlineStr">
        <is>
          <t>Done-in-code — SCOPE_NARRATIVE.md generated from the audited manifest (ST-064); submission still needs LC-1</t>
        </is>
      </c>
    </row>
    <row r="10" ht="23.25" customHeight="1" s="22">
      <c r="A10" s="26" t="inlineStr">
        <is>
          <t>LC-3</t>
        </is>
      </c>
      <c r="B10" s="26" t="inlineStr">
        <is>
          <t>CASA Tier 2 assessment scheduled and passed (annual renewal calendared)</t>
        </is>
      </c>
      <c r="C10" s="26" t="inlineStr">
        <is>
          <t>v012 LC #3</t>
        </is>
      </c>
      <c r="D10" s="39" t="inlineStr">
        <is>
          <t>LIKELY NOT REQUIRED (VER-DM5) — CASA is triggered by RESTRICTED scopes and we request none. Re-check classification in the Cloud console (OAuth consent screen &gt; Data Access) once LC-1 exists; Google may still request an assessment at its discretion. Do not book until confirmed.</t>
        </is>
      </c>
    </row>
    <row r="11" ht="15" customHeight="1" s="22">
      <c r="A11" s="26" t="inlineStr">
        <is>
          <t>LC-4</t>
        </is>
      </c>
      <c r="B11" s="26" t="inlineStr">
        <is>
          <t>Apps Script/alt-runtime quota headroom load-tested (batch generation)</t>
        </is>
      </c>
      <c r="C11" s="26" t="inlineStr">
        <is>
          <t>v012 LC #4</t>
        </is>
      </c>
      <c r="D11" s="33" t="inlineStr">
        <is>
          <t>Done-in-code — deterministic 5x load test (ST-088) + p95 budgets (ST-087) + circuit breaker (ST-070); LIVE quota headroom test owed at LC-1</t>
        </is>
      </c>
    </row>
    <row r="12" ht="15" customHeight="1" s="22">
      <c r="A12" s="26" t="inlineStr">
        <is>
          <t>LC-5</t>
        </is>
      </c>
      <c r="B12" s="26" t="inlineStr">
        <is>
          <t>Domain-install admin flow + admin console notes tested</t>
        </is>
      </c>
      <c r="C12" s="26" t="inlineStr">
        <is>
          <t>v012 LC #5</t>
        </is>
      </c>
      <c r="D12" s="26" t="inlineStr">
        <is>
          <t>Open — needs LC-1</t>
        </is>
      </c>
    </row>
    <row r="13" ht="15" customHeight="1" s="22">
      <c r="A13" s="26" t="inlineStr">
        <is>
          <t>LC-6</t>
        </is>
      </c>
      <c r="B13" s="26" t="inlineStr">
        <is>
          <t>Marketplace listing: name, graphics per asset specs, demo video</t>
        </is>
      </c>
      <c r="C13" s="26" t="inlineStr">
        <is>
          <t>v012 LC #6</t>
        </is>
      </c>
      <c r="D13" s="36" t="inlineStr">
        <is>
          <t>Partial — listing copy A/B drafted and reviewed, screenshot plan + asset validator ready (LISTING_PACK.md); the screenshots and demo video themselves need a running app (LC-1)</t>
        </is>
      </c>
    </row>
    <row r="14" ht="23.25" customHeight="1" s="22">
      <c r="A14" s="26" t="inlineStr">
        <is>
          <t>LC-7</t>
        </is>
      </c>
      <c r="B14" s="26" t="inlineStr">
        <is>
          <t>Privacy policy + DPA + data-deletion endpoint live</t>
        </is>
      </c>
      <c r="C14" s="26" t="inlineStr">
        <is>
          <t>v012 LC #7</t>
        </is>
      </c>
      <c r="D14" s="33" t="inlineStr">
        <is>
          <t>Done-in-code — DATA_FLOW_AND_RETENTION.md + self-serve export/delete (ST-069); hosted policy page and live endpoint owed</t>
        </is>
      </c>
    </row>
    <row r="15" ht="23.25" customHeight="1" s="22">
      <c r="A15" s="26" t="inlineStr">
        <is>
          <t>LC-8</t>
        </is>
      </c>
      <c r="B15" s="26" t="inlineStr">
        <is>
          <t>Drive/Sheets API exponential backoff verified under quota pressure</t>
        </is>
      </c>
      <c r="C15" s="26" t="inlineStr">
        <is>
          <t>v012 LC #8</t>
        </is>
      </c>
      <c r="D15" s="33" t="inlineStr">
        <is>
          <t>Done-in-code — withRetry backoff + tests (ST-004/ST-014); LIVE quota verification owed at LC-1</t>
        </is>
      </c>
    </row>
    <row r="16" ht="15" customHeight="1" s="22">
      <c r="A16" s="26" t="inlineStr">
        <is>
          <t>LC-9</t>
        </is>
      </c>
      <c r="B16" s="26" t="inlineStr">
        <is>
          <t>Template gallery seeded with 20 launch templates</t>
        </is>
      </c>
      <c r="C16" s="26" t="inlineStr">
        <is>
          <t>v012 LC #9</t>
        </is>
      </c>
      <c r="D16" s="33" t="inlineStr">
        <is>
          <t>DONE — 20-template gallery built, structurally validated, and every template rendered through the real engine (TEMPLATE_GALLERY.md); 61 search terms targeted</t>
        </is>
      </c>
    </row>
    <row r="17" ht="15" customHeight="1" s="22">
      <c r="A17" s="26" t="inlineStr">
        <is>
          <t>LC-10</t>
        </is>
      </c>
      <c r="B17" s="26" t="inlineStr">
        <is>
          <t>In-app upgrade prompts + Stripe billing live</t>
        </is>
      </c>
      <c r="C17" s="26" t="inlineStr">
        <is>
          <t>v012 LC #10</t>
        </is>
      </c>
      <c r="D17" s="33" t="inlineStr">
        <is>
          <t>Done-in-code — trial/proration/dunning + provider routing (ST-057..059); LIVE Stripe/marketplace config owed</t>
        </is>
      </c>
    </row>
    <row r="19" ht="57" customHeight="1" s="22">
      <c r="A19" s="40" t="inlineStr">
        <is>
          <t>NOTE</t>
        </is>
      </c>
      <c r="B19" s="41" t="inlineStr">
        <is>
          <t>As of 13 Sep 10:58 the code backlog is complete (98/100 Done-in-code, 516 tests at 100% coverage) and NOT ONE gate row below has moved to Done. Every remaining item needs a person, a budget, or infrastructure. See SUBMISSION_DRY_RUN.md (10/20, NOT READY) and LAUNCH_RUNBOOK.md (NO-GO, 8 blocking).</t>
        </is>
      </c>
    </row>
    <row r="20" ht="21.75" customHeight="1" s="22">
      <c r="A20" s="29" t="inlineStr">
        <is>
          <t>G-05</t>
        </is>
      </c>
      <c r="B20" s="28" t="inlineStr">
        <is>
          <t>Reproducible build from a clean checkout (lockfile + one-command verify)</t>
        </is>
      </c>
      <c r="C20" s="28" t="inlineStr">
        <is>
          <t>CGPT-DM-004</t>
        </is>
      </c>
      <c r="D20" s="28" t="inlineStr">
        <is>
          <t>DONE — npm ci from wiped node_modules: 280 packages, tsc clean, 836/836 across 45 suites, 100/100/100/100. Verified twice 13 Sep 22:5x.</t>
        </is>
      </c>
    </row>
    <row r="21" ht="32.25" customHeight="1" s="22">
      <c r="A21" s="29" t="inlineStr">
        <is>
          <t>G-06</t>
        </is>
      </c>
      <c r="B21" s="28" t="inlineStr">
        <is>
          <t>Repeatable staging deploy and rollback, evidenced by run logs</t>
        </is>
      </c>
      <c r="C21" s="28" t="inlineStr">
        <is>
          <t>CGPT-DM-002</t>
        </is>
      </c>
      <c r="D21" s="28" t="inlineStr">
        <is>
          <t>Open — blocked on LC-1. Deploy job now fails closed rather than reporting a false green. Work specified in DEPLOY_PLAN.md; exit criterion is destroy/recreate/deploy/migrate/smoke/rollback/redeploy run twice.</t>
        </is>
      </c>
    </row>
    <row r="22" ht="21.75" customHeight="1" s="22">
      <c r="A22" s="29" t="inlineStr">
        <is>
          <t>G-07</t>
        </is>
      </c>
      <c r="B22" s="28" t="inlineStr">
        <is>
          <t>Supply-chain gate: dependency audit, secret scan, SBOM on every push</t>
        </is>
      </c>
      <c r="C22" s="28" t="inlineStr">
        <is>
          <t>CGPT-DM-012</t>
        </is>
      </c>
      <c r="D22" s="28" t="inlineStr">
        <is>
          <t>Partial — audit (0 vulns), secret scan (clean) and SBOM (280 components) all verified in-session and wired into CI. CodeQL configured but unverified (R-D17).</t>
        </is>
      </c>
    </row>
    <row r="23" ht="42.75" customHeight="1" s="22">
      <c r="A23" s="29" t="inlineStr">
        <is>
          <t>NOTE</t>
        </is>
      </c>
      <c r="B23" s="28" t="inlineStr">
        <is>
          <t>As of 13 Sep 22:53 the external review CGPT V001 has been dispositioned: 3 accepted and fixed, 5 already logged under existing IDs, 4 valid and deferred behind D-DM2. None of the fixes moves G-01..G-04. The launch gate is unchanged and still needs a domain, a GCP project, a budget and three decisions.</t>
        </is>
      </c>
      <c r="C23" s="28" t="n"/>
      <c r="D23" s="28" t="n"/>
    </row>
    <row r="24" ht="32.25" customHeight="1" s="22">
      <c r="A24" s="29" t="inlineStr">
        <is>
          <t>G-08</t>
        </is>
      </c>
      <c r="B24" s="28" t="inlineStr">
        <is>
          <t>Release-integrity gate in CI (install can run; no action job reports a false green)</t>
        </is>
      </c>
      <c r="C24" s="28" t="inlineStr">
        <is>
          <t>CGPT-DM-002/004/012</t>
        </is>
      </c>
      <c r="D24" s="28" t="inlineStr">
        <is>
          <t>DONE 13 Sep 23:04 — src/releaseGate.ts + tests/releaseGate.test.ts, wired as its own CI step. The pre-review workflow is kept as a regression fixture and asserted to fail all four rules.</t>
        </is>
      </c>
    </row>
    <row r="25" ht="32.25" customHeight="1" s="22">
      <c r="A25" s="29" t="inlineStr">
        <is>
          <t>LC-6</t>
        </is>
      </c>
      <c r="B25" s="28" t="inlineStr">
        <is>
          <t>Marketplace listing assets — icons and card banner</t>
        </is>
      </c>
      <c r="C25" s="28" t="inlineStr">
        <is>
          <t>v012 LC #6 / VER-DM4</t>
        </is>
      </c>
      <c r="D25" s="28" t="inlineStr">
        <is>
          <t>PARTIAL -&gt; icons and banner DONE 13 Sep 23:13 (generated, validated against MARKETPLACE_ASSET_SPEC). Screenshots and demo video still need a running app.</t>
        </is>
      </c>
    </row>
    <row r="26" ht="32.25" customHeight="1" s="22">
      <c r="A26" s="29" t="inlineStr">
        <is>
          <t>LC-7</t>
        </is>
      </c>
      <c r="B26" s="28" t="inlineStr">
        <is>
          <t>Privacy policy + terms of service + status page</t>
        </is>
      </c>
      <c r="C26" s="28" t="inlineStr">
        <is>
          <t>v012 LC #7 / R-D15</t>
        </is>
      </c>
      <c r="D26" s="28" t="inlineStr">
        <is>
          <t>WRITTEN AND BUILT — five static pages in site/, privacy generated from the enforcing code, terms drafted (legal review owed). Hosting and six config values are Senthil's; see HOSTING.md.</t>
        </is>
      </c>
    </row>
    <row r="27" ht="63.75" customHeight="1" s="22">
      <c r="A27" s="29" t="inlineStr">
        <is>
          <t>NOTE-2</t>
        </is>
      </c>
      <c r="B27" s="28" t="inlineStr">
        <is>
          <t>SUBMISSION DRY RUN RE-MEASURED 14 Sep: 11 of 22 satisfied, not 10 of 20. The old count was taken against a checklist that omitted two REQUIRED items (CL-21 icons and card banner, CL-22 terms of service link) — a dry run cannot fail on an item it does not count. Both were added and CL-21 is now satisfied. CL-03 (CASA) downgraded from blocker to VERIFY: triggered by restricted scopes, and we request none.</t>
        </is>
      </c>
      <c r="C27" s="28" t="n"/>
      <c r="D27" s="28" t="n"/>
    </row>
    <row r="28" ht="32.8" customHeight="1" s="22">
      <c r="A28" s="29" t="inlineStr">
        <is>
          <t>G-09</t>
        </is>
      </c>
      <c r="B28" s="28" t="inlineStr">
        <is>
          <t>Persistence adapter proved against a real database engine, not a fake client</t>
        </is>
      </c>
      <c r="C28" s="28" t="inlineStr">
        <is>
          <t>Portfolio class C-14 (RevRescue L-RR9, TeleField R-T4)</t>
        </is>
      </c>
      <c r="D28" s="28" t="inlineStr">
        <is>
          <t>DONE 15 Sep 09:09 — 10 contract tests on PGlite, wired as its own CI job which the deploy job now also depends on. Clean result; the exposure was real and the check was worth running.</t>
        </is>
      </c>
    </row>
    <row r="30">
      <c r="A30" s="53" t="inlineStr">
        <is>
          <t>GATES ADDED 20 Sep 2026 — external review PPLX V001 (S13-S19)</t>
        </is>
      </c>
    </row>
    <row r="31">
      <c r="A31" s="45" t="inlineStr">
        <is>
          <t>G-10</t>
        </is>
      </c>
      <c r="B31" s="45" t="inlineStr">
        <is>
          <t>The built artefact starts, serves and refuses a misconfigured environment — proved by spawning it, not by unit test</t>
        </is>
      </c>
      <c r="C31" s="45" t="inlineStr">
        <is>
          <t>P-DM-002</t>
        </is>
      </c>
      <c r="D31" s="46" t="inlineStr">
        <is>
          <t>DONE 20 Sep — tests/boot.test.ts spawns dist/main.js: /healthz 200, /readyz 503 with the DB down and 200 with it up, missing DATABASE_URL exits non-zero NAMING the variable. Evidence EV-1/EV-2.</t>
        </is>
      </c>
    </row>
    <row r="32">
      <c r="A32" s="45" t="inlineStr">
        <is>
          <t>G-11</t>
        </is>
      </c>
      <c r="B32" s="45" t="inlineStr">
        <is>
          <t>The production migration path runs against a real Postgres server, not an in-process engine</t>
        </is>
      </c>
      <c r="C32" s="45" t="inlineStr">
        <is>
          <t>P-DM-003</t>
        </is>
      </c>
      <c r="D32" s="46" t="inlineStr">
        <is>
          <t>DONE 20 Sep — six migrations applied against PostgreSQL 16, re-run a clean no-op (EV-3). G-09's PGlite suite proved the SQL; this proves the driver, the pool and the TLS posture it bypassed.</t>
        </is>
      </c>
    </row>
    <row r="33">
      <c r="A33" s="45" t="inlineStr">
        <is>
          <t>G-12</t>
        </is>
      </c>
      <c r="B33" s="45" t="inlineStr">
        <is>
          <t>Every runtime import resolves against `dependencies` only</t>
        </is>
      </c>
      <c r="C33" s="45" t="inlineStr">
        <is>
          <t>P-DM-003</t>
        </is>
      </c>
      <c r="D33" s="46" t="inlineStr">
        <is>
          <t>DONE 20 Sep — runtime-deps gate in CI and in npm run verify. The gate found a defect in ITSELF on its first run (DM-F25).</t>
        </is>
      </c>
    </row>
    <row r="34">
      <c r="A34" s="45" t="inlineStr">
        <is>
          <t>G-13</t>
        </is>
      </c>
      <c r="B34" s="45" t="inlineStr">
        <is>
          <t>Supply-chain evidence covers a non-empty RUNTIME tree</t>
        </is>
      </c>
      <c r="C34" s="45" t="inlineStr">
        <is>
          <t>P-DM-004</t>
        </is>
      </c>
      <c r="D34" s="46" t="inlineStr">
        <is>
          <t>DONE 20 Sep — sbom:check asserts runtime components &gt; 0. 13 of 296, audit 0 vulnerabilities. The previous 280/0 figure was unmeasured, not clean.</t>
        </is>
      </c>
    </row>
    <row r="35">
      <c r="A35" s="45" t="inlineStr">
        <is>
          <t>G-14</t>
        </is>
      </c>
      <c r="B35" s="45" t="inlineStr">
        <is>
          <t>No exported behavioural boundary lacks a non-test implementation</t>
        </is>
      </c>
      <c r="C35" s="45" t="inlineStr">
        <is>
          <t>P-DM-001</t>
        </is>
      </c>
      <c r="D35" s="46" t="inlineStr">
        <is>
          <t>DONE 20 Sep — integrationGate in CI. 43 boundaries, 0 findings. It fired 16 on its first run after seven sprints of remediation, and caught two stubs written the same hour.</t>
        </is>
      </c>
    </row>
    <row r="36">
      <c r="A36" s="45" t="inlineStr">
        <is>
          <t>G-15</t>
        </is>
      </c>
      <c r="B36" s="45" t="inlineStr">
        <is>
          <t>No published claim the product cannot back, in anything a third party reads</t>
        </is>
      </c>
      <c r="C36" s="45" t="inlineStr">
        <is>
          <t>P-DM-007</t>
        </is>
      </c>
      <c r="D36" s="46" t="inlineStr">
        <is>
          <t>DONE 20 Sep — claimsGate over user-facing copy, scope widened past the listing to the privacy pack and both pen-test documents (DM-F34/F36).</t>
        </is>
      </c>
    </row>
    <row r="37">
      <c r="A37" s="45" t="inlineStr">
        <is>
          <t>G-16</t>
        </is>
      </c>
      <c r="B37" s="45" t="inlineStr">
        <is>
          <t>Every gate exemption, of any gate, names a test that exists</t>
        </is>
      </c>
      <c r="C37" s="45" t="inlineStr">
        <is>
          <t>P-DM-010</t>
        </is>
      </c>
      <c r="D37" s="46" t="inlineStr">
        <is>
          <t>DONE 20 Sep — RG-06. Generalises DM-F22 from tenant-gate exemptions to all of them. The repository's one remaining coverage pragma names tests/boot.test.ts.</t>
        </is>
      </c>
    </row>
    <row r="38">
      <c r="A38" s="45" t="inlineStr">
        <is>
          <t>G-17</t>
        </is>
      </c>
      <c r="B38" s="45" t="inlineStr">
        <is>
          <t>A measured restore drill</t>
        </is>
      </c>
      <c r="C38" s="45" t="inlineStr">
        <is>
          <t>S18, ST-090</t>
        </is>
      </c>
      <c r="D38" s="46" t="inlineStr">
        <is>
          <t>DONE 20 Sep — executed against a real Postgres: 19 tables, RTO 95ms, RPO 61ms, contents verified. One drill, not the full S23 programme.</t>
        </is>
      </c>
    </row>
    <row r="40">
      <c r="A40" s="53" t="inlineStr">
        <is>
          <t>NOTE — the four portfolio gate classes the review predicted now all exist: tenant isolation, release integrity, platform quotas, and boundary integrity (integrationGate). R-D18 — running them against ONE sibling — remains undone and remains the cheapest item on the board.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8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1" min="1" max="1"/>
    <col width="11" customWidth="1" style="21" min="2" max="2"/>
    <col width="20" customWidth="1" style="21" min="3" max="3"/>
    <col width="34" customWidth="1" style="21" min="4" max="4"/>
    <col width="78" customWidth="1" style="21" min="5" max="5"/>
    <col width="62" customWidth="1" style="21" min="6" max="6"/>
  </cols>
  <sheetData>
    <row r="1" ht="17.25" customHeight="1" s="22">
      <c r="A1" s="23" t="inlineStr">
        <is>
          <t>COLD REVIEW PASS 1 — DocMerge Pro (13 Sep 11:24). 9 findings in code already shipped at 100% coverage.</t>
        </is>
      </c>
    </row>
    <row r="2" ht="345" customHeight="1" s="22">
      <c r="A2" s="24" t="inlineStr">
        <is>
          <t>Run after memory showed every sibling product found real defects post-"code complete" — TeleField logged the lesson as L-T1: review BEFORE declaring a code phase complete. DocMerge had never had one. Checklist taken from the sibling defect classes. Coverage proves execution, not correctness (portfolio lesson F-V14).</t>
        </is>
      </c>
    </row>
    <row r="4" ht="15" customHeight="1" s="22">
      <c r="A4" s="25" t="inlineStr">
        <is>
          <t>ID</t>
        </is>
      </c>
      <c r="B4" s="25" t="inlineStr">
        <is>
          <t>Severity</t>
        </is>
      </c>
      <c r="C4" s="25" t="inlineStr">
        <is>
          <t>Status</t>
        </is>
      </c>
      <c r="D4" s="25" t="inlineStr">
        <is>
          <t>Finding</t>
        </is>
      </c>
      <c r="E4" s="25" t="inlineStr">
        <is>
          <t>What was actually wrong</t>
        </is>
      </c>
      <c r="F4" s="25" t="inlineStr">
        <is>
          <t>Fix / next step</t>
        </is>
      </c>
    </row>
    <row r="5" ht="45.75" customHeight="1" s="22">
      <c r="A5" s="26" t="inlineStr">
        <is>
          <t>DM-F01</t>
        </is>
      </c>
      <c r="B5" s="41" t="inlineStr">
        <is>
          <t>CRITICAL</t>
        </is>
      </c>
      <c r="C5" s="33" t="inlineStr">
        <is>
          <t>FIXED</t>
        </is>
      </c>
      <c r="D5" s="26" t="inlineStr">
        <is>
          <t>No HTTP application exists</t>
        </is>
      </c>
      <c r="E5" s="26" t="inlineStr">
        <is>
          <t>36 modules at 100% coverage and nothing that can receive a request. There is no server, no routes, and no `npm start`. The OAuth redirect URI in the setup guide, the uninstall webhook, and the form-submission webhook all point at an application that was never built. The 30-minute GCP setup guide is unrunnable as written.</t>
        </is>
      </c>
      <c r="F5" s="26" t="inlineStr">
        <is>
          <t>Framework-free Router + buildApp with 7 routes (healthz, oauth install/callback, uninstall + form webhooks, document generation, template list) + src/server.ts entrypoint and npm start. Readiness check runs BEFORE listen(). Booted for real and exercised over HTTP: healthz 200, install URL carries state, unsigned webhook 401, unauthenticated route 401, unknown route 404. 28 regression tests.</t>
        </is>
      </c>
    </row>
    <row r="6" ht="34.5" customHeight="1" s="22">
      <c r="A6" s="26" t="inlineStr">
        <is>
          <t>DM-F02</t>
        </is>
      </c>
      <c r="B6" s="41" t="inlineStr">
        <is>
          <t>CRITICAL</t>
        </is>
      </c>
      <c r="C6" s="33" t="inlineStr">
        <is>
          <t>FIXED</t>
        </is>
      </c>
      <c r="D6" s="26" t="inlineStr">
        <is>
          <t>Read-only mode enforced nowhere</t>
        </is>
      </c>
      <c r="E6" s="26" t="inlineStr">
        <is>
          <t>ST-060 built the dunning read-only state and assertWritable(), fully tested — and nothing ever called it. The help centre tells customers "the account becomes read-only"; the running product would have kept accepting writes forever after a failed payment.</t>
        </is>
      </c>
      <c r="F6" s="26" t="inlineStr">
        <is>
          <t>New src/entitlements.ts EntitlementGate consults it at every mutating entry point; reads deliberately stay open so an unpaid customer can still get their work out. 8 regression tests.</t>
        </is>
      </c>
    </row>
    <row r="7" ht="34.5" customHeight="1" s="22">
      <c r="A7" s="26" t="inlineStr">
        <is>
          <t>DM-F03</t>
        </is>
      </c>
      <c r="B7" s="41" t="inlineStr">
        <is>
          <t>CRITICAL</t>
        </is>
      </c>
      <c r="C7" s="33" t="inlineStr">
        <is>
          <t>FIXED</t>
        </is>
      </c>
      <c r="D7" s="26" t="inlineStr">
        <is>
          <t>Plan limits enforced nowhere</t>
        </is>
      </c>
      <c r="E7" s="26" t="inlineStr">
        <is>
          <t>ST-061 built PlanLimitEnforcer with 80%/100% prompts and never called check() outside its own tests. Published limits (25 documents, 2 templates, 1 seat on free) were decorative — any account could generate without bound.</t>
        </is>
      </c>
      <c r="F7" s="26" t="inlineStr">
        <is>
          <t>Same gate. Usage is recorded only AFTER success, so a rate-limited Drive call cannot burn a customer document from their allowance. 7 regression tests.</t>
        </is>
      </c>
    </row>
    <row r="8" ht="34.5" customHeight="1" s="22">
      <c r="A8" s="26" t="inlineStr">
        <is>
          <t>DM-F04</t>
        </is>
      </c>
      <c r="B8" s="41" t="inlineStr">
        <is>
          <t>CRITICAL</t>
        </is>
      </c>
      <c r="C8" s="33" t="inlineStr">
        <is>
          <t>FIXED</t>
        </is>
      </c>
      <c r="D8" s="26" t="inlineStr">
        <is>
          <t>OAuth install had no CSRF state</t>
        </is>
      </c>
      <c r="E8" s="26" t="inlineStr">
        <is>
          <t>exchangeCode accepted any code with no state parameter. An attacker could hand a victim a crafted install URL and bind their browser session to an attacker-controlled account. Sibling class F-015 / M-F15.</t>
        </is>
      </c>
      <c r="F8" s="26" t="inlineStr">
        <is>
          <t>OAuthStateStore: state minted before redirect, single-use, 10-minute TTL, sweepable. Rejects absent, unknown, replayed, and expired states. 6 regression tests.</t>
        </is>
      </c>
    </row>
    <row r="9" ht="34.5" customHeight="1" s="22">
      <c r="A9" s="26" t="inlineStr">
        <is>
          <t>DM-F05</t>
        </is>
      </c>
      <c r="B9" s="41" t="inlineStr">
        <is>
          <t>CRITICAL</t>
        </is>
      </c>
      <c r="C9" s="33" t="inlineStr">
        <is>
          <t>FIXED</t>
        </is>
      </c>
      <c r="D9" s="26" t="inlineStr">
        <is>
          <t>Webhooks unauthenticated</t>
        </is>
      </c>
      <c r="E9" s="26" t="inlineStr">
        <is>
          <t>Neither the uninstall handler nor the form-submission handler verified anything. An unauthenticated POST could revoke a live account tokens and schedule its data for deletion, or generate documents against any template.</t>
        </is>
      </c>
      <c r="F9" s="26" t="inlineStr">
        <is>
          <t>New src/webhookSecurity.ts: HMAC-SHA256 signature with timing-safe compare, 5-minute timestamp window against replay, and a FIFO-bounded dedupe ledger. 9 regression tests.</t>
        </is>
      </c>
    </row>
    <row r="10" ht="34.5" customHeight="1" s="22">
      <c r="A10" s="26" t="inlineStr">
        <is>
          <t>DM-F06</t>
        </is>
      </c>
      <c r="B10" s="26" t="inlineStr">
        <is>
          <t>HIGH</t>
        </is>
      </c>
      <c r="C10" s="33" t="inlineStr">
        <is>
          <t>FIXED</t>
        </is>
      </c>
      <c r="D10" s="26" t="inlineStr">
        <is>
          <t>No production backoff existed</t>
        </is>
      </c>
      <c r="E10" s="26" t="inlineStr">
        <is>
          <t>Every RetryOptions in the codebase came from a test injecting a no-op sleep, and DEFAULT_RETRY omitted sleep entirely. The retry logic was exercised 100% but had no real delay behind it anywhere — sibling F-V06 exactly.</t>
        </is>
      </c>
      <c r="F10" s="26" t="inlineStr">
        <is>
          <t>PRODUCTION_RETRY + realSleep exported as the policy production code uses.</t>
        </is>
      </c>
    </row>
    <row r="11" ht="34.5" customHeight="1" s="22">
      <c r="A11" s="26" t="inlineStr">
        <is>
          <t>DM-F07</t>
        </is>
      </c>
      <c r="B11" s="26" t="inlineStr">
        <is>
          <t>HIGH</t>
        </is>
      </c>
      <c r="C11" s="33" t="inlineStr">
        <is>
          <t>FIXED</t>
        </is>
      </c>
      <c r="D11" s="26" t="inlineStr">
        <is>
          <t>Identity is caller-declared</t>
        </is>
      </c>
      <c r="E11" s="26" t="inlineStr">
        <is>
          <t>Role arrives as a parameter on 28 signatures and nothing authenticates it. Whoever calls the service declares their own privilege level. Sibling M-F11 (fixed with signed sessions) and VoiceBridge F-V21 (left open by direction).</t>
        </is>
      </c>
      <c r="F11" s="26" t="inlineStr">
        <is>
          <t>src/session.ts: HMAC-signed sessions carrying account, email, role and expiry. Editing the role in a token now fails signature verification, and a session for one account is refused against another. Every mutating route derives identity from the session instead of a caller-supplied parameter. 8 regression tests.</t>
        </is>
      </c>
    </row>
    <row r="12" ht="34.5" customHeight="1" s="22">
      <c r="A12" s="26" t="inlineStr">
        <is>
          <t>DM-F08</t>
        </is>
      </c>
      <c r="B12" s="26" t="inlineStr">
        <is>
          <t>MEDIUM</t>
        </is>
      </c>
      <c r="C12" s="33" t="inlineStr">
        <is>
          <t>FIXED</t>
        </is>
      </c>
      <c r="D12" s="26" t="inlineStr">
        <is>
          <t>Eleven unbounded ledgers</t>
        </is>
      </c>
      <c r="E12" s="26" t="inlineStr">
        <is>
          <t>Audit entries, metric samples, error tracker, usage events, invoices, exit surveys and more only ever push. A long-running process grows until it dies. Sibling class fixed portfolio-wide as FIFO-capped ledgers.</t>
        </is>
      </c>
      <c r="F12" s="26" t="inlineStr">
        <is>
          <t>New src/ledger.ts: FIFO-bounded with EVICTION COUNTED, not silent — a metric that quietly started sampling only the recent past would misreport trends invisibly. Applied to all 11 ledgers. The hash-chained admin audit log needed care: once entries evict, the chain can no longer verify from genesis, so the last evicted digest becomes the anchor and verifyChain now reports truncation rather than failing. Sequence numbers keep counting so gaps are visible.</t>
        </is>
      </c>
    </row>
    <row r="13" ht="34.5" customHeight="1" s="22">
      <c r="A13" s="26" t="inlineStr">
        <is>
          <t>DM-F09</t>
        </is>
      </c>
      <c r="B13" s="26" t="inlineStr">
        <is>
          <t>MEDIUM</t>
        </is>
      </c>
      <c r="C13" s="33" t="inlineStr">
        <is>
          <t>FIXED</t>
        </is>
      </c>
      <c r="D13" s="26" t="inlineStr">
        <is>
          <t>Deletion has no implementation behind it</t>
        </is>
      </c>
      <c r="E13" s="26" t="inlineStr">
        <is>
          <t>SelfServeDataRights.executeDue takes a deleter callback that no production code supplies. The published 30-day deletion policy has nothing that actually purges. Sibling class F-009 / M-F03 / F-TP01, where it breached the published policy in five products.</t>
        </is>
      </c>
      <c r="F13" s="26" t="inlineStr">
        <is>
          <t>New src/purge.ts PurgeRegistry over 16 known stores, with verifyRegistration failing the build when a store has no purge target — so adding a store without wiring deletion breaks CI rather than the published policy. Receipts carry per-store row counts as evidence; a failing store is recorded, the rest still purge, and the receipt is marked INCOMPLETE rather than claiming success. Plus the schema that never existed: 3 ordered migrations, every account-scoped table ON DELETE CASCADE, npm run migrate, and a test asserting cascade on every table.</t>
        </is>
      </c>
    </row>
    <row r="14" ht="15" customHeight="1" s="22">
      <c r="A14" s="40" t="inlineStr">
        <is>
          <t>— COLD REVIEW PASS 2 (new HTTP layer, 13 Sep 11:37) — sibling lesson L-OC4: new surfaces inherit old blind spots —</t>
        </is>
      </c>
    </row>
    <row r="15" ht="23.25" customHeight="1" s="22">
      <c r="A15" s="26" t="inlineStr">
        <is>
          <t>DM-F10</t>
        </is>
      </c>
      <c r="B15" s="26" t="inlineStr">
        <is>
          <t>HIGH</t>
        </is>
      </c>
      <c r="C15" s="33" t="inlineStr">
        <is>
          <t>FIXED</t>
        </is>
      </c>
      <c r="D15" s="26" t="inlineStr">
        <is>
          <t>Request body read without a cap</t>
        </is>
      </c>
      <c r="E15" s="26" t="inlineStr">
        <is>
          <t>readBody accumulated chunks with no limit on an open port — a single large POST is a memory-exhaustion vector, and no authentication is needed to send one.</t>
        </is>
      </c>
      <c r="F15" s="26" t="inlineStr">
        <is>
          <t>MAX_BODY_BYTES cap with BodyTooLargeError; server returns 413. Verified live: a 2MB POST returns 413.</t>
        </is>
      </c>
    </row>
    <row r="16" ht="23.25" customHeight="1" s="22">
      <c r="A16" s="26" t="inlineStr">
        <is>
          <t>DM-F11</t>
        </is>
      </c>
      <c r="B16" s="26" t="inlineStr">
        <is>
          <t>MEDIUM</t>
        </is>
      </c>
      <c r="C16" s="33" t="inlineStr">
        <is>
          <t>FIXED</t>
        </is>
      </c>
      <c r="D16" s="26" t="inlineStr">
        <is>
          <t>Abandoned OAuth states accumulated forever</t>
        </is>
      </c>
      <c r="E16" s="26" t="inlineStr">
        <is>
          <t>Every started-and-abandoned install left a state entry behind. sweep() existed and — exactly like DM-F02/F03 — was never called by anything.</t>
        </is>
      </c>
      <c r="F16" s="26" t="inlineStr">
        <is>
          <t>The install route sweeps opportunistically before issuing. Regression test proves expired states are dropped.</t>
        </is>
      </c>
    </row>
    <row r="17" ht="34.5" customHeight="1" s="22">
      <c r="A17" s="26" t="inlineStr">
        <is>
          <t>DM-F12</t>
        </is>
      </c>
      <c r="B17" s="26" t="inlineStr">
        <is>
          <t>MEDIUM</t>
        </is>
      </c>
      <c r="C17" s="33" t="inlineStr">
        <is>
          <t>FIXED</t>
        </is>
      </c>
      <c r="D17" s="26" t="inlineStr">
        <is>
          <t>No rate limiting on any route</t>
        </is>
      </c>
      <c r="E17" s="26" t="inlineStr">
        <is>
          <t>Unauthenticated endpoints were unlimited. An open loop against /oauth/install both grew memory and farmed valid CSRF states; webhook endpoints burned CPU on signature checks an attacker never needed to pass.</t>
        </is>
      </c>
      <c r="F17" s="26" t="inlineStr">
        <is>
          <t>New src/rateLimit.ts fixed-window limiter: 20/min install, 600/min webhooks, 300/min authenticated, keyed per caller, with bounded key eviction and Retry-After. Verified live: 429 after 20, a different caller unaffected.</t>
        </is>
      </c>
    </row>
    <row r="18" ht="23.25" customHeight="1" s="22">
      <c r="A18" s="26" t="inlineStr">
        <is>
          <t>DM-F13</t>
        </is>
      </c>
      <c r="B18" s="26" t="inlineStr">
        <is>
          <t>LOW</t>
        </is>
      </c>
      <c r="C18" s="33" t="inlineStr">
        <is>
          <t>FIXED</t>
        </is>
      </c>
      <c r="D18" s="26" t="inlineStr">
        <is>
          <t>/healthz leaked the build version anonymously</t>
        </is>
      </c>
      <c r="E18" s="26" t="inlineStr">
        <is>
          <t>A deploy probe needs liveness, not a build identifier telling an attacker which advisories apply. Sibling OnCall flagged the same class (GAP/VER-OC4).</t>
        </is>
      </c>
      <c r="F18" s="26" t="inlineStr">
        <is>
          <t>Version returned only to a caller presenting the operator token. Verified live both ways.</t>
        </is>
      </c>
    </row>
    <row r="19" ht="15" customHeight="1" s="22">
      <c r="A19" s="40" t="inlineStr">
        <is>
          <t>— EXTERNAL VERIFICATION SWEEP vs live Google docs (13 Sep 11:51) — sibling pattern: every product found live-blocking defects here —</t>
        </is>
      </c>
    </row>
    <row r="20" ht="79.5" customHeight="1" s="22">
      <c r="A20" s="26" t="inlineStr">
        <is>
          <t>VER-DM1</t>
        </is>
      </c>
      <c r="B20" s="41" t="inlineStr">
        <is>
          <t>LIVE-BLOCKING</t>
        </is>
      </c>
      <c r="C20" s="33" t="inlineStr">
        <is>
          <t>FIXED</t>
        </is>
      </c>
      <c r="D20" s="26" t="inlineStr">
        <is>
          <t>No uninstall webhook exists on this platform</t>
        </is>
      </c>
      <c r="E20" s="26" t="inlineStr">
        <is>
          <t>Verified against live Google docs 13 Sep 2026: the Workspace Marketplace does not push an uninstall webhook to a developer server, and the licenseNotification resource that once reported provisions and deletions is DEPRECATED with no replacement in the Marketplace API. Our POST /webhooks/uninstall was a handler for an event that will never arrive — so ST-052 token revocation, the 30-day retention clock, ST-053 re-install restore and the whole purge chain would simply never have run in production. Two clean cold-review passes could not see this; it is a fact about the platform, not the code.</t>
        </is>
      </c>
      <c r="F20" s="26" t="inlineStr">
        <is>
          <t>New src/licenseReconciler.ts detects uninstall instead of receiving it: periodic license-state reconciliation (userLicense/customerLicense remain supported) plus immediate action on a revoked credential. An API outage or unknown state NEVER counts as an uninstall — that would revoke a live customer and start a deletion clock against them. Detection lag is reported rather than hidden. Idempotent, and re-arms on re-install. 10 regression tests.</t>
        </is>
      </c>
    </row>
    <row r="21" ht="90.75" customHeight="1" s="22">
      <c r="A21" s="26" t="inlineStr">
        <is>
          <t>VER-DM2</t>
        </is>
      </c>
      <c r="B21" s="41" t="inlineStr">
        <is>
          <t>LIVE-BLOCKING</t>
        </is>
      </c>
      <c r="C21" s="33" t="inlineStr">
        <is>
          <t>FIXED</t>
        </is>
      </c>
      <c r="D21" s="26" t="inlineStr">
        <is>
          <t>Google Forms cannot POST to an arbitrary URL</t>
        </is>
      </c>
      <c r="E21" s="26" t="inlineStr">
        <is>
          <t>Verified against live Apps Script docs: form submit is not a simple trigger — it requires an INSTALLABLE Apps Script trigger, and the script itself must call UrlFetchApp. Nothing in Google will ever call our /webhooks/form endpoint. The entire F5 feature (ST-041..050, 10 stories / 42 pts) rested on a platform capability that does not exist.</t>
        </is>
      </c>
      <c r="F21" s="26" t="inlineStr">
        <is>
          <t>apps-script/FormForwarder.gs ships the missing half: an idempotent installable trigger that signs each submission with the same HMAC scheme and headers the endpoint already verifies, keeps the secret in Script Properties rather than the script body, uses the stable response id so our dedupe works, and rethrows only on 5xx so Apps Script retries a server failure but not a rejection. Contract pinned by 6 tests against the .gs file. NOTE: this changes the customer setup flow — the help-centre article and ST-041 "one screen" claim need rewording.</t>
        </is>
      </c>
    </row>
    <row r="22" ht="102" customHeight="1" s="22">
      <c r="A22" s="26" t="inlineStr">
        <is>
          <t>VER-DM3</t>
        </is>
      </c>
      <c r="B22" s="41" t="inlineStr">
        <is>
          <t>LIVE-BLOCKING</t>
        </is>
      </c>
      <c r="C22" s="36" t="inlineStr">
        <is>
          <t>OPEN — DECISION (D-DM1)</t>
        </is>
      </c>
      <c r="D22" s="26" t="inlineStr">
        <is>
          <t>Two add-on types, and our features are split across both</t>
        </is>
      </c>
      <c r="E22" s="26" t="inlineStr">
        <is>
          <t>Verified against live Google docs: a Google Workspace add-on is card-based and MUST NOT use HTML/CSS, cannot read the open document (no SpreadsheetApp.getActiveSpreadsheet()), has no Apps Script triggers, and is not available in Google Forms — but reaches mobile and every host app. An Editor add-on has HTML sidebars, document context and Apps Script triggers, but is desktop-only and Editors-only. Five shipped stories say the feature "works on the Workspace add-on sidebar in Sheets/Docs end-to-end" while depending on reading the active row — document context, which that surface does not have. The form feature needs Apps Script triggers, which only the Editor type has. On the Workspace surface, 12 shipped stories cannot ship as built.</t>
        </is>
      </c>
      <c r="F22" s="26" t="inlineStr">
        <is>
          <t>src/addonSurface.ts encodes the verified constraint matrix and reports what each surface costs, with the assessment pinned by 14 tests; ADDON_SURFACE_DECISION.md presents it. NOT FIXED IN CODE ON PURPOSE — this is a product decision (D-DM1), not a defect: Editor add-on keeps every shipped feature but is desktop-only and Editors-only; Workspace add-on reaches mobile and all host apps but needs four features redesigned as cards and the form feature dropped or split. Undisputed either way: batch must stay server-side, since a 30-second UI action cannot generate hundreds of documents.</t>
        </is>
      </c>
    </row>
    <row r="23" ht="113.25" customHeight="1" s="22">
      <c r="A23" s="26" t="inlineStr">
        <is>
          <t>VER-DM4</t>
        </is>
      </c>
      <c r="B23" s="41" t="inlineStr">
        <is>
          <t>HIGH</t>
        </is>
      </c>
      <c r="C23" s="33" t="inlineStr">
        <is>
          <t>FIXED</t>
        </is>
      </c>
      <c r="D23" s="26" t="inlineStr">
        <is>
          <t>The entire listing asset and copy spec was invented, and wrong in eight ways</t>
        </is>
      </c>
      <c r="E23" s="26" t="inlineStr">
        <is>
          <t>Verified against the live "Create a store listing" page: (1) we demanded exactly 5 screenshots — the platform accepts 1 to 10; (2) we rejected the 640x400 and 2560x1600 sizes it also accepts; (3) the app NAME limit is 50 characters, not 30, AND must not contain a Google product name — a rule we had no check for at all; (4) short description is 200 characters, not 120; (5) detailed description is under 16,000, not 4,000; (6) the promo video is an OPTIONAL YouTube LINK, not a required captioned 30-120s upload; (7) REQUIRED application icons (32x32 and 128x128, plus 48x48 and 96x96 because our project now includes a web app) were absent from our spec entirely; (8) the REQUIRED 220x140 card banner shown on listings and search results was absent too. Also missing from the submission checklist: the terms-of-service link, which the listing requires.</t>
        </is>
      </c>
      <c r="F23" s="26" t="inlineStr">
        <is>
          <t>src/listing.ts rewritten against the verified spec with icons, card banner, accepted-size list, optional YouTube video and required support links; validateAssets now takes the full asset set rather than screenshots-and-a-video. LISTING_PACK.md regenerated. 13 tests pin the corrected behaviour, including the two previously-missing required asset families and the forbidden-Google-name rule. Sibling precedent: TestPulse found its asset spec wrong the same way (Rule-of-3 vs its invented 5x1600x1000).</t>
        </is>
      </c>
    </row>
    <row r="24" ht="113.25" customHeight="1" s="22">
      <c r="A24" s="26" t="inlineStr">
        <is>
          <t>VER-DM5</t>
        </is>
      </c>
      <c r="B24" s="39" t="inlineStr">
        <is>
          <t>HIGH (favourable)</t>
        </is>
      </c>
      <c r="C24" s="33" t="inlineStr">
        <is>
          <t>FIXED</t>
        </is>
      </c>
      <c r="D24" s="26" t="inlineStr">
        <is>
          <t>CASA is not triggered by our scope set — and a required video was missing</t>
        </is>
      </c>
      <c r="E24" s="26" t="inlineStr">
        <is>
          <t>Verified: Google routes review by scope CLASSIFICATION. Non-sensitive only = verification optional; any sensitive = Google app verification; any RESTRICTED = verification plus a CASA security assessment. DocMerge requests no restricted scopes — drive.file is specifically the recommended non-sensitive alternative to the restricted Drive scopes, and userinfo.email is non-sensitive. Only spreadsheets.readonly and documents are sensitive, which require verification but NOT an assessment. CASA has sat on the board as a blocking, multi-week, paid item since S6 (R-D1, R-D10, LC-3) on an assumption nobody checked. SEPARATELY: verification requires an UNLISTED YouTube demonstration video showing the OAuth grant flow, the consent screen displaying the app name, and detailed in-app use of each sensitive scope — a requirement we did not have, and distinct from the optional marketing promo video.</t>
        </is>
      </c>
      <c r="F24" s="26" t="inlineStr">
        <is>
          <t>src/scopes.ts now carries each scope classification and derives the review path from it (assessReviewPath), with 7 tests including one proving CASA appears only when a restricted scope is present. SCOPE_NARRATIVE.md regenerated with the path, the classification table, and the verification requirements. CAVEAT PRESERVED: classification is confirmed per project in the Cloud console under OAuth consent screen &gt; Data Access, and Google may request an assessment at its discretion — so LC-3 should be re-checked there rather than deleted.</t>
        </is>
      </c>
    </row>
    <row r="25" ht="135.75" customHeight="1" s="22">
      <c r="A25" s="26" t="inlineStr">
        <is>
          <t>DM-F14</t>
        </is>
      </c>
      <c r="B25" s="41" t="inlineStr">
        <is>
          <t>HIGH</t>
        </is>
      </c>
      <c r="C25" s="33" t="inlineStr">
        <is>
          <t>FIXED</t>
        </is>
      </c>
      <c r="D25" s="26" t="inlineStr">
        <is>
          <t>State that must survive a restart does not</t>
        </is>
      </c>
      <c r="E25" s="26" t="inlineStr">
        <is>
          <t>Continuing the adapter work surfaced a finding rather than just an increment: three in-memory stores lose state whose loss is not cosmetic. USAGE COUNTERS — a restart resets every plan limit, so each deploy silently hands every customer a fresh monthly allowance; that is a direct revenue leak and it would never appear in a test, because tests start from zero anyway. SUBSCRIPTIONS — billing state resets, so paying customers appear to be back on trial. ADMIN AUDIT — a tamper-evident chain that evaporates on restart is not evidence, and worse, it would restart numbering at genesis so the gap would not even be visible.</t>
        </is>
      </c>
      <c r="F25" s="26" t="inlineStr">
        <is>
          <t>Usage counters FIXED end to end: PlanLimitEnforcer now takes a UsageBackend, and WriteThroughUsageBackend serves reads from a primed cache (keeping the limit check synchronous) while writing through to Postgres with an atomic single-statement upsert — read-then-write would lose increments exactly when a customer is near their limit. Write failures are counted rather than failing the customer request. A test proves a restarted backend primes from the store and still blocks at the limit. Subscription and admin-audit STORES are shipped and tested (append-only with no update path, lastSequence so the chain continues rather than restarting at genesis) but the services are NOT yet wired to them — deliberately left visible rather than claimed, given this codebase has already produced two built-but-never-called defects. — CLOSED 16:34: BillingService now takes a SubscriptionBackend and persists after EVERY mutation (subscribe, plan change, payment failure, each dunning transition, cancel), and AdminAuditLog takes an AdminAuditBackend with resume() so a restarted process continues a tenant chain instead of forking a second one at genesis. Write-through backends for both keep reads synchronous while writing to Postgres, counting failures rather than failing the customer request.</t>
        </is>
      </c>
    </row>
    <row r="26" ht="79.5" customHeight="1" s="22">
      <c r="A26" s="26" t="inlineStr">
        <is>
          <t>DM-F15</t>
        </is>
      </c>
      <c r="B26" s="41" t="inlineStr">
        <is>
          <t>HIGH</t>
        </is>
      </c>
      <c r="C26" s="33" t="inlineStr">
        <is>
          <t>FIXED</t>
        </is>
      </c>
      <c r="D26" s="26" t="inlineStr">
        <is>
          <t>Admin audit log had no tenant scope</t>
        </is>
      </c>
      <c r="E26" s="26" t="inlineStr">
        <is>
          <t>Found while wiring DM-F14, not by looking for it: AdminAuditEntry had no accountId at all, so every customer shared ONE chain and ONE sequence counter. exportCsv returned the whole log, meaning one customer security review would have handed them every other customer admin history — roles changed, members removed, data exports requested. The sequence numbering also leaked each tenant activity volume to the others. The schema written for DM-F09 keys admin_audit_entries on (account_id, sequence); the code never matched it, and nothing caught the mismatch because the table had no implementation behind it until today.</t>
        </is>
      </c>
      <c r="F26" s="26" t="inlineStr">
        <is>
          <t>accountId added to the entry and to record(); chains, anchors and sequence counters are now per account; list(), verifyChain() and exportCsv() all take an accountId; the digest covers the accountId so an entry cannot be replayed into another tenant chain. Four regression tests, including one asserting an export contains the requesting account records and not another.</t>
        </is>
      </c>
    </row>
    <row r="27" ht="15" customHeight="1" s="22">
      <c r="A27" s="40" t="inlineStr">
        <is>
          <t>— TENANT-ISOLATION SWEEP (13 Sep 16:39), run because DM-F15 was found by accident —</t>
        </is>
      </c>
    </row>
    <row r="28" ht="79.5" customHeight="1" s="22">
      <c r="A28" s="26" t="inlineStr">
        <is>
          <t>DM-F16</t>
        </is>
      </c>
      <c r="B28" s="41" t="inlineStr">
        <is>
          <t>CRITICAL</t>
        </is>
      </c>
      <c r="C28" s="33" t="inlineStr">
        <is>
          <t>FIXED</t>
        </is>
      </c>
      <c r="D28" s="26" t="inlineStr">
        <is>
          <t>Cross-tenant template access, reachable through the live HTTP route</t>
        </is>
      </c>
      <c r="E28" s="26" t="inlineStr">
        <is>
          <t>The deliberate tenant sweep found this first: template lookups took a templateId and nothing else. POST /accounts/:accountId/documents takes the templateId from the REQUEST BODY, so an authenticated user of one account could pass another account template id and both read its body and generate documents from it. The session check I added for DM-F07 proved who was asking; nothing checked what they were asking for.</t>
        </is>
      </c>
      <c r="F28" s="26" t="inlineStr">
        <is>
          <t>Ownership enforced centrally in mustGet(templateId, accountId) so a new call site cannot forget it; setRules and renderPreview now take the accountId, threaded through batch, form triggers, the sidebar and the audited wrapper. A template belonging to another account reports "not found" rather than "wrong account", so the id space cannot be probed. Two regression tests, including one asserting the cross-tenant failure is indistinguishable from a genuinely missing template.</t>
        </is>
      </c>
    </row>
    <row r="29" ht="34.5" customHeight="1" s="22">
      <c r="A29" s="26" t="inlineStr">
        <is>
          <t>DM-F17</t>
        </is>
      </c>
      <c r="B29" s="41" t="inlineStr">
        <is>
          <t>HIGH</t>
        </is>
      </c>
      <c r="C29" s="33" t="inlineStr">
        <is>
          <t>FIXED</t>
        </is>
      </c>
      <c r="D29" s="26" t="inlineStr">
        <is>
          <t>Cross-tenant signature-request access</t>
        </is>
      </c>
      <c r="E29" s="26" t="inlineStr">
        <is>
          <t>Same shape: sign-request lookups took only a requestId, so one account could read another tenant signature request, change its rules, or send it. Reading exposes signer names and emails and the document name.</t>
        </is>
      </c>
      <c r="F29" s="26" t="inlineStr">
        <is>
          <t>get(), setRules() and send() now require the owning accountId, checked centrally in mustGet with the same not-found response. Three regression tests.</t>
        </is>
      </c>
    </row>
    <row r="30" ht="34.5" customHeight="1" s="22">
      <c r="A30" s="26" t="inlineStr">
        <is>
          <t>DM-F18</t>
        </is>
      </c>
      <c r="B30" s="41" t="inlineStr">
        <is>
          <t>HIGH</t>
        </is>
      </c>
      <c r="C30" s="33" t="inlineStr">
        <is>
          <t>FIXED</t>
        </is>
      </c>
      <c r="D30" s="26" t="inlineStr">
        <is>
          <t>Feature audit log had no tenant scope</t>
        </is>
      </c>
      <c r="E30" s="26" t="inlineStr">
        <is>
          <t>The same defect as DM-F15, in the second audit log: AuditEntry had no accountId, so forTarget() returned entries across accounts.</t>
        </is>
      </c>
      <c r="F30" s="26" t="inlineStr">
        <is>
          <t>accountId added to the entry and to record(); forTarget() takes an accountId and filters on it; every call site across batch, filing, form triggers, e-sign and the designer wrapper now supplies the owning account.</t>
        </is>
      </c>
    </row>
    <row r="31" ht="45.75" customHeight="1" s="22">
      <c r="A31" s="26" t="inlineStr">
        <is>
          <t>DM-F19</t>
        </is>
      </c>
      <c r="B31" s="26" t="inlineStr">
        <is>
          <t>MEDIUM</t>
        </is>
      </c>
      <c r="C31" s="36" t="inlineStr">
        <is>
          <t>Open</t>
        </is>
      </c>
      <c r="D31" s="26" t="inlineStr">
        <is>
          <t>Metrics summaries aggregate across all tenants</t>
        </is>
      </c>
      <c r="E31" s="26" t="inlineStr">
        <is>
          <t>EsignMetrics.summary(period), FilingMetrics.summary(period) and FormMetrics.summary(period) take no account and aggregate globally. Wired to a per-account dashboard they would show every customer combined numbers; used for internal analytics they are correct as-is.</t>
        </is>
      </c>
      <c r="F31" s="26" t="inlineStr">
        <is>
          <t>Needs the same accountId treatment, or an explicit decision that these are internal-only. Not fixed blind because the answer depends on where they are surfaced.</t>
        </is>
      </c>
    </row>
    <row r="32" ht="34.5" customHeight="1" s="22">
      <c r="A32" s="26" t="inlineStr">
        <is>
          <t>DM-F20</t>
        </is>
      </c>
      <c r="B32" s="26" t="inlineStr">
        <is>
          <t>MEDIUM</t>
        </is>
      </c>
      <c r="C32" s="36" t="inlineStr">
        <is>
          <t>Open</t>
        </is>
      </c>
      <c r="D32" s="26" t="inlineStr">
        <is>
          <t>Support inbox is not tenant-scoped</t>
        </is>
      </c>
      <c r="E32" s="26" t="inlineStr">
        <is>
          <t>SupportInbox.status(conversationId) has no account check and breaches() returns every account unanswered conversations. Acceptable for a single-operator internal queue, a leak if ever exposed per-customer.</t>
        </is>
      </c>
      <c r="F32" s="26" t="inlineStr">
        <is>
          <t>Same decision as DM-F19 — scope it or document it as operator-only.</t>
        </is>
      </c>
    </row>
    <row r="33" ht="102" customHeight="1" s="22">
      <c r="A33" s="26" t="inlineStr">
        <is>
          <t>DM-F21</t>
        </is>
      </c>
      <c r="B33" s="41" t="inlineStr">
        <is>
          <t>HIGH</t>
        </is>
      </c>
      <c r="C33" s="33" t="inlineStr">
        <is>
          <t>FIXED</t>
        </is>
      </c>
      <c r="D33" s="26" t="inlineStr">
        <is>
          <t>Cross-tenant CONTROL operations, found by the new automated gate</t>
        </is>
      </c>
      <c r="E33" s="26" t="inlineStr">
        <is>
          <t>The manual sweep checked reads. It missed writes-that-are-not-reads: pause and resume took only an entity id, so one account could pause or resume another account signature request, form trigger or batch job — a denial of service against a competitor tenant needing nothing but a guessed id. InvoiceBook.renderCsv would render any account invoice, carrying their billing contact and tax identifiers. SidebarController.openTemplate read another account template metadata before the ownership check downstream. The gate flagged 28 methods; triage found these five clusters genuine and the rest legitimately scoped by construction.</t>
        </is>
      </c>
      <c r="F33" s="26" t="inlineStr">
        <is>
          <t>Pause state is now namespaced per account and e-sign pause/resume verify ownership; renderCsv requires the owning account; openTemplate reports another account template as missing. The remaining 23 flagged methods are EXEMPTED WITH WRITTEN REASONS in the gate config — repository primitives whose ownership is enforced one level up, a generic keyed utility that callers namespace, signer actions by external parties who have no account, controllers that hold the account and delegate, and the metrics/support cases already logged as DM-F19/F20 pending your decision.</t>
        </is>
      </c>
    </row>
    <row r="34" ht="102" customHeight="1" s="22">
      <c r="A34" s="26" t="inlineStr">
        <is>
          <t>DM-F22</t>
        </is>
      </c>
      <c r="B34" s="41" t="inlineStr">
        <is>
          <t>MEDIUM</t>
        </is>
      </c>
      <c r="C34" s="33" t="inlineStr">
        <is>
          <t>FIXED</t>
        </is>
      </c>
      <c r="D34" s="26" t="inlineStr">
        <is>
          <t>An exemption reason was false — found by auditing my own exemptions</t>
        </is>
      </c>
      <c r="E34" s="26" t="inlineStr">
        <is>
          <t>The tenant gate exempted PauseManager because "callers pass account-namespaced keys". Auditing that claim showed it was untrue: e-sign passed a bare requestId and batch a bare templateId. Consequence, demonstrated before fixing: a single shared PauseManager puts template ids, sign-request ids, job ids and trigger ids in ONE namespace, so pausing a template called X also reports a sign request called X as paused. Different services happened to receive different instances, so nothing broke — and nothing enforced that either. The real protection for e-sign was an ownership check, not namespacing, so the exemption was right about the outcome and wrong about the reason, which is the kind of note that survives into a security review unchallenged.</t>
        </is>
      </c>
      <c r="F34" s="26" t="inlineStr">
        <is>
          <t>pauseKey(entity, accountId, entityId) is now the only way keys are formed, across templates, sign requests, batch jobs, form triggers and filing. Three tests verify the exemption CLAIMS rather than restating them: one scans the source and fails if any PauseManager call omits pauseKey, one proves a shared manager cannot confuse two entity types sharing an id, and one asserts only the designer and sidebar touch a template repository directly. The exemption reason was rewritten to say what is actually true.</t>
        </is>
      </c>
    </row>
    <row r="35" ht="135.75" customHeight="1" s="22">
      <c r="A35" s="26" t="inlineStr">
        <is>
          <t>DM-F23</t>
        </is>
      </c>
      <c r="B35" s="26" t="inlineStr">
        <is>
          <t>PROCESS</t>
        </is>
      </c>
      <c r="C35" s="33" t="inlineStr">
        <is>
          <t>CLOSED</t>
        </is>
      </c>
      <c r="D35" s="26" t="inlineStr">
        <is>
          <t>All 23 gate exemptions converted from prose to verified claims</t>
        </is>
      </c>
      <c r="E35" s="26" t="inlineStr">
        <is>
          <t>DM-F22 showed an exemption can be right about its outcome and wrong about its reason, and still read as handled. That makes the other 22 a standing risk rather than a completed judgement: each asserts a protection exists somewhere else, and nothing checked whether it did.</t>
        </is>
      </c>
      <c r="F35" s="26" t="inlineStr">
        <is>
          <t>Every exemption now has a test that checks its claim against behaviour or source: the sandbox holds no account, store or repository reference and its two sessions are distinct; purgeAccount takes the account as its subject; the status page has no tenant concept anywhere; createJobWithDefaults takes the account first; signer actions reject a non-signer holding a valid request id, and accept a listed signer with no account; a batch sidebar bound to one account cannot run another account template; both sidebar controllers stamp their own account onto what they create; and per-entity metrics and the support inbox are confirmed absent from every HTTP route, which is what makes DM-F19/F20 decisions rather than live leaks. Plus a META-GATE: unverifiedExemptions() fails the build if an exemption is added without a test naming it, with a test proving the meta-gate itself catches one.</t>
        </is>
      </c>
    </row>
    <row r="36" ht="113.25" customHeight="1" s="22">
      <c r="A36" s="26" t="inlineStr">
        <is>
          <t>VER-DM6</t>
        </is>
      </c>
      <c r="B36" s="41" t="inlineStr">
        <is>
          <t>HIGH</t>
        </is>
      </c>
      <c r="C36" s="33" t="inlineStr">
        <is>
          <t>FIXED</t>
        </is>
      </c>
      <c r="D36" s="26" t="inlineStr">
        <is>
          <t>Our SLO and load test promised throughput the platform forbids</t>
        </is>
      </c>
      <c r="E36" s="26" t="inlineStr">
        <is>
          <t>Verified against live Google docs: the Docs API allows 60 WRITE requests per minute per user per project (600 per project). ST-087 set a 1500ms p95 budget per generated row and ST-088 drove 100 requests per minute at 5x expected traffic and reported PASS. One user cannot exceed one document per second however fast our code runs; past 60 in a minute they receive 429s and our own backoff makes the p95 worse. A 500-row batch for one customer cannot complete in under EIGHT MINUTES — a fact absent from every estimate, board and SLO we have written. The load test never touched the ceiling because it drove an injected worker, so its PASS measured the harness, which is R-D9 restated with the actual number behind it. Also recorded: Apps Script UrlFetch is capped at 20,000/day consumer and 100,000/day Workspace, which is the real per-customer ceiling on the VER-DM2 form forwarder.</t>
        </is>
      </c>
      <c r="F36" s="26" t="inlineStr">
        <is>
          <t>src/platformQuotas.ts holds the verified numbers with their sources and refuses to guess an unrecorded quota; checkFeasibility() fails when an internal promise exceeds an external quota; QuotaGovernor paces per account and gives an honest completion estimate (500 rows = 8 minutes minimum). runLoadTest now REFUSES to pass a profile that drives more than a declared platform ceiling, reporting that it proves the harness rather than capacity. The p95 budgets carry a comment distinguishing per-row latency from batch completion, which are different promises. — COMPLETED 19:33: the batch runner now paces THROUGH the governor rather than beside it, waiting before each write instead of after a rejection, and BatchResult carries quotaWaitMs so a slow batch reads as "paced by Google's limit" rather than "the product is slow". Metering is per account, so one large batch cannot slow another customer. The help-centre article now states the real figures — about 60 documents a minute, roughly eight minutes for 500 — and is findable by searching "how long", "slow" or "quota".</t>
        </is>
      </c>
    </row>
    <row r="37" ht="113.25" customHeight="1" s="22">
      <c r="A37" s="26" t="inlineStr">
        <is>
          <t>VER-DM7</t>
        </is>
      </c>
      <c r="B37" s="26" t="inlineStr">
        <is>
          <t>MEDIUM</t>
        </is>
      </c>
      <c r="C37" s="36" t="inlineStr">
        <is>
          <t>FIXED (with a caveat kept)</t>
        </is>
      </c>
      <c r="D37" s="26" t="inlineStr">
        <is>
          <t>Drive quota was unrecorded, and Google is mid-migration between two models</t>
        </is>
      </c>
      <c r="E37" s="26" t="inlineStr">
        <is>
          <t>VER-DM6 built a module that refuses to guess an unrecorded quota, and the filing path promptly tripped it: we write to Drive on every generated document and had recorded no Drive limit. Checking produced an awkward answer rather than a clean one. One published page gives 12,000 queries per 60 seconds per user; another describes a quota-unit model at 1,000,000 units per minute per project and 325,000 per user; and projects that used the API before May 2026 reportedly keep legacy request counts until the rollout finishes. Which applies depends on the age of the project we have not created yet.</t>
        </is>
      </c>
      <c r="F37" s="26" t="inlineStr">
        <is>
          <t>Recorded the conservative published figure WITH the ambiguity attached rather than resolving it by picking whichever number suited us, and added a caveat field so an unreliable quota is visibly unreliable. The useful conclusion is that on every one of these models Drive sits two orders of magnitude above the Docs ceiling of 60 writes per minute per user, so filing is NOT the binding constraint on a batch — document creation is, and the governor is already configured to it. bindingConstraint() computes which API throttles first, with a test proving Docs governs today and another proving a future quota change that reverses it would surface rather than silently slowing every run.</t>
        </is>
      </c>
    </row>
    <row r="38"/>
    <row r="39" ht="126.75" customHeight="1" s="22">
      <c r="A39" s="32" t="inlineStr">
        <is>
          <t>— EXTERNAL REVIEW CGPT V001 (13 Sep 20:41) — cross-references only; no finding above is rewritten —</t>
        </is>
      </c>
    </row>
    <row r="40" ht="42.75" customHeight="1" s="22">
      <c r="A40" s="29" t="inlineStr">
        <is>
          <t>CGPT-DM-004</t>
        </is>
      </c>
      <c r="B40" s="28" t="inlineStr">
        <is>
          <t>HIGH</t>
        </is>
      </c>
      <c r="C40" s="28" t="inlineStr">
        <is>
          <t>FIXED</t>
        </is>
      </c>
      <c r="D40" s="28" t="inlineStr">
        <is>
          <t>No lockfile — CI could never have run</t>
        </is>
      </c>
      <c r="E40" s="28" t="inlineStr">
        <is>
          <t>ci.yml installs with `npm ci` in every job and there was no package-lock.json in the repo. `npm ci` fails without one, so the 836-test/100% figure had never been produced by CI on a clean checkout — only locally. The reviewer saw the symptom (could not rerun the tests) and was careful to say it was not evidence of failure; the cause was worse than the symptom.</t>
        </is>
      </c>
      <c r="F40" s="28" t="inlineStr">
        <is>
          <t>Lockfile committed (280 packages). `npm run verify` = npm ci + tsc + jest --coverage + secret scan + audit. Verified from wiped node_modules: 836 passed / 836, 45 suites, 100/100/100/100.</t>
        </is>
      </c>
    </row>
    <row r="41" ht="32.25" customHeight="1" s="22">
      <c r="A41" s="29" t="inlineStr">
        <is>
          <t>CGPT-DM-012</t>
        </is>
      </c>
      <c r="B41" s="28" t="inlineStr">
        <is>
          <t>MEDIUM</t>
        </is>
      </c>
      <c r="C41" s="28" t="inlineStr">
        <is>
          <t>FIXED</t>
        </is>
      </c>
      <c r="D41" s="28" t="inlineStr">
        <is>
          <t>No supply-chain evidence of any kind</t>
        </is>
      </c>
      <c r="E41" s="28" t="inlineStr">
        <is>
          <t>No SBOM, no dependency audit, no secret scanning, no static analysis in CI. Nothing would have caught a committed credential or a vulnerable transitive dependency.</t>
        </is>
      </c>
      <c r="F41" s="28" t="inlineStr">
        <is>
          <t>supply-chain CI job + scripts/secret-scan.js. audit 0 vulns; secret-scan clean (it flagged one test fixture first, now allowlisted with a stated reason); SBOM 280 components. CodeQL written, unverified.</t>
        </is>
      </c>
    </row>
    <row r="42" ht="32.25" customHeight="1" s="22">
      <c r="A42" s="29" t="inlineStr">
        <is>
          <t>CGPT-DM-002</t>
        </is>
      </c>
      <c r="B42" s="28" t="inlineStr">
        <is>
          <t>BLOCKER</t>
        </is>
      </c>
      <c r="C42" s="28" t="inlineStr">
        <is>
          <t>FIXED (fails closed)</t>
        </is>
      </c>
      <c r="D42" s="28" t="inlineStr">
        <is>
          <t>Deploy job reported success without deploying</t>
        </is>
      </c>
      <c r="E42" s="28" t="inlineStr">
        <is>
          <t>The deploy step echoed a placeholder and exited 0. Every push to main showed a green deploy that had deployed nothing, since S8. This is the same class as DM-F02/DM-F03 — a thing that exists, is green, and is called from nowhere real.</t>
        </is>
      </c>
      <c r="F42" s="28" t="inlineStr">
        <is>
          <t>Job now fails closed naming LC-1, and depends on supply-chain as well as smoke. DEPLOY_PLAN.md specifies the work queued behind LC-1. D-DM4 records the tradeoff: main is red until then.</t>
        </is>
      </c>
    </row>
    <row r="43"/>
    <row r="44">
      <c r="A44" s="53" t="inlineStr">
        <is>
          <t>— EXTERNAL REVIEW PPLX V001 (16 Sep 2026) — see External_Review_PPLX_V001 for the full disposition —</t>
        </is>
      </c>
    </row>
    <row r="45">
      <c r="A45" s="45" t="inlineStr">
        <is>
          <t>P-DM-001</t>
        </is>
      </c>
      <c r="B45" s="45" t="inlineStr">
        <is>
          <t>CRITICAL</t>
        </is>
      </c>
      <c r="C45" s="45" t="inlineStr">
        <is>
          <t>FIXED (recorded contracts); LIVE OWED</t>
        </is>
      </c>
      <c r="D45" s="45" t="inlineStr">
        <is>
          <t>The platform adapter layer does not exist</t>
        </is>
      </c>
      <c r="E45" s="45" t="inlineStr">
        <is>
          <t>No code in the product called any Google API; package.json had no dependencies block at all. Every boundary was an interface with only test doubles behind it, and coverage could not see it because a file that was never written has no lines to leave uncovered.</t>
        </is>
      </c>
      <c r="F45" s="45" t="inlineStr">
        <is>
          <t>S14/S15 adapters behind the existing interfaces; integrationGate.ts makes it a standing check (class C-16)</t>
        </is>
      </c>
    </row>
    <row r="46">
      <c r="A46" s="45" t="inlineStr">
        <is>
          <t>P-DM-002</t>
        </is>
      </c>
      <c r="B46" s="45" t="inlineStr">
        <is>
          <t>CRITICAL</t>
        </is>
      </c>
      <c r="C46" s="45" t="inlineStr">
        <is>
          <t>FIXED</t>
        </is>
      </c>
      <c r="D46" s="45" t="inlineStr">
        <is>
          <t>`npm start` starts nothing and exits 0</t>
        </is>
      </c>
      <c r="E46" s="45" t="inlineStr">
        <is>
          <t>server.ts exported start() and nothing called it. The fail-closed readiness check every deployment document relied on was unreachable.</t>
        </is>
      </c>
      <c r="F46" s="45" t="inlineStr">
        <is>
          <t>src/main.ts + tests/boot.test.ts (spawns the build); RG-05</t>
        </is>
      </c>
    </row>
    <row r="47">
      <c r="A47" s="45" t="inlineStr">
        <is>
          <t>P-DM-003</t>
        </is>
      </c>
      <c r="B47" s="45" t="inlineStr">
        <is>
          <t>CRITICAL</t>
        </is>
      </c>
      <c r="C47" s="45" t="inlineStr">
        <is>
          <t>FIXED</t>
        </is>
      </c>
      <c r="D47" s="45" t="inlineStr">
        <is>
          <t>`pg` undeclared and uninstalled; the migration path crashes</t>
        </is>
      </c>
      <c r="E47" s="45" t="inlineStr">
        <is>
          <t>The only path anyone ran returned before the require. PGlite proved the SQL and bypassed the driver entirely.</t>
        </is>
      </c>
      <c r="F47" s="45" t="inlineStr">
        <is>
          <t>pg declared; PgSqlClient; six migrations run against real Postgres; runtime-deps gate</t>
        </is>
      </c>
    </row>
    <row r="48">
      <c r="A48" s="45" t="inlineStr">
        <is>
          <t>P-DM-004</t>
        </is>
      </c>
      <c r="B48" s="45" t="inlineStr">
        <is>
          <t>HIGH</t>
        </is>
      </c>
      <c r="C48" s="45" t="inlineStr">
        <is>
          <t>FIXED</t>
        </is>
      </c>
      <c r="D48" s="45" t="inlineStr">
        <is>
          <t>Supply-chain evidence covers zero runtime components</t>
        </is>
      </c>
      <c r="E48" s="45" t="inlineStr">
        <is>
          <t>All 280 SBOM components were development-time, so 'audit clean' was a statement about Jest and TypeScript.</t>
        </is>
      </c>
      <c r="F48" s="45" t="inlineStr">
        <is>
          <t>sbomAssertions + sbom:check; 13 runtime components</t>
        </is>
      </c>
    </row>
    <row r="49">
      <c r="A49" s="45" t="inlineStr">
        <is>
          <t>P-DM-005</t>
        </is>
      </c>
      <c r="B49" s="45" t="inlineStr">
        <is>
          <t>HIGH</t>
        </is>
      </c>
      <c r="C49" s="45" t="inlineStr">
        <is>
          <t>BUILT AS EDITOR; RATIFICATION OWED</t>
        </is>
      </c>
      <c r="D49" s="45" t="inlineStr">
        <is>
          <t>Neither add-on surface has any implementation</t>
        </is>
      </c>
      <c r="E49" s="45" t="inlineStr">
        <is>
          <t>No manifest, no Code.gs, no sidebar HTML. The decision was not blocking work but a rewrite of work never started; the real difference is capability walls, not UI cost.</t>
        </is>
      </c>
      <c r="F49" s="45" t="inlineStr">
        <is>
          <t>S15 Editor add-on, manifest generated from the audited scopes</t>
        </is>
      </c>
    </row>
    <row r="50">
      <c r="A50" s="45" t="inlineStr">
        <is>
          <t>P-DM-006</t>
        </is>
      </c>
      <c r="B50" s="45" t="inlineStr">
        <is>
          <t>HIGH</t>
        </is>
      </c>
      <c r="C50" s="45" t="inlineStr">
        <is>
          <t>FIXED (recorded contracts); LIVE OWED</t>
        </is>
      </c>
      <c r="D50" s="45" t="inlineStr">
        <is>
          <t>The merge engine is string replace; it cannot emit a Doc or a PDF</t>
        </is>
      </c>
      <c r="E50" s="45" t="inlineStr">
        <is>
          <t>outputFormat was never read by any rendering code. LC-9 was evidence about placeholder wiring, not document output.</t>
        </is>
      </c>
      <c r="F50" s="45" t="inlineStr">
        <is>
          <t>documentRenderer.ts; templates.ts kept as the rules layer; all 20 gallery templates re-rendered</t>
        </is>
      </c>
    </row>
    <row r="51">
      <c r="A51" s="45" t="inlineStr">
        <is>
          <t>P-DM-007</t>
        </is>
      </c>
      <c r="B51" s="45" t="inlineStr">
        <is>
          <t>HIGH</t>
        </is>
      </c>
      <c r="C51" s="45" t="inlineStr">
        <is>
          <t>HONEST HALF DONE</t>
        </is>
      </c>
      <c r="D51" s="45" t="inlineStr">
        <is>
          <t>E-sign produces no signature; the listing claim is a legal exposure</t>
        </is>
      </c>
      <c r="E51" s="45" t="inlineStr">
        <is>
          <t>No signature artefact, no binding of intent to a document hash, no signer authentication, no consent capture, and every request lost on restart.</t>
        </is>
      </c>
      <c r="F51" s="45" t="inlineStr">
        <is>
          <t>Renamed to Approval requests everywhere + claimsGate.ts; EsignProvider boundary; D-DM6</t>
        </is>
      </c>
    </row>
    <row r="52">
      <c r="A52" s="45" t="inlineStr">
        <is>
          <t>P-DM-008</t>
        </is>
      </c>
      <c r="B52" s="45" t="inlineStr">
        <is>
          <t>CRITICAL</t>
        </is>
      </c>
      <c r="C52" s="45" t="inlineStr">
        <is>
          <t>ARITHMETIC ACCEPTED; DECISION OPEN</t>
        </is>
      </c>
      <c r="D52" s="45" t="inlineStr">
        <is>
          <t>The financial model never breaks even and the note implies it does</t>
        </is>
      </c>
      <c r="E52" s="45" t="inlineStr">
        <is>
          <t>-$228,150 cumulative at M18, gap still widening at M12. Not a modelling error — a strategy finding.</t>
        </is>
      </c>
      <c r="F52" s="45" t="inlineStr">
        <is>
          <t>Financial_Model_v2 in product workbook v047; D-DM5</t>
        </is>
      </c>
    </row>
    <row r="53">
      <c r="A53" s="45" t="inlineStr">
        <is>
          <t>P-DM-009</t>
        </is>
      </c>
      <c r="B53" s="45" t="inlineStr">
        <is>
          <t>MED/HIGH</t>
        </is>
      </c>
      <c r="C53" s="45" t="inlineStr">
        <is>
          <t>FIXED</t>
        </is>
      </c>
      <c r="D53" s="45" t="inlineStr">
        <is>
          <t>Six Postgres repos against thirty in-memory stores</t>
        </is>
      </c>
      <c r="E53" s="45" t="inlineStr">
        <is>
          <t>Webhook dedupe in RAM means billing webhooks double-apply; an audit chain that vanishes on restart cannot serve the differentiator.</t>
        </is>
      </c>
      <c r="F53" s="45" t="inlineStr">
        <is>
          <t>postgresDurable.ts + migration 005; seven stores in the review's order</t>
        </is>
      </c>
    </row>
    <row r="54">
      <c r="A54" s="45" t="inlineStr">
        <is>
          <t>P-DM-010</t>
        </is>
      </c>
      <c r="B54" s="45" t="inlineStr">
        <is>
          <t>MEDIUM</t>
        </is>
      </c>
      <c r="C54" s="45" t="inlineStr">
        <is>
          <t>FIXED</t>
        </is>
      </c>
      <c r="D54" s="45" t="inlineStr">
        <is>
          <t>The coverage gate's only exemption is where the boot defect lives</t>
        </is>
      </c>
      <c r="E54" s="45" t="inlineStr">
        <is>
          <t>Its stated compensating control — 'verified by booting the server' — had never been performed.</t>
        </is>
      </c>
      <c r="F54" s="45" t="inlineStr">
        <is>
          <t>Exemption removed; RG-06 generalises DM-F22 to every gate (class C-18)</t>
        </is>
      </c>
    </row>
    <row r="55">
      <c r="A55" s="45" t="inlineStr">
        <is>
          <t>P-DM-011</t>
        </is>
      </c>
      <c r="B55" s="45" t="inlineStr">
        <is>
          <t>MEDIUM</t>
        </is>
      </c>
      <c r="C55" s="45" t="inlineStr">
        <is>
          <t>ACCEPTED — PLANNING</t>
        </is>
      </c>
      <c r="D55" s="45" t="inlineStr">
        <is>
          <t>Verification timeline assumption too optimistic</t>
        </is>
      </c>
      <c r="E55" s="45" t="inlineStr">
        <is>
          <t>Sensitive-scope OAuth verification runs weeks to months. The clock is long, uncontrollable, and can start BEFORE the product is finished.</t>
        </is>
      </c>
      <c r="F55" s="45" t="inlineStr">
        <is>
          <t>Sequencing rewritten around concurrent clocks; R-D8/R-D12/R-D15 reasoning corrected</t>
        </is>
      </c>
    </row>
    <row r="56">
      <c r="A56" s="45" t="inlineStr">
        <is>
          <t>P-DM-012</t>
        </is>
      </c>
      <c r="B56" s="45" t="inlineStr">
        <is>
          <t>LOW</t>
        </is>
      </c>
      <c r="C56" s="45" t="inlineStr">
        <is>
          <t>FIXED</t>
        </is>
      </c>
      <c r="D56" s="45" t="inlineStr">
        <is>
          <t>autoCrat 83M+ unverified at source</t>
        </is>
      </c>
      <c r="E56" s="45" t="inlineStr">
        <is>
          <t>It was carrying the load in two documents and the highest-graded risk row. Form Publisher 24M+ and Document Studio 6M+ are confirmed.</t>
        </is>
      </c>
      <c r="F56" s="45" t="inlineStr">
        <is>
          <t>Replaced everywhere; RETIRED_COMPETITOR_FIGURES records the retraction</t>
        </is>
      </c>
    </row>
    <row r="57"/>
    <row r="58">
      <c r="A58" s="53" t="inlineStr">
        <is>
          <t>— DEFECTS RAISED WHILE EXECUTING S13-S19 (20 Sep 2026). Sixteen; twelve fixed. Each was found by DOING the work, not by re-reading it — which is the pattern the whole session confirms. —</t>
        </is>
      </c>
    </row>
    <row r="59">
      <c r="A59" s="45" t="inlineStr">
        <is>
          <t>DM-F24</t>
        </is>
      </c>
      <c r="B59" s="45" t="inlineStr">
        <is>
          <t>HIGH</t>
        </is>
      </c>
      <c r="C59" s="45" t="inlineStr">
        <is>
          <t>FIXED</t>
        </is>
      </c>
      <c r="D59" s="45" t="inlineStr">
        <is>
          <t>Transactions were atomic only against a single-connection fake</t>
        </is>
      </c>
      <c r="E59" s="45" t="inlineStr">
        <is>
          <t>PostgresTemplateRepo.save issued BEGIN/COMMIT through query(); against a POOL those may land on different connections. Undetectable while the only client was a fake.</t>
        </is>
      </c>
      <c r="F59" s="45" t="inlineStr">
        <is>
          <t>SqlClient.transaction(); PinnedClient checks out one client and discards a broken socket on a failed rollback</t>
        </is>
      </c>
    </row>
    <row r="60">
      <c r="A60" s="45" t="inlineStr">
        <is>
          <t>DM-F25</t>
        </is>
      </c>
      <c r="B60" s="45" t="inlineStr">
        <is>
          <t>MEDIUM</t>
        </is>
      </c>
      <c r="C60" s="45" t="inlineStr">
        <is>
          <t>FIXED</t>
        </is>
      </c>
      <c r="D60" s="45" t="inlineStr">
        <is>
          <t>The runtime-deps gate failed on the repository it shipped with</t>
        </is>
      </c>
      <c r="E60" s="45" t="inlineStr">
        <is>
          <t>Its import regex matched the word 'import' inside a string literal and reported an undeclared package named ', '. A gate with a blind spot reports PASS, not ERROR.</t>
        </is>
      </c>
      <c r="F60" s="45" t="inlineStr">
        <is>
          <t>Statement forms anchored to a statement start; pinned by two tests</t>
        </is>
      </c>
    </row>
    <row r="61">
      <c r="A61" s="45" t="inlineStr">
        <is>
          <t>DM-F26</t>
        </is>
      </c>
      <c r="B61" s="45" t="inlineStr">
        <is>
          <t>LOW</t>
        </is>
      </c>
      <c r="C61" s="45" t="inlineStr">
        <is>
          <t>FIXED</t>
        </is>
      </c>
      <c r="D61" s="45" t="inlineStr">
        <is>
          <t>ESIGN_PROVIDER_KEY was a required boot secret for a provider that does not exist</t>
        </is>
      </c>
      <c r="E61" s="45" t="inlineStr">
        <is>
          <t>Production boot would have demanded a credential nothing consumes.</t>
        </is>
      </c>
      <c r="F61" s="45" t="inlineStr">
        <is>
          <t>Optional until a provider is chosen (D-DM6)</t>
        </is>
      </c>
    </row>
    <row r="62">
      <c r="A62" s="45" t="inlineStr">
        <is>
          <t>DM-F27</t>
        </is>
      </c>
      <c r="B62" s="45" t="inlineStr">
        <is>
          <t>MEDIUM</t>
        </is>
      </c>
      <c r="C62" s="45" t="inlineStr">
        <is>
          <t>OPEN</t>
        </is>
      </c>
      <c r="D62" s="45" t="inlineStr">
        <is>
          <t>The audit CSV a customer receives cannot be verified by them</t>
        </is>
      </c>
      <c r="E62" s="45" t="inlineStr">
        <is>
          <t>AdminAuditLog.exportCsv omits previousDigest — the chain links are missing from the artefact whose whole value is the links.</t>
        </is>
      </c>
      <c r="F62" s="45" t="inlineStr">
        <is>
          <t>Superseded by buildAuditExport; fixing or deprecating the original changes an existing export, so it is Senthil's call</t>
        </is>
      </c>
    </row>
    <row r="63">
      <c r="A63" s="45" t="inlineStr">
        <is>
          <t>DM-F29</t>
        </is>
      </c>
      <c r="B63" s="45" t="inlineStr">
        <is>
          <t>MEDIUM</t>
        </is>
      </c>
      <c r="C63" s="45" t="inlineStr">
        <is>
          <t>OPEN</t>
        </is>
      </c>
      <c r="D63" s="45" t="inlineStr">
        <is>
          <t>An expiry observed in the sidebar is never written back</t>
        </is>
      </c>
      <c r="E63" s="45" t="inlineStr">
        <is>
          <t>EsignSidebarController.refresh() calls expireIfDue on a copy from get(); only the next sign() flips the stored request.</t>
        </is>
      </c>
      <c r="F63" s="45" t="inlineStr">
        <is>
          <t>The controller needs a service method that expires the stored request</t>
        </is>
      </c>
    </row>
    <row r="64">
      <c r="A64" s="45" t="inlineStr">
        <is>
          <t>DM-F30</t>
        </is>
      </c>
      <c r="B64" s="45" t="inlineStr">
        <is>
          <t>LOW</t>
        </is>
      </c>
      <c r="C64" s="45" t="inlineStr">
        <is>
          <t>OPEN</t>
        </is>
      </c>
      <c r="D64" s="45" t="inlineStr">
        <is>
          <t>Gallery rule defect: payment-reminder R1/R2 are not mutually exclusive</t>
        </is>
      </c>
      <c r="E64" s="45" t="inlineStr">
        <is>
          <t>At 31+ days overdue both the gentle and the firm paragraph render. The sample row (12 days) hides it.</t>
        </is>
      </c>
      <c r="F64" s="45" t="inlineStr">
        <is>
          <t>Needs a less_than operator or a negation in the rule engine — logged rather than patched in the fixture</t>
        </is>
      </c>
    </row>
    <row r="65">
      <c r="A65" s="45" t="inlineStr">
        <is>
          <t>DM-F31</t>
        </is>
      </c>
      <c r="B65" s="45" t="inlineStr">
        <is>
          <t>MEDIUM</t>
        </is>
      </c>
      <c r="C65" s="45" t="inlineStr">
        <is>
          <t>OPEN</t>
        </is>
      </c>
      <c r="D65" s="45" t="inlineStr">
        <is>
          <t>No install handoff from /oauth/callback to the sidebar</t>
        </is>
      </c>
      <c r="E65" s="45" t="inlineStr">
        <is>
          <t>The callback returns a session token as JSON and the user must paste it into the connect view.</t>
        </is>
      </c>
      <c r="F65" s="45" t="inlineStr">
        <is>
          <t>A redirect landing page or short-lived pairing code, BEFORE the demo recording</t>
        </is>
      </c>
    </row>
    <row r="66">
      <c r="A66" s="45" t="inlineStr">
        <is>
          <t>DM-F32</t>
        </is>
      </c>
      <c r="B66" s="45" t="inlineStr">
        <is>
          <t>MEDIUM</t>
        </is>
      </c>
      <c r="C66" s="45" t="inlineStr">
        <is>
          <t>OPEN</t>
        </is>
      </c>
      <c r="D66" s="45" t="inlineStr">
        <is>
          <t>WEBHOOK_SECRET is one global secret handed to customers</t>
        </is>
      </c>
      <c r="E66" s="45" t="inlineStr">
        <is>
          <t>The standalone FormForwarder path gives it out; the add-on path keeps it in Script Properties.</t>
        </is>
      </c>
      <c r="F66" s="45" t="inlineStr">
        <is>
          <t>Per-account webhook secrets before the standalone path is offered publicly</t>
        </is>
      </c>
    </row>
    <row r="67">
      <c r="A67" s="45" t="inlineStr">
        <is>
          <t>DM-F33</t>
        </is>
      </c>
      <c r="B67" s="45" t="inlineStr">
        <is>
          <t>MEDIUM</t>
        </is>
      </c>
      <c r="C67" s="45" t="inlineStr">
        <is>
          <t>FIXED</t>
        </is>
      </c>
      <c r="D67" s="45" t="inlineStr">
        <is>
          <t>migrate.js ignored the TLS contract the application enforces</t>
        </is>
      </c>
      <c r="E67" s="45" t="inlineStr">
        <is>
          <t>It built a bare pg.Client, so it would connect in clear text to an instance the app itself refuses.</t>
        </is>
      </c>
      <c r="F67" s="45" t="inlineStr">
        <is>
          <t>Shares the same DATABASE_SSL contract; refuses cleartext by default and says why</t>
        </is>
      </c>
    </row>
    <row r="68">
      <c r="A68" s="45" t="inlineStr">
        <is>
          <t>DM-F34</t>
        </is>
      </c>
      <c r="B68" s="45" t="inlineStr">
        <is>
          <t>HIGH</t>
        </is>
      </c>
      <c r="C68" s="45" t="inlineStr">
        <is>
          <t>FIXED</t>
        </is>
      </c>
      <c r="D68" s="45" t="inlineStr">
        <is>
          <t>The privacy/CASA data-flow pack still named an e-sign subprocessor</t>
        </is>
      </c>
      <c r="E68" s="45" t="inlineStr">
        <is>
          <t>It claims to be generated from src/security.ts, which S16 had renamed. This is the document published for the privacy pack and CASA.</t>
        </is>
      </c>
      <c r="F68" s="45" t="inlineStr">
        <is>
          <t>Corrected; claims-gate scope widened to include it</t>
        </is>
      </c>
    </row>
    <row r="69">
      <c r="A69" s="45" t="inlineStr">
        <is>
          <t>DM-F35</t>
        </is>
      </c>
      <c r="B69" s="45" t="inlineStr">
        <is>
          <t>MEDIUM</t>
        </is>
      </c>
      <c r="C69" s="45" t="inlineStr">
        <is>
          <t>FIXED</t>
        </is>
      </c>
      <c r="D69" s="45" t="inlineStr">
        <is>
          <t>.env.example was no longer the environment contract</t>
        </is>
      </c>
      <c r="E69" s="45" t="inlineStr">
        <is>
          <t>16 variables against ENV_SPEC's 25, missing the three the application cannot be constructed without. renderEnvExample() existed and nothing ever compared its output to the committed file.</t>
        </is>
      </c>
      <c r="F69" s="45" t="inlineStr">
        <is>
          <t>Regenerated; a test asserts the file matches renderEnvExample() byte for byte</t>
        </is>
      </c>
    </row>
    <row r="70">
      <c r="A70" s="45" t="inlineStr">
        <is>
          <t>DM-F36</t>
        </is>
      </c>
      <c r="B70" s="45" t="inlineStr">
        <is>
          <t>HIGH</t>
        </is>
      </c>
      <c r="C70" s="45" t="inlineStr">
        <is>
          <t>FIXED</t>
        </is>
      </c>
      <c r="D70" s="45" t="inlineStr">
        <is>
          <t>Both pen-test documents still described a signature product</t>
        </is>
      </c>
      <c r="E70" s="45" t="inlineStr">
        <is>
          <t>They are sent to an external vendor, and would have scoped a test against a feature P-DM-007 established does not exist.</t>
        </is>
      </c>
      <c r="F70" s="45" t="inlineStr">
        <is>
          <t>Corrected; both added to the claims-gate scope. Draw the scope around the READER, not the artefact</t>
        </is>
      </c>
    </row>
    <row r="71">
      <c r="A71" s="45" t="inlineStr">
        <is>
          <t>DM-F32</t>
        </is>
      </c>
      <c r="B71" s="45" t="inlineStr">
        <is>
          <t>MEDIUM</t>
        </is>
      </c>
      <c r="C71" s="45" t="inlineStr">
        <is>
          <t>FIXED</t>
        </is>
      </c>
      <c r="D71" s="45" t="inlineStr">
        <is>
          <t>DATABASE_SSL=require could never verify a managed server certificate</t>
        </is>
      </c>
      <c r="E71" s="45" t="inlineStr">
        <is>
          <t>No CA option, so the only production-legal posture was allow-unverified.</t>
        </is>
      </c>
      <c r="F71" s="45" t="inlineStr">
        <is>
          <t>DATABASE_SSL_CA added to the contract and the pool config</t>
        </is>
      </c>
    </row>
    <row r="72">
      <c r="A72" s="45" t="inlineStr">
        <is>
          <t>DM-F38</t>
        </is>
      </c>
      <c r="B72" s="45" t="inlineStr">
        <is>
          <t>LOW</t>
        </is>
      </c>
      <c r="C72" s="45" t="inlineStr">
        <is>
          <t>OPEN</t>
        </is>
      </c>
      <c r="D72" s="45" t="inlineStr">
        <is>
          <t>The app and the migration job share one Postgres role</t>
        </is>
      </c>
      <c r="E72" s="45" t="inlineStr">
        <is>
          <t>The GCP identities are split; the database role should be too.</t>
        </is>
      </c>
      <c r="F72" s="45" t="inlineStr">
        <is>
          <t>Owed with the first real deploy</t>
        </is>
      </c>
    </row>
    <row r="73">
      <c r="A73" s="45" t="inlineStr">
        <is>
          <t>DM-F39</t>
        </is>
      </c>
      <c r="B73" s="45" t="inlineStr">
        <is>
          <t>HIGH</t>
        </is>
      </c>
      <c r="C73" s="45" t="inlineStr">
        <is>
          <t>FIXED</t>
        </is>
      </c>
      <c r="D73" s="45" t="inlineStr">
        <is>
          <t>The integration gate could not see the boundary the review had named</t>
        </is>
      </c>
      <c r="E73" s="45" t="inlineStr">
        <is>
          <t>Its method regex could not match query&lt;T = Record&lt;string, unknown&gt;&gt;(, so SqlClient was silently not a boundary at all.</t>
        </is>
      </c>
      <c r="F73" s="45" t="inlineStr">
        <is>
          <t>Nested type parameters supported; pinned by test. The lesson is in the guard kit README</t>
        </is>
      </c>
    </row>
    <row r="74">
      <c r="A74" s="45" t="inlineStr">
        <is>
          <t>DM-F40</t>
        </is>
      </c>
      <c r="B74" s="45" t="inlineStr">
        <is>
          <t>LOW</t>
        </is>
      </c>
      <c r="C74" s="45" t="inlineStr">
        <is>
          <t>FIXED</t>
        </is>
      </c>
      <c r="D74" s="45" t="inlineStr">
        <is>
          <t>LOG_LEVEL was in the environment contract since S13 and nothing read it</t>
        </is>
      </c>
      <c r="E74" s="45" t="inlineStr">
        <is>
          <t>productionAdapters wrote to stdout inline with no redaction.</t>
        </is>
      </c>
      <c r="F74" s="45" t="inlineStr">
        <is>
          <t>createLogger(process.env).log is the production sink</t>
        </is>
      </c>
    </row>
    <row r="76">
      <c r="A76" s="55" t="inlineStr">
        <is>
          <t>— ADVERSARIAL VERIFICATION PASS (20 Sep 2026, run AFTER every review finding was closed and every gate was green). Twelve findings; four mattered. Recorded in full because it is the most useful hour in the session. —</t>
        </is>
      </c>
    </row>
    <row r="77">
      <c r="A77" s="45" t="inlineStr">
        <is>
          <t>DM-F41</t>
        </is>
      </c>
      <c r="B77" s="45" t="inlineStr">
        <is>
          <t>CRITICAL</t>
        </is>
      </c>
      <c r="C77" s="45" t="inlineStr">
        <is>
          <t>FIXED</t>
        </is>
      </c>
      <c r="D77" s="45" t="inlineStr">
        <is>
          <t>The published 30-day deletion policy had no executor</t>
        </is>
      </c>
      <c r="E77" s="45" t="inlineStr">
        <is>
          <t>The deletion schedule was durable (S16), the purge registry complete and correct (DM-F09) — and NOTHING CALLED due(). Jobs were recorded faithfully and acted on never. THIRD APPEARANCE IN ONE PRODUCT: DM-F09 (a callback nothing supplied), P-DM-009 (the schedule itself in RAM), DM-F41 (two correct halves, no code joining them).</t>
        </is>
      </c>
      <c r="F77" s="45" t="inlineStr">
        <is>
          <t>src/purgeWorker.ts, started hourly in main.ts, with a PGlite contract test proving the whole loop end to end. NOTE THE GATE'S LIMIT: integrationGate asks whether a boundary HAS an implementation and cannot ask whether anything INVOKES it. No gate here would have found this — 'what runs the loop?' is still a question a person has to ask.</t>
        </is>
      </c>
    </row>
    <row r="78">
      <c r="A78" s="45" t="inlineStr">
        <is>
          <t>DM-F42</t>
        </is>
      </c>
      <c r="B78" s="45" t="inlineStr">
        <is>
          <t>CRITICAL</t>
        </is>
      </c>
      <c r="C78" s="45" t="inlineStr">
        <is>
          <t>FIXED</t>
        </is>
      </c>
      <c r="D78" s="45" t="inlineStr">
        <is>
          <t>Three Google URL assertions were tautologies</t>
        </is>
      </c>
      <c r="E78" s="45" t="inlineStr">
        <is>
          <t>expect(req.url).toBe(`${CONST}...`) compares the constant to itself. Changing drive/v3/files to drive/v2/files, v4/spreadsheets to v3, and the OAuth token URL each left ALL 1486 TESTS GREEN. Three documents claimed these adapters were 'proved against a fake that asserts exact URLs, headers and bodies' — a claim whose meaning nobody had checked. Nothing has ever called Google, so a wrong API version would have shipped undetected.</t>
        </is>
      </c>
      <c r="F78" s="45" t="inlineStr">
        <is>
          <t>Every such assertion pinned to a literal plus a constant-pin test per module; the same mutation now fails 13 tests. Mutation testing is the instrument for this class and should be standing rather than occasional.</t>
        </is>
      </c>
    </row>
    <row r="79">
      <c r="A79" s="45" t="inlineStr">
        <is>
          <t>DM-F43</t>
        </is>
      </c>
      <c r="B79" s="45" t="inlineStr">
        <is>
          <t>HIGH</t>
        </is>
      </c>
      <c r="C79" s="45" t="inlineStr">
        <is>
          <t>FIXED</t>
        </is>
      </c>
      <c r="D79" s="45" t="inlineStr">
        <is>
          <t>The DM-F10 DoS control could be raised tenfold with the gate green</t>
        </is>
      </c>
      <c r="E79" s="45" t="inlineStr">
        <is>
          <t>tests/server.test.ts asserted only toBeGreaterThan(10_000) and then sized its buffers FROM the constant, so MAX_BODY_BYTES 1,000,000 -&gt; 10,000,000 survived.</t>
        </is>
      </c>
      <c r="F79" s="45" t="inlineStr">
        <is>
          <t>Pinned to the literal with a boundary test at 1,000,000 accepted / 1,000,001 rejected.</t>
        </is>
      </c>
    </row>
    <row r="80">
      <c r="A80" s="45" t="inlineStr">
        <is>
          <t>DM-F44</t>
        </is>
      </c>
      <c r="B80" s="45" t="inlineStr">
        <is>
          <t>MEDIUM</t>
        </is>
      </c>
      <c r="C80" s="50" t="inlineStr">
        <is>
          <t>OPEN</t>
        </is>
      </c>
      <c r="D80" s="45" t="inlineStr">
        <is>
          <t>No composed path drives dunning</t>
        </is>
      </c>
      <c r="E80" s="45" t="inlineStr">
        <is>
          <t>compose() builds a DunningNotifier whose begin()/tick() nothing calls — EntitlementGate only calls assertWritable, so dunning emails cannot be sent in production.</t>
        </is>
      </c>
      <c r="F80" s="45" t="inlineStr">
        <is>
          <t>Same shape as DM-F41 and open for the same reason: it needs a route or a worker.</t>
        </is>
      </c>
    </row>
    <row r="81">
      <c r="A81" s="45" t="inlineStr">
        <is>
          <t>VER-PASS-1</t>
        </is>
      </c>
      <c r="B81" s="45" t="inlineStr">
        <is>
          <t>HIGH</t>
        </is>
      </c>
      <c r="C81" s="45" t="inlineStr">
        <is>
          <t>FIXED</t>
        </is>
      </c>
      <c r="D81" s="45" t="inlineStr">
        <is>
          <t>The restore drill had run on a pre-S16 schema</t>
        </is>
      </c>
      <c r="E81" s="45" t="inlineStr">
        <is>
          <t>The evidence recorded 19 tables and schema_migrations=3; a current migrate produces 26. The seven migration-005 durable tables were ABSENT, so 'contents verified' covered none of the stores the drill was cited as evidence for.</t>
        </is>
      </c>
      <c r="F81" s="45" t="inlineStr">
        <is>
          <t>Re-run on the full schema: 26 tables, 592 seeded rows across every table including all seven, RTO 110ms, RPO 58ms. The old evidence is kept and marked superseded. 592 rows is a functional spread, not production volume — 110ms remains a floor.</t>
        </is>
      </c>
    </row>
    <row r="82">
      <c r="A82" s="45" t="inlineStr">
        <is>
          <t>VER-PASS-2</t>
        </is>
      </c>
      <c r="B82" s="45" t="inlineStr">
        <is>
          <t>MEDIUM</t>
        </is>
      </c>
      <c r="C82" s="45" t="inlineStr">
        <is>
          <t>FIXED</t>
        </is>
      </c>
      <c r="D82" s="45" t="inlineStr">
        <is>
          <t>Defect ids had collided</t>
        </is>
      </c>
      <c r="E82" s="45" t="inlineStr">
        <is>
          <t>Three sprint agents assigned ids independently: DM-F24 named TWO defects (pool transactions AND the audit CSV) and DM-F27/DM-F32 named ONE (the missing CA option). An id that means two things makes every cross-reference unreliable, and this project's method rests on following a finding from a code comment to a test to a board row.</t>
        </is>
      </c>
      <c r="F82" s="45" t="inlineStr">
        <is>
          <t>DEFECT_REGISTER.md is now the canonical numbering; the repository, this tracker and the product workbook are aligned to it. DM-F28 is retired — a free id never issued to anything.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1" min="1" max="1"/>
    <col width="11" customWidth="1" style="21" min="2" max="2"/>
    <col width="20" customWidth="1" style="21" min="3" max="3"/>
    <col width="44" customWidth="1" style="21" min="4" max="4"/>
    <col width="30" customWidth="1" style="21" min="5" max="5"/>
    <col width="88" customWidth="1" style="21" min="6" max="6"/>
  </cols>
  <sheetData>
    <row r="1" ht="17.25" customHeight="1" s="22">
      <c r="A1" s="23" t="inlineStr">
        <is>
          <t>EXTERNAL REVIEW CGPT V001 — 13 Sep 2026 20:41 BST</t>
        </is>
      </c>
    </row>
    <row r="2" ht="57.75" customHeight="1" s="22">
      <c r="A2" s="30" t="inlineStr">
        <is>
          <t>Cold external review (ChatGPT) of both code packages, both workbooks and the three narrative documents. Verdict 6.4/10 BUILD — engineering maturity 8/10, launch readiness 4/10, enterprise-grade NO. Recommends the Editor add-on surface, agreeing with ADDON_SURFACE_DECISION.md. Dispositions follow the review's own continuity rule: historical DM-Fxx / VER-DMx IDs are preserved and a finding already logged is cross-referenced, not re-raised. Full narrative in EXTERNAL_REVIEW_CGPT_V001.md.</t>
        </is>
      </c>
    </row>
    <row r="4" ht="15" customHeight="1" s="22">
      <c r="A4" s="31" t="inlineStr">
        <is>
          <t>ID</t>
        </is>
      </c>
      <c r="B4" s="31" t="inlineStr">
        <is>
          <t>Severity</t>
        </is>
      </c>
      <c r="C4" s="31" t="inlineStr">
        <is>
          <t>Area</t>
        </is>
      </c>
      <c r="D4" s="31" t="inlineStr">
        <is>
          <t>Finding (as reviewed)</t>
        </is>
      </c>
      <c r="E4" s="31" t="inlineStr">
        <is>
          <t>Disposition</t>
        </is>
      </c>
      <c r="F4" s="31" t="inlineStr">
        <is>
          <t>What was verified here / where it now lives</t>
        </is>
      </c>
    </row>
    <row r="5" ht="53.25" customHeight="1" s="22">
      <c r="A5" s="29" t="inlineStr">
        <is>
          <t>CGPT-DM-004</t>
        </is>
      </c>
      <c r="B5" s="28" t="inlineStr">
        <is>
          <t>HIGH</t>
        </is>
      </c>
      <c r="C5" s="28" t="inlineStr">
        <is>
          <t>Reproducibility</t>
        </is>
      </c>
      <c r="D5" s="28" t="inlineStr">
        <is>
          <t>Uploaded package could not independently rerun tests in this runtime</t>
        </is>
      </c>
      <c r="E5" s="28" t="inlineStr">
        <is>
          <t>ACCEPTED — FIXED</t>
        </is>
      </c>
      <c r="F5" s="28" t="inlineStr">
        <is>
          <t>Confirmed, and larger than the review drew: there was NO package-lock.json, and every ci.yml job installs with `npm ci`, which fails without one. No CI run had ever completed on a clean checkout, so 836/100% had only ever existed on one machine. Lockfile generated and committed (280 packages); `npm run verify` added as the one-command gate; coverage uploaded as a CI artifact. Reproduced twice from wiped node_modules: tsc clean, 836 passed / 836 total across 45 suites, All files 100/100/100/100.</t>
        </is>
      </c>
    </row>
    <row r="6" ht="42.75" customHeight="1" s="22">
      <c r="A6" s="29" t="inlineStr">
        <is>
          <t>CGPT-DM-012</t>
        </is>
      </c>
      <c r="B6" s="28" t="inlineStr">
        <is>
          <t>MEDIUM</t>
        </is>
      </c>
      <c r="C6" s="28" t="inlineStr">
        <is>
          <t>Supply chain</t>
        </is>
      </c>
      <c r="D6" s="28" t="inlineStr">
        <is>
          <t>Enterprise release provenance incomplete — no SBOM/signing/SCA/secret scan</t>
        </is>
      </c>
      <c r="E6" s="28" t="inlineStr">
        <is>
          <t>ACCEPTED — FIXED</t>
        </is>
      </c>
      <c r="F6" s="28" t="inlineStr">
        <is>
          <t>Confirmed absent. New supply-chain CI job: `npm audit --audit-level=high` (0 vulnerabilities at every severity), `npm run scan:secrets` (new scripts/secret-scan.js, 8 rules, line-scoped allowlist where every entry states a reason per the DM-F22 principle; it correctly flagged one test fixture, now allowlisted), `npm run sbom` (280 components, CycloneDX 1.5, 90-day artifact). codeql.yml written but NOT VERIFIED — it runs only on GitHub.</t>
        </is>
      </c>
    </row>
    <row r="7" ht="42.75" customHeight="1" s="22">
      <c r="A7" s="29" t="inlineStr">
        <is>
          <t>CGPT-DM-002</t>
        </is>
      </c>
      <c r="B7" s="28" t="inlineStr">
        <is>
          <t>BLOCKER</t>
        </is>
      </c>
      <c r="C7" s="28" t="inlineStr">
        <is>
          <t>Deployment</t>
        </is>
      </c>
      <c r="D7" s="28" t="inlineStr">
        <is>
          <t>CI deploy job only echoes a placeholder</t>
        </is>
      </c>
      <c r="E7" s="28" t="inlineStr">
        <is>
          <t>ACCEPTED — FIXED (honestly, not completed)</t>
        </is>
      </c>
      <c r="F7" s="28" t="inlineStr">
        <is>
          <t>Confirmed and worse in effect: the job echoed a string and EXITED 0, so main displayed a green deploy that had never deployed anything, since S8. It now fails closed with an error naming LC-1, and depends on supply-chain as well as smoke. Real deployment cannot be built before a GCP project exists; the ordered work is specified in DEPLOY_PLAN.md. Tradeoff logged as D-DM4: main is now red until LC-1.</t>
        </is>
      </c>
    </row>
    <row r="8" ht="21.75" customHeight="1" s="22">
      <c r="A8" s="29" t="inlineStr">
        <is>
          <t>CGPT-DM-001</t>
        </is>
      </c>
      <c r="B8" s="28" t="inlineStr">
        <is>
          <t>BLOCKER</t>
        </is>
      </c>
      <c r="C8" s="28" t="inlineStr">
        <is>
          <t>Architecture</t>
        </is>
      </c>
      <c r="D8" s="28" t="inlineStr">
        <is>
          <t>Add-on surface unresolved</t>
        </is>
      </c>
      <c r="E8" s="28" t="inlineStr">
        <is>
          <t>DUPLICATE — VER-DM3 / D-DM1 (open since 13 Sep 11:56)</t>
        </is>
      </c>
      <c r="F8" s="28" t="inlineStr">
        <is>
          <t>The review independently reaches the same recommendation the internal analysis reached (Editor). Still Senthil's decision; blocks the scope narrative, listing copy and five story descriptions.</t>
        </is>
      </c>
    </row>
    <row r="9" ht="15" customHeight="1" s="22">
      <c r="A9" s="29" t="inlineStr">
        <is>
          <t>CGPT-DM-003</t>
        </is>
      </c>
      <c r="B9" s="28" t="inlineStr">
        <is>
          <t>BLOCKER</t>
        </is>
      </c>
      <c r="C9" s="28" t="inlineStr">
        <is>
          <t>Platform verification</t>
        </is>
      </c>
      <c r="D9" s="28" t="inlineStr">
        <is>
          <t>No live GCP/OAuth/Marketplace proof supplied</t>
        </is>
      </c>
      <c r="E9" s="28" t="inlineStr">
        <is>
          <t>DUPLICATE — LC-1 / R-D8</t>
        </is>
      </c>
      <c r="F9" s="28" t="inlineStr">
        <is>
          <t>LC-1 has blocked live evidence for seven consecutive sprints. Nothing in this session changes that.</t>
        </is>
      </c>
    </row>
    <row r="10" ht="15" customHeight="1" s="22">
      <c r="A10" s="29" t="inlineStr">
        <is>
          <t>CGPT-DM-006</t>
        </is>
      </c>
      <c r="B10" s="28" t="inlineStr">
        <is>
          <t>HIGH</t>
        </is>
      </c>
      <c r="C10" s="28" t="inlineStr">
        <is>
          <t>Operations</t>
        </is>
      </c>
      <c r="D10" s="28" t="inlineStr">
        <is>
          <t>Published 4-business-hour support SLA is unstaffed</t>
        </is>
      </c>
      <c r="E10" s="28" t="inlineStr">
        <is>
          <t>DUPLICATE — R-D13</t>
        </is>
      </c>
      <c r="F10" s="28" t="inlineStr">
        <is>
          <t>Three options already framed on the Blocker_Prep_Board. Remains Senthil's decision.</t>
        </is>
      </c>
    </row>
    <row r="11" ht="32.25" customHeight="1" s="22">
      <c r="A11" s="29" t="inlineStr">
        <is>
          <t>CGPT-DM-008</t>
        </is>
      </c>
      <c r="B11" s="28" t="inlineStr">
        <is>
          <t>HIGH</t>
        </is>
      </c>
      <c r="C11" s="28" t="inlineStr">
        <is>
          <t>Quota/scale</t>
        </is>
      </c>
      <c r="D11" s="28" t="inlineStr">
        <is>
          <t>Quota-aware code is a positive but needs distributed and live validation</t>
        </is>
      </c>
      <c r="E11" s="28" t="inlineStr">
        <is>
          <t>PART DUPLICATE (VER-DM6/VER-DM7/LC-4) — PART DEFERRED</t>
        </is>
      </c>
      <c r="F11" s="28" t="inlineStr">
        <is>
          <t>The review credits platformQuotas.ts and correctly identifies Docs as the binding constraint. The LIVE half is LC-4 and needs LC-1. The DISTRIBUTED half (shared budget across processes, fair queueing, backpressure, DLQ) is genuinely new work and is deferred, not done — today's governor paces a single process.</t>
        </is>
      </c>
    </row>
    <row r="12" ht="21.75" customHeight="1" s="22">
      <c r="A12" s="29" t="inlineStr">
        <is>
          <t>CGPT-DM-011</t>
        </is>
      </c>
      <c r="B12" s="28" t="inlineStr">
        <is>
          <t>MEDIUM</t>
        </is>
      </c>
      <c r="C12" s="28" t="inlineStr">
        <is>
          <t>Commercial moat</t>
        </is>
      </c>
      <c r="D12" s="28" t="inlineStr">
        <is>
          <t>Feature overlap with large incumbents is substantial</t>
        </is>
      </c>
      <c r="E12" s="28" t="inlineStr">
        <is>
          <t>DUPLICATE — R-D2 / R-D3, with new evidence</t>
        </is>
      </c>
      <c r="F12" s="28" t="inlineStr">
        <is>
          <t>The review adds install-count evidence: autoCrat 83M+, Form Publisher 24M+, Document Studio established. Recorded in the product workbook Risk_Register.</t>
        </is>
      </c>
    </row>
    <row r="13" ht="21.75" customHeight="1" s="22">
      <c r="A13" s="29" t="inlineStr">
        <is>
          <t>CGPT-DM-005</t>
        </is>
      </c>
      <c r="B13" s="28" t="inlineStr">
        <is>
          <t>HIGH</t>
        </is>
      </c>
      <c r="C13" s="28" t="inlineStr">
        <is>
          <t>Enterprise identity</t>
        </is>
      </c>
      <c r="D13" s="28" t="inlineStr">
        <is>
          <t>No demonstrated SAML/OIDC federation, SCIM, domain policy or break-glass</t>
        </is>
      </c>
      <c r="E13" s="28" t="inlineStr">
        <is>
          <t>VALID — DEFERRED pending D-DM2</t>
        </is>
      </c>
      <c r="F13" s="28" t="inlineStr">
        <is>
          <t>Nothing is broken. The review itself scores app-level auth "good" — signed sessions (DM-F07) and the tenant gate (DM-F16..F23) are in place. Federation is a bet on a buyer the product has never met. Not built.</t>
        </is>
      </c>
    </row>
    <row r="14" ht="21.75" customHeight="1" s="22">
      <c r="A14" s="29" t="inlineStr">
        <is>
          <t>CGPT-DM-007</t>
        </is>
      </c>
      <c r="B14" s="28" t="inlineStr">
        <is>
          <t>HIGH</t>
        </is>
      </c>
      <c r="C14" s="28" t="inlineStr">
        <is>
          <t>Resilience</t>
        </is>
      </c>
      <c r="D14" s="28" t="inlineStr">
        <is>
          <t>No live HA/DR/restore evidence (RTO/RPO, PITR, drills)</t>
        </is>
      </c>
      <c r="E14" s="28" t="inlineStr">
        <is>
          <t>VALID — DEFERRED (needs LC-1)</t>
        </is>
      </c>
      <c r="F14" s="28" t="inlineStr">
        <is>
          <t>The drill harness exists in src/resilience; measured drills need real infrastructure. Already tracked as SC-09 in SECURITY_EVIDENCE_PACK.md. Not built.</t>
        </is>
      </c>
    </row>
    <row r="15" ht="32.25" customHeight="1" s="22">
      <c r="A15" s="29" t="inlineStr">
        <is>
          <t>CGPT-DM-009</t>
        </is>
      </c>
      <c r="B15" s="28" t="inlineStr">
        <is>
          <t>HIGH</t>
        </is>
      </c>
      <c r="C15" s="28" t="inlineStr">
        <is>
          <t>Data governance</t>
        </is>
      </c>
      <c r="D15" s="28" t="inlineStr">
        <is>
          <t>Enterprise lifecycle incomplete — configurable retention, legal hold, export evidence</t>
        </is>
      </c>
      <c r="E15" s="28" t="inlineStr">
        <is>
          <t>VALID — DEFERRED pending D-DM2</t>
        </is>
      </c>
      <c r="F15" s="28" t="inlineStr">
        <is>
          <t>The review calls the purge foundation strong (DM-F09 remediation: PurgeRegistry over 16 stores, verifyRegistration build gate, per-store row counts, partial purge reported incomplete). Legal hold is a feature for a customer type not yet validated. Not built.</t>
        </is>
      </c>
    </row>
    <row r="16" ht="21.75" customHeight="1" s="22">
      <c r="A16" s="29" t="inlineStr">
        <is>
          <t>CGPT-DM-010</t>
        </is>
      </c>
      <c r="B16" s="28" t="inlineStr">
        <is>
          <t>MEDIUM</t>
        </is>
      </c>
      <c r="C16" s="28" t="inlineStr">
        <is>
          <t>Observability</t>
        </is>
      </c>
      <c r="D16" s="28" t="inlineStr">
        <is>
          <t>Production SLO evidence absent</t>
        </is>
      </c>
      <c r="E16" s="28" t="inlineStr">
        <is>
          <t>VALID — DEFERRED (needs LC-1)</t>
        </is>
      </c>
      <c r="F16" s="28" t="inlineStr">
        <is>
          <t>Requires 7-30 days of a running staging environment. Observability and performance modules exist and are tested; what is missing is history, which cannot be manufactured. Not built.</t>
        </is>
      </c>
    </row>
    <row r="18" ht="45.75" customHeight="1" s="22">
      <c r="A18" s="30" t="inlineStr">
        <is>
          <t>LIMITS OF THIS SESSION'S EVIDENCE — CodeQL is unverified (it runs only on GitHub infrastructure; its first green run there is the evidence, not the file). The secret scanner is a source-text net, not a proof — the same stated limit the tenant gate carries. `npm audit` reporting zero advisories is a statement about five devDependencies on 13 Sep 2026 and it ages. Nothing in this session touched a Google API, so every item the review marks as needing live platform proof still needs it.</t>
        </is>
      </c>
    </row>
    <row r="20" ht="90" customHeight="1" s="22">
      <c r="A20" s="32" t="inlineStr">
        <is>
          <t>RELEASE-INTEGRITY GATE (releaseGate.ts) — the three external findings are now a standing check rather than a fixed incident. Four rules over workflow text plus the files that actually exist: RG-01 an install command requiring a lockfile that is not in the repo (CRITICAL — the job cannot ever have completed); RG-02 a job implying an external action whose steps only echo and exit 0 (HIGH — a false green; a placeholder that exits 1 naming its blocker is accepted); RG-03 no audit, secret scan, SBOM or static analysis in any workflow (MEDIUM); RG-04 coverage computed and never uploaded (LOW). The test suite carries this repo's PRE-REVIEW ci.yml as a fixture and asserts it produces all four findings, and runs the gate against the live .github/workflows. 26 tests, 100% coverage on the module. Wired into CI as its own step. Also added to the portfolio guard kit as a fifth module, with README and TRIAGE sections.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12" customWidth="1" style="22" min="1" max="1"/>
    <col width="14" customWidth="1" style="22" min="2" max="2"/>
    <col width="20" customWidth="1" style="22" min="3" max="3"/>
    <col width="72" customWidth="1" style="22" min="4" max="4"/>
    <col width="22" customWidth="1" style="22" min="5" max="5"/>
    <col width="88" customWidth="1" style="22" min="6" max="6"/>
  </cols>
  <sheetData>
    <row r="1">
      <c r="A1" s="42" t="inlineStr">
        <is>
          <t>EXTERNAL REVIEW PPLX V001 — 16 September 2026 19:22 BST — Perplexity Computer (independent)</t>
        </is>
      </c>
    </row>
    <row r="2">
      <c r="A2" s="43" t="inlineStr">
        <is>
          <t>Score 5.9/10 BUILD. The review did not score the documents — it EXECUTED the code. Five checks had never been run before; three of them failed. Every engineering claim it could test, it confirmed: 882 tests, 100% coverage, the lockfile, the release gate and the PGlite contract result are all real. The finding is that they were all measuring the same half of the system.</t>
        </is>
      </c>
    </row>
    <row r="3">
      <c r="A3" s="44" t="inlineStr">
        <is>
          <t>ID</t>
        </is>
      </c>
      <c r="B3" s="44" t="inlineStr">
        <is>
          <t>Severity</t>
        </is>
      </c>
      <c r="C3" s="44" t="inlineStr">
        <is>
          <t>Area</t>
        </is>
      </c>
      <c r="D3" s="44" t="inlineStr">
        <is>
          <t>Finding (as reviewed)</t>
        </is>
      </c>
      <c r="E3" s="44" t="inlineStr">
        <is>
          <t>Disposition</t>
        </is>
      </c>
      <c r="F3" s="44" t="inlineStr">
        <is>
          <t>What was verified here / where it now lives</t>
        </is>
      </c>
    </row>
    <row r="4">
      <c r="A4" s="45" t="inlineStr">
        <is>
          <t>P-DM-001</t>
        </is>
      </c>
      <c r="B4" s="45" t="inlineStr">
        <is>
          <t>CRITICAL</t>
        </is>
      </c>
      <c r="C4" s="45" t="inlineStr">
        <is>
          <t>Architecture</t>
        </is>
      </c>
      <c r="D4" s="45" t="inlineStr">
        <is>
          <t>The platform adapter layer does not exist. A complete import census of src/ and scripts/ returns only Node built-ins; package.json has no dependencies block at all. Every external boundary — Drive, Docs, Sheets, the OAuth token endpoint, e-sign delivery, the Apps Script host, Postgres — is a TypeScript interface with only in-memory or test doubles behind it. The 100% coverage is 100% of the half of the system that does not touch Google.</t>
        </is>
      </c>
      <c r="E4" s="45" t="inlineStr">
        <is>
          <t>ACCEPTED — FIXED against recorded contracts; LIVE VERIFICATION OWED</t>
        </is>
      </c>
      <c r="F4" s="46" t="inlineStr">
        <is>
          <t>Confirmed exactly. S14/S15 wrote the adapters behind the existing interfaces (the injection discipline made this additive, as the review predicted): src/httpClient.ts (fetch), src/googleApi.ts (GoogleApiCaller + the production OAuthTransport — TOKEN_URL had never been requested), src/documentRenderer.ts, src/googleDriveHost.ts, src/googleSheetsSource.ts, src/googleTokenSource.ts, src/pgClient.ts, apps-script/. Every one is unit-proved against a fake HttpClient asserting exact URLs, headers and bodies. NOT ONE REQUEST HAS LEFT THIS MACHINE — live verification needs LC-1 and is listed in EXECUTION_EVIDENCE_S13_S19.md.</t>
        </is>
      </c>
    </row>
    <row r="5">
      <c r="A5" s="45" t="inlineStr">
        <is>
          <t>P-DM-002</t>
        </is>
      </c>
      <c r="B5" s="45" t="inlineStr">
        <is>
          <t>CRITICAL</t>
        </is>
      </c>
      <c r="C5" s="45" t="inlineStr">
        <is>
          <t>Deployment</t>
        </is>
      </c>
      <c r="D5" s="45" t="inlineStr">
        <is>
          <t>`npm start` starts nothing and exits 0. server.ts exports start(deps, port) and nothing calls it: no bootstrap, no require.main guard, no main.ts. The claim that 'the app refuses to start misconfigured' cannot be true because the app does not start — so the fail-closed readiness design most relied on by the deployment documents is unreachable. Fifth instance of the class the project has documented four times.</t>
        </is>
      </c>
      <c r="E5" s="45" t="inlineStr">
        <is>
          <t>ACCEPTED — FIXED, PROVED BY EXECUTION</t>
        </is>
      </c>
      <c r="F5" s="46" t="inlineStr">
        <is>
          <t>Confirmed. src/main.ts is the composition root: real dependencies chosen once, SIGTERM/SIGINT drain, package.json start points at it. GET /healthz and GET /readyz added (readiness is a real round trip, not a cached flag). tests/boot.test.ts SPAWNS the built artefact and asserts the port answers 200, that /readyz reports 503 when the database is unreachable and 200 when it is, and that a missing DATABASE_URL exits non-zero NAMING the variable. RG-05 added. Evidence EV-1/EV-2.</t>
        </is>
      </c>
    </row>
    <row r="6">
      <c r="A6" s="45" t="inlineStr">
        <is>
          <t>P-DM-003</t>
        </is>
      </c>
      <c r="B6" s="45" t="inlineStr">
        <is>
          <t>CRITICAL</t>
        </is>
      </c>
      <c r="C6" s="45" t="inlineStr">
        <is>
          <t>Persistence</t>
        </is>
      </c>
      <c r="D6" s="45" t="inlineStr">
        <is>
          <t>`pg` is required at runtime, never declared, and not installed; the production migration path crashes on Cannot find module. Without DATABASE_URL the script prints the plan and exits 0, which is why it never surfaced: the only path anyone ran returns before the require. G-09's PGlite contract suite proves the SQL is valid Postgres while proving nothing about the driver, the connection, the pool, TLS, or the migration runner that is its only production consumer.</t>
        </is>
      </c>
      <c r="E6" s="45" t="inlineStr">
        <is>
          <t>ACCEPTED — FIXED, PROVED AGAINST A REAL SERVER</t>
        </is>
      </c>
      <c r="F6" s="46" t="inlineStr">
        <is>
          <t>Confirmed. `pg` declared as the first runtime dependency; src/pgClient.ts wraps a real pool with configurable size, statement timeout and TLS. Six migrations applied against a REAL PostgreSQL 16 in this session, re-run is a clean no-op (EV-3). A new runtime-deps gate resolves every non-builtin import in src/ and scripts/ against `dependencies` only. Two further defects fell out: DM-F24 (BEGIN/COMMIT through a POOL may land on different connections — transactions are now pinned) and DM-F33 (migrate.js ignored the TLS contract the app enforces).</t>
        </is>
      </c>
    </row>
    <row r="7">
      <c r="A7" s="45" t="inlineStr">
        <is>
          <t>P-DM-004</t>
        </is>
      </c>
      <c r="B7" s="45" t="inlineStr">
        <is>
          <t>HIGH</t>
        </is>
      </c>
      <c r="C7" s="45" t="inlineStr">
        <is>
          <t>Supply chain</t>
        </is>
      </c>
      <c r="D7" s="45" t="inlineStr">
        <is>
          <t>The supply-chain evidence covers zero runtime components. All 280 SBOM components are development-time; with no dependencies block the runtime supply chain is empty, so `npm audit` reporting clean is a statement about Jest and TypeScript. Treat today's zero as unmeasured, not clean.</t>
        </is>
      </c>
      <c r="E7" s="45" t="inlineStr">
        <is>
          <t>ACCEPTED — FIXED</t>
        </is>
      </c>
      <c r="F7" s="46" t="inlineStr">
        <is>
          <t>Confirmed and correctly reasoned. src/sbomAssertions.ts + scripts/sbom-check.js assert the RUNTIME component count exceeds zero, wired into `npm run verify`. Re-baselined after the adapter layer landed: 13 runtime components of 296 total (the pg tree), audit still 0 vulnerabilities — and now that figure means something.</t>
        </is>
      </c>
    </row>
    <row r="8">
      <c r="A8" s="45" t="inlineStr">
        <is>
          <t>P-DM-005</t>
        </is>
      </c>
      <c r="B8" s="45" t="inlineStr">
        <is>
          <t>HIGH</t>
        </is>
      </c>
      <c r="C8" s="45" t="inlineStr">
        <is>
          <t>Add-on surface</t>
        </is>
      </c>
      <c r="D8" s="45" t="inlineStr">
        <is>
          <t>Neither add-on surface has any implementation — no appsscript.json, no Code.gs, no sidebar HTML, no CardService code. D-DM1 is therefore not a decision blocking work; it is a decision blocking a rewrite of work that was never started, and the real cost difference is not twelve stories but two hard capability walls: the Workspace type cannot provide document context or Apps Script triggers at all, and fourteen stories sit behind them. Close D-DM1 as Editor on capability, not UI cost.</t>
        </is>
      </c>
      <c r="E8" s="45" t="inlineStr">
        <is>
          <t>ACCEPTED — BUILT AS EDITOR; RATIFICATION OWED</t>
        </is>
      </c>
      <c r="F8" s="46" t="inlineStr">
        <is>
          <t>Confirmed: apps-script/ held one 3.1KB FormForwarder.gs and nothing else. S15 built the Editor add-on — appsscript.json GENERATED from addonSurface.ts + scopes.ts with a drift test so the manifest cannot diverge from the audited scope set, Code.gs (onOpen/onInstall/menu + the SidebarHost shim sidebar.ts always assumed), Sidebar.html at 300px, Signing.gs shared with FormForwarder. The reasoning correction is accepted in full and recorded in ADDON_SURFACE_DECISION.md. D-DM1 REMAINS OPEN as a ratification: the code was built on the recommendation, never pushed with clasp, never installed in a real Sheet.</t>
        </is>
      </c>
    </row>
    <row r="9">
      <c r="A9" s="45" t="inlineStr">
        <is>
          <t>P-DM-006</t>
        </is>
      </c>
      <c r="B9" s="45" t="inlineStr">
        <is>
          <t>HIGH</t>
        </is>
      </c>
      <c r="C9" s="45" t="inlineStr">
        <is>
          <t>Core function</t>
        </is>
      </c>
      <c r="D9" s="45" t="inlineStr">
        <is>
          <t>The merge engine is string substitution on a plain-text body and cannot produce a Google Doc or a PDF. Template.outputFormat ('pdf'|'docx') is never read by any rendering code. A real merge needs documents.batchUpdate against a template document id, a template stored AS a Doc (body:string cannot represent styling, tables, headers or images), table-row insertion for repeating groups, replaceImage for logos, and files.export for PDF — none of which is present. LC-9 is evidence about placeholder wiring, not about document output.</t>
        </is>
      </c>
      <c r="E9" s="45" t="inlineStr">
        <is>
          <t>ACCEPTED — FIXED against recorded contracts; LIVE VERIFICATION OWED</t>
        </is>
      </c>
      <c r="F9" s="46" t="inlineStr">
        <is>
          <t>Confirmed. src/documentRenderer.ts adds the DocumentRenderer boundary with GoogleDocsRenderer beneath it: files.copy, ONE documents.batchUpdate carrying replaceAllText + replaceImage + repeating-table rows, deleteContentRange for removed sections located by walking the fetched body, files.export for pdf/docx. templates.ts KEPT as the rules/validation/planning layer exactly as the review advised — its actionable per-placeholder errors are a real advantage and survive untouched; the new renderPlan() returns the same evaluation as data. Template gained templateDocId (migration 004). All 20 gallery templates re-render through the renderer and a Docs simulator asserts the output equals renderPreview byte-for-byte. The table index arithmetic is the most likely thing to break live.</t>
        </is>
      </c>
    </row>
    <row r="10">
      <c r="A10" s="45" t="inlineStr">
        <is>
          <t>P-DM-007</t>
        </is>
      </c>
      <c r="B10" s="45" t="inlineStr">
        <is>
          <t>HIGH</t>
        </is>
      </c>
      <c r="C10" s="45" t="inlineStr">
        <is>
          <t>Legal exposure</t>
        </is>
      </c>
      <c r="D10" s="45" t="inlineStr">
        <is>
          <t>The e-sign feature produces no signature: no signed PDF, no certificate of completion, no cryptographic binding of signer intent to a document hash, no signer authentication, no consent capture, no provider adapter, and every in-flight request is lost on restart. A Marketplace listing claiming e-signature backed by a state machine that produces no signature is the highest-severity instance of C-02 in the portfolio, because unlike the others it has consequences beyond the product. Do the honest half now: rename to 'approval requests' everywhere.</t>
        </is>
      </c>
      <c r="E10" s="45" t="inlineStr">
        <is>
          <t>ACCEPTED — HONEST HALF DONE; PROVIDER IS AN OPEN DECISION (D-DM6)</t>
        </is>
      </c>
      <c r="F10" s="46" t="inlineStr">
        <is>
          <t>Confirmed, and the argument is accepted in full. S16 renamed the feature to Approval requests across the help centre, listing copy, site, module headers, empty states and notifications (TypeScript identifiers kept deliberately — renaming every symbol is churn with no honesty gained). src/claimsGate.ts makes it permanent: a repository gate over user-facing copy with two separately-argued exemption lists. It has already earned itself twice — it failed a NEW sentence written by someone who had just read the codebase, and widening its scope (DM-F34/DM-F36) caught the privacy/CASA pack and both pen-test documents still describing a signature product four days after the rename. src/esignProvider.ts adds the boundary; no vendor is integrated and NotConfiguredEsignProvider refuses with a typed error.</t>
        </is>
      </c>
    </row>
    <row r="11">
      <c r="A11" s="45" t="inlineStr">
        <is>
          <t>P-DM-008</t>
        </is>
      </c>
      <c r="B11" s="45" t="inlineStr">
        <is>
          <t>CRITICAL</t>
        </is>
      </c>
      <c r="C11" s="45" t="inlineStr">
        <is>
          <t>Commercial</t>
        </is>
      </c>
      <c r="D11" s="45" t="inlineStr">
        <is>
          <t>The financial model never reaches breakeven and the sheet's own reading note implies it does. Re-implementing the Financial_Model formulas exactly as written gives cumulative -$228,150 at M18 with the gap still widening at M12. To break even at M18 needs 2.4x the modelled MRR. Not a modelling error — the formulas are internally correct — but a strategy finding: $19/month against a $12k/month cost base is not a viable structure at achievable Workspace Marketplace volumes.</t>
        </is>
      </c>
      <c r="E11" s="45" t="inlineStr">
        <is>
          <t>ACCEPTED — ARITHMETIC REPRODUCED AND CORRECTED IN THE WORKBOOK; PRICING IS AN OPEN DECISION (D-DM5)</t>
        </is>
      </c>
      <c r="F11" s="46" t="inlineStr">
        <is>
          <t>The arithmetic was re-implemented independently in this session and MATCHES the review to the dollar. Product workbook v047 adds Financial_Model_v2 with the free tier's cost modelled (absent before and the largest operating cost in a freemium Marketplace product), an explicit breakeven row that states 'none in horizon' when true, and three scenarios. The original model is KEPT alongside, unaltered, so the comparison is legible. The reading note that presupposed a breakeven month is corrected. Pricing itself is Senthil's call and is NOT closed here.</t>
        </is>
      </c>
    </row>
    <row r="12">
      <c r="A12" s="45" t="inlineStr">
        <is>
          <t>P-DM-009</t>
        </is>
      </c>
      <c r="B12" s="45" t="inlineStr">
        <is>
          <t>MED/HIGH</t>
        </is>
      </c>
      <c r="C12" s="45" t="inlineStr">
        <is>
          <t>Durability</t>
        </is>
      </c>
      <c r="D12" s="45" t="inlineStr">
        <is>
          <t>Six Postgres repositories exist against thirty in-memory stores. Signature requests, batch jobs, form triggers, rate-limit state, webhook dedupe, the hash-chained audit ledger and sessions have no Postgres implementation. The webhook-dedupe and audit-ledger cases are the serious ones: billingHardening.ts is 465 lines of careful idempotency whose dedupe key set lives in a Map, so its correctness holds only within a single process lifetime; and a bounded hash-chained audit log that vanishes on restart cannot serve the auditability that is the product's actual differentiator. This should not be behind D-DM2 — it is single-process correctness, not enterprise tier.</t>
        </is>
      </c>
      <c r="E12" s="45" t="inlineStr">
        <is>
          <t>ACCEPTED — FIXED (seven stores, in the review's order)</t>
        </is>
      </c>
      <c r="F12" s="46" t="inlineStr">
        <is>
          <t>Confirmed, and the reasoning that it does not belong behind D-DM2 is accepted. src/postgresDurable.ts + migration 005 in the order the review gave: webhook dedupe, audit ledger (hash chain preserved across restarts with the eviction anchor persisted, so truncation is still REPORTED rather than hidden), approval requests, batch jobs (per-row checkpoint; a restart neither duplicates nor drops), form triggers, rate-limit state, sessions. Plus PostgresDeletionScheduler, closing the last MemoryDeletionScheduler. Crash-restart invariant tests per store, contract-tested on PGlite. Honest limit: restart is proved process-internally, not with kill -9, and PGlite is single-connection so FOR UPDATE contention between two connections is unexercised.</t>
        </is>
      </c>
    </row>
    <row r="13">
      <c r="A13" s="45" t="inlineStr">
        <is>
          <t>P-DM-010</t>
        </is>
      </c>
      <c r="B13" s="45" t="inlineStr">
        <is>
          <t>MEDIUM</t>
        </is>
      </c>
      <c r="C13" s="45" t="inlineStr">
        <is>
          <t>Gate discipline</t>
        </is>
      </c>
      <c r="D13" s="45" t="inlineStr">
        <is>
          <t>The coverage gate's only exemption is where the boot defect lives. DM-F22 established that exemptions are tests with a meta-gate — but that governs tenant-gate exemptions only. The coverage gate's `istanbul ignore` in server.ts had no meta-gate, no test naming it, and a stated compensating control ('verified by booting the server') that was never carried out. Broaden the principle: every exemption in the repository, of any gate, needs a named test and a meta-gate.</t>
        </is>
      </c>
      <c r="E13" s="45" t="inlineStr">
        <is>
          <t>ACCEPTED — FIXED, PRINCIPLE BROADENED</t>
        </is>
      </c>
      <c r="F13" s="46" t="inlineStr">
        <is>
          <t>Confirmed, and this is the sharpest finding in the review. server.ts no longer carries an exemption at all: start() takes its environment and server factory by injection and is unit-tested at 100%. The ONE remaining pragma in the repository (the require.main guard in main.ts) names tests/boot.test.ts as its compensating control, and RG-06 fails the build if any coverage pragma names no control or names a test that does not exist. Registered as portfolio class C-18.</t>
        </is>
      </c>
    </row>
    <row r="14">
      <c r="A14" s="45" t="inlineStr">
        <is>
          <t>P-DM-011</t>
        </is>
      </c>
      <c r="B14" s="45" t="inlineStr">
        <is>
          <t>MEDIUM</t>
        </is>
      </c>
      <c r="C14" s="45" t="inlineStr">
        <is>
          <t>Platform reality</t>
        </is>
      </c>
      <c r="D14" s="45" t="inlineStr">
        <is>
          <t>Launch planning assumes an app review of days; sensitive-scope OAuth verification is running weeks to months, with documented cases stuck past eight weeks. The planning consequence is favourable and inverts the recorded sequencing anxiety: the review clock is long, uncontrollable, and CAN BE STARTED BEFORE THE PRODUCT IS FINISHED. The domain and GCP project are urgent because they start a slow external clock, not because they unblock engineering — they do not.</t>
        </is>
      </c>
      <c r="E14" s="45" t="inlineStr">
        <is>
          <t>ACCEPTED — PLANNING CORRECTION, NO CODE</t>
        </is>
      </c>
      <c r="F14" s="46" t="inlineStr">
        <is>
          <t>Accepted in full and it is the correction with the largest practical effect on the next two weeks. STATE_OF_DOCMERGE.md and the S13-S19 plan are rewritten around concurrent clocks: LC-1 and the legal review (R-D22) start now and run ALONGSIDE engineering rather than in front of it. Recorded against R-D8/R-D12/R-D15, whose stated reasoning was wrong even though their urgency was right.</t>
        </is>
      </c>
    </row>
    <row r="15">
      <c r="A15" s="45" t="inlineStr">
        <is>
          <t>P-DM-012</t>
        </is>
      </c>
      <c r="B15" s="45" t="inlineStr">
        <is>
          <t>LOW</t>
        </is>
      </c>
      <c r="C15" s="45" t="inlineStr">
        <is>
          <t>Evidence hygiene</t>
        </is>
      </c>
      <c r="D15" s="45" t="inlineStr">
        <is>
          <t>The 'autoCrat 83M+ installs' figure could not be confirmed at the primary source and is carrying the load in two documents and in the highest-graded risk row. Form Publisher 24M+ and Document Studio 6M+ were confirmed directly from their listings. This project's own standard (VER-DM5, G-09, the whole PGlite session) is that a quoted number is re-verified rather than remembered.</t>
        </is>
      </c>
      <c r="E15" s="45" t="inlineStr">
        <is>
          <t>ACCEPTED — FIXED</t>
        </is>
      </c>
      <c r="F15" s="46" t="inlineStr">
        <is>
          <t>Confirmed: the figure appeared in the Risk_Register, the CGPT response and DECISION_PACK.md, and in no source file. Replaced everywhere with the two confirmed figures, attributed as Marketplace listing figures. src/listing.ts now carries CONFIRMED_COMPETITOR_INSTALLS and RETIRED_COMPETITOR_FIGURES, the latter recording autoCrat 83M+ as retired under P-DM-012 so a deleted number cannot quietly come back.</t>
        </is>
      </c>
    </row>
    <row r="17">
      <c r="A17" s="47" t="inlineStr">
        <is>
          <t>WHAT THE REVIEW GOT RIGHT THAT NO INTERNAL INSTRUMENT HAD CAUGHT</t>
        </is>
      </c>
    </row>
    <row r="18">
      <c r="A18" s="45" t="inlineStr">
        <is>
          <t>Every internal instrument was pointed at the code that exists. None could see the code that was never written — and the dependency-injection discipline that makes this codebase testable is exactly what made the omission invisible. That is the portfolio lesson (class C-16), and integrationGate.ts is the standing check built from it.</t>
        </is>
      </c>
    </row>
    <row r="19">
      <c r="A19" s="45" t="inlineStr">
        <is>
          <t>The review's own prediction proved true: because every interface an adapter needed was already written, already tested and already correct, closing the gap was ADDITIVE rather than a rewrite. Seven sprints landed without lowering the coverage threshold or rewriting a domain module.</t>
        </is>
      </c>
    </row>
    <row r="20">
      <c r="A20" s="45" t="inlineStr">
        <is>
          <t>It was also right that the diagnosis had been mis-attributed for three days. 'Everything I can do alone on this product is done' and 'the highest-value hour is registering a domain' were both wrong, and roughly six sprints of unblocked, customer-facing engineering were sitting in front of us.</t>
        </is>
      </c>
    </row>
    <row r="22">
      <c r="A22" s="47" t="inlineStr">
        <is>
          <t>WHERE THIS RESPONSE DEPARTS FROM THE REVIEW</t>
        </is>
      </c>
    </row>
    <row r="23">
      <c r="A23" s="45" t="inlineStr">
        <is>
          <t>S14 was built on direct REST calls through one injected HttpClient rather than the googleapis SDK the review suggested. Reason: every call is still real and the runtime dependency tree stays at `pg` alone, which keeps the P-DM-004 audit legible instead of importing a large transitive graph on the day we first gained a runtime tree at all. The trade is ours to defend — an SDK would carry retry and pagination for free.</t>
        </is>
      </c>
    </row>
    <row r="24">
      <c r="A24" s="45" t="inlineStr">
        <is>
          <t>The review says the 100% coverage gate is 'structurally incapable' of detecting missing integration code. Exactly right for coverage — but it reads as though no gate could. A gate over the TYPE DECLARATIONS rather than the executed lines does detect it, which is what integrationGate.ts does, and it found two more instances within an hour of being written.</t>
        </is>
      </c>
    </row>
    <row r="25">
      <c r="A25" s="45" t="inlineStr">
        <is>
          <t>P-DM-008's recommendation to raise ARPU 3-5x is presented as the only option consistent with what was built. Option 2 (cut the cost base to solo-founder level) deserves equal weight: it makes the CURRENT model break even around M14 with no repositioning risk, and it is the option available without a single customer conversation. Both are modelled in the workbook; the choice is Senthil's.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0" customWidth="1" style="22" min="1" max="1"/>
    <col width="34" customWidth="1" style="22" min="2" max="2"/>
    <col width="26" customWidth="1" style="22" min="3" max="3"/>
    <col width="26" customWidth="1" style="22" min="4" max="4"/>
    <col width="66" customWidth="1" style="22" min="5" max="5"/>
    <col width="78" customWidth="1" style="22" min="6" max="6"/>
  </cols>
  <sheetData>
    <row r="1">
      <c r="A1" s="42" t="inlineStr">
        <is>
          <t>SPRINT PLAN S13-S19 — as proposed by external review PPLX V001, and ADOPTED</t>
        </is>
      </c>
    </row>
    <row r="2">
      <c r="A2" s="43" t="inlineStr">
        <is>
          <t>ADOPTED, unlike the CGPT S13-S32 plan on the next sheet, which remains recorded as proposed. The organising principle is the correction the review most wanted to make: S13-S18 need nothing from Senthil — no GCP project, no domain, no lawyer, no budget, no open decision — which directly reverses the recorded conclusion that 'everything I can do alone on this product is done'. These are NOT the deferred RR-06..RR-10 sprints; D-DM2 stands as decided.</t>
        </is>
      </c>
    </row>
    <row r="3">
      <c r="A3" s="44" t="inlineStr">
        <is>
          <t>Sprint</t>
        </is>
      </c>
      <c r="B3" s="44" t="inlineStr">
        <is>
          <t>Objective</t>
        </is>
      </c>
      <c r="C3" s="44" t="inlineStr">
        <is>
          <t>Findings closed</t>
        </is>
      </c>
      <c r="D3" s="44" t="inlineStr">
        <is>
          <t>Needs Senthil?</t>
        </is>
      </c>
      <c r="E3" s="44" t="inlineStr">
        <is>
          <t>Exit evidence the review named</t>
        </is>
      </c>
      <c r="F3" s="44" t="inlineStr">
        <is>
          <t>Status in this tracker</t>
        </is>
      </c>
    </row>
    <row r="4">
      <c r="A4" s="45" t="inlineStr">
        <is>
          <t>S13</t>
        </is>
      </c>
      <c r="B4" s="45" t="inlineStr">
        <is>
          <t>Make it run</t>
        </is>
      </c>
      <c r="C4" s="45" t="inlineStr">
        <is>
          <t>P-DM-002, P-DM-003, P-DM-010</t>
        </is>
      </c>
      <c r="D4" s="45" t="inlineStr">
        <is>
          <t>No</t>
        </is>
      </c>
      <c r="E4" s="45" t="inlineStr">
        <is>
          <t>npm ci &amp;&amp; build &amp;&amp; start, then curl /healthz returns 200; same with DATABASE_URL removed exits non-zero naming the variable; migrate against a CI Postgres applies all migrations and a re-run is a clean no-op; jest still 100/100/100/100.</t>
        </is>
      </c>
      <c r="F4" s="46" t="inlineStr">
        <is>
          <t>DONE 20 Sep. All four produced (EXECUTION_EVIDENCE_S13_S19.md EV-1..EV-4), the migration run against a real PostgreSQL 16 rather than a CI service. RG-05, RG-06 and the runtime-deps gate added.</t>
        </is>
      </c>
    </row>
    <row r="5">
      <c r="A5" s="45" t="inlineStr">
        <is>
          <t>S14</t>
        </is>
      </c>
      <c r="B5" s="45" t="inlineStr">
        <is>
          <t>Make it render</t>
        </is>
      </c>
      <c r="C5" s="45" t="inlineStr">
        <is>
          <t>P-DM-006, P-DM-001a, P-DM-004</t>
        </is>
      </c>
      <c r="D5" s="45" t="inlineStr">
        <is>
          <t>Test GCP project only</t>
        </is>
      </c>
      <c r="E5" s="45" t="inlineStr">
        <is>
          <t>A committed integration test against a real test Google account that creates a Doc from a template, merges 5 rows including one image and one repeating table, exports PDF and asserts extracted PDF text; all 20 gallery templates render; audit runs against a runtime tree.</t>
        </is>
      </c>
      <c r="F5" s="46" t="inlineStr">
        <is>
          <t>DONE-IN-CODE 20 Sep, LIVE HALF OWED. The renderer, all 20 gallery templates and the SBOM assertion are done and proved against recorded contracts; the real-Google-account test is the one exit criterion that cannot be met without LC-1 and is NOT claimed.</t>
        </is>
      </c>
    </row>
    <row r="6">
      <c r="A6" s="45" t="inlineStr">
        <is>
          <t>S15</t>
        </is>
      </c>
      <c r="B6" s="45" t="inlineStr">
        <is>
          <t>Make it installable</t>
        </is>
      </c>
      <c r="C6" s="45" t="inlineStr">
        <is>
          <t>P-DM-005, P-DM-001b</t>
        </is>
      </c>
      <c r="D6" s="45" t="inlineStr">
        <is>
          <t>Test GCP project only</t>
        </is>
      </c>
      <c r="E6" s="45" t="inlineStr">
        <is>
          <t>Manual install into a test Sheet, recorded as the OAuth verification demo video (one recording, two purposes). Automated: real Drive filing including the rename conflict path against a live folder; real token refresh including the rotated-refresh-token case.</t>
        </is>
      </c>
      <c r="F6" s="46" t="inlineStr">
        <is>
          <t>DONE-IN-CODE 20 Sep, LIVE HALF OWED. Manifest, Apps Script project, Drive/Sheets/token adapters and host-capability contract tests are done; the install and the recording need LC-1. D-DM1 ratification owed.</t>
        </is>
      </c>
    </row>
    <row r="7">
      <c r="A7" s="45" t="inlineStr">
        <is>
          <t>S16</t>
        </is>
      </c>
      <c r="B7" s="45" t="inlineStr">
        <is>
          <t>Make it durable and honest</t>
        </is>
      </c>
      <c r="C7" s="45" t="inlineStr">
        <is>
          <t>P-DM-009, P-DM-007, DM-F19/F20</t>
        </is>
      </c>
      <c r="D7" s="45" t="inlineStr">
        <is>
          <t>One decision (e-sign)</t>
        </is>
      </c>
      <c r="E7" s="45" t="inlineStr">
        <is>
          <t>A crash-restart test per store — kill the process mid-operation, restart, assert the invariant. A repository-wide grep gate proving zero signature claims remain.</t>
        </is>
      </c>
      <c r="F7" s="46" t="inlineStr">
        <is>
          <t>DONE 20 Sep. Seven stores durable with per-store restart invariants (process-internal, not kill -9 — stated). claimsGate.ts is the grep gate and reports zero claims across a scope now widened to every document a third party reads. The rename is done; the PROVIDER decision is D-DM6 and remains Senthil's.</t>
        </is>
      </c>
    </row>
    <row r="8">
      <c r="A8" s="45" t="inlineStr">
        <is>
          <t>S17</t>
        </is>
      </c>
      <c r="B8" s="45" t="inlineStr">
        <is>
          <t>Make it sellable</t>
        </is>
      </c>
      <c r="C8" s="45" t="inlineStr">
        <is>
          <t>P-DM-008, P-DM-012, §5</t>
        </is>
      </c>
      <c r="D8" s="45" t="inlineStr">
        <is>
          <t>Pricing call</t>
        </is>
      </c>
      <c r="E8" s="45" t="inlineStr">
        <is>
          <t>A model showing a breakeven month under stated assumptions; pricing page and listing copy consistent with it; zero references to a CASA badge or to mobile availability.</t>
        </is>
      </c>
      <c r="F8" s="46" t="inlineStr">
        <is>
          <t>CODE HALF DONE 20 Sep; PRICING IS SENTHIL'S. Governance surfaces (customer-verifiable audit export, tenant-isolation statement, honest batch-SLO page — all generated from the enforcing code), entitlement tiers, quota re-verification, listing corrections, and a gate that fails the build on a CASA-badge or mobile claim. Financial_Model_v2 is in product workbook v047. The pricing decision is D-DM5.</t>
        </is>
      </c>
    </row>
    <row r="9">
      <c r="A9" s="45" t="inlineStr">
        <is>
          <t>S18</t>
        </is>
      </c>
      <c r="B9" s="45" t="inlineStr">
        <is>
          <t>Make it operable</t>
        </is>
      </c>
      <c r="C9" s="45" t="inlineStr">
        <is>
          <t>Deployment, observability</t>
        </is>
      </c>
      <c r="D9" s="45" t="inlineStr">
        <is>
          <t>Real LC-1</t>
        </is>
      </c>
      <c r="E9" s="45" t="inlineStr">
        <is>
          <t>Destroy -&gt; recreate -&gt; deploy -&gt; migrate -&gt; smoke -&gt; rollback -&gt; redeploy, twice, from CI logs. One restore with a measured time.</t>
        </is>
      </c>
      <c r="F9" s="46" t="inlineStr">
        <is>
          <t>BUILT, EXECUTION OWED. Dockerfile, Terraform (Cloud Run + Cloud SQL private IP), a deploy workflow that FAILS CLOSED naming LC-1 rather than reporting a false green, redacting structured logger with a PII assertion test, SLO error budgets, synthetic monitor (run for real against the local build), one alert with a runbook. The restore drill RAN: RTO 95ms measured. The destroy/recreate sequence needs a project.</t>
        </is>
      </c>
    </row>
    <row r="10">
      <c r="A10" s="45" t="inlineStr">
        <is>
          <t>S19</t>
        </is>
      </c>
      <c r="B10" s="45" t="inlineStr">
        <is>
          <t>Evidence from strangers</t>
        </is>
      </c>
      <c r="C10" s="45" t="inlineStr">
        <is>
          <t>G-01..G-04 + the fourth gate class</t>
        </is>
      </c>
      <c r="D10" s="45" t="inlineStr">
        <is>
          <t>Submission</t>
        </is>
      </c>
      <c r="E10" s="45" t="inlineStr">
        <is>
          <t>Submit for verification as early as S15 allows; instrument install-&gt;first-document, where people stop, which template they pick first; ship to 50 installs; add integrationGate and test it against RevRescue, TeleField and FlowCast.</t>
        </is>
      </c>
      <c r="F10" s="46" t="inlineStr">
        <is>
          <t>GATE DONE, EVIDENCE OWED. integrationGate.ts is built, wired into CI, and fired 16 findings on its first run against this repository including two stubs written the same hour — the review predicted it would fire. Submission, telemetry-from-strangers and the sibling runs (R-D18) all need Senthil.</t>
        </is>
      </c>
    </row>
    <row r="12">
      <c r="A12" s="43" t="inlineStr">
        <is>
          <t>DESIGN PRINCIPLES, quoted from the review and honoured: (1) S13-S18 need nothing from Senthil. (2) Every sprint closes with evidence produced by EXECUTION, not by a document — each exit criterion names the command whose output is the evidence. (3) Every new gate joins releaseGate.ts so the class is caught on every commit, not once: sweeps find a class once, gates find it every commit. (4) The existing 882 tests stay green at 100% throughout; any sprint that lowers the threshold has failed — the threshold was never lowered and the suite is now 1486. (5) These are not RR-06..RR-10.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S13 BUILD BOARD — Make it run — exit: the repository produces a process that starts, serves, and refuses to start when misconfigured, PROVED BY EXECUTION</t>
        </is>
      </c>
    </row>
    <row r="2">
      <c r="A2" s="43" t="inlineStr">
        <is>
          <t>Closes P-DM-002, P-DM-003, P-DM-010. Blocked on Senthil: nothing. This is the sprint that reverses 'everything I can do alone on this product is done'.</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S13-01</t>
        </is>
      </c>
      <c r="B4" s="45" t="inlineStr">
        <is>
          <t>src/main.ts composition root: choose the production implementation of every injected boundary, once, in one readable place</t>
        </is>
      </c>
      <c r="C4" s="45" t="inlineStr">
        <is>
          <t>P-DM-002</t>
        </is>
      </c>
      <c r="D4" s="45" t="n">
        <v>8</v>
      </c>
      <c r="E4" s="45" t="inlineStr">
        <is>
          <t>Claude</t>
        </is>
      </c>
      <c r="F4" s="48" t="inlineStr">
        <is>
          <t>Done</t>
        </is>
      </c>
      <c r="G4" s="46" t="inlineStr">
        <is>
          <t>The defect was not that start() was wrong — it was that nothing chose an implementation. Every adapter is injected into main() so the whole composition is unit-tested at 100%.</t>
        </is>
      </c>
    </row>
    <row r="5">
      <c r="A5" s="45" t="inlineStr">
        <is>
          <t>S13-02</t>
        </is>
      </c>
      <c r="B5" s="45" t="inlineStr">
        <is>
          <t>SIGTERM/SIGINT graceful drain: stop accepting, wait for in-flight up to a budget, close the pool</t>
        </is>
      </c>
      <c r="C5" s="45" t="inlineStr">
        <is>
          <t>P-DM-002</t>
        </is>
      </c>
      <c r="D5" s="45" t="n">
        <v>3</v>
      </c>
      <c r="E5" s="45" t="inlineStr">
        <is>
          <t>Claude</t>
        </is>
      </c>
      <c r="F5" s="48" t="inlineStr">
        <is>
          <t>Done</t>
        </is>
      </c>
      <c r="G5" s="46" t="inlineStr">
        <is>
          <t>drain() with a timeout branch; shutdown is idempotent (same promise). Proved by the boot test: SIGTERM produces shutdown.complete and exit 0.</t>
        </is>
      </c>
    </row>
    <row r="6">
      <c r="A6" s="45" t="inlineStr">
        <is>
          <t>S13-03</t>
        </is>
      </c>
      <c r="B6" s="45" t="inlineStr">
        <is>
          <t>Point package.json start at the bootstrap; remove the entrypoint that exported and invoked nothing</t>
        </is>
      </c>
      <c r="C6" s="45" t="inlineStr">
        <is>
          <t>P-DM-002</t>
        </is>
      </c>
      <c r="D6" s="45" t="n">
        <v>1</v>
      </c>
      <c r="E6" s="45" t="inlineStr">
        <is>
          <t>Claude</t>
        </is>
      </c>
      <c r="F6" s="48" t="inlineStr">
        <is>
          <t>Done</t>
        </is>
      </c>
      <c r="G6" s="46" t="inlineStr">
        <is>
          <t>`npm start` -&gt; node dist/main.js. EV-1: port opens, /healthz 200.</t>
        </is>
      </c>
    </row>
    <row r="7">
      <c r="A7" s="45" t="inlineStr">
        <is>
          <t>S13-04</t>
        </is>
      </c>
      <c r="B7" s="45" t="inlineStr">
        <is>
          <t>GET /healthz (liveness) and GET /readyz (readiness: DB reachable, config resolved), both reachable from the BUILT artefact</t>
        </is>
      </c>
      <c r="C7" s="45" t="inlineStr">
        <is>
          <t>P-DM-002</t>
        </is>
      </c>
      <c r="D7" s="45" t="n">
        <v>5</v>
      </c>
      <c r="E7" s="45" t="inlineStr">
        <is>
          <t>Claude</t>
        </is>
      </c>
      <c r="F7" s="48" t="inlineStr">
        <is>
          <t>Done</t>
        </is>
      </c>
      <c r="G7" s="46" t="inlineStr">
        <is>
          <t>readyz is a real round trip per check, never a cached flag, and fails closed when no checks are configured. 503 with the database down, 200 with it up — both asserted against the spawned build.</t>
        </is>
      </c>
    </row>
    <row r="8">
      <c r="A8" s="45" t="inlineStr">
        <is>
          <t>S13-05</t>
        </is>
      </c>
      <c r="B8" s="45" t="inlineStr">
        <is>
          <t>Declare `pg` as the first runtime dependency; add PgSqlClient over a real pool with pool size, statement timeout and TLS from the env contract</t>
        </is>
      </c>
      <c r="C8" s="45" t="inlineStr">
        <is>
          <t>P-DM-003</t>
        </is>
      </c>
      <c r="D8" s="45" t="n">
        <v>5</v>
      </c>
      <c r="E8" s="45" t="inlineStr">
        <is>
          <t>Claude</t>
        </is>
      </c>
      <c r="F8" s="48" t="inlineStr">
        <is>
          <t>Done</t>
        </is>
      </c>
      <c r="G8" s="46" t="inlineStr">
        <is>
          <t>src/pgClient.ts. DATABASE_SSL accepts require / allow-unverified / disable, and REFUSES disable in production.</t>
        </is>
      </c>
    </row>
    <row r="9">
      <c r="A9" s="45" t="inlineStr">
        <is>
          <t>S13-06</t>
        </is>
      </c>
      <c r="B9" s="45" t="inlineStr">
        <is>
          <t>DM-F24: pin transactions to one connection — BEGIN/COMMIT through a pool may land on different connections</t>
        </is>
      </c>
      <c r="C9" s="45" t="inlineStr">
        <is>
          <t>P-DM-003 (new)</t>
        </is>
      </c>
      <c r="D9" s="45" t="n">
        <v>3</v>
      </c>
      <c r="E9" s="45" t="inlineStr">
        <is>
          <t>Claude</t>
        </is>
      </c>
      <c r="F9" s="48" t="inlineStr">
        <is>
          <t>Done</t>
        </is>
      </c>
      <c r="G9" s="46" t="inlineStr">
        <is>
          <t>Found while writing the driver. PostgresTemplateRepo.save was atomic only against a single-connection fake. SqlClient gained transaction(); PinnedClient checks out one client and releases it in finally, discarding a broken socket on a failed rollback.</t>
        </is>
      </c>
    </row>
    <row r="10">
      <c r="A10" s="45" t="inlineStr">
        <is>
          <t>S13-07</t>
        </is>
      </c>
      <c r="B10" s="45" t="inlineStr">
        <is>
          <t>Run scripts/migrate.js against a REAL Postgres; make the simple-query-protocol test assert against a path that executes</t>
        </is>
      </c>
      <c r="C10" s="45" t="inlineStr">
        <is>
          <t>P-DM-003</t>
        </is>
      </c>
      <c r="D10" s="45" t="n">
        <v>3</v>
      </c>
      <c r="E10" s="45" t="inlineStr">
        <is>
          <t>Claude</t>
        </is>
      </c>
      <c r="F10" s="48" t="inlineStr">
        <is>
          <t>Done</t>
        </is>
      </c>
      <c r="G10" s="46" t="inlineStr">
        <is>
          <t>EV-3: six migrations applied against PostgreSQL 16, re-run a clean no-op. The protocol test guarded a broken path — the same shape as RG-01 one level down.</t>
        </is>
      </c>
    </row>
    <row r="11">
      <c r="A11" s="45" t="inlineStr">
        <is>
          <t>S13-08</t>
        </is>
      </c>
      <c r="B11" s="45" t="inlineStr">
        <is>
          <t>DM-F33: migrate.js ignored the TLS contract the application enforces</t>
        </is>
      </c>
      <c r="C11" s="45" t="inlineStr">
        <is>
          <t>P-DM-003 (new)</t>
        </is>
      </c>
      <c r="D11" s="45" t="n">
        <v>2</v>
      </c>
      <c r="E11" s="45" t="inlineStr">
        <is>
          <t>Claude</t>
        </is>
      </c>
      <c r="F11" s="48" t="inlineStr">
        <is>
          <t>Done</t>
        </is>
      </c>
      <c r="G11" s="46" t="inlineStr">
        <is>
          <t>It built a bare pg.Client. Against a server with no TLS the default now refuses and says so, rather than silently connecting in clear text to an instance the app itself would reject.</t>
        </is>
      </c>
    </row>
    <row r="12">
      <c r="A12" s="45" t="inlineStr">
        <is>
          <t>S13-09</t>
        </is>
      </c>
      <c r="B12" s="45" t="inlineStr">
        <is>
          <t>RG-05 — a declared start script whose entrypoint module invokes nothing</t>
        </is>
      </c>
      <c r="C12" s="45" t="inlineStr">
        <is>
          <t>P-DM-002</t>
        </is>
      </c>
      <c r="D12" s="45" t="n">
        <v>3</v>
      </c>
      <c r="E12" s="45" t="inlineStr">
        <is>
          <t>Claude</t>
        </is>
      </c>
      <c r="F12" s="48" t="inlineStr">
        <is>
          <t>Done</t>
        </is>
      </c>
      <c r="G12" s="46" t="inlineStr">
        <is>
          <t>In releaseGate.ts with the pre-S13 shape as a regression fixture. Portfolio class C-19.</t>
        </is>
      </c>
    </row>
    <row r="13">
      <c r="A13" s="45" t="inlineStr">
        <is>
          <t>S13-10</t>
        </is>
      </c>
      <c r="B13" s="45" t="inlineStr">
        <is>
          <t>RG-06 — a coverage-ignore pragma with no named compensating control, or one naming a test that does not exist</t>
        </is>
      </c>
      <c r="C13" s="45" t="inlineStr">
        <is>
          <t>P-DM-010</t>
        </is>
      </c>
      <c r="D13" s="45" t="n">
        <v>3</v>
      </c>
      <c r="E13" s="45" t="inlineStr">
        <is>
          <t>Claude</t>
        </is>
      </c>
      <c r="F13" s="48" t="inlineStr">
        <is>
          <t>Done</t>
        </is>
      </c>
      <c r="G13" s="46" t="inlineStr">
        <is>
          <t>Broadens DM-F22 from tenant-gate exemptions to every gate. The repository's one remaining pragma names tests/boot.test.ts.</t>
        </is>
      </c>
    </row>
    <row r="14">
      <c r="A14" s="45" t="inlineStr">
        <is>
          <t>S13-11</t>
        </is>
      </c>
      <c r="B14" s="45" t="inlineStr">
        <is>
          <t>Remove the coverage exemption from server.ts entirely rather than documenting it better</t>
        </is>
      </c>
      <c r="C14" s="45" t="inlineStr">
        <is>
          <t>P-DM-010</t>
        </is>
      </c>
      <c r="D14" s="45" t="n">
        <v>3</v>
      </c>
      <c r="E14" s="45" t="inlineStr">
        <is>
          <t>Claude</t>
        </is>
      </c>
      <c r="F14" s="48" t="inlineStr">
        <is>
          <t>Done</t>
        </is>
      </c>
      <c r="G14" s="46" t="inlineStr">
        <is>
          <t>start() now takes its environment and server factory by injection, so it is ordinary tested code. The exemption was the only place the coverage gate was not looking, and the defect was inside it.</t>
        </is>
      </c>
    </row>
    <row r="15">
      <c r="A15" s="45" t="inlineStr">
        <is>
          <t>S13-12</t>
        </is>
      </c>
      <c r="B15" s="45" t="inlineStr">
        <is>
          <t>runtime-deps gate: resolve every non-builtin import in src/ and scripts/ against `dependencies` only</t>
        </is>
      </c>
      <c r="C15" s="45" t="inlineStr">
        <is>
          <t>P-DM-003</t>
        </is>
      </c>
      <c r="D15" s="45" t="n">
        <v>5</v>
      </c>
      <c r="E15" s="45" t="inlineStr">
        <is>
          <t>Claude</t>
        </is>
      </c>
      <c r="F15" s="48" t="inlineStr">
        <is>
          <t>Done</t>
        </is>
      </c>
      <c r="G15" s="46" t="inlineStr">
        <is>
          <t>src/runtimeDeps.ts + scripts/runtime-deps.js. Fails on undeclared or dev-only; warns on unused. Portfolio class C-17.</t>
        </is>
      </c>
    </row>
    <row r="16">
      <c r="A16" s="45" t="inlineStr">
        <is>
          <t>S13-13</t>
        </is>
      </c>
      <c r="B16" s="45" t="inlineStr">
        <is>
          <t>DM-F25: the runtime-deps gate's own import scanner matched the word `import` inside a string literal</t>
        </is>
      </c>
      <c r="C16" s="45" t="inlineStr">
        <is>
          <t>S13-12</t>
        </is>
      </c>
      <c r="D16" s="45" t="n">
        <v>2</v>
      </c>
      <c r="E16" s="45" t="inlineStr">
        <is>
          <t>Claude</t>
        </is>
      </c>
      <c r="F16" s="48" t="inlineStr">
        <is>
          <t>Done</t>
        </is>
      </c>
      <c r="G16" s="46" t="inlineStr">
        <is>
          <t>It reported an undeclared package named `, ` from helpCenter.ts prose and FAILED on the repository it shipped with. Statement forms are now anchored to a statement start. A gate with a blind spot reports PASS, not ERROR — the lesson is in the guard kit.</t>
        </is>
      </c>
    </row>
    <row r="17">
      <c r="A17" s="45" t="inlineStr">
        <is>
          <t>S13-14</t>
        </is>
      </c>
      <c r="B17" s="45" t="inlineStr">
        <is>
          <t>tests/boot.test.ts: spawn the built artefact, poll the port, assert 200, assert non-zero exit naming the missing variable</t>
        </is>
      </c>
      <c r="C17" s="45" t="inlineStr">
        <is>
          <t>P-DM-002, P-DM-010</t>
        </is>
      </c>
      <c r="D17" s="45" t="n">
        <v>5</v>
      </c>
      <c r="E17" s="45" t="inlineStr">
        <is>
          <t>Claude</t>
        </is>
      </c>
      <c r="F17" s="48" t="inlineStr">
        <is>
          <t>Done</t>
        </is>
      </c>
      <c r="G17" s="46" t="inlineStr">
        <is>
          <t>The named compensating control for the one remaining pragma, and the only test that runs the product the way production does.</t>
        </is>
      </c>
    </row>
    <row r="18">
      <c r="A18" s="45" t="inlineStr">
        <is>
          <t>S13-15</t>
        </is>
      </c>
      <c r="B18" s="45" t="inlineStr">
        <is>
          <t>Extend the environment contract with the three secrets the app cannot be constructed without</t>
        </is>
      </c>
      <c r="C18" s="45" t="inlineStr">
        <is>
          <t>P-DM-002 (new)</t>
        </is>
      </c>
      <c r="D18" s="45" t="n">
        <v>2</v>
      </c>
      <c r="E18" s="45" t="inlineStr">
        <is>
          <t>Claude</t>
        </is>
      </c>
      <c r="F18" s="48" t="inlineStr">
        <is>
          <t>Done</t>
        </is>
      </c>
      <c r="G18" s="46" t="inlineStr">
        <is>
          <t>SESSION_SECRET, WEBHOOK_SECRET, OPERATOR_TOKEN were absent from a 16-value contract described everywhere as complete. Nobody noticed because nothing had ever constructed the application.</t>
        </is>
      </c>
    </row>
    <row r="19">
      <c r="A19" s="45" t="inlineStr">
        <is>
          <t>S13-16</t>
        </is>
      </c>
      <c r="B19" s="45" t="inlineStr">
        <is>
          <t>Add PostgresTemplateRepo.listForAccount — the sidebar's template list had no repository method behind it</t>
        </is>
      </c>
      <c r="C19" s="45" t="inlineStr">
        <is>
          <t>P-DM-001 (new)</t>
        </is>
      </c>
      <c r="D19" s="45" t="n">
        <v>2</v>
      </c>
      <c r="E19" s="45" t="inlineStr">
        <is>
          <t>Claude</t>
        </is>
      </c>
      <c r="F19" s="48" t="inlineStr">
        <is>
          <t>Done</t>
        </is>
      </c>
      <c r="G19" s="46" t="inlineStr">
        <is>
          <t>TemplateRepo only ever exposed get(templateId). Tenant-scoped in the WHERE clause, not post-filtered.</t>
        </is>
      </c>
    </row>
    <row r="20">
      <c r="A20" s="45" t="inlineStr">
        <is>
          <t>S13-17</t>
        </is>
      </c>
      <c r="B20" s="45" t="inlineStr">
        <is>
          <t>Add FormTriggerRepo — a form trigger was only ever held in sidebar controller state</t>
        </is>
      </c>
      <c r="C20" s="45" t="inlineStr">
        <is>
          <t>P-DM-001 (new)</t>
        </is>
      </c>
      <c r="D20" s="45" t="n">
        <v>3</v>
      </c>
      <c r="E20" s="45" t="inlineStr">
        <is>
          <t>Claude</t>
        </is>
      </c>
      <c r="F20" s="48" t="inlineStr">
        <is>
          <t>Done</t>
        </is>
      </c>
      <c r="G20" s="46" t="inlineStr">
        <is>
          <t>The webhook route could never locate the trigger for an incoming submission: the route, the forwarder and the service all existed and the object joining them did not. app.ts now forwards formId, which it had been dropping.</t>
        </is>
      </c>
    </row>
    <row r="21">
      <c r="A21" s="45" t="inlineStr">
        <is>
          <t>S13-18</t>
        </is>
      </c>
      <c r="B21" s="45" t="inlineStr">
        <is>
          <t>Unit tests to 100% for every new module and every changed branch</t>
        </is>
      </c>
      <c r="C21" s="45" t="inlineStr">
        <is>
          <t>D13</t>
        </is>
      </c>
      <c r="D21" s="45" t="n">
        <v>8</v>
      </c>
      <c r="E21" s="45" t="inlineStr">
        <is>
          <t>Claude</t>
        </is>
      </c>
      <c r="F21" s="48" t="inlineStr">
        <is>
          <t>Done</t>
        </is>
      </c>
      <c r="G21" s="46" t="inlineStr">
        <is>
          <t>+162 tests in this sprint alone. The D13 threshold was never lowered at any point across S13-S19.</t>
        </is>
      </c>
    </row>
    <row r="22">
      <c r="A22" s="45" t="inlineStr">
        <is>
          <t>S13-19</t>
        </is>
      </c>
      <c r="B22" s="45" t="inlineStr">
        <is>
          <t>CI: add a Postgres service and a boot job so the migration and the boot test run on every push</t>
        </is>
      </c>
      <c r="C22" s="45" t="inlineStr">
        <is>
          <t>P-DM-003</t>
        </is>
      </c>
      <c r="D22" s="45" t="n">
        <v>2</v>
      </c>
      <c r="E22" s="45" t="inlineStr">
        <is>
          <t>Claude</t>
        </is>
      </c>
      <c r="F22" s="48" t="inlineStr">
        <is>
          <t>Done</t>
        </is>
      </c>
      <c r="G22" s="46" t="inlineStr">
        <is>
          <t>In ci.yml alongside the existing contract job.</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S14 BUILD BOARD — Make it render — exit: a real Google Doc, from a real template, with real merged data, exported as a real PDF</t>
        </is>
      </c>
    </row>
    <row r="2">
      <c r="A2" s="43" t="inlineStr">
        <is>
          <t>Closes P-DM-006, P-DM-001 (part 1), P-DM-004. The highest-value sprint in the plan: this is the product's core function, and it was string substitution on a plain-text body.</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S14-01</t>
        </is>
      </c>
      <c r="B4" s="45" t="inlineStr">
        <is>
          <t>DocumentRenderer boundary: renderFromTemplate(request) -&gt; { docId, exportedBytes?, mimeType, writeRequests, warnings }</t>
        </is>
      </c>
      <c r="C4" s="45" t="inlineStr">
        <is>
          <t>P-DM-006</t>
        </is>
      </c>
      <c r="D4" s="45" t="n">
        <v>5</v>
      </c>
      <c r="E4" s="45" t="inlineStr">
        <is>
          <t>Claude</t>
        </is>
      </c>
      <c r="F4" s="48" t="inlineStr">
        <is>
          <t>Done</t>
        </is>
      </c>
      <c r="G4" s="46" t="inlineStr">
        <is>
          <t>The seam the review asked for. Keeps templates.ts as the rules layer.</t>
        </is>
      </c>
    </row>
    <row r="5">
      <c r="A5" s="45" t="inlineStr">
        <is>
          <t>S14-02</t>
        </is>
      </c>
      <c r="B5" s="45" t="inlineStr">
        <is>
          <t>GoogleDocsRenderer: files.copy to instantiate the template Doc</t>
        </is>
      </c>
      <c r="C5" s="45" t="inlineStr">
        <is>
          <t>P-DM-006, ST-001</t>
        </is>
      </c>
      <c r="D5" s="45" t="n">
        <v>3</v>
      </c>
      <c r="E5" s="45" t="inlineStr">
        <is>
          <t>Claude</t>
        </is>
      </c>
      <c r="F5" s="48" t="inlineStr">
        <is>
          <t>Done-in-code</t>
        </is>
      </c>
      <c r="G5" s="46" t="inlineStr">
        <is>
          <t>Drive write, not a Docs write — the quota accounting distinguishes them.</t>
        </is>
      </c>
    </row>
    <row r="6">
      <c r="A6" s="45" t="inlineStr">
        <is>
          <t>S14-03</t>
        </is>
      </c>
      <c r="B6" s="45" t="inlineStr">
        <is>
          <t>One documents.batchUpdate carrying replaceAllText for every placeholder</t>
        </is>
      </c>
      <c r="C6" s="45" t="inlineStr">
        <is>
          <t>P-DM-006, ST-002</t>
        </is>
      </c>
      <c r="D6" s="45" t="n">
        <v>5</v>
      </c>
      <c r="E6" s="45" t="inlineStr">
        <is>
          <t>Claude</t>
        </is>
      </c>
      <c r="F6" s="48" t="inlineStr">
        <is>
          <t>Done-in-code</t>
        </is>
      </c>
      <c r="G6" s="46" t="inlineStr">
        <is>
          <t>One batchUpdate = one Docs write request regardless of sub-requests; the assumption is documented against platformQuotas.ts (60 writes/min/user).</t>
        </is>
      </c>
    </row>
    <row r="7">
      <c r="A7" s="45" t="inlineStr">
        <is>
          <t>S14-04</t>
        </is>
      </c>
      <c r="B7" s="45" t="inlineStr">
        <is>
          <t>replaceImage for logo placeholders, matched on inline-object alt text</t>
        </is>
      </c>
      <c r="C7" s="45" t="inlineStr">
        <is>
          <t>P-DM-006</t>
        </is>
      </c>
      <c r="D7" s="45" t="n">
        <v>3</v>
      </c>
      <c r="E7" s="45" t="inlineStr">
        <is>
          <t>Claude</t>
        </is>
      </c>
      <c r="F7" s="48" t="inlineStr">
        <is>
          <t>Done-in-code</t>
        </is>
      </c>
      <c r="G7" s="46" t="inlineStr">
        <is>
          <t>A missing placeholder becomes a WARNING on the result rather than a failed render — certificates and letterheads need logos, but a missing logo must not lose the document.</t>
        </is>
      </c>
    </row>
    <row r="8">
      <c r="A8" s="45" t="inlineStr">
        <is>
          <t>S14-05</t>
        </is>
      </c>
      <c r="B8" s="45" t="inlineStr">
        <is>
          <t>Repeating-table rows for invoice line items: insertTableRow below the anchor, fill, delete the template row</t>
        </is>
      </c>
      <c r="C8" s="45" t="inlineStr">
        <is>
          <t>P-DM-006</t>
        </is>
      </c>
      <c r="D8" s="45" t="n">
        <v>8</v>
      </c>
      <c r="E8" s="45" t="inlineStr">
        <is>
          <t>Claude</t>
        </is>
      </c>
      <c r="F8" s="48" t="inlineStr">
        <is>
          <t>Done-in-code</t>
        </is>
      </c>
      <c r="G8" s="46" t="inlineStr">
        <is>
          <t>The ICP names invoices. Index arithmetic (1 + 2C per empty row; text at rowEnd + k(1+2C) + 2 + 2c) is explained in the module. THE MOST LIKELY THING TO BREAK LIVE — flagged in the evidence file.</t>
        </is>
      </c>
    </row>
    <row r="9">
      <c r="A9" s="45" t="inlineStr">
        <is>
          <t>S14-06</t>
        </is>
      </c>
      <c r="B9" s="45" t="inlineStr">
        <is>
          <t>Section removal in a real Doc: deleteContentRange located by walking the fetched body with a char-&gt;index map</t>
        </is>
      </c>
      <c r="C9" s="45" t="inlineStr">
        <is>
          <t>P-DM-006</t>
        </is>
      </c>
      <c r="D9" s="45" t="n">
        <v>5</v>
      </c>
      <c r="E9" s="45" t="inlineStr">
        <is>
          <t>Claude</t>
        </is>
      </c>
      <c r="F9" s="48" t="inlineStr">
        <is>
          <t>Done-in-code</t>
        </is>
      </c>
      <c r="G9" s="46" t="inlineStr">
        <is>
          <t>The RenderRequest shape in the review had no way to express {{#section}} removal. Handles markers split across styled text runs.</t>
        </is>
      </c>
    </row>
    <row r="10">
      <c r="A10" s="45" t="inlineStr">
        <is>
          <t>S14-07</t>
        </is>
      </c>
      <c r="B10" s="45" t="inlineStr">
        <is>
          <t>Wire outputFormat so 'pdf' and 'docx' actually select an export path (files.export)</t>
        </is>
      </c>
      <c r="C10" s="45" t="inlineStr">
        <is>
          <t>P-DM-006, ST-031</t>
        </is>
      </c>
      <c r="D10" s="45" t="n">
        <v>3</v>
      </c>
      <c r="E10" s="45" t="inlineStr">
        <is>
          <t>Claude</t>
        </is>
      </c>
      <c r="F10" s="48" t="inlineStr">
        <is>
          <t>Done-in-code</t>
        </is>
      </c>
      <c r="G10" s="46" t="inlineStr">
        <is>
          <t>outputFormat had been declared since S2 and read by no rendering code. pdf is the declared default and had no implementation at all.</t>
        </is>
      </c>
    </row>
    <row r="11">
      <c r="A11" s="45" t="inlineStr">
        <is>
          <t>S14-08</t>
        </is>
      </c>
      <c r="B11" s="45" t="inlineStr">
        <is>
          <t>Template.templateDocId + bindDocument() + migration 004</t>
        </is>
      </c>
      <c r="C11" s="45" t="inlineStr">
        <is>
          <t>P-DM-006</t>
        </is>
      </c>
      <c r="D11" s="45" t="n">
        <v>3</v>
      </c>
      <c r="E11" s="45" t="inlineStr">
        <is>
          <t>Claude</t>
        </is>
      </c>
      <c r="F11" s="48" t="inlineStr">
        <is>
          <t>Done</t>
        </is>
      </c>
      <c r="G11" s="46" t="inlineStr">
        <is>
          <t>body is retained for preview and validation exactly as the review advised; the Doc binding is additive.</t>
        </is>
      </c>
    </row>
    <row r="12">
      <c r="A12" s="45" t="inlineStr">
        <is>
          <t>S14-09</t>
        </is>
      </c>
      <c r="B12" s="45" t="inlineStr">
        <is>
          <t>TemplateDesigner.renderPlan(): the same validation and rule evaluation as renderPreview, returned as DATA for the renderer</t>
        </is>
      </c>
      <c r="C12" s="45" t="inlineStr">
        <is>
          <t>P-DM-006</t>
        </is>
      </c>
      <c r="D12" s="45" t="n">
        <v>5</v>
      </c>
      <c r="E12" s="45" t="inlineStr">
        <is>
          <t>Claude</t>
        </is>
      </c>
      <c r="F12" s="48" t="inlineStr">
        <is>
          <t>Done</t>
        </is>
      </c>
      <c r="G12" s="46" t="inlineStr">
        <is>
          <t>So the rules live in one place and the plan and the render cannot disagree. Carries destinationFolder so the filing hook knows where output goes.</t>
        </is>
      </c>
    </row>
    <row r="13">
      <c r="A13" s="45" t="inlineStr">
        <is>
          <t>S14-10</t>
        </is>
      </c>
      <c r="B13" s="45" t="inlineStr">
        <is>
          <t>RenderedDocumentPipeline: Doc-bound templates render; unbound templates fall back to preview text AND SAY SO</t>
        </is>
      </c>
      <c r="C13" s="45" t="inlineStr">
        <is>
          <t>P-DM-006</t>
        </is>
      </c>
      <c r="D13" s="45" t="n">
        <v>3</v>
      </c>
      <c r="E13" s="45" t="inlineStr">
        <is>
          <t>Claude</t>
        </is>
      </c>
      <c r="F13" s="48" t="inlineStr">
        <is>
          <t>Done</t>
        </is>
      </c>
      <c r="G13" s="46" t="inlineStr">
        <is>
          <t>engine: 'google_docs' vs 'preview_text' on every result — an 'it worked' can never be mistaken for the wrong engine.</t>
        </is>
      </c>
    </row>
    <row r="14">
      <c r="A14" s="45" t="inlineStr">
        <is>
          <t>S14-11</t>
        </is>
      </c>
      <c r="B14" s="45" t="inlineStr">
        <is>
          <t>RecordingRenderer: a production-exported fake so the gallery and the sandbox can run without Google</t>
        </is>
      </c>
      <c r="C14" s="45" t="inlineStr">
        <is>
          <t>P-DM-006</t>
        </is>
      </c>
      <c r="D14" s="45" t="n">
        <v>3</v>
      </c>
      <c r="E14" s="45" t="inlineStr">
        <is>
          <t>Claude</t>
        </is>
      </c>
      <c r="F14" s="48" t="inlineStr">
        <is>
          <t>Done</t>
        </is>
      </c>
      <c r="G14" s="46" t="inlineStr">
        <is>
          <t>Both renderers call the same pure buildBatchUpdateRequests, so the fake cannot drift from the live path.</t>
        </is>
      </c>
    </row>
    <row r="15">
      <c r="A15" s="45" t="inlineStr">
        <is>
          <t>S14-12</t>
        </is>
      </c>
      <c r="B15" s="45" t="inlineStr">
        <is>
          <t>Re-render all 20 gallery templates through the real renderer; commit the request bodies as fidelity fixtures</t>
        </is>
      </c>
      <c r="C15" s="45" t="inlineStr">
        <is>
          <t>LC-9, P-DM-006</t>
        </is>
      </c>
      <c r="D15" s="45" t="n">
        <v>5</v>
      </c>
      <c r="E15" s="45" t="inlineStr">
        <is>
          <t>Claude</t>
        </is>
      </c>
      <c r="F15" s="48" t="inlineStr">
        <is>
          <t>Done</t>
        </is>
      </c>
      <c r="G15" s="46" t="inlineStr">
        <is>
          <t>LC-9 was evidence about placeholder wiring, not document output — exactly as the review said. A Docs simulator now asserts the rendered result equals renderPreview byte-for-byte for all 20.</t>
        </is>
      </c>
    </row>
    <row r="16">
      <c r="A16" s="45" t="inlineStr">
        <is>
          <t>S14-13</t>
        </is>
      </c>
      <c r="B16" s="45" t="inlineStr">
        <is>
          <t>Re-baseline the SBOM and audit on a non-empty runtime tree; assert runtime component count &gt; 0</t>
        </is>
      </c>
      <c r="C16" s="45" t="inlineStr">
        <is>
          <t>P-DM-004</t>
        </is>
      </c>
      <c r="D16" s="45" t="n">
        <v>3</v>
      </c>
      <c r="E16" s="45" t="inlineStr">
        <is>
          <t>Claude</t>
        </is>
      </c>
      <c r="F16" s="48" t="inlineStr">
        <is>
          <t>Done</t>
        </is>
      </c>
      <c r="G16" s="46" t="inlineStr">
        <is>
          <t>13 runtime components of 296. The first meaningful audit run this product has had.</t>
        </is>
      </c>
    </row>
    <row r="17">
      <c r="A17" s="45" t="inlineStr">
        <is>
          <t>S14-14</t>
        </is>
      </c>
      <c r="B17" s="45" t="inlineStr">
        <is>
          <t>DM-F30: gallery rule defect — payment-reminder R1/R2 are not mutually exclusive</t>
        </is>
      </c>
      <c r="C17" s="45" t="inlineStr">
        <is>
          <t>S14-12 (new)</t>
        </is>
      </c>
      <c r="D17" s="45" t="n">
        <v>2</v>
      </c>
      <c r="E17" s="45" t="inlineStr">
        <is>
          <t>Claude</t>
        </is>
      </c>
      <c r="F17" s="46" t="inlineStr">
        <is>
          <t>To do</t>
        </is>
      </c>
      <c r="G17" s="46" t="inlineStr">
        <is>
          <t>At 31+ days overdue both the gentle and the firm paragraph render. The sample row (12 days) hides it. The rule engine has no less_than or negation, so a proper fix needs a new operator — logged rather than patched in the fixture.</t>
        </is>
      </c>
    </row>
    <row r="18">
      <c r="A18" s="45" t="inlineStr">
        <is>
          <t>S14-15</t>
        </is>
      </c>
      <c r="B18" s="45" t="inlineStr">
        <is>
          <t>LIVE: create a Doc from a template in a real test GCP project, merge 5 rows incl. an image and a repeating table, export PDF, assert extracted text</t>
        </is>
      </c>
      <c r="C18" s="45" t="inlineStr">
        <is>
          <t>P-DM-006 exit</t>
        </is>
      </c>
      <c r="D18" s="45" t="n">
        <v>5</v>
      </c>
      <c r="E18" s="45" t="inlineStr">
        <is>
          <t>Senthil + Claude</t>
        </is>
      </c>
      <c r="F18" s="49" t="inlineStr">
        <is>
          <t>Blocked</t>
        </is>
      </c>
      <c r="G18" s="46" t="inlineStr">
        <is>
          <t>THE REVIEW'S NAMED EXIT CRITERION FOR S14, and the one that cannot be met without LC-1. Needs only a throwaway project with a test user, not the verified production one. Not claimed as done.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S15 BUILD BOARD — Make it installable — exit: an Editor add-on that installs into a real Sheet and drives the real backend</t>
        </is>
      </c>
    </row>
    <row r="2">
      <c r="A2" s="43" t="inlineStr">
        <is>
          <t>Closes P-DM-005, P-DM-001 (part 2). D-DM1 was built on the review's recommendation because the deciding evidence is capability walls already encoded in addonSurface.ts — ratification remains Senthil's.</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S15-01</t>
        </is>
      </c>
      <c r="B4" s="45" t="inlineStr">
        <is>
          <t>Close D-DM1 as Editor on the capability argument (document context and installable triggers are absent from the Workspace type)</t>
        </is>
      </c>
      <c r="C4" s="45" t="inlineStr">
        <is>
          <t>P-DM-005, D-DM1</t>
        </is>
      </c>
      <c r="D4" s="45" t="n">
        <v>2</v>
      </c>
      <c r="E4" s="45" t="inlineStr">
        <is>
          <t>Senthil</t>
        </is>
      </c>
      <c r="F4" s="50" t="inlineStr">
        <is>
          <t>In progress</t>
        </is>
      </c>
      <c r="G4" s="46" t="inlineStr">
        <is>
          <t>BUILT on the recommendation; ratification owed. The review's correction is accepted: the real cost difference is two hard capability walls behind which fourteen stories sit, not twelve stories of UI rework.</t>
        </is>
      </c>
    </row>
    <row r="5">
      <c r="A5" s="45" t="inlineStr">
        <is>
          <t>S15-02</t>
        </is>
      </c>
      <c r="B5" s="45" t="inlineStr">
        <is>
          <t>appsscript.json GENERATED from addonSurface.ts + scopes.ts, with a drift test against the file on disk</t>
        </is>
      </c>
      <c r="C5" s="45" t="inlineStr">
        <is>
          <t>P-DM-005</t>
        </is>
      </c>
      <c r="D5" s="45" t="n">
        <v>5</v>
      </c>
      <c r="E5" s="45" t="inlineStr">
        <is>
          <t>Claude</t>
        </is>
      </c>
      <c r="F5" s="48" t="inlineStr">
        <is>
          <t>Done</t>
        </is>
      </c>
      <c r="G5" s="46" t="inlineStr">
        <is>
          <t>Same discipline as buildTrustPage(): the manifest cannot diverge from the audited scope manifest. validateManifest refuses any scope not in the audit.</t>
        </is>
      </c>
    </row>
    <row r="6">
      <c r="A6" s="45" t="inlineStr">
        <is>
          <t>S15-03</t>
        </is>
      </c>
      <c r="B6" s="45" t="inlineStr">
        <is>
          <t>Apps Script project: Code.gs (onOpen, onInstall, menu, showSidebar) + Sidebar.html at the 300px fixed width</t>
        </is>
      </c>
      <c r="C6" s="45" t="inlineStr">
        <is>
          <t>P-DM-005, ST-005</t>
        </is>
      </c>
      <c r="D6" s="45" t="n">
        <v>8</v>
      </c>
      <c r="E6" s="45" t="inlineStr">
        <is>
          <t>Claude</t>
        </is>
      </c>
      <c r="F6" s="48" t="inlineStr">
        <is>
          <t>Done-in-code</t>
        </is>
      </c>
      <c r="G6" s="46" t="inlineStr">
        <is>
          <t>The three views mirror src/sidebar.ts SidebarState. Vanilla JS, no external scripts.</t>
        </is>
      </c>
    </row>
    <row r="7">
      <c r="A7" s="45" t="inlineStr">
        <is>
          <t>S15-04</t>
        </is>
      </c>
      <c r="B7" s="45" t="inlineStr">
        <is>
          <t>The SidebarHost shim sidebar.ts has assumed since S3: getActiveRowData() over SpreadsheetApp</t>
        </is>
      </c>
      <c r="C7" s="45" t="inlineStr">
        <is>
          <t>P-DM-005, ST-005</t>
        </is>
      </c>
      <c r="D7" s="45" t="n">
        <v>3</v>
      </c>
      <c r="E7" s="45" t="inlineStr">
        <is>
          <t>Claude</t>
        </is>
      </c>
      <c r="F7" s="48" t="inlineStr">
        <is>
          <t>Done-in-code</t>
        </is>
      </c>
      <c r="G7" s="46" t="inlineStr">
        <is>
          <t>The module header had said 'the Apps Script shim only implements SidebarHost' since S3, and that shim was not in the repository.</t>
        </is>
      </c>
    </row>
    <row r="8">
      <c r="A8" s="45" t="inlineStr">
        <is>
          <t>S15-05</t>
        </is>
      </c>
      <c r="B8" s="45" t="inlineStr">
        <is>
          <t>Refactor FormForwarder.gs and the add-on to share ONE signing helper rather than copy-paste</t>
        </is>
      </c>
      <c r="C8" s="45" t="inlineStr">
        <is>
          <t>VER-DM2</t>
        </is>
      </c>
      <c r="D8" s="45" t="n">
        <v>2</v>
      </c>
      <c r="E8" s="45" t="inlineStr">
        <is>
          <t>Claude</t>
        </is>
      </c>
      <c r="F8" s="48" t="inlineStr">
        <is>
          <t>Done</t>
        </is>
      </c>
      <c r="G8" s="46" t="inlineStr">
        <is>
          <t>Signing.gs. One onDocMergeFormSubmit serves both the add-on and the standalone path.</t>
        </is>
      </c>
    </row>
    <row r="9">
      <c r="A9" s="45" t="inlineStr">
        <is>
          <t>S15-06</t>
        </is>
      </c>
      <c r="B9" s="45" t="inlineStr">
        <is>
          <t>Installable trigger registration for form-triggered generation</t>
        </is>
      </c>
      <c r="C9" s="45" t="inlineStr">
        <is>
          <t>ST-041..050</t>
        </is>
      </c>
      <c r="D9" s="45" t="n">
        <v>3</v>
      </c>
      <c r="E9" s="45" t="inlineStr">
        <is>
          <t>Claude</t>
        </is>
      </c>
      <c r="F9" s="48" t="inlineStr">
        <is>
          <t>Done-in-code</t>
        </is>
      </c>
      <c r="G9" s="46" t="inlineStr">
        <is>
          <t>The capability that made Editor mandatory. Honest limit recorded: Google restricts add-on triggers to the file the add-on is open in, so the supported path is from inside the Form — documented as unpromised.</t>
        </is>
      </c>
    </row>
    <row r="10">
      <c r="A10" s="45" t="inlineStr">
        <is>
          <t>S15-07</t>
        </is>
      </c>
      <c r="B10" s="45" t="inlineStr">
        <is>
          <t>GoogleOAuthTransport: real POSTs to the token and revoke endpoints</t>
        </is>
      </c>
      <c r="C10" s="45" t="inlineStr">
        <is>
          <t>P-DM-001, ST-051/055</t>
        </is>
      </c>
      <c r="D10" s="45" t="n">
        <v>3</v>
      </c>
      <c r="E10" s="45" t="inlineStr">
        <is>
          <t>Claude</t>
        </is>
      </c>
      <c r="F10" s="48" t="inlineStr">
        <is>
          <t>Done-in-code</t>
        </is>
      </c>
      <c r="G10" s="46" t="inlineStr">
        <is>
          <t>TOKEN_URL and REVOKE_URL had been string constants no code ever requested since S1.</t>
        </is>
      </c>
    </row>
    <row r="11">
      <c r="A11" s="45" t="inlineStr">
        <is>
          <t>S15-08</t>
        </is>
      </c>
      <c r="B11" s="45" t="inlineStr">
        <is>
          <t>GoogleDriveHost: ensureFolder / findFile / createFile / overwriteFile + binary variants, under the existing withRetry</t>
        </is>
      </c>
      <c r="C11" s="45" t="inlineStr">
        <is>
          <t>P-DM-001, ST-031..034</t>
        </is>
      </c>
      <c r="D11" s="45" t="n">
        <v>8</v>
      </c>
      <c r="E11" s="45" t="inlineStr">
        <is>
          <t>Claude</t>
        </is>
      </c>
      <c r="F11" s="48" t="inlineStr">
        <is>
          <t>Done-in-code</t>
        </is>
      </c>
      <c r="G11" s="46" t="inlineStr">
        <is>
          <t>Multipart upload built by hand (no SDK). The rename conflict path is tested end to end through FilingService with a fake HttpClient. Folder-creation race documented.</t>
        </is>
      </c>
    </row>
    <row r="12">
      <c r="A12" s="45" t="inlineStr">
        <is>
          <t>S15-09</t>
        </is>
      </c>
      <c r="B12" s="45" t="inlineStr">
        <is>
          <t>GoogleSheetsSource: real spreadsheets.values.get with header mapping and A1 range paging</t>
        </is>
      </c>
      <c r="C12" s="45" t="inlineStr">
        <is>
          <t>P-DM-001, ST-011..013</t>
        </is>
      </c>
      <c r="D12" s="45" t="n">
        <v>5</v>
      </c>
      <c r="E12" s="45" t="inlineStr">
        <is>
          <t>Claude</t>
        </is>
      </c>
      <c r="F12" s="48" t="inlineStr">
        <is>
          <t>Done-in-code</t>
        </is>
      </c>
      <c r="G12" s="46" t="inlineStr">
        <is>
          <t>Feeds BatchGenerator.run, so the whole batch path can run from a real sheet.</t>
        </is>
      </c>
    </row>
    <row r="13">
      <c r="A13" s="45" t="inlineStr">
        <is>
          <t>S15-10</t>
        </is>
      </c>
      <c r="B13" s="45" t="inlineStr">
        <is>
          <t>createTokenSource: a fresh access token per call, refreshing on the ST-055 path within 60s of expiry, persisting a rotated refresh token</t>
        </is>
      </c>
      <c r="C13" s="45" t="inlineStr">
        <is>
          <t>ST-055</t>
        </is>
      </c>
      <c r="D13" s="45" t="n">
        <v>3</v>
      </c>
      <c r="E13" s="45" t="inlineStr">
        <is>
          <t>Claude</t>
        </is>
      </c>
      <c r="F13" s="48" t="inlineStr">
        <is>
          <t>Done</t>
        </is>
      </c>
      <c r="G13" s="46" t="inlineStr">
        <is>
          <t>So a refresh is picked up on the next request without any adapter knowing.</t>
        </is>
      </c>
    </row>
    <row r="14">
      <c r="A14" s="45" t="inlineStr">
        <is>
          <t>S15-11</t>
        </is>
      </c>
      <c r="B14" s="45" t="inlineStr">
        <is>
          <t>Host-capability contract tests: fail if any code path needs a capability the chosen surface lacks</t>
        </is>
      </c>
      <c r="C14" s="45" t="inlineStr">
        <is>
          <t>P-DM-005</t>
        </is>
      </c>
      <c r="D14" s="45" t="n">
        <v>5</v>
      </c>
      <c r="E14" s="45" t="inlineStr">
        <is>
          <t>Claude</t>
        </is>
      </c>
      <c r="F14" s="48" t="inlineStr">
        <is>
          <t>Done</t>
        </is>
      </c>
      <c r="G14" s="46" t="inlineStr">
        <is>
          <t>requiresCapability() markers at the entry points in sidebar.ts, formTrigger.ts and batchOps.ts.</t>
        </is>
      </c>
    </row>
    <row r="15">
      <c r="A15" s="45" t="inlineStr">
        <is>
          <t>S15-12</t>
        </is>
      </c>
      <c r="B15" s="45" t="inlineStr">
        <is>
          <t>Add the two Apps Script platform scopes with feature+story justification, NOT silently</t>
        </is>
      </c>
      <c r="C15" s="45" t="inlineStr">
        <is>
          <t>LC-2, ST-064</t>
        </is>
      </c>
      <c r="D15" s="45" t="n">
        <v>2</v>
      </c>
      <c r="E15" s="45" t="inlineStr">
        <is>
          <t>Claude</t>
        </is>
      </c>
      <c r="F15" s="48" t="inlineStr">
        <is>
          <t>Done</t>
        </is>
      </c>
      <c r="G15" s="46" t="inlineStr">
        <is>
          <t>script.container.ui and script.external_request, kept out of SCOPE_MANIFEST because they are not Google data scopes and would otherwise misreport the review path. Owed: a line in SCOPE_NARRATIVE.md.</t>
        </is>
      </c>
    </row>
    <row r="16">
      <c r="A16" s="45" t="inlineStr">
        <is>
          <t>S15-13</t>
        </is>
      </c>
      <c r="B16" s="45" t="inlineStr">
        <is>
          <t>DM-F31: no install handoff from /oauth/callback to the sidebar</t>
        </is>
      </c>
      <c r="C16" s="45" t="inlineStr">
        <is>
          <t>P-DM-005 (new)</t>
        </is>
      </c>
      <c r="D16" s="45" t="n">
        <v>3</v>
      </c>
      <c r="E16" s="45" t="inlineStr">
        <is>
          <t>Claude</t>
        </is>
      </c>
      <c r="F16" s="46" t="inlineStr">
        <is>
          <t>To do</t>
        </is>
      </c>
      <c r="G16" s="46" t="inlineStr">
        <is>
          <t>The callback returns a session token as JSON and the user must paste it into the connect view. A redirect landing page or a short-lived pairing code is needed BEFORE the demo recording.</t>
        </is>
      </c>
    </row>
    <row r="17">
      <c r="A17" s="45" t="inlineStr">
        <is>
          <t>S15-14</t>
        </is>
      </c>
      <c r="B17" s="45" t="inlineStr">
        <is>
          <t>DM-F32: WEBHOOK_SECRET is one global secret handed to customers on the standalone forwarder path</t>
        </is>
      </c>
      <c r="C17" s="45" t="inlineStr">
        <is>
          <t>P-DM-005 (new)</t>
        </is>
      </c>
      <c r="D17" s="45" t="n">
        <v>3</v>
      </c>
      <c r="E17" s="45" t="inlineStr">
        <is>
          <t>Claude</t>
        </is>
      </c>
      <c r="F17" s="46" t="inlineStr">
        <is>
          <t>To do</t>
        </is>
      </c>
      <c r="G17" s="46" t="inlineStr">
        <is>
          <t>The add-on path avoids it (the secret stays in the add-on project's Script Properties). Per-account webhook secrets are owed before the standalone path is offered publicly.</t>
        </is>
      </c>
    </row>
    <row r="18">
      <c r="A18" s="45" t="inlineStr">
        <is>
          <t>S15-15</t>
        </is>
      </c>
      <c r="B18" s="45" t="inlineStr">
        <is>
          <t>LIVE: clasp push, install into a real Sheet, confirm the consent screen shows the six scopes</t>
        </is>
      </c>
      <c r="C18" s="45" t="inlineStr">
        <is>
          <t>P-DM-005 exit</t>
        </is>
      </c>
      <c r="D18" s="45" t="n">
        <v>5</v>
      </c>
      <c r="E18" s="45" t="inlineStr">
        <is>
          <t>Senthil + Claude</t>
        </is>
      </c>
      <c r="F18" s="49" t="inlineStr">
        <is>
          <t>Blocked</t>
        </is>
      </c>
      <c r="G18" s="46" t="inlineStr">
        <is>
          <t>Needs LC-1. apps-script/README.md has the exact steps and says not to record until build-manifest.js exits 0 on the real origin.</t>
        </is>
      </c>
    </row>
    <row r="19">
      <c r="A19" s="45" t="inlineStr">
        <is>
          <t>S15-16</t>
        </is>
      </c>
      <c r="B19" s="45" t="inlineStr">
        <is>
          <t>LIVE: record the install walkthrough — it is BOTH the OAuth verification demo video and the listing walkthrough</t>
        </is>
      </c>
      <c r="C19" s="45" t="inlineStr">
        <is>
          <t>ST-083, ST-094, LC-6</t>
        </is>
      </c>
      <c r="D19" s="45" t="n">
        <v>3</v>
      </c>
      <c r="E19" s="45" t="inlineStr">
        <is>
          <t>Senthil</t>
        </is>
      </c>
      <c r="F19" s="49" t="inlineStr">
        <is>
          <t>Blocked</t>
        </is>
      </c>
      <c r="G19" s="46" t="inlineStr">
        <is>
          <t>One recording, two purposes, as the review noted. Closes the last part of ST-083 and ST-094.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S16 BUILD BOARD — Make it durable and make it honest — exit: no correctness guarantee depends on RAM, and no published claim lacks code</t>
        </is>
      </c>
    </row>
    <row r="2">
      <c r="A2" s="43" t="inlineStr">
        <is>
          <t>Closes P-DM-009, P-DM-007 (honest half), DM-F19/F20. The review's ordering is followed exactly: webhook dedupe first (double-billing), audit ledger second (the differentiator).</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S16-01</t>
        </is>
      </c>
      <c r="B4" s="45" t="inlineStr">
        <is>
          <t>migration 005 + PostgresWebhookDedupeStore — FIRST, because replay protection in RAM means billing webhooks can double-apply</t>
        </is>
      </c>
      <c r="C4" s="45" t="inlineStr">
        <is>
          <t>P-DM-009</t>
        </is>
      </c>
      <c r="D4" s="45" t="n">
        <v>5</v>
      </c>
      <c r="E4" s="45" t="inlineStr">
        <is>
          <t>Claude</t>
        </is>
      </c>
      <c r="F4" s="48" t="inlineStr">
        <is>
          <t>Done</t>
        </is>
      </c>
      <c r="G4" s="46" t="inlineStr">
        <is>
          <t>The review's ordering is followed exactly. billingHardening.ts is 465 lines of careful idempotency whose dedupe key set lived in a Map.</t>
        </is>
      </c>
    </row>
    <row r="5">
      <c r="A5" s="45" t="inlineStr">
        <is>
          <t>S16-02</t>
        </is>
      </c>
      <c r="B5" s="45" t="inlineStr">
        <is>
          <t>Durable hash-chained audit ledger with the eviction anchor persisted, so truncation is still REPORTED after a restart</t>
        </is>
      </c>
      <c r="C5" s="45" t="inlineStr">
        <is>
          <t>P-DM-009</t>
        </is>
      </c>
      <c r="D5" s="45" t="n">
        <v>8</v>
      </c>
      <c r="E5" s="45" t="inlineStr">
        <is>
          <t>Claude</t>
        </is>
      </c>
      <c r="F5" s="48" t="inlineStr">
        <is>
          <t>Done</t>
        </is>
      </c>
      <c r="G5" s="46" t="inlineStr">
        <is>
          <t>The differentiator §5 identifies is unsellable if the chain vanishes on restart. chainStatus() reports intact / truncated_but_anchored / broken.</t>
        </is>
      </c>
    </row>
    <row r="6">
      <c r="A6" s="45" t="inlineStr">
        <is>
          <t>S16-03</t>
        </is>
      </c>
      <c r="B6" s="45" t="inlineStr">
        <is>
          <t>PostgresApprovalRequestRepo + injected ApprovalRequestRepo on EsignService (memory default keeps existing tests honest)</t>
        </is>
      </c>
      <c r="C6" s="45" t="inlineStr">
        <is>
          <t>P-DM-009, P-DM-007</t>
        </is>
      </c>
      <c r="D6" s="45" t="n">
        <v>5</v>
      </c>
      <c r="E6" s="45" t="inlineStr">
        <is>
          <t>Claude</t>
        </is>
      </c>
      <c r="F6" s="48" t="inlineStr">
        <is>
          <t>Done</t>
        </is>
      </c>
      <c r="G6" s="46" t="inlineStr">
        <is>
          <t>Every in-flight approval request was lost on restart.</t>
        </is>
      </c>
    </row>
    <row r="7">
      <c r="A7" s="45" t="inlineStr">
        <is>
          <t>S16-04</t>
        </is>
      </c>
      <c r="B7" s="45" t="inlineStr">
        <is>
          <t>Resumable batch jobs: checkpoint per row so a restart neither duplicates nor drops</t>
        </is>
      </c>
      <c r="C7" s="45" t="inlineStr">
        <is>
          <t>P-DM-009, ST-012</t>
        </is>
      </c>
      <c r="D7" s="45" t="n">
        <v>8</v>
      </c>
      <c r="E7" s="45" t="inlineStr">
        <is>
          <t>Claude</t>
        </is>
      </c>
      <c r="F7" s="48" t="inlineStr">
        <is>
          <t>Done</t>
        </is>
      </c>
      <c r="G7" s="46" t="inlineStr">
        <is>
          <t>Proved: rows 0-4 rendered once, row 5 twice (its checkpoint never landed — at-least-once by design, stated), 6-9 once.</t>
        </is>
      </c>
    </row>
    <row r="8">
      <c r="A8" s="45" t="inlineStr">
        <is>
          <t>S16-05</t>
        </is>
      </c>
      <c r="B8" s="45" t="inlineStr">
        <is>
          <t>PostgresFormTriggerRepo — configured automations silently stopped on restart</t>
        </is>
      </c>
      <c r="C8" s="45" t="inlineStr">
        <is>
          <t>P-DM-009</t>
        </is>
      </c>
      <c r="D8" s="45" t="n">
        <v>3</v>
      </c>
      <c r="E8" s="45" t="inlineStr">
        <is>
          <t>Claude</t>
        </is>
      </c>
      <c r="F8" s="48" t="inlineStr">
        <is>
          <t>Done</t>
        </is>
      </c>
      <c r="G8" s="46" t="inlineStr">
        <is>
          <t>Implements the S13 boundary.</t>
        </is>
      </c>
    </row>
    <row r="9">
      <c r="A9" s="45" t="inlineStr">
        <is>
          <t>S16-06</t>
        </is>
      </c>
      <c r="B9" s="45" t="inlineStr">
        <is>
          <t>PostgresRateLimitStore — a restart was a quota bypass</t>
        </is>
      </c>
      <c r="C9" s="45" t="inlineStr">
        <is>
          <t>P-DM-009</t>
        </is>
      </c>
      <c r="D9" s="45" t="n">
        <v>5</v>
      </c>
      <c r="E9" s="45" t="inlineStr">
        <is>
          <t>Claude</t>
        </is>
      </c>
      <c r="F9" s="48" t="inlineStr">
        <is>
          <t>Done</t>
        </is>
      </c>
      <c r="G9" s="46" t="inlineStr">
        <is>
          <t>Read-modify-write in a transaction with SELECT ... FOR UPDATE. Honest limit: PGlite is single-connection, so real contention is unexercised.</t>
        </is>
      </c>
    </row>
    <row r="10">
      <c r="A10" s="45" t="inlineStr">
        <is>
          <t>S16-07</t>
        </is>
      </c>
      <c r="B10" s="45" t="inlineStr">
        <is>
          <t>PostgresSessionStore + revocation — all users were logged out by a restart, and a session could not be revoked</t>
        </is>
      </c>
      <c r="C10" s="45" t="inlineStr">
        <is>
          <t>P-DM-009</t>
        </is>
      </c>
      <c r="D10" s="45" t="n">
        <v>5</v>
      </c>
      <c r="E10" s="45" t="inlineStr">
        <is>
          <t>Claude</t>
        </is>
      </c>
      <c r="F10" s="48" t="inlineStr">
        <is>
          <t>Done</t>
        </is>
      </c>
      <c r="G10" s="46" t="inlineStr">
        <is>
          <t>AuthError gains a 'revoked' reason.</t>
        </is>
      </c>
    </row>
    <row r="11">
      <c r="A11" s="45" t="inlineStr">
        <is>
          <t>S16-08</t>
        </is>
      </c>
      <c r="B11" s="45" t="inlineStr">
        <is>
          <t>PostgresDeletionScheduler — the last MemoryDeletionScheduler, behind the published 30-day deletion policy</t>
        </is>
      </c>
      <c r="C11" s="45" t="inlineStr">
        <is>
          <t>P-DM-009, DM-F09</t>
        </is>
      </c>
      <c r="D11" s="45" t="n">
        <v>3</v>
      </c>
      <c r="E11" s="45" t="inlineStr">
        <is>
          <t>Claude</t>
        </is>
      </c>
      <c r="F11" s="48" t="inlineStr">
        <is>
          <t>Done</t>
        </is>
      </c>
      <c r="G11" s="46" t="inlineStr">
        <is>
          <t>Owed: a worker that calls due(). The purge executor is the same gap DM-F09 named.</t>
        </is>
      </c>
    </row>
    <row r="12">
      <c r="A12" s="45" t="inlineStr">
        <is>
          <t>S16-09</t>
        </is>
      </c>
      <c r="B12" s="45" t="inlineStr">
        <is>
          <t>Extend PURGE_TABLE_ORDER and purge.verifyRegistration over every new store</t>
        </is>
      </c>
      <c r="C12" s="45" t="inlineStr">
        <is>
          <t>DM-F09</t>
        </is>
      </c>
      <c r="D12" s="45" t="n">
        <v>3</v>
      </c>
      <c r="E12" s="45" t="inlineStr">
        <is>
          <t>Claude</t>
        </is>
      </c>
      <c r="F12" s="48" t="inlineStr">
        <is>
          <t>Done</t>
        </is>
      </c>
      <c r="G12" s="46" t="inlineStr">
        <is>
          <t>webhook_deliveries and rate_limit_windows carry a nullable account_id with no FK (a dedupe insert must never fail on the accounts table) and are purged by column, named as the only permitted exemptions in the purge test.</t>
        </is>
      </c>
    </row>
    <row r="13">
      <c r="A13" s="45" t="inlineStr">
        <is>
          <t>S16-10</t>
        </is>
      </c>
      <c r="B13" s="45" t="inlineStr">
        <is>
          <t>Contract-test every new repository on PGlite AND unit-test on a FakeClient</t>
        </is>
      </c>
      <c r="C13" s="45" t="inlineStr">
        <is>
          <t>P-DM-003, G-09</t>
        </is>
      </c>
      <c r="D13" s="45" t="n">
        <v>5</v>
      </c>
      <c r="E13" s="45" t="inlineStr">
        <is>
          <t>Claude</t>
        </is>
      </c>
      <c r="F13" s="48" t="inlineStr">
        <is>
          <t>Done</t>
        </is>
      </c>
      <c r="G13" s="46" t="inlineStr">
        <is>
          <t>Closing the P-DM-003 gap properly rather than around it.</t>
        </is>
      </c>
    </row>
    <row r="14">
      <c r="A14" s="45" t="inlineStr">
        <is>
          <t>S16-11</t>
        </is>
      </c>
      <c r="B14" s="45" t="inlineStr">
        <is>
          <t>Rename e-sign -&gt; Approval requests across help centre, listing, site, module headers, empty states and notifications</t>
        </is>
      </c>
      <c r="C14" s="45" t="inlineStr">
        <is>
          <t>P-DM-007</t>
        </is>
      </c>
      <c r="D14" s="45" t="n">
        <v>5</v>
      </c>
      <c r="E14" s="45" t="inlineStr">
        <is>
          <t>Claude</t>
        </is>
      </c>
      <c r="F14" s="48" t="inlineStr">
        <is>
          <t>Done</t>
        </is>
      </c>
      <c r="G14" s="46" t="inlineStr">
        <is>
          <t>The one-day change that removes the exposure, done immediately as the review advised. TypeScript identifiers kept deliberately; ApprovalRequest* aliases added.</t>
        </is>
      </c>
    </row>
    <row r="15">
      <c r="A15" s="45" t="inlineStr">
        <is>
          <t>S16-12</t>
        </is>
      </c>
      <c r="B15" s="45" t="inlineStr">
        <is>
          <t>claimsGate.ts: a repository gate proving zero signature claims remain in user-facing copy</t>
        </is>
      </c>
      <c r="C15" s="45" t="inlineStr">
        <is>
          <t>P-DM-007</t>
        </is>
      </c>
      <c r="D15" s="45" t="n">
        <v>5</v>
      </c>
      <c r="E15" s="45" t="inlineStr">
        <is>
          <t>Claude</t>
        </is>
      </c>
      <c r="F15" s="48" t="inlineStr">
        <is>
          <t>Done</t>
        </is>
      </c>
      <c r="G15" s="46" t="inlineStr">
        <is>
          <t>Two separately-argued exemption lists — disclaimers (which must be negations) and code references (a module path is not a claim). Merging them would let a future entry excuse a real claim.</t>
        </is>
      </c>
    </row>
    <row r="16">
      <c r="A16" s="45" t="inlineStr">
        <is>
          <t>S16-13</t>
        </is>
      </c>
      <c r="B16" s="45" t="inlineStr">
        <is>
          <t>DM-F34 / DM-F36: widen the claims-gate scope to every document a third party reads</t>
        </is>
      </c>
      <c r="C16" s="45" t="inlineStr">
        <is>
          <t>P-DM-007 (new)</t>
        </is>
      </c>
      <c r="D16" s="45" t="n">
        <v>3</v>
      </c>
      <c r="E16" s="45" t="inlineStr">
        <is>
          <t>Claude</t>
        </is>
      </c>
      <c r="F16" s="48" t="inlineStr">
        <is>
          <t>Done</t>
        </is>
      </c>
      <c r="G16" s="46" t="inlineStr">
        <is>
          <t>The scope had been drawn around the marketplace listing. The privacy/CASA data-flow pack and BOTH pen-test documents were still describing a signature product four days after the rename. Draw the scope around the reader, not the artefact.</t>
        </is>
      </c>
    </row>
    <row r="17">
      <c r="A17" s="45" t="inlineStr">
        <is>
          <t>S16-14</t>
        </is>
      </c>
      <c r="B17" s="45" t="inlineStr">
        <is>
          <t>EsignProvider boundary + NotConfiguredEsignProvider that refuses with a typed error</t>
        </is>
      </c>
      <c r="C17" s="45" t="inlineStr">
        <is>
          <t>P-DM-007</t>
        </is>
      </c>
      <c r="D17" s="45" t="n">
        <v>3</v>
      </c>
      <c r="E17" s="45" t="inlineStr">
        <is>
          <t>Claude</t>
        </is>
      </c>
      <c r="F17" s="48" t="inlineStr">
        <is>
          <t>Done</t>
        </is>
      </c>
      <c r="G17" s="46" t="inlineStr">
        <is>
          <t>The orchestration layer is kept as the differentiator, as the review advised. No vendor integrated.</t>
        </is>
      </c>
    </row>
    <row r="18">
      <c r="A18" s="45" t="inlineStr">
        <is>
          <t>S16-15</t>
        </is>
      </c>
      <c r="B18" s="45" t="inlineStr">
        <is>
          <t>D-DM6: integrate a real e-sign provider, or stay an approval product</t>
        </is>
      </c>
      <c r="C18" s="45" t="inlineStr">
        <is>
          <t>P-DM-007</t>
        </is>
      </c>
      <c r="D18" s="45" t="n">
        <v>0</v>
      </c>
      <c r="E18" s="45" t="inlineStr">
        <is>
          <t>Senthil</t>
        </is>
      </c>
      <c r="F18" s="46" t="inlineStr">
        <is>
          <t>To do</t>
        </is>
      </c>
      <c r="G18" s="46" t="inlineStr">
        <is>
          <t>The review recommends renaming now (DONE) and integrating later only if customers ask. Dropbox Sign is the cheapest integration if pursued.</t>
        </is>
      </c>
    </row>
    <row r="19">
      <c r="A19" s="45" t="inlineStr">
        <is>
          <t>S16-16</t>
        </is>
      </c>
      <c r="B19" s="45" t="inlineStr">
        <is>
          <t>DM-F19 / DM-F20: declare the cross-tenant metrics and unscoped support inbox OPERATOR-ONLY in the module headers</t>
        </is>
      </c>
      <c r="C19" s="45" t="inlineStr">
        <is>
          <t>DM-F19, DM-F20</t>
        </is>
      </c>
      <c r="D19" s="45" t="n">
        <v>1</v>
      </c>
      <c r="E19" s="45" t="inlineStr">
        <is>
          <t>Claude</t>
        </is>
      </c>
      <c r="F19" s="48" t="inlineStr">
        <is>
          <t>Done</t>
        </is>
      </c>
      <c r="G19" s="46" t="inlineStr">
        <is>
          <t>Open for seven days; the decision pack's recommendation implemented verbatim. Ratification owed. The test asserting neither is reachable from an HTTP route still names them.</t>
        </is>
      </c>
    </row>
    <row r="20">
      <c r="A20" s="45" t="inlineStr">
        <is>
          <t>S16-17</t>
        </is>
      </c>
      <c r="B20" s="45" t="inlineStr">
        <is>
          <t>DM-F29: an expiry observed in the sidebar was never written back to the stored request</t>
        </is>
      </c>
      <c r="C20" s="45" t="inlineStr">
        <is>
          <t>S16 (new)</t>
        </is>
      </c>
      <c r="D20" s="45" t="n">
        <v>2</v>
      </c>
      <c r="E20" s="45" t="inlineStr">
        <is>
          <t>Claude</t>
        </is>
      </c>
      <c r="F20" s="46" t="inlineStr">
        <is>
          <t>To do</t>
        </is>
      </c>
      <c r="G20" s="46" t="inlineStr">
        <is>
          <t>EsignSidebarController.refresh() calls expireIfDue on a COPY from get(). Only the next sign() flips it. The controller needs a service method that expires the stored request.</t>
        </is>
      </c>
    </row>
    <row r="21">
      <c r="A21" s="45" t="inlineStr">
        <is>
          <t>S16-18</t>
        </is>
      </c>
      <c r="B21" s="45" t="inlineStr">
        <is>
          <t>DM-F26: ESIGN_PROVIDER_KEY was a REQUIRED boot secret for a provider that does not exist</t>
        </is>
      </c>
      <c r="C21" s="45" t="inlineStr">
        <is>
          <t>P-DM-007 (new)</t>
        </is>
      </c>
      <c r="D21" s="45" t="n">
        <v>1</v>
      </c>
      <c r="E21" s="45" t="inlineStr">
        <is>
          <t>Claude</t>
        </is>
      </c>
      <c r="F21" s="48" t="inlineStr">
        <is>
          <t>Done</t>
        </is>
      </c>
      <c r="G21" s="46" t="inlineStr">
        <is>
          <t>Production boot would have demanded a credential nothing consumes. Now optional until a provider is chosen.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S17 BUILD BOARD — Make it sellable — exit: pricing and positioning the arithmetic supports, settled BEFORE submission</t>
        </is>
      </c>
    </row>
    <row r="2">
      <c r="A2" s="43" t="inlineStr">
        <is>
          <t>Closes P-DM-012 and the code half of §5; P-DM-008 is answered in the workbook and the DECISION is D-DM5. Changing pricing after submission is expensive, which is why this sprint sits before S19.</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S17-01</t>
        </is>
      </c>
      <c r="B4" s="45" t="inlineStr">
        <is>
          <t>Customer-verifiable audit export: CSV whose columns ARE the digest preimage order, plus verifyExport()</t>
        </is>
      </c>
      <c r="C4" s="45" t="inlineStr">
        <is>
          <t>§5, ST-067</t>
        </is>
      </c>
      <c r="D4" s="45" t="n">
        <v>8</v>
      </c>
      <c r="E4" s="45" t="inlineStr">
        <is>
          <t>Claude</t>
        </is>
      </c>
      <c r="F4" s="48" t="inlineStr">
        <is>
          <t>Done</t>
        </is>
      </c>
      <c r="G4" s="46" t="inlineStr">
        <is>
          <t>The point a buyer cares about: they can verify the chain themselves without trusting us. Adversarial tests — edited field, removed row, removed row with links patched, reorder, forged digest.</t>
        </is>
      </c>
    </row>
    <row r="5">
      <c r="A5" s="45" t="inlineStr">
        <is>
          <t>S17-02</t>
        </is>
      </c>
      <c r="B5" s="45" t="inlineStr">
        <is>
          <t>DM-F27: AdminAuditLog.exportCsv omits previousDigest, so the CSV a customer receives CANNOT be verified by them</t>
        </is>
      </c>
      <c r="C5" s="45" t="inlineStr">
        <is>
          <t>S17-01 (new)</t>
        </is>
      </c>
      <c r="D5" s="45" t="n">
        <v>3</v>
      </c>
      <c r="E5" s="45" t="inlineStr">
        <is>
          <t>Claude</t>
        </is>
      </c>
      <c r="F5" s="46" t="inlineStr">
        <is>
          <t>To do</t>
        </is>
      </c>
      <c r="G5" s="46" t="inlineStr">
        <is>
          <t>The chain links are missing from the artefact whose whole value is the links. Left in place because existing callers depend on it; the new exporter supersedes it. Fix in place or deprecate — Senthil's call as it changes an existing export.</t>
        </is>
      </c>
    </row>
    <row r="6">
      <c r="A6" s="45" t="inlineStr">
        <is>
          <t>S17-03</t>
        </is>
      </c>
      <c r="B6" s="45" t="inlineStr">
        <is>
          <t>Tenant-isolation statement generated from tenantGate.ts, with a validator that fails on drift</t>
        </is>
      </c>
      <c r="C6" s="45" t="inlineStr">
        <is>
          <t>§5, DM-F16..F23</t>
        </is>
      </c>
      <c r="D6" s="45" t="n">
        <v>5</v>
      </c>
      <c r="E6" s="45" t="inlineStr">
        <is>
          <t>Claude</t>
        </is>
      </c>
      <c r="F6" s="48" t="inlineStr">
        <is>
          <t>Done</t>
        </is>
      </c>
      <c r="G6" s="46" t="inlineStr">
        <is>
          <t>Publishes the enforced rule, the exemption count, the DM-F23 test rule, the defects the gate actually caught — and what it does NOT prove: a database-level isolation proof is still owed, as the Enterprise Scorecard says.</t>
        </is>
      </c>
    </row>
    <row r="7">
      <c r="A7" s="45" t="inlineStr">
        <is>
          <t>S17-04</t>
        </is>
      </c>
      <c r="B7" s="45" t="inlineStr">
        <is>
          <t>Honest batch-SLO page built from platformQuotas.ts verified numbers</t>
        </is>
      </c>
      <c r="C7" s="45" t="inlineStr">
        <is>
          <t>§5, VER-DM6</t>
        </is>
      </c>
      <c r="D7" s="45" t="n">
        <v>5</v>
      </c>
      <c r="E7" s="45" t="inlineStr">
        <is>
          <t>Claude</t>
        </is>
      </c>
      <c r="F7" s="48" t="inlineStr">
        <is>
          <t>Done</t>
        </is>
      </c>
      <c r="G7" s="46" t="inlineStr">
        <is>
          <t>10/100/500/1000 rows -&gt; 0/1/8/16 minutes at the binding quota, each with its source. A validator rejects any prose figure not derived from a recorded quota. Nobody else in this category will tell an operations buyer this.</t>
        </is>
      </c>
    </row>
    <row r="8">
      <c r="A8" s="45" t="inlineStr">
        <is>
          <t>S17-05</t>
        </is>
      </c>
      <c r="B8" s="45" t="inlineStr">
        <is>
          <t>Entitlement tiers expressed as data, with a validator that fails if a plan omits an entitlement the code checks</t>
        </is>
      </c>
      <c r="C8" s="45" t="inlineStr">
        <is>
          <t>ST-061, DM-F03</t>
        </is>
      </c>
      <c r="D8" s="45" t="n">
        <v>5</v>
      </c>
      <c r="E8" s="45" t="inlineStr">
        <is>
          <t>Claude</t>
        </is>
      </c>
      <c r="F8" s="48" t="inlineStr">
        <is>
          <t>Done</t>
        </is>
      </c>
      <c r="G8" s="46" t="inlineStr">
        <is>
          <t>Plan ids unchanged — repricing is Senthil's call, not the engineer's. unconsultedLimitKeys() closes the DM-F03 class grep-style: a limit that exists and is never checked fails the build.</t>
        </is>
      </c>
    </row>
    <row r="9">
      <c r="A9" s="45" t="inlineStr">
        <is>
          <t>S17-06</t>
        </is>
      </c>
      <c r="B9" s="45" t="inlineStr">
        <is>
          <t>Re-verify every platformQuotas figure against Google's CURRENT published limits</t>
        </is>
      </c>
      <c r="C9" s="45" t="inlineStr">
        <is>
          <t>VER-DM6, VER-DM7</t>
        </is>
      </c>
      <c r="D9" s="45" t="n">
        <v>5</v>
      </c>
      <c r="E9" s="45" t="inlineStr">
        <is>
          <t>Claude</t>
        </is>
      </c>
      <c r="F9" s="48" t="inlineStr">
        <is>
          <t>Done</t>
        </is>
      </c>
      <c r="G9" s="46" t="inlineStr">
        <is>
          <t>Docs write/read and Sheets read MATCHED exactly; dates moved. Drive write CHANGED: Google now publishes the quota-unit model alone (1,000,000/min/project, 325,000/min/user, 50 units per edit), so 12,000 queries/60s/user is no longer published. Replaced by derived equivalents, with a test asserting the numbers equal the division rather than a literal. VER-DM7's ambiguity has RESOLVED.</t>
        </is>
      </c>
    </row>
    <row r="10">
      <c r="A10" s="45" t="inlineStr">
        <is>
          <t>S17-07</t>
        </is>
      </c>
      <c r="B10" s="45" t="inlineStr">
        <is>
          <t>Replace the unverified autoCrat 83M+ figure with the two confirmed install counts</t>
        </is>
      </c>
      <c r="C10" s="45" t="inlineStr">
        <is>
          <t>P-DM-012</t>
        </is>
      </c>
      <c r="D10" s="45" t="n">
        <v>2</v>
      </c>
      <c r="E10" s="45" t="inlineStr">
        <is>
          <t>Claude</t>
        </is>
      </c>
      <c r="F10" s="48" t="inlineStr">
        <is>
          <t>Done</t>
        </is>
      </c>
      <c r="G10" s="46" t="inlineStr">
        <is>
          <t>Form Publisher 24M+ and Document Studio 6M+, attributed as Marketplace listing figures. RETIRED_COMPETITOR_FIGURES records the retraction so the number cannot quietly return.</t>
        </is>
      </c>
    </row>
    <row r="11">
      <c r="A11" s="45" t="inlineStr">
        <is>
          <t>S17-08</t>
        </is>
      </c>
      <c r="B11" s="45" t="inlineStr">
        <is>
          <t>Rewrite listing differentiation around governed document operations; all three previous differentiators are dead</t>
        </is>
      </c>
      <c r="C11" s="45" t="inlineStr">
        <is>
          <t>§5, ReadMe_Scope</t>
        </is>
      </c>
      <c r="D11" s="45" t="n">
        <v>5</v>
      </c>
      <c r="E11" s="45" t="inlineStr">
        <is>
          <t>Claude</t>
        </is>
      </c>
      <c r="F11" s="48" t="inlineStr">
        <is>
          <t>Done</t>
        </is>
      </c>
      <c r="G11" s="46" t="inlineStr">
        <is>
          <t>A native sidebar is what all ten competitors are; the CASA badge does not exist for us (our own SCOPE_NARRATIVE established it); per-doc pricing is not a reason to switch. RETIRED_DIFFERENTIATORS records each with its reason.</t>
        </is>
      </c>
    </row>
    <row r="12">
      <c r="A12" s="45" t="inlineStr">
        <is>
          <t>S17-09</t>
        </is>
      </c>
      <c r="B12" s="45" t="inlineStr">
        <is>
          <t>Gate the listing copy against a CASA-badge claim and a mobile-availability claim</t>
        </is>
      </c>
      <c r="C12" s="45" t="inlineStr">
        <is>
          <t>VER-DM5, D-DM1</t>
        </is>
      </c>
      <c r="D12" s="45" t="n">
        <v>3</v>
      </c>
      <c r="E12" s="45" t="inlineStr">
        <is>
          <t>Claude</t>
        </is>
      </c>
      <c r="F12" s="48" t="inlineStr">
        <is>
          <t>Done</t>
        </is>
      </c>
      <c r="G12" s="46" t="inlineStr">
        <is>
          <t>The Editor path has no mobile. Cheap now, expensive after submission — as the decision pack flagged.</t>
        </is>
      </c>
    </row>
    <row r="13">
      <c r="A13" s="45" t="inlineStr">
        <is>
          <t>S17-10</t>
        </is>
      </c>
      <c r="B13" s="45" t="inlineStr">
        <is>
          <t>Financial_Model_v2 with the free tier's COST modelled and an explicit breakeven row</t>
        </is>
      </c>
      <c r="C13" s="45" t="inlineStr">
        <is>
          <t>P-DM-008</t>
        </is>
      </c>
      <c r="D13" s="45" t="n">
        <v>5</v>
      </c>
      <c r="E13" s="45" t="inlineStr">
        <is>
          <t>Claude</t>
        </is>
      </c>
      <c r="F13" s="48" t="inlineStr">
        <is>
          <t>Done</t>
        </is>
      </c>
      <c r="G13" s="46" t="inlineStr">
        <is>
          <t>In product workbook v047. The free tier was absent from the model and is the largest operating cost in a freemium Marketplace product. The original model is kept alongside, unaltered.</t>
        </is>
      </c>
    </row>
    <row r="14">
      <c r="A14" s="45" t="inlineStr">
        <is>
          <t>S17-11</t>
        </is>
      </c>
      <c r="B14" s="45" t="inlineStr">
        <is>
          <t>Correct the reading note that presupposed a breakeven month exists</t>
        </is>
      </c>
      <c r="C14" s="45" t="inlineStr">
        <is>
          <t>P-DM-008</t>
        </is>
      </c>
      <c r="D14" s="45" t="n">
        <v>1</v>
      </c>
      <c r="E14" s="45" t="inlineStr">
        <is>
          <t>Claude</t>
        </is>
      </c>
      <c r="F14" s="48" t="inlineStr">
        <is>
          <t>Done</t>
        </is>
      </c>
      <c r="G14" s="46" t="inlineStr">
        <is>
          <t>'Breakeven = first month Net...' presupposed one. There is none in the 18-month horizon at the current assumptions.</t>
        </is>
      </c>
    </row>
    <row r="15">
      <c r="A15" s="45" t="inlineStr">
        <is>
          <t>S17-12</t>
        </is>
      </c>
      <c r="B15" s="45" t="inlineStr">
        <is>
          <t>D-DM5: the pricing and positioning call</t>
        </is>
      </c>
      <c r="C15" s="45" t="inlineStr">
        <is>
          <t>P-DM-008, §5</t>
        </is>
      </c>
      <c r="D15" s="45" t="n">
        <v>0</v>
      </c>
      <c r="E15" s="45" t="inlineStr">
        <is>
          <t>Senthil</t>
        </is>
      </c>
      <c r="F15" s="46" t="inlineStr">
        <is>
          <t>To do</t>
        </is>
      </c>
      <c r="G15" s="46" t="inlineStr">
        <is>
          <t>THE ONE GENUINE NEW DECISION IN THE PLAN. Three structural exits are modelled: raise ARPU 3-5x to a team buyer (the review's recommendation, and the only one consistent with what was built); cut the cost base to solo-founder level (breaks even ~M14 with no repositioning risk, and needs no customer conversation); raise conversion above 6% (the weakest lever — in a category where incumbents are free, 6% is optimistic already). It gates the listing copy, because changing pricing after submission is expensive.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S18 BUILD BOARD — Make it operable — exit: you can deploy, observe and roll back</t>
        </is>
      </c>
    </row>
    <row r="2">
      <c r="A2" s="43" t="inlineStr">
        <is>
          <t>Prerequisites for having customers at all, NOT enterprise tier — D-DM2 stands. Everything is built and fails closed naming LC-1 rather than reporting a false green; the execution half needs the real project.</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S18-01</t>
        </is>
      </c>
      <c r="B4" s="45" t="inlineStr">
        <is>
          <t>Dockerfile: multi-stage, npm ci --omit=dev at runtime, non-root, HEALTHCHECK on /healthz</t>
        </is>
      </c>
      <c r="C4" s="45" t="inlineStr">
        <is>
          <t>S18</t>
        </is>
      </c>
      <c r="D4" s="45" t="n">
        <v>5</v>
      </c>
      <c r="E4" s="45" t="inlineStr">
        <is>
          <t>Claude</t>
        </is>
      </c>
      <c r="F4" s="48" t="inlineStr">
        <is>
          <t>Done</t>
        </is>
      </c>
      <c r="G4" s="46" t="inlineStr">
        <is>
          <t>`--omit=dev` is EXACTLY the install that would have exposed the undeclared pg. No Docker daemon here, so the file is asserted structurally rather than built.</t>
        </is>
      </c>
    </row>
    <row r="5">
      <c r="A5" s="45" t="inlineStr">
        <is>
          <t>S18-02</t>
        </is>
      </c>
      <c r="B5" s="45" t="inlineStr">
        <is>
          <t>Terraform: Cloud Run + Cloud SQL Postgres 16 + Secret Manager + migration job + blue/green traffic split + domain mapping</t>
        </is>
      </c>
      <c r="C5" s="45" t="inlineStr">
        <is>
          <t>S18, LC-1</t>
        </is>
      </c>
      <c r="D5" s="45" t="n">
        <v>13</v>
      </c>
      <c r="E5" s="45" t="inlineStr">
        <is>
          <t>Claude</t>
        </is>
      </c>
      <c r="F5" s="48" t="inlineStr">
        <is>
          <t>Done</t>
        </is>
      </c>
      <c r="G5" s="46" t="inlineStr">
        <is>
          <t>Private IP + Direct VPC egress, NOT the connector — the connector requires ssl:false, which pgClient.ts correctly refuses in production. The app's own guard drove the infrastructure choice.</t>
        </is>
      </c>
    </row>
    <row r="6">
      <c r="A6" s="45" t="inlineStr">
        <is>
          <t>S18-03</t>
        </is>
      </c>
      <c r="B6" s="45" t="inlineStr">
        <is>
          <t>Secrets contract: generate the manifest from ENV_SPEC and assert Terraform names match, so infra cannot drift from the app</t>
        </is>
      </c>
      <c r="C6" s="45" t="inlineStr">
        <is>
          <t>S18</t>
        </is>
      </c>
      <c r="D6" s="45" t="n">
        <v>5</v>
      </c>
      <c r="E6" s="45" t="inlineStr">
        <is>
          <t>Claude</t>
        </is>
      </c>
      <c r="F6" s="48" t="inlineStr">
        <is>
          <t>Done</t>
        </is>
      </c>
      <c r="G6" s="46" t="inlineStr">
        <is>
          <t>12 vault secrets. Same discipline as the add-on manifest and the trust page.</t>
        </is>
      </c>
    </row>
    <row r="7">
      <c r="A7" s="45" t="inlineStr">
        <is>
          <t>S18-04</t>
        </is>
      </c>
      <c r="B7" s="45" t="inlineStr">
        <is>
          <t>deploy.yml: preflight FAILS CLOSED naming LC-1 when project secrets are absent; never skips, never echoes</t>
        </is>
      </c>
      <c r="C7" s="45" t="inlineStr">
        <is>
          <t>CGPT-DM-002, D-DM4</t>
        </is>
      </c>
      <c r="D7" s="45" t="n">
        <v>5</v>
      </c>
      <c r="E7" s="45" t="inlineStr">
        <is>
          <t>Claude</t>
        </is>
      </c>
      <c r="F7" s="48" t="inlineStr">
        <is>
          <t>Done</t>
        </is>
      </c>
      <c r="G7" s="46" t="inlineStr">
        <is>
          <t>Then: WIF auth, build/push by digest, pin traffic, terraform apply, migrate job, smoke on the tag URL, traffic shift, automatic rollback if smoke fails. RG-02 passes on it.</t>
        </is>
      </c>
    </row>
    <row r="8">
      <c r="A8" s="45" t="inlineStr">
        <is>
          <t>S18-05</t>
        </is>
      </c>
      <c r="B8" s="45" t="inlineStr">
        <is>
          <t>Redacting structured logger with the PII/secret assertion test</t>
        </is>
      </c>
      <c r="C8" s="45" t="inlineStr">
        <is>
          <t>S18</t>
        </is>
      </c>
      <c r="D8" s="45" t="n">
        <v>5</v>
      </c>
      <c r="E8" s="45" t="inlineStr">
        <is>
          <t>Claude</t>
        </is>
      </c>
      <c r="F8" s="48" t="inlineStr">
        <is>
          <t>Done</t>
        </is>
      </c>
      <c r="G8" s="46" t="inlineStr">
        <is>
          <t>Key regex plus value patterns for bearer tokens, ya29. tokens, OAuth codes and emails; deep, cycle-safe. The test logs all four and asserts none of the raw values appear.</t>
        </is>
      </c>
    </row>
    <row r="9">
      <c r="A9" s="45" t="inlineStr">
        <is>
          <t>S18-06</t>
        </is>
      </c>
      <c r="B9" s="45" t="inlineStr">
        <is>
          <t>Request tracing: traceparent-compatible ids, propagated and echoed as x-request-id</t>
        </is>
      </c>
      <c r="C9" s="45" t="inlineStr">
        <is>
          <t>S18</t>
        </is>
      </c>
      <c r="D9" s="45" t="n">
        <v>3</v>
      </c>
      <c r="E9" s="45" t="inlineStr">
        <is>
          <t>Claude</t>
        </is>
      </c>
      <c r="F9" s="48" t="inlineStr">
        <is>
          <t>Done</t>
        </is>
      </c>
      <c r="G9" s="46" t="inlineStr">
        <is>
          <t>Wired into serveOnce so every log line written while handling a request carries its id, and a customer report can be matched to a trace.</t>
        </is>
      </c>
    </row>
    <row r="10">
      <c r="A10" s="45" t="inlineStr">
        <is>
          <t>S18-07</t>
        </is>
      </c>
      <c r="B10" s="45" t="inlineStr">
        <is>
          <t>DM-F35: LOG_LEVEL was in the environment contract since S13 and nothing read it</t>
        </is>
      </c>
      <c r="C10" s="45" t="inlineStr">
        <is>
          <t>S18 (new)</t>
        </is>
      </c>
      <c r="D10" s="45" t="n">
        <v>1</v>
      </c>
      <c r="E10" s="45" t="inlineStr">
        <is>
          <t>Claude</t>
        </is>
      </c>
      <c r="F10" s="48" t="inlineStr">
        <is>
          <t>Done</t>
        </is>
      </c>
      <c r="G10" s="46" t="inlineStr">
        <is>
          <t>productionAdapters used an inline stdout write with no redaction. Now createLogger(process.env).log.</t>
        </is>
      </c>
    </row>
    <row r="11">
      <c r="A11" s="45" t="inlineStr">
        <is>
          <t>S18-08</t>
        </is>
      </c>
      <c r="B11" s="45" t="inlineStr">
        <is>
          <t>Error budgets on the two SLIs that matter, with multiwindow burn-rate alerting</t>
        </is>
      </c>
      <c r="C11" s="45" t="inlineStr">
        <is>
          <t>S18</t>
        </is>
      </c>
      <c r="D11" s="45" t="n">
        <v>5</v>
      </c>
      <c r="E11" s="45" t="inlineStr">
        <is>
          <t>Claude</t>
        </is>
      </c>
      <c r="F11" s="48" t="inlineStr">
        <is>
          <t>Done</t>
        </is>
      </c>
      <c r="G11" s="46" t="inlineStr">
        <is>
          <t>document_render_success_rate 99.5%, batch_completion_rate 99%; fast 14.4x/1h, slow 6x/6h.</t>
        </is>
      </c>
    </row>
    <row r="12">
      <c r="A12" s="45" t="inlineStr">
        <is>
          <t>S18-09</t>
        </is>
      </c>
      <c r="B12" s="45" t="inlineStr">
        <is>
          <t>Synthetic monitor exercising install -&gt; render -&gt; file, every 15 minutes</t>
        </is>
      </c>
      <c r="C12" s="45" t="inlineStr">
        <is>
          <t>S18</t>
        </is>
      </c>
      <c r="D12" s="45" t="n">
        <v>5</v>
      </c>
      <c r="E12" s="45" t="inlineStr">
        <is>
          <t>Claude</t>
        </is>
      </c>
      <c r="F12" s="48" t="inlineStr">
        <is>
          <t>Done</t>
        </is>
      </c>
      <c r="G12" s="46" t="inlineStr">
        <is>
          <t>RUN FOR REAL against the built app plus local Postgres: five steps green, render 201 in 23ms. Fails closed without STAGING_BASE_URL rather than reporting a pass it did not earn.</t>
        </is>
      </c>
    </row>
    <row r="13">
      <c r="A13" s="45" t="inlineStr">
        <is>
          <t>S18-10</t>
        </is>
      </c>
      <c r="B13" s="45" t="inlineStr">
        <is>
          <t>ONE alert with a runbook, and a test asserting every command the runbook quotes exists</t>
        </is>
      </c>
      <c r="C13" s="45" t="inlineStr">
        <is>
          <t>S18</t>
        </is>
      </c>
      <c r="D13" s="45" t="n">
        <v>3</v>
      </c>
      <c r="E13" s="45" t="inlineStr">
        <is>
          <t>Claude</t>
        </is>
      </c>
      <c r="F13" s="48" t="inlineStr">
        <is>
          <t>Done</t>
        </is>
      </c>
      <c r="G13" s="46" t="inlineStr">
        <is>
          <t>Error-budget fast burn on document_render_success_rate, with the three most likely causes and the evidence for each: Docs 429 quota, token refresh failures, DB unreachable.</t>
        </is>
      </c>
    </row>
    <row r="14">
      <c r="A14" s="45" t="inlineStr">
        <is>
          <t>S18-11</t>
        </is>
      </c>
      <c r="B14" s="45" t="inlineStr">
        <is>
          <t>Backup and one restore drill, measured</t>
        </is>
      </c>
      <c r="C14" s="45" t="inlineStr">
        <is>
          <t>S18, ST-090</t>
        </is>
      </c>
      <c r="D14" s="45" t="n">
        <v>5</v>
      </c>
      <c r="E14" s="45" t="inlineStr">
        <is>
          <t>Claude</t>
        </is>
      </c>
      <c r="F14" s="48" t="inlineStr">
        <is>
          <t>Done</t>
        </is>
      </c>
      <c r="G14" s="46" t="inlineStr">
        <is>
          <t>EXECUTED: 19 tables, 34,196-byte dump in 53ms, RTO 95ms, RPO 61ms, contents verified against the manifest. One drill, not the full S23 programme.</t>
        </is>
      </c>
    </row>
    <row r="15">
      <c r="A15" s="45" t="inlineStr">
        <is>
          <t>S18-12</t>
        </is>
      </c>
      <c r="B15" s="45" t="inlineStr">
        <is>
          <t>D-DM4: ratify leaving main red</t>
        </is>
      </c>
      <c r="C15" s="45" t="inlineStr">
        <is>
          <t>D-DM4</t>
        </is>
      </c>
      <c r="D15" s="45" t="n">
        <v>0</v>
      </c>
      <c r="E15" s="45" t="inlineStr">
        <is>
          <t>Senthil</t>
        </is>
      </c>
      <c r="F15" s="48" t="inlineStr">
        <is>
          <t>Done</t>
        </is>
      </c>
      <c r="G15" s="46" t="inlineStr">
        <is>
          <t>RESOLVED rather than ratified — the deploy job now has a real implementation behind the fail-closed preflight, so the red resolves itself the moment LC-1 lands. The reasoning was right.</t>
        </is>
      </c>
    </row>
    <row r="16">
      <c r="A16" s="45" t="inlineStr">
        <is>
          <t>S18-13</t>
        </is>
      </c>
      <c r="B16" s="45" t="inlineStr">
        <is>
          <t>DM-F37: pgClient DATABASE_SSL=require has no CA option, so it can never verify a Cloud SQL server certificate</t>
        </is>
      </c>
      <c r="C16" s="45" t="inlineStr">
        <is>
          <t>S18 (new)</t>
        </is>
      </c>
      <c r="D16" s="45" t="n">
        <v>2</v>
      </c>
      <c r="E16" s="45" t="inlineStr">
        <is>
          <t>Claude</t>
        </is>
      </c>
      <c r="F16" s="48" t="inlineStr">
        <is>
          <t>Done</t>
        </is>
      </c>
      <c r="G16" s="46" t="inlineStr">
        <is>
          <t>Added DATABASE_SSL_CA to the contract and the pool config. Without it, the only production-legal posture was allow-unverified.</t>
        </is>
      </c>
    </row>
    <row r="17">
      <c r="A17" s="45" t="inlineStr">
        <is>
          <t>S18-14</t>
        </is>
      </c>
      <c r="B17" s="45" t="inlineStr">
        <is>
          <t>DM-F38: the app and the migration job share one Postgres role</t>
        </is>
      </c>
      <c r="C17" s="45" t="inlineStr">
        <is>
          <t>S18 (new)</t>
        </is>
      </c>
      <c r="D17" s="45" t="n">
        <v>2</v>
      </c>
      <c r="E17" s="45" t="inlineStr">
        <is>
          <t>Claude</t>
        </is>
      </c>
      <c r="F17" s="46" t="inlineStr">
        <is>
          <t>To do</t>
        </is>
      </c>
      <c r="G17" s="46" t="inlineStr">
        <is>
          <t>The GCP identities are split; the database role should be too.</t>
        </is>
      </c>
    </row>
    <row r="18">
      <c r="A18" s="45" t="inlineStr">
        <is>
          <t>S18-15</t>
        </is>
      </c>
      <c r="B18" s="45" t="inlineStr">
        <is>
          <t>LIVE: destroy -&gt; recreate -&gt; deploy -&gt; migrate -&gt; smoke -&gt; rollback -&gt; redeploy, twice, from CI logs</t>
        </is>
      </c>
      <c r="C18" s="45" t="inlineStr">
        <is>
          <t>S18 exit, LC-1</t>
        </is>
      </c>
      <c r="D18" s="45" t="n">
        <v>8</v>
      </c>
      <c r="E18" s="45" t="inlineStr">
        <is>
          <t>Senthil + Claude</t>
        </is>
      </c>
      <c r="F18" s="49" t="inlineStr">
        <is>
          <t>Blocked</t>
        </is>
      </c>
      <c r="G18" s="46" t="inlineStr">
        <is>
          <t>THE REVIEW'S NAMED EXIT CRITERION FOR S18. Needs the real GCP project and a hosting decision. Terraform has never been init-ed; provider argument names were written against hashicorp/google ~&gt; 6.0 and the first validate will surface a few.</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9" customWidth="1" style="22" min="1" max="1"/>
    <col width="62" customWidth="1" style="22" min="2" max="2"/>
    <col width="20" customWidth="1" style="22" min="3" max="3"/>
    <col width="8" customWidth="1" style="22" min="4" max="4"/>
    <col width="17" customWidth="1" style="22" min="5" max="5"/>
    <col width="16" customWidth="1" style="22" min="6" max="6"/>
    <col width="74" customWidth="1" style="22" min="7" max="7"/>
  </cols>
  <sheetData>
    <row r="1">
      <c r="A1" s="42" t="inlineStr">
        <is>
          <t>S19 BUILD BOARD — Evidence from strangers — exit: assumption replaced by measurement</t>
        </is>
      </c>
    </row>
    <row r="2">
      <c r="A2" s="43" t="inlineStr">
        <is>
          <t>The gate the review asked for is built and has already earned itself. The evidence half — submission, 50 installs, the sibling runs — is Senthil's.</t>
        </is>
      </c>
    </row>
    <row r="3">
      <c r="A3" s="44" t="inlineStr">
        <is>
          <t>ID</t>
        </is>
      </c>
      <c r="B3" s="44" t="inlineStr">
        <is>
          <t>Item</t>
        </is>
      </c>
      <c r="C3" s="44" t="inlineStr">
        <is>
          <t>Story / finding ref</t>
        </is>
      </c>
      <c r="D3" s="44" t="inlineStr">
        <is>
          <t>Points</t>
        </is>
      </c>
      <c r="E3" s="44" t="inlineStr">
        <is>
          <t>Owner</t>
        </is>
      </c>
      <c r="F3" s="44" t="inlineStr">
        <is>
          <t>Status</t>
        </is>
      </c>
      <c r="G3" s="44" t="inlineStr">
        <is>
          <t>Notes / Evidence</t>
        </is>
      </c>
    </row>
    <row r="4">
      <c r="A4" s="45" t="inlineStr">
        <is>
          <t>S19-01</t>
        </is>
      </c>
      <c r="B4" s="45" t="inlineStr">
        <is>
          <t>integrationGate.ts — every exported behavioural boundary with no non-test implementation</t>
        </is>
      </c>
      <c r="C4" s="45" t="inlineStr">
        <is>
          <t>P-DM-001</t>
        </is>
      </c>
      <c r="D4" s="45" t="n">
        <v>8</v>
      </c>
      <c r="E4" s="45" t="inlineStr">
        <is>
          <t>Claude</t>
        </is>
      </c>
      <c r="F4" s="48" t="inlineStr">
        <is>
          <t>Done</t>
        </is>
      </c>
      <c r="G4" s="46" t="inlineStr">
        <is>
          <t>THE FOURTH PORTFOLIO GATE CLASS the review asked for. P-DM-001 as a standing check rather than an outsider's sweep.</t>
        </is>
      </c>
    </row>
    <row r="5">
      <c r="A5" s="45" t="inlineStr">
        <is>
          <t>S19-02</t>
        </is>
      </c>
      <c r="B5" s="45" t="inlineStr">
        <is>
          <t>Run it against this repository and fix what it finds</t>
        </is>
      </c>
      <c r="C5" s="45" t="inlineStr">
        <is>
          <t>P-DM-001</t>
        </is>
      </c>
      <c r="D5" s="45" t="n">
        <v>8</v>
      </c>
      <c r="E5" s="45" t="inlineStr">
        <is>
          <t>Claude</t>
        </is>
      </c>
      <c r="F5" s="48" t="inlineStr">
        <is>
          <t>Done</t>
        </is>
      </c>
      <c r="G5" s="46" t="inlineStr">
        <is>
          <t>16 findings on the first run AFTER seven sprints of remediation. PaymentGateway: injected since S6, both env values in the contract, no code had ever sent a request to Stripe. LicenseProbe: created by VER-DM1 to detect uninstall, never implemented, so uninstall was undetectable.</t>
        </is>
      </c>
    </row>
    <row r="6">
      <c r="A6" s="45" t="inlineStr">
        <is>
          <t>S19-03</t>
        </is>
      </c>
      <c r="B6" s="45" t="inlineStr">
        <is>
          <t>src/paymentGateway.ts — real Stripe PaymentIntents with an idempotency key derived from account + description</t>
        </is>
      </c>
      <c r="C6" s="45" t="inlineStr">
        <is>
          <t>S19-02</t>
        </is>
      </c>
      <c r="D6" s="45" t="n">
        <v>5</v>
      </c>
      <c r="E6" s="45" t="inlineStr">
        <is>
          <t>Claude</t>
        </is>
      </c>
      <c r="F6" s="48" t="inlineStr">
        <is>
          <t>Done-in-code</t>
        </is>
      </c>
      <c r="G6" s="46" t="inlineStr">
        <is>
          <t>The webhook idempotency billingHardening.ts proves is meaningless if the outbound charge is not idempotent too. A charge routed to 'marketplace' is a configuration error, reported as such, never as a decline that would start a customer down the dunning path for our mistake.</t>
        </is>
      </c>
    </row>
    <row r="7">
      <c r="A7" s="45" t="inlineStr">
        <is>
          <t>S19-04</t>
        </is>
      </c>
      <c r="B7" s="45" t="inlineStr">
        <is>
          <t>src/marketplaceLicense.ts — the customerLicense probe behind VER-DM1's uninstall detection</t>
        </is>
      </c>
      <c r="C7" s="45" t="inlineStr">
        <is>
          <t>VER-DM1, S19-02</t>
        </is>
      </c>
      <c r="D7" s="45" t="n">
        <v>5</v>
      </c>
      <c r="E7" s="45" t="inlineStr">
        <is>
          <t>Claude</t>
        </is>
      </c>
      <c r="F7" s="48" t="inlineStr">
        <is>
          <t>Done-in-code</t>
        </is>
      </c>
      <c r="G7" s="46" t="inlineStr">
        <is>
          <t>404 -&gt; unlicensed; any other failure -&gt; unknown, because a transient error must never be read as an uninstall and trigger deletion.</t>
        </is>
      </c>
    </row>
    <row r="8">
      <c r="A8" s="45" t="inlineStr">
        <is>
          <t>S19-05</t>
        </is>
      </c>
      <c r="B8" s="45" t="inlineStr">
        <is>
          <t>src/accountIdentities.ts + migration 006 — the gate caught two stubs written in the SAME HOUR as the fix</t>
        </is>
      </c>
      <c r="C8" s="45" t="inlineStr">
        <is>
          <t>S19-02</t>
        </is>
      </c>
      <c r="D8" s="45" t="n">
        <v>3</v>
      </c>
      <c r="E8" s="45" t="inlineStr">
        <is>
          <t>Claude</t>
        </is>
      </c>
      <c r="F8" s="48" t="inlineStr">
        <is>
          <t>Done</t>
        </is>
      </c>
      <c r="G8" s="46" t="inlineStr">
        <is>
          <t>`async () =&gt; undefined` standing in for the Stripe enrolment and the Marketplace customer id. Catching the class on the day it is written, rather than three days later by an outsider, is the entire point.</t>
        </is>
      </c>
    </row>
    <row r="9">
      <c r="A9" s="45" t="inlineStr">
        <is>
          <t>S19-06</t>
        </is>
      </c>
      <c r="B9" s="45" t="inlineStr">
        <is>
          <t>DM-F39: the integration gate's own method regex could not match query&lt;T = Record&lt;string, unknown&gt;&gt;(</t>
        </is>
      </c>
      <c r="C9" s="45" t="inlineStr">
        <is>
          <t>S19-01 (new)</t>
        </is>
      </c>
      <c r="D9" s="45" t="n">
        <v>2</v>
      </c>
      <c r="E9" s="45" t="inlineStr">
        <is>
          <t>Claude</t>
        </is>
      </c>
      <c r="F9" s="48" t="inlineStr">
        <is>
          <t>Done</t>
        </is>
      </c>
      <c r="G9" s="46" t="inlineStr">
        <is>
          <t>So SqlClient — the Postgres boundary the review explicitly named — was silently not a boundary at all. A gate with a blind spot reports PASS, not ERROR. Fixed and pinned by test; the lesson is in the guard kit README.</t>
        </is>
      </c>
    </row>
    <row r="10">
      <c r="A10" s="45" t="inlineStr">
        <is>
          <t>S19-07</t>
        </is>
      </c>
      <c r="B10" s="45" t="inlineStr">
        <is>
          <t>Wire integrationGate into CI as its own step and into `npm run verify`</t>
        </is>
      </c>
      <c r="C10" s="45" t="inlineStr">
        <is>
          <t>P-DM-001</t>
        </is>
      </c>
      <c r="D10" s="45" t="n">
        <v>2</v>
      </c>
      <c r="E10" s="45" t="inlineStr">
        <is>
          <t>Claude</t>
        </is>
      </c>
      <c r="F10" s="48" t="inlineStr">
        <is>
          <t>Done</t>
        </is>
      </c>
      <c r="G10" s="46" t="inlineStr">
        <is>
          <t>43 boundaries, 0 findings, on every commit.</t>
        </is>
      </c>
    </row>
    <row r="11">
      <c r="A11" s="45" t="inlineStr">
        <is>
          <t>S19-08</t>
        </is>
      </c>
      <c r="B11" s="45" t="inlineStr">
        <is>
          <t>Guard kit v4: integrationGate + runtimeDeps + claimsGate + RG-05/RG-06, with the defect-class register extended</t>
        </is>
      </c>
      <c r="C11" s="45" t="inlineStr">
        <is>
          <t>R-D18, R-D26</t>
        </is>
      </c>
      <c r="D11" s="45" t="n">
        <v>5</v>
      </c>
      <c r="E11" s="45" t="inlineStr">
        <is>
          <t>Claude</t>
        </is>
      </c>
      <c r="F11" s="48" t="inlineStr">
        <is>
          <t>Done</t>
        </is>
      </c>
      <c r="G11" s="46" t="inlineStr">
        <is>
          <t>Classes C-16..C-19 added. v3's README named two classes the kit did not cover; v4 closes one outright (claimsGate) and comes at the other from the opposite side (an interface with no implementation, rather than an implementation with no caller).</t>
        </is>
      </c>
    </row>
    <row r="12">
      <c r="A12" s="45" t="inlineStr">
        <is>
          <t>S19-09</t>
        </is>
      </c>
      <c r="B12" s="45" t="inlineStr">
        <is>
          <t>R-D18: run the guard kit against ONE sibling — RevRescue, TeleField or FlowCast</t>
        </is>
      </c>
      <c r="C12" s="45" t="inlineStr">
        <is>
          <t>R-D18</t>
        </is>
      </c>
      <c r="D12" s="45" t="n">
        <v>3</v>
      </c>
      <c r="E12" s="45" t="inlineStr">
        <is>
          <t>Senthil</t>
        </is>
      </c>
      <c r="F12" s="46" t="inlineStr">
        <is>
          <t>To do</t>
        </is>
      </c>
      <c r="G12" s="46" t="inlineStr">
        <is>
          <t>STILL THE CHEAPEST ITEM ON THE BOARD, still never done, and now with four more classes to test for. Every cross-product claim in the register stays a hypothesis until it runs once. The review expects integrationGate to fire.</t>
        </is>
      </c>
    </row>
    <row r="13">
      <c r="A13" s="45" t="inlineStr">
        <is>
          <t>S19-10</t>
        </is>
      </c>
      <c r="B13" s="45" t="inlineStr">
        <is>
          <t>Telemetry for the three questions the existing instrumentation can already answer</t>
        </is>
      </c>
      <c r="C13" s="45" t="inlineStr">
        <is>
          <t>D13, S19</t>
        </is>
      </c>
      <c r="D13" s="45" t="n">
        <v>3</v>
      </c>
      <c r="E13" s="45" t="inlineStr">
        <is>
          <t>Claude</t>
        </is>
      </c>
      <c r="F13" s="48" t="inlineStr">
        <is>
          <t>Done-in-code</t>
        </is>
      </c>
      <c r="G13" s="46" t="inlineStr">
        <is>
          <t>install -&gt; first-document conversion, where people stop, which template they pick first. The decision pack is right that this is cheaper and more honest evidence than twenty interviews — D13 KEPT.</t>
        </is>
      </c>
    </row>
    <row r="14">
      <c r="A14" s="45" t="inlineStr">
        <is>
          <t>S19-11</t>
        </is>
      </c>
      <c r="B14" s="45" t="inlineStr">
        <is>
          <t>LIVE: submit for OAuth verification and listing AS EARLY AS S15 ALLOWS, concurrently with engineering</t>
        </is>
      </c>
      <c r="C14" s="45" t="inlineStr">
        <is>
          <t>P-DM-011, LC-1</t>
        </is>
      </c>
      <c r="D14" s="45" t="n">
        <v>5</v>
      </c>
      <c r="E14" s="45" t="inlineStr">
        <is>
          <t>Senthil</t>
        </is>
      </c>
      <c r="F14" s="49" t="inlineStr">
        <is>
          <t>Blocked</t>
        </is>
      </c>
      <c r="G14" s="46" t="inlineStr">
        <is>
          <t>The clock is long, uncontrollable, and can be started before the product is finished. Documented cases run past eight weeks for sensitive scopes.</t>
        </is>
      </c>
    </row>
    <row r="15">
      <c r="A15" s="45" t="inlineStr">
        <is>
          <t>S19-12</t>
        </is>
      </c>
      <c r="B15" s="45" t="inlineStr">
        <is>
          <t>LIVE: ship to 50 installs, then decide against G-02 and the S12 kill criteria</t>
        </is>
      </c>
      <c r="C15" s="45" t="inlineStr">
        <is>
          <t>G-01..G-04</t>
        </is>
      </c>
      <c r="D15" s="45" t="n">
        <v>8</v>
      </c>
      <c r="E15" s="45" t="inlineStr">
        <is>
          <t>Senthil</t>
        </is>
      </c>
      <c r="F15" s="49" t="inlineStr">
        <is>
          <t>Blocked</t>
        </is>
      </c>
      <c r="G15" s="46" t="inlineStr">
        <is>
          <t>Where D-DM3 gets settled by data rather than by argument.</t>
        </is>
      </c>
    </row>
  </sheetData>
  <pageMargins left="0.75" right="0.75" top="1" bottom="1" header="0.5" footer="0.5"/>
</worksheet>
</file>

<file path=xl/worksheets/sheet33.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1" min="1" max="1"/>
    <col width="9" customWidth="1" style="21" min="2" max="2"/>
    <col width="30" customWidth="1" style="21" min="3" max="3"/>
    <col width="62" customWidth="1" style="21" min="4" max="4"/>
    <col width="54" customWidth="1" style="21" min="5" max="5"/>
    <col width="34" customWidth="1" style="21" min="6" max="6"/>
    <col width="52" customWidth="1" style="21" min="7" max="7"/>
  </cols>
  <sheetData>
    <row r="1" ht="17.25" customHeight="1" s="22">
      <c r="A1" s="23" t="inlineStr">
        <is>
          <t>PROPOSED SPRINT PLAN S13-S32 — as given by external review CGPT V001</t>
        </is>
      </c>
    </row>
    <row r="2" ht="57.75" customHeight="1" s="22">
      <c r="A2" s="30" t="inlineStr">
        <is>
          <t>RECORDED AS PROPOSED, NOT ADOPTED. Reproduced from the review workbook without edit so nothing is silently rewritten. Adoption depends on D-DM2 (enterprise bar) and D-DM3 (D13 interview collision). Note the sequencing this implies: enterprise identity at S17 as P0, first design partners at S30, GA at S31 — SAML federation eighteen sprints before the first paying customer. STATE_OF_DOCMERGE concludes the opposite priority. Both cannot be the plan.</t>
        </is>
      </c>
    </row>
    <row r="4" ht="15" customHeight="1" s="22">
      <c r="A4" s="31" t="inlineStr">
        <is>
          <t>Sprint</t>
        </is>
      </c>
      <c r="B4" s="31" t="inlineStr">
        <is>
          <t>Priority</t>
        </is>
      </c>
      <c r="C4" s="31" t="inlineStr">
        <is>
          <t>Objective</t>
        </is>
      </c>
      <c r="D4" s="31" t="inlineStr">
        <is>
          <t>Build scope</t>
        </is>
      </c>
      <c r="E4" s="31" t="inlineStr">
        <is>
          <t>Acceptance / regression evidence</t>
        </is>
      </c>
      <c r="F4" s="31" t="inlineStr">
        <is>
          <t>Exit criterion</t>
        </is>
      </c>
      <c r="G4" s="31" t="inlineStr">
        <is>
          <t>Status in this tracker</t>
        </is>
      </c>
    </row>
    <row r="5" ht="21.75" customHeight="1" s="22">
      <c r="A5" s="29" t="inlineStr">
        <is>
          <t>S13 Surface Freeze</t>
        </is>
      </c>
      <c r="B5" s="28" t="inlineStr">
        <is>
          <t>P0</t>
        </is>
      </c>
      <c r="C5" s="28" t="inlineStr">
        <is>
          <t>Eliminate architecture ambiguity</t>
        </is>
      </c>
      <c r="D5" s="28" t="inlineStr">
        <is>
          <t>ADR Editor vs Workspace; update UI, manifest, stories, help/listing and Forms flow; remove impossible/dead paths.</t>
        </is>
      </c>
      <c r="E5" s="28" t="inlineStr">
        <is>
          <t>Host capability contract tests; documentation consistency scan.</t>
        </is>
      </c>
      <c r="F5" s="28" t="inlineStr">
        <is>
          <t>ADR accepted; zero conflicting claims.</t>
        </is>
      </c>
      <c r="G5" s="28" t="inlineStr">
        <is>
          <t>Blocked on D-DM1 (open since 11:56).</t>
        </is>
      </c>
    </row>
    <row r="6" ht="32.25" customHeight="1" s="22">
      <c r="A6" s="29" t="inlineStr">
        <is>
          <t>S14 Reproducible Release</t>
        </is>
      </c>
      <c r="B6" s="28" t="inlineStr">
        <is>
          <t>P0</t>
        </is>
      </c>
      <c r="C6" s="28" t="inlineStr">
        <is>
          <t>Independent build proof</t>
        </is>
      </c>
      <c r="D6" s="28" t="inlineStr">
        <is>
          <t>Lockfile; clean npm ci; deterministic build; coverage artifact; SBOM; SHA/version manifest; signed checksums.</t>
        </is>
      </c>
      <c r="E6" s="28" t="inlineStr">
        <is>
          <t>Fresh runner executes install→tsc→all tests→coverage→package.</t>
        </is>
      </c>
      <c r="F6" s="28" t="inlineStr">
        <is>
          <t>One-command clean build passes.</t>
        </is>
      </c>
      <c r="G6" s="28" t="inlineStr">
        <is>
          <t>SUBSTANTIALLY DONE v031 — lockfile, clean npm ci, coverage artifact, SBOM (CGPT-DM-004/012). Signing and a SHA/version manifest not done.</t>
        </is>
      </c>
    </row>
    <row r="7" ht="21.75" customHeight="1" s="22">
      <c r="A7" s="29" t="inlineStr">
        <is>
          <t>S15 Real Staging</t>
        </is>
      </c>
      <c r="B7" s="28" t="inlineStr">
        <is>
          <t>P0</t>
        </is>
      </c>
      <c r="C7" s="28" t="inlineStr">
        <is>
          <t>Replace fake deploy</t>
        </is>
      </c>
      <c r="D7" s="28" t="inlineStr">
        <is>
          <t>GCP staging; IaC; secrets; migrations; HTTPS; health/readiness; rollback; environment separation.</t>
        </is>
      </c>
      <c r="E7" s="28" t="inlineStr">
        <is>
          <t>Destroy/recreate; deploy; migrate; smoke; rollback; redeploy.</t>
        </is>
      </c>
      <c r="F7" s="28" t="inlineStr">
        <is>
          <t>Repeatable deploy/rollback evidence.</t>
        </is>
      </c>
      <c r="G7" s="28" t="inlineStr">
        <is>
          <t>Blocked on LC-1. Placeholder deploy removed and now fails closed; DEPLOY_PLAN.md specifies the work.</t>
        </is>
      </c>
    </row>
    <row r="8" ht="21.75" customHeight="1" s="22">
      <c r="A8" s="29" t="inlineStr">
        <is>
          <t>S16 OAuth &amp; Marketplace</t>
        </is>
      </c>
      <c r="B8" s="28" t="inlineStr">
        <is>
          <t>P0</t>
        </is>
      </c>
      <c r="C8" s="28" t="inlineStr">
        <is>
          <t>Prove installability</t>
        </is>
      </c>
      <c r="D8" s="28" t="inlineStr">
        <is>
          <t>Exact least-privilege scopes; consent/branding; redirects; domain; install/revoke/reinstall; demo/listing preflight.</t>
        </is>
      </c>
      <c r="E8" s="28" t="inlineStr">
        <is>
          <t>Real test-user flows; scope-diff gate; negative auth tests.</t>
        </is>
      </c>
      <c r="F8" s="28" t="inlineStr">
        <is>
          <t>Submission-ready evidence pack.</t>
        </is>
      </c>
      <c r="G8" s="28" t="inlineStr">
        <is>
          <t>Blocked on LC-1.</t>
        </is>
      </c>
    </row>
    <row r="9" ht="21.75" customHeight="1" s="22">
      <c r="A9" s="29" t="inlineStr">
        <is>
          <t>S17 Enterprise Identity</t>
        </is>
      </c>
      <c r="B9" s="28" t="inlineStr">
        <is>
          <t>P0</t>
        </is>
      </c>
      <c r="C9" s="28" t="inlineStr">
        <is>
          <t>Enterprise control plane</t>
        </is>
      </c>
      <c r="D9" s="28" t="inlineStr">
        <is>
          <t>OIDC/SAML abstraction; domain enforcement; SCIM/directory lifecycle; RBAC/admin; revocation; break-glass; audit.</t>
        </is>
      </c>
      <c r="E9" s="28" t="inlineStr">
        <is>
          <t>Privilege matrix; revoke/downgrade/domain-policy tests.</t>
        </is>
      </c>
      <c r="F9" s="28" t="inlineStr">
        <is>
          <t>Threat model + integration tests pass.</t>
        </is>
      </c>
      <c r="G9" s="28" t="inlineStr">
        <is>
          <t>PROPOSED — not adopted (D-DM2)</t>
        </is>
      </c>
    </row>
    <row r="10" ht="21.75" customHeight="1" s="22">
      <c r="A10" s="29" t="inlineStr">
        <is>
          <t>S18 Durable Data Plane</t>
        </is>
      </c>
      <c r="B10" s="28" t="inlineStr">
        <is>
          <t>P0</t>
        </is>
      </c>
      <c r="C10" s="28" t="inlineStr">
        <is>
          <t>Remove process-memory correctness</t>
        </is>
      </c>
      <c r="D10" s="28" t="inlineStr">
        <is>
          <t>Persist ledgers/dedupe/jobs/rate state where required; transactions; idempotency; tenant DB scoping; concurrency.</t>
        </is>
      </c>
      <c r="E10" s="28" t="inlineStr">
        <is>
          <t>Crash/restart, duplicate, concurrent tenant and migration tests.</t>
        </is>
      </c>
      <c r="F10" s="28" t="inlineStr">
        <is>
          <t>No critical guarantee depends on RAM.</t>
        </is>
      </c>
      <c r="G10" s="28" t="inlineStr">
        <is>
          <t>PROPOSED — not adopted (D-DM2)</t>
        </is>
      </c>
    </row>
    <row r="11" ht="21.75" customHeight="1" s="22">
      <c r="A11" s="29" t="inlineStr">
        <is>
          <t>S19 Quota Job Engine</t>
        </is>
      </c>
      <c r="B11" s="28" t="inlineStr">
        <is>
          <t>P0</t>
        </is>
      </c>
      <c r="C11" s="28" t="inlineStr">
        <is>
          <t>Reliable large batches</t>
        </is>
      </c>
      <c r="D11" s="28" t="inlineStr">
        <is>
          <t>Distributed quota budgets; fair queue; jitter/backoff; DLQ; resumable jobs; ETA; cancellation.</t>
        </is>
      </c>
      <c r="E11" s="28" t="inlineStr">
        <is>
          <t>Real 10/100/500/1000-row tests; 429/5xx; restart mid-job; no duplicates.</t>
        </is>
      </c>
      <c r="F11" s="28" t="inlineStr">
        <is>
          <t>ETA and completion SLO validated.</t>
        </is>
      </c>
      <c r="G11" s="28" t="inlineStr">
        <is>
          <t>PROPOSED — not adopted (D-DM2)</t>
        </is>
      </c>
    </row>
    <row r="12" ht="21.75" customHeight="1" s="22">
      <c r="A12" s="29" t="inlineStr">
        <is>
          <t>S20 Security Hardening</t>
        </is>
      </c>
      <c r="B12" s="28" t="inlineStr">
        <is>
          <t>P0</t>
        </is>
      </c>
      <c r="C12" s="28" t="inlineStr">
        <is>
          <t>External-review baseline</t>
        </is>
      </c>
      <c r="D12" s="28" t="inlineStr">
        <is>
          <t>Threat model; SAST/SCA/secret scan; CSP/headers; key rotation; input/SSRF review; pen test.</t>
        </is>
      </c>
      <c r="E12" s="28" t="inlineStr">
        <is>
          <t>OWASP/API abuse tests; no critical/high; retest findings.</t>
        </is>
      </c>
      <c r="F12" s="28" t="inlineStr">
        <is>
          <t>External pen-test closed.</t>
        </is>
      </c>
      <c r="G12" s="28" t="inlineStr">
        <is>
          <t>Partly started: SAST/SCA/secret scan wired (CodeQL unverified, R-D17). Pen test is ST-068, unbooked (R-D10).</t>
        </is>
      </c>
    </row>
    <row r="13" ht="21.75" customHeight="1" s="22">
      <c r="A13" s="29" t="inlineStr">
        <is>
          <t>S21 Data Governance</t>
        </is>
      </c>
      <c r="B13" s="28" t="inlineStr">
        <is>
          <t>P1</t>
        </is>
      </c>
      <c r="C13" s="28" t="inlineStr">
        <is>
          <t>Enterprise lifecycle</t>
        </is>
      </c>
      <c r="D13" s="28" t="inlineStr">
        <is>
          <t>Configurable retention; export; purge receipts; legal hold; DPA/subprocessors; residency decision.</t>
        </is>
      </c>
      <c r="E13" s="28" t="inlineStr">
        <is>
          <t>Create/export/hold/delete E2E matrix and partial-failure proof.</t>
        </is>
      </c>
      <c r="F13" s="28" t="inlineStr">
        <is>
          <t>Lifecycle RTM complete.</t>
        </is>
      </c>
      <c r="G13" s="28" t="inlineStr">
        <is>
          <t>PROPOSED — not adopted (D-DM2)</t>
        </is>
      </c>
    </row>
    <row r="14" ht="21.75" customHeight="1" s="22">
      <c r="A14" s="29" t="inlineStr">
        <is>
          <t>S22 Audit &amp; Compliance</t>
        </is>
      </c>
      <c r="B14" s="28" t="inlineStr">
        <is>
          <t>P1</t>
        </is>
      </c>
      <c r="C14" s="28" t="inlineStr">
        <is>
          <t>Inspectable trust</t>
        </is>
      </c>
      <c r="D14" s="28" t="inlineStr">
        <is>
          <t>Durable tamper-evident audit; search/export; actor/resource/action/outcome; privileged alerts.</t>
        </is>
      </c>
      <c r="E14" s="28" t="inlineStr">
        <is>
          <t>Tamper/completeness/tenant export/retention tests.</t>
        </is>
      </c>
      <c r="F14" s="28" t="inlineStr">
        <is>
          <t>Customer-ready audit evidence.</t>
        </is>
      </c>
      <c r="G14" s="28" t="inlineStr">
        <is>
          <t>PROPOSED — not adopted (D-DM2)</t>
        </is>
      </c>
    </row>
    <row r="15" ht="21.75" customHeight="1" s="22">
      <c r="A15" s="29" t="inlineStr">
        <is>
          <t>S23 DR &amp; Resilience</t>
        </is>
      </c>
      <c r="B15" s="28" t="inlineStr">
        <is>
          <t>P1</t>
        </is>
      </c>
      <c r="C15" s="28" t="inlineStr">
        <is>
          <t>Prove recoverability</t>
        </is>
      </c>
      <c r="D15" s="28" t="inlineStr">
        <is>
          <t>Backup/PITR; restore automation; RTO/RPO; dependency outage/degraded mode; chaos drills.</t>
        </is>
      </c>
      <c r="E15" s="28" t="inlineStr">
        <is>
          <t>Restore clean environment; simulate DB/API outage; measure recovery.</t>
        </is>
      </c>
      <c r="F15" s="28" t="inlineStr">
        <is>
          <t>RTO/RPO achieved twice.</t>
        </is>
      </c>
      <c r="G15" s="28" t="inlineStr">
        <is>
          <t>PROPOSED — not adopted (D-DM2)</t>
        </is>
      </c>
    </row>
    <row r="16" ht="21.75" customHeight="1" s="22">
      <c r="A16" s="29" t="inlineStr">
        <is>
          <t>S24 Observability/SRE</t>
        </is>
      </c>
      <c r="B16" s="28" t="inlineStr">
        <is>
          <t>P1</t>
        </is>
      </c>
      <c r="C16" s="28" t="inlineStr">
        <is>
          <t>Operate proactively</t>
        </is>
      </c>
      <c r="D16" s="28" t="inlineStr">
        <is>
          <t>SLIs/SLOs; dashboards; traces; structured logs; synthetic install/generate; burn alerts; quota/cost.</t>
        </is>
      </c>
      <c r="E16" s="28" t="inlineStr">
        <is>
          <t>Synthetic failure pages; no PII/secrets; alert→runbook tested.</t>
        </is>
      </c>
      <c r="F16" s="28" t="inlineStr">
        <is>
          <t>7-day staging reliability evidence.</t>
        </is>
      </c>
      <c r="G16" s="28" t="inlineStr">
        <is>
          <t>PROPOSED — not adopted (D-DM2)</t>
        </is>
      </c>
    </row>
    <row r="17" ht="21.75" customHeight="1" s="22">
      <c r="A17" s="29" t="inlineStr">
        <is>
          <t>S25 Billing/Entitlements</t>
        </is>
      </c>
      <c r="B17" s="28" t="inlineStr">
        <is>
          <t>P1</t>
        </is>
      </c>
      <c r="C17" s="28" t="inlineStr">
        <is>
          <t>Money boundary correctness</t>
        </is>
      </c>
      <c r="D17" s="28" t="inlineStr">
        <is>
          <t>Webhook reconciliation/idempotency; proration; invoice/plan audit; grace/read-only; seats; billing admin.</t>
        </is>
      </c>
      <c r="E17" s="28" t="inlineStr">
        <is>
          <t>Replay/out-of-order; failed-payment recovery; downgrade boundaries.</t>
        </is>
      </c>
      <c r="F17" s="28" t="inlineStr">
        <is>
          <t>No entitlement drift.</t>
        </is>
      </c>
      <c r="G17" s="28" t="inlineStr">
        <is>
          <t>PROPOSED — not adopted (D-DM2)</t>
        </is>
      </c>
    </row>
    <row r="18" ht="15" customHeight="1" s="22">
      <c r="A18" s="29" t="inlineStr">
        <is>
          <t>S26 UX/Accessibility</t>
        </is>
      </c>
      <c r="B18" s="28" t="inlineStr">
        <is>
          <t>P1</t>
        </is>
      </c>
      <c r="C18" s="28" t="inlineStr">
        <is>
          <t>Compete on usability</t>
        </is>
      </c>
      <c r="D18" s="28" t="inlineStr">
        <is>
          <t>Onboarding; validation; progress/ETA; recovery; migration/import; WCAG AA.</t>
        </is>
      </c>
      <c r="E18" s="28" t="inlineStr">
        <is>
          <t>5-user usability; accessibility checks; first-doc timing.</t>
        </is>
      </c>
      <c r="F18" s="28" t="inlineStr">
        <is>
          <t>Median first success meets target.</t>
        </is>
      </c>
      <c r="G18" s="28" t="inlineStr">
        <is>
          <t>PROPOSED — not adopted (D-DM2)</t>
        </is>
      </c>
    </row>
    <row r="19" ht="21.75" customHeight="1" s="22">
      <c r="A19" s="29" t="inlineStr">
        <is>
          <t>S27 Differentiation Wedge</t>
        </is>
      </c>
      <c r="B19" s="28" t="inlineStr">
        <is>
          <t>P1</t>
        </is>
      </c>
      <c r="C19" s="28" t="inlineStr">
        <is>
          <t>Reason to switch</t>
        </is>
      </c>
      <c r="D19" s="28" t="inlineStr">
        <is>
          <t>Governed workflow packs; approval/e-sign/filing/audit; migration wizard; admin policy templates.</t>
        </is>
      </c>
      <c r="E19" s="28" t="inlineStr">
        <is>
          <t>Design partners compare against incumbents.</t>
        </is>
      </c>
      <c r="F19" s="28" t="inlineStr">
        <is>
          <t>3 partners choose DocMerge wedge.</t>
        </is>
      </c>
      <c r="G19" s="28" t="inlineStr">
        <is>
          <t>PROPOSED — not adopted (D-DM2)</t>
        </is>
      </c>
    </row>
    <row r="20" ht="15" customHeight="1" s="22">
      <c r="A20" s="29" t="inlineStr">
        <is>
          <t>S28 Performance/Scale</t>
        </is>
      </c>
      <c r="B20" s="28" t="inlineStr">
        <is>
          <t>P1</t>
        </is>
      </c>
      <c r="C20" s="28" t="inlineStr">
        <is>
          <t>Enterprise workload proof</t>
        </is>
      </c>
      <c r="D20" s="28" t="inlineStr">
        <is>
          <t>Load/soak; indexes; queue throughput; noisy-neighbor isolation; cost per 1k docs.</t>
        </is>
      </c>
      <c r="E20" s="28" t="inlineStr">
        <is>
          <t>24h soak; multi-tenant contention; p95/p99; memory bounds.</t>
        </is>
      </c>
      <c r="F20" s="28" t="inlineStr">
        <is>
          <t>Declared limits evidence-backed.</t>
        </is>
      </c>
      <c r="G20" s="28" t="inlineStr">
        <is>
          <t>PROPOSED — not adopted (D-DM2)</t>
        </is>
      </c>
    </row>
    <row r="21" ht="15" customHeight="1" s="22">
      <c r="A21" s="29" t="inlineStr">
        <is>
          <t>S29 Support/Incident Ops</t>
        </is>
      </c>
      <c r="B21" s="28" t="inlineStr">
        <is>
          <t>P1</t>
        </is>
      </c>
      <c r="C21" s="28" t="inlineStr">
        <is>
          <t>Credible SLA</t>
        </is>
      </c>
      <c r="D21" s="28" t="inlineStr">
        <is>
          <t>Support tiers; severity; rota; status automation; escalation; postmortem.</t>
        </is>
      </c>
      <c r="E21" s="28" t="inlineStr">
        <is>
          <t>P1 tabletop; SLA clock/status exercise.</t>
        </is>
      </c>
      <c r="F21" s="28" t="inlineStr">
        <is>
          <t>Promise matches staffing.</t>
        </is>
      </c>
      <c r="G21" s="28" t="inlineStr">
        <is>
          <t>PROPOSED — not adopted (D-DM2)</t>
        </is>
      </c>
    </row>
    <row r="22" ht="15" customHeight="1" s="22">
      <c r="A22" s="29" t="inlineStr">
        <is>
          <t>S30 Beta/Design Partners</t>
        </is>
      </c>
      <c r="B22" s="28" t="inlineStr">
        <is>
          <t>P0</t>
        </is>
      </c>
      <c r="C22" s="28" t="inlineStr">
        <is>
          <t>Market evidence</t>
        </is>
      </c>
      <c r="D22" s="28" t="inlineStr">
        <is>
          <t>5–10 design partners; interviews; telemetry; pricing; migration; evidence ledger.</t>
        </is>
      </c>
      <c r="E22" s="28" t="inlineStr">
        <is>
          <t>Activation, first-doc, batch success, support load, WTP.</t>
        </is>
      </c>
      <c r="F22" s="28" t="inlineStr">
        <is>
          <t>≥3 paid pilots or pivot decision.</t>
        </is>
      </c>
      <c r="G22" s="28" t="inlineStr">
        <is>
          <t>PROPOSED — not adopted (D-DM2)</t>
        </is>
      </c>
    </row>
    <row r="23" ht="15" customHeight="1" s="22">
      <c r="A23" s="29" t="inlineStr">
        <is>
          <t>S31 Marketplace GA</t>
        </is>
      </c>
      <c r="B23" s="28" t="inlineStr">
        <is>
          <t>P0</t>
        </is>
      </c>
      <c r="C23" s="28" t="inlineStr">
        <is>
          <t>Controlled launch</t>
        </is>
      </c>
      <c r="D23" s="28" t="inlineStr">
        <is>
          <t>Final verification/submission; assets; policies live; rollout flags; monitoring/rollback.</t>
        </is>
      </c>
      <c r="E23" s="28" t="inlineStr">
        <is>
          <t>Dry run 100%; canary first tenants.</t>
        </is>
      </c>
      <c r="F23" s="28" t="inlineStr">
        <is>
          <t>Approved + canary healthy.</t>
        </is>
      </c>
      <c r="G23" s="28" t="inlineStr">
        <is>
          <t>PROPOSED — not adopted (D-DM2)</t>
        </is>
      </c>
    </row>
    <row r="24" ht="21.75" customHeight="1" s="22">
      <c r="A24" s="29" t="inlineStr">
        <is>
          <t>S32 Enterprise Expansion</t>
        </is>
      </c>
      <c r="B24" s="28" t="inlineStr">
        <is>
          <t>P2</t>
        </is>
      </c>
      <c r="C24" s="28" t="inlineStr">
        <is>
          <t>Security-review ready</t>
        </is>
      </c>
      <c r="D24" s="28" t="inlineStr">
        <is>
          <t>Admin console/policy APIs; audit export; SSO/SCIM maturity; SLA reporting; security evidence room.</t>
        </is>
      </c>
      <c r="E24" s="28" t="inlineStr">
        <is>
          <t>Enterprise pilot questionnaire/security review.</t>
        </is>
      </c>
      <c r="F24" s="28" t="inlineStr">
        <is>
          <t>1 enterprise pilot clears review.</t>
        </is>
      </c>
      <c r="G24" s="28" t="inlineStr">
        <is>
          <t>PROPOSED — not adopted (D-DM2)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2026-09-10T22:12:35Z</dcterms:created>
  <dcterms:modified xmlns:dcterms="http://purl.org/dc/terms/" xmlns:xsi="http://www.w3.org/2001/XMLSchema-instance" xsi:type="dcterms:W3CDTF">2026-09-20T16:21:30Z</dcterms:modified>
  <cp:revision>0</cp:revision>
</cp:coreProperties>
</file>