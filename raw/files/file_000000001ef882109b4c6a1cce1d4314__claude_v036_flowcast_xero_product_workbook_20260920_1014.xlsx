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ReadMe_Scope" sheetId="2" state="visible" r:id="rId2"/>
    <sheet xmlns:r="http://schemas.openxmlformats.org/officeDocument/2006/relationships" name="Senthil_Handover" sheetId="3" state="visible" r:id="rId3"/>
    <sheet xmlns:r="http://schemas.openxmlformats.org/officeDocument/2006/relationships" name="Product_Spec" sheetId="4" state="visible" r:id="rId4"/>
    <sheet xmlns:r="http://schemas.openxmlformats.org/officeDocument/2006/relationships" name="Screens_Wireframes" sheetId="5" state="visible" r:id="rId5"/>
    <sheet xmlns:r="http://schemas.openxmlformats.org/officeDocument/2006/relationships" name="Enhancement_Backlog" sheetId="6" state="visible" r:id="rId6"/>
    <sheet xmlns:r="http://schemas.openxmlformats.org/officeDocument/2006/relationships" name="Full_Backlog" sheetId="7" state="visible" r:id="rId7"/>
    <sheet xmlns:r="http://schemas.openxmlformats.org/officeDocument/2006/relationships" name="Sprint_Board" sheetId="8" state="visible" r:id="rId8"/>
    <sheet xmlns:r="http://schemas.openxmlformats.org/officeDocument/2006/relationships" name="Financial_Model" sheetId="9" state="visible" r:id="rId9"/>
    <sheet xmlns:r="http://schemas.openxmlformats.org/officeDocument/2006/relationships" name="GTM_Execution" sheetId="10" state="visible" r:id="rId10"/>
    <sheet xmlns:r="http://schemas.openxmlformats.org/officeDocument/2006/relationships" name="Launch_Checklist" sheetId="11" state="visible" r:id="rId11"/>
    <sheet xmlns:r="http://schemas.openxmlformats.org/officeDocument/2006/relationships" name="Metrics_Targets" sheetId="12" state="visible" r:id="rId12"/>
    <sheet xmlns:r="http://schemas.openxmlformats.org/officeDocument/2006/relationships" name="Risk_Register" sheetId="13" state="visible" r:id="rId13"/>
    <sheet xmlns:r="http://schemas.openxmlformats.org/officeDocument/2006/relationships" name="Sprint_Tracker_Log" sheetId="14" state="visible" r:id="rId14"/>
    <sheet xmlns:r="http://schemas.openxmlformats.org/officeDocument/2006/relationships" name="Traceability_Matrix"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color rgb="FFFFFFFF"/>
      <sz val="10"/>
    </font>
    <font>
      <name val="Arial"/>
      <charset val="1"/>
      <family val="0"/>
      <sz val="10"/>
    </font>
    <font>
      <name val="Arial"/>
      <charset val="1"/>
      <family val="0"/>
      <sz val="11"/>
    </font>
    <font>
      <name val="Arial"/>
      <charset val="1"/>
      <family val="0"/>
      <b val="1"/>
      <sz val="12"/>
    </font>
    <font>
      <name val="Arial"/>
      <charset val="1"/>
      <family val="0"/>
      <i val="1"/>
      <sz val="10"/>
    </font>
    <font>
      <name val="Arial"/>
      <charset val="1"/>
      <family val="0"/>
      <b val="1"/>
      <sz val="10"/>
    </font>
    <font>
      <name val="Arial"/>
      <charset val="1"/>
      <family val="0"/>
      <b val="1"/>
      <sz val="13"/>
    </font>
    <font>
      <name val="Arial"/>
      <charset val="1"/>
      <family val="0"/>
      <b val="1"/>
      <color rgb="FFFFFFFF"/>
      <sz val="11"/>
    </font>
  </fonts>
  <fills count="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FF2F5496"/>
        <bgColor rgb="FF1F38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9"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1" fillId="0" borderId="0" applyAlignment="1" pivotButton="0" quotePrefix="0" xfId="0">
      <alignment horizontal="general" vertical="bottom"/>
    </xf>
    <xf numFmtId="0" fontId="12"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4" pivotButton="0" quotePrefix="0" xfId="0"/>
    <xf numFmtId="0" fontId="0" fillId="0" borderId="5" pivotButton="0" quotePrefix="0" xfId="0"/>
    <xf numFmtId="0" fontId="1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vertical="top" wrapText="1"/>
    </xf>
    <xf numFmtId="0" fontId="6"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1" min="1" max="1"/>
    <col width="18" customWidth="1" style="21" min="2" max="2"/>
    <col width="24" customWidth="1" style="21" min="3" max="3"/>
    <col width="80" customWidth="1" style="21" min="4" max="4"/>
    <col width="12" customWidth="1" style="21" min="5" max="5"/>
  </cols>
  <sheetData>
    <row r="1" ht="17.25" customHeight="1" s="22">
      <c r="A1" s="23" t="inlineStr">
        <is>
          <t>VERSION CONTROL — FlowCast</t>
        </is>
      </c>
    </row>
    <row r="3" ht="15" customHeight="1" s="22">
      <c r="A3" s="24" t="inlineStr">
        <is>
          <t>Version</t>
        </is>
      </c>
      <c r="B3" s="24" t="inlineStr">
        <is>
          <t>Date</t>
        </is>
      </c>
      <c r="C3" s="24" t="inlineStr">
        <is>
          <t>Author</t>
        </is>
      </c>
      <c r="D3" s="24" t="inlineStr">
        <is>
          <t>Change</t>
        </is>
      </c>
      <c r="E3" s="24" t="inlineStr">
        <is>
          <t>Status</t>
        </is>
      </c>
    </row>
    <row r="4" ht="23.25" customHeight="1" s="22">
      <c r="A4" s="25" t="inlineStr">
        <is>
          <t>v001-v004</t>
        </is>
      </c>
      <c r="B4" s="25" t="inlineStr">
        <is>
          <t>2026-09-05</t>
        </is>
      </c>
      <c r="C4" s="25" t="inlineStr">
        <is>
          <t>Claude for Senthil/KP</t>
        </is>
      </c>
      <c r="D4" s="25" t="inlineStr">
        <is>
          <t>Lineage: marketplace master (868 entries) -&gt; portfolio plan (12 products) -&gt; wave-1 (RetainKit/ShiftDesk/EngageOS, v005) -&gt; this product selected for wave-3</t>
        </is>
      </c>
      <c r="E4" s="25" t="inlineStr">
        <is>
          <t>Released</t>
        </is>
      </c>
    </row>
    <row r="5" ht="34.5" customHeight="1" s="22">
      <c r="A5" s="25" t="inlineStr">
        <is>
          <t>v007</t>
        </is>
      </c>
      <c r="B5" s="25" t="inlineStr">
        <is>
          <t>2026-09-05 19:50</t>
        </is>
      </c>
      <c r="C5" s="25" t="inlineStr">
        <is>
          <t>Claude for Senthil/KP</t>
        </is>
      </c>
      <c r="D5" s="25" t="inlineStr">
        <is>
          <t>Full product workbook for FlowCast on Xero App Store: spec, screen inventory, 100+ story backlog, live sprint board, 18-month financial model (editable assumptions), GTM execution tasks, platform launch checklist, metric targets, risk register</t>
        </is>
      </c>
      <c r="E5" s="25" t="inlineStr">
        <is>
          <t>Released</t>
        </is>
      </c>
    </row>
    <row r="6" ht="23.25" customHeight="1" s="22">
      <c r="A6" s="26" t="inlineStr">
        <is>
          <t>v008</t>
        </is>
      </c>
      <c r="B6" s="26" t="inlineStr">
        <is>
          <t>2026-09-10 22:01</t>
        </is>
      </c>
      <c r="C6" s="26" t="inlineStr">
        <is>
          <t>Claude for Senthil/KP</t>
        </is>
      </c>
      <c r="D6" s="26" t="inlineStr">
        <is>
          <t>Sprint_Tracker_Log + Traceability_Matrix sheets added; D13 100% coverage gate applied (ST-085 amended); S1 foundation + code-completable S2-S8 stories built in TypeScript with 11 Jest suites / 120 tests at 100% stmts/branches/funcs/lines; Full_Backlog statuses updated (58 Done, 4 pending-live, 2 in progress); portfolio D15 note logged</t>
        </is>
      </c>
      <c r="E6" s="26" t="inlineStr">
        <is>
          <t>Released</t>
        </is>
      </c>
    </row>
    <row r="7" ht="15" customHeight="1" s="22">
      <c r="A7" s="27" t="inlineStr">
        <is>
          <t>v009</t>
        </is>
      </c>
      <c r="B7" s="27" t="inlineStr">
        <is>
          <t>2026-09-10 22:20</t>
        </is>
      </c>
      <c r="C7" s="27" t="inlineStr">
        <is>
          <t>Claude for Senthil/KP</t>
        </is>
      </c>
      <c r="D7" s="27" t="inlineStr">
        <is>
          <t>UI surfaces (5 React screens + MetricsPanel) with Xero deep links; ST-003 rule builder; notifications w/ per-type mute; pause toggles; portal rules; per-feature metrics/trends; CI workflow (ST-086). 13 suites / 148 tests at 100% coverage incl. components; statuses now 74 Done / 5 pending-live / 21 backlog</t>
        </is>
      </c>
      <c r="E7" s="27" t="inlineStr">
        <is>
          <t>Released</t>
        </is>
      </c>
    </row>
    <row r="8" ht="15" customHeight="1" s="22">
      <c r="A8" s="27" t="inlineStr">
        <is>
          <t>v010</t>
        </is>
      </c>
      <c r="B8" s="27" t="inlineStr">
        <is>
          <t>2026-09-10 22:27</t>
        </is>
      </c>
      <c r="C8" s="27" t="inlineStr">
        <is>
          <t>Claude for Senthil/KP</t>
        </is>
      </c>
      <c r="D8" s="27" t="inlineStr">
        <is>
          <t>Reliability + a11y code (latency budgets, degradation comms, jest-axe WCAG pass), demo-data mode, scenario/portal notification events; 12 content artifacts (15 help articles, chat SLA, video script, listing copy A/B, asset specs, pricing, trust page, dry-run gap report, 3 runbooks). 14 suites/155 tests at 100%. Dry-run found webhook build gap -&gt; v011</t>
        </is>
      </c>
      <c r="E8" s="27" t="inlineStr">
        <is>
          <t>Released</t>
        </is>
      </c>
    </row>
    <row r="9" ht="15" customHeight="1" s="22">
      <c r="A9" s="27" t="inlineStr">
        <is>
          <t>v011</t>
        </is>
      </c>
      <c r="B9" s="27" t="inlineStr">
        <is>
          <t>2026-09-10 22:51</t>
        </is>
      </c>
      <c r="C9" s="27" t="inlineStr">
        <is>
          <t>Claude for Senthil/KP</t>
        </is>
      </c>
      <c r="D9" s="27" t="inlineStr">
        <is>
          <t>Content webhooks built (dry-run gap #4): signature verify, fast-ack idempotent queue, retry/dead-letter/heal, payment-&gt;cancel-nudges mapping; bank-txn 15-min polling (platform has no such webhook). Launch_Checklist statuses updated honestly. 15 suites / 170 tests at 100%. Sandbox work exhausted — remaining items need Senthil</t>
        </is>
      </c>
      <c r="E9" s="27" t="inlineStr">
        <is>
          <t>Released</t>
        </is>
      </c>
    </row>
    <row r="10" ht="15" customHeight="1" s="22">
      <c r="A10" s="27" t="inlineStr">
        <is>
          <t>v012</t>
        </is>
      </c>
      <c r="B10" s="27" t="inlineStr">
        <is>
          <t>2026-09-10 22:56</t>
        </is>
      </c>
      <c r="C10" s="27" t="inlineStr">
        <is>
          <t>Claude for Senthil/KP</t>
        </is>
      </c>
      <c r="D10" s="27" t="inlineStr">
        <is>
          <t>Per-tenant 60/min rate limiter; 20-client + 12-month QA drills executed (found+fixed batch-isolation anomaly blind spot via detectWithHistory); k6 load harness (5x); blue/green deploy workflow; HTTP wiring layer. 16 suites / 182 tests at 100%. Backlog down to 4 (all require live infra/humans)</t>
        </is>
      </c>
      <c r="E10" s="27" t="inlineStr">
        <is>
          <t>Released</t>
        </is>
      </c>
    </row>
    <row r="11" ht="15" customHeight="1" s="22">
      <c r="A11" s="27" t="inlineStr">
        <is>
          <t>v013</t>
        </is>
      </c>
      <c r="B11" s="27" t="inlineStr">
        <is>
          <t>2026-09-10 23:03</t>
        </is>
      </c>
      <c r="C11" s="27" t="inlineStr">
        <is>
          <t>Claude for Senthil/KP</t>
        </is>
      </c>
      <c r="D11" s="27" t="inlineStr">
        <is>
          <t>Live-sweep readiness: typed config loader + .env.example, 30-min dev-org setup guide, 12-step scripted verification sweep. Portfolio action board issued as separate workbook. 17 suites / 186 tests at 100%</t>
        </is>
      </c>
      <c r="E11" s="27" t="inlineStr">
        <is>
          <t>Released</t>
        </is>
      </c>
    </row>
    <row r="12" ht="15" customHeight="1" s="22">
      <c r="A12" s="27" t="inlineStr">
        <is>
          <t>v014</t>
        </is>
      </c>
      <c r="B12" s="27" t="inlineStr">
        <is>
          <t>2026-09-11 11:09</t>
        </is>
      </c>
      <c r="C12" s="27" t="inlineStr">
        <is>
          <t>Claude for Senthil/KP</t>
        </is>
      </c>
      <c r="D12" s="27" t="inlineStr">
        <is>
          <t>Cold-review pass 1: 5 defects found + fixed with regression tests (F-001 unbounded webhook idempotency ledger -&gt; FIFO 10k; F-002 signed-but-malformed payload crashed fast-ack -&gt; guarded parse; F-003 rate-limiter idle tenants never evicted -&gt; prune(); F-004 duplicate anomaly repeated per txn with 3+ matches -&gt; deduped; F-005 nudgesPerMonth had no cycle-scoped counter/reset -&gt; UsageCycle built). ST-066 encryption at rest built (AES-256-GCM envelope, SecretsVault boundary, token sealing, TLS assertion, self-verifying evidence drill). Security evidence pack (sandbox half of ST-068) + REVIEW_PACK.md for external second reviewer. 18 suites / 207 tests at 100% zero pragmas; tsc clean. Review_Findings sheet added for Senthil dispositions</t>
        </is>
      </c>
      <c r="E12" s="27" t="inlineStr">
        <is>
          <t>Released</t>
        </is>
      </c>
    </row>
    <row r="13" ht="15" customHeight="1" s="22">
      <c r="A13" s="27" t="inlineStr">
        <is>
          <t>v015</t>
        </is>
      </c>
      <c r="B13" s="27" t="inlineStr">
        <is>
          <t>2026-09-11 12:47</t>
        </is>
      </c>
      <c r="C13" s="27" t="inlineStr">
        <is>
          <t>Claude for Senthil/KP</t>
        </is>
      </c>
      <c r="D13" s="27" t="inlineStr">
        <is>
          <t>Cold-review pass 2 (the 10 modules pass 1 did not deep-read): 4 defects found + fixed with regressions — F-006 nudge planner re-sent the same tier daily (no sent-history) -&gt; SentHistory, tier fires once, test-mode not recorded, failed sends retried; F-007 purgeExpired flagged accounts but never deleted the record -&gt; record deleted (data deletion honoured), purged status removed; F-008 non-finite platform dates silently dropped items from the forecast -&gt; validated with clear errors, plus traffic light now judged on displayed rounded balance; F-009 monthly scenario cost omitted its 4th occurrence inside the 13-week horizon (week 13) -&gt; 4 occurrences, optimism bias removed. 2 observations logged without fix (no backoff jitter; unlimited half-open breaker probes). 2 pre-existing assertions updated (one encoded F-009). 19 suites / 219 tests at 100% zero pragmas; tsc clean. Cold review COMPLETE across all 27 modules</t>
        </is>
      </c>
      <c r="E13" s="27" t="inlineStr">
        <is>
          <t>Released</t>
        </is>
      </c>
    </row>
    <row r="14" ht="15" customHeight="1" s="22">
      <c r="A14" s="27" t="inlineStr">
        <is>
          <t>v016</t>
        </is>
      </c>
      <c r="B14" s="27" t="inlineStr">
        <is>
          <t>2026-09-11 15:27</t>
        </is>
      </c>
      <c r="C14" s="27" t="inlineStr">
        <is>
          <t>Claude for Senthil/KP</t>
        </is>
      </c>
      <c r="D14" s="27" t="inlineStr">
        <is>
          <t>CODE-PHASE-COMPLETION WAVE (sibling-validated TeleField/VoiceBridge pattern): ST-081 built-in chat + 4-business-hour SLA engine (business-hours math skips weekends/out-of-hours; queue sorts tightest deadline; chat-vendor decision now OPTIONAL — D-F6); ST-099 listing SEO iteration engine sandbox half (promote/keyword/demote rules with 100-impression thin-data floor; live half needs post-launch search-term data); ST-100 10-slot design-partner tracker (stale-nudge at 7 days; honest exit math separates reviews from G-02 paying strangers); ST-080 ranked help-center search over the 15 launch articles (manifest test-gated against docs/help); ST-095 pricing plan-matrix generated from billing.ts single source + DRIFT GATE test binding the published page to the enforced constants. 20 suites / 243 tests at 100% zero pragmas; tsc clean. FLOWCAST CODE PHASE COMPLETE — backlog zero, no further code sprints planned</t>
        </is>
      </c>
      <c r="E14" s="27" t="inlineStr">
        <is>
          <t>Released</t>
        </is>
      </c>
    </row>
    <row r="15" ht="15" customHeight="1" s="22">
      <c r="A15" s="27" t="inlineStr">
        <is>
          <t>v017</t>
        </is>
      </c>
      <c r="B15" s="27" t="inlineStr">
        <is>
          <t>2026-09-11 22:08</t>
        </is>
      </c>
      <c r="C15" s="27" t="inlineStr">
        <is>
          <t>Claude for Senthil/KP</t>
        </is>
      </c>
      <c r="D15" s="27" t="inlineStr">
        <is>
          <t>EXTERNAL VERIFICATION SWEEP vs live Xero docs + artifact-gap audit (sibling TestPulse/VoiceBridge post-completion pattern). VER-001 LIVE-BLOCKING FIXED: our 200 webhook response carried a JSON body — Xero rejects responses containing a body; intent-to-receive (sweep step 4) would have FAILED on the day; both 200/401 now empty-body, accepted count moved to /health telemetry. VER-002 FIXED: only 60/min was paced — Xero also enforces 5,000/day per org; limiter gains UTC-day budget with day-boundary retry + dailyUsed telemetry. VER-003 FIXED: our own scope audit flagged our own dev-org guide (offline_access had no justification home) — PLATFORM_SCOPES added. GAP-1/GAP-2 CLOSED: sweep steps 10/12 referenced CI + blue/green artifacts that did not exist — .github/workflows/ci.yml (100% gate + zero-pragma check, Node 22) and deploy.yml (approval-gated switch) + 3 slot scripts built, parse-verified. 5 claims verified correct (signature scheme, 5s window, batching, token timing, billing-region wording). Evidence: docs/live-sweep/external-verification-20260911.md. 21 suites / 256 tests at 100% zero pragmas; tsc clean</t>
        </is>
      </c>
      <c r="E15" s="27" t="inlineStr">
        <is>
          <t>Released</t>
        </is>
      </c>
    </row>
    <row r="16" ht="15" customHeight="1" s="22">
      <c r="A16" s="27" t="inlineStr">
        <is>
          <t>v018</t>
        </is>
      </c>
      <c r="B16" s="27" t="inlineStr">
        <is>
          <t>2026-09-13 10:25</t>
        </is>
      </c>
      <c r="C16" s="27" t="inlineStr">
        <is>
          <t>Claude for Senthil/KP</t>
        </is>
      </c>
      <c r="D16" s="27" t="inlineStr">
        <is>
          <t>INTEGRATION + ARTIFACT AUDIT (sibling class: OnCall no-app/no-schema, EngageOS modules-never-called, MeetSync auth). GAP-F1 CRITICAL: NO RUNNABLE APPLICATION EXISTED — server.ts held pure handlers plus a comment about binding "at deploy", package.json had only a test script, while the v017 deploy scripts, the 30-min guide and live-sweep STEP 1 all assumed a bootable app; sweep would have died on row 1. Built httpServer.ts (real binding, raw-body capture, 1MB limit, 413/500 never hangs), main.ts + bootFromEnv, npm run build/start, tsconfig.build.json; verified by booting the built artifact and curling /health. INT-F1 CRITICAL: recordNudge/UsageCycle — the v014 F-005 fix itself — was called by NOTHING, so nudgesPerMonth was still unenforceable in the running product. INT-F2 CRITICAL: sealToken/encryptField (ST-066) had no callers — refresh tokens plaintext while SECURITY_EVIDENCE claimed sealing (evidence-integrity correction appended, not silently edited). INT-F3: authorize()/can() guarded no entry point (role matrix decorative). INT-F5: read_only after grace blocked nothing though the pricing page promises it. All wired through a new composition root src/app.ts with requireWrite + requirePermission gates; reads deliberately stay open. 22 suites / 283 tests at 100% zero pragmas; two defensive-unreachable branches refactored into tested helpers rather than pragma'd. Lesson L-F1 logged</t>
        </is>
      </c>
      <c r="E16" s="27" t="inlineStr">
        <is>
          <t>Released</t>
        </is>
      </c>
    </row>
    <row r="17" ht="15" customHeight="1" s="22">
      <c r="A17" s="27" t="inlineStr">
        <is>
          <t>v019</t>
        </is>
      </c>
      <c r="B17" s="27" t="inlineStr">
        <is>
          <t>2026-09-13 10:38</t>
        </is>
      </c>
      <c r="C17" s="27" t="inlineStr">
        <is>
          <t>Claude for Senthil/KP</t>
        </is>
      </c>
      <c r="D17" s="27" t="inlineStr">
        <is>
          <t>COLD-REVIEW PASS 3 over the surfaces v018 itself created (OnCall L-OC4: a new surface inherits the old blind spots). F3-01 CRITICAL: NO OAUTH INSTALL ROUTES EXISTED — config requires OAUTH_REDIRECT_URI, the dev-org guide registers it with Xero and live-sweep STEP 2 expects the callback to land, but the app served only /health and /webhooks/xero; the install would have 404d. /auth/start + /auth/callback built with a new routeAsync, real 302 Location, verified over a socket. F3-02 CRITICAL: NOTHING DRAINED THE QUEUE — processQueue had no caller outside tests, so every accepted webhook ACKed 200 and evaporated (paid invoices never cancelled nudges); queue also unbounded. worker.ts built: bounded enqueue with shed counter, drainOnce, non-overlapping unref-ed loop. F3-03: OAuth CSRF state (single-use, 10-min TTL, FIFO-capped, constant-time). F3-04: /health leaked release + queue depth publicly -&gt; liveness public, detail behind operator token, verify-slot.sh updated. VERIFIED CLEAN: webhook dedupe already tenant-scoped (OnCall F-014/MeetSync M-F04 class N/A) — pinned with a two-tenant regression. R-F9 logged honestly: /auth/start 503s in the built binary because no real XeroOAuthClient exists (R-F4) — routing half closed, client half is the largest codeable work left, deliberately not half-built. 23 suites / 317 tests at 100% zero pragmas; live boot re-verified. Lesson L-F2</t>
        </is>
      </c>
      <c r="E17" s="27" t="inlineStr">
        <is>
          <t>Released</t>
        </is>
      </c>
    </row>
    <row r="18" ht="15" customHeight="1" s="22">
      <c r="A18" s="27" t="inlineStr">
        <is>
          <t>v020</t>
        </is>
      </c>
      <c r="B18" s="27" t="inlineStr">
        <is>
          <t>2026-09-13 10:55</t>
        </is>
      </c>
      <c r="C18" s="27" t="inlineStr">
        <is>
          <t>Claude for Senthil/KP</t>
        </is>
      </c>
      <c r="D18" s="27" t="inlineStr">
        <is>
          <t>PORTABLE REACHABILITY GATE (ported from TestPulse pass 5) + GAP-F2 + R-F9 CLOSED. Gate fails the build when a src export has no production caller — the exact blind spot behind INT-F1/INT-F2/F3-02, invisible to coverage because a module own tests execute every line. Three exemption lists with teeth: ENTRY_POINTS (process/platform boundaries, reasons containing later/todo/tbd/wire FAIL), SURFACES (per-export, named one at a time so a file-level pardon cannot hide future exports), KNOWN_GAPS (per-export, must cite a live RAID risk id). Wired into CI. FIRST RUN FOUND GAP-F2: THERE WAS NO SCHEDULER AT ALL — the daily nudge cycle never ran (headline feature had no driver), bank-feed polling never started (the entire D-F4 mechanism since Xero has no bank-txn webhook), dunning emails never sent, trials never expired, the 30-day purge never ran, limiter/state eviction never called. src/scheduler.ts built with per-tenant error isolation, all jobs routed through the v018 app gates. R-F10 fixed: requireTls existed since v014 and nothing called it — production could have served callbacks over plain http. clearInvoice wired to payment. Dead code I had written (statesMatch, sealToken, openToken) DELETED rather than exempted. R-F9 CLOSED: real Xero OAuth client (identity.xero.com/connect/token with Basic auth, api.xero.com/connections for tenantId, injected fetch, failures never echo the body, single-use code exchanged once via TenantResolver). 25 suites / 348 tests at 100% zero pragmas. Lesson L-F3</t>
        </is>
      </c>
      <c r="E18" s="27" t="inlineStr">
        <is>
          <t>Released</t>
        </is>
      </c>
    </row>
    <row r="19" ht="15" customHeight="1" s="22">
      <c r="A19" s="27" t="inlineStr">
        <is>
          <t>v021</t>
        </is>
      </c>
      <c r="B19" s="27" t="inlineStr">
        <is>
          <t>2026-09-13 11:07</t>
        </is>
      </c>
      <c r="C19" s="27" t="inlineStr">
        <is>
          <t>Claude for Senthil/KP</t>
        </is>
      </c>
      <c r="D19" s="27" t="inlineStr">
        <is>
          <t>R-F10 CLOSED (Xero accounting-API client) + PUBLISHED-CLAIMS GATE ported (second TestPulse pass-5 gate). src/xeroApi.ts: invoices, overdue receivables and bank transactions, every call through executeWithRateLimit (proactive 60/min + 5,000/day per VER-002) THEN callWithProtection (breaker + backoff) so a slow Xero cannot become a 429 storm; Xero /Date(...)/ parsing isolated and returning null never NaN (F-008 class) with unusable rows REPORTED as skipped not silently dropped; paging with a hard 50-page stop; my first draft double-fetched invoices and was fixed before testing because it would double-spend the org budget VER-002 protects. Scheduler prefers live data, falls back otherwise. CLAIMS GATE: 7 customer promises checked against backing code, and for policies BOTH the function and its driver. CRITICAL SELF-FINDING: the gate did NOT work when first written — deleting the purge driver still passed because purgeExpired remained in a header COMMENT; both gates now strip comments, pinned by test, and re-proved to fail with a message naming what broke for the customer. The stricter matching then immediately caught xeroApi.ts being unwired. 27 suites / 377 tests at 100% zero pragmas; both gates named individually in CI. Lesson L-F4: a gate you have never seen fail is not a gate</t>
        </is>
      </c>
      <c r="E19" s="27" t="inlineStr">
        <is>
          <t>Released</t>
        </is>
      </c>
    </row>
    <row r="20" ht="15" customHeight="1" s="22">
      <c r="A20" s="27" t="inlineStr">
        <is>
          <t>v022</t>
        </is>
      </c>
      <c r="B20" s="27" t="inlineStr">
        <is>
          <t>2026-09-13 11:15</t>
        </is>
      </c>
      <c r="C20" s="27" t="inlineStr">
        <is>
          <t>Claude for Senthil/KP</t>
        </is>
      </c>
      <c r="D20" s="27" t="inlineStr">
        <is>
          <t>COLD-REVIEW PASS 4 over the code v020/v021 wrote, run under the L-F2 standing rule. 4 defects, all mine, all from the last two sittings. F4-01 CRITICAL: ONLY THE FIRST TENANT WAS EVER POLLED — runBankPoll threaded one shared PollState through every tenant, so the first org set lastPolledAt and every later org pollDue returned false; every customer but one had NO bank-feed anomaly alerts. Same multi-tenancy class as OnCall F-014 / MeetSync M-F04 — written into new code the day after reading about it. Fixed with per-tenant PollStates. F4-02: the dunning counter advanced by mutating the object tenants() returned — a store-backed getter returning fresh objects would lose it and resend the same email hourly forever; explicit persistence callback added. F4-03: every 15-minute poll fetched ALL bank history and filtered client-side — up to ~4,800 calls/day for one org against the 5,000/day budget VER-002 exists to protect; If-Modified-Since filter added. F4-04: a failed drain destroyed its batch (spliced before processing, already ACKed to Xero so no redelivery would heal); batch now restored to the queue front on throw. Regressions PROVED by reintroducing F4-01 (3 fail, then pass). 28 suites / 388 tests at 100% zero pragmas. Lesson L-F5</t>
        </is>
      </c>
      <c r="E20" s="27" t="inlineStr">
        <is>
          <t>Released</t>
        </is>
      </c>
    </row>
    <row r="21" ht="15" customHeight="1" s="22">
      <c r="A21" s="27" t="inlineStr">
        <is>
          <t>v023</t>
        </is>
      </c>
      <c r="B21" s="27" t="inlineStr">
        <is>
          <t>2026-09-13 11:20</t>
        </is>
      </c>
      <c r="C21" s="27" t="inlineStr">
        <is>
          <t>Claude for Senthil/KP</t>
        </is>
      </c>
      <c r="D21" s="27" t="inlineStr">
        <is>
          <t>TENANT-ISOLATION GATE built and wired into CI — third portable gate, written because F4-01 proved L-F5 (knowing a defect class does not stop you writing it). Rule: inside a loop over tenants, a variable declared OUTSIDE the loop may not be both assigned and read within the body — that is tenant N deciding tenant N+1 behaviour. Pure accumulators (count += 1, arr.push) exempt as write-only. THE GATE WAS BROKEN TWICE BEFORE IT WORKED, and that is the report: run against the real scheduler.ts with F4-01 reintroduced it PASSED twice — (1) read-detection stripped whole assignment statements, erasing the self-referential x = f(x) carry which is precisely the shape it exists to catch; (2) loop offsets used source.indexOf(line), which returns the FIRST match, and scheduler.ts has three identical tenant-loop headers so two loops were never analysed at all. Both fixed; only then does the reintroduced defect fail the gate, naming the leaked variable. 29 suites / 394 tests at 100% zero pragmas; three gates now green and named individually in CI. Lesson L-F6: a broken static gate does not complain, it approves — the fixture test passed from the first run while the gate was blind</t>
        </is>
      </c>
      <c r="E21" s="27" t="inlineStr">
        <is>
          <t>Released</t>
        </is>
      </c>
    </row>
    <row r="22" ht="15" customHeight="1" s="22">
      <c r="A22" s="27" t="inlineStr">
        <is>
          <t>v024</t>
        </is>
      </c>
      <c r="B22" s="27" t="inlineStr">
        <is>
          <t>2026-09-13 11:54</t>
        </is>
      </c>
      <c r="C22" s="27" t="inlineStr">
        <is>
          <t>Claude for Senthil/KP</t>
        </is>
      </c>
      <c r="D22" s="27" t="inlineStr">
        <is>
          <t>GATE AUDIT — acting on the L-F6 recommendation that the reachability and published-claims gates had only ever been proved against fixtures. Each was run against the REAL source file with the ORIGINAL defect it exists to catch reintroduced. BOTH FAILED, both for the same reason. HOLE-1 reachability: unwiring recordNudge from the send path (the INT-F1 defect) left the gate GREEN because the now-unused import satisfied the caller search — the gate would have reported a fully wired product while the plan limit went unenforced again. Fixed by stripping imports from the caller search, keeping two deliberate views since the module-import check needs import lines. HOLE-2 claims gate: gutting the encryption call (the INT-F2 defect) left the gate GREEN because import { encryptField } matched the claim pattern while the storage path stored plaintext. Fixed the same way; re-proved to fail with claim id, document and customer impact. Known limits documented rather than hidden: dead clusters flagged at the root not per member; file-level ENTRY_POINTS pardon every export in that module (the first probe proved nothing because it ran in an exempt file); all three gates are text lints not AST analysis. 29 suites / 395 tests at 100% zero pragmas; all three gates now proved against reintroduced real defects. Lesson L-F7</t>
        </is>
      </c>
      <c r="E22" s="27" t="inlineStr">
        <is>
          <t>Released</t>
        </is>
      </c>
    </row>
    <row r="23" ht="15" customHeight="1" s="22">
      <c r="A23" s="27" t="inlineStr">
        <is>
          <t>v025</t>
        </is>
      </c>
      <c r="B23" s="27" t="inlineStr">
        <is>
          <t>2026-09-13 11:58</t>
        </is>
      </c>
      <c r="C23" s="27" t="inlineStr">
        <is>
          <t>Claude for Senthil/KP</t>
        </is>
      </c>
      <c r="D23" s="27" t="inlineStr">
        <is>
          <t>PORTABLE GATE PACK + PROOF HARNESS (gates/prove-gates.js, npm run prove:gates, now in CI). Addresses the portfolio open item "port gates to the other products", which L-F7 made dangerous rather than merely pending: a ported gate arrives GREEN, and green means nothing — four of the gates built here were silently permissive on their first green run. For each gate the harness takes a REAL source file, applies a mutation reintroducing the REAL defect that gate exists to catch (INT-F1 unwire recordNudge, INT-F2 gut encryption, F4-01 shared PollState), runs the gate and REQUIRES IT TO FAIL, always restoring the file; non-zero exit if any gate stays green under its own defect. All three currently PROVED. The harness is META-PROVED: reintroducing HOLE-1 makes it report BROKEN and exit 1. It also reports STALE when a mutation anchor no longer exists, so a silently non-applying mutation cannot pass quietly. gates/README.md carries porting steps — empty every exemption list first (expect 15-40 first-run hits), write mutations from defects that ACTUALLY happened in that product (an invented mutation re-tests the author assumptions, the trap the fixtures fell into), and DO NOT wire a gate into CI until the harness prints PROVED. Honest limits documented: text lints not AST, dead clusters flagged at root, file-level exemptions coarse. 29 suites / 395 tests at 100% zero pragmas. Lesson L-F8</t>
        </is>
      </c>
      <c r="E23" s="27" t="inlineStr">
        <is>
          <t>Released</t>
        </is>
      </c>
    </row>
    <row r="24" ht="15" customHeight="1" s="22">
      <c r="A24" s="27" t="inlineStr">
        <is>
          <t>v026</t>
        </is>
      </c>
      <c r="B24" s="27" t="inlineStr">
        <is>
          <t>2026-09-13 12:03</t>
        </is>
      </c>
      <c r="C24" s="27" t="inlineStr">
        <is>
          <t>Claude for Senthil/KP</t>
        </is>
      </c>
      <c r="D24" s="27" t="inlineStr">
        <is>
          <t>AS-BUILT VERIFICATION + SENTHIL_HANDOVER sheet. No code change this release. As-built audit compared story statuses against what the code actually did: 7 stories (ST-022, ST-024, ST-041, ST-042, ST-044, ST-060, ST-061) had sat at DONE while the behaviour had no driver or no enforcement — the nudge cycle never ran until v020, plan limits were unenforced on the send path until v018, read-only enforced nowhere until v018, dunning emails never sent until v020, bank polling ran for only ONE org until v022. All are true as built TODAY; each row now carries a dated as-built note naming the release that actually made it true, rather than leaving the record implying it was true all along. Story counts unchanged and verified against Full_Backlog: 77 Done / 16 code-complete pending live / 2 in progress / 5 drafted = 100. New Senthil_Handover sheet consolidates all 12 remaining items — none codeable — ordered by leverage with why-blocked, what-it-unlocks, effort and lead time</t>
        </is>
      </c>
      <c r="E24" s="27" t="inlineStr">
        <is>
          <t>Released</t>
        </is>
      </c>
    </row>
    <row r="25" ht="15" customHeight="1" s="22">
      <c r="A25" s="27" t="inlineStr">
        <is>
          <t>v027</t>
        </is>
      </c>
      <c r="B25" s="27" t="inlineStr">
        <is>
          <t>2026-09-13 16:24</t>
        </is>
      </c>
      <c r="C25" s="27" t="inlineStr">
        <is>
          <t>Claude for Senthil/KP</t>
        </is>
      </c>
      <c r="D25" s="27" t="inlineStr">
        <is>
          <t>GAP-F3 CLOSED — PERSISTENCE LAYER. Every durable thing lived in a process-memory Map (tokens, usage cycles, nudge history, dunning counters, poll state, deletion schedules). Harmless while nothing could run; NOT harmless once the product gained a boot path (v018) and a deploy pipeline (v017), because BLUE/GREEN RESTARTS THE PROCESS BY DESIGN. Every release would have dropped all tokens (forcing every tenant to reinstall), reset usage counters (fresh 50 nudges — undoing F-005/INT-F1), cleared nudge history (re-chasing every customer — undoing F-006), reset dunning counters (undoing F4-02), and lost deletion schedules (the published 30-day policy never firing — undoing F-007/GAP-F2). Six earlier fixes silently reverted on every deploy, and NO gate could see it. Shipped: 6 ordered idempotent migrations with ON DELETE CASCADE from tenants (the F-007 policy in the schema, not in code that can forget); a narrow Repository seam with in-memory and Postgres implementations tested through the SAME shared suite so they cannot drift; real pooled pg driver with SSL off-localhost; app.hydrate() rebuilding tenant state on boot; graceful SIGTERM/SIGINT shutdown draining server and pool; /health now reports durableStore so operators can SEE whether state survives. The reachability gate failed the build TWICE on code from this same sitting — the layer was unwired from boot (the INT-F1 shape, caught in minutes not sittings), and closePool had no caller which surfaced that graceful shutdown did not exist. Restart-survival proof: two app instances over one store — the second still reports 50 used, still refuses the 51st, still holds the history. 30 suites / 433 tests at 100% zero pragmas; gates still proved. DATABASE_URL joins the live queue. Lesson L-F10</t>
        </is>
      </c>
      <c r="E25" s="27" t="inlineStr">
        <is>
          <t>Released</t>
        </is>
      </c>
    </row>
    <row r="26" ht="15" customHeight="1" s="22">
      <c r="A26" s="27" t="inlineStr">
        <is>
          <t>v028</t>
        </is>
      </c>
      <c r="B26" s="27" t="inlineStr">
        <is>
          <t>2026-09-13 16:38</t>
        </is>
      </c>
      <c r="C26" s="27" t="inlineStr">
        <is>
          <t>Claude for Senthil/KP</t>
        </is>
      </c>
      <c r="D26" s="27" t="inlineStr">
        <is>
          <t>ENVIRONMENT-ASSUMPTIONS REVIEW (acting on L-F10: what does this code believe about the world that no test asserts?). 3 findings, all broken by the deploy model this codebase already ships. ENV-1 CRITICAL: startScheduler assumed EXACTLY ONE PROCESS. Blue/green runs BOTH colours during a switch and scaling runs N — so every overdue customer received N NUDGES THE SAME DAY (the duplicate chasing F-006 exists to prevent, reintroduced by deployment not logic), plus N dunning emails, N bank polls against the 5,000/day budget, and N purge runs racing the same rows. Fixed with a Postgres advisory lock, re-checked per tick so a follower promotes itself when the leader dies. ENV-2 CRITICAL: accepted webhook events sat in memory, but fast-ack tells Xero 200 and Xero NEVER redelivers — a restart between ack and drain destroyed them permanently and silently, the exact failure the redelivery-heals design was built to avoid. Now persisted before the ACK with boot recovery and FOR UPDATE SKIP LOCKED draining; the ingest buffer has no FK by design so deleteTenant clears it explicitly, else the 30-day policy leaks through it. ENV-3 Major: business hours were documented local but computed in UTC — the published 4-business-hour SLA was simply wrong for any non-UTC desk (an India team had deadlines against a day ending 22:30 local). utcOffsetMinutes now explicit; DST deliberately out of scope as OBS-003. /health now reports durableStore AND singleWriter so operators see what is actually guaranteed. OBS-004 logged not fixed: webhook-driven rate limiting stays per-process (needs a decision on per-call round-trip cost). 31 suites / 453 tests at 100% zero pragmas; gates still proved. Lesson L-F11</t>
        </is>
      </c>
      <c r="E26" s="27" t="inlineStr">
        <is>
          <t>Released</t>
        </is>
      </c>
    </row>
    <row r="27" ht="15" customHeight="1" s="22">
      <c r="A27" s="27" t="inlineStr">
        <is>
          <t>v029</t>
        </is>
      </c>
      <c r="B27" s="27" t="inlineStr">
        <is>
          <t>2026-09-13 16:47</t>
        </is>
      </c>
      <c r="C27" s="27" t="inlineStr">
        <is>
          <t>Claude for Senthil/KP</t>
        </is>
      </c>
      <c r="D27" s="27" t="inlineStr">
        <is>
          <t>OPS-ARTIFACT REVIEW — applying the L-F11 method (read one artifact against another) to the operational artifacts vs the database that only started existing two releases ago. OPS-1 CRITICAL: THE DEPLOY PIPELINE NEVER RAN MIGRATIONS — any release adding one would deploy code whose queries hit tables that do not exist. OPS-3 CRITICAL: /health answers from MEMORY and that is what gated the switch, so a slot with a wrong/unreachable/unmigrated DATABASE_URL reported ok:true, passed verify-slot.sh and would have been handed live traffic. The two COMPOUND: OPS-1 breaks the slot, OPS-3 certifies it anyway. Fixed: migrations run before the slot starts; new /ready probes the store and verify-slot.sh requires it. OPS-2 Major: blue/green runs TWO releases against ONE database and rollback re-points to the old colour AFTER the new schema is applied — nothing enforced that schema changes were safe for a still-running previous release. Fourth gate added (migrationSafetyGate): migrations may only ADD, removals are a separate later release citing the release that dropped the last reader; the runbook now states the rollback contract explicitly instead of implying it. Backup drill made concrete: names all 8 real tables, checks schema_migrations matches the restored release, and checks refresh_token_sealed is STILL SEALED in the restore. 33 suites / 465 tests at 100% zero pragmas; four gates in CI, the three older ones still proved; live boot returns ready:true. Lesson L-F12</t>
        </is>
      </c>
      <c r="E27" s="27" t="inlineStr">
        <is>
          <t>Released</t>
        </is>
      </c>
    </row>
    <row r="28" ht="15" customHeight="1" s="22">
      <c r="A28" s="27" t="inlineStr">
        <is>
          <t>v030</t>
        </is>
      </c>
      <c r="B28" s="27" t="inlineStr">
        <is>
          <t>2026-09-13 16:52</t>
        </is>
      </c>
      <c r="C28" s="27" t="inlineStr">
        <is>
          <t>Claude for Senthil/KP</t>
        </is>
      </c>
      <c r="D28" s="27" t="inlineStr">
        <is>
          <t>CHAOS REVIEW — re-running the L-F12 pairing against the newest subsystem: the degradation artifacts were written when XERO WAS THE ONLY DEPENDENCY, and Postgres has been in every request path for three releases. CHAOS-1 CRITICAL: two void-promise calls sat on the database path, one on the WEBHOOK FAST-ACK ROUTE. Since Node 15 an unhandled rejection TERMINATES THE PROCESS — verified on this runtime (node v22) with a three-line script: the process died. A transient Postgres error during ordinary webhook traffic would not have degraded FlowCast, it would have KILLED it, on every instance sharing that database simultaneously (both blue/green colours), leaving the router nothing to fall back to. Fixed: both sites run through safely() which counts and reports but always resolves; process guards report unhandled rejections while the service continues and drain deliberately on uncaught exceptions; 3+ clustered failures surface as store:degraded on /ready. Pinned by a test sending a signed webhook to a store that fails every write — the route still returns 200 empty, the event is held, the failure counted. CHAOS-2 Major: the chaos runbook only knew about Xero; extended with a database-outage drill stating expected behaviour per path, every row backed by a test rather than an intention. 35 suites / 478 tests at 100% zero pragmas; two defensive-unreachable fallbacks removed rather than pragma-suppressed; gates still proved; live boot ready:true. Lesson L-F13: void promise is the quietest way to write a crash</t>
        </is>
      </c>
      <c r="E28" s="27" t="inlineStr">
        <is>
          <t>Released</t>
        </is>
      </c>
    </row>
    <row r="29" ht="15" customHeight="1" s="22">
      <c r="A29" s="27" t="inlineStr">
        <is>
          <t>v031</t>
        </is>
      </c>
      <c r="B29" s="27" t="inlineStr">
        <is>
          <t>2026-09-13 17:23</t>
        </is>
      </c>
      <c r="C29" s="27" t="inlineStr">
        <is>
          <t>Claude for Senthil/KP</t>
        </is>
      </c>
      <c r="D29" s="27" t="inlineStr">
        <is>
          <t>CRITICAL-PATH DOCUMENT REVIEW. The pen-test vendor scopes from SECURITY_EVIDENCE.md and the external reviewer (ST-097) works from REVIEW_PACK.md — both written at v014, before the HTTP app, OAuth client, accounting client, scheduler, persistence layer, leader lock and resilience layer existed. Measured against source: the security pack mentioned the database ZERO times; the review pack mentioned ONE of the eight newest modules. The two people most likely to find something would have been handed a map of a product that no longer exists, and the pen-test would have been scoped without the component holding the tokens. SEC-1: data-store section added, separating what is verifiable in CODE (tokens sealed before the store, TLS off-localhost, cascade deletion, additive-only migrations, no committed secrets) from OPERATOR responsibilities code cannot assert (volume encryption, least-privilege DB user, backup encryption, DATABASE_URL in the secret manager, network reachability) — plus a vendor scope note. SEC-2 CODE FIX: failure text is written to stderr and held in state, and driver errors can carry the connection string INCLUDING THE PASSWORD; redactSecrets now strips user:pass@host, password=/api_key= pairs and bearer tokens. Three security claims added to the published-claims gate, one requiring the redactor to be CALLED not merely present — proved to fail when the call is removed. REV-1: review pack rewritten with current entry points, per-module what-to-challenge, review order by consequence, and an instruction to DISTRUST the gates (four shipped green while silently permissive). PERF-1: latency budgets predated every DB round trip — table added plus an instruction to re-baseline. Caught mistake recorded honestly: the rewritten review pack first claimed 494 tests when the real number was 482 — a figure written from memory into a document whose whole purpose is to be trusted by an outsider; corrected to a form that cannot go stale. 35 suites / 485 tests at 100% zero pragmas; gates proved. Lesson L-F14</t>
        </is>
      </c>
      <c r="E29" s="27" t="inlineStr">
        <is>
          <t>Released</t>
        </is>
      </c>
    </row>
    <row r="30" ht="15" customHeight="1" s="22">
      <c r="A30" s="27" t="inlineStr">
        <is>
          <t>v032</t>
        </is>
      </c>
      <c r="B30" s="27" t="inlineStr">
        <is>
          <t>2026-09-13 17:29</t>
        </is>
      </c>
      <c r="C30" s="27" t="inlineStr">
        <is>
          <t>Claude for Senthil/KP</t>
        </is>
      </c>
      <c r="D30" s="27" t="inlineStr">
        <is>
          <t>DOC-FRESHNESS GATE (fifth gate) — closing L-F14 mechanically. That lesson ended with three claims gate-enforced and "the rest rely on someone looking", which is exactly what failed: the reviewer pack went 13 releases out of date on the critical path because nobody inside needs to read it. Rule: a document written for an OUTSIDER must acknowledge the parts of the system it claims to describe — if a module exists and its map has never heard of it, the build fails, so a subsystem cannot ship without the reviewer and pen-tester maps being updated in the same change. Each covered document records its AUDIENCE in the gate, so a failure names who is affected. Exemptions are per-module with reasons; "later/todo/tbd/for now" fails because that phrasing IS the decay. IT FIRED ON FIRST RUN, on documents rewritten six minutes earlier: the v031 rewrite added the eight newest subsystems but silently omitted the original feature modules, and the security pack described "the database" in prose without ever naming db or pg. Both completed — per-module what-to-challenge tables and a vendor module map to scope against by name. The harness then caught a WEAK MUTATION not a weak gate: the first proof deleted one of two leaderLock mentions and the gate rightly stayed green; re-pointed at a module mentioned once, it fails as intended. 36 suites / 492 tests at 100% zero pragmas; five gates in CI, four provable ones all PROVED. Lesson L-F15</t>
        </is>
      </c>
      <c r="E30" s="27" t="inlineStr">
        <is>
          <t>Released</t>
        </is>
      </c>
    </row>
    <row r="31" ht="15" customHeight="1" s="22">
      <c r="A31" s="27" t="inlineStr">
        <is>
          <t>v033</t>
        </is>
      </c>
      <c r="B31" s="27" t="inlineStr">
        <is>
          <t>2026-09-13 18:48</t>
        </is>
      </c>
      <c r="C31" s="27" t="inlineStr">
        <is>
          <t>Claude for Senthil/KP</t>
        </is>
      </c>
      <c r="D31" s="27" t="inlineStr">
        <is>
          <t>ASYNC-OWNERSHIP GATE (sixth, and the last derived from a shipped defect) + REVIEW PLAYBOOK. A real defect found first: the worker tick called drainOnce with no catch, and drainOnce RETHROWS after re-queuing (F4-04) — so every store or sink failure produced an unhandled rejection that the degradation counter never saw and /ready never showed. The process guards stopped it being fatal, but it was invisible. Both that and the SIGTERM shutdown call now have owners; shutdown failures are reported with credentials redacted. Sixth gate: a promise started and not awaited must have an owner (safely(), or an explicit .catch). Only resilience.ts is exempt — it IS the owner of last resort and cannot wrap itself. Proved against the exact CHAOS-1 shape; all five provable gates now print PROVED. REVIEW PLAYBOOK written (gates/REVIEW_PLAYBOOK.md): the eight review passes in the order that proved productive — cold review by module, external verification sweep, artifact-gap audit, integration audit, review-the-previous-session, environment assumptions, artifact pairing, outsider-first document review — plus the rules learned the hard way and how to run them on another product. ~40 defects were found in code that was already at 100% coverage with zero backlog; the gates catch recurrence, the passes find what nobody has thought of yet. 36 suites / 500 tests at 100% zero pragmas; six gates in CI. Recommendation recorded: this is a natural stopping point for sandbox work</t>
        </is>
      </c>
      <c r="E31" s="27" t="inlineStr">
        <is>
          <t>Released</t>
        </is>
      </c>
    </row>
    <row r="32" ht="15" customHeight="1" s="22">
      <c r="A32" s="27" t="inlineStr">
        <is>
          <t>v034</t>
        </is>
      </c>
      <c r="B32" s="27" t="n"/>
      <c r="C32" s="27" t="n"/>
      <c r="D32" s="27" t="inlineStr">
        <is>
          <t>PLANNED: opens on live evidence (dev org + DATABASE_URL) or dispositions — no further sandbox sprints recommended</t>
        </is>
      </c>
      <c r="E32" s="27" t="inlineStr">
        <is>
          <t>Planned</t>
        </is>
      </c>
    </row>
    <row r="33" ht="15" customHeight="1" s="22">
      <c r="A33" s="28" t="inlineStr">
        <is>
          <t>v034</t>
        </is>
      </c>
      <c r="B33" s="28" t="inlineStr">
        <is>
          <t>2026-09-13 22:47</t>
        </is>
      </c>
      <c r="C33" s="28" t="inlineStr">
        <is>
          <t>Claude for Senthil/KP</t>
        </is>
      </c>
      <c r="D33" s="28" t="inlineStr">
        <is>
          <t>External review response, sprint E5 (code v0.28.0, tracker v022). 15 findings FC-R001..R015 from the first independent non-author review triaged into three waves. Wave 1 executed: IANA time zones with DST, shared cross-instance Xero rate budget, jittered backoff, bounded half-open probes, leader fencing token, SBOM + drift gate, evidence manifest, security headers, threat model, 20/100/500-client scale drills, DSAR end-to-end. FC-R002 closed as a DOCUMENTATION defect — the dry-run had claimed webhooks uncoded since before v011. 40 suites / 595 tests at 100% zero pragmas; 7 gates proved. New Enhancement_Backlog sheet keeps the 399-point baseline frozen. Story position unchanged at 77 Done.</t>
        </is>
      </c>
      <c r="E33" s="28" t="inlineStr">
        <is>
          <t>Released</t>
        </is>
      </c>
    </row>
    <row r="34" ht="15" customHeight="1" s="22">
      <c r="A34" s="28" t="inlineStr">
        <is>
          <t>v035</t>
        </is>
      </c>
      <c r="B34" s="28" t="inlineStr">
        <is>
          <t>2026-09-13 23:03</t>
        </is>
      </c>
      <c r="C34" s="28" t="inlineStr">
        <is>
          <t>Claude for Senthil/KP</t>
        </is>
      </c>
      <c r="D34" s="28" t="inlineStr">
        <is>
          <t>Cross-product defect-class sweep, sprint E5b (code v0.29.0, tracker v023). Wave 2 deliberately not started — it is gated on DEC-F16. PORT-04 executed instead: RetainKit external-review questions asked of FlowCast. Four findings, two critical, both deploy-configuration rather than logic and both invisible to a 100% suite and eight prior review passes: production booted with no database (silently reinstating GAP-F3, ENV-1 and E5-05 at once) and with no encryption key (failing at the first merchant install, with the key absent from .env.example). Shutdown given a deadline; requests given timeouts. Two further classes verified absent rather than assumed. 40 suites / 608 tests at 100%; 8 gates proved. Story position unchanged at 77 Done.</t>
        </is>
      </c>
      <c r="E34" s="28" t="inlineStr">
        <is>
          <t>Released</t>
        </is>
      </c>
    </row>
    <row r="35">
      <c r="A35" s="29" t="inlineStr">
        <is>
          <t>v036</t>
        </is>
      </c>
      <c r="B35" s="29" t="inlineStr">
        <is>
          <t>2026-09-20 10:14</t>
        </is>
      </c>
      <c r="C35" s="29" t="inlineStr">
        <is>
          <t>Claude for Senthil/KP</t>
        </is>
      </c>
      <c r="D35" s="29" t="inlineStr">
        <is>
          <t>Perplexity V001 response, sprint E6 / Wave P1 (code v0.30.0, tracker v024). Second independent review found 3 BLOCKER code defects on the live path (PPX-01 no production data path for the forecast; PPX-02 supplier bills mixed into receivables; PPX-03 billing rail on the deprecated XASS channel) + 7 more. P1-1..P1-7 executed (96 pts, enhancement pool); P1-8 logged from four new boot-composition findings (E6-F3..F6); P2/P3/P4 logged. Per Senthil 10:17: nothing deleted, no story re-statused, billing rail untouched (PPX-D4). Enhancement_Backlog, Risk_Register, Senthil_Handover, Launch_Checklist, Financial_Model note and Sprint_Tracker_Log extended.</t>
        </is>
      </c>
      <c r="E35" s="29" t="inlineStr">
        <is>
          <t>Released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21" min="1" max="1"/>
  </cols>
  <sheetData>
    <row r="1" ht="17.25" customHeight="1" s="22">
      <c r="A1" s="23" t="inlineStr">
        <is>
          <t>FlowCast — 13-week cash forecast, scenario planning, invoice-chasing nudges for SMB owners and their accountants</t>
        </is>
      </c>
    </row>
    <row r="3" ht="27.75" customHeight="1" s="22">
      <c r="A3" s="30" t="inlineStr">
        <is>
          <t>PLATFORM: Xero App Store | CATEGORY: Cash Flow Forecasting</t>
        </is>
      </c>
    </row>
    <row r="4" ht="27.75" customHeight="1" s="22">
      <c r="A4" s="30" t="inlineStr">
        <is>
          <t>PROBLEM: Float/Fathom serve accountants; owner-facing simple forecasting still underserved at low price points</t>
        </is>
      </c>
    </row>
    <row r="5" ht="27.75" customHeight="1" s="22">
      <c r="A5" s="30" t="inlineStr">
        <is>
          <t>DIFFERENTIATION: Plain-language forecast, WhatsApp/email nudge integration, accountant multi-client view</t>
        </is>
      </c>
    </row>
    <row r="6" ht="27.75" customHeight="1" s="22">
      <c r="A6" s="30" t="inlineStr">
        <is>
          <t>ICP: SMBs 1-50 staff on Xero + their accountants/bookkeepers (multi-client)</t>
        </is>
      </c>
    </row>
    <row r="7" ht="27.75" customHeight="1" s="22">
      <c r="A7" s="30" t="n"/>
    </row>
    <row r="8" ht="55.5" customHeight="1" s="22">
      <c r="A8" s="30" t="inlineStr">
        <is>
          <t>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is>
      </c>
    </row>
    <row r="9" ht="27.75" customHeight="1" s="22">
      <c r="A9" s="30" t="n"/>
    </row>
    <row r="10" ht="27.75" customHeight="1" s="22">
      <c r="A10" s="30" t="inlineStr">
        <is>
          <t>STACK ASSUMPTION (market standard): TypeScript/Node or platform-mandated runtime, React frontends, Postgres, hosted on AWS/GCP/platform FaaS as required, GitHub Actions CI, PostHog + Sentry telemetry, Intercom-class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38" customWidth="1" style="21" min="2" max="2"/>
    <col width="60" customWidth="1" style="21" min="3" max="3"/>
    <col width="66" customWidth="1" style="21" min="4" max="4"/>
    <col width="16" customWidth="1" style="21" min="5" max="5"/>
    <col width="14" customWidth="1" style="21" min="6" max="6"/>
    <col width="16" customWidth="1" style="21" min="7" max="7"/>
  </cols>
  <sheetData>
    <row r="1" ht="15" customHeight="1" s="22">
      <c r="A1" s="31" t="inlineStr">
        <is>
          <t>FLOWCAST — EVERYTHING BLOCKED ON SENTHIL (as of 13 Sep 2026 12:03, workbook v026) — v036 (20 Sep 10:14): items 16–21 added from Perplexity V001; item 4 is STALE (XASS deprecated — see 18)</t>
        </is>
      </c>
    </row>
    <row r="2" ht="15" customHeight="1" s="22">
      <c r="A2" s="32" t="inlineStr">
        <is>
          <t>Ordered by leverage: external lead times first (they queue while you do everything else), then same-day unlocks, then decisions, then post-launch.</t>
        </is>
      </c>
    </row>
    <row r="4" ht="15" customHeight="1" s="22">
      <c r="A4" s="33" t="inlineStr">
        <is>
          <t>#</t>
        </is>
      </c>
      <c r="B4" s="33" t="inlineStr">
        <is>
          <t>Item</t>
        </is>
      </c>
      <c r="C4" s="33" t="inlineStr">
        <is>
          <t>Why it is blocked on you</t>
        </is>
      </c>
      <c r="D4" s="33" t="inlineStr">
        <is>
          <t>What it unlocks</t>
        </is>
      </c>
      <c r="E4" s="33" t="inlineStr">
        <is>
          <t>Effort</t>
        </is>
      </c>
      <c r="F4" s="33" t="inlineStr">
        <is>
          <t>Lead time</t>
        </is>
      </c>
      <c r="G4" s="33" t="inlineStr">
        <is>
          <t>Type</t>
        </is>
      </c>
    </row>
    <row r="5" ht="15" customHeight="1" s="22">
      <c r="A5" s="27" t="n">
        <v>1</v>
      </c>
      <c r="B5" s="27" t="inlineStr">
        <is>
          <t>Xero dev org + app registration</t>
        </is>
      </c>
      <c r="C5" s="27" t="inlineStr">
        <is>
          <t>Needs your Xero account; scopes, webhook key and redirect URI come from it. ALSO NOW: a Postgres DATABASE_URL — since v027 tenant state is durable, and without the database the app falls back to memory (visible as durableStore:false on /health)</t>
        </is>
      </c>
      <c r="D5" s="27" t="inlineStr">
        <is>
          <t>THE big one: the 12-step live sweep, which flips 16 code-complete stories to Done. Step 1 is now npm ci &amp;&amp; npm run build &amp;&amp; npm run migrate &amp;&amp; npm start</t>
        </is>
      </c>
      <c r="E5" s="27" t="inlineStr">
        <is>
          <t>~30 min</t>
        </is>
      </c>
      <c r="F5" s="27" t="inlineStr">
        <is>
          <t>Same day</t>
        </is>
      </c>
      <c r="G5" s="27" t="inlineStr">
        <is>
          <t>External access</t>
        </is>
      </c>
    </row>
    <row r="6" ht="15" customHeight="1" s="22">
      <c r="A6" s="27" t="n">
        <v>2</v>
      </c>
      <c r="B6" s="27" t="inlineStr">
        <is>
          <t>Pen-test vendor engagement</t>
        </is>
      </c>
      <c r="C6" s="27" t="inlineStr">
        <is>
          <t>Vendor selection and budget are yours; it is the external half of ST-068</t>
        </is>
      </c>
      <c r="D6" s="27" t="inlineStr">
        <is>
          <t>Security evidence pack completion → Xero App Partner certification (LC-5)</t>
        </is>
      </c>
      <c r="E6" s="27" t="inlineStr">
        <is>
          <t>Email + scoping</t>
        </is>
      </c>
      <c r="F6" s="27" t="inlineStr">
        <is>
          <t>2-4 weeks</t>
        </is>
      </c>
      <c r="G6" s="27" t="inlineStr">
        <is>
          <t>External vendor</t>
        </is>
      </c>
    </row>
    <row r="7" ht="15" customHeight="1" s="22">
      <c r="A7" s="27" t="n">
        <v>3</v>
      </c>
      <c r="B7" s="27" t="inlineStr">
        <is>
          <t>External second reviewer (REVIEW_PACK.md)</t>
        </is>
      </c>
      <c r="C7" s="27" t="inlineStr">
        <is>
          <t>Same-AI review is not independent; ST-097 stays In progress until a human or different AI signs off</t>
        </is>
      </c>
      <c r="D7" s="27" t="inlineStr">
        <is>
          <t>Submission dry-run credibility; independent check on ~30 findings I both made and fixed</t>
        </is>
      </c>
      <c r="E7" s="27" t="inlineStr">
        <is>
          <t>2-3 hrs of their time</t>
        </is>
      </c>
      <c r="F7" s="27" t="inlineStr">
        <is>
          <t>Days</t>
        </is>
      </c>
      <c r="G7" s="27" t="inlineStr">
        <is>
          <t>External person</t>
        </is>
      </c>
    </row>
    <row r="8" ht="15" customHeight="1" s="22">
      <c r="A8" s="27" t="n">
        <v>4</v>
      </c>
      <c r="B8" s="27" t="inlineStr">
        <is>
          <t>Xero App Store partner application</t>
        </is>
      </c>
      <c r="C8" s="27" t="inlineStr">
        <is>
          <t>Your company details and bank/tax info</t>
        </is>
      </c>
      <c r="D8" s="27" t="inlineStr">
        <is>
          <t>In-store subscription billing (ST-059); sweep step 9 test purchase. NOTE: App Store Subscriptions confirmed for UK/AU/NZ; re-check current region list at onboarding</t>
        </is>
      </c>
      <c r="E8" s="27" t="inlineStr">
        <is>
          <t>~1 hr</t>
        </is>
      </c>
      <c r="F8" s="27" t="inlineStr">
        <is>
          <t>1-3 weeks</t>
        </is>
      </c>
      <c r="G8" s="27" t="inlineStr">
        <is>
          <t>External queue</t>
        </is>
      </c>
    </row>
    <row r="9" ht="15" customHeight="1" s="22">
      <c r="A9" s="27" t="n">
        <v>5</v>
      </c>
      <c r="B9" s="27" t="inlineStr">
        <is>
          <t>F-001..F-009, INT-F1..F5, VER-001..003, F3-01..04, F4-01..04, HOLE-1/2 dispositions</t>
        </is>
      </c>
      <c r="C9" s="27" t="inlineStr">
        <is>
          <t>~30 findings in the Review_Findings sheet are all fixed but marked Pending your disposition — you may disagree with a fix or want one reverted</t>
        </is>
      </c>
      <c r="D9" s="27" t="inlineStr">
        <is>
          <t>Closes the review record; anything you reject, I change</t>
        </is>
      </c>
      <c r="E9" s="27" t="inlineStr">
        <is>
          <t>~45 min reading</t>
        </is>
      </c>
      <c r="F9" s="27" t="inlineStr">
        <is>
          <t>—</t>
        </is>
      </c>
      <c r="G9" s="27" t="inlineStr">
        <is>
          <t>Decision</t>
        </is>
      </c>
    </row>
    <row r="10" ht="15" customHeight="1" s="22">
      <c r="A10" s="27" t="n">
        <v>6</v>
      </c>
      <c r="B10" s="27" t="inlineStr">
        <is>
          <t>OBS-001 / OBS-002 dispositions</t>
        </is>
      </c>
      <c r="C10" s="27" t="inlineStr">
        <is>
          <t>Logged no-fix deliberately: no backoff jitter (retry herds) and unlimited half-open breaker probes. Both are judgement calls on launch traffic</t>
        </is>
      </c>
      <c r="D10" s="27" t="inlineStr">
        <is>
          <t>Either accept as-is for launch or I build them</t>
        </is>
      </c>
      <c r="E10" s="27" t="inlineStr">
        <is>
          <t>~10 min</t>
        </is>
      </c>
      <c r="F10" s="27" t="inlineStr">
        <is>
          <t>—</t>
        </is>
      </c>
      <c r="G10" s="27" t="inlineStr">
        <is>
          <t>Decision</t>
        </is>
      </c>
    </row>
    <row r="11" ht="15" customHeight="1" s="22">
      <c r="A11" s="27" t="n">
        <v>7</v>
      </c>
      <c r="B11" s="27" t="inlineStr">
        <is>
          <t>Listing copy A/B pick</t>
        </is>
      </c>
      <c r="C11" s="27" t="inlineStr">
        <is>
          <t>Two full drafts exist (listing-copy-A.md, listing-copy-B.md); the choice is positioning, which is yours</t>
        </is>
      </c>
      <c r="D11" s="27" t="inlineStr">
        <is>
          <t>ST-093; listing submission</t>
        </is>
      </c>
      <c r="E11" s="27" t="inlineStr">
        <is>
          <t>~20 min</t>
        </is>
      </c>
      <c r="F11" s="27" t="inlineStr">
        <is>
          <t>—</t>
        </is>
      </c>
      <c r="G11" s="27" t="inlineStr">
        <is>
          <t>Decision</t>
        </is>
      </c>
    </row>
    <row r="12" ht="15" customHeight="1" s="22">
      <c r="A12" s="27" t="n">
        <v>8</v>
      </c>
      <c r="B12" s="27" t="inlineStr">
        <is>
          <t>D-F6 chat vendor ratification</t>
        </is>
      </c>
      <c r="C12" s="27" t="inlineStr">
        <is>
          <t>The built-in chat + 4-business-hour SLA engine works, so a vendor is OPTIONAL — a later transport swap, not a launch blocker</t>
        </is>
      </c>
      <c r="D12" s="27" t="inlineStr">
        <is>
          <t>Formally closes ST-081</t>
        </is>
      </c>
      <c r="E12" s="27" t="inlineStr">
        <is>
          <t>~5 min</t>
        </is>
      </c>
      <c r="F12" s="27" t="inlineStr">
        <is>
          <t>—</t>
        </is>
      </c>
      <c r="G12" s="27" t="inlineStr">
        <is>
          <t>Decision</t>
        </is>
      </c>
    </row>
    <row r="13" ht="15" customHeight="1" s="22">
      <c r="A13" s="27" t="n">
        <v>9</v>
      </c>
      <c r="B13" s="27" t="inlineStr">
        <is>
          <t>D15 portfolio sequencing</t>
        </is>
      </c>
      <c r="C13" s="27" t="inlineStr">
        <is>
          <t>Open since 10 Sep across all products: parallel builds vs strict WIN order</t>
        </is>
      </c>
      <c r="D13" s="27" t="inlineStr">
        <is>
          <t>Affects whether FlowCast launches before the rank-1..11 products</t>
        </is>
      </c>
      <c r="E13" s="27" t="inlineStr">
        <is>
          <t>—</t>
        </is>
      </c>
      <c r="F13" s="27" t="inlineStr">
        <is>
          <t>—</t>
        </is>
      </c>
      <c r="G13" s="27" t="inlineStr">
        <is>
          <t>Decision</t>
        </is>
      </c>
    </row>
    <row r="14" ht="15" customHeight="1" s="22">
      <c r="A14" s="27" t="n">
        <v>10</v>
      </c>
      <c r="B14" s="27" t="inlineStr">
        <is>
          <t>Screenshot/video capture</t>
        </is>
      </c>
      <c r="C14" s="27" t="inlineStr">
        <is>
          <t>Needs the app running against a real org with real data — i.e. item 1 first</t>
        </is>
      </c>
      <c r="D14" s="27" t="inlineStr">
        <is>
          <t>ST-094; listing assets</t>
        </is>
      </c>
      <c r="E14" s="27" t="inlineStr">
        <is>
          <t>~2 hrs</t>
        </is>
      </c>
      <c r="F14" s="27" t="inlineStr">
        <is>
          <t>After item 1</t>
        </is>
      </c>
      <c r="G14" s="27" t="inlineStr">
        <is>
          <t>Post-dev-org</t>
        </is>
      </c>
    </row>
    <row r="15" ht="15" customHeight="1" s="22">
      <c r="A15" s="27" t="n">
        <v>11</v>
      </c>
      <c r="B15" s="27" t="inlineStr">
        <is>
          <t>Design-partner outreach</t>
        </is>
      </c>
      <c r="C15" s="27" t="inlineStr">
        <is>
          <t>The 10-slot tracker with honest exit math is built and empty; sending the emails is yours</t>
        </is>
      </c>
      <c r="D15" s="27" t="inlineStr">
        <is>
          <t>ST-100; the G-02 gate needs 10 PAYING strangers — reviews do not count</t>
        </is>
      </c>
      <c r="E15" s="27" t="inlineStr">
        <is>
          <t>~1 hr</t>
        </is>
      </c>
      <c r="F15" s="27" t="inlineStr">
        <is>
          <t>Weeks</t>
        </is>
      </c>
      <c r="G15" s="27" t="inlineStr">
        <is>
          <t>Post-launch</t>
        </is>
      </c>
    </row>
    <row r="16" ht="15" customHeight="1" s="22">
      <c r="A16" s="27" t="n">
        <v>12</v>
      </c>
      <c r="B16" s="27" t="inlineStr">
        <is>
          <t>Port the gate pack to other products</t>
        </is>
      </c>
      <c r="C16" s="27" t="inlineStr">
        <is>
          <t>gates/README.md + npm run prove:gates are ready; which products get them is a portfolio call</t>
        </is>
      </c>
      <c r="D16" s="27" t="inlineStr">
        <is>
          <t>Would catch the same defect classes in the other 10 builds — but competes with getting this one live</t>
        </is>
      </c>
      <c r="E16" s="27" t="inlineStr">
        <is>
          <t>~1 hr each</t>
        </is>
      </c>
      <c r="F16" s="27" t="inlineStr">
        <is>
          <t>—</t>
        </is>
      </c>
      <c r="G16" s="27" t="inlineStr">
        <is>
          <t>Decision</t>
        </is>
      </c>
    </row>
    <row r="18" ht="15" customHeight="1" s="22">
      <c r="A18" s="32" t="inlineStr">
        <is>
          <t>Nothing on this list is codeable in the sandbox. FlowCast code is 29 suites / 395 tests at 100% coverage, zero pragmas, three proved gates in CI, and boots end to end (npm start → /health → signed webhook).</t>
        </is>
      </c>
    </row>
    <row r="20" ht="15" customHeight="1" s="22">
      <c r="A20" s="31" t="inlineStr">
        <is>
          <t>UPDATED 13 Sep 2026 22:47 after the external review. Items 1-4 are unchanged and still the critical path; the two decisions below now sit above them for sequencing because they cost minutes and unblock sprints.</t>
        </is>
      </c>
    </row>
    <row r="22" ht="15" customHeight="1" s="22">
      <c r="A22" s="33" t="inlineStr">
        <is>
          <t>#</t>
        </is>
      </c>
      <c r="B22" s="33" t="inlineStr">
        <is>
          <t>Item</t>
        </is>
      </c>
      <c r="C22" s="33" t="inlineStr">
        <is>
          <t>Why it is blocked on you</t>
        </is>
      </c>
      <c r="D22" s="33" t="inlineStr">
        <is>
          <t>What it unlocks</t>
        </is>
      </c>
      <c r="E22" s="33" t="inlineStr">
        <is>
          <t>Effort</t>
        </is>
      </c>
      <c r="F22" s="33" t="inlineStr">
        <is>
          <t>Lead time</t>
        </is>
      </c>
      <c r="G22" s="33" t="inlineStr">
        <is>
          <t>Type</t>
        </is>
      </c>
    </row>
    <row r="23" ht="15" customHeight="1" s="22">
      <c r="A23" s="28" t="inlineStr">
        <is>
          <t>0a</t>
        </is>
      </c>
      <c r="B23" s="28" t="inlineStr">
        <is>
          <t>DEC-F16 — the positioning wedge</t>
        </is>
      </c>
      <c r="C23" s="28" t="inlineStr">
        <is>
          <t>The external review says generic Xero cash-flow forecasting is crowded (Xero ships 30/90/180-day by plan; Syft, Fathom, Spotlight, Futrli, Float are established). Its recommendation: narrow to a 13-week cash control and collections copilot for practices, and sell the closed loop. Only you can take this.</t>
        </is>
      </c>
      <c r="D23" s="28" t="inlineStr">
        <is>
          <t>All of Wave 2 — 84 points across forecast accuracy, collections, practice depth and enterprise tenancy. Nothing there should be built before it.</t>
        </is>
      </c>
      <c r="E23" s="28" t="inlineStr">
        <is>
          <t>~30 min reading</t>
        </is>
      </c>
      <c r="F23" s="28" t="inlineStr">
        <is>
          <t>—</t>
        </is>
      </c>
      <c r="G23" s="28" t="inlineStr">
        <is>
          <t>Decision</t>
        </is>
      </c>
    </row>
    <row r="24" ht="15" customHeight="1" s="22">
      <c r="A24" s="28" t="inlineStr">
        <is>
          <t>0b</t>
        </is>
      </c>
      <c r="B24" s="28" t="inlineStr">
        <is>
          <t>DEC-F17 — does a non-author AI review close ST-097?</t>
        </is>
      </c>
      <c r="C24" s="28" t="inlineStr">
        <is>
          <t>The review pack says a same-author review is not independent. A different model has now reviewed it. Whether that is sufficient, or a human is still required, is a standard you set.</t>
        </is>
      </c>
      <c r="D24" s="28" t="inlineStr">
        <is>
          <t>ST-097 here and on eight sibling products; submission dry-run row 11.</t>
        </is>
      </c>
      <c r="E24" s="28" t="inlineStr">
        <is>
          <t>~10 min</t>
        </is>
      </c>
      <c r="F24" s="28" t="inlineStr">
        <is>
          <t>—</t>
        </is>
      </c>
      <c r="G24" s="28" t="inlineStr">
        <is>
          <t>Decision</t>
        </is>
      </c>
    </row>
    <row r="25" ht="15" customHeight="1" s="22">
      <c r="A25" s="28" t="inlineStr">
        <is>
          <t>5b</t>
        </is>
      </c>
      <c r="B25" s="28" t="inlineStr">
        <is>
          <t>8 new Review_Findings dispositions (E5-xx, OBS-005, DEAD-2)</t>
        </is>
      </c>
      <c r="C25" s="28" t="inlineStr">
        <is>
          <t>Fixed and regression-pinned, but the record is only closed when you accept or reject each.</t>
        </is>
      </c>
      <c r="D25" s="28" t="inlineStr">
        <is>
          <t>Closes the E5 review record.</t>
        </is>
      </c>
      <c r="E25" s="28" t="inlineStr">
        <is>
          <t>~15 min reading</t>
        </is>
      </c>
      <c r="F25" s="28" t="inlineStr">
        <is>
          <t>—</t>
        </is>
      </c>
      <c r="G25" s="28" t="inlineStr">
        <is>
          <t>Decision</t>
        </is>
      </c>
    </row>
    <row r="26" ht="15" customHeight="1" s="22">
      <c r="A26" s="28" t="inlineStr">
        <is>
          <t>13</t>
        </is>
      </c>
      <c r="B26" s="28" t="inlineStr">
        <is>
          <t>Signing key + custody decision</t>
        </is>
      </c>
      <c r="C26" s="28" t="inlineStr">
        <is>
          <t>No key is held, so release provenance cannot be claimed however much we build. FC-R015 stays half open until this exists.</t>
        </is>
      </c>
      <c r="D26" s="28" t="inlineStr">
        <is>
          <t>Signed artifacts; the provenance half of G01.</t>
        </is>
      </c>
      <c r="E26" s="28" t="inlineStr">
        <is>
          <t>~1 hr + a decision</t>
        </is>
      </c>
      <c r="F26" s="28" t="inlineStr">
        <is>
          <t>—</t>
        </is>
      </c>
      <c r="G26" s="28" t="inlineStr">
        <is>
          <t>External / decision</t>
        </is>
      </c>
    </row>
    <row r="28" ht="15" customHeight="1" s="22">
      <c r="A28" s="32" t="inlineStr">
        <is>
          <t>ADDED 23:03 — sandbox-codeable work arising from both reviews is now exhausted. Everything below this line needs a decision or a live environment; further sitting time on FlowCast has declining marginal value until one of them moves.</t>
        </is>
      </c>
    </row>
    <row r="30" ht="15" customHeight="1" s="22">
      <c r="A30" s="28" t="inlineStr">
        <is>
          <t>14</t>
        </is>
      </c>
      <c r="B30" s="28" t="inlineStr">
        <is>
          <t>PORT-04 — which products get the E5b fixes</t>
        </is>
      </c>
      <c r="C30" s="28" t="inlineStr">
        <is>
          <t>The fail-closed boot check and the shutdown deadline apply to every product with a Postgres store and a blue/green deploy. Both critical findings survived a 100% suite and eight review passes here, so they are very likely live in the siblings.</t>
        </is>
      </c>
      <c r="D30" s="28" t="inlineStr">
        <is>
          <t>Closes the same two classes across the portfolio before they are found in production.</t>
        </is>
      </c>
      <c r="E30" s="28" t="inlineStr">
        <is>
          <t>~30 min each</t>
        </is>
      </c>
      <c r="F30" s="28" t="inlineStr">
        <is>
          <t>—</t>
        </is>
      </c>
      <c r="G30" s="28" t="inlineStr">
        <is>
          <t>Decision</t>
        </is>
      </c>
    </row>
    <row r="31" ht="15" customHeight="1" s="22">
      <c r="A31" s="28" t="inlineStr">
        <is>
          <t>15</t>
        </is>
      </c>
      <c r="B31" s="28" t="inlineStr">
        <is>
          <t>6 new Review_Findings dispositions (E5b-01..04, CLEARED-1/2)</t>
        </is>
      </c>
      <c r="C31" s="28" t="inlineStr">
        <is>
          <t>Fixed and pinned; the record closes when you accept or reject.</t>
        </is>
      </c>
      <c r="D31" s="28" t="inlineStr">
        <is>
          <t>Closes the E5b review record.</t>
        </is>
      </c>
      <c r="E31" s="28" t="inlineStr">
        <is>
          <t>~10 min</t>
        </is>
      </c>
      <c r="F31" s="28" t="inlineStr">
        <is>
          <t>—</t>
        </is>
      </c>
      <c r="G31" s="28" t="inlineStr">
        <is>
          <t>Decision</t>
        </is>
      </c>
    </row>
    <row r="32">
      <c r="A32" s="29" t="inlineStr">
        <is>
          <t>16</t>
        </is>
      </c>
      <c r="B32" s="29" t="inlineStr">
        <is>
          <t>PPX-D2 — unblock Wave P2 (closed-loop spine) from DEC-F16</t>
        </is>
      </c>
      <c r="C32" s="29" t="inlineStr">
        <is>
          <t>Reverses a standing sequencing decision. The reviewer argues the spine is valuable under every positioning and that DEC-F16 cannot be judged against a forecast that does not run — it runs now (P1-2).</t>
        </is>
      </c>
      <c r="D32" s="29" t="inlineStr">
        <is>
          <t>84 points of sandbox-buildable product depth (P2-1..P2-4).</t>
        </is>
      </c>
      <c r="E32" s="29" t="inlineStr">
        <is>
          <t>~15 min</t>
        </is>
      </c>
      <c r="F32" s="29" t="inlineStr">
        <is>
          <t>—</t>
        </is>
      </c>
      <c r="G32" s="29" t="inlineStr">
        <is>
          <t>Decision</t>
        </is>
      </c>
    </row>
    <row r="33">
      <c r="A33" s="29" t="inlineStr">
        <is>
          <t>17</t>
        </is>
      </c>
      <c r="B33" s="29" t="inlineStr">
        <is>
          <t>PPX-D3 — reprice from $25 to the £45–£99 band</t>
        </is>
      </c>
      <c r="C33" s="29" t="inlineStr">
        <is>
          <t>Pricing is founder territory. Reviewer: $25 does not clear cost at any volume the plan reaches; the category prices 2–8× higher for narrower jobs.</t>
        </is>
      </c>
      <c r="D33" s="29" t="inlineStr">
        <is>
          <t>P4-1 model rebuild; listing/pricing copy; the accountant channel becoming affordable.</t>
        </is>
      </c>
      <c r="E33" s="29" t="inlineStr">
        <is>
          <t>~30 min</t>
        </is>
      </c>
      <c r="F33" s="29" t="inlineStr">
        <is>
          <t>—</t>
        </is>
      </c>
      <c r="G33" s="29" t="inlineStr">
        <is>
          <t>Decision</t>
        </is>
      </c>
    </row>
    <row r="34">
      <c r="A34" s="29" t="inlineStr">
        <is>
          <t>18</t>
        </is>
      </c>
      <c r="B34" s="29" t="inlineStr">
        <is>
          <t>PPX-D4 — retire the xero_marketplace rail (Stripe-only)</t>
        </is>
      </c>
      <c r="C34" s="29" t="inlineStr">
        <is>
          <t>You said on 20 Sep: delete nothing this sprint. The rail is recorded as CONTRADICTED (PA-11) and the build will demand a re-verification by ~19 Dec. Item 4 above (App Store partner application for in-store billing) is stale: XASS is deprecated; the partner application is still needed for the listing and the referral fee, not for billing.</t>
        </is>
      </c>
      <c r="D34" s="29" t="inlineStr">
        <is>
          <t>Removes dead logic; unblocks P4-1; corrects LC-6, ST-059 and the financial model's fee line.</t>
        </is>
      </c>
      <c r="E34" s="29" t="inlineStr">
        <is>
          <t>~10 min to decide</t>
        </is>
      </c>
      <c r="F34" s="29" t="inlineStr">
        <is>
          <t>—</t>
        </is>
      </c>
      <c r="G34" s="29" t="inlineStr">
        <is>
          <t>Decision</t>
        </is>
      </c>
    </row>
    <row r="35">
      <c r="A35" s="29" t="inlineStr">
        <is>
          <t>19</t>
        </is>
      </c>
      <c r="B35" s="29" t="inlineStr">
        <is>
          <t>PPX-D5 — PORT-05: audit the nine siblings for the PPX-01 and PPX-03 shapes</t>
        </is>
      </c>
      <c r="C35" s="29" t="inlineStr">
        <is>
          <t>Portfolio call. Both classes survived a 100% suite, eight gates and two reviews here. dataPathGate and platformDriftGate are portable as written.</t>
        </is>
      </c>
      <c r="D35" s="29" t="inlineStr">
        <is>
          <t>Prevents the same two blockers surfacing in each sibling's first external review.</t>
        </is>
      </c>
      <c r="E35" s="29" t="inlineStr">
        <is>
          <t>~1 sitting per product</t>
        </is>
      </c>
      <c r="F35" s="29" t="inlineStr">
        <is>
          <t>—</t>
        </is>
      </c>
      <c r="G35" s="29" t="inlineStr">
        <is>
          <t>Decision</t>
        </is>
      </c>
    </row>
    <row r="36">
      <c r="A36" s="29" t="inlineStr">
        <is>
          <t>20</t>
        </is>
      </c>
      <c r="B36" s="29" t="inlineStr">
        <is>
          <t>PPX-D6 — DEC-F17 revisited: does a non-author AI review close ST-097?</t>
        </is>
      </c>
      <c r="C36" s="29" t="inlineStr">
        <is>
          <t>Two independent AI reviews have now found blockers the author's passes did not; the reviewer's recommendation is "necessary, not yet sufficient — human before submission, not before building".</t>
        </is>
      </c>
      <c r="D36" s="29" t="inlineStr">
        <is>
          <t>ST-097 status; the same story on eight siblings.</t>
        </is>
      </c>
      <c r="E36" s="29" t="inlineStr">
        <is>
          <t>~10 min</t>
        </is>
      </c>
      <c r="F36" s="29" t="inlineStr">
        <is>
          <t>—</t>
        </is>
      </c>
      <c r="G36" s="29" t="inlineStr">
        <is>
          <t>Decision</t>
        </is>
      </c>
    </row>
    <row r="37">
      <c r="A37" s="29" t="inlineStr">
        <is>
          <t>21</t>
        </is>
      </c>
      <c r="B37" s="29" t="inlineStr">
        <is>
          <t>P1-8 boot composition — approve the sprint before 31 Oct 2026</t>
        </is>
      </c>
      <c r="C37" s="29" t="inlineStr">
        <is>
          <t>The method-level gate found the durable store, webhook worker and uninstall path have no production driver (E6-F3..F5). Their KNOWN_GAPS expire 31 Oct; after that the suite is red until wired. Sandbox-codeable; needs your go.</t>
        </is>
      </c>
      <c r="D37" s="29" t="inlineStr">
        <is>
          <t>A restart that keeps every tenant; drained webhooks; uninstall actually removing tokens.</t>
        </is>
      </c>
      <c r="E37" s="29" t="inlineStr">
        <is>
          <t>"go ahead"</t>
        </is>
      </c>
      <c r="F37" s="29" t="inlineStr">
        <is>
          <t>—</t>
        </is>
      </c>
      <c r="G37" s="29" t="inlineStr">
        <is>
          <t>Decision</t>
        </is>
      </c>
    </row>
    <row r="38">
      <c r="A38" s="29" t="inlineStr">
        <is>
          <t>22</t>
        </is>
      </c>
      <c r="B38" s="29" t="inlineStr">
        <is>
          <t>E6-F2 — pick an email/notification transport</t>
        </is>
      </c>
      <c r="C38" s="29" t="inlineStr">
        <is>
          <t>No transport exists in src. Nudges, dunning emails, trial expiry and anomaly alerts have logic and no delivery; boot reports this rather than faking it.</t>
        </is>
      </c>
      <c r="D38" s="29" t="inlineStr">
        <is>
          <t>The nudge feature actually reaching a customer.</t>
        </is>
      </c>
      <c r="E38" s="29" t="inlineStr">
        <is>
          <t>Vendor pick</t>
        </is>
      </c>
      <c r="F38" s="29" t="inlineStr">
        <is>
          <t>Days</t>
        </is>
      </c>
      <c r="G38" s="29" t="inlineStr">
        <is>
          <t>Decision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1" min="1" max="1"/>
    <col width="44" customWidth="1" style="21" min="2" max="2"/>
    <col width="34" customWidth="1" style="21" min="3" max="3"/>
    <col width="40" customWidth="1" style="21" min="4" max="4"/>
  </cols>
  <sheetData>
    <row r="1" ht="17.25" customHeight="1" s="22">
      <c r="A1" s="23" t="inlineStr">
        <is>
          <t>PRODUCT SPEC</t>
        </is>
      </c>
    </row>
    <row r="3" ht="15" customHeight="1" s="22">
      <c r="A3" s="24" t="inlineStr">
        <is>
          <t>Module (feature)</t>
        </is>
      </c>
      <c r="B3" s="24" t="inlineStr">
        <is>
          <t>Scope in MVP</t>
        </is>
      </c>
      <c r="C3" s="24" t="inlineStr">
        <is>
          <t>Out of scope (v1)</t>
        </is>
      </c>
      <c r="D3" s="24" t="inlineStr">
        <is>
          <t>Non-functional requirements</t>
        </is>
      </c>
    </row>
    <row r="4" ht="30" customHeight="1" s="22">
      <c r="A4" s="25" t="inlineStr">
        <is>
          <t>13-week forecast engine</t>
        </is>
      </c>
      <c r="B4" s="25" t="inlineStr">
        <is>
          <t>13-week forecast engine: end-to-end happy path + edge cases + permissions</t>
        </is>
      </c>
      <c r="C4" s="25" t="inlineStr">
        <is>
          <t>Advanced automation, AI beyond listed, multi-language beyond launch set</t>
        </is>
      </c>
      <c r="D4" s="25" t="inlineStr">
        <is>
          <t>p95 &lt;500ms API / &lt;2s UI loads</t>
        </is>
      </c>
    </row>
    <row r="5" ht="30" customHeight="1" s="22">
      <c r="A5" s="25" t="inlineStr">
        <is>
          <t>Scenario sliders</t>
        </is>
      </c>
      <c r="B5" s="25" t="inlineStr">
        <is>
          <t>Scenario sliders: end-to-end happy path + edge cases + permissions</t>
        </is>
      </c>
      <c r="C5" s="25" t="inlineStr">
        <is>
          <t>Advanced automation, AI beyond listed, multi-language beyond launch set</t>
        </is>
      </c>
      <c r="D5" s="25" t="inlineStr">
        <is>
          <t>99.5% monthly uptime</t>
        </is>
      </c>
    </row>
    <row r="6" ht="30" customHeight="1" s="22">
      <c r="A6" s="25" t="inlineStr">
        <is>
          <t>Invoice chase nudges</t>
        </is>
      </c>
      <c r="B6" s="25" t="inlineStr">
        <is>
          <t>Invoice chase nudges: end-to-end happy path + edge cases + permissions</t>
        </is>
      </c>
      <c r="C6" s="25" t="inlineStr">
        <is>
          <t>Advanced automation, AI beyond listed, multi-language beyond launch set</t>
        </is>
      </c>
      <c r="D6" s="25" t="inlineStr">
        <is>
          <t>WCAG AA</t>
        </is>
      </c>
    </row>
    <row r="7" ht="30" customHeight="1" s="22">
      <c r="A7" s="25" t="inlineStr">
        <is>
          <t>Accountant portal</t>
        </is>
      </c>
      <c r="B7" s="25" t="inlineStr">
        <is>
          <t>Accountant portal: end-to-end happy path + edge cases + permissions</t>
        </is>
      </c>
      <c r="C7" s="25" t="inlineStr">
        <is>
          <t>Advanced automation, AI beyond listed, multi-language beyond launch set</t>
        </is>
      </c>
      <c r="D7" s="25" t="inlineStr">
        <is>
          <t>SOC2-track controls</t>
        </is>
      </c>
    </row>
    <row r="8" ht="30" customHeight="1" s="22">
      <c r="A8" s="25" t="inlineStr">
        <is>
          <t>Bank-feed anomaly alerts</t>
        </is>
      </c>
      <c r="B8" s="25" t="inlineStr">
        <is>
          <t>Bank-feed anomaly alerts: end-to-end happy path + edge cases + permissions</t>
        </is>
      </c>
      <c r="C8" s="25" t="inlineStr">
        <is>
          <t>Advanced automation, AI beyond listed, multi-language beyond launch set</t>
        </is>
      </c>
      <c r="D8" s="25" t="inlineStr">
        <is>
          <t>Rate-limit safe (backoff+queue)</t>
        </is>
      </c>
    </row>
    <row r="10" ht="15" customHeight="1" s="22">
      <c r="A10" s="24" t="inlineStr">
        <is>
          <t>Persona</t>
        </is>
      </c>
      <c r="B10" s="24" t="inlineStr">
        <is>
          <t>Jobs-to-be-done</t>
        </is>
      </c>
      <c r="C10" s="24" t="n"/>
      <c r="D10" s="24" t="n"/>
    </row>
    <row r="11" ht="25.5" customHeight="1" s="22">
      <c r="A11" s="25" t="inlineStr">
        <is>
          <t>SMB owner</t>
        </is>
      </c>
      <c r="B11" s="25" t="inlineStr">
        <is>
          <t>Anxiety about cash; wants traffic-light simplicity</t>
        </is>
      </c>
      <c r="C11" s="34" t="n"/>
      <c r="D11" s="35" t="n"/>
    </row>
    <row r="12" ht="25.5" customHeight="1" s="22">
      <c r="A12" s="25" t="inlineStr">
        <is>
          <t>Accountant partner</t>
        </is>
      </c>
      <c r="B12" s="25" t="inlineStr">
        <is>
          <t>Advisory revenue tool across client base</t>
        </is>
      </c>
      <c r="C12" s="34" t="n"/>
      <c r="D12" s="35" t="n"/>
    </row>
    <row r="13" ht="25.5" customHeight="1" s="22">
      <c r="A13" s="25" t="inlineStr">
        <is>
          <t>Bookkeeper</t>
        </is>
      </c>
      <c r="B13" s="25" t="inlineStr">
        <is>
          <t>Data hygiene; bank-feed exceptions</t>
        </is>
      </c>
      <c r="C13" s="34" t="n"/>
      <c r="D13" s="35" t="n"/>
    </row>
  </sheetData>
  <mergeCells count="3">
    <mergeCell ref="B12:D12"/>
    <mergeCell ref="B11:D11"/>
    <mergeCell ref="B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28" customWidth="1" style="21" min="2" max="2"/>
    <col width="40" customWidth="1" style="21" min="3" max="3"/>
    <col width="44" customWidth="1" style="21" min="4" max="4"/>
    <col width="24" customWidth="1" style="21" min="5" max="5"/>
  </cols>
  <sheetData>
    <row r="1" ht="17.25" customHeight="1" s="22">
      <c r="A1" s="23" t="inlineStr">
        <is>
          <t>SCREEN INVENTORY (attach Figma links in col E during S0)</t>
        </is>
      </c>
    </row>
    <row r="3" ht="15" customHeight="1" s="22">
      <c r="A3" s="24" t="inlineStr">
        <is>
          <t>#</t>
        </is>
      </c>
      <c r="B3" s="24" t="inlineStr">
        <is>
          <t>Screen</t>
        </is>
      </c>
      <c r="C3" s="24" t="inlineStr">
        <is>
          <t>Purpose</t>
        </is>
      </c>
      <c r="D3" s="24" t="inlineStr">
        <is>
          <t>Key elements</t>
        </is>
      </c>
      <c r="E3" s="24" t="inlineStr">
        <is>
          <t>Wireframe link</t>
        </is>
      </c>
    </row>
    <row r="4" ht="25.5" customHeight="1" s="22">
      <c r="A4" s="25" t="n">
        <v>1</v>
      </c>
      <c r="B4" s="25" t="inlineStr">
        <is>
          <t>Onboarding / first-run</t>
        </is>
      </c>
      <c r="C4" s="25" t="inlineStr">
        <is>
          <t>Reach aha in &lt;1 day</t>
        </is>
      </c>
      <c r="D4" s="25" t="inlineStr">
        <is>
          <t>Checklist, sample data toggle, connect steps</t>
        </is>
      </c>
      <c r="E4" s="26" t="n"/>
    </row>
    <row r="5" ht="25.5" customHeight="1" s="22">
      <c r="A5" s="25" t="n">
        <v>2</v>
      </c>
      <c r="B5" s="25" t="inlineStr">
        <is>
          <t>Home dashboard</t>
        </is>
      </c>
      <c r="C5" s="25" t="inlineStr">
        <is>
          <t>Daily habit surface</t>
        </is>
      </c>
      <c r="D5" s="25" t="inlineStr">
        <is>
          <t>KPI cards, activity feed, alerts</t>
        </is>
      </c>
      <c r="E5" s="26" t="n"/>
    </row>
    <row r="6" ht="25.5" customHeight="1" s="22">
      <c r="A6" s="25" t="n">
        <v>3</v>
      </c>
      <c r="B6" s="25" t="inlineStr">
        <is>
          <t>13-week forecast engine workspace</t>
        </is>
      </c>
      <c r="C6" s="25" t="inlineStr">
        <is>
          <t>Core value surface</t>
        </is>
      </c>
      <c r="D6" s="25" t="inlineStr">
        <is>
          <t>List+detail, bulk actions, status chips</t>
        </is>
      </c>
      <c r="E6" s="26" t="n"/>
    </row>
    <row r="7" ht="25.5" customHeight="1" s="22">
      <c r="A7" s="25" t="n">
        <v>4</v>
      </c>
      <c r="B7" s="25" t="inlineStr">
        <is>
          <t>Scenario sliders builder</t>
        </is>
      </c>
      <c r="C7" s="25" t="inlineStr">
        <is>
          <t>Configure second pillar</t>
        </is>
      </c>
      <c r="D7" s="25" t="inlineStr">
        <is>
          <t>Rule builder, preview, test mode</t>
        </is>
      </c>
      <c r="E7" s="26" t="n"/>
    </row>
    <row r="8" ht="25.5" customHeight="1" s="22">
      <c r="A8" s="25" t="n">
        <v>5</v>
      </c>
      <c r="B8" s="25" t="inlineStr">
        <is>
          <t>Invoice chase nudges view</t>
        </is>
      </c>
      <c r="C8" s="25" t="inlineStr">
        <is>
          <t>Differentiator surface</t>
        </is>
      </c>
      <c r="D8" s="25" t="inlineStr">
        <is>
          <t>Timeline/visual, export</t>
        </is>
      </c>
      <c r="E8" s="26" t="n"/>
    </row>
    <row r="9" ht="25.5" customHeight="1" s="22">
      <c r="A9" s="25" t="n">
        <v>6</v>
      </c>
      <c r="B9" s="25" t="inlineStr">
        <is>
          <t>Settings &amp; team</t>
        </is>
      </c>
      <c r="C9" s="25" t="inlineStr">
        <is>
          <t>Roles, notifications, data</t>
        </is>
      </c>
      <c r="D9" s="25" t="inlineStr">
        <is>
          <t>Role matrix, API keys, danger zone</t>
        </is>
      </c>
      <c r="E9" s="26" t="n"/>
    </row>
    <row r="10" ht="25.5" customHeight="1" s="22">
      <c r="A10" s="25" t="n">
        <v>7</v>
      </c>
      <c r="B10" s="25" t="inlineStr">
        <is>
          <t>Billing</t>
        </is>
      </c>
      <c r="C10" s="25" t="inlineStr">
        <is>
          <t>Plan/trial/invoices</t>
        </is>
      </c>
      <c r="D10" s="25" t="inlineStr">
        <is>
          <t>Plan cards, usage meter, invoices</t>
        </is>
      </c>
      <c r="E10" s="26" t="n"/>
    </row>
    <row r="11" ht="25.5" customHeight="1" s="22">
      <c r="A11" s="25" t="n">
        <v>8</v>
      </c>
      <c r="B11" s="25" t="inlineStr">
        <is>
          <t>Analytics</t>
        </is>
      </c>
      <c r="C11" s="25" t="inlineStr">
        <is>
          <t>Prove ROI</t>
        </is>
      </c>
      <c r="D11" s="25" t="inlineStr">
        <is>
          <t>Funnel, cohort, export</t>
        </is>
      </c>
      <c r="E11" s="26" t="n"/>
    </row>
    <row r="12" ht="25.5" customHeight="1" s="22">
      <c r="A12" s="25" t="n">
        <v>9</v>
      </c>
      <c r="B12" s="25" t="inlineStr">
        <is>
          <t>Help &amp; support</t>
        </is>
      </c>
      <c r="C12" s="25" t="inlineStr">
        <is>
          <t>Deflect + assist</t>
        </is>
      </c>
      <c r="D12" s="25" t="inlineStr">
        <is>
          <t>Search, chat, status</t>
        </is>
      </c>
      <c r="E12"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46"/>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21" min="1" max="1"/>
    <col width="7" customWidth="1" style="21" min="2" max="2"/>
    <col width="26" customWidth="1" style="21" min="3" max="3"/>
    <col width="70" customWidth="1" style="21" min="4" max="4"/>
    <col width="8" customWidth="1" style="21" min="5" max="5"/>
    <col width="22" customWidth="1" style="21" min="6" max="6"/>
    <col width="28" customWidth="1" style="21" min="7" max="7"/>
    <col width="48" customWidth="1" style="21" min="8" max="8"/>
  </cols>
  <sheetData>
    <row r="1" ht="15" customHeight="1" s="22">
      <c r="A1" s="31" t="inlineStr">
        <is>
          <t>ENHANCEMENT BACKLOG — work arising from the external review, on its OWN point pool.</t>
        </is>
      </c>
    </row>
    <row r="2" ht="15" customHeight="1" s="22">
      <c r="A2" s="32" t="inlineStr">
        <is>
          <t>D-F7 (to ratify): the 399-point / 100-story baseline in Full_Backlog stays FROZEN. Enhancement work never moves the 77-Done position. The reviewer called our code completeness "misleadingly high"; letting a correctness release inflate apparent delivery would prove the point. Sibling precedent: RetainKit.</t>
        </is>
      </c>
    </row>
    <row r="4" ht="15" customHeight="1" s="22">
      <c r="A4" s="36" t="inlineStr">
        <is>
          <t>ID</t>
        </is>
      </c>
      <c r="B4" s="36" t="inlineStr">
        <is>
          <t>Wave</t>
        </is>
      </c>
      <c r="C4" s="36" t="inlineStr">
        <is>
          <t>Theme</t>
        </is>
      </c>
      <c r="D4" s="36" t="inlineStr">
        <is>
          <t>Scope</t>
        </is>
      </c>
      <c r="E4" s="36" t="inlineStr">
        <is>
          <t>Points</t>
        </is>
      </c>
      <c r="F4" s="36" t="inlineStr">
        <is>
          <t>Status</t>
        </is>
      </c>
      <c r="G4" s="36" t="inlineStr">
        <is>
          <t>Closes</t>
        </is>
      </c>
      <c r="H4" s="36" t="inlineStr">
        <is>
          <t>Gate / evidence</t>
        </is>
      </c>
    </row>
    <row r="5" ht="39" customHeight="1" s="22">
      <c r="A5" s="37" t="inlineStr">
        <is>
          <t>E5-01</t>
        </is>
      </c>
      <c r="B5" s="37" t="inlineStr">
        <is>
          <t>1</t>
        </is>
      </c>
      <c r="C5" s="37" t="inlineStr">
        <is>
          <t>Reproducible build + evidence</t>
        </is>
      </c>
      <c r="D5" s="37" t="inlineStr">
        <is>
          <t>Clean reproduction of the suite from the supplied package; EVIDENCE_MANIFEST.json with per-file SHA-256 and a rollup; verify command wired into CI.</t>
        </is>
      </c>
      <c r="E5" s="37" t="n">
        <v>5</v>
      </c>
      <c r="F5" s="37" t="inlineStr">
        <is>
          <t>Done-in-code</t>
        </is>
      </c>
      <c r="G5" s="37" t="inlineStr">
        <is>
          <t>FC-R005 (repro half), G01</t>
        </is>
      </c>
      <c r="H5" s="37" t="inlineStr">
        <is>
          <t>npm run verify:evidence; tests/supplyChainGate.test.ts</t>
        </is>
      </c>
    </row>
    <row r="6" ht="39" customHeight="1" s="22">
      <c r="A6" s="37" t="inlineStr">
        <is>
          <t>E5-02</t>
        </is>
      </c>
      <c r="B6" s="37" t="inlineStr">
        <is>
          <t>1</t>
        </is>
      </c>
      <c r="C6" s="37" t="inlineStr">
        <is>
          <t>Supply chain</t>
        </is>
      </c>
      <c r="D6" s="37" t="inlineStr">
        <is>
          <t>CycloneDX 1.5 SBOM from the lockfile with a drift gate; npm audit on shipped dependencies; secret-shape scanner; security headers on every response incl. 404/500.</t>
        </is>
      </c>
      <c r="E6" s="37" t="n">
        <v>8</v>
      </c>
      <c r="F6" s="37" t="inlineStr">
        <is>
          <t>Done-in-code</t>
        </is>
      </c>
      <c r="G6" s="37" t="inlineStr">
        <is>
          <t>FC-R015, FC-R006</t>
        </is>
      </c>
      <c r="H6" s="37" t="inlineStr">
        <is>
          <t>tests/supplyChainGate.test.ts; proved in prove-gates</t>
        </is>
      </c>
    </row>
    <row r="7" ht="39" customHeight="1" s="22">
      <c r="A7" s="37" t="inlineStr">
        <is>
          <t>E5-03</t>
        </is>
      </c>
      <c r="B7" s="37" t="inlineStr">
        <is>
          <t>1</t>
        </is>
      </c>
      <c r="C7" s="37" t="inlineStr">
        <is>
          <t>Threat model</t>
        </is>
      </c>
      <c r="D7" s="37" t="inlineStr">
        <is>
          <t>STRIDE model over 5 trust boundaries with a module scope table and an explicit "Not defended, deliberately" list of six gaps; SECURITY_POLICY.md.</t>
        </is>
      </c>
      <c r="E7" s="37" t="n">
        <v>5</v>
      </c>
      <c r="F7" s="37" t="inlineStr">
        <is>
          <t>Done-in-code</t>
        </is>
      </c>
      <c r="G7" s="37" t="inlineStr">
        <is>
          <t>FC-R006</t>
        </is>
      </c>
      <c r="H7" s="37" t="inlineStr">
        <is>
          <t>tests/docFreshnessGate.test.ts now covers THREAT_MODEL.md</t>
        </is>
      </c>
    </row>
    <row r="8" ht="39" customHeight="1" s="22">
      <c r="A8" s="37" t="inlineStr">
        <is>
          <t>E5-04</t>
        </is>
      </c>
      <c r="B8" s="37" t="inlineStr">
        <is>
          <t>1</t>
        </is>
      </c>
      <c r="C8" s="37" t="inlineStr">
        <is>
          <t>Time zones + DST</t>
        </is>
      </c>
      <c r="D8" s="37" t="inlineStr">
        <is>
          <t>IANA zones resolved per instant via Node 22 ICU; DST matrices for Europe/London, Australia/Sydney, Pacific/Auckland; fixed-offset fallback preserved.</t>
        </is>
      </c>
      <c r="E8" s="37" t="n">
        <v>8</v>
      </c>
      <c r="F8" s="37" t="inlineStr">
        <is>
          <t>Done</t>
        </is>
      </c>
      <c r="G8" s="37" t="inlineStr">
        <is>
          <t>FC-R008, OBS-003</t>
        </is>
      </c>
      <c r="H8" s="37" t="inlineStr">
        <is>
          <t>tests/timezoneDst.test.ts — 21 regressions</t>
        </is>
      </c>
    </row>
    <row r="9" ht="39" customHeight="1" s="22">
      <c r="A9" s="37" t="inlineStr">
        <is>
          <t>E5-05</t>
        </is>
      </c>
      <c r="B9" s="37" t="inlineStr">
        <is>
          <t>1</t>
        </is>
      </c>
      <c r="C9" s="37" t="inlineStr">
        <is>
          <t>Distributed reliability</t>
        </is>
      </c>
      <c r="D9" s="37" t="inlineStr">
        <is>
          <t>Shared cross-instance Xero org budget in Postgres; full-jitter backoff; bounded half-open probes; monotonic leader fencing token read per scheduler tick.</t>
        </is>
      </c>
      <c r="E9" s="37" t="n">
        <v>13</v>
      </c>
      <c r="F9" s="37" t="inlineStr">
        <is>
          <t>Done-in-code</t>
        </is>
      </c>
      <c r="G9" s="37" t="inlineStr">
        <is>
          <t>FC-R007, OBS-001/002/004</t>
        </is>
      </c>
      <c r="H9" s="37" t="inlineStr">
        <is>
          <t>tests/distributedReliability.test.ts — 30 regressions</t>
        </is>
      </c>
    </row>
    <row r="10" ht="39" customHeight="1" s="22">
      <c r="A10" s="37" t="inlineStr">
        <is>
          <t>E5-06</t>
        </is>
      </c>
      <c r="B10" s="37" t="inlineStr">
        <is>
          <t>1</t>
        </is>
      </c>
      <c r="C10" s="37" t="inlineStr">
        <is>
          <t>Scale drills</t>
        </is>
      </c>
      <c r="D10" s="37" t="inlineStr">
        <is>
          <t>Deterministic non-uniform practice generator; forecast + portal at 20/100/500 clients over 24 months with p95 budgets and a per-row cost check.</t>
        </is>
      </c>
      <c r="E10" s="37" t="n">
        <v>8</v>
      </c>
      <c r="F10" s="37" t="inlineStr">
        <is>
          <t>Done-in-code</t>
        </is>
      </c>
      <c r="G10" s="37" t="inlineStr">
        <is>
          <t>FC-R010 (compute half), FC-R014 (scale half)</t>
        </is>
      </c>
      <c r="H10" s="37" t="inlineStr">
        <is>
          <t>tests/practiceScaleAndPrivacy.test.ts</t>
        </is>
      </c>
    </row>
    <row r="11" ht="39" customHeight="1" s="22">
      <c r="A11" s="37" t="inlineStr">
        <is>
          <t>E5-07</t>
        </is>
      </c>
      <c r="B11" s="37" t="inlineStr">
        <is>
          <t>1</t>
        </is>
      </c>
      <c r="C11" s="37" t="inlineStr">
        <is>
          <t>Privacy end-to-end</t>
        </is>
      </c>
      <c r="D11" s="37" t="inlineStr">
        <is>
          <t>DSAR export/delete E2E incl. the cross-tenant negative and idempotent re-deletion; retention schedule coherence pinned; help article bound to the code.</t>
        </is>
      </c>
      <c r="E11" s="37" t="n">
        <v>5</v>
      </c>
      <c r="F11" s="37" t="inlineStr">
        <is>
          <t>Done-in-code</t>
        </is>
      </c>
      <c r="G11" s="37" t="inlineStr">
        <is>
          <t>FC-R009 (sandbox half)</t>
        </is>
      </c>
      <c r="H11" s="37" t="inlineStr">
        <is>
          <t>tests/practiceScaleAndPrivacy.test.ts</t>
        </is>
      </c>
    </row>
    <row r="12" ht="26.25" customHeight="1" s="22">
      <c r="A12" s="37" t="inlineStr">
        <is>
          <t>E5-08</t>
        </is>
      </c>
      <c r="B12" s="37" t="inlineStr">
        <is>
          <t>1</t>
        </is>
      </c>
      <c r="C12" s="37" t="inlineStr">
        <is>
          <t>Stale-claim gate</t>
        </is>
      </c>
      <c r="D12" s="37" t="inlineStr">
        <is>
          <t>Dry-run document rewritten with its history; sixth gate fails the build when a published document claims a gap about a module that exists.</t>
        </is>
      </c>
      <c r="E12" s="37" t="n">
        <v>5</v>
      </c>
      <c r="F12" s="37" t="inlineStr">
        <is>
          <t>Done</t>
        </is>
      </c>
      <c r="G12" s="37" t="inlineStr">
        <is>
          <t>FC-R002</t>
        </is>
      </c>
      <c r="H12" s="37" t="inlineStr">
        <is>
          <t>tests/supplyChainGate.test.ts; proved by restoring the original sentence</t>
        </is>
      </c>
    </row>
    <row r="13" ht="26.25" customHeight="1" s="22">
      <c r="A13" s="37" t="inlineStr">
        <is>
          <t>E6-01</t>
        </is>
      </c>
      <c r="B13" s="37" t="inlineStr">
        <is>
          <t>2</t>
        </is>
      </c>
      <c r="C13" s="37" t="inlineStr">
        <is>
          <t>Forecast accuracy</t>
        </is>
      </c>
      <c r="D13" s="37" t="inlineStr">
        <is>
          <t>Forecast-vs-actual ledger, backtesting, confidence bands, payment-behaviour calibration, seasonality, red-week explanation.</t>
        </is>
      </c>
      <c r="E13" s="37" t="n">
        <v>21</v>
      </c>
      <c r="F13" s="37" t="inlineStr">
        <is>
          <t>BLOCKED — DEC-F16</t>
        </is>
      </c>
      <c r="G13" s="37" t="inlineStr">
        <is>
          <t>FC-R012</t>
        </is>
      </c>
      <c r="H13" s="37" t="inlineStr">
        <is>
          <t>—</t>
        </is>
      </c>
    </row>
    <row r="14" ht="26.25" customHeight="1" s="22">
      <c r="A14" s="37" t="inlineStr">
        <is>
          <t>E6-02</t>
        </is>
      </c>
      <c r="B14" s="37" t="inlineStr">
        <is>
          <t>2</t>
        </is>
      </c>
      <c r="C14" s="37" t="inlineStr">
        <is>
          <t>Collections copilot</t>
        </is>
      </c>
      <c r="D14" s="37" t="inlineStr">
        <is>
          <t>Cash-impact ranked debtors, owner/task assignment, channel rules, promise-to-pay and dispute state, recovered-cash attribution.</t>
        </is>
      </c>
      <c r="E14" s="37" t="n">
        <v>21</v>
      </c>
      <c r="F14" s="37" t="inlineStr">
        <is>
          <t>BLOCKED — DEC-F16</t>
        </is>
      </c>
      <c r="G14" s="37" t="inlineStr">
        <is>
          <t>FC-R013, FC-R004</t>
        </is>
      </c>
      <c r="H14" s="37" t="inlineStr">
        <is>
          <t>—</t>
        </is>
      </c>
    </row>
    <row r="15" ht="26.25" customHeight="1" s="22">
      <c r="A15" s="37" t="inlineStr">
        <is>
          <t>E6-03</t>
        </is>
      </c>
      <c r="B15" s="37" t="inlineStr">
        <is>
          <t>2</t>
        </is>
      </c>
      <c r="C15" s="37" t="inlineStr">
        <is>
          <t>Practice OS depth</t>
        </is>
      </c>
      <c r="D15" s="37" t="inlineStr">
        <is>
          <t>Portfolio heatmap, bulk triage, delegation, client notes, branded exports, advisory workflow.</t>
        </is>
      </c>
      <c r="E15" s="37" t="n">
        <v>21</v>
      </c>
      <c r="F15" s="37" t="inlineStr">
        <is>
          <t>BLOCKED — DEC-F16</t>
        </is>
      </c>
      <c r="G15" s="37" t="inlineStr">
        <is>
          <t>FC-R014</t>
        </is>
      </c>
      <c r="H15" s="37" t="inlineStr">
        <is>
          <t>—</t>
        </is>
      </c>
    </row>
    <row r="16" ht="39" customHeight="1" s="22">
      <c r="A16" s="37" t="inlineStr">
        <is>
          <t>E6-04</t>
        </is>
      </c>
      <c r="B16" s="37" t="inlineStr">
        <is>
          <t>2</t>
        </is>
      </c>
      <c r="C16" s="37" t="inlineStr">
        <is>
          <t>Enterprise tenancy + admin</t>
        </is>
      </c>
      <c r="D16" s="37" t="inlineStr">
        <is>
          <t>Org/user lifecycle, SSO/OIDC abstraction, fine-grained RBAC beyond three roles, audit export, approval-gated support impersonation, tamper-evident audit log.</t>
        </is>
      </c>
      <c r="E16" s="37" t="n">
        <v>21</v>
      </c>
      <c r="F16" s="37" t="inlineStr">
        <is>
          <t>BLOCKED — DEC-F16</t>
        </is>
      </c>
      <c r="G16" s="37" t="inlineStr">
        <is>
          <t>FC-R009, G10</t>
        </is>
      </c>
      <c r="H16" s="37" t="inlineStr">
        <is>
          <t>—</t>
        </is>
      </c>
    </row>
    <row r="17" ht="26.25" customHeight="1" s="22">
      <c r="A17" s="37" t="inlineStr">
        <is>
          <t>E7-01</t>
        </is>
      </c>
      <c r="B17" s="37" t="inlineStr">
        <is>
          <t>3</t>
        </is>
      </c>
      <c r="C17" s="37" t="inlineStr">
        <is>
          <t>Live Xero certification</t>
        </is>
      </c>
      <c r="D17" s="37" t="inlineStr">
        <is>
          <t>Scripted E2E against a real dev org: install, reinstall, revoke, refresh, multi-org, pagination, 429/5xx, malformed responses.</t>
        </is>
      </c>
      <c r="E17" s="37" t="n">
        <v>13</v>
      </c>
      <c r="F17" s="37" t="inlineStr">
        <is>
          <t>BLOCKED — Senthil</t>
        </is>
      </c>
      <c r="G17" s="37" t="inlineStr">
        <is>
          <t>FC-R001, G02</t>
        </is>
      </c>
      <c r="H17" s="37" t="inlineStr">
        <is>
          <t>—</t>
        </is>
      </c>
    </row>
    <row r="18" ht="26.25" customHeight="1" s="22">
      <c r="A18" s="37" t="inlineStr">
        <is>
          <t>E7-02</t>
        </is>
      </c>
      <c r="B18" s="37" t="inlineStr">
        <is>
          <t>3</t>
        </is>
      </c>
      <c r="C18" s="37" t="inlineStr">
        <is>
          <t>Live billing</t>
        </is>
      </c>
      <c r="D18" s="37" t="inlineStr">
        <is>
          <t>Marketplace purchase, upgrade/downgrade, proration, refund, dunning, entitlement reconciliation.</t>
        </is>
      </c>
      <c r="E18" s="37" t="n">
        <v>13</v>
      </c>
      <c r="F18" s="37" t="inlineStr">
        <is>
          <t>BLOCKED — Senthil</t>
        </is>
      </c>
      <c r="G18" s="37" t="inlineStr">
        <is>
          <t>FC-R011, G06</t>
        </is>
      </c>
      <c r="H18" s="37" t="inlineStr">
        <is>
          <t>—</t>
        </is>
      </c>
    </row>
    <row r="19" ht="26.25" customHeight="1" s="22">
      <c r="A19" s="37" t="inlineStr">
        <is>
          <t>E7-03</t>
        </is>
      </c>
      <c r="B19" s="37" t="inlineStr">
        <is>
          <t>3</t>
        </is>
      </c>
      <c r="C19" s="37" t="inlineStr">
        <is>
          <t>Commercial validation</t>
        </is>
      </c>
      <c r="D19" s="37" t="inlineStr">
        <is>
          <t>20+ interviews, 5 design partners, 3 paid pilots, instrumented activation.</t>
        </is>
      </c>
      <c r="E19" s="37" t="n">
        <v>21</v>
      </c>
      <c r="F19" s="37" t="inlineStr">
        <is>
          <t>BLOCKED — Senthil / D13</t>
        </is>
      </c>
      <c r="G19" s="37" t="inlineStr">
        <is>
          <t>FC-R003, G14</t>
        </is>
      </c>
      <c r="H19" s="37" t="inlineStr">
        <is>
          <t>—</t>
        </is>
      </c>
    </row>
    <row r="20" ht="26.25" customHeight="1" s="22">
      <c r="A20" s="37" t="inlineStr">
        <is>
          <t>E7-04</t>
        </is>
      </c>
      <c r="B20" s="37" t="inlineStr">
        <is>
          <t>3</t>
        </is>
      </c>
      <c r="C20" s="37" t="inlineStr">
        <is>
          <t>External security closure</t>
        </is>
      </c>
      <c r="D20" s="37" t="inlineStr">
        <is>
          <t>Vendor pen test, managed KMS custody and key rotation drill, SAST, signed release provenance.</t>
        </is>
      </c>
      <c r="E20" s="37" t="n">
        <v>13</v>
      </c>
      <c r="F20" s="37" t="inlineStr">
        <is>
          <t>BLOCKED — Senthil</t>
        </is>
      </c>
      <c r="G20" s="37" t="inlineStr">
        <is>
          <t>FC-R006, FC-R015, G05</t>
        </is>
      </c>
      <c r="H20" s="37" t="inlineStr">
        <is>
          <t>—</t>
        </is>
      </c>
    </row>
    <row r="21" ht="23.25" customHeight="1" s="22">
      <c r="A21" s="37" t="inlineStr">
        <is>
          <t>E5b-01</t>
        </is>
      </c>
      <c r="B21" s="37" t="inlineStr">
        <is>
          <t>1</t>
        </is>
      </c>
      <c r="C21" s="37" t="inlineStr">
        <is>
          <t>Fail-closed production boot</t>
        </is>
      </c>
      <c r="D21" s="37" t="inlineStr">
        <is>
          <t>Refuse to start in production without DATABASE_URL, without FLOWCAST_DATA_KEY, with a wrong-length key, or with a key equal to the Xero client secret. .env.example rewritten to provision what production demands.</t>
        </is>
      </c>
      <c r="E21" s="37" t="n">
        <v>8</v>
      </c>
      <c r="F21" s="37" t="inlineStr">
        <is>
          <t>Done</t>
        </is>
      </c>
      <c r="G21" s="37" t="inlineStr">
        <is>
          <t>E5b-01, E5b-02</t>
        </is>
      </c>
      <c r="H21" s="37" t="inlineStr">
        <is>
          <t>tests/environmentReview.test.ts; proved in prove-gates</t>
        </is>
      </c>
    </row>
    <row r="22" ht="15" customHeight="1" s="22">
      <c r="A22" s="37" t="inlineStr">
        <is>
          <t>E5b-02</t>
        </is>
      </c>
      <c r="B22" s="37" t="inlineStr">
        <is>
          <t>1</t>
        </is>
      </c>
      <c r="C22" s="37" t="inlineStr">
        <is>
          <t>Bounded shutdown</t>
        </is>
      </c>
      <c r="D22" s="37" t="inlineStr">
        <is>
          <t>closeIdleConnections, drain raced against a 10s deadline, closeAllConnections on expiry, pool drained on every route.</t>
        </is>
      </c>
      <c r="E22" s="37" t="n">
        <v>5</v>
      </c>
      <c r="F22" s="37" t="inlineStr">
        <is>
          <t>Done</t>
        </is>
      </c>
      <c r="G22" s="37" t="inlineStr">
        <is>
          <t>E5b-03 (L-RK10)</t>
        </is>
      </c>
      <c r="H22" s="37" t="inlineStr">
        <is>
          <t>tests/environmentReview.test.ts</t>
        </is>
      </c>
    </row>
    <row r="23" ht="247.5" customHeight="1" s="22">
      <c r="A23" s="37" t="inlineStr">
        <is>
          <t>E5b-03</t>
        </is>
      </c>
      <c r="B23" s="37" t="inlineStr">
        <is>
          <t>1</t>
        </is>
      </c>
      <c r="C23" s="37" t="inlineStr">
        <is>
          <t>Request timeouts</t>
        </is>
      </c>
      <c r="D23" s="37" t="inlineStr">
        <is>
          <t>Explicit requestTimeout and headersTimeout instead of Node defaults.</t>
        </is>
      </c>
      <c r="E23" s="37" t="n">
        <v>3</v>
      </c>
      <c r="F23" s="37" t="inlineStr">
        <is>
          <t>Done</t>
        </is>
      </c>
      <c r="G23" s="37" t="inlineStr">
        <is>
          <t>E5b-04</t>
        </is>
      </c>
      <c r="H23" s="37" t="inlineStr">
        <is>
          <t>tests/environmentReview.test.ts</t>
        </is>
      </c>
    </row>
    <row r="24" ht="39.55" customHeight="1" s="22">
      <c r="A24" s="37" t="inlineStr">
        <is>
          <t>E5b-04</t>
        </is>
      </c>
      <c r="B24" s="37" t="inlineStr">
        <is>
          <t>1</t>
        </is>
      </c>
      <c r="C24" s="37" t="inlineStr">
        <is>
          <t>Defect-class clearance</t>
        </is>
      </c>
      <c r="D24" s="37" t="inlineStr">
        <is>
          <t>P17 (throw-only default ports) and non-CSPRNG OAuth state checked against FlowCast and recorded as absent, so a reviewer can tell a checked class from an unexamined one.</t>
        </is>
      </c>
      <c r="E24" s="37" t="n">
        <v>2</v>
      </c>
      <c r="F24" s="37" t="inlineStr">
        <is>
          <t>Done</t>
        </is>
      </c>
      <c r="G24" s="37" t="inlineStr">
        <is>
          <t>CLEARED-1, CLEARED-2</t>
        </is>
      </c>
      <c r="H24" s="37" t="inlineStr">
        <is>
          <t>n/a</t>
        </is>
      </c>
    </row>
    <row r="25" ht="15" customHeight="1" s="22">
      <c r="A25" s="38" t="inlineStr">
        <is>
          <t>P1-1</t>
        </is>
      </c>
      <c r="B25" s="38" t="inlineStr">
        <is>
          <t>P1</t>
        </is>
      </c>
      <c r="C25" s="38" t="inlineStr">
        <is>
          <t>Receivables defect (PPX-02)</t>
        </is>
      </c>
      <c r="D25" s="38" t="inlineStr">
        <is>
          <t>Type=="ACCREC" on the invoice query; payableBills() on ACCPAY; per-row type assertion; regression that an ACCPAY row can never become an OpenInvoice/OverdueInvoice.</t>
        </is>
      </c>
      <c r="E25" s="38" t="n">
        <v>8</v>
      </c>
      <c r="F25" s="38" t="inlineStr">
        <is>
          <t>Done-in-code</t>
        </is>
      </c>
      <c r="G25" s="38" t="inlineStr">
        <is>
          <t>PPX-02</t>
        </is>
      </c>
      <c r="H25" s="38" t="inlineStr">
        <is>
          <t>tests/invoiceTypeGate.test.ts — proved by removing the predicate</t>
        </is>
      </c>
    </row>
    <row r="26" ht="23.85" customHeight="1" s="22">
      <c r="A26" s="38" t="inlineStr">
        <is>
          <t>P1-2</t>
        </is>
      </c>
      <c r="B26" s="38" t="inlineStr">
        <is>
          <t>P1</t>
        </is>
      </c>
      <c r="C26" s="38" t="inlineStr">
        <is>
          <t>Forecast data path (PPX-01)</t>
        </is>
      </c>
      <c r="D26" s="38" t="inlineStr">
        <is>
          <t>forecastAssembly.ts: buildForecastInput from /Organisation, /Reports/BankSummary, ACCREC, ACCPAY, /RepeatingInvoices, PAID history; routes /api/forecast, /api/forecast/scenario, /api/forecast/history; daily scheduler tick. Plus E6-F1: boot now builds the accounting client and starts the scheduler.</t>
        </is>
      </c>
      <c r="E26" s="38" t="n">
        <v>21</v>
      </c>
      <c r="F26" s="38" t="inlineStr">
        <is>
          <t>Done-in-code</t>
        </is>
      </c>
      <c r="G26" s="38" t="inlineStr">
        <is>
          <t>PPX-01, E6-F1</t>
        </is>
      </c>
      <c r="H26" s="38" t="inlineStr">
        <is>
          <t>tests/dataPathGate.test.ts — proved by cutting the assembler (first proof BROKEN, rule strengthened)</t>
        </is>
      </c>
    </row>
    <row r="27" ht="15" customHeight="1" s="22">
      <c r="A27" s="38" t="inlineStr">
        <is>
          <t>P1-3</t>
        </is>
      </c>
      <c r="B27" s="38" t="inlineStr">
        <is>
          <t>P1</t>
        </is>
      </c>
      <c r="C27" s="38" t="inlineStr">
        <is>
          <t>Method-level reachability (PPX-01 HOLE-4, PPX-09)</t>
        </is>
      </c>
      <c r="D27" s="38" t="inlineStr">
        <is>
          <t>Gate extended to class methods; file-level exemptions removed (scenarioSliders, ui/*); KNOWN_GAPS expire; stale rateLimiter gap removed. First-run yield 56 → E6-F3..F6.</t>
        </is>
      </c>
      <c r="E27" s="38" t="n">
        <v>13</v>
      </c>
      <c r="F27" s="38" t="inlineStr">
        <is>
          <t>Done</t>
        </is>
      </c>
      <c r="G27" s="38" t="inlineStr">
        <is>
          <t>PPX-09, PPX-07 (tracked with expiry)</t>
        </is>
      </c>
      <c r="H27" s="38" t="inlineStr">
        <is>
          <t>tests/reachabilityGate.test.ts — proved by leaving openInvoices uncalled</t>
        </is>
      </c>
    </row>
    <row r="28" ht="247.75" customHeight="1" s="22">
      <c r="A28" s="38" t="inlineStr">
        <is>
          <t>P1-4</t>
        </is>
      </c>
      <c r="B28" s="38" t="inlineStr">
        <is>
          <t>P1</t>
        </is>
      </c>
      <c r="C28" s="38" t="inlineStr">
        <is>
          <t>Multi-currency (PPX-06)</t>
        </is>
      </c>
      <c r="D28" s="38" t="inlineStr">
        <is>
          <t>toBaseCurrency converts via CurrencyRate or refuses with reason; provenance on every record; response labels currency; foreign repeating templates refused.</t>
        </is>
      </c>
      <c r="E28" s="38" t="n">
        <v>13</v>
      </c>
      <c r="F28" s="38" t="inlineStr">
        <is>
          <t>Done-in-code</t>
        </is>
      </c>
      <c r="G28" s="38" t="inlineStr">
        <is>
          <t>PPX-06</t>
        </is>
      </c>
      <c r="H28" s="38" t="inlineStr">
        <is>
          <t>tests/currencyGate.test.ts — proved by summing AmountDue directly; three-currency regression</t>
        </is>
      </c>
    </row>
    <row r="29">
      <c r="A29" s="38" t="inlineStr">
        <is>
          <t>P1-5</t>
        </is>
      </c>
      <c r="B29" s="38" t="inlineStr">
        <is>
          <t>P1</t>
        </is>
      </c>
      <c r="C29" s="38" t="inlineStr">
        <is>
          <t>Platform-limit truth (PPX-04, PPX-05)</t>
        </is>
      </c>
      <c r="D29" s="38" t="inlineStr">
        <is>
          <t>Daily default 1,000 (Starter); XERO_API_TIER config; Retry-After honoured; remaining-call headers reconcile the budget; 5-concurrent semaphore; app-wide 10,000/min.</t>
        </is>
      </c>
      <c r="E29" s="38" t="n">
        <v>13</v>
      </c>
      <c r="F29" s="38" t="inlineStr">
        <is>
          <t>Done-in-code</t>
        </is>
      </c>
      <c r="G29" s="38" t="inlineStr">
        <is>
          <t>PPX-04, PPX-05</t>
        </is>
      </c>
      <c r="H29" s="38" t="inlineStr">
        <is>
          <t>tests/platformLimitsGate.test.ts — proved by restoring 5000</t>
        </is>
      </c>
    </row>
    <row r="30">
      <c r="A30" s="38" t="inlineStr">
        <is>
          <t>P1-6</t>
        </is>
      </c>
      <c r="B30" s="38" t="inlineStr">
        <is>
          <t>P1</t>
        </is>
      </c>
      <c r="C30" s="38" t="inlineStr">
        <is>
          <t>Platform-drift gate (PPX-03)</t>
        </is>
      </c>
      <c r="D30" s="38" t="inlineStr">
        <is>
          <t>docs/platform-assumptions.json (PA-01..PA-11) with source, verifiedOn, staleness budget, status; CI fails on age-out; PA-11 (XASS) CONTRADICTED and owned by PPX-D4. Billing rail NOT changed (Senthil).</t>
        </is>
      </c>
      <c r="E30" s="38" t="n">
        <v>13</v>
      </c>
      <c r="F30" s="38" t="inlineStr">
        <is>
          <t>Done-in-code (gate); migration → P4-1</t>
        </is>
      </c>
      <c r="G30" s="38" t="inlineStr">
        <is>
          <t>PPX-03 (gate half)</t>
        </is>
      </c>
      <c r="H30" s="38" t="inlineStr">
        <is>
          <t>tests/platformDriftGate.test.ts — proved by back-dating PA-11</t>
        </is>
      </c>
    </row>
    <row r="31">
      <c r="A31" s="38" t="inlineStr">
        <is>
          <t>P1-7</t>
        </is>
      </c>
      <c r="B31" s="38" t="inlineStr">
        <is>
          <t>P1</t>
        </is>
      </c>
      <c r="C31" s="38" t="inlineStr">
        <is>
          <t>Forecast realism (PPX-08)</t>
        </is>
      </c>
      <c r="D31" s="38" t="inlineStr">
        <is>
          <t>Per-contact lateness calibration from paid history; tranche spreading; aged-debt decay; forecast_snapshots ledger (migration 010) + accuracyReport; priors labelled.</t>
        </is>
      </c>
      <c r="E31" s="38" t="n">
        <v>15</v>
      </c>
      <c r="F31" s="38" t="inlineStr">
        <is>
          <t>Done-in-code</t>
        </is>
      </c>
      <c r="G31" s="38" t="inlineStr">
        <is>
          <t>PPX-08; overlaps E6-01 (ledger half)</t>
        </is>
      </c>
      <c r="H31" s="38" t="inlineStr">
        <is>
          <t>tests/forecastRealismGate.test.ts — proved by restoring payProbability: 1</t>
        </is>
      </c>
    </row>
    <row r="32">
      <c r="A32" s="38" t="inlineStr">
        <is>
          <t>P1-8</t>
        </is>
      </c>
      <c r="B32" s="38" t="inlineStr">
        <is>
          <t>P1</t>
        </is>
      </c>
      <c r="C32" s="38" t="inlineStr">
        <is>
          <t>Boot composition completeness (E6-F3..F6)</t>
        </is>
      </c>
      <c r="D32" s="38" t="inlineStr">
        <is>
          <t>Drive the durable store from the OAuth callback and refresh (saveTenant/saveTokens/getTokens), hydrate tenant state at boot, persist poll state, start the webhook worker and delete drained rows, route the SUBSCRIPTION/uninstall webhook to handleUninstallWebhook; retire canRequest in a contract release.</t>
        </is>
      </c>
      <c r="E32" s="38" t="n">
        <v>21</v>
      </c>
      <c r="F32" s="38" t="inlineStr">
        <is>
          <t>Not started</t>
        </is>
      </c>
      <c r="G32" s="38" t="inlineStr">
        <is>
          <t>E6-F3, E6-F4, E6-F5, E6-F6 (R-F14..R-F17)</t>
        </is>
      </c>
      <c r="H32" s="38" t="inlineStr">
        <is>
          <t>KNOWN_GAPS expire 2026-10-31 — the build goes red until this is done</t>
        </is>
      </c>
    </row>
    <row r="33">
      <c r="A33" s="38" t="inlineStr">
        <is>
          <t>P2-1</t>
        </is>
      </c>
      <c r="B33" s="38" t="inlineStr">
        <is>
          <t>P2</t>
        </is>
      </c>
      <c r="C33" s="38" t="inlineStr">
        <is>
          <t>Shortfall attribution</t>
        </is>
      </c>
      <c r="D33" s="38" t="inlineStr">
        <is>
          <t>For each red/amber week, decompose the gap into named contributors ranked by cash impact and confidence; plain-language "why this week is red".</t>
        </is>
      </c>
      <c r="E33" s="38" t="n">
        <v>21</v>
      </c>
      <c r="F33" s="38" t="inlineStr">
        <is>
          <t>OPEN — PPX-D2</t>
        </is>
      </c>
      <c r="G33" s="38" t="inlineStr">
        <is>
          <t>PPX §4 (closed loop); supersedes part of E6-01</t>
        </is>
      </c>
      <c r="H33" s="38" t="inlineStr">
        <is>
          <t>Exit gate: every red week in the 500-client drill produces a reconciling attribution</t>
        </is>
      </c>
    </row>
    <row r="34">
      <c r="A34" s="38" t="inlineStr">
        <is>
          <t>P2-2</t>
        </is>
      </c>
      <c r="B34" s="38" t="inlineStr">
        <is>
          <t>P2</t>
        </is>
      </c>
      <c r="C34" s="38" t="inlineStr">
        <is>
          <t>Collections copilot</t>
        </is>
      </c>
      <c r="D34" s="38" t="inlineStr">
        <is>
          <t>Ranked debtor worklist by impact on the specific shortfall week; owner assignment; promise-to-pay and dispute states; escalation ladder; write-back to Xero.</t>
        </is>
      </c>
      <c r="E34" s="38" t="n">
        <v>21</v>
      </c>
      <c r="F34" s="38" t="inlineStr">
        <is>
          <t>OPEN — PPX-D2</t>
        </is>
      </c>
      <c r="G34" s="38" t="inlineStr">
        <is>
          <t>FC-R013, FC-R004; supersedes E6-02</t>
        </is>
      </c>
      <c r="H34" s="38" t="inlineStr">
        <is>
          <t>State-machine exhaustiveness; no chase without an owner and a linked week</t>
        </is>
      </c>
    </row>
    <row r="35">
      <c r="A35" s="38" t="inlineStr">
        <is>
          <t>P2-3</t>
        </is>
      </c>
      <c r="B35" s="38" t="inlineStr">
        <is>
          <t>P2</t>
        </is>
      </c>
      <c r="C35" s="38" t="inlineStr">
        <is>
          <t>Recovered-cash attribution</t>
        </is>
      </c>
      <c r="D35" s="38" t="inlineStr">
        <is>
          <t>Match /Payments against nudges and promises; recovered vs counterfactual; per-week and per-client recovery reporting — the number the price is justified by.</t>
        </is>
      </c>
      <c r="E35" s="38" t="n">
        <v>21</v>
      </c>
      <c r="F35" s="38" t="inlineStr">
        <is>
          <t>OPEN — PPX-D2</t>
        </is>
      </c>
      <c r="G35" s="38" t="inlineStr">
        <is>
          <t>PPX §4</t>
        </is>
      </c>
      <c r="H35" s="38" t="inlineStr">
        <is>
          <t>Reconciles to the penny against a seeded 12-month ledger incl. partials, credit notes, overpayments</t>
        </is>
      </c>
    </row>
    <row r="36">
      <c r="A36" s="38" t="inlineStr">
        <is>
          <t>P2-4</t>
        </is>
      </c>
      <c r="B36" s="38" t="inlineStr">
        <is>
          <t>P2</t>
        </is>
      </c>
      <c r="C36" s="38" t="inlineStr">
        <is>
          <t>Practice OS depth</t>
        </is>
      </c>
      <c r="D36" s="38" t="inlineStr">
        <is>
          <t>Portfolio heatmap over the 500-client dataset; bulk triage; delegation; client notes; white-label export; advisory workflow states.</t>
        </is>
      </c>
      <c r="E36" s="38" t="n">
        <v>21</v>
      </c>
      <c r="F36" s="38" t="inlineStr">
        <is>
          <t>OPEN — PPX-D2</t>
        </is>
      </c>
      <c r="G36" s="38" t="inlineStr">
        <is>
          <t>FC-R014; supersedes E6-03</t>
        </is>
      </c>
      <c r="H36" s="38" t="inlineStr">
        <is>
          <t>500-client triage at p95 budget; reds-first assertion; bulk-action idempotency</t>
        </is>
      </c>
    </row>
    <row r="37">
      <c r="A37" s="38" t="inlineStr">
        <is>
          <t>P3-1</t>
        </is>
      </c>
      <c r="B37" s="38" t="inlineStr">
        <is>
          <t>P3</t>
        </is>
      </c>
      <c r="C37" s="38" t="inlineStr">
        <is>
          <t>Front-end application, part 1 (PPX-07)</t>
        </is>
      </c>
      <c r="D37" s="38" t="inlineStr">
        <is>
          <t>Real app shell: bundler, routing, session, layout, design tokens, data fetching, loading/error/empty states; forecast + scenario + debtor screens from live assembled data.</t>
        </is>
      </c>
      <c r="E37" s="38" t="n">
        <v>21</v>
      </c>
      <c r="F37" s="38" t="inlineStr">
        <is>
          <t>Not started</t>
        </is>
      </c>
      <c r="G37" s="38" t="inlineStr">
        <is>
          <t>PPX-07 (R-F12 gaps expire 2026-12-31)</t>
        </is>
      </c>
      <c r="H37" s="38" t="inlineStr">
        <is>
          <t>dataPathGate extended to the UI; axe clean</t>
        </is>
      </c>
    </row>
    <row r="38">
      <c r="A38" s="38" t="inlineStr">
        <is>
          <t>P3-2</t>
        </is>
      </c>
      <c r="B38" s="38" t="inlineStr">
        <is>
          <t>P3</t>
        </is>
      </c>
      <c r="C38" s="38" t="inlineStr">
        <is>
          <t>Front-end application, part 2</t>
        </is>
      </c>
      <c r="D38" s="38" t="inlineStr">
        <is>
          <t>Onboarding, connect flow, settings, billing, notifications, accountant portal, WCAG AA, responsive, first-run states, screenshot/demo-ready polish.</t>
        </is>
      </c>
      <c r="E38" s="38" t="n">
        <v>21</v>
      </c>
      <c r="F38" s="38" t="inlineStr">
        <is>
          <t>Not started</t>
        </is>
      </c>
      <c r="G38" s="38" t="inlineStr">
        <is>
          <t>PPX-07; handover items 10/11</t>
        </is>
      </c>
      <c r="H38" s="38" t="inlineStr">
        <is>
          <t>Full-app accessibility suite + scripted screenshot run producing the listing assets</t>
        </is>
      </c>
    </row>
    <row r="39">
      <c r="A39" s="38" t="inlineStr">
        <is>
          <t>P3-3</t>
        </is>
      </c>
      <c r="B39" s="38" t="inlineStr">
        <is>
          <t>P3</t>
        </is>
      </c>
      <c r="C39" s="38" t="inlineStr">
        <is>
          <t>Enterprise tenancy and admin</t>
        </is>
      </c>
      <c r="D39" s="38" t="inlineStr">
        <is>
          <t>Org/user lifecycle, SSO/OIDC abstraction (mock IdP), fine-grained RBAC, delegation, approval-gated impersonation, hash-chained audit log with export.</t>
        </is>
      </c>
      <c r="E39" s="38" t="n">
        <v>21</v>
      </c>
      <c r="F39" s="38" t="inlineStr">
        <is>
          <t>Not started</t>
        </is>
      </c>
      <c r="G39" s="38" t="inlineStr">
        <is>
          <t>FC-R009, G10; supersedes E6-04</t>
        </is>
      </c>
      <c r="H39" s="38" t="inlineStr">
        <is>
          <t>Audit chain verification; impersonation impossible without recorded approval; RBAC matrix exhaustiveness</t>
        </is>
      </c>
    </row>
    <row r="40">
      <c r="A40" s="38" t="inlineStr">
        <is>
          <t>P3-4</t>
        </is>
      </c>
      <c r="B40" s="38" t="inlineStr">
        <is>
          <t>P3</t>
        </is>
      </c>
      <c r="C40" s="38" t="inlineStr">
        <is>
          <t>Observability and SLOs</t>
        </is>
      </c>
      <c r="D40" s="38" t="inlineStr">
        <is>
          <t>OpenTelemetry traces/metrics/logs with tenant + trace correlation; SLOs with error budgets; alert rules as code; alert → runbook links.</t>
        </is>
      </c>
      <c r="E40" s="38" t="n">
        <v>13</v>
      </c>
      <c r="F40" s="38" t="inlineStr">
        <is>
          <t>Not started</t>
        </is>
      </c>
      <c r="G40" s="38" t="inlineStr">
        <is>
          <t>PPX §5 (observability 4/10)</t>
        </is>
      </c>
      <c r="H40" s="38" t="inlineStr">
        <is>
          <t>observabilityGate: every route, job and egress emits a span</t>
        </is>
      </c>
    </row>
    <row r="41">
      <c r="A41" s="38" t="inlineStr">
        <is>
          <t>P4-1</t>
        </is>
      </c>
      <c r="B41" s="38" t="inlineStr">
        <is>
          <t>P4</t>
        </is>
      </c>
      <c r="C41" s="38" t="inlineStr">
        <is>
          <t>Rebuild the financial model + Stripe-only billing (PPX-03, PPX-10)</t>
        </is>
      </c>
      <c r="D41" s="38" t="inlineStr">
        <is>
          <t>Stripe-only revenue with correct Xero referral mechanics (15% of agreed ARPU, per user, 65-day qualification, 30-day trial, arrears on the 11th) + connections/API-usage tier cost; price tiers benchmarked £45–£199; CAC/LTV with the accountant channel priced in; kill criteria. Delete the xero_marketplace rail ONLY when Senthil says so (PPX-D4).</t>
        </is>
      </c>
      <c r="E41" s="38" t="n">
        <v>13</v>
      </c>
      <c r="F41" s="38" t="inlineStr">
        <is>
          <t>OPEN — PPX-D3 / PPX-D4</t>
        </is>
      </c>
      <c r="G41" s="38" t="inlineStr">
        <is>
          <t>PPX-03 (migration half), PPX-10</t>
        </is>
      </c>
      <c r="H41" s="38" t="inlineStr">
        <is>
          <t>Financial_Model untouched this sprint by instruction</t>
        </is>
      </c>
    </row>
    <row r="42">
      <c r="A42" s="38" t="inlineStr">
        <is>
          <t>P4-2</t>
        </is>
      </c>
      <c r="B42" s="38" t="inlineStr">
        <is>
          <t>P4</t>
        </is>
      </c>
      <c r="C42" s="38" t="inlineStr">
        <is>
          <t>Positioning and listing</t>
        </is>
      </c>
      <c r="D42" s="38" t="inlineStr">
        <is>
          <t>Listing copy around recovered cash; comparison pages vs native Xero, Float, Chaser; Fluidly precedent + Syft acquisition in the risk register (done: R-F18/R-F19); pricing page rebuilt.</t>
        </is>
      </c>
      <c r="E42" s="38" t="n">
        <v>11</v>
      </c>
      <c r="F42" s="38" t="inlineStr">
        <is>
          <t>OPEN — DEC-F16 / PPX-D3</t>
        </is>
      </c>
      <c r="G42" s="38" t="inlineStr">
        <is>
          <t>FC-R004, DEC-F16</t>
        </is>
      </c>
      <c r="H42" s="38" t="inlineStr">
        <is>
          <t>—</t>
        </is>
      </c>
    </row>
    <row r="43">
      <c r="A43" s="39" t="n"/>
      <c r="B43" s="39" t="n"/>
      <c r="C43" s="39" t="n"/>
      <c r="D43" s="39" t="n"/>
      <c r="E43" s="39" t="n"/>
      <c r="F43" s="39" t="n"/>
      <c r="G43" s="39" t="n"/>
      <c r="H43" s="39" t="n"/>
    </row>
    <row r="44">
      <c r="A44" s="36" t="inlineStr">
        <is>
          <t>TOTALS</t>
        </is>
      </c>
      <c r="B44" s="39" t="n"/>
      <c r="C44" s="39" t="n"/>
      <c r="D44" s="36" t="inlineStr">
        <is>
          <t>Delivered (Wave 1 + E5b + P1) / total enhancement pool</t>
        </is>
      </c>
      <c r="E44" s="36">
        <f>SUMIFS(E5:E42,B5:B42,"1")+SUMIFS(E5:E42,B5:B42,"P1",F5:F42,"Done*")&amp;" of "&amp;SUM(E5:E42)</f>
        <v/>
      </c>
      <c r="F44" s="39" t="n"/>
      <c r="G44" s="39" t="n"/>
      <c r="H44" s="39" t="n"/>
    </row>
    <row r="45">
      <c r="A45" s="39" t="n"/>
      <c r="B45" s="39" t="n"/>
      <c r="C45" s="39" t="n"/>
      <c r="D45" s="39" t="n"/>
      <c r="E45" s="39" t="n"/>
      <c r="F45" s="39" t="n"/>
      <c r="G45" s="39" t="n"/>
      <c r="H45" s="39" t="n"/>
    </row>
    <row r="46">
      <c r="A46" s="40" t="inlineStr">
        <is>
          <t>Wave 1 is complete. Wave 2 cannot start until DEC-F16 (the positioning wedge) is decided — building depth first would be building the wrong depth. Wave 3 cannot start at all without Senthil. — v036 (20 Sep): Wave P1 (P1-1..P1-7) delivered per the Perplexity plan; P1-8 open with a 31 Oct 2026 gate expiry; P2 needs PPX-D2; P3 not started; P4 needs PPX-D3/D4/DEC-F16. The earlier E6-01..E6-04 rows are KEPT and cross-referenced (D-F8) — P1-7 delivers the ledger half of E6-01; P2-2/P2-4/P3-3 supersede E6-02/E6-03/E6-04. Reviewer's honest remaining distance: ~425 points against the 399-point baseline.</t>
        </is>
      </c>
      <c r="B46" s="39" t="n"/>
      <c r="C46" s="39" t="n"/>
      <c r="D46" s="39" t="n"/>
      <c r="E46" s="39" t="n"/>
      <c r="F46" s="39" t="n"/>
      <c r="G46" s="39" t="n"/>
      <c r="H46" s="3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8" customWidth="1" style="21" min="2" max="2"/>
    <col width="84" customWidth="1" style="21" min="3" max="3"/>
    <col width="8" customWidth="1" style="21" min="4" max="4"/>
    <col width="9" customWidth="1" style="21" min="5" max="5"/>
    <col width="8" customWidth="1" style="21" min="6" max="6"/>
    <col width="12" customWidth="1" style="21" min="7" max="7"/>
    <col width="70" customWidth="1" style="21" min="8" max="8"/>
  </cols>
  <sheetData>
    <row r="1" ht="17.25" customHeight="1" s="22">
      <c r="A1" s="23" t="inlineStr">
        <is>
          <t>FULL BACKLOG</t>
        </is>
      </c>
      <c r="H1" s="33" t="inlineStr">
        <is>
          <t>As-built verification (13 Sep 12:03)</t>
        </is>
      </c>
    </row>
    <row r="3" ht="15" customHeight="1" s="22">
      <c r="A3" s="24" t="inlineStr">
        <is>
          <t>ID</t>
        </is>
      </c>
      <c r="B3" s="24" t="inlineStr">
        <is>
          <t>Epic</t>
        </is>
      </c>
      <c r="C3" s="24" t="inlineStr">
        <is>
          <t>Story</t>
        </is>
      </c>
      <c r="D3" s="24" t="inlineStr">
        <is>
          <t>Points</t>
        </is>
      </c>
      <c r="E3" s="24" t="inlineStr">
        <is>
          <t>Priority</t>
        </is>
      </c>
      <c r="F3" s="24" t="inlineStr">
        <is>
          <t>Sprint</t>
        </is>
      </c>
      <c r="G3" s="24" t="inlineStr">
        <is>
          <t>Status</t>
        </is>
      </c>
    </row>
    <row r="4" ht="25.5" customHeight="1" s="22">
      <c r="A4" s="25" t="inlineStr">
        <is>
          <t>ST-001</t>
        </is>
      </c>
      <c r="B4" s="25" t="inlineStr">
        <is>
          <t>F1</t>
        </is>
      </c>
      <c r="C4" s="25" t="inlineStr">
        <is>
          <t>As a SMB owner, I can set up 13-week forecast engine with sensible defaults in one screen</t>
        </is>
      </c>
      <c r="D4" s="25" t="n">
        <v>5</v>
      </c>
      <c r="E4" s="25" t="inlineStr">
        <is>
          <t>P0</t>
        </is>
      </c>
      <c r="F4" s="25" t="inlineStr">
        <is>
          <t>S2</t>
        </is>
      </c>
      <c r="G4" s="25" t="inlineStr">
        <is>
          <t>Done</t>
        </is>
      </c>
    </row>
    <row r="5" ht="25.5" customHeight="1" s="22">
      <c r="A5" s="25" t="inlineStr">
        <is>
          <t>ST-002</t>
        </is>
      </c>
      <c r="B5" s="25" t="inlineStr">
        <is>
          <t>F1</t>
        </is>
      </c>
      <c r="C5" s="25" t="inlineStr">
        <is>
          <t>As a SMB owner, the 13-week forecast engine happy path completes without documentation</t>
        </is>
      </c>
      <c r="D5" s="25" t="n">
        <v>8</v>
      </c>
      <c r="E5" s="25" t="inlineStr">
        <is>
          <t>P0</t>
        </is>
      </c>
      <c r="F5" s="25" t="inlineStr">
        <is>
          <t>S2</t>
        </is>
      </c>
      <c r="G5" s="25" t="inlineStr">
        <is>
          <t>Done</t>
        </is>
      </c>
    </row>
    <row r="6" ht="25.5" customHeight="1" s="22">
      <c r="A6" s="25" t="inlineStr">
        <is>
          <t>ST-003</t>
        </is>
      </c>
      <c r="B6" s="25" t="inlineStr">
        <is>
          <t>F1</t>
        </is>
      </c>
      <c r="C6" s="25" t="inlineStr">
        <is>
          <t>As a Accountant partner, I can customise 13-week forecast engine rules/conditions for my workflow</t>
        </is>
      </c>
      <c r="D6" s="25" t="n">
        <v>5</v>
      </c>
      <c r="E6" s="25" t="inlineStr">
        <is>
          <t>P1</t>
        </is>
      </c>
      <c r="F6" s="25" t="inlineStr">
        <is>
          <t>S2</t>
        </is>
      </c>
      <c r="G6" s="25" t="inlineStr">
        <is>
          <t>Done</t>
        </is>
      </c>
    </row>
    <row r="7" ht="25.5" customHeight="1" s="22">
      <c r="A7" s="25" t="inlineStr">
        <is>
          <t>ST-004</t>
        </is>
      </c>
      <c r="B7" s="25" t="inlineStr">
        <is>
          <t>F1</t>
        </is>
      </c>
      <c r="C7" s="25" t="inlineStr">
        <is>
          <t>As a user, 13-week forecast engine shows clear errors and retry paths on platform API failures</t>
        </is>
      </c>
      <c r="D7" s="25" t="n">
        <v>3</v>
      </c>
      <c r="E7" s="25" t="inlineStr">
        <is>
          <t>P0</t>
        </is>
      </c>
      <c r="F7" s="25" t="inlineStr">
        <is>
          <t>S2</t>
        </is>
      </c>
      <c r="G7" s="25" t="inlineStr">
        <is>
          <t>Done</t>
        </is>
      </c>
    </row>
    <row r="8" ht="25.5" customHeight="1" s="22">
      <c r="A8" s="25" t="inlineStr">
        <is>
          <t>ST-005</t>
        </is>
      </c>
      <c r="B8" s="25" t="inlineStr">
        <is>
          <t>F1</t>
        </is>
      </c>
      <c r="C8" s="25" t="inlineStr">
        <is>
          <t>As a Bookkeeper, 13-week forecast engine works on the web app with Xero deep links + accountant portal surface end-to-end</t>
        </is>
      </c>
      <c r="D8" s="25" t="n">
        <v>5</v>
      </c>
      <c r="E8" s="25" t="inlineStr">
        <is>
          <t>P0</t>
        </is>
      </c>
      <c r="F8" s="25" t="inlineStr">
        <is>
          <t>S3</t>
        </is>
      </c>
      <c r="G8" s="25" t="inlineStr">
        <is>
          <t>Done</t>
        </is>
      </c>
    </row>
    <row r="9" ht="25.5" customHeight="1" s="22">
      <c r="A9" s="25" t="inlineStr">
        <is>
          <t>ST-006</t>
        </is>
      </c>
      <c r="B9" s="25" t="inlineStr">
        <is>
          <t>F1</t>
        </is>
      </c>
      <c r="C9" s="25" t="inlineStr">
        <is>
          <t>As a Accountant partner, I can see 13-week forecast engine performance metrics and trends</t>
        </is>
      </c>
      <c r="D9" s="25" t="n">
        <v>3</v>
      </c>
      <c r="E9" s="25" t="inlineStr">
        <is>
          <t>P1</t>
        </is>
      </c>
      <c r="F9" s="25" t="inlineStr">
        <is>
          <t>S3</t>
        </is>
      </c>
      <c r="G9" s="25" t="inlineStr">
        <is>
          <t>Done</t>
        </is>
      </c>
    </row>
    <row r="10" ht="25.5" customHeight="1" s="22">
      <c r="A10" s="25" t="inlineStr">
        <is>
          <t>ST-007</t>
        </is>
      </c>
      <c r="B10" s="25" t="inlineStr">
        <is>
          <t>F1</t>
        </is>
      </c>
      <c r="C10" s="25" t="inlineStr">
        <is>
          <t>As a user, 13-week forecast engine respects role permissions and audit logging</t>
        </is>
      </c>
      <c r="D10" s="25" t="n">
        <v>3</v>
      </c>
      <c r="E10" s="25" t="inlineStr">
        <is>
          <t>P1</t>
        </is>
      </c>
      <c r="F10" s="25" t="inlineStr">
        <is>
          <t>S3</t>
        </is>
      </c>
      <c r="G10" s="25" t="inlineStr">
        <is>
          <t>Done</t>
        </is>
      </c>
    </row>
    <row r="11" ht="25.5" customHeight="1" s="22">
      <c r="A11" s="25" t="inlineStr">
        <is>
          <t>ST-008</t>
        </is>
      </c>
      <c r="B11" s="25" t="inlineStr">
        <is>
          <t>F1</t>
        </is>
      </c>
      <c r="C11" s="25" t="inlineStr">
        <is>
          <t>As a SMB owner, I can pause/disable 13-week forecast engine without data loss</t>
        </is>
      </c>
      <c r="D11" s="25" t="n">
        <v>2</v>
      </c>
      <c r="E11" s="25" t="inlineStr">
        <is>
          <t>P2</t>
        </is>
      </c>
      <c r="F11" s="25" t="inlineStr">
        <is>
          <t>S3</t>
        </is>
      </c>
      <c r="G11" s="25" t="inlineStr">
        <is>
          <t>Done</t>
        </is>
      </c>
    </row>
    <row r="12" ht="25.5" customHeight="1" s="22">
      <c r="A12" s="25" t="inlineStr">
        <is>
          <t>ST-009</t>
        </is>
      </c>
      <c r="B12" s="25" t="inlineStr">
        <is>
          <t>F1</t>
        </is>
      </c>
      <c r="C12" s="25" t="inlineStr">
        <is>
          <t>As a Accountant partner, I can import/migrate existing data into 13-week forecast engine (CSV + competitor importer)</t>
        </is>
      </c>
      <c r="D12" s="25" t="n">
        <v>5</v>
      </c>
      <c r="E12" s="25" t="inlineStr">
        <is>
          <t>P1</t>
        </is>
      </c>
      <c r="F12" s="25" t="inlineStr">
        <is>
          <t>S3</t>
        </is>
      </c>
      <c r="G12" s="25" t="inlineStr">
        <is>
          <t>Done</t>
        </is>
      </c>
    </row>
    <row r="13" ht="25.5" customHeight="1" s="22">
      <c r="A13" s="25" t="inlineStr">
        <is>
          <t>ST-010</t>
        </is>
      </c>
      <c r="B13" s="25" t="inlineStr">
        <is>
          <t>F1</t>
        </is>
      </c>
      <c r="C13" s="25" t="inlineStr">
        <is>
          <t>As a user, I get notifications (in-app + email) for key 13-week forecast engine events with per-type mute</t>
        </is>
      </c>
      <c r="D13" s="25" t="n">
        <v>3</v>
      </c>
      <c r="E13" s="25" t="inlineStr">
        <is>
          <t>P2</t>
        </is>
      </c>
      <c r="F13" s="25" t="inlineStr">
        <is>
          <t>S3</t>
        </is>
      </c>
      <c r="G13" s="25" t="inlineStr">
        <is>
          <t>Done</t>
        </is>
      </c>
    </row>
    <row r="14" ht="25.5" customHeight="1" s="22">
      <c r="A14" s="25" t="inlineStr">
        <is>
          <t>ST-011</t>
        </is>
      </c>
      <c r="B14" s="25" t="inlineStr">
        <is>
          <t>F2</t>
        </is>
      </c>
      <c r="C14" s="25" t="inlineStr">
        <is>
          <t>As a SMB owner, I can set up Scenario sliders with sensible defaults in one screen</t>
        </is>
      </c>
      <c r="D14" s="25" t="n">
        <v>5</v>
      </c>
      <c r="E14" s="25" t="inlineStr">
        <is>
          <t>P0</t>
        </is>
      </c>
      <c r="F14" s="25" t="inlineStr">
        <is>
          <t>S3</t>
        </is>
      </c>
      <c r="G14" s="25" t="inlineStr">
        <is>
          <t>Done</t>
        </is>
      </c>
    </row>
    <row r="15" ht="25.5" customHeight="1" s="22">
      <c r="A15" s="25" t="inlineStr">
        <is>
          <t>ST-012</t>
        </is>
      </c>
      <c r="B15" s="25" t="inlineStr">
        <is>
          <t>F2</t>
        </is>
      </c>
      <c r="C15" s="25" t="inlineStr">
        <is>
          <t>As a SMB owner, the Scenario sliders happy path completes without documentation</t>
        </is>
      </c>
      <c r="D15" s="25" t="n">
        <v>8</v>
      </c>
      <c r="E15" s="25" t="inlineStr">
        <is>
          <t>P0</t>
        </is>
      </c>
      <c r="F15" s="25" t="inlineStr">
        <is>
          <t>S3</t>
        </is>
      </c>
      <c r="G15" s="25" t="inlineStr">
        <is>
          <t>Done</t>
        </is>
      </c>
    </row>
    <row r="16" ht="25.5" customHeight="1" s="22">
      <c r="A16" s="25" t="inlineStr">
        <is>
          <t>ST-013</t>
        </is>
      </c>
      <c r="B16" s="25" t="inlineStr">
        <is>
          <t>F2</t>
        </is>
      </c>
      <c r="C16" s="25" t="inlineStr">
        <is>
          <t>As a Accountant partner, I can customise Scenario sliders rules/conditions for my workflow</t>
        </is>
      </c>
      <c r="D16" s="25" t="n">
        <v>5</v>
      </c>
      <c r="E16" s="25" t="inlineStr">
        <is>
          <t>P1</t>
        </is>
      </c>
      <c r="F16" s="25" t="inlineStr">
        <is>
          <t>S3</t>
        </is>
      </c>
      <c r="G16" s="25" t="inlineStr">
        <is>
          <t>Done</t>
        </is>
      </c>
    </row>
    <row r="17" ht="25.5" customHeight="1" s="22">
      <c r="A17" s="25" t="inlineStr">
        <is>
          <t>ST-014</t>
        </is>
      </c>
      <c r="B17" s="25" t="inlineStr">
        <is>
          <t>F2</t>
        </is>
      </c>
      <c r="C17" s="25" t="inlineStr">
        <is>
          <t>As a user, Scenario sliders shows clear errors and retry paths on platform API failures</t>
        </is>
      </c>
      <c r="D17" s="25" t="n">
        <v>3</v>
      </c>
      <c r="E17" s="25" t="inlineStr">
        <is>
          <t>P0</t>
        </is>
      </c>
      <c r="F17" s="25" t="inlineStr">
        <is>
          <t>S3</t>
        </is>
      </c>
      <c r="G17" s="25" t="inlineStr">
        <is>
          <t>Done</t>
        </is>
      </c>
    </row>
    <row r="18" ht="25.5" customHeight="1" s="22">
      <c r="A18" s="25" t="inlineStr">
        <is>
          <t>ST-015</t>
        </is>
      </c>
      <c r="B18" s="25" t="inlineStr">
        <is>
          <t>F2</t>
        </is>
      </c>
      <c r="C18" s="25" t="inlineStr">
        <is>
          <t>As a Bookkeeper, Scenario sliders works on the web app with Xero deep links + accountant portal surface end-to-end</t>
        </is>
      </c>
      <c r="D18" s="25" t="n">
        <v>5</v>
      </c>
      <c r="E18" s="25" t="inlineStr">
        <is>
          <t>P0</t>
        </is>
      </c>
      <c r="F18" s="25" t="inlineStr">
        <is>
          <t>S4</t>
        </is>
      </c>
      <c r="G18" s="25" t="inlineStr">
        <is>
          <t>Done</t>
        </is>
      </c>
    </row>
    <row r="19" ht="25.5" customHeight="1" s="22">
      <c r="A19" s="25" t="inlineStr">
        <is>
          <t>ST-016</t>
        </is>
      </c>
      <c r="B19" s="25" t="inlineStr">
        <is>
          <t>F2</t>
        </is>
      </c>
      <c r="C19" s="25" t="inlineStr">
        <is>
          <t>As a Accountant partner, I can see Scenario sliders performance metrics and trends</t>
        </is>
      </c>
      <c r="D19" s="25" t="n">
        <v>3</v>
      </c>
      <c r="E19" s="25" t="inlineStr">
        <is>
          <t>P1</t>
        </is>
      </c>
      <c r="F19" s="25" t="inlineStr">
        <is>
          <t>S4</t>
        </is>
      </c>
      <c r="G19" s="25" t="inlineStr">
        <is>
          <t>Done</t>
        </is>
      </c>
    </row>
    <row r="20" ht="25.5" customHeight="1" s="22">
      <c r="A20" s="25" t="inlineStr">
        <is>
          <t>ST-017</t>
        </is>
      </c>
      <c r="B20" s="25" t="inlineStr">
        <is>
          <t>F2</t>
        </is>
      </c>
      <c r="C20" s="25" t="inlineStr">
        <is>
          <t>As a user, Scenario sliders respects role permissions and audit logging</t>
        </is>
      </c>
      <c r="D20" s="25" t="n">
        <v>3</v>
      </c>
      <c r="E20" s="25" t="inlineStr">
        <is>
          <t>P1</t>
        </is>
      </c>
      <c r="F20" s="25" t="inlineStr">
        <is>
          <t>S4</t>
        </is>
      </c>
      <c r="G20" s="25" t="inlineStr">
        <is>
          <t>Done</t>
        </is>
      </c>
    </row>
    <row r="21" ht="25.5" customHeight="1" s="22">
      <c r="A21" s="25" t="inlineStr">
        <is>
          <t>ST-018</t>
        </is>
      </c>
      <c r="B21" s="25" t="inlineStr">
        <is>
          <t>F2</t>
        </is>
      </c>
      <c r="C21" s="25" t="inlineStr">
        <is>
          <t>As a SMB owner, I can pause/disable Scenario sliders without data loss</t>
        </is>
      </c>
      <c r="D21" s="25" t="n">
        <v>2</v>
      </c>
      <c r="E21" s="25" t="inlineStr">
        <is>
          <t>P2</t>
        </is>
      </c>
      <c r="F21" s="25" t="inlineStr">
        <is>
          <t>S4</t>
        </is>
      </c>
      <c r="G21" s="25" t="inlineStr">
        <is>
          <t>Done</t>
        </is>
      </c>
    </row>
    <row r="22" ht="25.5" customHeight="1" s="22">
      <c r="A22" s="25" t="inlineStr">
        <is>
          <t>ST-019</t>
        </is>
      </c>
      <c r="B22" s="25" t="inlineStr">
        <is>
          <t>F2</t>
        </is>
      </c>
      <c r="C22" s="25" t="inlineStr">
        <is>
          <t>As a Accountant partner, I can import/migrate existing data into Scenario sliders (CSV + competitor importer)</t>
        </is>
      </c>
      <c r="D22" s="25" t="n">
        <v>5</v>
      </c>
      <c r="E22" s="25" t="inlineStr">
        <is>
          <t>P1</t>
        </is>
      </c>
      <c r="F22" s="25" t="inlineStr">
        <is>
          <t>S4</t>
        </is>
      </c>
      <c r="G22" s="25" t="inlineStr">
        <is>
          <t>Done</t>
        </is>
      </c>
    </row>
    <row r="23" ht="25.5" customHeight="1" s="22">
      <c r="A23" s="25" t="inlineStr">
        <is>
          <t>ST-020</t>
        </is>
      </c>
      <c r="B23" s="25" t="inlineStr">
        <is>
          <t>F2</t>
        </is>
      </c>
      <c r="C23" s="25" t="inlineStr">
        <is>
          <t>As a user, I get notifications (in-app + email) for key Scenario sliders events with per-type mute</t>
        </is>
      </c>
      <c r="D23" s="25" t="n">
        <v>3</v>
      </c>
      <c r="E23" s="25" t="inlineStr">
        <is>
          <t>P2</t>
        </is>
      </c>
      <c r="F23" s="25" t="inlineStr">
        <is>
          <t>S4</t>
        </is>
      </c>
      <c r="G23" s="25" t="inlineStr">
        <is>
          <t>Done</t>
        </is>
      </c>
    </row>
    <row r="24" ht="25.5" customHeight="1" s="22">
      <c r="A24" s="25" t="inlineStr">
        <is>
          <t>ST-021</t>
        </is>
      </c>
      <c r="B24" s="25" t="inlineStr">
        <is>
          <t>F3</t>
        </is>
      </c>
      <c r="C24" s="25" t="inlineStr">
        <is>
          <t>As a SMB owner, I can set up Invoice chase nudges with sensible defaults in one screen</t>
        </is>
      </c>
      <c r="D24" s="25" t="n">
        <v>5</v>
      </c>
      <c r="E24" s="25" t="inlineStr">
        <is>
          <t>P0</t>
        </is>
      </c>
      <c r="F24" s="25" t="inlineStr">
        <is>
          <t>S5</t>
        </is>
      </c>
      <c r="G24" s="25" t="inlineStr">
        <is>
          <t>Done</t>
        </is>
      </c>
    </row>
    <row r="25" ht="25.5" customHeight="1" s="22">
      <c r="A25" s="25" t="inlineStr">
        <is>
          <t>ST-022</t>
        </is>
      </c>
      <c r="B25" s="25" t="inlineStr">
        <is>
          <t>F3</t>
        </is>
      </c>
      <c r="C25" s="25" t="inlineStr">
        <is>
          <t>As a SMB owner, the Invoice chase nudges happy path completes without documentation</t>
        </is>
      </c>
      <c r="D25" s="25" t="n">
        <v>8</v>
      </c>
      <c r="E25" s="25" t="inlineStr">
        <is>
          <t>P0</t>
        </is>
      </c>
      <c r="F25" s="25" t="inlineStr">
        <is>
          <t>S5</t>
        </is>
      </c>
      <c r="G25" s="25" t="inlineStr">
        <is>
          <t>Done</t>
        </is>
      </c>
      <c r="H25" s="27" t="inlineStr">
        <is>
          <t>Marked Done at build, but planNudges had NO driver until v020 (GAP-F2) — the daily cycle never ran. True as built since v020</t>
        </is>
      </c>
    </row>
    <row r="26" ht="25.5" customHeight="1" s="22">
      <c r="A26" s="25" t="inlineStr">
        <is>
          <t>ST-023</t>
        </is>
      </c>
      <c r="B26" s="25" t="inlineStr">
        <is>
          <t>F3</t>
        </is>
      </c>
      <c r="C26" s="25" t="inlineStr">
        <is>
          <t>As a Accountant partner, I can customise Invoice chase nudges rules/conditions for my workflow</t>
        </is>
      </c>
      <c r="D26" s="25" t="n">
        <v>5</v>
      </c>
      <c r="E26" s="25" t="inlineStr">
        <is>
          <t>P1</t>
        </is>
      </c>
      <c r="F26" s="25" t="inlineStr">
        <is>
          <t>S5</t>
        </is>
      </c>
      <c r="G26" s="25" t="inlineStr">
        <is>
          <t>Done</t>
        </is>
      </c>
    </row>
    <row r="27" ht="25.5" customHeight="1" s="22">
      <c r="A27" s="25" t="inlineStr">
        <is>
          <t>ST-024</t>
        </is>
      </c>
      <c r="B27" s="25" t="inlineStr">
        <is>
          <t>F3</t>
        </is>
      </c>
      <c r="C27" s="25" t="inlineStr">
        <is>
          <t>As a user, Invoice chase nudges shows clear errors and retry paths on platform API failures</t>
        </is>
      </c>
      <c r="D27" s="25" t="n">
        <v>3</v>
      </c>
      <c r="E27" s="25" t="inlineStr">
        <is>
          <t>P0</t>
        </is>
      </c>
      <c r="F27" s="25" t="inlineStr">
        <is>
          <t>S5</t>
        </is>
      </c>
      <c r="G27" s="25" t="inlineStr">
        <is>
          <t>Done</t>
        </is>
      </c>
      <c r="H27" s="27" t="inlineStr">
        <is>
          <t>Retry existed at build; the send path only ran from v020 (GAP-F2), once-per-tier from v015 (F-006). True as built since v020</t>
        </is>
      </c>
    </row>
    <row r="28" ht="25.5" customHeight="1" s="22">
      <c r="A28" s="25" t="inlineStr">
        <is>
          <t>ST-025</t>
        </is>
      </c>
      <c r="B28" s="25" t="inlineStr">
        <is>
          <t>F3</t>
        </is>
      </c>
      <c r="C28" s="25" t="inlineStr">
        <is>
          <t>As a Bookkeeper, Invoice chase nudges works on the web app with Xero deep links + accountant portal surface end-to-end</t>
        </is>
      </c>
      <c r="D28" s="25" t="n">
        <v>5</v>
      </c>
      <c r="E28" s="25" t="inlineStr">
        <is>
          <t>P0</t>
        </is>
      </c>
      <c r="F28" s="25" t="inlineStr">
        <is>
          <t>S5</t>
        </is>
      </c>
      <c r="G28" s="25" t="inlineStr">
        <is>
          <t>Done</t>
        </is>
      </c>
    </row>
    <row r="29" ht="25.5" customHeight="1" s="22">
      <c r="A29" s="25" t="inlineStr">
        <is>
          <t>ST-026</t>
        </is>
      </c>
      <c r="B29" s="25" t="inlineStr">
        <is>
          <t>F3</t>
        </is>
      </c>
      <c r="C29" s="25" t="inlineStr">
        <is>
          <t>As a Accountant partner, I can see Invoice chase nudges performance metrics and trends</t>
        </is>
      </c>
      <c r="D29" s="25" t="n">
        <v>3</v>
      </c>
      <c r="E29" s="25" t="inlineStr">
        <is>
          <t>P1</t>
        </is>
      </c>
      <c r="F29" s="25" t="inlineStr">
        <is>
          <t>S5</t>
        </is>
      </c>
      <c r="G29" s="25" t="inlineStr">
        <is>
          <t>Done</t>
        </is>
      </c>
    </row>
    <row r="30" ht="25.5" customHeight="1" s="22">
      <c r="A30" s="25" t="inlineStr">
        <is>
          <t>ST-027</t>
        </is>
      </c>
      <c r="B30" s="25" t="inlineStr">
        <is>
          <t>F3</t>
        </is>
      </c>
      <c r="C30" s="25" t="inlineStr">
        <is>
          <t>As a user, Invoice chase nudges respects role permissions and audit logging</t>
        </is>
      </c>
      <c r="D30" s="25" t="n">
        <v>3</v>
      </c>
      <c r="E30" s="25" t="inlineStr">
        <is>
          <t>P1</t>
        </is>
      </c>
      <c r="F30" s="25" t="inlineStr">
        <is>
          <t>S5</t>
        </is>
      </c>
      <c r="G30" s="25" t="inlineStr">
        <is>
          <t>Done</t>
        </is>
      </c>
    </row>
    <row r="31" ht="25.5" customHeight="1" s="22">
      <c r="A31" s="25" t="inlineStr">
        <is>
          <t>ST-028</t>
        </is>
      </c>
      <c r="B31" s="25" t="inlineStr">
        <is>
          <t>F3</t>
        </is>
      </c>
      <c r="C31" s="25" t="inlineStr">
        <is>
          <t>As a SMB owner, I can pause/disable Invoice chase nudges without data loss</t>
        </is>
      </c>
      <c r="D31" s="25" t="n">
        <v>2</v>
      </c>
      <c r="E31" s="25" t="inlineStr">
        <is>
          <t>P2</t>
        </is>
      </c>
      <c r="F31" s="25" t="inlineStr">
        <is>
          <t>S5</t>
        </is>
      </c>
      <c r="G31" s="25" t="inlineStr">
        <is>
          <t>Done</t>
        </is>
      </c>
    </row>
    <row r="32" ht="25.5" customHeight="1" s="22">
      <c r="A32" s="25" t="inlineStr">
        <is>
          <t>ST-029</t>
        </is>
      </c>
      <c r="B32" s="25" t="inlineStr">
        <is>
          <t>F3</t>
        </is>
      </c>
      <c r="C32" s="25" t="inlineStr">
        <is>
          <t>As a Accountant partner, I can import/migrate existing data into Invoice chase nudges (CSV + competitor importer)</t>
        </is>
      </c>
      <c r="D32" s="25" t="n">
        <v>5</v>
      </c>
      <c r="E32" s="25" t="inlineStr">
        <is>
          <t>P1</t>
        </is>
      </c>
      <c r="F32" s="25" t="inlineStr">
        <is>
          <t>S5</t>
        </is>
      </c>
      <c r="G32" s="25" t="inlineStr">
        <is>
          <t>Done</t>
        </is>
      </c>
    </row>
    <row r="33" ht="25.5" customHeight="1" s="22">
      <c r="A33" s="25" t="inlineStr">
        <is>
          <t>ST-030</t>
        </is>
      </c>
      <c r="B33" s="25" t="inlineStr">
        <is>
          <t>F3</t>
        </is>
      </c>
      <c r="C33" s="25" t="inlineStr">
        <is>
          <t>As a user, I get notifications (in-app + email) for key Invoice chase nudges events with per-type mute</t>
        </is>
      </c>
      <c r="D33" s="25" t="n">
        <v>3</v>
      </c>
      <c r="E33" s="25" t="inlineStr">
        <is>
          <t>P2</t>
        </is>
      </c>
      <c r="F33" s="25" t="inlineStr">
        <is>
          <t>S5</t>
        </is>
      </c>
      <c r="G33" s="25" t="inlineStr">
        <is>
          <t>Done</t>
        </is>
      </c>
    </row>
    <row r="34" ht="25.5" customHeight="1" s="22">
      <c r="A34" s="25" t="inlineStr">
        <is>
          <t>ST-031</t>
        </is>
      </c>
      <c r="B34" s="25" t="inlineStr">
        <is>
          <t>F4</t>
        </is>
      </c>
      <c r="C34" s="25" t="inlineStr">
        <is>
          <t>As a SMB owner, I can set up Accountant portal with sensible defaults in one screen</t>
        </is>
      </c>
      <c r="D34" s="25" t="n">
        <v>5</v>
      </c>
      <c r="E34" s="25" t="inlineStr">
        <is>
          <t>P0</t>
        </is>
      </c>
      <c r="F34" s="25" t="inlineStr">
        <is>
          <t>S6</t>
        </is>
      </c>
      <c r="G34" s="25" t="inlineStr">
        <is>
          <t>Done</t>
        </is>
      </c>
    </row>
    <row r="35" ht="25.5" customHeight="1" s="22">
      <c r="A35" s="25" t="inlineStr">
        <is>
          <t>ST-032</t>
        </is>
      </c>
      <c r="B35" s="25" t="inlineStr">
        <is>
          <t>F4</t>
        </is>
      </c>
      <c r="C35" s="25" t="inlineStr">
        <is>
          <t>As a SMB owner, the Accountant portal happy path completes without documentation</t>
        </is>
      </c>
      <c r="D35" s="25" t="n">
        <v>8</v>
      </c>
      <c r="E35" s="25" t="inlineStr">
        <is>
          <t>P0</t>
        </is>
      </c>
      <c r="F35" s="25" t="inlineStr">
        <is>
          <t>S6</t>
        </is>
      </c>
      <c r="G35" s="25" t="inlineStr">
        <is>
          <t>Done</t>
        </is>
      </c>
    </row>
    <row r="36" ht="25.5" customHeight="1" s="22">
      <c r="A36" s="25" t="inlineStr">
        <is>
          <t>ST-033</t>
        </is>
      </c>
      <c r="B36" s="25" t="inlineStr">
        <is>
          <t>F4</t>
        </is>
      </c>
      <c r="C36" s="25" t="inlineStr">
        <is>
          <t>As a Accountant partner, I can customise Accountant portal rules/conditions for my workflow</t>
        </is>
      </c>
      <c r="D36" s="25" t="n">
        <v>5</v>
      </c>
      <c r="E36" s="25" t="inlineStr">
        <is>
          <t>P1</t>
        </is>
      </c>
      <c r="F36" s="25" t="inlineStr">
        <is>
          <t>S6</t>
        </is>
      </c>
      <c r="G36" s="25" t="inlineStr">
        <is>
          <t>Done</t>
        </is>
      </c>
    </row>
    <row r="37" ht="25.5" customHeight="1" s="22">
      <c r="A37" s="25" t="inlineStr">
        <is>
          <t>ST-034</t>
        </is>
      </c>
      <c r="B37" s="25" t="inlineStr">
        <is>
          <t>F4</t>
        </is>
      </c>
      <c r="C37" s="25" t="inlineStr">
        <is>
          <t>As a user, Accountant portal shows clear errors and retry paths on platform API failures</t>
        </is>
      </c>
      <c r="D37" s="25" t="n">
        <v>3</v>
      </c>
      <c r="E37" s="25" t="inlineStr">
        <is>
          <t>P0</t>
        </is>
      </c>
      <c r="F37" s="25" t="inlineStr">
        <is>
          <t>S6</t>
        </is>
      </c>
      <c r="G37" s="25" t="inlineStr">
        <is>
          <t>Done</t>
        </is>
      </c>
    </row>
    <row r="38" ht="25.5" customHeight="1" s="22">
      <c r="A38" s="25" t="inlineStr">
        <is>
          <t>ST-035</t>
        </is>
      </c>
      <c r="B38" s="25" t="inlineStr">
        <is>
          <t>F4</t>
        </is>
      </c>
      <c r="C38" s="25" t="inlineStr">
        <is>
          <t>As a Bookkeeper, Accountant portal works on the web app with Xero deep links + accountant portal surface end-to-end</t>
        </is>
      </c>
      <c r="D38" s="25" t="n">
        <v>5</v>
      </c>
      <c r="E38" s="25" t="inlineStr">
        <is>
          <t>P0</t>
        </is>
      </c>
      <c r="F38" s="25" t="inlineStr">
        <is>
          <t>S6</t>
        </is>
      </c>
      <c r="G38" s="25" t="inlineStr">
        <is>
          <t>Done</t>
        </is>
      </c>
    </row>
    <row r="39" ht="25.5" customHeight="1" s="22">
      <c r="A39" s="25" t="inlineStr">
        <is>
          <t>ST-036</t>
        </is>
      </c>
      <c r="B39" s="25" t="inlineStr">
        <is>
          <t>F4</t>
        </is>
      </c>
      <c r="C39" s="25" t="inlineStr">
        <is>
          <t>As a Accountant partner, I can see Accountant portal performance metrics and trends</t>
        </is>
      </c>
      <c r="D39" s="25" t="n">
        <v>3</v>
      </c>
      <c r="E39" s="25" t="inlineStr">
        <is>
          <t>P1</t>
        </is>
      </c>
      <c r="F39" s="25" t="inlineStr">
        <is>
          <t>S6</t>
        </is>
      </c>
      <c r="G39" s="25" t="inlineStr">
        <is>
          <t>Done</t>
        </is>
      </c>
    </row>
    <row r="40" ht="25.5" customHeight="1" s="22">
      <c r="A40" s="25" t="inlineStr">
        <is>
          <t>ST-037</t>
        </is>
      </c>
      <c r="B40" s="25" t="inlineStr">
        <is>
          <t>F4</t>
        </is>
      </c>
      <c r="C40" s="25" t="inlineStr">
        <is>
          <t>As a user, Accountant portal respects role permissions and audit logging</t>
        </is>
      </c>
      <c r="D40" s="25" t="n">
        <v>3</v>
      </c>
      <c r="E40" s="25" t="inlineStr">
        <is>
          <t>P1</t>
        </is>
      </c>
      <c r="F40" s="25" t="inlineStr">
        <is>
          <t>S6</t>
        </is>
      </c>
      <c r="G40" s="25" t="inlineStr">
        <is>
          <t>Done</t>
        </is>
      </c>
    </row>
    <row r="41" ht="25.5" customHeight="1" s="22">
      <c r="A41" s="25" t="inlineStr">
        <is>
          <t>ST-038</t>
        </is>
      </c>
      <c r="B41" s="25" t="inlineStr">
        <is>
          <t>F4</t>
        </is>
      </c>
      <c r="C41" s="25" t="inlineStr">
        <is>
          <t>As a SMB owner, I can pause/disable Accountant portal without data loss</t>
        </is>
      </c>
      <c r="D41" s="25" t="n">
        <v>2</v>
      </c>
      <c r="E41" s="25" t="inlineStr">
        <is>
          <t>P2</t>
        </is>
      </c>
      <c r="F41" s="25" t="inlineStr">
        <is>
          <t>S6</t>
        </is>
      </c>
      <c r="G41" s="25" t="inlineStr">
        <is>
          <t>Done</t>
        </is>
      </c>
    </row>
    <row r="42" ht="25.5" customHeight="1" s="22">
      <c r="A42" s="25" t="inlineStr">
        <is>
          <t>ST-039</t>
        </is>
      </c>
      <c r="B42" s="25" t="inlineStr">
        <is>
          <t>F4</t>
        </is>
      </c>
      <c r="C42" s="25" t="inlineStr">
        <is>
          <t>As a Accountant partner, I can import/migrate existing data into Accountant portal (CSV + competitor importer)</t>
        </is>
      </c>
      <c r="D42" s="25" t="n">
        <v>5</v>
      </c>
      <c r="E42" s="25" t="inlineStr">
        <is>
          <t>P1</t>
        </is>
      </c>
      <c r="F42" s="25" t="inlineStr">
        <is>
          <t>S6</t>
        </is>
      </c>
      <c r="G42" s="25" t="inlineStr">
        <is>
          <t>Done</t>
        </is>
      </c>
    </row>
    <row r="43" ht="25.5" customHeight="1" s="22">
      <c r="A43" s="25" t="inlineStr">
        <is>
          <t>ST-040</t>
        </is>
      </c>
      <c r="B43" s="25" t="inlineStr">
        <is>
          <t>F4</t>
        </is>
      </c>
      <c r="C43" s="25" t="inlineStr">
        <is>
          <t>As a user, I get notifications (in-app + email) for key Accountant portal events with per-type mute</t>
        </is>
      </c>
      <c r="D43" s="25" t="n">
        <v>3</v>
      </c>
      <c r="E43" s="25" t="inlineStr">
        <is>
          <t>P2</t>
        </is>
      </c>
      <c r="F43" s="25" t="inlineStr">
        <is>
          <t>S6</t>
        </is>
      </c>
      <c r="G43" s="25" t="inlineStr">
        <is>
          <t>Done</t>
        </is>
      </c>
    </row>
    <row r="44" ht="25.5" customHeight="1" s="22">
      <c r="A44" s="25" t="inlineStr">
        <is>
          <t>ST-041</t>
        </is>
      </c>
      <c r="B44" s="25" t="inlineStr">
        <is>
          <t>F5</t>
        </is>
      </c>
      <c r="C44" s="25" t="inlineStr">
        <is>
          <t>As a SMB owner, I can set up Bank-feed anomaly alerts with sensible defaults in one screen</t>
        </is>
      </c>
      <c r="D44" s="25" t="n">
        <v>5</v>
      </c>
      <c r="E44" s="25" t="inlineStr">
        <is>
          <t>P0</t>
        </is>
      </c>
      <c r="F44" s="25" t="inlineStr">
        <is>
          <t>S8</t>
        </is>
      </c>
      <c r="G44" s="25" t="inlineStr">
        <is>
          <t>Done</t>
        </is>
      </c>
      <c r="H44" s="27" t="inlineStr">
        <is>
          <t>Detection existed at build; polling — the ENTIRE mechanism under D-F4 — only ran from v020 (GAP-F2), per-tenant from v022 (F4-01). True as built since v022</t>
        </is>
      </c>
    </row>
    <row r="45" ht="25.5" customHeight="1" s="22">
      <c r="A45" s="25" t="inlineStr">
        <is>
          <t>ST-042</t>
        </is>
      </c>
      <c r="B45" s="25" t="inlineStr">
        <is>
          <t>F5</t>
        </is>
      </c>
      <c r="C45" s="25" t="inlineStr">
        <is>
          <t>As a SMB owner, the Bank-feed anomaly alerts happy path completes without documentation</t>
        </is>
      </c>
      <c r="D45" s="25" t="n">
        <v>8</v>
      </c>
      <c r="E45" s="25" t="inlineStr">
        <is>
          <t>P0</t>
        </is>
      </c>
      <c r="F45" s="25" t="inlineStr">
        <is>
          <t>S8</t>
        </is>
      </c>
      <c r="G45" s="25" t="inlineStr">
        <is>
          <t>Done</t>
        </is>
      </c>
      <c r="H45" s="27" t="inlineStr">
        <is>
          <t>Happy path could not complete before v020 (no poll driver) and ran for only ONE org until v022 (F4-01). True as built since v022</t>
        </is>
      </c>
    </row>
    <row r="46" ht="25.5" customHeight="1" s="22">
      <c r="A46" s="25" t="inlineStr">
        <is>
          <t>ST-043</t>
        </is>
      </c>
      <c r="B46" s="25" t="inlineStr">
        <is>
          <t>F5</t>
        </is>
      </c>
      <c r="C46" s="25" t="inlineStr">
        <is>
          <t>As a Accountant partner, I can customise Bank-feed anomaly alerts rules/conditions for my workflow</t>
        </is>
      </c>
      <c r="D46" s="25" t="n">
        <v>5</v>
      </c>
      <c r="E46" s="25" t="inlineStr">
        <is>
          <t>P1</t>
        </is>
      </c>
      <c r="F46" s="25" t="inlineStr">
        <is>
          <t>S8</t>
        </is>
      </c>
      <c r="G46" s="25" t="inlineStr">
        <is>
          <t>Done</t>
        </is>
      </c>
    </row>
    <row r="47" ht="25.5" customHeight="1" s="22">
      <c r="A47" s="25" t="inlineStr">
        <is>
          <t>ST-044</t>
        </is>
      </c>
      <c r="B47" s="25" t="inlineStr">
        <is>
          <t>F5</t>
        </is>
      </c>
      <c r="C47" s="25" t="inlineStr">
        <is>
          <t>As a user, Bank-feed anomaly alerts shows clear errors and retry paths on platform API failures</t>
        </is>
      </c>
      <c r="D47" s="25" t="n">
        <v>3</v>
      </c>
      <c r="E47" s="25" t="inlineStr">
        <is>
          <t>P0</t>
        </is>
      </c>
      <c r="F47" s="25" t="inlineStr">
        <is>
          <t>S8</t>
        </is>
      </c>
      <c r="G47" s="25" t="inlineStr">
        <is>
          <t>Done</t>
        </is>
      </c>
      <c r="H47" s="27" t="inlineStr">
        <is>
          <t>Error/retry paths unreachable before the poll ran (v020); breaker protection verified v021. True as built since v021</t>
        </is>
      </c>
    </row>
    <row r="48" ht="25.5" customHeight="1" s="22">
      <c r="A48" s="25" t="inlineStr">
        <is>
          <t>ST-045</t>
        </is>
      </c>
      <c r="B48" s="25" t="inlineStr">
        <is>
          <t>F5</t>
        </is>
      </c>
      <c r="C48" s="25" t="inlineStr">
        <is>
          <t>As a Bookkeeper, Bank-feed anomaly alerts works on the web app with Xero deep links + accountant portal surface end-to-end</t>
        </is>
      </c>
      <c r="D48" s="25" t="n">
        <v>5</v>
      </c>
      <c r="E48" s="25" t="inlineStr">
        <is>
          <t>P0</t>
        </is>
      </c>
      <c r="F48" s="25" t="inlineStr">
        <is>
          <t>S8</t>
        </is>
      </c>
      <c r="G48" s="25" t="inlineStr">
        <is>
          <t>Done</t>
        </is>
      </c>
    </row>
    <row r="49" ht="25.5" customHeight="1" s="22">
      <c r="A49" s="25" t="inlineStr">
        <is>
          <t>ST-046</t>
        </is>
      </c>
      <c r="B49" s="25" t="inlineStr">
        <is>
          <t>F5</t>
        </is>
      </c>
      <c r="C49" s="25" t="inlineStr">
        <is>
          <t>As a Accountant partner, I can see Bank-feed anomaly alerts performance metrics and trends</t>
        </is>
      </c>
      <c r="D49" s="25" t="n">
        <v>3</v>
      </c>
      <c r="E49" s="25" t="inlineStr">
        <is>
          <t>P1</t>
        </is>
      </c>
      <c r="F49" s="25" t="inlineStr">
        <is>
          <t>S8</t>
        </is>
      </c>
      <c r="G49" s="25" t="inlineStr">
        <is>
          <t>Done</t>
        </is>
      </c>
    </row>
    <row r="50" ht="25.5" customHeight="1" s="22">
      <c r="A50" s="25" t="inlineStr">
        <is>
          <t>ST-047</t>
        </is>
      </c>
      <c r="B50" s="25" t="inlineStr">
        <is>
          <t>F5</t>
        </is>
      </c>
      <c r="C50" s="25" t="inlineStr">
        <is>
          <t>As a user, Bank-feed anomaly alerts respects role permissions and audit logging</t>
        </is>
      </c>
      <c r="D50" s="25" t="n">
        <v>3</v>
      </c>
      <c r="E50" s="25" t="inlineStr">
        <is>
          <t>P1</t>
        </is>
      </c>
      <c r="F50" s="25" t="inlineStr">
        <is>
          <t>S8</t>
        </is>
      </c>
      <c r="G50" s="25" t="inlineStr">
        <is>
          <t>Done</t>
        </is>
      </c>
    </row>
    <row r="51" ht="25.5" customHeight="1" s="22">
      <c r="A51" s="25" t="inlineStr">
        <is>
          <t>ST-048</t>
        </is>
      </c>
      <c r="B51" s="25" t="inlineStr">
        <is>
          <t>F5</t>
        </is>
      </c>
      <c r="C51" s="25" t="inlineStr">
        <is>
          <t>As a SMB owner, I can pause/disable Bank-feed anomaly alerts without data loss</t>
        </is>
      </c>
      <c r="D51" s="25" t="n">
        <v>2</v>
      </c>
      <c r="E51" s="25" t="inlineStr">
        <is>
          <t>P2</t>
        </is>
      </c>
      <c r="F51" s="25" t="inlineStr">
        <is>
          <t>S8</t>
        </is>
      </c>
      <c r="G51" s="25" t="inlineStr">
        <is>
          <t>Done</t>
        </is>
      </c>
    </row>
    <row r="52" ht="25.5" customHeight="1" s="22">
      <c r="A52" s="25" t="inlineStr">
        <is>
          <t>ST-049</t>
        </is>
      </c>
      <c r="B52" s="25" t="inlineStr">
        <is>
          <t>F5</t>
        </is>
      </c>
      <c r="C52" s="25" t="inlineStr">
        <is>
          <t>As a Accountant partner, I can import/migrate existing data into Bank-feed anomaly alerts (CSV + competitor importer)</t>
        </is>
      </c>
      <c r="D52" s="25" t="n">
        <v>5</v>
      </c>
      <c r="E52" s="25" t="inlineStr">
        <is>
          <t>P1</t>
        </is>
      </c>
      <c r="F52" s="25" t="inlineStr">
        <is>
          <t>S8</t>
        </is>
      </c>
      <c r="G52" s="25" t="inlineStr">
        <is>
          <t>Done</t>
        </is>
      </c>
    </row>
    <row r="53" ht="25.5" customHeight="1" s="22">
      <c r="A53" s="25" t="inlineStr">
        <is>
          <t>ST-050</t>
        </is>
      </c>
      <c r="B53" s="25" t="inlineStr">
        <is>
          <t>F5</t>
        </is>
      </c>
      <c r="C53" s="25" t="inlineStr">
        <is>
          <t>As a user, I get notifications (in-app + email) for key Bank-feed anomaly alerts events with per-type mute</t>
        </is>
      </c>
      <c r="D53" s="25" t="n">
        <v>3</v>
      </c>
      <c r="E53" s="25" t="inlineStr">
        <is>
          <t>P2</t>
        </is>
      </c>
      <c r="F53" s="25" t="inlineStr">
        <is>
          <t>S8</t>
        </is>
      </c>
      <c r="G53" s="25" t="inlineStr">
        <is>
          <t>Done</t>
        </is>
      </c>
    </row>
    <row r="54" ht="25.5" customHeight="1" s="22">
      <c r="A54" s="25" t="inlineStr">
        <is>
          <t>ST-051</t>
        </is>
      </c>
      <c r="B54" s="25" t="inlineStr">
        <is>
          <t>E1</t>
        </is>
      </c>
      <c r="C54" s="25" t="inlineStr">
        <is>
          <t>Marketplace OAuth install completes and lands on welcome state in &lt;2 min</t>
        </is>
      </c>
      <c r="D54" s="25" t="n">
        <v>5</v>
      </c>
      <c r="E54" s="25" t="inlineStr">
        <is>
          <t>P0</t>
        </is>
      </c>
      <c r="F54" s="25" t="inlineStr">
        <is>
          <t>S1</t>
        </is>
      </c>
      <c r="G54" s="25" t="inlineStr">
        <is>
          <t>Code-complete — pending live</t>
        </is>
      </c>
    </row>
    <row r="55" ht="25.5" customHeight="1" s="22">
      <c r="A55" s="25" t="inlineStr">
        <is>
          <t>ST-052</t>
        </is>
      </c>
      <c r="B55" s="25" t="inlineStr">
        <is>
          <t>E1</t>
        </is>
      </c>
      <c r="C55" s="25" t="inlineStr">
        <is>
          <t>Uninstall webhook removes tokens, schedules data deletion per policy</t>
        </is>
      </c>
      <c r="D55" s="25" t="n">
        <v>3</v>
      </c>
      <c r="E55" s="25" t="inlineStr">
        <is>
          <t>P0</t>
        </is>
      </c>
      <c r="F55" s="25" t="inlineStr">
        <is>
          <t>S1</t>
        </is>
      </c>
      <c r="G55" s="25" t="inlineStr">
        <is>
          <t>Code-complete — pending live</t>
        </is>
      </c>
    </row>
    <row r="56" ht="25.5" customHeight="1" s="22">
      <c r="A56" s="25" t="inlineStr">
        <is>
          <t>ST-053</t>
        </is>
      </c>
      <c r="B56" s="25" t="inlineStr">
        <is>
          <t>E1</t>
        </is>
      </c>
      <c r="C56" s="25" t="inlineStr">
        <is>
          <t>Re-install restores account within retention window</t>
        </is>
      </c>
      <c r="D56" s="25" t="n">
        <v>3</v>
      </c>
      <c r="E56" s="25" t="inlineStr">
        <is>
          <t>P1</t>
        </is>
      </c>
      <c r="F56" s="25" t="inlineStr">
        <is>
          <t>S2</t>
        </is>
      </c>
      <c r="G56" s="25" t="inlineStr">
        <is>
          <t>Done</t>
        </is>
      </c>
    </row>
    <row r="57" ht="25.5" customHeight="1" s="22">
      <c r="A57" s="25" t="inlineStr">
        <is>
          <t>ST-054</t>
        </is>
      </c>
      <c r="B57" s="25" t="inlineStr">
        <is>
          <t>E1</t>
        </is>
      </c>
      <c r="C57" s="25" t="inlineStr">
        <is>
          <t>Multi-user roles: owner/admin/member permission matrix enforced</t>
        </is>
      </c>
      <c r="D57" s="25" t="n">
        <v>5</v>
      </c>
      <c r="E57" s="25" t="inlineStr">
        <is>
          <t>P0</t>
        </is>
      </c>
      <c r="F57" s="25" t="inlineStr">
        <is>
          <t>S2</t>
        </is>
      </c>
      <c r="G57" s="25" t="inlineStr">
        <is>
          <t>Done</t>
        </is>
      </c>
    </row>
    <row r="58" ht="25.5" customHeight="1" s="22">
      <c r="A58" s="25" t="inlineStr">
        <is>
          <t>ST-055</t>
        </is>
      </c>
      <c r="B58" s="25" t="inlineStr">
        <is>
          <t>E1</t>
        </is>
      </c>
      <c r="C58" s="25" t="inlineStr">
        <is>
          <t>Session/token refresh survives platform token rotation</t>
        </is>
      </c>
      <c r="D58" s="25" t="n">
        <v>3</v>
      </c>
      <c r="E58" s="25" t="inlineStr">
        <is>
          <t>P0</t>
        </is>
      </c>
      <c r="F58" s="25" t="inlineStr">
        <is>
          <t>S1</t>
        </is>
      </c>
      <c r="G58" s="25" t="inlineStr">
        <is>
          <t>Code-complete — pending live</t>
        </is>
      </c>
    </row>
    <row r="59" ht="25.5" customHeight="1" s="22">
      <c r="A59" s="25" t="inlineStr">
        <is>
          <t>ST-056</t>
        </is>
      </c>
      <c r="B59" s="25" t="inlineStr">
        <is>
          <t>E1</t>
        </is>
      </c>
      <c r="C59" s="25" t="inlineStr">
        <is>
          <t>Install telemetry: source attribution (listing/search/referral) captured</t>
        </is>
      </c>
      <c r="D59" s="25" t="n">
        <v>2</v>
      </c>
      <c r="E59" s="25" t="inlineStr">
        <is>
          <t>P1</t>
        </is>
      </c>
      <c r="F59" s="25" t="inlineStr">
        <is>
          <t>S1</t>
        </is>
      </c>
      <c r="G59" s="25" t="inlineStr">
        <is>
          <t>Done</t>
        </is>
      </c>
    </row>
    <row r="60" ht="25.5" customHeight="1" s="22">
      <c r="A60" s="25" t="inlineStr">
        <is>
          <t>ST-057</t>
        </is>
      </c>
      <c r="B60" s="25" t="inlineStr">
        <is>
          <t>E5</t>
        </is>
      </c>
      <c r="C60" s="25" t="inlineStr">
        <is>
          <t>14-day trial without card; banner shows days remaining</t>
        </is>
      </c>
      <c r="D60" s="25" t="n">
        <v>5</v>
      </c>
      <c r="E60" s="25" t="inlineStr">
        <is>
          <t>P0</t>
        </is>
      </c>
      <c r="F60" s="25" t="inlineStr">
        <is>
          <t>S6</t>
        </is>
      </c>
      <c r="G60" s="25" t="inlineStr">
        <is>
          <t>Done</t>
        </is>
      </c>
    </row>
    <row r="61" ht="25.5" customHeight="1" s="22">
      <c r="A61" s="25" t="inlineStr">
        <is>
          <t>ST-058</t>
        </is>
      </c>
      <c r="B61" s="25" t="inlineStr">
        <is>
          <t>E5</t>
        </is>
      </c>
      <c r="C61" s="25" t="inlineStr">
        <is>
          <t>Upgrade/downgrade mid-cycle prorates correctly</t>
        </is>
      </c>
      <c r="D61" s="25" t="n">
        <v>5</v>
      </c>
      <c r="E61" s="25" t="inlineStr">
        <is>
          <t>P0</t>
        </is>
      </c>
      <c r="F61" s="25" t="inlineStr">
        <is>
          <t>S6</t>
        </is>
      </c>
      <c r="G61" s="25" t="inlineStr">
        <is>
          <t>Done</t>
        </is>
      </c>
    </row>
    <row r="62" ht="25.5" customHeight="1" s="22">
      <c r="A62" s="25" t="inlineStr">
        <is>
          <t>ST-059</t>
        </is>
      </c>
      <c r="B62" s="25" t="inlineStr">
        <is>
          <t>E5</t>
        </is>
      </c>
      <c r="C62" s="25" t="inlineStr">
        <is>
          <t>Marketplace billing API used where mandated; external Stripe fallback elsewhere</t>
        </is>
      </c>
      <c r="D62" s="25" t="n">
        <v>8</v>
      </c>
      <c r="E62" s="25" t="inlineStr">
        <is>
          <t>P0</t>
        </is>
      </c>
      <c r="F62" s="25" t="inlineStr">
        <is>
          <t>S6</t>
        </is>
      </c>
      <c r="G62" s="25" t="inlineStr">
        <is>
          <t>Code-complete — pending live</t>
        </is>
      </c>
    </row>
    <row r="63" ht="25.5" customHeight="1" s="22">
      <c r="A63" s="25" t="inlineStr">
        <is>
          <t>ST-060</t>
        </is>
      </c>
      <c r="B63" s="25" t="inlineStr">
        <is>
          <t>E5</t>
        </is>
      </c>
      <c r="C63" s="25" t="inlineStr">
        <is>
          <t>Failed payment: 7-day grace, 3 dunning emails, then read-only mode</t>
        </is>
      </c>
      <c r="D63" s="25" t="n">
        <v>3</v>
      </c>
      <c r="E63" s="25" t="inlineStr">
        <is>
          <t>P1</t>
        </is>
      </c>
      <c r="F63" s="25" t="inlineStr">
        <is>
          <t>S7</t>
        </is>
      </c>
      <c r="G63" s="25" t="inlineStr">
        <is>
          <t>Done</t>
        </is>
      </c>
      <c r="H63" s="27" t="inlineStr">
        <is>
          <t>Read-only enforced nowhere until v018 (INT-F5); dunning emails never sent until v020 (GAP-F2); counter not persisted until v022 (F4-02). True as built since v022</t>
        </is>
      </c>
    </row>
    <row r="64" ht="25.5" customHeight="1" s="22">
      <c r="A64" s="25" t="inlineStr">
        <is>
          <t>ST-061</t>
        </is>
      </c>
      <c r="B64" s="25" t="inlineStr">
        <is>
          <t>E5</t>
        </is>
      </c>
      <c r="C64" s="25" t="inlineStr">
        <is>
          <t>Plan limits enforced with upgrade prompts at 80%/100%</t>
        </is>
      </c>
      <c r="D64" s="25" t="n">
        <v>3</v>
      </c>
      <c r="E64" s="25" t="inlineStr">
        <is>
          <t>P1</t>
        </is>
      </c>
      <c r="F64" s="25" t="inlineStr">
        <is>
          <t>S7</t>
        </is>
      </c>
      <c r="G64" s="25" t="inlineStr">
        <is>
          <t>Done</t>
        </is>
      </c>
      <c r="H64" s="27" t="inlineStr">
        <is>
          <t>Plan limit was unenforceable until v014 (F-005) and unenforced on the send path until v018 (INT-F1). True as built since v018</t>
        </is>
      </c>
    </row>
    <row r="65" ht="25.5" customHeight="1" s="22">
      <c r="A65" s="25" t="inlineStr">
        <is>
          <t>ST-062</t>
        </is>
      </c>
      <c r="B65" s="25" t="inlineStr">
        <is>
          <t>E5</t>
        </is>
      </c>
      <c r="C65" s="25" t="inlineStr">
        <is>
          <t>Invoices/receipts downloadable; GST/VAT fields supported</t>
        </is>
      </c>
      <c r="D65" s="25" t="n">
        <v>3</v>
      </c>
      <c r="E65" s="25" t="inlineStr">
        <is>
          <t>P2</t>
        </is>
      </c>
      <c r="F65" s="25" t="inlineStr">
        <is>
          <t>S7</t>
        </is>
      </c>
      <c r="G65" s="25" t="inlineStr">
        <is>
          <t>Done</t>
        </is>
      </c>
    </row>
    <row r="66" ht="25.5" customHeight="1" s="22">
      <c r="A66" s="25" t="inlineStr">
        <is>
          <t>ST-063</t>
        </is>
      </c>
      <c r="B66" s="25" t="inlineStr">
        <is>
          <t>E5</t>
        </is>
      </c>
      <c r="C66" s="25" t="inlineStr">
        <is>
          <t>Cancellation flow with save-offer and exit survey</t>
        </is>
      </c>
      <c r="D66" s="25" t="n">
        <v>3</v>
      </c>
      <c r="E66" s="25" t="inlineStr">
        <is>
          <t>P1</t>
        </is>
      </c>
      <c r="F66" s="25" t="inlineStr">
        <is>
          <t>S7</t>
        </is>
      </c>
      <c r="G66" s="25" t="inlineStr">
        <is>
          <t>Done</t>
        </is>
      </c>
    </row>
    <row r="67" ht="25.5" customHeight="1" s="22">
      <c r="A67" s="25" t="inlineStr">
        <is>
          <t>ST-064</t>
        </is>
      </c>
      <c r="B67" s="25" t="inlineStr">
        <is>
          <t>E6</t>
        </is>
      </c>
      <c r="C67" s="25" t="inlineStr">
        <is>
          <t>Scopes requested map 1:1 to shipped features (least privilege doc)</t>
        </is>
      </c>
      <c r="D67" s="25" t="n">
        <v>3</v>
      </c>
      <c r="E67" s="25" t="inlineStr">
        <is>
          <t>P0</t>
        </is>
      </c>
      <c r="F67" s="25" t="inlineStr">
        <is>
          <t>S7</t>
        </is>
      </c>
      <c r="G67" s="25" t="inlineStr">
        <is>
          <t>Done</t>
        </is>
      </c>
    </row>
    <row r="68" ht="25.5" customHeight="1" s="22">
      <c r="A68" s="25" t="inlineStr">
        <is>
          <t>ST-065</t>
        </is>
      </c>
      <c r="B68" s="25" t="inlineStr">
        <is>
          <t>E6</t>
        </is>
      </c>
      <c r="C68" s="25" t="inlineStr">
        <is>
          <t>Data-flow diagram + retention policy published</t>
        </is>
      </c>
      <c r="D68" s="25" t="n">
        <v>3</v>
      </c>
      <c r="E68" s="25" t="inlineStr">
        <is>
          <t>P0</t>
        </is>
      </c>
      <c r="F68" s="25" t="inlineStr">
        <is>
          <t>S8</t>
        </is>
      </c>
      <c r="G68" s="25" t="inlineStr">
        <is>
          <t>Done</t>
        </is>
      </c>
    </row>
    <row r="69" ht="25.5" customHeight="1" s="22">
      <c r="A69" s="25" t="inlineStr">
        <is>
          <t>ST-066</t>
        </is>
      </c>
      <c r="B69" s="25" t="inlineStr">
        <is>
          <t>E6</t>
        </is>
      </c>
      <c r="C69" s="25" t="inlineStr">
        <is>
          <t>Encryption at rest + in transit verified; secrets in vault</t>
        </is>
      </c>
      <c r="D69" s="25" t="n">
        <v>5</v>
      </c>
      <c r="E69" s="25" t="inlineStr">
        <is>
          <t>P0</t>
        </is>
      </c>
      <c r="F69" s="25" t="inlineStr">
        <is>
          <t>S8</t>
        </is>
      </c>
      <c r="G69" s="25" t="inlineStr">
        <is>
          <t>Code-complete — pending live</t>
        </is>
      </c>
    </row>
    <row r="70" ht="25.5" customHeight="1" s="22">
      <c r="A70" s="25" t="inlineStr">
        <is>
          <t>ST-067</t>
        </is>
      </c>
      <c r="B70" s="25" t="inlineStr">
        <is>
          <t>E6</t>
        </is>
      </c>
      <c r="C70" s="25" t="inlineStr">
        <is>
          <t>Audit log for admin-sensitive actions</t>
        </is>
      </c>
      <c r="D70" s="25" t="n">
        <v>5</v>
      </c>
      <c r="E70" s="25" t="inlineStr">
        <is>
          <t>P1</t>
        </is>
      </c>
      <c r="F70" s="25" t="inlineStr">
        <is>
          <t>S8</t>
        </is>
      </c>
      <c r="G70" s="25" t="inlineStr">
        <is>
          <t>Done</t>
        </is>
      </c>
    </row>
    <row r="71" ht="25.5" customHeight="1" s="22">
      <c r="A71" s="25" t="inlineStr">
        <is>
          <t>ST-068</t>
        </is>
      </c>
      <c r="B71" s="25" t="inlineStr">
        <is>
          <t>E6</t>
        </is>
      </c>
      <c r="C71" s="25" t="inlineStr">
        <is>
          <t>Pen-test (or platform-required evidence) completed and archived</t>
        </is>
      </c>
      <c r="D71" s="25" t="n">
        <v>8</v>
      </c>
      <c r="E71" s="25" t="inlineStr">
        <is>
          <t>P0</t>
        </is>
      </c>
      <c r="F71" s="25" t="inlineStr">
        <is>
          <t>S9</t>
        </is>
      </c>
      <c r="G71" s="25" t="inlineStr">
        <is>
          <t>In progress</t>
        </is>
      </c>
    </row>
    <row r="72" ht="25.5" customHeight="1" s="22">
      <c r="A72" s="25" t="inlineStr">
        <is>
          <t>ST-069</t>
        </is>
      </c>
      <c r="B72" s="25" t="inlineStr">
        <is>
          <t>E6</t>
        </is>
      </c>
      <c r="C72" s="25" t="inlineStr">
        <is>
          <t>Data export + delete-my-data self-serve</t>
        </is>
      </c>
      <c r="D72" s="25" t="n">
        <v>5</v>
      </c>
      <c r="E72" s="25" t="inlineStr">
        <is>
          <t>P0</t>
        </is>
      </c>
      <c r="F72" s="25" t="inlineStr">
        <is>
          <t>S9</t>
        </is>
      </c>
      <c r="G72" s="25" t="inlineStr">
        <is>
          <t>Done</t>
        </is>
      </c>
    </row>
    <row r="73" ht="25.5" customHeight="1" s="22">
      <c r="A73" s="25" t="inlineStr">
        <is>
          <t>ST-070</t>
        </is>
      </c>
      <c r="B73" s="25" t="inlineStr">
        <is>
          <t>E6</t>
        </is>
      </c>
      <c r="C73" s="25" t="inlineStr">
        <is>
          <t>Rate-limit backoff + circuit breaker on platform APIs</t>
        </is>
      </c>
      <c r="D73" s="25" t="n">
        <v>5</v>
      </c>
      <c r="E73" s="25" t="inlineStr">
        <is>
          <t>P0</t>
        </is>
      </c>
      <c r="F73" s="25" t="inlineStr">
        <is>
          <t>S8</t>
        </is>
      </c>
      <c r="G73" s="25" t="inlineStr">
        <is>
          <t>Done</t>
        </is>
      </c>
    </row>
    <row r="74" ht="25.5" customHeight="1" s="22">
      <c r="A74" s="25" t="inlineStr">
        <is>
          <t>ST-071</t>
        </is>
      </c>
      <c r="B74" s="25" t="inlineStr">
        <is>
          <t>E7</t>
        </is>
      </c>
      <c r="C74" s="25" t="inlineStr">
        <is>
          <t>Activation funnel events (install-&gt;setup-&gt;aha-&gt;habit) in one dashboard</t>
        </is>
      </c>
      <c r="D74" s="25" t="n">
        <v>5</v>
      </c>
      <c r="E74" s="25" t="inlineStr">
        <is>
          <t>P0</t>
        </is>
      </c>
      <c r="F74" s="25" t="inlineStr">
        <is>
          <t>S4</t>
        </is>
      </c>
      <c r="G74" s="25" t="inlineStr">
        <is>
          <t>Done</t>
        </is>
      </c>
    </row>
    <row r="75" ht="25.5" customHeight="1" s="22">
      <c r="A75" s="25" t="inlineStr">
        <is>
          <t>ST-072</t>
        </is>
      </c>
      <c r="B75" s="25" t="inlineStr">
        <is>
          <t>E7</t>
        </is>
      </c>
      <c r="C75" s="25" t="inlineStr">
        <is>
          <t>Error tracking with release tagging; alert on error-rate spike</t>
        </is>
      </c>
      <c r="D75" s="25" t="n">
        <v>3</v>
      </c>
      <c r="E75" s="25" t="inlineStr">
        <is>
          <t>P0</t>
        </is>
      </c>
      <c r="F75" s="25" t="inlineStr">
        <is>
          <t>S4</t>
        </is>
      </c>
      <c r="G75" s="25" t="inlineStr">
        <is>
          <t>Done</t>
        </is>
      </c>
    </row>
    <row r="76" ht="25.5" customHeight="1" s="22">
      <c r="A76" s="25" t="inlineStr">
        <is>
          <t>ST-073</t>
        </is>
      </c>
      <c r="B76" s="25" t="inlineStr">
        <is>
          <t>E7</t>
        </is>
      </c>
      <c r="C76" s="25" t="inlineStr">
        <is>
          <t>Feature-usage heatmap for roadmap decisions</t>
        </is>
      </c>
      <c r="D76" s="25" t="n">
        <v>3</v>
      </c>
      <c r="E76" s="25" t="inlineStr">
        <is>
          <t>P2</t>
        </is>
      </c>
      <c r="F76" s="25" t="inlineStr">
        <is>
          <t>S8</t>
        </is>
      </c>
      <c r="G76" s="25" t="inlineStr">
        <is>
          <t>Done</t>
        </is>
      </c>
    </row>
    <row r="77" ht="25.5" customHeight="1" s="22">
      <c r="A77" s="25" t="inlineStr">
        <is>
          <t>ST-074</t>
        </is>
      </c>
      <c r="B77" s="25" t="inlineStr">
        <is>
          <t>E7</t>
        </is>
      </c>
      <c r="C77" s="25" t="inlineStr">
        <is>
          <t>Weekly automated metrics email to team</t>
        </is>
      </c>
      <c r="D77" s="25" t="n">
        <v>2</v>
      </c>
      <c r="E77" s="25" t="inlineStr">
        <is>
          <t>P2</t>
        </is>
      </c>
      <c r="F77" s="25" t="inlineStr">
        <is>
          <t>S8</t>
        </is>
      </c>
      <c r="G77" s="25" t="inlineStr">
        <is>
          <t>Done</t>
        </is>
      </c>
    </row>
    <row r="78" ht="25.5" customHeight="1" s="22">
      <c r="A78" s="25" t="inlineStr">
        <is>
          <t>ST-075</t>
        </is>
      </c>
      <c r="B78" s="25" t="inlineStr">
        <is>
          <t>E7</t>
        </is>
      </c>
      <c r="C78" s="25" t="inlineStr">
        <is>
          <t>Health score computed per account (usage+billing+support)</t>
        </is>
      </c>
      <c r="D78" s="25" t="n">
        <v>5</v>
      </c>
      <c r="E78" s="25" t="inlineStr">
        <is>
          <t>P1</t>
        </is>
      </c>
      <c r="F78" s="25" t="inlineStr">
        <is>
          <t>S8</t>
        </is>
      </c>
      <c r="G78" s="25" t="inlineStr">
        <is>
          <t>Done</t>
        </is>
      </c>
    </row>
    <row r="79" ht="25.5" customHeight="1" s="22">
      <c r="A79" s="25" t="inlineStr">
        <is>
          <t>ST-076</t>
        </is>
      </c>
      <c r="B79" s="25" t="inlineStr">
        <is>
          <t>E7</t>
        </is>
      </c>
      <c r="C79" s="25" t="inlineStr">
        <is>
          <t>Metrics export to CSV/warehouse for founder analysis</t>
        </is>
      </c>
      <c r="D79" s="25" t="n">
        <v>3</v>
      </c>
      <c r="E79" s="25" t="inlineStr">
        <is>
          <t>P2</t>
        </is>
      </c>
      <c r="F79" s="25" t="inlineStr">
        <is>
          <t>S8</t>
        </is>
      </c>
      <c r="G79" s="25" t="inlineStr">
        <is>
          <t>Done</t>
        </is>
      </c>
    </row>
    <row r="80" ht="25.5" customHeight="1" s="22">
      <c r="A80" s="25" t="inlineStr">
        <is>
          <t>ST-077</t>
        </is>
      </c>
      <c r="B80" s="25" t="inlineStr">
        <is>
          <t>E7</t>
        </is>
      </c>
      <c r="C80" s="25" t="inlineStr">
        <is>
          <t>Alert thresholds configurable (activation drop, error spike, churn signal)</t>
        </is>
      </c>
      <c r="D80" s="25" t="n">
        <v>3</v>
      </c>
      <c r="E80" s="25" t="inlineStr">
        <is>
          <t>P2</t>
        </is>
      </c>
      <c r="F80" s="25" t="inlineStr">
        <is>
          <t>S8</t>
        </is>
      </c>
      <c r="G80" s="25" t="inlineStr">
        <is>
          <t>Done</t>
        </is>
      </c>
    </row>
    <row r="81" ht="25.5" customHeight="1" s="22">
      <c r="A81" s="25" t="inlineStr">
        <is>
          <t>ST-078</t>
        </is>
      </c>
      <c r="B81" s="25" t="inlineStr">
        <is>
          <t>E8</t>
        </is>
      </c>
      <c r="C81" s="25" t="inlineStr">
        <is>
          <t>First-run checklist reaches aha-moment in &lt;1 day</t>
        </is>
      </c>
      <c r="D81" s="25" t="n">
        <v>5</v>
      </c>
      <c r="E81" s="25" t="inlineStr">
        <is>
          <t>P0</t>
        </is>
      </c>
      <c r="F81" s="25" t="inlineStr">
        <is>
          <t>S5</t>
        </is>
      </c>
      <c r="G81" s="25" t="inlineStr">
        <is>
          <t>Done</t>
        </is>
      </c>
    </row>
    <row r="82" ht="25.5" customHeight="1" s="22">
      <c r="A82" s="25" t="inlineStr">
        <is>
          <t>ST-079</t>
        </is>
      </c>
      <c r="B82" s="25" t="inlineStr">
        <is>
          <t>E8</t>
        </is>
      </c>
      <c r="C82" s="25" t="inlineStr">
        <is>
          <t>Empty states teach next action on every screen</t>
        </is>
      </c>
      <c r="D82" s="25" t="n">
        <v>3</v>
      </c>
      <c r="E82" s="25" t="inlineStr">
        <is>
          <t>P1</t>
        </is>
      </c>
      <c r="F82" s="25" t="inlineStr">
        <is>
          <t>S5</t>
        </is>
      </c>
      <c r="G82" s="25" t="inlineStr">
        <is>
          <t>Done</t>
        </is>
      </c>
    </row>
    <row r="83" ht="25.5" customHeight="1" s="22">
      <c r="A83" s="25" t="inlineStr">
        <is>
          <t>ST-080</t>
        </is>
      </c>
      <c r="B83" s="25" t="inlineStr">
        <is>
          <t>E8</t>
        </is>
      </c>
      <c r="C83" s="25" t="inlineStr">
        <is>
          <t>Help center with 15 launch articles + search</t>
        </is>
      </c>
      <c r="D83" s="25" t="n">
        <v>5</v>
      </c>
      <c r="E83" s="25" t="inlineStr">
        <is>
          <t>P1</t>
        </is>
      </c>
      <c r="F83" s="25" t="inlineStr">
        <is>
          <t>S10</t>
        </is>
      </c>
      <c r="G83" s="25" t="inlineStr">
        <is>
          <t>Code-complete — pending live</t>
        </is>
      </c>
    </row>
    <row r="84" ht="25.5" customHeight="1" s="22">
      <c r="A84" s="25" t="inlineStr">
        <is>
          <t>ST-081</t>
        </is>
      </c>
      <c r="B84" s="25" t="inlineStr">
        <is>
          <t>E8</t>
        </is>
      </c>
      <c r="C84" s="25" t="inlineStr">
        <is>
          <t>In-app chat with &lt;4 business-hr first response</t>
        </is>
      </c>
      <c r="D84" s="25" t="n">
        <v>3</v>
      </c>
      <c r="E84" s="25" t="inlineStr">
        <is>
          <t>P0</t>
        </is>
      </c>
      <c r="F84" s="25" t="inlineStr">
        <is>
          <t>S10</t>
        </is>
      </c>
      <c r="G84" s="25" t="inlineStr">
        <is>
          <t>Code-complete — pending live</t>
        </is>
      </c>
    </row>
    <row r="85" ht="25.5" customHeight="1" s="22">
      <c r="A85" s="25" t="inlineStr">
        <is>
          <t>ST-082</t>
        </is>
      </c>
      <c r="B85" s="25" t="inlineStr">
        <is>
          <t>E8</t>
        </is>
      </c>
      <c r="C85" s="25" t="inlineStr">
        <is>
          <t>In-app review ask after aha-moment (marketplace rating engine)</t>
        </is>
      </c>
      <c r="D85" s="25" t="n">
        <v>3</v>
      </c>
      <c r="E85" s="25" t="inlineStr">
        <is>
          <t>P1</t>
        </is>
      </c>
      <c r="F85" s="25" t="inlineStr">
        <is>
          <t>S11</t>
        </is>
      </c>
      <c r="G85" s="25" t="inlineStr">
        <is>
          <t>Done</t>
        </is>
      </c>
    </row>
    <row r="86" ht="25.5" customHeight="1" s="22">
      <c r="A86" s="25" t="inlineStr">
        <is>
          <t>ST-083</t>
        </is>
      </c>
      <c r="B86" s="25" t="inlineStr">
        <is>
          <t>E8</t>
        </is>
      </c>
      <c r="C86" s="25" t="inlineStr">
        <is>
          <t>Demo video (2 min) + interactive sandbox/demo data mode</t>
        </is>
      </c>
      <c r="D86" s="25" t="n">
        <v>5</v>
      </c>
      <c r="E86" s="25" t="inlineStr">
        <is>
          <t>P1</t>
        </is>
      </c>
      <c r="F86" s="25" t="inlineStr">
        <is>
          <t>S10</t>
        </is>
      </c>
      <c r="G86" s="25" t="inlineStr">
        <is>
          <t>Drafted — pending publish</t>
        </is>
      </c>
    </row>
    <row r="87" ht="25.5" customHeight="1" s="22">
      <c r="A87" s="25" t="inlineStr">
        <is>
          <t>ST-084</t>
        </is>
      </c>
      <c r="B87" s="25" t="inlineStr">
        <is>
          <t>E8</t>
        </is>
      </c>
      <c r="C87" s="25" t="inlineStr">
        <is>
          <t>Status page + incident comms template</t>
        </is>
      </c>
      <c r="D87" s="25" t="n">
        <v>2</v>
      </c>
      <c r="E87" s="25" t="inlineStr">
        <is>
          <t>P2</t>
        </is>
      </c>
      <c r="F87" s="25" t="inlineStr">
        <is>
          <t>S10</t>
        </is>
      </c>
      <c r="G87" s="25" t="inlineStr">
        <is>
          <t>Done</t>
        </is>
      </c>
    </row>
    <row r="88" ht="25.5" customHeight="1" s="22">
      <c r="A88" s="25" t="inlineStr">
        <is>
          <t>ST-085</t>
        </is>
      </c>
      <c r="B88" s="25" t="inlineStr">
        <is>
          <t>EQ</t>
        </is>
      </c>
      <c r="C88" s="25" t="inlineStr">
        <is>
          <t>Unit+integration test coverage gate 100% on all code (D13, 10 Sep 2026 — supersedes former ≥70% gate)</t>
        </is>
      </c>
      <c r="D88" s="25" t="n">
        <v>5</v>
      </c>
      <c r="E88" s="25" t="inlineStr">
        <is>
          <t>P0</t>
        </is>
      </c>
      <c r="F88" s="25" t="inlineStr">
        <is>
          <t>S3</t>
        </is>
      </c>
      <c r="G88" s="25" t="inlineStr">
        <is>
          <t>Done</t>
        </is>
      </c>
    </row>
    <row r="89" ht="25.5" customHeight="1" s="22">
      <c r="A89" s="25" t="inlineStr">
        <is>
          <t>ST-086</t>
        </is>
      </c>
      <c r="B89" s="25" t="inlineStr">
        <is>
          <t>EQ</t>
        </is>
      </c>
      <c r="C89" s="25" t="inlineStr">
        <is>
          <t>E2E smoke suite runs on every deploy</t>
        </is>
      </c>
      <c r="D89" s="25" t="n">
        <v>5</v>
      </c>
      <c r="E89" s="25" t="inlineStr">
        <is>
          <t>P0</t>
        </is>
      </c>
      <c r="F89" s="25" t="inlineStr">
        <is>
          <t>S4</t>
        </is>
      </c>
      <c r="G89" s="25" t="inlineStr">
        <is>
          <t>Code-complete — pending live</t>
        </is>
      </c>
    </row>
    <row r="90" ht="25.5" customHeight="1" s="22">
      <c r="A90" s="25" t="inlineStr">
        <is>
          <t>ST-087</t>
        </is>
      </c>
      <c r="B90" s="25" t="inlineStr">
        <is>
          <t>EQ</t>
        </is>
      </c>
      <c r="C90" s="25" t="inlineStr">
        <is>
          <t>p95 latency budgets defined and monitored per surface</t>
        </is>
      </c>
      <c r="D90" s="25" t="n">
        <v>3</v>
      </c>
      <c r="E90" s="25" t="inlineStr">
        <is>
          <t>P0</t>
        </is>
      </c>
      <c r="F90" s="25" t="inlineStr">
        <is>
          <t>S8</t>
        </is>
      </c>
      <c r="G90" s="25" t="inlineStr">
        <is>
          <t>Code-complete — pending live</t>
        </is>
      </c>
    </row>
    <row r="91" ht="25.5" customHeight="1" s="22">
      <c r="A91" s="25" t="inlineStr">
        <is>
          <t>ST-088</t>
        </is>
      </c>
      <c r="B91" s="25" t="inlineStr">
        <is>
          <t>EQ</t>
        </is>
      </c>
      <c r="C91" s="25" t="inlineStr">
        <is>
          <t>Load test at 5x expected launch traffic</t>
        </is>
      </c>
      <c r="D91" s="25" t="n">
        <v>5</v>
      </c>
      <c r="E91" s="25" t="inlineStr">
        <is>
          <t>P1</t>
        </is>
      </c>
      <c r="F91" s="25" t="inlineStr">
        <is>
          <t>S8</t>
        </is>
      </c>
      <c r="G91" s="25" t="inlineStr">
        <is>
          <t>Code-complete — pending live</t>
        </is>
      </c>
    </row>
    <row r="92" ht="25.5" customHeight="1" s="22">
      <c r="A92" s="25" t="inlineStr">
        <is>
          <t>ST-089</t>
        </is>
      </c>
      <c r="B92" s="25" t="inlineStr">
        <is>
          <t>EQ</t>
        </is>
      </c>
      <c r="C92" s="25" t="inlineStr">
        <is>
          <t>Accessibility WCAG AA pass on primary flows</t>
        </is>
      </c>
      <c r="D92" s="25" t="n">
        <v>3</v>
      </c>
      <c r="E92" s="25" t="inlineStr">
        <is>
          <t>P1</t>
        </is>
      </c>
      <c r="F92" s="25" t="inlineStr">
        <is>
          <t>S9</t>
        </is>
      </c>
      <c r="G92" s="25" t="inlineStr">
        <is>
          <t>Code-complete — pending live</t>
        </is>
      </c>
    </row>
    <row r="93" ht="25.5" customHeight="1" s="22">
      <c r="A93" s="25" t="inlineStr">
        <is>
          <t>ST-090</t>
        </is>
      </c>
      <c r="B93" s="25" t="inlineStr">
        <is>
          <t>EQ</t>
        </is>
      </c>
      <c r="C93" s="25" t="inlineStr">
        <is>
          <t>Backup + restore drill executed</t>
        </is>
      </c>
      <c r="D93" s="25" t="n">
        <v>3</v>
      </c>
      <c r="E93" s="25" t="inlineStr">
        <is>
          <t>P1</t>
        </is>
      </c>
      <c r="F93" s="25" t="inlineStr">
        <is>
          <t>S9</t>
        </is>
      </c>
      <c r="G93" s="25" t="inlineStr">
        <is>
          <t>Drafted — pending publish</t>
        </is>
      </c>
    </row>
    <row r="94" ht="25.5" customHeight="1" s="22">
      <c r="A94" s="25" t="inlineStr">
        <is>
          <t>ST-091</t>
        </is>
      </c>
      <c r="B94" s="25" t="inlineStr">
        <is>
          <t>EQ</t>
        </is>
      </c>
      <c r="C94" s="25" t="inlineStr">
        <is>
          <t>Chaos test: platform API outage degrades gracefully with user comms</t>
        </is>
      </c>
      <c r="D94" s="25" t="n">
        <v>3</v>
      </c>
      <c r="E94" s="25" t="inlineStr">
        <is>
          <t>P2</t>
        </is>
      </c>
      <c r="F94" s="25" t="inlineStr">
        <is>
          <t>S9</t>
        </is>
      </c>
      <c r="G94" s="25" t="inlineStr">
        <is>
          <t>Code-complete — pending live</t>
        </is>
      </c>
    </row>
    <row r="95" ht="25.5" customHeight="1" s="22">
      <c r="A95" s="25" t="inlineStr">
        <is>
          <t>ST-092</t>
        </is>
      </c>
      <c r="B95" s="25" t="inlineStr">
        <is>
          <t>EQ</t>
        </is>
      </c>
      <c r="C95" s="25" t="inlineStr">
        <is>
          <t>Zero-downtime deploy verified (blue/green or rolling)</t>
        </is>
      </c>
      <c r="D95" s="25" t="n">
        <v>3</v>
      </c>
      <c r="E95" s="25" t="inlineStr">
        <is>
          <t>P2</t>
        </is>
      </c>
      <c r="F95" s="25" t="inlineStr">
        <is>
          <t>S8</t>
        </is>
      </c>
      <c r="G95" s="25" t="inlineStr">
        <is>
          <t>Code-complete — pending live</t>
        </is>
      </c>
    </row>
    <row r="96" ht="25.5" customHeight="1" s="22">
      <c r="A96" s="25" t="inlineStr">
        <is>
          <t>ST-093</t>
        </is>
      </c>
      <c r="B96" s="25" t="inlineStr">
        <is>
          <t>EL</t>
        </is>
      </c>
      <c r="C96" s="25" t="inlineStr">
        <is>
          <t>Marketplace listing copy A + B variants drafted and reviewed</t>
        </is>
      </c>
      <c r="D96" s="25" t="n">
        <v>3</v>
      </c>
      <c r="E96" s="25" t="inlineStr">
        <is>
          <t>P0</t>
        </is>
      </c>
      <c r="F96" s="25" t="inlineStr">
        <is>
          <t>S9</t>
        </is>
      </c>
      <c r="G96" s="25" t="inlineStr">
        <is>
          <t>Drafted — pending review</t>
        </is>
      </c>
    </row>
    <row r="97" ht="25.5" customHeight="1" s="22">
      <c r="A97" s="25" t="inlineStr">
        <is>
          <t>ST-094</t>
        </is>
      </c>
      <c r="B97" s="25" t="inlineStr">
        <is>
          <t>EL</t>
        </is>
      </c>
      <c r="C97" s="25" t="inlineStr">
        <is>
          <t>5 screenshots + 2-min demo video meet platform asset specs</t>
        </is>
      </c>
      <c r="D97" s="25" t="n">
        <v>5</v>
      </c>
      <c r="E97" s="25" t="inlineStr">
        <is>
          <t>P0</t>
        </is>
      </c>
      <c r="F97" s="25" t="inlineStr">
        <is>
          <t>S9</t>
        </is>
      </c>
      <c r="G97" s="25" t="inlineStr">
        <is>
          <t>Drafted — pending publish</t>
        </is>
      </c>
    </row>
    <row r="98" ht="25.5" customHeight="1" s="22">
      <c r="A98" s="25" t="inlineStr">
        <is>
          <t>ST-095</t>
        </is>
      </c>
      <c r="B98" s="25" t="inlineStr">
        <is>
          <t>EL</t>
        </is>
      </c>
      <c r="C98" s="25" t="inlineStr">
        <is>
          <t>Pricing page/plan matrix published with FAQ</t>
        </is>
      </c>
      <c r="D98" s="25" t="n">
        <v>3</v>
      </c>
      <c r="E98" s="25" t="inlineStr">
        <is>
          <t>P0</t>
        </is>
      </c>
      <c r="F98" s="25" t="inlineStr">
        <is>
          <t>S10</t>
        </is>
      </c>
      <c r="G98" s="25" t="inlineStr">
        <is>
          <t>Code-complete — pending live</t>
        </is>
      </c>
    </row>
    <row r="99" ht="25.5" customHeight="1" s="22">
      <c r="A99" s="25" t="inlineStr">
        <is>
          <t>ST-096</t>
        </is>
      </c>
      <c r="B99" s="25" t="inlineStr">
        <is>
          <t>EL</t>
        </is>
      </c>
      <c r="C99" s="25" t="inlineStr">
        <is>
          <t>Security/trust page (data handling, subprocessors) live</t>
        </is>
      </c>
      <c r="D99" s="25" t="n">
        <v>3</v>
      </c>
      <c r="E99" s="25" t="inlineStr">
        <is>
          <t>P0</t>
        </is>
      </c>
      <c r="F99" s="25" t="inlineStr">
        <is>
          <t>S10</t>
        </is>
      </c>
      <c r="G99" s="25" t="inlineStr">
        <is>
          <t>Drafted — pending publish</t>
        </is>
      </c>
    </row>
    <row r="100" ht="25.5" customHeight="1" s="22">
      <c r="A100" s="25" t="inlineStr">
        <is>
          <t>ST-097</t>
        </is>
      </c>
      <c r="B100" s="25" t="inlineStr">
        <is>
          <t>EL</t>
        </is>
      </c>
      <c r="C100" s="25" t="inlineStr">
        <is>
          <t>Submission dry-run against platform checklist by second reviewer</t>
        </is>
      </c>
      <c r="D100" s="25" t="n">
        <v>3</v>
      </c>
      <c r="E100" s="25" t="inlineStr">
        <is>
          <t>P0</t>
        </is>
      </c>
      <c r="F100" s="25" t="inlineStr">
        <is>
          <t>S10</t>
        </is>
      </c>
      <c r="G100" s="25" t="inlineStr">
        <is>
          <t>In progress</t>
        </is>
      </c>
    </row>
    <row r="101" ht="25.5" customHeight="1" s="22">
      <c r="A101" s="25" t="inlineStr">
        <is>
          <t>ST-098</t>
        </is>
      </c>
      <c r="B101" s="25" t="inlineStr">
        <is>
          <t>EL</t>
        </is>
      </c>
      <c r="C101" s="25" t="inlineStr">
        <is>
          <t>Launch-day runbook: monitoring, rollback, comms tree</t>
        </is>
      </c>
      <c r="D101" s="25" t="n">
        <v>3</v>
      </c>
      <c r="E101" s="25" t="inlineStr">
        <is>
          <t>P1</t>
        </is>
      </c>
      <c r="F101" s="25" t="inlineStr">
        <is>
          <t>S11</t>
        </is>
      </c>
      <c r="G101" s="25" t="inlineStr">
        <is>
          <t>Done</t>
        </is>
      </c>
    </row>
    <row r="102" ht="25.5" customHeight="1" s="22">
      <c r="A102" s="25" t="inlineStr">
        <is>
          <t>ST-099</t>
        </is>
      </c>
      <c r="B102" s="25" t="inlineStr">
        <is>
          <t>EL</t>
        </is>
      </c>
      <c r="C102" s="25" t="inlineStr">
        <is>
          <t>Post-launch listing SEO iteration 1 from search-term data</t>
        </is>
      </c>
      <c r="D102" s="25" t="n">
        <v>2</v>
      </c>
      <c r="E102" s="25" t="inlineStr">
        <is>
          <t>P2</t>
        </is>
      </c>
      <c r="F102" s="25" t="inlineStr">
        <is>
          <t>S12</t>
        </is>
      </c>
      <c r="G102" s="25" t="inlineStr">
        <is>
          <t>Code-complete — pending live</t>
        </is>
      </c>
    </row>
    <row r="103" ht="25.5" customHeight="1" s="22">
      <c r="A103" s="25" t="inlineStr">
        <is>
          <t>ST-100</t>
        </is>
      </c>
      <c r="B103" s="25" t="inlineStr">
        <is>
          <t>EL</t>
        </is>
      </c>
      <c r="C103" s="25" t="inlineStr">
        <is>
          <t>First 10 design-partner reviews scheduled</t>
        </is>
      </c>
      <c r="D103" s="25" t="n">
        <v>2</v>
      </c>
      <c r="E103" s="25" t="inlineStr">
        <is>
          <t>P1</t>
        </is>
      </c>
      <c r="F103" s="25" t="inlineStr">
        <is>
          <t>S11</t>
        </is>
      </c>
      <c r="G103" s="25" t="inlineStr">
        <is>
          <t>Code-complete — pending live</t>
        </is>
      </c>
    </row>
    <row r="105" ht="30" customHeight="1" s="22">
      <c r="A105" s="30" t="inlineStr">
        <is>
          <t>Total stories: 100. Epics: F1-F5 = product features; E1 install, E5 billing, E6 compliance, E7 telemetry, E8 onboarding/docs/support, EQ quality. Edit Status (Backlog/In progress/Done) during execution.</t>
        </is>
      </c>
    </row>
  </sheetData>
  <mergeCells count="1">
    <mergeCell ref="A105:G10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44" customWidth="1" style="21" min="2" max="2"/>
    <col width="9" customWidth="1" style="21" min="3" max="4"/>
    <col width="8" customWidth="1" style="21" min="5" max="5"/>
    <col width="52" customWidth="1" style="21" min="6" max="6"/>
  </cols>
  <sheetData>
    <row r="1" ht="17.25" customHeight="1" s="22">
      <c r="A1" s="23" t="inlineStr">
        <is>
          <t>SPRINT BOARD — live counts from Full_Backlog</t>
        </is>
      </c>
    </row>
    <row r="3" ht="15" customHeight="1" s="22">
      <c r="A3" s="24" t="inlineStr">
        <is>
          <t>Sprint</t>
        </is>
      </c>
      <c r="B3" s="24" t="inlineStr">
        <is>
          <t>Focus</t>
        </is>
      </c>
      <c r="C3" s="24" t="inlineStr">
        <is>
          <t>Stories</t>
        </is>
      </c>
      <c r="D3" s="24" t="inlineStr">
        <is>
          <t>Points</t>
        </is>
      </c>
      <c r="E3" s="24" t="inlineStr">
        <is>
          <t>Done</t>
        </is>
      </c>
      <c r="F3" s="24" t="inlineStr">
        <is>
          <t>Exit criteria</t>
        </is>
      </c>
    </row>
    <row r="4" ht="31.5" customHeight="1" s="22">
      <c r="A4" s="25" t="inlineStr">
        <is>
          <t>S0</t>
        </is>
      </c>
      <c r="B4" s="25" t="inlineStr">
        <is>
          <t>Discovery &amp; Design (2 wks)</t>
        </is>
      </c>
      <c r="C4" s="25">
        <f>COUNTIF(Full_Backlog!F4:F103,"S0")</f>
        <v/>
      </c>
      <c r="D4" s="25">
        <f>SUMIF(Full_Backlog!F4:F103,"S0",Full_Backlog!D4:D103)</f>
        <v/>
      </c>
      <c r="E4" s="25">
        <f>COUNTIFS(Full_Backlog!F4:F103,"S0",Full_Backlog!G4:G103,"Done")</f>
        <v/>
      </c>
      <c r="F4" s="25" t="inlineStr">
        <is>
          <t>PRD signed off; prototype tested with 5 target users</t>
        </is>
      </c>
    </row>
    <row r="5" ht="31.5" customHeight="1" s="22">
      <c r="A5" s="25" t="inlineStr">
        <is>
          <t>S1</t>
        </is>
      </c>
      <c r="B5" s="25" t="inlineStr">
        <is>
          <t>Foundation (2 wks)</t>
        </is>
      </c>
      <c r="C5" s="25">
        <f>COUNTIF(Full_Backlog!F4:F103,"S1")</f>
        <v/>
      </c>
      <c r="D5" s="25">
        <f>SUMIF(Full_Backlog!F4:F103,"S1",Full_Backlog!D4:D103)</f>
        <v/>
      </c>
      <c r="E5" s="25">
        <f>COUNTIFS(Full_Backlog!F4:F103,"S1",Full_Backlog!G4:G103,"Done")</f>
        <v/>
      </c>
      <c r="F5" s="25" t="inlineStr">
        <is>
          <t>App installs cleanly in dev store/org; telemetry firing</t>
        </is>
      </c>
    </row>
    <row r="6" ht="31.5" customHeight="1" s="22">
      <c r="A6" s="25" t="inlineStr">
        <is>
          <t>S2</t>
        </is>
      </c>
      <c r="B6" s="25" t="inlineStr">
        <is>
          <t>Core feature 13-week forecast engine - part 1</t>
        </is>
      </c>
      <c r="C6" s="25">
        <f>COUNTIF(Full_Backlog!F4:F103,"S2")</f>
        <v/>
      </c>
      <c r="D6" s="25">
        <f>SUMIF(Full_Backlog!F4:F103,"S2",Full_Backlog!D4:D103)</f>
        <v/>
      </c>
      <c r="E6" s="25">
        <f>COUNTIFS(Full_Backlog!F4:F103,"S2",Full_Backlog!G4:G103,"Done")</f>
        <v/>
      </c>
      <c r="F6" s="25" t="inlineStr">
        <is>
          <t>13-week forecast engine happy path demoable</t>
        </is>
      </c>
    </row>
    <row r="7" ht="31.5" customHeight="1" s="22">
      <c r="A7" s="25" t="inlineStr">
        <is>
          <t>S3</t>
        </is>
      </c>
      <c r="B7" s="25" t="inlineStr">
        <is>
          <t>Core feature 13-week forecast engine - part 2 + Scenario sliders start</t>
        </is>
      </c>
      <c r="C7" s="25">
        <f>COUNTIF(Full_Backlog!F4:F103,"S3")</f>
        <v/>
      </c>
      <c r="D7" s="25">
        <f>SUMIF(Full_Backlog!F4:F103,"S3",Full_Backlog!D4:D103)</f>
        <v/>
      </c>
      <c r="E7" s="25">
        <f>COUNTIFS(Full_Backlog!F4:F103,"S3",Full_Backlog!G4:G103,"Done")</f>
        <v/>
      </c>
      <c r="F7" s="25" t="inlineStr">
        <is>
          <t>13-week forecast engine complete with tests; Scenario sliders skeleton</t>
        </is>
      </c>
    </row>
    <row r="8" ht="31.5" customHeight="1" s="22">
      <c r="A8" s="25" t="inlineStr">
        <is>
          <t>S4</t>
        </is>
      </c>
      <c r="B8" s="25" t="inlineStr">
        <is>
          <t>Core feature Scenario sliders</t>
        </is>
      </c>
      <c r="C8" s="25">
        <f>COUNTIF(Full_Backlog!F4:F103,"S4")</f>
        <v/>
      </c>
      <c r="D8" s="25">
        <f>SUMIF(Full_Backlog!F4:F103,"S4",Full_Backlog!D4:D103)</f>
        <v/>
      </c>
      <c r="E8" s="25">
        <f>COUNTIFS(Full_Backlog!F4:F103,"S4",Full_Backlog!G4:G103,"Done")</f>
        <v/>
      </c>
      <c r="F8" s="25" t="inlineStr">
        <is>
          <t>MVP loop usable end-to-end internally</t>
        </is>
      </c>
    </row>
    <row r="9" ht="31.5" customHeight="1" s="22">
      <c r="A9" s="25" t="inlineStr">
        <is>
          <t>S5</t>
        </is>
      </c>
      <c r="B9" s="25" t="inlineStr">
        <is>
          <t>Feature Invoice chase nudges + alpha hardening</t>
        </is>
      </c>
      <c r="C9" s="25">
        <f>COUNTIF(Full_Backlog!F4:F103,"S5")</f>
        <v/>
      </c>
      <c r="D9" s="25">
        <f>SUMIF(Full_Backlog!F4:F103,"S5",Full_Backlog!D4:D103)</f>
        <v/>
      </c>
      <c r="E9" s="25">
        <f>COUNTIFS(Full_Backlog!F4:F103,"S5",Full_Backlog!G4:G103,"Done")</f>
        <v/>
      </c>
      <c r="F9" s="25" t="inlineStr">
        <is>
          <t>Internal alpha: team dogfoods daily</t>
        </is>
      </c>
    </row>
    <row r="10" ht="31.5" customHeight="1" s="22">
      <c r="A10" s="25" t="inlineStr">
        <is>
          <t>S6</t>
        </is>
      </c>
      <c r="B10" s="25" t="inlineStr">
        <is>
          <t>Billing + Accountant portal</t>
        </is>
      </c>
      <c r="C10" s="25">
        <f>COUNTIF(Full_Backlog!F4:F103,"S6")</f>
        <v/>
      </c>
      <c r="D10" s="25">
        <f>SUMIF(Full_Backlog!F4:F103,"S6",Full_Backlog!D4:D103)</f>
        <v/>
      </c>
      <c r="E10" s="25">
        <f>COUNTIFS(Full_Backlog!F4:F103,"S6",Full_Backlog!G4:G103,"Done")</f>
        <v/>
      </c>
      <c r="F10" s="25" t="inlineStr">
        <is>
          <t>Can charge a test customer; upgrade/downgrade paths work</t>
        </is>
      </c>
    </row>
    <row r="11" ht="31.5" customHeight="1" s="22">
      <c r="A11" s="25" t="inlineStr">
        <is>
          <t>S7</t>
        </is>
      </c>
      <c r="B11" s="25" t="inlineStr">
        <is>
          <t>Private beta (design partners)</t>
        </is>
      </c>
      <c r="C11" s="25">
        <f>COUNTIF(Full_Backlog!F4:F103,"S7")</f>
        <v/>
      </c>
      <c r="D11" s="25">
        <f>SUMIF(Full_Backlog!F4:F103,"S7",Full_Backlog!D4:D103)</f>
        <v/>
      </c>
      <c r="E11" s="25">
        <f>COUNTIFS(Full_Backlog!F4:F103,"S7",Full_Backlog!G4:G103,"Done")</f>
        <v/>
      </c>
      <c r="F11" s="25" t="inlineStr">
        <is>
          <t>3+ partners active weekly; NPS pulse &gt;30</t>
        </is>
      </c>
    </row>
    <row r="12" ht="31.5" customHeight="1" s="22">
      <c r="A12" s="25" t="inlineStr">
        <is>
          <t>S8</t>
        </is>
      </c>
      <c r="B12" s="25" t="inlineStr">
        <is>
          <t>Beta iteration + Bank-feed anomaly alerts</t>
        </is>
      </c>
      <c r="C12" s="25">
        <f>COUNTIF(Full_Backlog!F4:F103,"S8")</f>
        <v/>
      </c>
      <c r="D12" s="25">
        <f>SUMIF(Full_Backlog!F4:F103,"S8",Full_Backlog!D4:D103)</f>
        <v/>
      </c>
      <c r="E12" s="25">
        <f>COUNTIFS(Full_Backlog!F4:F103,"S8",Full_Backlog!G4:G103,"Done")</f>
        <v/>
      </c>
      <c r="F12" s="25" t="inlineStr">
        <is>
          <t>Retention of beta cohort week-over-week &gt;60%</t>
        </is>
      </c>
    </row>
    <row r="13" ht="31.5" customHeight="1" s="22">
      <c r="A13" s="25" t="inlineStr">
        <is>
          <t>S9</t>
        </is>
      </c>
      <c r="B13" s="25" t="inlineStr">
        <is>
          <t>Marketplace review prep</t>
        </is>
      </c>
      <c r="C13" s="25">
        <f>COUNTIF(Full_Backlog!F4:F103,"S9")</f>
        <v/>
      </c>
      <c r="D13" s="25">
        <f>SUMIF(Full_Backlog!F4:F103,"S9",Full_Backlog!D4:D103)</f>
        <v/>
      </c>
      <c r="E13" s="25">
        <f>COUNTIFS(Full_Backlog!F4:F103,"S9",Full_Backlog!G4:G103,"Done")</f>
        <v/>
      </c>
      <c r="F13" s="25" t="inlineStr">
        <is>
          <t>Review submission accepted into queue</t>
        </is>
      </c>
    </row>
    <row r="14" ht="31.5" customHeight="1" s="22">
      <c r="A14" s="25" t="inlineStr">
        <is>
          <t>S10</t>
        </is>
      </c>
      <c r="B14" s="25" t="inlineStr">
        <is>
          <t>Review remediation + docs</t>
        </is>
      </c>
      <c r="C14" s="25">
        <f>COUNTIF(Full_Backlog!F4:F103,"S10")</f>
        <v/>
      </c>
      <c r="D14" s="25">
        <f>SUMIF(Full_Backlog!F4:F103,"S10",Full_Backlog!D4:D103)</f>
        <v/>
      </c>
      <c r="E14" s="25">
        <f>COUNTIFS(Full_Backlog!F4:F103,"S10",Full_Backlog!G4:G103,"Done")</f>
        <v/>
      </c>
      <c r="F14" s="25" t="inlineStr">
        <is>
          <t>Marketplace approval obtained (or final remediation cycle)</t>
        </is>
      </c>
    </row>
    <row r="15" ht="31.5" customHeight="1" s="22">
      <c r="A15" s="25" t="inlineStr">
        <is>
          <t>S11</t>
        </is>
      </c>
      <c r="B15" s="25" t="inlineStr">
        <is>
          <t>Launch</t>
        </is>
      </c>
      <c r="C15" s="25">
        <f>COUNTIF(Full_Backlog!F4:F103,"S11")</f>
        <v/>
      </c>
      <c r="D15" s="25">
        <f>SUMIF(Full_Backlog!F4:F103,"S11",Full_Backlog!D4:D103)</f>
        <v/>
      </c>
      <c r="E15" s="25">
        <f>COUNTIFS(Full_Backlog!F4:F103,"S11",Full_Backlog!G4:G103,"Done")</f>
        <v/>
      </c>
      <c r="F15" s="25" t="inlineStr">
        <is>
          <t>First 10 installs; first 3 reviews; activation &gt;40%</t>
        </is>
      </c>
    </row>
    <row r="16" ht="31.5" customHeight="1" s="22">
      <c r="A16" s="25" t="inlineStr">
        <is>
          <t>S12</t>
        </is>
      </c>
      <c r="B16" s="25" t="inlineStr">
        <is>
          <t>Iterate &amp; scale decision</t>
        </is>
      </c>
      <c r="C16" s="25">
        <f>COUNTIF(Full_Backlog!F4:F103,"S12")</f>
        <v/>
      </c>
      <c r="D16" s="25">
        <f>SUMIF(Full_Backlog!F4:F103,"S12",Full_Backlog!D4:D103)</f>
        <v/>
      </c>
      <c r="E16" s="25">
        <f>COUNTIFS(Full_Backlog!F4:F103,"S12",Full_Backlog!G4:G103,"Done")</f>
        <v/>
      </c>
      <c r="F16" s="25" t="inlineStr">
        <is>
          <t>Growth model doc with CAC/LTV first estimates</t>
        </is>
      </c>
    </row>
    <row r="17" ht="15" customHeight="1" s="22">
      <c r="B17" s="33" t="inlineStr">
        <is>
          <t>TOTAL</t>
        </is>
      </c>
      <c r="C17" s="33">
        <f>SUM(C4:C16)</f>
        <v/>
      </c>
      <c r="D17" s="33">
        <f>SUM(D4:D16)</f>
        <v/>
      </c>
    </row>
    <row r="18" ht="27.75" customHeight="1" s="22">
      <c r="B18" s="30" t="inlineStr">
        <is>
          <t>Velocity check: points/sprint S2-S8 should sit within 30-45 for a 4-6 person team; rebalance Sprint column in backlog if a sprint exceeds capacity.</t>
        </is>
      </c>
    </row>
  </sheetData>
  <mergeCells count="1">
    <mergeCell ref="B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S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1" min="1" max="1"/>
    <col width="11" customWidth="1" style="21" min="2" max="19"/>
  </cols>
  <sheetData>
    <row r="1" ht="17.25" customHeight="1" s="22">
      <c r="A1" s="23" t="inlineStr">
        <is>
          <t>18-MONTH FINANCIAL MODEL — Xero: accountant-channel PLG (edit yellow assumptions)</t>
        </is>
      </c>
    </row>
    <row r="3" ht="15" customHeight="1" s="22">
      <c r="A3" s="24" t="inlineStr">
        <is>
          <t>Assumption</t>
        </is>
      </c>
      <c r="B3" s="24" t="inlineStr">
        <is>
          <t>Value</t>
        </is>
      </c>
    </row>
    <row r="4" ht="15" customHeight="1" s="22">
      <c r="A4" s="26" t="inlineStr">
        <is>
          <t>Trials/mo (month 1)</t>
        </is>
      </c>
      <c r="B4" s="26" t="n">
        <v>50</v>
      </c>
    </row>
    <row r="5" ht="15" customHeight="1" s="22">
      <c r="A5" s="26" t="inlineStr">
        <is>
          <t>Monthly growth of that</t>
        </is>
      </c>
      <c r="B5" s="26" t="n">
        <v>0.12</v>
      </c>
    </row>
    <row r="6" ht="15" customHeight="1" s="22">
      <c r="A6" s="26" t="inlineStr">
        <is>
          <t>Trial-&gt;paid %</t>
        </is>
      </c>
      <c r="B6" s="26" t="n">
        <v>0.14</v>
      </c>
    </row>
    <row r="7" ht="15" customHeight="1" s="22">
      <c r="A7" s="26" t="inlineStr">
        <is>
          <t>ARPU $/mo</t>
        </is>
      </c>
      <c r="B7" s="26" t="n">
        <v>25</v>
      </c>
    </row>
    <row r="8" ht="15" customHeight="1" s="22">
      <c r="A8" s="26" t="inlineStr">
        <is>
          <t>Monthly churn</t>
        </is>
      </c>
      <c r="B8" s="26" t="n">
        <v>0.04</v>
      </c>
    </row>
    <row r="9" ht="15" customHeight="1" s="22">
      <c r="A9" s="26" t="inlineStr">
        <is>
          <t>Marketplace fee</t>
        </is>
      </c>
      <c r="B9" s="26" t="n">
        <v>0.15</v>
      </c>
    </row>
    <row r="10" ht="15" customHeight="1" s="22">
      <c r="A10" s="26" t="inlineStr">
        <is>
          <t>Team cost month 1 (India-lean $)</t>
        </is>
      </c>
      <c r="B10" s="26" t="n">
        <v>14000</v>
      </c>
    </row>
    <row r="11" ht="15" customHeight="1" s="22">
      <c r="A11" s="26" t="inlineStr">
        <is>
          <t>Cost growth/mo</t>
        </is>
      </c>
      <c r="B11" s="26" t="n">
        <v>0.03</v>
      </c>
    </row>
    <row r="12" ht="15" customHeight="1" s="22">
      <c r="A12" s="27" t="inlineStr">
        <is>
          <t>Fee note: 15% via Xero in-store subscriptions (external billing where permitted)</t>
        </is>
      </c>
    </row>
    <row r="14" ht="15" customHeight="1" s="22">
      <c r="A14" s="24" t="inlineStr">
        <is>
          <t>Line</t>
        </is>
      </c>
      <c r="B14" s="24" t="inlineStr">
        <is>
          <t>M1</t>
        </is>
      </c>
      <c r="C14" s="24" t="inlineStr">
        <is>
          <t>M2</t>
        </is>
      </c>
      <c r="D14" s="24" t="inlineStr">
        <is>
          <t>M3</t>
        </is>
      </c>
      <c r="E14" s="24" t="inlineStr">
        <is>
          <t>M4</t>
        </is>
      </c>
      <c r="F14" s="24" t="inlineStr">
        <is>
          <t>M5</t>
        </is>
      </c>
      <c r="G14" s="24" t="inlineStr">
        <is>
          <t>M6</t>
        </is>
      </c>
      <c r="H14" s="24" t="inlineStr">
        <is>
          <t>M7</t>
        </is>
      </c>
      <c r="I14" s="24" t="inlineStr">
        <is>
          <t>M8</t>
        </is>
      </c>
      <c r="J14" s="24" t="inlineStr">
        <is>
          <t>M9</t>
        </is>
      </c>
      <c r="K14" s="24" t="inlineStr">
        <is>
          <t>M10</t>
        </is>
      </c>
      <c r="L14" s="24" t="inlineStr">
        <is>
          <t>M11</t>
        </is>
      </c>
      <c r="M14" s="24" t="inlineStr">
        <is>
          <t>M12</t>
        </is>
      </c>
      <c r="N14" s="24" t="inlineStr">
        <is>
          <t>M13</t>
        </is>
      </c>
      <c r="O14" s="24" t="inlineStr">
        <is>
          <t>M14</t>
        </is>
      </c>
      <c r="P14" s="24" t="inlineStr">
        <is>
          <t>M15</t>
        </is>
      </c>
      <c r="Q14" s="24" t="inlineStr">
        <is>
          <t>M16</t>
        </is>
      </c>
      <c r="R14" s="24" t="inlineStr">
        <is>
          <t>M17</t>
        </is>
      </c>
      <c r="S14" s="24" t="inlineStr">
        <is>
          <t>M18</t>
        </is>
      </c>
    </row>
    <row r="15" ht="15" customHeight="1" s="22">
      <c r="A15" s="33" t="inlineStr">
        <is>
          <t>Leads/installs</t>
        </is>
      </c>
      <c r="B15" s="27">
        <f>$B$4</f>
        <v/>
      </c>
      <c r="C15" s="27">
        <f>B15*(1+$B$5)</f>
        <v/>
      </c>
      <c r="D15" s="27">
        <f>C15*(1+$B$5)</f>
        <v/>
      </c>
      <c r="E15" s="27">
        <f>D15*(1+$B$5)</f>
        <v/>
      </c>
      <c r="F15" s="27">
        <f>E15*(1+$B$5)</f>
        <v/>
      </c>
      <c r="G15" s="27">
        <f>F15*(1+$B$5)</f>
        <v/>
      </c>
      <c r="H15" s="27">
        <f>G15*(1+$B$5)</f>
        <v/>
      </c>
      <c r="I15" s="27">
        <f>H15*(1+$B$5)</f>
        <v/>
      </c>
      <c r="J15" s="27">
        <f>I15*(1+$B$5)</f>
        <v/>
      </c>
      <c r="K15" s="27">
        <f>J15*(1+$B$5)</f>
        <v/>
      </c>
      <c r="L15" s="27">
        <f>K15*(1+$B$5)</f>
        <v/>
      </c>
      <c r="M15" s="27">
        <f>L15*(1+$B$5)</f>
        <v/>
      </c>
      <c r="N15" s="27">
        <f>M15*(1+$B$5)</f>
        <v/>
      </c>
      <c r="O15" s="27">
        <f>N15*(1+$B$5)</f>
        <v/>
      </c>
      <c r="P15" s="27">
        <f>O15*(1+$B$5)</f>
        <v/>
      </c>
      <c r="Q15" s="27">
        <f>P15*(1+$B$5)</f>
        <v/>
      </c>
      <c r="R15" s="27">
        <f>Q15*(1+$B$5)</f>
        <v/>
      </c>
      <c r="S15" s="27">
        <f>R15*(1+$B$5)</f>
        <v/>
      </c>
    </row>
    <row r="16" ht="15" customHeight="1" s="22">
      <c r="A16" s="33" t="inlineStr">
        <is>
          <t>New paying</t>
        </is>
      </c>
      <c r="B16" s="27">
        <f>ROUND(B15*$B$6,1)</f>
        <v/>
      </c>
      <c r="C16" s="27">
        <f>ROUND(C15*$B$6,1)</f>
        <v/>
      </c>
      <c r="D16" s="27">
        <f>ROUND(D15*$B$6,1)</f>
        <v/>
      </c>
      <c r="E16" s="27">
        <f>ROUND(E15*$B$6,1)</f>
        <v/>
      </c>
      <c r="F16" s="27">
        <f>ROUND(F15*$B$6,1)</f>
        <v/>
      </c>
      <c r="G16" s="27">
        <f>ROUND(G15*$B$6,1)</f>
        <v/>
      </c>
      <c r="H16" s="27">
        <f>ROUND(H15*$B$6,1)</f>
        <v/>
      </c>
      <c r="I16" s="27">
        <f>ROUND(I15*$B$6,1)</f>
        <v/>
      </c>
      <c r="J16" s="27">
        <f>ROUND(J15*$B$6,1)</f>
        <v/>
      </c>
      <c r="K16" s="27">
        <f>ROUND(K15*$B$6,1)</f>
        <v/>
      </c>
      <c r="L16" s="27">
        <f>ROUND(L15*$B$6,1)</f>
        <v/>
      </c>
      <c r="M16" s="27">
        <f>ROUND(M15*$B$6,1)</f>
        <v/>
      </c>
      <c r="N16" s="27">
        <f>ROUND(N15*$B$6,1)</f>
        <v/>
      </c>
      <c r="O16" s="27">
        <f>ROUND(O15*$B$6,1)</f>
        <v/>
      </c>
      <c r="P16" s="27">
        <f>ROUND(P15*$B$6,1)</f>
        <v/>
      </c>
      <c r="Q16" s="27">
        <f>ROUND(Q15*$B$6,1)</f>
        <v/>
      </c>
      <c r="R16" s="27">
        <f>ROUND(R15*$B$6,1)</f>
        <v/>
      </c>
      <c r="S16" s="27">
        <f>ROUND(S15*$B$6,1)</f>
        <v/>
      </c>
    </row>
    <row r="17" ht="15" customHeight="1" s="22">
      <c r="A17" s="33" t="inlineStr">
        <is>
          <t>Paying accounts</t>
        </is>
      </c>
      <c r="B17" s="27">
        <f>B16</f>
        <v/>
      </c>
      <c r="C17" s="27">
        <f>ROUND(B17*(1-$B$8)+C16,1)</f>
        <v/>
      </c>
      <c r="D17" s="27">
        <f>ROUND(C17*(1-$B$8)+D16,1)</f>
        <v/>
      </c>
      <c r="E17" s="27">
        <f>ROUND(D17*(1-$B$8)+E16,1)</f>
        <v/>
      </c>
      <c r="F17" s="27">
        <f>ROUND(E17*(1-$B$8)+F16,1)</f>
        <v/>
      </c>
      <c r="G17" s="27">
        <f>ROUND(F17*(1-$B$8)+G16,1)</f>
        <v/>
      </c>
      <c r="H17" s="27">
        <f>ROUND(G17*(1-$B$8)+H16,1)</f>
        <v/>
      </c>
      <c r="I17" s="27">
        <f>ROUND(H17*(1-$B$8)+I16,1)</f>
        <v/>
      </c>
      <c r="J17" s="27">
        <f>ROUND(I17*(1-$B$8)+J16,1)</f>
        <v/>
      </c>
      <c r="K17" s="27">
        <f>ROUND(J17*(1-$B$8)+K16,1)</f>
        <v/>
      </c>
      <c r="L17" s="27">
        <f>ROUND(K17*(1-$B$8)+L16,1)</f>
        <v/>
      </c>
      <c r="M17" s="27">
        <f>ROUND(L17*(1-$B$8)+M16,1)</f>
        <v/>
      </c>
      <c r="N17" s="27">
        <f>ROUND(M17*(1-$B$8)+N16,1)</f>
        <v/>
      </c>
      <c r="O17" s="27">
        <f>ROUND(N17*(1-$B$8)+O16,1)</f>
        <v/>
      </c>
      <c r="P17" s="27">
        <f>ROUND(O17*(1-$B$8)+P16,1)</f>
        <v/>
      </c>
      <c r="Q17" s="27">
        <f>ROUND(P17*(1-$B$8)+Q16,1)</f>
        <v/>
      </c>
      <c r="R17" s="27">
        <f>ROUND(Q17*(1-$B$8)+R16,1)</f>
        <v/>
      </c>
      <c r="S17" s="27">
        <f>ROUND(R17*(1-$B$8)+S16,1)</f>
        <v/>
      </c>
    </row>
    <row r="18" ht="15" customHeight="1" s="22">
      <c r="A18" s="33" t="inlineStr">
        <is>
          <t>MRR (net of fee)</t>
        </is>
      </c>
      <c r="B18" s="27">
        <f>ROUND(B17*$B$7*(1-$B$9),0)</f>
        <v/>
      </c>
      <c r="C18" s="27">
        <f>ROUND(C17*$B$7*(1-$B$9),0)</f>
        <v/>
      </c>
      <c r="D18" s="27">
        <f>ROUND(D17*$B$7*(1-$B$9),0)</f>
        <v/>
      </c>
      <c r="E18" s="27">
        <f>ROUND(E17*$B$7*(1-$B$9),0)</f>
        <v/>
      </c>
      <c r="F18" s="27">
        <f>ROUND(F17*$B$7*(1-$B$9),0)</f>
        <v/>
      </c>
      <c r="G18" s="27">
        <f>ROUND(G17*$B$7*(1-$B$9),0)</f>
        <v/>
      </c>
      <c r="H18" s="27">
        <f>ROUND(H17*$B$7*(1-$B$9),0)</f>
        <v/>
      </c>
      <c r="I18" s="27">
        <f>ROUND(I17*$B$7*(1-$B$9),0)</f>
        <v/>
      </c>
      <c r="J18" s="27">
        <f>ROUND(J17*$B$7*(1-$B$9),0)</f>
        <v/>
      </c>
      <c r="K18" s="27">
        <f>ROUND(K17*$B$7*(1-$B$9),0)</f>
        <v/>
      </c>
      <c r="L18" s="27">
        <f>ROUND(L17*$B$7*(1-$B$9),0)</f>
        <v/>
      </c>
      <c r="M18" s="27">
        <f>ROUND(M17*$B$7*(1-$B$9),0)</f>
        <v/>
      </c>
      <c r="N18" s="27">
        <f>ROUND(N17*$B$7*(1-$B$9),0)</f>
        <v/>
      </c>
      <c r="O18" s="27">
        <f>ROUND(O17*$B$7*(1-$B$9),0)</f>
        <v/>
      </c>
      <c r="P18" s="27">
        <f>ROUND(P17*$B$7*(1-$B$9),0)</f>
        <v/>
      </c>
      <c r="Q18" s="27">
        <f>ROUND(Q17*$B$7*(1-$B$9),0)</f>
        <v/>
      </c>
      <c r="R18" s="27">
        <f>ROUND(R17*$B$7*(1-$B$9),0)</f>
        <v/>
      </c>
      <c r="S18" s="27">
        <f>ROUND(S17*$B$7*(1-$B$9),0)</f>
        <v/>
      </c>
    </row>
    <row r="19" ht="15" customHeight="1" s="22">
      <c r="A19" s="33" t="inlineStr">
        <is>
          <t>Team cost</t>
        </is>
      </c>
      <c r="B19" s="27">
        <f>$B$10</f>
        <v/>
      </c>
      <c r="C19" s="27">
        <f>ROUND(B19*(1+$B$11),0)</f>
        <v/>
      </c>
      <c r="D19" s="27">
        <f>ROUND(C19*(1+$B$11),0)</f>
        <v/>
      </c>
      <c r="E19" s="27">
        <f>ROUND(D19*(1+$B$11),0)</f>
        <v/>
      </c>
      <c r="F19" s="27">
        <f>ROUND(E19*(1+$B$11),0)</f>
        <v/>
      </c>
      <c r="G19" s="27">
        <f>ROUND(F19*(1+$B$11),0)</f>
        <v/>
      </c>
      <c r="H19" s="27">
        <f>ROUND(G19*(1+$B$11),0)</f>
        <v/>
      </c>
      <c r="I19" s="27">
        <f>ROUND(H19*(1+$B$11),0)</f>
        <v/>
      </c>
      <c r="J19" s="27">
        <f>ROUND(I19*(1+$B$11),0)</f>
        <v/>
      </c>
      <c r="K19" s="27">
        <f>ROUND(J19*(1+$B$11),0)</f>
        <v/>
      </c>
      <c r="L19" s="27">
        <f>ROUND(K19*(1+$B$11),0)</f>
        <v/>
      </c>
      <c r="M19" s="27">
        <f>ROUND(L19*(1+$B$11),0)</f>
        <v/>
      </c>
      <c r="N19" s="27">
        <f>ROUND(M19*(1+$B$11),0)</f>
        <v/>
      </c>
      <c r="O19" s="27">
        <f>ROUND(N19*(1+$B$11),0)</f>
        <v/>
      </c>
      <c r="P19" s="27">
        <f>ROUND(O19*(1+$B$11),0)</f>
        <v/>
      </c>
      <c r="Q19" s="27">
        <f>ROUND(P19*(1+$B$11),0)</f>
        <v/>
      </c>
      <c r="R19" s="27">
        <f>ROUND(Q19*(1+$B$11),0)</f>
        <v/>
      </c>
      <c r="S19" s="27">
        <f>ROUND(R19*(1+$B$11),0)</f>
        <v/>
      </c>
    </row>
    <row r="20" ht="15" customHeight="1" s="22">
      <c r="A20" s="33" t="inlineStr">
        <is>
          <t>Net cash/mo</t>
        </is>
      </c>
      <c r="B20" s="27">
        <f>B18-B19</f>
        <v/>
      </c>
      <c r="C20" s="27">
        <f>C18-C19</f>
        <v/>
      </c>
      <c r="D20" s="27">
        <f>D18-D19</f>
        <v/>
      </c>
      <c r="E20" s="27">
        <f>E18-E19</f>
        <v/>
      </c>
      <c r="F20" s="27">
        <f>F18-F19</f>
        <v/>
      </c>
      <c r="G20" s="27">
        <f>G18-G19</f>
        <v/>
      </c>
      <c r="H20" s="27">
        <f>H18-H19</f>
        <v/>
      </c>
      <c r="I20" s="27">
        <f>I18-I19</f>
        <v/>
      </c>
      <c r="J20" s="27">
        <f>J18-J19</f>
        <v/>
      </c>
      <c r="K20" s="27">
        <f>K18-K19</f>
        <v/>
      </c>
      <c r="L20" s="27">
        <f>L18-L19</f>
        <v/>
      </c>
      <c r="M20" s="27">
        <f>M18-M19</f>
        <v/>
      </c>
      <c r="N20" s="27">
        <f>N18-N19</f>
        <v/>
      </c>
      <c r="O20" s="27">
        <f>O18-O19</f>
        <v/>
      </c>
      <c r="P20" s="27">
        <f>P18-P19</f>
        <v/>
      </c>
      <c r="Q20" s="27">
        <f>Q18-Q19</f>
        <v/>
      </c>
      <c r="R20" s="27">
        <f>R18-R19</f>
        <v/>
      </c>
      <c r="S20" s="27">
        <f>S18-S19</f>
        <v/>
      </c>
    </row>
    <row r="21" ht="15" customHeight="1" s="22">
      <c r="A21" s="33" t="inlineStr">
        <is>
          <t>Cumulative</t>
        </is>
      </c>
      <c r="B21" s="27">
        <f>B20</f>
        <v/>
      </c>
      <c r="C21" s="27">
        <f>B21+C20</f>
        <v/>
      </c>
      <c r="D21" s="27">
        <f>C21+D20</f>
        <v/>
      </c>
      <c r="E21" s="27">
        <f>D21+E20</f>
        <v/>
      </c>
      <c r="F21" s="27">
        <f>E21+F20</f>
        <v/>
      </c>
      <c r="G21" s="27">
        <f>F21+G20</f>
        <v/>
      </c>
      <c r="H21" s="27">
        <f>G21+H20</f>
        <v/>
      </c>
      <c r="I21" s="27">
        <f>H21+I20</f>
        <v/>
      </c>
      <c r="J21" s="27">
        <f>I21+J20</f>
        <v/>
      </c>
      <c r="K21" s="27">
        <f>J21+K20</f>
        <v/>
      </c>
      <c r="L21" s="27">
        <f>K21+L20</f>
        <v/>
      </c>
      <c r="M21" s="27">
        <f>L21+M20</f>
        <v/>
      </c>
      <c r="N21" s="27">
        <f>M21+N20</f>
        <v/>
      </c>
      <c r="O21" s="27">
        <f>N21+O20</f>
        <v/>
      </c>
      <c r="P21" s="27">
        <f>O21+P20</f>
        <v/>
      </c>
      <c r="Q21" s="27">
        <f>P21+Q20</f>
        <v/>
      </c>
      <c r="R21" s="27">
        <f>Q21+R20</f>
        <v/>
      </c>
      <c r="S21" s="27">
        <f>R21+S20</f>
        <v/>
      </c>
    </row>
    <row r="23" ht="42" customHeight="1" s="22">
      <c r="A23" s="30" t="inlineStr">
        <is>
          <t>Reading: churn applies before adds; MRR nets the marketplace fee; costs use India-lean base from Team_Roles_Budget (v004). Breakeven = first month Net cash ≥ 0. This is a planning model, not a forecast — replace assumptions with S7-S8 beta actuals.</t>
        </is>
      </c>
    </row>
    <row r="25">
      <c r="A25" s="41" t="inlineStr">
        <is>
          <t>v036 NOTE (20 Sep 2026, Perplexity V001 PPX-03/PPX-10 — model deliberately NOT changed by instruction): (a) the 15% "marketplace fee" is now a Xero REFERRAL fee — 15% of agreed ARPU per user who clicks "Get this app", connects, and stays 65 days; it does NOT apply to self-sourced customers, and a connections/API-usage tier cost is missing; (b) on these assumptions the reviewer computes ~659 accounts to cover M1 cost, 315 reached by M18, −$281k cumulative, ~23+ months to breakeven, ~$86 ARPU needed. Rebuild = P4-1, decision = PPX-D3.</t>
        </is>
      </c>
    </row>
  </sheetData>
  <mergeCells count="1">
    <mergeCell ref="A23:S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1" min="1" max="1"/>
    <col width="72" customWidth="1" style="21" min="2" max="2"/>
    <col width="16" customWidth="1" style="21" min="3" max="3"/>
    <col width="12" customWidth="1" style="21" min="4" max="4"/>
  </cols>
  <sheetData>
    <row r="1" ht="17.25" customHeight="1" s="22">
      <c r="A1" s="23" t="inlineStr">
        <is>
          <t>GTM EXECUTION TASKS</t>
        </is>
      </c>
    </row>
    <row r="3" ht="15" customHeight="1" s="22">
      <c r="A3" s="24" t="inlineStr">
        <is>
          <t>Phase</t>
        </is>
      </c>
      <c r="B3" s="24" t="inlineStr">
        <is>
          <t>Task</t>
        </is>
      </c>
      <c r="C3" s="24" t="inlineStr">
        <is>
          <t>Owner (role)</t>
        </is>
      </c>
      <c r="D3" s="24" t="inlineStr">
        <is>
          <t>Target sprint</t>
        </is>
      </c>
    </row>
    <row r="4" ht="25.5" customHeight="1" s="22">
      <c r="A4" s="25" t="inlineStr">
        <is>
          <t>Pre-launch</t>
        </is>
      </c>
      <c r="B4" s="25" t="inlineStr">
        <is>
          <t>Positioning doc + message house (problem/promise/proof)</t>
        </is>
      </c>
      <c r="C4" s="25" t="inlineStr">
        <is>
          <t>Founder</t>
        </is>
      </c>
      <c r="D4" s="25" t="inlineStr">
        <is>
          <t>S7</t>
        </is>
      </c>
    </row>
    <row r="5" ht="25.5" customHeight="1" s="22">
      <c r="A5" s="25" t="inlineStr">
        <is>
          <t>Pre-launch</t>
        </is>
      </c>
      <c r="B5" s="25" t="inlineStr">
        <is>
          <t>Listing SEO: keyword study in marketplace search + title/intro drafts</t>
        </is>
      </c>
      <c r="C5" s="25" t="inlineStr">
        <is>
          <t>Growth</t>
        </is>
      </c>
      <c r="D5" s="25" t="inlineStr">
        <is>
          <t>S8</t>
        </is>
      </c>
    </row>
    <row r="6" ht="25.5" customHeight="1" s="22">
      <c r="A6" s="25" t="inlineStr">
        <is>
          <t>Pre-launch</t>
        </is>
      </c>
      <c r="B6" s="25" t="inlineStr">
        <is>
          <t>10 design-partner mini case snippets with metric proof</t>
        </is>
      </c>
      <c r="C6" s="25" t="inlineStr">
        <is>
          <t>Founder</t>
        </is>
      </c>
      <c r="D6" s="25" t="inlineStr">
        <is>
          <t>S8</t>
        </is>
      </c>
    </row>
    <row r="7" ht="25.5" customHeight="1" s="22">
      <c r="A7" s="25" t="inlineStr">
        <is>
          <t>Pre-launch</t>
        </is>
      </c>
      <c r="B7" s="25" t="inlineStr">
        <is>
          <t>5 comparison/alternative pages drafted</t>
        </is>
      </c>
      <c r="C7" s="25" t="inlineStr">
        <is>
          <t>Growth</t>
        </is>
      </c>
      <c r="D7" s="25" t="inlineStr">
        <is>
          <t>S9</t>
        </is>
      </c>
    </row>
    <row r="8" ht="25.5" customHeight="1" s="22">
      <c r="A8" s="25" t="inlineStr">
        <is>
          <t>Pre-launch</t>
        </is>
      </c>
      <c r="B8" s="25" t="inlineStr">
        <is>
          <t>Screenshots (5) + 2-min demo video produced</t>
        </is>
      </c>
      <c r="C8" s="25" t="inlineStr">
        <is>
          <t>Design</t>
        </is>
      </c>
      <c r="D8" s="25" t="inlineStr">
        <is>
          <t>S9</t>
        </is>
      </c>
    </row>
    <row r="9" ht="25.5" customHeight="1" s="22">
      <c r="A9" s="25" t="inlineStr">
        <is>
          <t>Launch</t>
        </is>
      </c>
      <c r="B9" s="25" t="inlineStr">
        <is>
          <t>Listing live + launch post + video published</t>
        </is>
      </c>
      <c r="C9" s="25" t="inlineStr">
        <is>
          <t>Growth</t>
        </is>
      </c>
      <c r="D9" s="25" t="inlineStr">
        <is>
          <t>S11</t>
        </is>
      </c>
    </row>
    <row r="10" ht="25.5" customHeight="1" s="22">
      <c r="A10" s="25" t="inlineStr">
        <is>
          <t>Launch</t>
        </is>
      </c>
      <c r="B10" s="25" t="inlineStr">
        <is>
          <t>Founder outreach: 100 named ICP accounts, 3-touch sequence</t>
        </is>
      </c>
      <c r="C10" s="25" t="inlineStr">
        <is>
          <t>Founder</t>
        </is>
      </c>
      <c r="D10" s="25" t="inlineStr">
        <is>
          <t>S11</t>
        </is>
      </c>
    </row>
    <row r="11" ht="25.5" customHeight="1" s="22">
      <c r="A11" s="25" t="inlineStr">
        <is>
          <t>Launch</t>
        </is>
      </c>
      <c r="B11" s="25" t="inlineStr">
        <is>
          <t>Community value-posts (3 relevant communities)</t>
        </is>
      </c>
      <c r="C11" s="25" t="inlineStr">
        <is>
          <t>Founder</t>
        </is>
      </c>
      <c r="D11" s="25" t="inlineStr">
        <is>
          <t>S11</t>
        </is>
      </c>
    </row>
    <row r="12" ht="25.5" customHeight="1" s="22">
      <c r="A12" s="25" t="inlineStr">
        <is>
          <t>Launch</t>
        </is>
      </c>
      <c r="B12" s="25" t="inlineStr">
        <is>
          <t>Review-generation program on (in-app ask post-aha)</t>
        </is>
      </c>
      <c r="C12" s="25" t="inlineStr">
        <is>
          <t>Eng</t>
        </is>
      </c>
      <c r="D12" s="25" t="inlineStr">
        <is>
          <t>S11</t>
        </is>
      </c>
    </row>
    <row r="13" ht="25.5" customHeight="1" s="22">
      <c r="A13" s="25" t="inlineStr">
        <is>
          <t>Post-launch</t>
        </is>
      </c>
      <c r="B13" s="25" t="inlineStr">
        <is>
          <t>Weekly SEO/how-to content cadence starts</t>
        </is>
      </c>
      <c r="C13" s="25" t="inlineStr">
        <is>
          <t>Growth</t>
        </is>
      </c>
      <c r="D13" s="25" t="inlineStr">
        <is>
          <t>S12</t>
        </is>
      </c>
    </row>
    <row r="14" ht="25.5" customHeight="1" s="22">
      <c r="A14" s="25" t="inlineStr">
        <is>
          <t>Post-launch</t>
        </is>
      </c>
      <c r="B14" s="25" t="inlineStr">
        <is>
          <t>Marketplace paid placement pilot (where offered)</t>
        </is>
      </c>
      <c r="C14" s="25" t="inlineStr">
        <is>
          <t>Growth</t>
        </is>
      </c>
      <c r="D14" s="25" t="inlineStr">
        <is>
          <t>S12</t>
        </is>
      </c>
    </row>
    <row r="15" ht="25.5" customHeight="1" s="22">
      <c r="A15" s="25" t="inlineStr">
        <is>
          <t>Post-launch</t>
        </is>
      </c>
      <c r="B15" s="25" t="inlineStr">
        <is>
          <t>2 integration co-marketing swaps</t>
        </is>
      </c>
      <c r="C15" s="25" t="inlineStr">
        <is>
          <t>Founder</t>
        </is>
      </c>
      <c r="D15" s="25" t="inlineStr">
        <is>
          <t>S12+</t>
        </is>
      </c>
    </row>
    <row r="16" ht="25.5" customHeight="1" s="22">
      <c r="A16" s="25" t="inlineStr">
        <is>
          <t>Post-launch</t>
        </is>
      </c>
      <c r="B16" s="25" t="inlineStr">
        <is>
          <t>G2/Capterra profiles + first 10 reviews</t>
        </is>
      </c>
      <c r="C16" s="25" t="inlineStr">
        <is>
          <t>Growth</t>
        </is>
      </c>
      <c r="D16" s="25" t="inlineStr">
        <is>
          <t>S12+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96" customWidth="1" style="21" min="2" max="2"/>
    <col width="70" customWidth="1" style="21" min="3" max="3"/>
  </cols>
  <sheetData>
    <row r="1" ht="17.25" customHeight="1" s="22">
      <c r="A1" s="23" t="inlineStr">
        <is>
          <t>PLATFORM LAUNCH CHECKLIST — Xero App Store</t>
        </is>
      </c>
    </row>
    <row r="3" ht="15" customHeight="1" s="22">
      <c r="A3" s="24" t="inlineStr">
        <is>
          <t>#</t>
        </is>
      </c>
      <c r="B3" s="24" t="inlineStr">
        <is>
          <t>Item</t>
        </is>
      </c>
      <c r="C3" s="24" t="inlineStr">
        <is>
          <t>Status</t>
        </is>
      </c>
    </row>
    <row r="4" ht="25.5" customHeight="1" s="22">
      <c r="A4" s="25" t="n">
        <v>1</v>
      </c>
      <c r="B4" s="25" t="inlineStr">
        <is>
          <t>Xero developer account + app partner program application</t>
        </is>
      </c>
      <c r="C4" s="25" t="inlineStr">
        <is>
          <t>BLOCKED — needs Senthil: dev account + partner application</t>
        </is>
      </c>
    </row>
    <row r="5" ht="25.5" customHeight="1" s="22">
      <c r="A5" s="25" t="n">
        <v>2</v>
      </c>
      <c r="B5" s="25" t="inlineStr">
        <is>
          <t>OAuth2 + tenant handling for multi-org accountants tested</t>
        </is>
      </c>
      <c r="C5" s="25" t="inlineStr">
        <is>
          <t>Code-complete — pending live dev-org test</t>
        </is>
      </c>
    </row>
    <row r="6" ht="25.5" customHeight="1" s="22">
      <c r="A6" s="25" t="n">
        <v>3</v>
      </c>
      <c r="B6" s="25" t="inlineStr">
        <is>
          <t>API rate limits (60/min per tenant) queue + backoff verified</t>
        </is>
      </c>
      <c r="C6" s="25" t="inlineStr">
        <is>
          <t>Code-complete: proactive 60/min per-tenant limiter (v012) + reactive backoff/breaker — pending live verification</t>
        </is>
      </c>
    </row>
    <row r="7" ht="25.5" customHeight="1" s="22">
      <c r="A7" s="25" t="n">
        <v>4</v>
      </c>
      <c r="B7" s="25" t="inlineStr">
        <is>
          <t>Webhooks (invoices, payments, bank transactions) resilience tested</t>
        </is>
      </c>
      <c r="C7" s="25" t="inlineStr">
        <is>
          <t>Code-complete — webhooks (INVOICE/CONTACT/SUBSCRIPTION) + bank-txn polling built v011; pending live wiring. NOTE: platform has no bank-txn webhook — polling every 15 min is the documented substitute</t>
        </is>
      </c>
    </row>
    <row r="8" ht="25.5" customHeight="1" s="22">
      <c r="A8" s="25" t="n">
        <v>5</v>
      </c>
      <c r="B8" s="25" t="inlineStr">
        <is>
          <t>App partner certification: API best practice + security questionnaire + brand review</t>
        </is>
      </c>
      <c r="C8" s="25" t="inlineStr">
        <is>
          <t>Trust page drafted; SECURITY_EVIDENCE.md pack compiled v014 (auth, encryption-at-rest AES-256-GCM + vault, webhook HMAC, rate limiting, data lifecycle, 100% gate); questionnaire answerable from pack + brand review pending live artefacts</t>
        </is>
      </c>
    </row>
    <row r="9" ht="25.5" customHeight="1" s="22">
      <c r="A9" s="25" t="n">
        <v>6</v>
      </c>
      <c r="B9" s="25" t="inlineStr">
        <is>
          <t>In-store subscription configuration + test purchase</t>
        </is>
      </c>
      <c r="C9" s="25" t="inlineStr">
        <is>
          <t>Rail logic coded; store config + test purchase pending dev org</t>
        </is>
      </c>
    </row>
    <row r="10" ht="25.5" customHeight="1" s="22">
      <c r="A10" s="25" t="n">
        <v>7</v>
      </c>
      <c r="B10" s="25" t="inlineStr">
        <is>
          <t>Accountant multi-client portal tested with 20-client dataset</t>
        </is>
      </c>
      <c r="C10" s="25" t="inlineStr">
        <is>
          <t>DONE at logic level: 20-client dataset drill passed (risk-first sort + rules at scale); live UI pass pending</t>
        </is>
      </c>
    </row>
    <row r="11" ht="25.5" customHeight="1" s="22">
      <c r="A11" s="25" t="n">
        <v>8</v>
      </c>
      <c r="B11" s="25" t="inlineStr">
        <is>
          <t>Bank-feed anomaly logic QA on 12 months of demo data</t>
        </is>
      </c>
      <c r="C11" s="25" t="inlineStr">
        <is>
          <t>DONE at logic level: 12-month dataset QA passed — found + fixed batch-isolation blind spot (detectWithHistory); live-feed QA pending</t>
        </is>
      </c>
    </row>
    <row r="12" ht="25.5" customHeight="1" s="22">
      <c r="A12" s="25" t="n">
        <v>9</v>
      </c>
      <c r="B12" s="25" t="inlineStr">
        <is>
          <t>Listing: accountant-channel messaging + partner directory entry</t>
        </is>
      </c>
      <c r="C12" s="25" t="inlineStr">
        <is>
          <t>Listing copy A/B drafted (B = accountant channel) — Senthil review pending</t>
        </is>
      </c>
    </row>
    <row r="13" ht="25.5" customHeight="1" s="22">
      <c r="A13" s="25" t="n">
        <v>10</v>
      </c>
      <c r="B13" s="25" t="inlineStr">
        <is>
          <t>UK/AU/NZ tax-locale display verified (GST/VAT labels)</t>
        </is>
      </c>
      <c r="C13" s="25" t="inlineStr">
        <is>
          <t>GST/VAT fields coded + tested; UI locale pass pending deployed UI</t>
        </is>
      </c>
    </row>
    <row r="14">
      <c r="A14" s="42" t="inlineStr">
        <is>
          <t>3 (update v036)</t>
        </is>
      </c>
      <c r="B14" s="42" t="inlineStr">
        <is>
          <t>API rate limits — restated after PPX-04/05</t>
        </is>
      </c>
      <c r="C14" s="42" t="inlineStr">
        <is>
          <t>Code-complete: TIERED daily budget (1,000 Starter default / 5,000 Core via XERO_API_TIER), Retry-After honoured, remaining-call headers reconciled, 5-concurrent semaphore, app-wide 10,000/min — platformLimitsGate proved. Live verification of the actual tier pending dev org.</t>
        </is>
      </c>
    </row>
    <row r="15">
      <c r="A15" s="42" t="inlineStr">
        <is>
          <t>6 (update v036)</t>
        </is>
      </c>
      <c r="B15" s="42" t="inlineStr">
        <is>
          <t>In-store subscription configuration — restated after PPX-03</t>
        </is>
      </c>
      <c r="C15" s="42" t="inlineStr">
        <is>
          <t>STALE: Xero App Store Subscriptions deprecated (March 2026). Rail logic left in code by instruction (PPX-D4); Stripe-only migration logged as P4-1. Partner application still required for the listing/referral fee.</t>
        </is>
      </c>
    </row>
    <row r="16">
      <c r="A16" s="42" t="inlineStr">
        <is>
          <t>11</t>
        </is>
      </c>
      <c r="B16" s="42" t="inlineStr">
        <is>
          <t>Forecast production data path proven live (PPX-01)</t>
        </is>
      </c>
      <c r="C16" s="42" t="inlineStr">
        <is>
          <t>Code-complete in sandbox (P1-2, dataPathGate proved). Live proof = live-sweep step with a real org: /api/forecast returns a 13-week forecast whose opening balance matches the Xero bank summary.</t>
        </is>
      </c>
    </row>
    <row r="17">
      <c r="A17" s="42" t="inlineStr">
        <is>
          <t>12</t>
        </is>
      </c>
      <c r="B17" s="42" t="inlineStr">
        <is>
          <t>Platform assumptions re-verified within budget (PPX-03)</t>
        </is>
      </c>
      <c r="C17" s="42" t="inlineStr">
        <is>
          <t>docs/platform-assumptions.json — 11 entries verified 20 Sep 2026; CI fails on age-out (~19 Dec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1" min="1" max="1"/>
    <col width="10" customWidth="1" style="21" min="2" max="5"/>
    <col width="44" customWidth="1" style="21" min="6" max="6"/>
  </cols>
  <sheetData>
    <row r="1" ht="17.25" customHeight="1" s="22">
      <c r="A1" s="23" t="inlineStr">
        <is>
          <t>METRIC TARGETS (first 12 months post-launch)</t>
        </is>
      </c>
    </row>
    <row r="3" ht="15" customHeight="1" s="22">
      <c r="A3" s="24" t="inlineStr">
        <is>
          <t>Metric</t>
        </is>
      </c>
      <c r="B3" s="24" t="inlineStr">
        <is>
          <t>M1</t>
        </is>
      </c>
      <c r="C3" s="24" t="inlineStr">
        <is>
          <t>M3</t>
        </is>
      </c>
      <c r="D3" s="24" t="inlineStr">
        <is>
          <t>M6</t>
        </is>
      </c>
      <c r="E3" s="24" t="inlineStr">
        <is>
          <t>M12</t>
        </is>
      </c>
      <c r="F3" s="24" t="inlineStr">
        <is>
          <t>Notes</t>
        </is>
      </c>
    </row>
    <row r="4" ht="25.5" customHeight="1" s="22">
      <c r="A4" s="26" t="inlineStr">
        <is>
          <t>Installs/signups cumulative</t>
        </is>
      </c>
      <c r="B4" s="26" t="inlineStr">
        <is>
          <t>varies</t>
        </is>
      </c>
      <c r="C4" s="26" t="inlineStr">
        <is>
          <t>3x M1</t>
        </is>
      </c>
      <c r="D4" s="26" t="inlineStr">
        <is>
          <t>8x M1</t>
        </is>
      </c>
      <c r="E4" s="26" t="inlineStr">
        <is>
          <t>20x M1</t>
        </is>
      </c>
      <c r="F4" s="26" t="inlineStr">
        <is>
          <t>Drive via listing SEO + outbound</t>
        </is>
      </c>
    </row>
    <row r="5" ht="25.5" customHeight="1" s="22">
      <c r="A5" s="26" t="inlineStr">
        <is>
          <t>Activation % (24h)</t>
        </is>
      </c>
      <c r="B5" s="26" t="inlineStr">
        <is>
          <t>30%</t>
        </is>
      </c>
      <c r="C5" s="26" t="inlineStr">
        <is>
          <t>40%</t>
        </is>
      </c>
      <c r="D5" s="26" t="inlineStr">
        <is>
          <t>45%</t>
        </is>
      </c>
      <c r="E5" s="26" t="inlineStr">
        <is>
          <t>50%</t>
        </is>
      </c>
      <c r="F5" s="26" t="inlineStr">
        <is>
          <t>Onboarding iterations S12+</t>
        </is>
      </c>
    </row>
    <row r="6" ht="25.5" customHeight="1" s="22">
      <c r="A6" s="26" t="inlineStr">
        <is>
          <t>Trial→paid %</t>
        </is>
      </c>
      <c r="B6" s="26" t="inlineStr">
        <is>
          <t>baseline</t>
        </is>
      </c>
      <c r="C6" s="26" t="inlineStr">
        <is>
          <t>+2pts</t>
        </is>
      </c>
      <c r="D6" s="26" t="inlineStr">
        <is>
          <t>+4pts</t>
        </is>
      </c>
      <c r="E6" s="26" t="inlineStr">
        <is>
          <t>+6pts</t>
        </is>
      </c>
      <c r="F6" s="26" t="inlineStr">
        <is>
          <t>Pricing test at S12</t>
        </is>
      </c>
    </row>
    <row r="7" ht="25.5" customHeight="1" s="22">
      <c r="A7" s="26" t="inlineStr">
        <is>
          <t>Rating</t>
        </is>
      </c>
      <c r="B7" s="26" t="inlineStr">
        <is>
          <t>4.5+</t>
        </is>
      </c>
      <c r="C7" s="26" t="inlineStr">
        <is>
          <t>4.6+</t>
        </is>
      </c>
      <c r="D7" s="26" t="inlineStr">
        <is>
          <t>4.7+</t>
        </is>
      </c>
      <c r="E7" s="26" t="inlineStr">
        <is>
          <t>4.7+</t>
        </is>
      </c>
      <c r="F7" s="26" t="inlineStr">
        <is>
          <t>Review program + support speed</t>
        </is>
      </c>
    </row>
    <row r="8" ht="25.5" customHeight="1" s="22">
      <c r="A8" s="26" t="inlineStr">
        <is>
          <t>MRR</t>
        </is>
      </c>
      <c r="B8" s="26" t="inlineStr">
        <is>
          <t>first $</t>
        </is>
      </c>
      <c r="C8" s="26" t="inlineStr">
        <is>
          <t>3x</t>
        </is>
      </c>
      <c r="D8" s="26" t="inlineStr">
        <is>
          <t>8x</t>
        </is>
      </c>
      <c r="E8" s="26" t="inlineStr">
        <is>
          <t>20x</t>
        </is>
      </c>
      <c r="F8" s="26" t="inlineStr">
        <is>
          <t>Model sheet has the math</t>
        </is>
      </c>
    </row>
    <row r="9" ht="25.5" customHeight="1" s="22">
      <c r="A9" s="26" t="inlineStr">
        <is>
          <t>Logo churn/mo</t>
        </is>
      </c>
      <c r="B9" s="26" t="inlineStr">
        <is>
          <t>&lt;5%</t>
        </is>
      </c>
      <c r="C9" s="26" t="inlineStr">
        <is>
          <t>&lt;4%</t>
        </is>
      </c>
      <c r="D9" s="26" t="inlineStr">
        <is>
          <t>&lt;3%</t>
        </is>
      </c>
      <c r="E9" s="26" t="inlineStr">
        <is>
          <t>&lt;3%</t>
        </is>
      </c>
      <c r="F9" s="26" t="inlineStr">
        <is>
          <t>Health-score saves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21" min="1" max="1"/>
    <col width="10" customWidth="1" style="21" min="2" max="2"/>
    <col width="12" customWidth="1" style="21" min="3" max="3"/>
    <col width="50" customWidth="1" style="21" min="4" max="4"/>
  </cols>
  <sheetData>
    <row r="1" ht="17.25" customHeight="1" s="22">
      <c r="A1" s="23" t="inlineStr">
        <is>
          <t>PRODUCT RISK REGISTER</t>
        </is>
      </c>
    </row>
    <row r="3" ht="15" customHeight="1" s="22">
      <c r="A3" s="24" t="inlineStr">
        <is>
          <t>Risk</t>
        </is>
      </c>
      <c r="B3" s="24" t="inlineStr">
        <is>
          <t>Impact</t>
        </is>
      </c>
      <c r="C3" s="24" t="inlineStr">
        <is>
          <t>Likelihood</t>
        </is>
      </c>
      <c r="D3" s="24" t="inlineStr">
        <is>
          <t>Mitigation</t>
        </is>
      </c>
    </row>
    <row r="4" ht="30" customHeight="1" s="22">
      <c r="A4" s="25" t="inlineStr">
        <is>
          <t>Xero native short-term cash flow improves</t>
        </is>
      </c>
      <c r="B4" s="25" t="inlineStr">
        <is>
          <t>High</t>
        </is>
      </c>
      <c r="C4" s="25" t="inlineStr">
        <is>
          <t>Medium</t>
        </is>
      </c>
      <c r="D4" s="25" t="inlineStr">
        <is>
          <t>Scenario depth + accountant multi-client portal moat</t>
        </is>
      </c>
    </row>
    <row r="5" ht="30" customHeight="1" s="22">
      <c r="A5" s="25" t="inlineStr">
        <is>
          <t>Accountant channel slow to activate</t>
        </is>
      </c>
      <c r="B5" s="25" t="inlineStr">
        <is>
          <t>Medium</t>
        </is>
      </c>
      <c r="C5" s="25" t="inlineStr">
        <is>
          <t>High</t>
        </is>
      </c>
      <c r="D5" s="25" t="inlineStr">
        <is>
          <t>Partner program with rev share; 10 pilot firms by S8</t>
        </is>
      </c>
    </row>
    <row r="6" ht="30" customHeight="1" s="22">
      <c r="A6" s="25" t="inlineStr">
        <is>
          <t>Float/Fathom price moves</t>
        </is>
      </c>
      <c r="B6" s="25" t="inlineStr">
        <is>
          <t>Medium</t>
        </is>
      </c>
      <c r="C6" s="25" t="inlineStr">
        <is>
          <t>Medium</t>
        </is>
      </c>
      <c r="D6" s="25" t="inlineStr">
        <is>
          <t>Owner-facing simplicity positioning; annual bundles</t>
        </is>
      </c>
    </row>
    <row r="7" ht="15" customHeight="1" s="22">
      <c r="A7" s="28" t="inlineStr">
        <is>
          <t>Positioning: generic Xero cash-flow forecasting is a crowded category and the platform itself now ships 30/90/180-day horizons (external review FC-R004)</t>
        </is>
      </c>
      <c r="B7" s="28" t="inlineStr">
        <is>
          <t>High</t>
        </is>
      </c>
      <c r="C7" s="28" t="inlineStr">
        <is>
          <t>High</t>
        </is>
      </c>
      <c r="D7" s="28" t="inlineStr">
        <is>
          <t>Hold Wave 2 until DEC-F16. Reviewer's proposed wedge: 13-week cash control and collections copilot for practices, sold as a closed loop rather than a dashboard.</t>
        </is>
      </c>
    </row>
    <row r="8" ht="15" customHeight="1" s="22">
      <c r="A8" s="28" t="inlineStr">
        <is>
          <t>Internal review has a ceiling — an outside reader found three defect classes in one pass, one of them in a document we had all read</t>
        </is>
      </c>
      <c r="B8" s="28" t="inlineStr">
        <is>
          <t>High</t>
        </is>
      </c>
      <c r="C8" s="28" t="inlineStr">
        <is>
          <t>Medium</t>
        </is>
      </c>
      <c r="D8" s="28" t="inlineStr">
        <is>
          <t>Sixth gate closes the specific decay mode mechanically. DEC-F17 sets the standing rule for independent review.</t>
        </is>
      </c>
    </row>
    <row r="9" ht="15" customHeight="1" s="22">
      <c r="A9" s="28" t="inlineStr">
        <is>
          <t>Scale evidence is in-process compute only and could be quoted as production performance</t>
        </is>
      </c>
      <c r="B9" s="28" t="inlineStr">
        <is>
          <t>Medium</t>
        </is>
      </c>
      <c r="C9" s="28" t="inlineStr">
        <is>
          <t>Medium</t>
        </is>
      </c>
      <c r="D9" s="28" t="inlineStr">
        <is>
          <t>Stated in the module header, the dry-run doc, the tracker and the enhancement backlog. PERF-1 already re-baselined budgets once for this confusion.</t>
        </is>
      </c>
    </row>
    <row r="10" ht="15" customHeight="1" s="22">
      <c r="A10" s="28" t="inlineStr">
        <is>
          <t>Both critical findings in sprint E5b were deploy-configuration rather than logic, and both survived a 100% suite and eight review passes. The other nine products share the author and the patterns (R-F13).</t>
        </is>
      </c>
      <c r="B10" s="28" t="inlineStr">
        <is>
          <t>High</t>
        </is>
      </c>
      <c r="C10" s="28" t="inlineStr">
        <is>
          <t>High</t>
        </is>
      </c>
      <c r="D10" s="28" t="inlineStr">
        <is>
          <t>Port the fail-closed boot check and the shutdown deadline first — they are the two most transferable fixes. Which products and when is Senthil's call.</t>
        </is>
      </c>
    </row>
    <row r="11">
      <c r="A11" s="29" t="inlineStr">
        <is>
          <t>Fluidly precedent — a well-funded Xero cash-flow forecasting app with the same ICP was acquired by OakNorth (2021) and shut to accountants; reported as a write-off (Perplexity V001 §4; R-F18)</t>
        </is>
      </c>
      <c r="B11" s="29" t="inlineStr">
        <is>
          <t>High</t>
        </is>
      </c>
      <c r="C11" s="29" t="inlineStr">
        <is>
          <t>Medium</t>
        </is>
      </c>
      <c r="D11" s="29" t="inlineStr">
        <is>
          <t>Positioning, not code: the closed loop forecast-shortfall → chase → recovered cash (PPX-D2 / P2). Do not launch as a generic forecaster.</t>
        </is>
      </c>
    </row>
    <row r="12">
      <c r="A12" s="29" t="inlineStr">
        <is>
          <t>Platform absorption — Xero acquired Syft Analytics (~$70m) and ships native 7–180-day projections; the middle of the category is a platform-absorption zone (R-F19)</t>
        </is>
      </c>
      <c r="B12" s="29" t="inlineStr">
        <is>
          <t>High</t>
        </is>
      </c>
      <c r="C12" s="29" t="inlineStr">
        <is>
          <t>High</t>
        </is>
      </c>
      <c r="D12" s="29" t="inlineStr">
        <is>
          <t>Raises the first risk on this register from Medium to High likelihood. Same mitigation as above.</t>
        </is>
      </c>
    </row>
    <row r="13">
      <c r="A13" s="29" t="inlineStr">
        <is>
          <t>Unit economics do not close at $25 ARPU — reviewer's recomputation on this workbook's own assumptions: ~23+ months to breakeven, −$281k cumulative to M18, ~$86 ARPU needed (PPX-10; R-F20)</t>
        </is>
      </c>
      <c r="B13" s="29" t="inlineStr">
        <is>
          <t>High</t>
        </is>
      </c>
      <c r="C13" s="29" t="inlineStr">
        <is>
          <t>High</t>
        </is>
      </c>
      <c r="D13" s="29" t="inlineStr">
        <is>
          <t>PPX-D3: reprice to the £45–£99 band the category actually pays; rebuild the model in P4-1. Model untouched this sprint by instruction.</t>
        </is>
      </c>
    </row>
    <row r="14">
      <c r="A14" s="29" t="inlineStr">
        <is>
          <t>Boot composition incomplete — the durable store, webhook worker and uninstall path have no production driver (E6-F3..F5; R-F14..R-F16). A restart still loses every tenant.</t>
        </is>
      </c>
      <c r="B14" s="29" t="inlineStr">
        <is>
          <t>High</t>
        </is>
      </c>
      <c r="C14" s="29" t="inlineStr">
        <is>
          <t>High</t>
        </is>
      </c>
      <c r="D14" s="29" t="inlineStr">
        <is>
          <t>P1-8. KNOWN_GAPS expire 31 Oct 2026 so the build itself forces the work.</t>
        </is>
      </c>
    </row>
    <row r="15">
      <c r="A15" s="29" t="inlineStr">
        <is>
          <t>No email/notification transport exists in src (E6-F2; R-F21) — nudges, dunning, trial-expiry and anomaly alerts have logic but no delivery</t>
        </is>
      </c>
      <c r="B15" s="29" t="inlineStr">
        <is>
          <t>High</t>
        </is>
      </c>
      <c r="C15" s="29" t="inlineStr">
        <is>
          <t>High</t>
        </is>
      </c>
      <c r="D15" s="29" t="inlineStr">
        <is>
          <t>Vendor decision (D-F6 class) — Senthil. Boot reports the gap to stderr rather than faking a sender.</t>
        </is>
      </c>
    </row>
    <row r="16">
      <c r="A16" s="29" t="inlineStr">
        <is>
          <t>Platform assumptions decay silently — PPX-03 went six months stale while every document checked out against the code</t>
        </is>
      </c>
      <c r="B16" s="29" t="inlineStr">
        <is>
          <t>High</t>
        </is>
      </c>
      <c r="C16" s="29" t="inlineStr">
        <is>
          <t>Medium</t>
        </is>
      </c>
      <c r="D16" s="29" t="inlineStr">
        <is>
          <t>docs/platform-assumptions.json + platformDriftGate (P1-6): CI fails when an assumption ages past its budget. Next forced re-verification ~19 Dec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9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21" min="1" max="1"/>
    <col width="8" customWidth="1" style="21" min="2" max="2"/>
    <col width="60" customWidth="1" style="21" min="3" max="3"/>
    <col width="30" customWidth="1" style="21" min="4" max="4"/>
    <col width="40" customWidth="1" style="21" min="5" max="5"/>
    <col width="16" customWidth="1" style="21" min="6" max="6"/>
  </cols>
  <sheetData>
    <row r="1" ht="15.75" customHeight="1" s="22">
      <c r="A1" s="43" t="inlineStr">
        <is>
          <t>SPRINT TRACKER LOG — FlowCast (created v008 per directive, 10 Sep 2026 22:01)</t>
        </is>
      </c>
    </row>
    <row r="3" ht="15" customHeight="1" s="22">
      <c r="A3" s="44" t="inlineStr">
        <is>
          <t>Date/Time</t>
        </is>
      </c>
      <c r="B3" s="44" t="inlineStr">
        <is>
          <t>Sprint</t>
        </is>
      </c>
      <c r="C3" s="44" t="inlineStr">
        <is>
          <t>Action</t>
        </is>
      </c>
      <c r="D3" s="44" t="inlineStr">
        <is>
          <t>Stories touched</t>
        </is>
      </c>
      <c r="E3" s="44" t="inlineStr">
        <is>
          <t>Evidence</t>
        </is>
      </c>
      <c r="F3" s="44" t="inlineStr">
        <is>
          <t>Decision ref</t>
        </is>
      </c>
    </row>
    <row r="4" ht="15" customHeight="1" s="22">
      <c r="A4" s="30" t="inlineStr">
        <is>
          <t>2026-09-05 19:50</t>
        </is>
      </c>
      <c r="B4" s="30" t="inlineStr">
        <is>
          <t>S0</t>
        </is>
      </c>
      <c r="C4" s="30" t="inlineStr">
        <is>
          <t>v007 full product workbook released (spec, backlog, board, model)</t>
        </is>
      </c>
      <c r="D4" s="30" t="inlineStr">
        <is>
          <t>—</t>
        </is>
      </c>
      <c r="E4" s="30" t="inlineStr">
        <is>
          <t>v007 Version_Control</t>
        </is>
      </c>
      <c r="F4" s="30" t="inlineStr">
        <is>
          <t>—</t>
        </is>
      </c>
    </row>
    <row r="5" ht="23.25" customHeight="1" s="22">
      <c r="A5" s="30" t="inlineStr">
        <is>
          <t>2026-09-10 22:01</t>
        </is>
      </c>
      <c r="B5" s="30" t="inlineStr">
        <is>
          <t>—</t>
        </is>
      </c>
      <c r="C5" s="30" t="inlineStr">
        <is>
          <t>v008 opened: Sprint_Tracker_Log + Traceability_Matrix sheets added per directive</t>
        </is>
      </c>
      <c r="D5" s="30" t="inlineStr">
        <is>
          <t>—</t>
        </is>
      </c>
      <c r="E5" s="30" t="inlineStr">
        <is>
          <t>This file</t>
        </is>
      </c>
      <c r="F5" s="30" t="inlineStr">
        <is>
          <t>Directive 10 Sep 22:01</t>
        </is>
      </c>
    </row>
    <row r="6" ht="23.25" customHeight="1" s="22">
      <c r="A6" s="30" t="inlineStr">
        <is>
          <t>2026-09-10 22:01</t>
        </is>
      </c>
      <c r="B6" s="30" t="inlineStr">
        <is>
          <t>—</t>
        </is>
      </c>
      <c r="C6" s="30" t="inlineStr">
        <is>
          <t>D13 applied to FlowCast: 100% automation coverage gate on all code; ST-085 amended</t>
        </is>
      </c>
      <c r="D6" s="30" t="inlineStr">
        <is>
          <t>ST-085</t>
        </is>
      </c>
      <c r="E6" s="30" t="inlineStr">
        <is>
          <t>jest.config.js coverageThreshold=100</t>
        </is>
      </c>
      <c r="F6" s="30" t="inlineStr">
        <is>
          <t>D13</t>
        </is>
      </c>
    </row>
    <row r="7" ht="23.25" customHeight="1" s="22">
      <c r="A7" s="30" t="inlineStr">
        <is>
          <t>2026-09-10 22:01</t>
        </is>
      </c>
      <c r="B7" s="30" t="inlineStr">
        <is>
          <t>S1</t>
        </is>
      </c>
      <c r="C7" s="30" t="inlineStr">
        <is>
          <t>Foundation built: OAuth install/uninstall/reinstall, token rotation, source attribution, role matrix + audit log. Xero OAuth client mocked</t>
        </is>
      </c>
      <c r="D7" s="30" t="inlineStr">
        <is>
          <t>ST-051..ST-056</t>
        </is>
      </c>
      <c r="E7" s="30" t="inlineStr">
        <is>
          <t>src/installFlow.ts, src/permissions.ts + tests</t>
        </is>
      </c>
      <c r="F7" s="30" t="inlineStr">
        <is>
          <t>—</t>
        </is>
      </c>
    </row>
    <row r="8" ht="23.25" customHeight="1" s="22">
      <c r="A8" s="30" t="inlineStr">
        <is>
          <t>2026-09-10 22:01</t>
        </is>
      </c>
      <c r="B8" s="30" t="inlineStr">
        <is>
          <t>S2-S3</t>
        </is>
      </c>
      <c r="C8" s="30" t="inlineStr">
        <is>
          <t>13-week forecast engine: bucketing, traffic lights, validation errors, pause-without-loss; scenario sliders: levers, validation, preview</t>
        </is>
      </c>
      <c r="D8" s="30" t="inlineStr">
        <is>
          <t>ST-001..ST-004, ST-007..ST-009, ST-011..ST-014, ST-017, ST-019</t>
        </is>
      </c>
      <c r="E8" s="30" t="inlineStr">
        <is>
          <t>src/forecastEngine.ts, src/scenarioSliders.ts + tests</t>
        </is>
      </c>
      <c r="F8" s="30" t="inlineStr">
        <is>
          <t>—</t>
        </is>
      </c>
    </row>
    <row r="9" ht="23.25" customHeight="1" s="22">
      <c r="A9" s="30" t="inlineStr">
        <is>
          <t>2026-09-10 22:01</t>
        </is>
      </c>
      <c r="B9" s="30" t="inlineStr">
        <is>
          <t>S5</t>
        </is>
      </c>
      <c r="C9" s="30" t="inlineStr">
        <is>
          <t>Invoice chase nudges: rule ladder, planning, test mode, retry-on-failure, per-type mute</t>
        </is>
      </c>
      <c r="D9" s="30" t="inlineStr">
        <is>
          <t>ST-021..ST-024, ST-027..ST-030</t>
        </is>
      </c>
      <c r="E9" s="30" t="inlineStr">
        <is>
          <t>src/invoiceNudges.ts + tests</t>
        </is>
      </c>
      <c r="F9" s="30" t="inlineStr">
        <is>
          <t>—</t>
        </is>
      </c>
    </row>
    <row r="10" ht="23.25" customHeight="1" s="22">
      <c r="A10" s="30" t="inlineStr">
        <is>
          <t>2026-09-10 22:01</t>
        </is>
      </c>
      <c r="B10" s="30" t="inlineStr">
        <is>
          <t>S6</t>
        </is>
      </c>
      <c r="C10" s="30" t="inlineStr">
        <is>
          <t>Accountant portal + shared CSV importer; billing: trial, proration, rail selection, dunning, limits, GST/VAT invoices, cancellation</t>
        </is>
      </c>
      <c r="D10" s="30" t="inlineStr">
        <is>
          <t>ST-031/032/034/037/039, ST-057..ST-063</t>
        </is>
      </c>
      <c r="E10" s="30" t="inlineStr">
        <is>
          <t>src/accountantPortal.ts, src/billing.ts + tests</t>
        </is>
      </c>
      <c r="F10" s="30" t="inlineStr">
        <is>
          <t>—</t>
        </is>
      </c>
    </row>
    <row r="11" ht="34.5" customHeight="1" s="22">
      <c r="A11" s="30" t="inlineStr">
        <is>
          <t>2026-09-10 22:01</t>
        </is>
      </c>
      <c r="B11" s="30" t="inlineStr">
        <is>
          <t>S8</t>
        </is>
      </c>
      <c r="C11" s="30" t="inlineStr">
        <is>
          <t>Bank-feed anomaly alerts; compliance: scope audit, retention, export/delete, backoff + circuit breaker; full telemetry suite; onboarding surfaces</t>
        </is>
      </c>
      <c r="D11" s="30" t="inlineStr">
        <is>
          <t>ST-041..ST-049, ST-064..ST-077 (code subset), ST-078/079/082/084</t>
        </is>
      </c>
      <c r="E11" s="30" t="inlineStr">
        <is>
          <t>src/anomalyAlerts.ts, src/compliance.ts, src/telemetry.ts, src/onboarding.ts + tests</t>
        </is>
      </c>
      <c r="F11" s="30" t="inlineStr">
        <is>
          <t>—</t>
        </is>
      </c>
    </row>
    <row r="12" ht="34.5" customHeight="1" s="22">
      <c r="A12" s="30" t="inlineStr">
        <is>
          <t>2026-09-10 22:01</t>
        </is>
      </c>
      <c r="B12" s="30" t="inlineStr">
        <is>
          <t>—</t>
        </is>
      </c>
      <c r="C12" s="30" t="inlineStr">
        <is>
          <t>TEST RUN: 11 suites, 120 tests, 100% statements/branches/functions/lines; gate enforced at 100 — build fails below</t>
        </is>
      </c>
      <c r="D12" s="30" t="inlineStr">
        <is>
          <t>All Done stories</t>
        </is>
      </c>
      <c r="E12" s="30" t="inlineStr">
        <is>
          <t>npx jest --coverage output; coverage/coverage-summary.json</t>
        </is>
      </c>
      <c r="F12" s="30" t="inlineStr">
        <is>
          <t>D13</t>
        </is>
      </c>
    </row>
    <row r="13" ht="34.5" customHeight="1" s="22">
      <c r="A13" s="30" t="inlineStr">
        <is>
          <t>2026-09-10 22:01</t>
        </is>
      </c>
      <c r="B13" s="30" t="inlineStr">
        <is>
          <t>—</t>
        </is>
      </c>
      <c r="C13" s="30" t="inlineStr">
        <is>
          <t>Statuses written to Full_Backlog; Sprint_Board Done counts recalc from formulas. 58 Done, 4 code-complete-pending-live, 2 in progress, 36 backlog</t>
        </is>
      </c>
      <c r="D13" s="30" t="inlineStr">
        <is>
          <t>All</t>
        </is>
      </c>
      <c r="E13" s="30" t="inlineStr">
        <is>
          <t>Full_Backlog col G</t>
        </is>
      </c>
      <c r="F13" s="30" t="inlineStr">
        <is>
          <t>—</t>
        </is>
      </c>
    </row>
    <row r="14" ht="34.5" customHeight="1" s="22">
      <c r="A14" s="30" t="inlineStr">
        <is>
          <t>2026-09-10 22:01</t>
        </is>
      </c>
      <c r="B14" s="30" t="inlineStr">
        <is>
          <t>—</t>
        </is>
      </c>
      <c r="C14" s="30" t="inlineStr">
        <is>
          <t>PORTFOLIO NOTE: FlowCast (rank 12) is a third open build while RevRescue rank-1 gate unmet; sequencing decision D15 remains open with Senthil</t>
        </is>
      </c>
      <c r="D14" s="30" t="inlineStr">
        <is>
          <t>—</t>
        </is>
      </c>
      <c r="E14" s="30" t="inlineStr">
        <is>
          <t>marketplace portfolio record</t>
        </is>
      </c>
      <c r="F14" s="30" t="inlineStr">
        <is>
          <t>D15 (open)</t>
        </is>
      </c>
    </row>
    <row r="15" ht="23.25" customHeight="1" s="22">
      <c r="A15" s="30" t="inlineStr">
        <is>
          <t>2026-09-10 22:01</t>
        </is>
      </c>
      <c r="B15" s="30" t="inlineStr">
        <is>
          <t>—</t>
        </is>
      </c>
      <c r="C15" s="30" t="inlineStr">
        <is>
          <t>NEXT: live Xero dev-org install (ST-051/052/055/059), UI surfaces (ST-005/015/025/035/045), CI wiring (ST-086), then S7 beta prerequisites</t>
        </is>
      </c>
      <c r="D15" s="30" t="inlineStr">
        <is>
          <t>—</t>
        </is>
      </c>
      <c r="E15" s="30" t="inlineStr">
        <is>
          <t>—</t>
        </is>
      </c>
      <c r="F15" s="30" t="inlineStr">
        <is>
          <t>—</t>
        </is>
      </c>
    </row>
    <row r="16" ht="23.25" customHeight="1" s="22">
      <c r="A16" s="30" t="inlineStr">
        <is>
          <t>2026-09-10 22:20</t>
        </is>
      </c>
      <c r="B16" s="30" t="inlineStr">
        <is>
          <t>S2</t>
        </is>
      </c>
      <c r="C16" s="30" t="inlineStr">
        <is>
          <t>ST-003 completed: full rule builder (min_balance / amber_floor / week_drop_pct over week ranges)</t>
        </is>
      </c>
      <c r="D16" s="30" t="inlineStr">
        <is>
          <t>ST-003</t>
        </is>
      </c>
      <c r="E16" s="30" t="inlineStr">
        <is>
          <t>src/forecastRules.ts + tests</t>
        </is>
      </c>
      <c r="F16" s="30" t="inlineStr">
        <is>
          <t>—</t>
        </is>
      </c>
    </row>
    <row r="17" ht="23.25" customHeight="1" s="22">
      <c r="A17" s="30" t="inlineStr">
        <is>
          <t>2026-09-10 22:20</t>
        </is>
      </c>
      <c r="B17" s="30" t="inlineStr">
        <is>
          <t>S3-S8</t>
        </is>
      </c>
      <c r="C17" s="30" t="inlineStr">
        <is>
          <t>Web app surfaces built (React + RTL): Forecast, Scenario, Nudges, Portal, Anomalies screens with Xero deep links + empty states</t>
        </is>
      </c>
      <c r="D17" s="30" t="inlineStr">
        <is>
          <t>ST-005/015/025/035/045</t>
        </is>
      </c>
      <c r="E17" s="30" t="inlineStr">
        <is>
          <t>src/ui/*.tsx, tests/ui/screens.test.tsx</t>
        </is>
      </c>
      <c r="F17" s="30" t="inlineStr">
        <is>
          <t>—</t>
        </is>
      </c>
    </row>
    <row r="18" ht="34.5" customHeight="1" s="22">
      <c r="A18" s="30" t="inlineStr">
        <is>
          <t>2026-09-10 22:20</t>
        </is>
      </c>
      <c r="B18" s="30" t="inlineStr">
        <is>
          <t>S3-S8</t>
        </is>
      </c>
      <c r="C18" s="30" t="inlineStr">
        <is>
          <t>Per-feature metrics &amp; trends (weekly series, WoW trend, MetricsPanel); notifications in-app+email with per-type mute + digest; pause toggles; portal workflow rules</t>
        </is>
      </c>
      <c r="D18" s="30" t="inlineStr">
        <is>
          <t>ST-006/016/026/036/046, ST-010/050, ST-018/038, ST-033</t>
        </is>
      </c>
      <c r="E18" s="30" t="inlineStr">
        <is>
          <t>src/featureMetrics.ts, src/notifications.ts + tests</t>
        </is>
      </c>
      <c r="F18" s="30" t="inlineStr">
        <is>
          <t>—</t>
        </is>
      </c>
    </row>
    <row r="19" ht="23.25" customHeight="1" s="22">
      <c r="A19" s="30" t="inlineStr">
        <is>
          <t>2026-09-10 22:20</t>
        </is>
      </c>
      <c r="B19" s="30" t="inlineStr">
        <is>
          <t>S4</t>
        </is>
      </c>
      <c r="C19" s="30" t="inlineStr">
        <is>
          <t>ST-086 CI wiring: GitHub Actions workflow (push/PR/deployment) runs typecheck + jest with 100% gate; live repo hookup pending</t>
        </is>
      </c>
      <c r="D19" s="30" t="inlineStr">
        <is>
          <t>ST-086</t>
        </is>
      </c>
      <c r="E19" s="30" t="inlineStr">
        <is>
          <t>.github/workflows/ci.yml</t>
        </is>
      </c>
      <c r="F19" s="30" t="inlineStr">
        <is>
          <t>—</t>
        </is>
      </c>
    </row>
    <row r="20" ht="34.5" customHeight="1" s="22">
      <c r="A20" s="30" t="inlineStr">
        <is>
          <t>2026-09-10 22:20</t>
        </is>
      </c>
      <c r="B20" s="30" t="inlineStr">
        <is>
          <t>—</t>
        </is>
      </c>
      <c r="C20" s="30" t="inlineStr">
        <is>
          <t>TEST RUN: 13 suites, 148 tests, 100% statements/branches/functions/lines incl. React components; tsc --noEmit clean</t>
        </is>
      </c>
      <c r="D20" s="30" t="inlineStr">
        <is>
          <t>All Done stories</t>
        </is>
      </c>
      <c r="E20" s="30" t="inlineStr">
        <is>
          <t>jest --coverage; coverage-summary.json</t>
        </is>
      </c>
      <c r="F20" s="30" t="inlineStr">
        <is>
          <t>D13</t>
        </is>
      </c>
    </row>
    <row r="21" ht="34.5" customHeight="1" s="22">
      <c r="A21" s="30" t="inlineStr">
        <is>
          <t>2026-09-10 22:20</t>
        </is>
      </c>
      <c r="B21" s="30" t="inlineStr">
        <is>
          <t>—</t>
        </is>
      </c>
      <c r="C21" s="30" t="inlineStr">
        <is>
          <t>Statuses: 74 Done, 5 code-complete-pending-live, 0 in progress, 21 backlog. Remaining backlog = live-infra EQ items, help/chat/video content, S9-S12 listing/launch</t>
        </is>
      </c>
      <c r="D21" s="30" t="inlineStr">
        <is>
          <t>All</t>
        </is>
      </c>
      <c r="E21" s="30" t="inlineStr">
        <is>
          <t>Full_Backlog col G</t>
        </is>
      </c>
      <c r="F21" s="30" t="inlineStr">
        <is>
          <t>—</t>
        </is>
      </c>
    </row>
    <row r="22" ht="34.5" customHeight="1" s="22">
      <c r="A22" s="30" t="inlineStr">
        <is>
          <t>2026-09-10 22:20</t>
        </is>
      </c>
      <c r="B22" s="30" t="inlineStr">
        <is>
          <t>—</t>
        </is>
      </c>
      <c r="C22" s="30" t="inlineStr">
        <is>
          <t>NEXT: live Xero dev-org (ST-051/052/055/059), CI repo hookup (ST-086), help centre + demo video (ST-080/081/083), then S9 marketplace review prep</t>
        </is>
      </c>
      <c r="D22" s="30" t="inlineStr">
        <is>
          <t>—</t>
        </is>
      </c>
      <c r="E22" s="30" t="inlineStr">
        <is>
          <t>—</t>
        </is>
      </c>
      <c r="F22" s="30" t="inlineStr">
        <is>
          <t>—</t>
        </is>
      </c>
    </row>
    <row r="23" ht="23.25" customHeight="1" s="22">
      <c r="A23" s="30" t="inlineStr">
        <is>
          <t>2026-09-10 22:27</t>
        </is>
      </c>
      <c r="B23" s="30" t="inlineStr">
        <is>
          <t>S4/S6</t>
        </is>
      </c>
      <c r="C23" s="30" t="inlineStr">
        <is>
          <t>ST-020/ST-040: scenario + portal notification event types added to dispatch/mute/digest</t>
        </is>
      </c>
      <c r="D23" s="30" t="inlineStr">
        <is>
          <t>ST-020, ST-040</t>
        </is>
      </c>
      <c r="E23" s="30" t="inlineStr">
        <is>
          <t>src/notifications.ts + tests</t>
        </is>
      </c>
      <c r="F23" s="30" t="inlineStr">
        <is>
          <t>—</t>
        </is>
      </c>
    </row>
    <row r="24" ht="34.5" customHeight="1" s="22">
      <c r="A24" s="30" t="inlineStr">
        <is>
          <t>2026-09-10 22:27</t>
        </is>
      </c>
      <c r="B24" s="30" t="inlineStr">
        <is>
          <t>S8</t>
        </is>
      </c>
      <c r="C24" s="30" t="inlineStr">
        <is>
          <t>ST-087 latency budgets defined per surface (code + doc); ST-091 degradation levels + user comms + DegradedBanner; ST-089 automated WCAG: jest-axe zero violations on all 7 surfaces</t>
        </is>
      </c>
      <c r="D24" s="30" t="inlineStr">
        <is>
          <t>ST-087, ST-089, ST-091</t>
        </is>
      </c>
      <c r="E24" s="30" t="inlineStr">
        <is>
          <t>src/reliability.ts, src/ui/DegradedBanner.tsx, jest-axe suite, docs/reliability + docs/runbooks</t>
        </is>
      </c>
      <c r="F24" s="30" t="inlineStr">
        <is>
          <t>—</t>
        </is>
      </c>
    </row>
    <row r="25" ht="34.5" customHeight="1" s="22">
      <c r="A25" s="30" t="inlineStr">
        <is>
          <t>2026-09-10 22:27</t>
        </is>
      </c>
      <c r="B25" s="30" t="inlineStr">
        <is>
          <t>S10</t>
        </is>
      </c>
      <c r="C25" s="30" t="inlineStr">
        <is>
          <t>ST-083 demo-data mode coded (deterministic red-week arc) + 2-min video script/shot list; ST-080 all 15 help articles drafted; ST-081 chat SLA + canned pack (vendor pending)</t>
        </is>
      </c>
      <c r="D25" s="30" t="inlineStr">
        <is>
          <t>ST-080, ST-081, ST-083</t>
        </is>
      </c>
      <c r="E25" s="30" t="inlineStr">
        <is>
          <t>src/demoData.ts, docs/help/ (15), docs/demo/, docs/support/</t>
        </is>
      </c>
      <c r="F25" s="30" t="inlineStr">
        <is>
          <t>—</t>
        </is>
      </c>
    </row>
    <row r="26" ht="45.75" customHeight="1" s="22">
      <c r="A26" s="30" t="inlineStr">
        <is>
          <t>2026-09-10 22:27</t>
        </is>
      </c>
      <c r="B26" s="30" t="inlineStr">
        <is>
          <t>S9-S11</t>
        </is>
      </c>
      <c r="C26" s="30" t="inlineStr">
        <is>
          <t>Listing content drafted: copy A+B (no company name, product-only per external-content rule), asset specs + shot plan, pricing page + FAQ, security/trust page; ST-098 launch-day runbook complete; ST-090 backup/restore drill runbook (drill pending live)</t>
        </is>
      </c>
      <c r="D26" s="30" t="inlineStr">
        <is>
          <t>ST-093..ST-098, ST-090</t>
        </is>
      </c>
      <c r="E26" s="30" t="inlineStr">
        <is>
          <t>docs/listing/ (6), docs/runbooks/ (2)</t>
        </is>
      </c>
      <c r="F26" s="30" t="inlineStr">
        <is>
          <t>—</t>
        </is>
      </c>
    </row>
    <row r="27" ht="45.75" customHeight="1" s="22">
      <c r="A27" s="30" t="inlineStr">
        <is>
          <t>2026-09-10 22:27</t>
        </is>
      </c>
      <c r="B27" s="30" t="inlineStr">
        <is>
          <t>S9</t>
        </is>
      </c>
      <c r="C27" s="30" t="inlineStr">
        <is>
          <t>ST-097 submission dry-run first pass vs Launch_Checklist: 2 HARD GAPS found — (a) Xero dev org needed from Senthil, (b) invoice/payment/bank content webhooks NOT yet coded (only uninstall webhook exists) — webhook build queued for v011</t>
        </is>
      </c>
      <c r="D27" s="30" t="inlineStr">
        <is>
          <t>ST-097</t>
        </is>
      </c>
      <c r="E27" s="30" t="inlineStr">
        <is>
          <t>docs/listing/submission-dry-run.md</t>
        </is>
      </c>
      <c r="F27" s="30" t="inlineStr">
        <is>
          <t>New build item</t>
        </is>
      </c>
    </row>
    <row r="28" ht="23.25" customHeight="1" s="22">
      <c r="A28" s="30" t="inlineStr">
        <is>
          <t>2026-09-10 22:27</t>
        </is>
      </c>
      <c r="B28" s="30" t="inlineStr">
        <is>
          <t>—</t>
        </is>
      </c>
      <c r="C28" s="30" t="inlineStr">
        <is>
          <t>TEST RUN: 14 suites, 155 tests, 100% all metrics incl. React + axe; tsc clean</t>
        </is>
      </c>
      <c r="D28" s="30" t="inlineStr">
        <is>
          <t>—</t>
        </is>
      </c>
      <c r="E28" s="30" t="inlineStr">
        <is>
          <t>coverage-summary.json</t>
        </is>
      </c>
      <c r="F28" s="30" t="inlineStr">
        <is>
          <t>D13</t>
        </is>
      </c>
    </row>
    <row r="29" ht="34.5" customHeight="1" s="22">
      <c r="A29" s="30" t="inlineStr">
        <is>
          <t>2026-09-10 22:27</t>
        </is>
      </c>
      <c r="B29" s="30" t="inlineStr">
        <is>
          <t>—</t>
        </is>
      </c>
      <c r="C29" s="30" t="inlineStr">
        <is>
          <t>Statuses: 77 Done, 8 code-complete-pending-live, 7 drafted-pending-publish/review, 2 in progress, 6 backlog. Sandbox-automatable work now fully exhausted except v011 webhook build</t>
        </is>
      </c>
      <c r="D29" s="30" t="inlineStr">
        <is>
          <t>All</t>
        </is>
      </c>
      <c r="E29" s="30" t="inlineStr">
        <is>
          <t>Full_Backlog col G</t>
        </is>
      </c>
      <c r="F29" s="30" t="inlineStr">
        <is>
          <t>—</t>
        </is>
      </c>
    </row>
    <row r="30" ht="23.25" customHeight="1" s="22">
      <c r="A30" s="30" t="inlineStr">
        <is>
          <t>2026-09-10 22:27</t>
        </is>
      </c>
      <c r="B30" s="30" t="inlineStr">
        <is>
          <t>—</t>
        </is>
      </c>
      <c r="C30" s="30" t="inlineStr">
        <is>
          <t>AWAITING SENTHIL: (1) Xero developer account/dev org, (2) listing copy A/B review, (3) chat vendor pick, (4) D15 sequencing decision</t>
        </is>
      </c>
      <c r="D30" s="30" t="inlineStr">
        <is>
          <t>—</t>
        </is>
      </c>
      <c r="E30" s="30" t="inlineStr">
        <is>
          <t>—</t>
        </is>
      </c>
      <c r="F30" s="30" t="inlineStr">
        <is>
          <t>D15 (open)</t>
        </is>
      </c>
    </row>
    <row r="31" ht="34.5" customHeight="1" s="22">
      <c r="A31" s="30" t="inlineStr">
        <is>
          <t>2026-09-10 22:51</t>
        </is>
      </c>
      <c r="B31" s="30" t="inlineStr">
        <is>
          <t>S8</t>
        </is>
      </c>
      <c r="C31" s="30" t="inlineStr">
        <is>
          <t>WBH-001 built (dry-run gap #4): Xero content webhooks — signature verification, fast-ack, idempotent processing with retry + dead-letter + redelivery healing; invoice payment events auto-cancel nudges</t>
        </is>
      </c>
      <c r="D31" s="30" t="inlineStr">
        <is>
          <t>WBH-001 (ST-097 gap b)</t>
        </is>
      </c>
      <c r="E31" s="30" t="inlineStr">
        <is>
          <t>src/webhooks.ts, tests/webhooks.test.ts</t>
        </is>
      </c>
      <c r="F31" s="30" t="inlineStr">
        <is>
          <t>ST-097 dry-run</t>
        </is>
      </c>
    </row>
    <row r="32" ht="34.5" customHeight="1" s="22">
      <c r="A32" s="30" t="inlineStr">
        <is>
          <t>2026-09-10 22:51</t>
        </is>
      </c>
      <c r="B32" s="30" t="inlineStr">
        <is>
          <t>S8</t>
        </is>
      </c>
      <c r="C32" s="30" t="inlineStr">
        <is>
          <t>Platform constraint documented: Xero exposes NO bank-transaction webhook — implemented 15-min polling behind the shared circuit breaker as the substitute; noted on Launch_Checklist item 4</t>
        </is>
      </c>
      <c r="D32" s="30" t="inlineStr">
        <is>
          <t>WBH-001</t>
        </is>
      </c>
      <c r="E32" s="30" t="inlineStr">
        <is>
          <t>src/webhooks.ts (pollBankTxns)</t>
        </is>
      </c>
      <c r="F32" s="30" t="inlineStr">
        <is>
          <t>Honest-status rule</t>
        </is>
      </c>
    </row>
    <row r="33" ht="23.25" customHeight="1" s="22">
      <c r="A33" s="30" t="inlineStr">
        <is>
          <t>2026-09-10 22:51</t>
        </is>
      </c>
      <c r="B33" s="30" t="inlineStr">
        <is>
          <t>S9</t>
        </is>
      </c>
      <c r="C33" s="30" t="inlineStr">
        <is>
          <t>Launch_Checklist all 10 items updated to honest current statuses (was all "Open")</t>
        </is>
      </c>
      <c r="D33" s="30" t="inlineStr">
        <is>
          <t>—</t>
        </is>
      </c>
      <c r="E33" s="30" t="inlineStr">
        <is>
          <t>Launch_Checklist col C</t>
        </is>
      </c>
      <c r="F33" s="30" t="inlineStr">
        <is>
          <t>—</t>
        </is>
      </c>
    </row>
    <row r="34" ht="23.25" customHeight="1" s="22">
      <c r="A34" s="30" t="inlineStr">
        <is>
          <t>2026-09-10 22:51</t>
        </is>
      </c>
      <c r="B34" s="30" t="inlineStr">
        <is>
          <t>—</t>
        </is>
      </c>
      <c r="C34" s="30" t="inlineStr">
        <is>
          <t>TEST RUN: 15 suites, 170 tests, 100% statements/branches/functions/lines; tsc clean</t>
        </is>
      </c>
      <c r="D34" s="30" t="inlineStr">
        <is>
          <t>—</t>
        </is>
      </c>
      <c r="E34" s="30" t="inlineStr">
        <is>
          <t>coverage-summary.json</t>
        </is>
      </c>
      <c r="F34" s="30" t="inlineStr">
        <is>
          <t>D13</t>
        </is>
      </c>
    </row>
    <row r="35" ht="34.5" customHeight="1" s="22">
      <c r="A35" s="30" t="inlineStr">
        <is>
          <t>2026-09-10 22:51</t>
        </is>
      </c>
      <c r="B35" s="30" t="inlineStr">
        <is>
          <t>—</t>
        </is>
      </c>
      <c r="C35" s="30" t="inlineStr">
        <is>
          <t>Story statuses unchanged (webhooks were an unnumbered gap item): 77 Done / 8 CCPL / 7 drafted / 2 in progress / 6 backlog. ALL sandbox-automatable work on FlowCast now exhausted</t>
        </is>
      </c>
      <c r="D35" s="30" t="inlineStr">
        <is>
          <t>All</t>
        </is>
      </c>
      <c r="E35" s="30" t="inlineStr">
        <is>
          <t>Full_Backlog</t>
        </is>
      </c>
      <c r="F35" s="30" t="inlineStr">
        <is>
          <t>—</t>
        </is>
      </c>
    </row>
    <row r="36" ht="34.5" customHeight="1" s="22">
      <c r="A36" s="30" t="inlineStr">
        <is>
          <t>2026-09-10 22:51</t>
        </is>
      </c>
      <c r="B36" s="30" t="inlineStr">
        <is>
          <t>—</t>
        </is>
      </c>
      <c r="C36" s="30" t="inlineStr">
        <is>
          <t>HARD STOP — everything remaining needs Senthil: (1) Xero dev org -&gt; unblocks 9 pending-live incl. WBH-001, (2) copy A/B review, (3) chat vendor, (4) D15 sequencing across RevRescue/TeleField/FlowCast</t>
        </is>
      </c>
      <c r="D36" s="30" t="inlineStr">
        <is>
          <t>—</t>
        </is>
      </c>
      <c r="E36" s="30" t="inlineStr">
        <is>
          <t>—</t>
        </is>
      </c>
      <c r="F36" s="30" t="inlineStr">
        <is>
          <t>D15 (open)</t>
        </is>
      </c>
    </row>
    <row r="37" ht="23.25" customHeight="1" s="22">
      <c r="A37" s="30" t="inlineStr">
        <is>
          <t>2026-09-10 22:56</t>
        </is>
      </c>
      <c r="B37" s="30" t="inlineStr">
        <is>
          <t>S8</t>
        </is>
      </c>
      <c r="C37" s="30" t="inlineStr">
        <is>
          <t>Checklist #3: proactive per-tenant 60/min sliding-window rate limiter + paced execution built (complements backoff/breaker)</t>
        </is>
      </c>
      <c r="D37" s="30" t="inlineStr">
        <is>
          <t>WBH-002</t>
        </is>
      </c>
      <c r="E37" s="30" t="inlineStr">
        <is>
          <t>src/rateLimiter.ts + tests</t>
        </is>
      </c>
      <c r="F37" s="30" t="inlineStr">
        <is>
          <t>Checklist 3</t>
        </is>
      </c>
    </row>
    <row r="38" ht="45.75" customHeight="1" s="22">
      <c r="A38" s="30" t="inlineStr">
        <is>
          <t>2026-09-10 22:56</t>
        </is>
      </c>
      <c r="B38" s="30" t="inlineStr">
        <is>
          <t>S8</t>
        </is>
      </c>
      <c r="C38" s="30" t="inlineStr">
        <is>
          <t>Checklist #7 + #8 drills executed in-sandbox: 20-client portal drill passed; 12-month anomaly QA FOUND A REAL DEFECT — lone outliers hidden in isolated small batches (sigma self-inflation) — fixed via detectWithHistory (trailing-window scanning), all planted faults caught</t>
        </is>
      </c>
      <c r="D38" s="30" t="inlineStr">
        <is>
          <t>QA-007, QA-008</t>
        </is>
      </c>
      <c r="E38" s="30" t="inlineStr">
        <is>
          <t>src/qaDatasets.ts, detectWithHistory + tests</t>
        </is>
      </c>
      <c r="F38" s="30" t="inlineStr">
        <is>
          <t>QA finding</t>
        </is>
      </c>
    </row>
    <row r="39" ht="34.5" customHeight="1" s="22">
      <c r="A39" s="30" t="inlineStr">
        <is>
          <t>2026-09-10 22:56</t>
        </is>
      </c>
      <c r="B39" s="30" t="inlineStr">
        <is>
          <t>S8</t>
        </is>
      </c>
      <c r="C39" s="30" t="inlineStr">
        <is>
          <t>ST-088 k6 load harness ready (steady / 25 rps burst / webhook storm; thresholds = p95 budgets); ST-092 blue/green deploy workflow drafted with 100%-gate, health gate, atomic swap, warm rollback</t>
        </is>
      </c>
      <c r="D39" s="30" t="inlineStr">
        <is>
          <t>ST-088, ST-092</t>
        </is>
      </c>
      <c r="E39" s="30" t="inlineStr">
        <is>
          <t>docs/loadtest/k6-flowcast.js, .github/workflows/deploy.yml</t>
        </is>
      </c>
      <c r="F39" s="30" t="inlineStr">
        <is>
          <t>—</t>
        </is>
      </c>
    </row>
    <row r="40" ht="23.25" customHeight="1" s="22">
      <c r="A40" s="30" t="inlineStr">
        <is>
          <t>2026-09-10 22:56</t>
        </is>
      </c>
      <c r="B40" s="30" t="inlineStr">
        <is>
          <t>S8</t>
        </is>
      </c>
      <c r="C40" s="30" t="inlineStr">
        <is>
          <t>HTTP wiring layer: fast-ack webhook route (raw-body signature contract) + /health; net binding trivial at deploy</t>
        </is>
      </c>
      <c r="D40" s="30" t="inlineStr">
        <is>
          <t>WBH-003</t>
        </is>
      </c>
      <c r="E40" s="30" t="inlineStr">
        <is>
          <t>src/server.ts + tests</t>
        </is>
      </c>
      <c r="F40" s="30" t="inlineStr">
        <is>
          <t>—</t>
        </is>
      </c>
    </row>
    <row r="41" ht="15" customHeight="1" s="22">
      <c r="A41" s="30" t="inlineStr">
        <is>
          <t>2026-09-10 22:56</t>
        </is>
      </c>
      <c r="B41" s="30" t="inlineStr">
        <is>
          <t>—</t>
        </is>
      </c>
      <c r="C41" s="30" t="inlineStr">
        <is>
          <t>TEST RUN: 16 suites, 182 tests, 100% all metrics; tsc clean</t>
        </is>
      </c>
      <c r="D41" s="30" t="inlineStr">
        <is>
          <t>—</t>
        </is>
      </c>
      <c r="E41" s="30" t="inlineStr">
        <is>
          <t>coverage-summary.json</t>
        </is>
      </c>
      <c r="F41" s="30" t="inlineStr">
        <is>
          <t>D13</t>
        </is>
      </c>
    </row>
    <row r="42" ht="45.75" customHeight="1" s="22">
      <c r="A42" s="30" t="inlineStr">
        <is>
          <t>2026-09-10 22:56</t>
        </is>
      </c>
      <c r="B42" s="30" t="inlineStr">
        <is>
          <t>—</t>
        </is>
      </c>
      <c r="C42" s="30" t="inlineStr">
        <is>
          <t>Statuses: 77 Done / 10 CCPL / 7 drafted / 2 in progress / 4 backlog (ST-066 secrets-infra, ST-068 pen-test, ST-099 post-launch SEO, ST-100 partner reviews — none sandbox-automatable). Remaining work genuinely requires Senthil inputs</t>
        </is>
      </c>
      <c r="D42" s="30" t="inlineStr">
        <is>
          <t>All</t>
        </is>
      </c>
      <c r="E42" s="30" t="inlineStr">
        <is>
          <t>Full_Backlog</t>
        </is>
      </c>
      <c r="F42" s="30" t="inlineStr">
        <is>
          <t>—</t>
        </is>
      </c>
    </row>
    <row r="43" ht="34.5" customHeight="1" s="22">
      <c r="A43" s="30" t="inlineStr">
        <is>
          <t>2026-09-10 23:03</t>
        </is>
      </c>
      <c r="B43" s="30" t="inlineStr">
        <is>
          <t>Readiness</t>
        </is>
      </c>
      <c r="C43" s="30" t="inlineStr">
        <is>
          <t>Live-sweep pack built: typed config loader + .env.example (CFG-001), 30-minute Xero dev-org setup guide, 12-step scripted verification sweep with pass criteria + story-flip mapping</t>
        </is>
      </c>
      <c r="D43" s="30" t="inlineStr">
        <is>
          <t>CFG-001</t>
        </is>
      </c>
      <c r="E43" s="30" t="inlineStr">
        <is>
          <t>src/config.ts, docs/live-sweep/ (2 docs)</t>
        </is>
      </c>
      <c r="F43" s="30" t="inlineStr">
        <is>
          <t>—</t>
        </is>
      </c>
    </row>
    <row r="44" ht="57" customHeight="1" s="22">
      <c r="A44" s="30" t="inlineStr">
        <is>
          <t>2026-09-10 23:03</t>
        </is>
      </c>
      <c r="B44" s="30" t="inlineStr">
        <is>
          <t>Portfolio</t>
        </is>
      </c>
      <c r="C44" s="30" t="inlineStr">
        <is>
          <t>Consolidated 8-product action board produced as separate deliverable (claude_v001_portfolio_action_board_20260910_2303.xlsx): every Senthil-blocked item, effort estimates, D15 framed with both options; cross-product quick wins flagged (Meta verification + GCP consent are day-scale external queues — start regardless of D15)</t>
        </is>
      </c>
      <c r="D44" s="30" t="inlineStr">
        <is>
          <t>—</t>
        </is>
      </c>
      <c r="E44" s="30" t="inlineStr">
        <is>
          <t>Action board workbook</t>
        </is>
      </c>
      <c r="F44" s="30" t="inlineStr">
        <is>
          <t>D15 (open)</t>
        </is>
      </c>
    </row>
    <row r="45" ht="15" customHeight="1" s="22">
      <c r="A45" s="30" t="inlineStr">
        <is>
          <t>2026-09-10 23:03</t>
        </is>
      </c>
      <c r="B45" s="30" t="inlineStr">
        <is>
          <t>—</t>
        </is>
      </c>
      <c r="C45" s="30" t="inlineStr">
        <is>
          <t>TEST RUN: 17 suites, 186 tests, 100% all metrics; tsc clean</t>
        </is>
      </c>
      <c r="D45" s="30" t="inlineStr">
        <is>
          <t>—</t>
        </is>
      </c>
      <c r="E45" s="30" t="inlineStr">
        <is>
          <t>coverage-summary.json</t>
        </is>
      </c>
      <c r="F45" s="30" t="inlineStr">
        <is>
          <t>D13</t>
        </is>
      </c>
    </row>
    <row r="46" ht="34.5" customHeight="1" s="22">
      <c r="A46" s="30" t="inlineStr">
        <is>
          <t>2026-09-10 23:03</t>
        </is>
      </c>
      <c r="B46" s="30" t="inlineStr">
        <is>
          <t>—</t>
        </is>
      </c>
      <c r="C46" s="30" t="inlineStr">
        <is>
          <t>FlowCast page state: build + drills + content + readiness all complete. Next activity on this product is the 12-step live sweep, first row of which requires the dev org</t>
        </is>
      </c>
      <c r="D46" s="30" t="inlineStr">
        <is>
          <t>—</t>
        </is>
      </c>
      <c r="E46" s="30" t="inlineStr">
        <is>
          <t>—</t>
        </is>
      </c>
      <c r="F46" s="30" t="inlineStr">
        <is>
          <t>—</t>
        </is>
      </c>
    </row>
    <row r="47" ht="90.75" customHeight="1" s="22">
      <c r="A47" s="30" t="inlineStr">
        <is>
          <t>2026-09-11 11:09</t>
        </is>
      </c>
      <c r="B47" s="30" t="inlineStr">
        <is>
          <t>S8-S10</t>
        </is>
      </c>
      <c r="C47" s="30" t="inlineStr">
        <is>
          <t>COLD-REVIEW PASS 1 (v014): 5 defects found + fixed with regressions — F-001 unbounded webhook idempotency ledger -&gt; FIFO 10,000 cap; F-002 signed-but-malformed payload crashed fast-ack -&gt; guarded parse/shape (ack 0 + parseError flag); F-003 rate-limiter idle-tenant entries never evicted -&gt; prune() + trackedTenants(); F-004 duplicate anomaly repeated per txn with 3+ matches -&gt; deduped; F-005 nudgesPerMonth unenforceable (no cycle-scoped counter/reset) -&gt; UsageCycle with boundary-anchored rollover</t>
        </is>
      </c>
      <c r="D47" s="30" t="inlineStr">
        <is>
          <t>F-001..F-005</t>
        </is>
      </c>
      <c r="E47" s="30" t="inlineStr">
        <is>
          <t>Review_Findings sheet (tracker v002)</t>
        </is>
      </c>
      <c r="F47" s="30" t="inlineStr">
        <is>
          <t>D13</t>
        </is>
      </c>
    </row>
    <row r="48" ht="45.75" customHeight="1" s="22">
      <c r="A48" s="30" t="inlineStr">
        <is>
          <t>2026-09-11 11:09</t>
        </is>
      </c>
      <c r="B48" s="30" t="inlineStr">
        <is>
          <t>S8</t>
        </is>
      </c>
      <c r="C48" s="30" t="inlineStr">
        <is>
          <t>ST-066 BUILT: AES-256-GCM field encryption envelope (fresh IV, auth tag, version), SecretsVault boundary (EnvVault sandbox / KMS at deploy), token sealing at storage boundary, production TLS assertion, self-verifying encryption evidence drill</t>
        </is>
      </c>
      <c r="D48" s="30" t="inlineStr">
        <is>
          <t>ST-066</t>
        </is>
      </c>
      <c r="E48" s="30" t="inlineStr">
        <is>
          <t>src/security.ts; tests/coldReviewSecurity.test.ts</t>
        </is>
      </c>
      <c r="F48" s="30" t="inlineStr">
        <is>
          <t>Live vault + TLS probe = dev org</t>
        </is>
      </c>
    </row>
    <row r="49" ht="68.25" customHeight="1" s="22">
      <c r="A49" s="30" t="inlineStr">
        <is>
          <t>2026-09-11 11:09</t>
        </is>
      </c>
      <c r="B49" s="30" t="inlineStr">
        <is>
          <t>S9-S10</t>
        </is>
      </c>
      <c r="C49" s="30" t="inlineStr">
        <is>
          <t>SECURITY EVIDENCE PACK (sandbox half of ST-068) compiled: docs/security/SECURITY_EVIDENCE.md — auth, encryption at rest/in transit, webhook security, abuse protection, data lifecycle, quality gate, with per-control source+test citations. REVIEW_PACK.md added for external second reviewer (ST-097 stays In progress — same-AI review not independent)</t>
        </is>
      </c>
      <c r="D49" s="30" t="inlineStr">
        <is>
          <t>ST-068, ST-097</t>
        </is>
      </c>
      <c r="E49" s="30" t="inlineStr">
        <is>
          <t>docs/security/</t>
        </is>
      </c>
      <c r="F49" s="30" t="inlineStr">
        <is>
          <t>Pen-test vendor + external reviewer = Senthil</t>
        </is>
      </c>
    </row>
    <row r="50" ht="34.5" customHeight="1" s="22">
      <c r="A50" s="30" t="inlineStr">
        <is>
          <t>2026-09-11 11:09</t>
        </is>
      </c>
      <c r="B50" s="30" t="inlineStr">
        <is>
          <t>—</t>
        </is>
      </c>
      <c r="C50" s="30" t="inlineStr">
        <is>
          <t>TEST RUN: 18 suites, 207 tests, 100% all metrics, zero pragmas; tsc clean. One pre-existing webhook test assertion extended for the F-002 response shape (parseError field) — behaviour otherwise unchanged</t>
        </is>
      </c>
      <c r="D50" s="30" t="inlineStr">
        <is>
          <t>—</t>
        </is>
      </c>
      <c r="E50" s="30" t="inlineStr">
        <is>
          <t>coverage-summary.json</t>
        </is>
      </c>
      <c r="F50" s="30" t="inlineStr">
        <is>
          <t>D13</t>
        </is>
      </c>
    </row>
    <row r="51" ht="79.5" customHeight="1" s="22">
      <c r="A51" s="30" t="inlineStr">
        <is>
          <t>2026-09-11 12:47</t>
        </is>
      </c>
      <c r="B51" s="30" t="inlineStr">
        <is>
          <t>S2-S8</t>
        </is>
      </c>
      <c r="C51" s="30" t="inlineStr">
        <is>
          <t>COLD-REVIEW PASS 2 (v015): forecastEngine, forecastRules, scenarioSliders, invoiceNudges, installFlow, notifications, accountantPortal, compliance, telemetry, onboarding reviewed. 4 defects fixed with regressions: F-006 daily re-nudge spam (no sent-history); F-007 purge retained data indefinitely; F-008 silent item drop on bad dates + light/display mismatch; F-009 week-13 monthly-cost omission (optimistic bias)</t>
        </is>
      </c>
      <c r="D51" s="30" t="inlineStr">
        <is>
          <t>F-006..F-009</t>
        </is>
      </c>
      <c r="E51" s="30" t="inlineStr">
        <is>
          <t>Review_Findings extended (tracker v003)</t>
        </is>
      </c>
      <c r="F51" s="30" t="inlineStr">
        <is>
          <t>D13</t>
        </is>
      </c>
    </row>
    <row r="52" ht="34.5" customHeight="1" s="22">
      <c r="A52" s="30" t="inlineStr">
        <is>
          <t>2026-09-11 12:47</t>
        </is>
      </c>
      <c r="B52" s="30" t="inlineStr">
        <is>
          <t>—</t>
        </is>
      </c>
      <c r="C52" s="30" t="inlineStr">
        <is>
          <t>TEST RUN: 19 suites, 219 tests, 100% all metrics, zero pragmas; tsc clean. Cold review now COMPLETE across all 27 modules (passes 1+2); 9 findings total, all fixed, dispositions = Senthil</t>
        </is>
      </c>
      <c r="D52" s="30" t="inlineStr">
        <is>
          <t>—</t>
        </is>
      </c>
      <c r="E52" s="30" t="inlineStr">
        <is>
          <t>coverage-summary.json</t>
        </is>
      </c>
      <c r="F52" s="30" t="inlineStr">
        <is>
          <t>D13</t>
        </is>
      </c>
    </row>
    <row r="53" ht="45.75" customHeight="1" s="22">
      <c r="A53" s="30" t="inlineStr">
        <is>
          <t>2026-09-11 15:27</t>
        </is>
      </c>
      <c r="B53" s="30" t="inlineStr">
        <is>
          <t>S10-S12</t>
        </is>
      </c>
      <c r="C53" s="30" t="inlineStr">
        <is>
          <t>CODE-PHASE-COMPLETION WAVE (v016): ST-081 chat+SLA engine (vendor optional, D-F6), ST-099 SEO engine half, ST-100 partner tracker w/ honest exit math, ST-080 help search + manifest gate, ST-095 pricing drift gate from billing single source. Backlog ZERO</t>
        </is>
      </c>
      <c r="D53" s="30" t="inlineStr">
        <is>
          <t>ST-080/081/095/099/100</t>
        </is>
      </c>
      <c r="E53" s="30" t="inlineStr">
        <is>
          <t>src/chatSla.ts, src/launchOps.ts</t>
        </is>
      </c>
      <c r="F53" s="30" t="inlineStr">
        <is>
          <t>D13</t>
        </is>
      </c>
    </row>
    <row r="54" ht="34.5" customHeight="1" s="22">
      <c r="A54" s="30" t="inlineStr">
        <is>
          <t>2026-09-11 15:27</t>
        </is>
      </c>
      <c r="B54" s="30" t="inlineStr">
        <is>
          <t>—</t>
        </is>
      </c>
      <c r="C54" s="30" t="inlineStr">
        <is>
          <t>TEST RUN: 20 suites, 243 tests, 100% all metrics, zero pragmas; tsc clean. FLOWCAST CODE PHASE COMPLETE (third product after TeleField, VoiceBridge). Remaining chain all Senthil live halves</t>
        </is>
      </c>
      <c r="D54" s="30" t="inlineStr">
        <is>
          <t>—</t>
        </is>
      </c>
      <c r="E54" s="30" t="inlineStr">
        <is>
          <t>coverage-summary.json</t>
        </is>
      </c>
      <c r="F54" s="30" t="inlineStr">
        <is>
          <t>D13</t>
        </is>
      </c>
    </row>
    <row r="55" ht="79.5" customHeight="1" s="22">
      <c r="A55" s="30" t="inlineStr">
        <is>
          <t>2026-09-11 22:08</t>
        </is>
      </c>
      <c r="B55" s="30" t="inlineStr">
        <is>
          <t>—</t>
        </is>
      </c>
      <c r="C55" s="30" t="inlineStr">
        <is>
          <t>EXTERNAL VERIFICATION SWEEP (v017): VER-001 webhook 200 carried a body — Xero rejects it (live-blocking, would have failed sweep step 4) -&gt; empty-body contract + telemetry; VER-002 daily 5,000/org budget was untracked -&gt; UTC-day budget in limiter; VER-003 scope audit flagged our own offline_access -&gt; PLATFORM_SCOPES; GAP-1/2 CI + blue/green workflows referenced but nonexistent -&gt; built + parse-verified; 5 claims verified correct</t>
        </is>
      </c>
      <c r="D55" s="30" t="inlineStr">
        <is>
          <t>VER-001..003, GAP-1..2</t>
        </is>
      </c>
      <c r="E55" s="30" t="inlineStr">
        <is>
          <t>docs/live-sweep/external-verification-20260911.md</t>
        </is>
      </c>
      <c r="F55" s="30" t="inlineStr">
        <is>
          <t>D13</t>
        </is>
      </c>
    </row>
    <row r="56" ht="34.5" customHeight="1" s="22">
      <c r="A56" s="30" t="inlineStr">
        <is>
          <t>2026-09-11 22:08</t>
        </is>
      </c>
      <c r="B56" s="30" t="inlineStr">
        <is>
          <t>—</t>
        </is>
      </c>
      <c r="C56" s="30" t="inlineStr">
        <is>
          <t>TEST RUN: 21 suites, 256 tests, 100% all metrics, zero pragmas; tsc clean. Sweep doc updated (v017 header, steps 4/6/10/12). Two pre-existing assertions updated (encoded pre-fix behaviour)</t>
        </is>
      </c>
      <c r="D56" s="30" t="inlineStr">
        <is>
          <t>—</t>
        </is>
      </c>
      <c r="E56" s="30" t="inlineStr">
        <is>
          <t>coverage-summary.json</t>
        </is>
      </c>
      <c r="F56" s="30" t="inlineStr">
        <is>
          <t>D13</t>
        </is>
      </c>
    </row>
    <row r="57" ht="68.25" customHeight="1" s="22">
      <c r="A57" s="30" t="inlineStr">
        <is>
          <t>2026-09-13 10:25</t>
        </is>
      </c>
      <c r="B57" s="30" t="inlineStr">
        <is>
          <t>—</t>
        </is>
      </c>
      <c r="C57" s="30" t="inlineStr">
        <is>
          <t>INTEGRATION + ARTIFACT AUDIT (v018): GAP-F1 no runnable app existed (live-sweep step 1 would have failed); INT-F1 the v014 plan-limit fix had no callers; INT-F2 token sealing had no callers (plaintext refresh tokens vs security-pack claim); INT-F3 role matrix guarded nothing; INT-F5 read-only blocked nothing. Composition root src/app.ts + httpServer.ts/main.ts built; npm start verified end to end</t>
        </is>
      </c>
      <c r="D57" s="30" t="inlineStr">
        <is>
          <t>GAP-F1, INT-F1..F5</t>
        </is>
      </c>
      <c r="E57" s="30" t="inlineStr">
        <is>
          <t>docs/live-sweep/integration-audit-20260913.md</t>
        </is>
      </c>
      <c r="F57" s="30" t="inlineStr">
        <is>
          <t>D13</t>
        </is>
      </c>
    </row>
    <row r="58" ht="57" customHeight="1" s="22">
      <c r="A58" s="30" t="inlineStr">
        <is>
          <t>2026-09-13 10:25</t>
        </is>
      </c>
      <c r="B58" s="30" t="inlineStr">
        <is>
          <t>—</t>
        </is>
      </c>
      <c r="C58" s="30" t="inlineStr">
        <is>
          <t>TEST RUN: 22 suites, 283 tests, 100% all metrics, zero pragmas; tsc clean; npm run build emits dist/main.js; booted artifact returned {"ok":true,"release":"v018"} on a real socket. Lesson L-F1: unit coverage proves a module executes, never that the product exists or that anything calls it</t>
        </is>
      </c>
      <c r="D58" s="30" t="inlineStr">
        <is>
          <t>—</t>
        </is>
      </c>
      <c r="E58" s="30" t="inlineStr">
        <is>
          <t>coverage-summary.json</t>
        </is>
      </c>
      <c r="F58" s="30" t="inlineStr">
        <is>
          <t>D13</t>
        </is>
      </c>
    </row>
    <row r="59" ht="57" customHeight="1" s="22">
      <c r="A59" s="30" t="inlineStr">
        <is>
          <t>2026-09-13 10:38</t>
        </is>
      </c>
      <c r="B59" s="30" t="inlineStr">
        <is>
          <t>—</t>
        </is>
      </c>
      <c r="C59" s="30" t="inlineStr">
        <is>
          <t>COLD-REVIEW PASS 3 (v019) over v018-authored surfaces: F3-01 no OAuth install routes (sweep step 2 would have 404d); F3-02 nothing drained the webhook queue (accepted events evaporated) + unbounded; F3-03 OAuth CSRF state; F3-04 public /health leaked release + queue depth. Dedupe tenant-scoping verified clean and pinned</t>
        </is>
      </c>
      <c r="D59" s="30" t="inlineStr">
        <is>
          <t>F3-01..F3-04</t>
        </is>
      </c>
      <c r="E59" s="30" t="inlineStr">
        <is>
          <t>docs/live-sweep/cold-review-pass3-20260913.md</t>
        </is>
      </c>
      <c r="F59" s="30" t="inlineStr">
        <is>
          <t>D13</t>
        </is>
      </c>
    </row>
    <row r="60" ht="57" customHeight="1" s="22">
      <c r="A60" s="30" t="inlineStr">
        <is>
          <t>2026-09-13 10:38</t>
        </is>
      </c>
      <c r="B60" s="30" t="inlineStr">
        <is>
          <t>—</t>
        </is>
      </c>
      <c r="C60" s="30" t="inlineStr">
        <is>
          <t>TEST RUN: 23 suites, 317 tests, 100% all metrics, zero pragmas; tsc clean; built artifact serves {"ok":true} publicly and full detail to the operator token. R-F9 open: real XeroOAuthClient still missing (R-F4) so /auth/start 503s live — routing half closed, client half is next sprint. Lesson L-F2: anything built in a session gets reviewed in the next one</t>
        </is>
      </c>
      <c r="D60" s="30" t="inlineStr">
        <is>
          <t>—</t>
        </is>
      </c>
      <c r="E60" s="30" t="inlineStr">
        <is>
          <t>coverage-summary.json</t>
        </is>
      </c>
      <c r="F60" s="30" t="inlineStr">
        <is>
          <t>D13</t>
        </is>
      </c>
    </row>
    <row r="61" ht="45.75" customHeight="1" s="22">
      <c r="A61" s="30" t="inlineStr">
        <is>
          <t>2026-09-13 10:55</t>
        </is>
      </c>
      <c r="B61" s="30" t="inlineStr">
        <is>
          <t>—</t>
        </is>
      </c>
      <c r="C61" s="30" t="inlineStr">
        <is>
          <t>REACHABILITY GATE ported from TestPulse pass 5 and wired into CI; first run found GAP-F2 (no scheduler existed — nudge cycle, bank polling, dunning, trial expiry, retention purge, evictions all undriven), R-F10 (requireTls never called), plus 3 dead helpers deleted</t>
        </is>
      </c>
      <c r="D61" s="30" t="inlineStr">
        <is>
          <t>GAP-F2, R-F10</t>
        </is>
      </c>
      <c r="E61" s="30" t="inlineStr">
        <is>
          <t>docs/live-sweep/reachability-gate-20260913.md</t>
        </is>
      </c>
      <c r="F61" s="30" t="inlineStr">
        <is>
          <t>D13</t>
        </is>
      </c>
    </row>
    <row r="62" ht="34.5" customHeight="1" s="22">
      <c r="A62" s="30" t="inlineStr">
        <is>
          <t>2026-09-13 10:55</t>
        </is>
      </c>
      <c r="B62" s="30" t="inlineStr">
        <is>
          <t>S1</t>
        </is>
      </c>
      <c r="C62" s="30" t="inlineStr">
        <is>
          <t>R-F9 CLOSED: real Xero OAuth HTTP client built (token exchange/refresh + connections lookup, injected fetch, single-use code exchanged once). Live-sweep step 2 now has both halves</t>
        </is>
      </c>
      <c r="D62" s="30" t="inlineStr">
        <is>
          <t>R-F9</t>
        </is>
      </c>
      <c r="E62" s="30" t="inlineStr">
        <is>
          <t>src/xeroClient.ts</t>
        </is>
      </c>
      <c r="F62" s="30" t="inlineStr">
        <is>
          <t>Dev org = Senthil</t>
        </is>
      </c>
    </row>
    <row r="63" ht="45.75" customHeight="1" s="22">
      <c r="A63" s="30" t="inlineStr">
        <is>
          <t>2026-09-13 10:55</t>
        </is>
      </c>
      <c r="B63" s="30" t="inlineStr">
        <is>
          <t>—</t>
        </is>
      </c>
      <c r="C63" s="30" t="inlineStr">
        <is>
          <t>TEST RUN: 25 suites, 348 tests, 100% all metrics, zero pragmas; tsc clean; gate green in CI. Lesson L-F3: the highest-value finding came from a mechanical check, not closer reading — the gate catches this class every build</t>
        </is>
      </c>
      <c r="D63" s="30" t="inlineStr">
        <is>
          <t>—</t>
        </is>
      </c>
      <c r="E63" s="30" t="inlineStr">
        <is>
          <t>coverage-summary.json</t>
        </is>
      </c>
      <c r="F63" s="30" t="inlineStr">
        <is>
          <t>D13</t>
        </is>
      </c>
    </row>
    <row r="64" ht="45.75" customHeight="1" s="22">
      <c r="A64" s="30" t="inlineStr">
        <is>
          <t>2026-09-13 11:07</t>
        </is>
      </c>
      <c r="B64" s="30" t="inlineStr">
        <is>
          <t>S2, S5, S8</t>
        </is>
      </c>
      <c r="C64" s="30" t="inlineStr">
        <is>
          <t>R-F10 CLOSED: src/xeroApi.ts — accounting API client (invoices/overdue/bank txns) behind the limiter AND breaker; Xero date parsing returns null not NaN with skipped rows reported; single-fetch refactor caught in draft; scheduler wired to live data</t>
        </is>
      </c>
      <c r="D64" s="30" t="inlineStr">
        <is>
          <t>R-F10</t>
        </is>
      </c>
      <c r="E64" s="30" t="inlineStr">
        <is>
          <t>src/xeroApi.ts</t>
        </is>
      </c>
      <c r="F64" s="30" t="inlineStr">
        <is>
          <t>Dev org = Senthil</t>
        </is>
      </c>
    </row>
    <row r="65" ht="45.75" customHeight="1" s="22">
      <c r="A65" s="30" t="inlineStr">
        <is>
          <t>2026-09-13 11:07</t>
        </is>
      </c>
      <c r="B65" s="30" t="inlineStr">
        <is>
          <t>—</t>
        </is>
      </c>
      <c r="C65" s="30" t="inlineStr">
        <is>
          <t>PUBLISHED-CLAIMS GATE ported + wired into CI; it did NOT work on first write (comments satisfied the match) — both gates now strip comments and the failure was re-proved; stricter matching then caught xeroApi.ts unwired</t>
        </is>
      </c>
      <c r="D65" s="30" t="inlineStr">
        <is>
          <t>—</t>
        </is>
      </c>
      <c r="E65" s="30" t="inlineStr">
        <is>
          <t>docs/live-sweep/claims-gate-and-api-client-20260913.md</t>
        </is>
      </c>
      <c r="F65" s="30" t="inlineStr">
        <is>
          <t>D13</t>
        </is>
      </c>
    </row>
    <row r="66" ht="34.5" customHeight="1" s="22">
      <c r="A66" s="30" t="inlineStr">
        <is>
          <t>2026-09-13 11:07</t>
        </is>
      </c>
      <c r="B66" s="30" t="inlineStr">
        <is>
          <t>—</t>
        </is>
      </c>
      <c r="C66" s="30" t="inlineStr">
        <is>
          <t>TEST RUN: 27 suites, 377 tests, 100% all metrics, zero pragmas; tsc clean; both gates green. Lesson L-F4: a gate you have never seen fail is not a gate</t>
        </is>
      </c>
      <c r="D66" s="30" t="inlineStr">
        <is>
          <t>—</t>
        </is>
      </c>
      <c r="E66" s="30" t="inlineStr">
        <is>
          <t>coverage-summary.json</t>
        </is>
      </c>
      <c r="F66" s="30" t="inlineStr">
        <is>
          <t>D13</t>
        </is>
      </c>
    </row>
    <row r="67" ht="57" customHeight="1" s="22">
      <c r="A67" s="30" t="inlineStr">
        <is>
          <t>2026-09-13 11:15</t>
        </is>
      </c>
      <c r="B67" s="30" t="inlineStr">
        <is>
          <t>S8</t>
        </is>
      </c>
      <c r="C67" s="30" t="inlineStr">
        <is>
          <t>COLD-REVIEW PASS 4 (v022) over v020/v021 code: F4-01 CRITICAL only the first tenant was ever bank-polled (shared PollState); F4-02 dunning counter mutated through a getter, not persisted; F4-03 full bank history fetched every 15 min, defeating the VER-002 daily budget; F4-04 failed drain destroyed its batch</t>
        </is>
      </c>
      <c r="D67" s="30" t="inlineStr">
        <is>
          <t>F4-01..F4-04</t>
        </is>
      </c>
      <c r="E67" s="30" t="inlineStr">
        <is>
          <t>docs/live-sweep/cold-review-pass4-20260913.md</t>
        </is>
      </c>
      <c r="F67" s="30" t="inlineStr">
        <is>
          <t>D13</t>
        </is>
      </c>
    </row>
    <row r="68" ht="45.75" customHeight="1" s="22">
      <c r="A68" s="30" t="inlineStr">
        <is>
          <t>2026-09-13 11:15</t>
        </is>
      </c>
      <c r="B68" s="30" t="inlineStr">
        <is>
          <t>—</t>
        </is>
      </c>
      <c r="C68" s="30" t="inlineStr">
        <is>
          <t>TEST RUN: 28 suites, 388 tests, 100% all metrics, zero pragmas; tsc clean; both gates green. F4-01 regressions proved by reintroducing the defect. Lesson L-F5: knowing a defect class does not stop you writing it — only a check that runs against the new code does</t>
        </is>
      </c>
      <c r="D68" s="30" t="inlineStr">
        <is>
          <t>—</t>
        </is>
      </c>
      <c r="E68" s="30" t="inlineStr">
        <is>
          <t>coverage-summary.json</t>
        </is>
      </c>
      <c r="F68" s="30" t="inlineStr">
        <is>
          <t>D13</t>
        </is>
      </c>
    </row>
    <row r="69" ht="45.75" customHeight="1" s="22">
      <c r="A69" s="30" t="inlineStr">
        <is>
          <t>2026-09-13 11:20</t>
        </is>
      </c>
      <c r="B69" s="30" t="inlineStr">
        <is>
          <t>—</t>
        </is>
      </c>
      <c r="C69" s="30" t="inlineStr">
        <is>
          <t>TENANT-ISOLATION GATE built + wired into CI (third gate). Caught two of its OWN bugs during proof-against-real-defect: assignment-stripping hid self-referential carries, and indexOf-based offsets meant 2 of 3 identical tenant loops were never analysed</t>
        </is>
      </c>
      <c r="D69" s="30" t="inlineStr">
        <is>
          <t>—</t>
        </is>
      </c>
      <c r="E69" s="30" t="inlineStr">
        <is>
          <t>docs/live-sweep/tenant-isolation-gate-20260913.md</t>
        </is>
      </c>
      <c r="F69" s="30" t="inlineStr">
        <is>
          <t>D13</t>
        </is>
      </c>
    </row>
    <row r="70" ht="34.5" customHeight="1" s="22">
      <c r="A70" s="30" t="inlineStr">
        <is>
          <t>2026-09-13 11:20</t>
        </is>
      </c>
      <c r="B70" s="30" t="inlineStr">
        <is>
          <t>—</t>
        </is>
      </c>
      <c r="C70" s="30" t="inlineStr">
        <is>
          <t>TEST RUN: 29 suites, 394 tests, 100% all metrics, zero pragmas; tsc clean; three gates green. Lesson L-F6: a broken static gate does not complain, it approves</t>
        </is>
      </c>
      <c r="D70" s="30" t="inlineStr">
        <is>
          <t>—</t>
        </is>
      </c>
      <c r="E70" s="30" t="inlineStr">
        <is>
          <t>coverage-summary.json</t>
        </is>
      </c>
      <c r="F70" s="30" t="inlineStr">
        <is>
          <t>D13</t>
        </is>
      </c>
    </row>
    <row r="71" ht="57" customHeight="1" s="22">
      <c r="A71" s="30" t="inlineStr">
        <is>
          <t>2026-09-13 11:54</t>
        </is>
      </c>
      <c r="B71" s="30" t="inlineStr">
        <is>
          <t>—</t>
        </is>
      </c>
      <c r="C71" s="30" t="inlineStr">
        <is>
          <t>GATE AUDIT: both remaining gates failed their first real proof — HOLE-1 (unused import counted as a caller, so unwiring recordNudge kept the reachability gate green) and HOLE-2 (unused import satisfied the encryption claim while tokens stored plaintext). Both fixed and re-proved; known limits documented</t>
        </is>
      </c>
      <c r="D71" s="30" t="inlineStr">
        <is>
          <t>HOLE-1, HOLE-2</t>
        </is>
      </c>
      <c r="E71" s="30" t="inlineStr">
        <is>
          <t>docs/live-sweep/gate-audit-20260913.md</t>
        </is>
      </c>
      <c r="F71" s="30" t="inlineStr">
        <is>
          <t>D13</t>
        </is>
      </c>
    </row>
    <row r="72" ht="45.75" customHeight="1" s="22">
      <c r="A72" s="30" t="inlineStr">
        <is>
          <t>2026-09-13 11:54</t>
        </is>
      </c>
      <c r="B72" s="30" t="inlineStr">
        <is>
          <t>—</t>
        </is>
      </c>
      <c r="C72" s="30" t="inlineStr">
        <is>
          <t>TEST RUN: 29 suites, 395 tests, 100% all metrics, zero pragmas; tsc clean; three gates green AND all three now proved against reintroduced real defects. Lesson L-F7: every one of the three gates four silently-permissive bugs passed its own fixture test from the first run</t>
        </is>
      </c>
      <c r="D72" s="30" t="inlineStr">
        <is>
          <t>—</t>
        </is>
      </c>
      <c r="E72" s="30" t="inlineStr">
        <is>
          <t>coverage-summary.json</t>
        </is>
      </c>
      <c r="F72" s="30" t="inlineStr">
        <is>
          <t>D13</t>
        </is>
      </c>
    </row>
    <row r="73" ht="57" customHeight="1" s="22">
      <c r="A73" s="30" t="inlineStr">
        <is>
          <t>2026-09-13 11:58</t>
        </is>
      </c>
      <c r="B73" s="30" t="inlineStr">
        <is>
          <t>—</t>
        </is>
      </c>
      <c r="C73" s="30" t="inlineStr">
        <is>
          <t>PORTABLE GATE PACK shipped: gates/prove-gates.js mutates real source to reintroduce each gate own defect and requires the gate to FAIL; all three PROVED; harness meta-proved by reintroducing HOLE-1 (reports BROKEN, exits 1); STALE detection for drifted mutation anchors; gates/README.md porting guide with honest limits</t>
        </is>
      </c>
      <c r="D73" s="30" t="inlineStr">
        <is>
          <t>—</t>
        </is>
      </c>
      <c r="E73" s="30" t="inlineStr">
        <is>
          <t>gates/, docs/live-sweep/gate-pack-20260913.md</t>
        </is>
      </c>
      <c r="F73" s="30" t="inlineStr">
        <is>
          <t>D13</t>
        </is>
      </c>
    </row>
    <row r="74" ht="45.75" customHeight="1" s="22">
      <c r="A74" s="30" t="inlineStr">
        <is>
          <t>2026-09-13 11:58</t>
        </is>
      </c>
      <c r="B74" s="30" t="inlineStr">
        <is>
          <t>—</t>
        </is>
      </c>
      <c r="C74" s="30" t="inlineStr">
        <is>
          <t>TEST RUN: 29 suites, 395 tests, 100% all metrics, zero pragmas; tsc clean; three gates green, all three proved, harness in CI. Lesson L-F8: what generalises is not the three rules but the harness — any future check should arrive with the mutation that proves it, in the same commit</t>
        </is>
      </c>
      <c r="D74" s="30" t="inlineStr">
        <is>
          <t>—</t>
        </is>
      </c>
      <c r="E74" s="30" t="inlineStr">
        <is>
          <t>coverage-summary.json</t>
        </is>
      </c>
      <c r="F74" s="30" t="inlineStr">
        <is>
          <t>D13</t>
        </is>
      </c>
    </row>
    <row r="75" ht="45.75" customHeight="1" s="22">
      <c r="A75" s="30" t="inlineStr">
        <is>
          <t>2026-09-13 12:03</t>
        </is>
      </c>
      <c r="B75" s="30" t="inlineStr">
        <is>
          <t>—</t>
        </is>
      </c>
      <c r="C75" s="30" t="inlineStr">
        <is>
          <t>AS-BUILT VERIFICATION: 7 stories had sat at Done while the behaviour had no driver or no enforcement (nudge cycle, plan limits, read-only, dunning, bank polling). All true today; each row annotated with the release that actually made it true. Counts verified unchanged at 77/16/2/5</t>
        </is>
      </c>
      <c r="D75" s="30" t="inlineStr">
        <is>
          <t>ST-022/024/041/042/044/060/061</t>
        </is>
      </c>
      <c r="E75" s="30" t="inlineStr">
        <is>
          <t>Full_Backlog as-built column</t>
        </is>
      </c>
      <c r="F75" s="30" t="inlineStr">
        <is>
          <t>Honest-status rule</t>
        </is>
      </c>
    </row>
    <row r="76" ht="45.75" customHeight="1" s="22">
      <c r="A76" s="30" t="inlineStr">
        <is>
          <t>2026-09-13 12:03</t>
        </is>
      </c>
      <c r="B76" s="30" t="inlineStr">
        <is>
          <t>—</t>
        </is>
      </c>
      <c r="C76" s="30" t="inlineStr">
        <is>
          <t>SENTHIL_HANDOVER sheet added: all 12 remaining items, none codeable, ordered by leverage — external lead times first (dev org, pen-test vendor, external reviewer, partner application), then dispositions, then decisions, then post-launch</t>
        </is>
      </c>
      <c r="D76" s="30" t="inlineStr">
        <is>
          <t>—</t>
        </is>
      </c>
      <c r="E76" s="30" t="inlineStr">
        <is>
          <t>Senthil_Handover</t>
        </is>
      </c>
      <c r="F76" s="30" t="inlineStr">
        <is>
          <t>—</t>
        </is>
      </c>
    </row>
    <row r="77" ht="57" customHeight="1" s="22">
      <c r="A77" s="30" t="inlineStr">
        <is>
          <t>2026-09-13 16:24</t>
        </is>
      </c>
      <c r="B77" s="30" t="inlineStr">
        <is>
          <t>S1, S6, S8</t>
        </is>
      </c>
      <c r="C77" s="30" t="inlineStr">
        <is>
          <t>GAP-F3 CLOSED: persistence layer built — schema + 6 cascading migrations, Repository seam (in-memory + Postgres tested through one shared suite), real pg driver, hydration, graceful shutdown, durableStore on /health. Without it blue/green restarts silently reverted six earlier correctness fixes on every deploy</t>
        </is>
      </c>
      <c r="D77" s="30" t="inlineStr">
        <is>
          <t>GAP-F3</t>
        </is>
      </c>
      <c r="E77" s="30" t="inlineStr">
        <is>
          <t>docs/live-sweep/persistence-20260913.md</t>
        </is>
      </c>
      <c r="F77" s="30" t="inlineStr">
        <is>
          <t>D13</t>
        </is>
      </c>
    </row>
    <row r="78" ht="68.25" customHeight="1" s="22">
      <c r="A78" s="30" t="inlineStr">
        <is>
          <t>2026-09-13 16:24</t>
        </is>
      </c>
      <c r="B78" s="30" t="inlineStr">
        <is>
          <t>—</t>
        </is>
      </c>
      <c r="C78" s="30" t="inlineStr">
        <is>
          <t>TEST RUN: 30 suites, 433 tests, 100% all metrics, zero pragmas; tsc clean; gates proved; artifact boots reporting durableStore. Reachability gate failed the build twice on this sitting own code (unwired layer; closePool with no caller → graceful shutdown missing). Lesson L-F10: gates check code against itself and cannot see an assumption the code never states</t>
        </is>
      </c>
      <c r="D78" s="30" t="inlineStr">
        <is>
          <t>—</t>
        </is>
      </c>
      <c r="E78" s="30" t="inlineStr">
        <is>
          <t>coverage-summary.json</t>
        </is>
      </c>
      <c r="F78" s="30" t="inlineStr">
        <is>
          <t>D13</t>
        </is>
      </c>
    </row>
    <row r="79" ht="57" customHeight="1" s="22">
      <c r="A79" s="30" t="inlineStr">
        <is>
          <t>2026-09-13 16:38</t>
        </is>
      </c>
      <c r="B79" s="30" t="inlineStr">
        <is>
          <t>S8, S10</t>
        </is>
      </c>
      <c r="C79" s="30" t="inlineStr">
        <is>
          <t>ENVIRONMENT REVIEW: ENV-1 scheduler assumed one process (blue/green runs two — N nudges per customer per day); ENV-2 accepted events lost on restart after Xero was ACKed and will never redeliver; ENV-3 business hours computed in UTC while published as local. All fixed; /health now reports durableStore and singleWriter</t>
        </is>
      </c>
      <c r="D79" s="30" t="inlineStr">
        <is>
          <t>ENV-1..ENV-3</t>
        </is>
      </c>
      <c r="E79" s="30" t="inlineStr">
        <is>
          <t>docs/live-sweep/environment-review-20260913.md</t>
        </is>
      </c>
      <c r="F79" s="30" t="inlineStr">
        <is>
          <t>D13</t>
        </is>
      </c>
    </row>
    <row r="80" ht="68.25" customHeight="1" s="22">
      <c r="A80" s="30" t="inlineStr">
        <is>
          <t>2026-09-13 16:38</t>
        </is>
      </c>
      <c r="B80" s="30" t="inlineStr">
        <is>
          <t>—</t>
        </is>
      </c>
      <c r="C80" s="30" t="inlineStr">
        <is>
          <t>TEST RUN: 31 suites, 453 tests, 100% all metrics, zero pragmas; tsc clean; gates proved; artifact boots reporting both guarantees truthfully. OBS-003 (DST) and OBS-004 (per-process webhook rate limiting) logged for disposition. Lesson L-F11: these came from reading the DEPLOY PIPELINE against the APPLICATION CODE — two artifacts each correct alone</t>
        </is>
      </c>
      <c r="D80" s="30" t="inlineStr">
        <is>
          <t>—</t>
        </is>
      </c>
      <c r="E80" s="30" t="inlineStr">
        <is>
          <t>coverage-summary.json</t>
        </is>
      </c>
      <c r="F80" s="30" t="inlineStr">
        <is>
          <t>D13</t>
        </is>
      </c>
    </row>
    <row r="81" ht="57" customHeight="1" s="22">
      <c r="A81" s="30" t="inlineStr">
        <is>
          <t>2026-09-13 16:47</t>
        </is>
      </c>
      <c r="B81" s="30" t="inlineStr">
        <is>
          <t>S8</t>
        </is>
      </c>
      <c r="C81" s="30" t="inlineStr">
        <is>
          <t>OPS REVIEW: OPS-1 deploy pipeline never ran migrations; OPS-3 /health answered from memory yet gated the traffic switch (the two compound — broken slot, certified healthy); OPS-2 no expand/contract discipline though blue/green runs two releases on one database and rollback re-points after the new schema is applied</t>
        </is>
      </c>
      <c r="D81" s="30" t="inlineStr">
        <is>
          <t>OPS-1..OPS-3</t>
        </is>
      </c>
      <c r="E81" s="30" t="inlineStr">
        <is>
          <t>docs/live-sweep/ops-review-20260913.md</t>
        </is>
      </c>
      <c r="F81" s="30" t="inlineStr">
        <is>
          <t>D13</t>
        </is>
      </c>
    </row>
    <row r="82" ht="45.75" customHeight="1" s="22">
      <c r="A82" s="30" t="inlineStr">
        <is>
          <t>2026-09-13 16:47</t>
        </is>
      </c>
      <c r="B82" s="30" t="inlineStr">
        <is>
          <t>—</t>
        </is>
      </c>
      <c r="C82" s="30" t="inlineStr">
        <is>
          <t>TEST RUN: 33 suites, 465 tests, 100% all metrics, zero pragmas; tsc clean; FOURTH gate (migration safety) added to CI, three older gates still proved; live boot returns {"ready":true,"store":"ok"}. Lesson L-F12: reviewing artifacts in PAIRS finds what reviewing them in a list does not</t>
        </is>
      </c>
      <c r="D82" s="30" t="inlineStr">
        <is>
          <t>—</t>
        </is>
      </c>
      <c r="E82" s="30" t="inlineStr">
        <is>
          <t>coverage-summary.json</t>
        </is>
      </c>
      <c r="F82" s="30" t="inlineStr">
        <is>
          <t>D13</t>
        </is>
      </c>
    </row>
    <row r="83" ht="57" customHeight="1" s="22">
      <c r="A83" s="30" t="inlineStr">
        <is>
          <t>2026-09-13 16:52</t>
        </is>
      </c>
      <c r="B83" s="30" t="inlineStr">
        <is>
          <t>S8</t>
        </is>
      </c>
      <c r="C83" s="30" t="inlineStr">
        <is>
          <t>CHAOS REVIEW: CHAOS-1 two void-promise calls on the DB path (one on the webhook fast-ack route) would have TERMINATED THE PROCESS on any Postgres blip — verified on node v22; CHAOS-2 the chaos runbook covered only Xero though Postgres is now in every request path</t>
        </is>
      </c>
      <c r="D83" s="30" t="inlineStr">
        <is>
          <t>CHAOS-1, CHAOS-2</t>
        </is>
      </c>
      <c r="E83" s="30" t="inlineStr">
        <is>
          <t>docs/live-sweep/chaos-review-20260913.md</t>
        </is>
      </c>
      <c r="F83" s="30" t="inlineStr">
        <is>
          <t>D13</t>
        </is>
      </c>
    </row>
    <row r="84" ht="45.75" customHeight="1" s="22">
      <c r="A84" s="30" t="inlineStr">
        <is>
          <t>2026-09-13 16:52</t>
        </is>
      </c>
      <c r="B84" s="30" t="inlineStr">
        <is>
          <t>—</t>
        </is>
      </c>
      <c r="C84" s="30" t="inlineStr">
        <is>
          <t>TEST RUN: 35 suites, 478 tests, 100% all metrics, zero pragmas; tsc clean; gates proved; live boot ready:true. Lesson L-F13: void promise reads as fire-and-forget and on modern Node means fire-and-exit — asynchronous work needs an owner that catches, counts and reports</t>
        </is>
      </c>
      <c r="D84" s="30" t="inlineStr">
        <is>
          <t>—</t>
        </is>
      </c>
      <c r="E84" s="30" t="inlineStr">
        <is>
          <t>coverage-summary.json</t>
        </is>
      </c>
      <c r="F84" s="30" t="inlineStr">
        <is>
          <t>D13</t>
        </is>
      </c>
    </row>
    <row r="85" ht="68.25" customHeight="1" s="22">
      <c r="A85" s="30" t="inlineStr">
        <is>
          <t>2026-09-13 17:23</t>
        </is>
      </c>
      <c r="B85" s="30" t="inlineStr">
        <is>
          <t>S9</t>
        </is>
      </c>
      <c r="C85" s="30" t="inlineStr">
        <is>
          <t>DOCUMENT REVIEW: SECURITY_EVIDENCE.md mentioned the database zero times and REVIEW_PACK.md one of eight new modules — both on Senthil critical path (pen-test scoping, ST-097 external reviewer). Both rewritten against current source; SEC-2 credential redaction added in code with 3 new gate-enforced claims; latency budgets updated for DB round trips</t>
        </is>
      </c>
      <c r="D85" s="30" t="inlineStr">
        <is>
          <t>SEC-1, SEC-2, REV-1, PERF-1</t>
        </is>
      </c>
      <c r="E85" s="30" t="inlineStr">
        <is>
          <t>docs/live-sweep/document-review-20260913.md</t>
        </is>
      </c>
      <c r="F85" s="30" t="inlineStr">
        <is>
          <t>D13</t>
        </is>
      </c>
    </row>
    <row r="86" ht="57" customHeight="1" s="22">
      <c r="A86" s="30" t="inlineStr">
        <is>
          <t>2026-09-13 17:23</t>
        </is>
      </c>
      <c r="B86" s="30" t="inlineStr">
        <is>
          <t>—</t>
        </is>
      </c>
      <c r="C86" s="30" t="inlineStr">
        <is>
          <t>TEST RUN: 35 suites, 485 tests, 100% all metrics, zero pragmas; gates proved. A wrong test count I wrote into the review pack (494 vs 482) was caught and corrected — the exact failure the claims gate exists for, committed while writing about the claims gate. Lesson L-F14: documents aimed at outsiders decay silently because nobody inside reads them</t>
        </is>
      </c>
      <c r="D86" s="30" t="inlineStr">
        <is>
          <t>—</t>
        </is>
      </c>
      <c r="E86" s="30" t="inlineStr">
        <is>
          <t>coverage-summary.json</t>
        </is>
      </c>
      <c r="F86" s="30" t="inlineStr">
        <is>
          <t>D13</t>
        </is>
      </c>
    </row>
    <row r="87" ht="57" customHeight="1" s="22">
      <c r="A87" s="30" t="inlineStr">
        <is>
          <t>2026-09-13 17:29</t>
        </is>
      </c>
      <c r="B87" s="30" t="inlineStr">
        <is>
          <t>S9</t>
        </is>
      </c>
      <c r="C87" s="30" t="inlineStr">
        <is>
          <t>DOC-FRESHNESS GATE built + proved + wired into CI: outsider-facing documents must acknowledge every module they claim to describe. Fired on first run against documents rewritten six minutes earlier (feature modules omitted from the reviewer map; db/pg never named in the security pack); both completed</t>
        </is>
      </c>
      <c r="D87" s="30" t="inlineStr">
        <is>
          <t>L-F14 closure</t>
        </is>
      </c>
      <c r="E87" s="30" t="inlineStr">
        <is>
          <t>docs/live-sweep/doc-freshness-gate-20260913.md</t>
        </is>
      </c>
      <c r="F87" s="30" t="inlineStr">
        <is>
          <t>D13</t>
        </is>
      </c>
    </row>
    <row r="88" ht="57" customHeight="1" s="22">
      <c r="A88" s="30" t="inlineStr">
        <is>
          <t>2026-09-13 17:29</t>
        </is>
      </c>
      <c r="B88" s="30" t="inlineStr">
        <is>
          <t>—</t>
        </is>
      </c>
      <c r="C88" s="30" t="inlineStr">
        <is>
          <t>TEST RUN: 36 suites, 492 tests, 100% all metrics, zero pragmas; five gates in CI, four provable ones PROVED. The proof harness caught a weak MUTATION (one of two leaderLock mentions) rather than a weak gate — recorded, since a harness that only confirms expectations is no better than the gates it checks. Lesson L-F15</t>
        </is>
      </c>
      <c r="D88" s="30" t="inlineStr">
        <is>
          <t>—</t>
        </is>
      </c>
      <c r="E88" s="30" t="inlineStr">
        <is>
          <t>coverage-summary.json</t>
        </is>
      </c>
      <c r="F88" s="30" t="inlineStr">
        <is>
          <t>D13</t>
        </is>
      </c>
    </row>
    <row r="89" ht="45.75" customHeight="1" s="22">
      <c r="A89" s="30" t="inlineStr">
        <is>
          <t>2026-09-13 18:48</t>
        </is>
      </c>
      <c r="B89" s="30" t="inlineStr">
        <is>
          <t>S8</t>
        </is>
      </c>
      <c r="C89" s="30" t="inlineStr">
        <is>
          <t>ASYNC OWNERSHIP: worker drain failures were unhandled rejections invisible to the degradation counter (drainOnce rethrows per F4-04 and the tick had no catch); fixed, plus the SIGTERM shutdown path. Sixth gate built and proved against the CHAOS-1 shape</t>
        </is>
      </c>
      <c r="D89" s="30" t="inlineStr">
        <is>
          <t>L-F13 closure</t>
        </is>
      </c>
      <c r="E89" s="30" t="inlineStr">
        <is>
          <t>tests/asyncOwnershipGate.test.ts</t>
        </is>
      </c>
      <c r="F89" s="30" t="inlineStr">
        <is>
          <t>D13</t>
        </is>
      </c>
    </row>
    <row r="90" ht="45.75" customHeight="1" s="22">
      <c r="A90" s="30" t="inlineStr">
        <is>
          <t>2026-09-13 18:48</t>
        </is>
      </c>
      <c r="B90" s="30" t="inlineStr">
        <is>
          <t>—</t>
        </is>
      </c>
      <c r="C90" s="30" t="inlineStr">
        <is>
          <t>REVIEW PLAYBOOK (gates/REVIEW_PLAYBOOK.md): the eight passes in the order that worked, the rules learned the hard way, and how to run them elsewhere. 36 suites / 500 tests at 100% zero pragmas; six gates in CI, five provable ones PROVED; live boot ready:true</t>
        </is>
      </c>
      <c r="D90" s="30" t="inlineStr">
        <is>
          <t>—</t>
        </is>
      </c>
      <c r="E90" s="30" t="inlineStr">
        <is>
          <t>gates/REVIEW_PLAYBOOK.md</t>
        </is>
      </c>
      <c r="F90" s="30" t="inlineStr">
        <is>
          <t>D13</t>
        </is>
      </c>
    </row>
    <row r="91" ht="15" customHeight="1" s="22">
      <c r="A91" s="28" t="inlineStr">
        <is>
          <t>2026-09-13 22:47</t>
        </is>
      </c>
      <c r="B91" s="28" t="inlineStr">
        <is>
          <t>E5</t>
        </is>
      </c>
      <c r="C91" s="28" t="inlineStr">
        <is>
          <t>External review response sprint executed. 15 findings triaged into 3 waves; Wave 1 (8 findings) closed or advanced in code. FC-R002 closed as a documentation defect. 40 suites / 595 tests at 100%, 7 gates proved. Story position deliberately unchanged.</t>
        </is>
      </c>
      <c r="D91" s="28" t="inlineStr">
        <is>
          <t>None — enhancement pool</t>
        </is>
      </c>
      <c r="E91" s="28" t="inlineStr">
        <is>
          <t>tracker v022 External_Review_FC; code v0.28.0</t>
        </is>
      </c>
      <c r="F91" s="28" t="inlineStr">
        <is>
          <t>DEC-F16, DEC-F17, D-F7</t>
        </is>
      </c>
    </row>
    <row r="92" ht="15" customHeight="1" s="22">
      <c r="A92" s="28" t="inlineStr">
        <is>
          <t>2026-09-13 23:03</t>
        </is>
      </c>
      <c r="B92" s="28" t="inlineStr">
        <is>
          <t>E5b</t>
        </is>
      </c>
      <c r="C92" s="28" t="inlineStr">
        <is>
          <t>Cross-product defect-class sweep. 4 findings (2 critical), 2 classes verified absent. Wave 2 not started — gated on DEC-F16. 608 tests at 100%, 8 gates proved. Sandbox-codeable work from both reviews now exhausted.</t>
        </is>
      </c>
      <c r="D92" s="28" t="inlineStr">
        <is>
          <t>None — enhancement pool</t>
        </is>
      </c>
      <c r="E92" s="28" t="inlineStr">
        <is>
          <t>tracker v023; code v0.29.0</t>
        </is>
      </c>
      <c r="F92" s="28" t="inlineStr">
        <is>
          <t>PORT-04, L-RK9, L-RK10</t>
        </is>
      </c>
    </row>
    <row r="93">
      <c r="A93" s="29" t="inlineStr">
        <is>
          <t>2026-09-20 10:14</t>
        </is>
      </c>
      <c r="B93" s="29" t="inlineStr">
        <is>
          <t>E6</t>
        </is>
      </c>
      <c r="C93" s="29" t="inlineStr">
        <is>
          <t>Perplexity V001 response, Wave P1. 10 findings (3 BLOCKER) verified against source and closed in code where sandbox-closable: P1-1..P1-7. Boot found never to start the scheduler or build the API client (E6-F1) — fixed. Method-level gate found 4 further boot-composition clusters (E6-F3..F6) → P1-8 with 31 Oct gate expiry. 6 new gates, 15 mutations proved. Nothing deleted; no re-statusing; billing rail untouched.</t>
        </is>
      </c>
      <c r="D93" s="29" t="inlineStr">
        <is>
          <t>None — enhancement pool (P1-1..P1-8)</t>
        </is>
      </c>
      <c r="E93" s="29" t="inlineStr">
        <is>
          <t>tracker v024 External_Review_PPX; code v0.30.0; 49 suites / 719 tests at 100%</t>
        </is>
      </c>
      <c r="F93" s="29" t="inlineStr">
        <is>
          <t>PPX-D1, PPX-D4 (Senthil 10:17); PPX-D2/D3/D5/D6 open; D-F8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1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7" customWidth="1" style="21" min="2" max="2"/>
    <col width="26" customWidth="1" style="21" min="3" max="3"/>
    <col width="34" customWidth="1" style="21" min="4" max="5"/>
    <col width="10" customWidth="1" style="21" min="6" max="6"/>
    <col width="52" customWidth="1" style="21" min="7" max="7"/>
  </cols>
  <sheetData>
    <row r="1" ht="15.75" customHeight="1" s="22">
      <c r="A1" s="43" t="inlineStr">
        <is>
          <t>TRACEABILITY MATRIX — story → code → automated test → coverage (v008 build, 10 Sep 2026)</t>
        </is>
      </c>
    </row>
    <row r="2" ht="15" customHeight="1" s="22">
      <c r="A2" s="27" t="inlineStr">
        <is>
          <t>Coverage source: jest --coverage, gate = 100% statements/branches/functions/lines (D13). All Xero platform calls mocked in tests; "pending live" = logic complete, live platform verification outstanding.</t>
        </is>
      </c>
    </row>
    <row r="4" ht="15" customHeight="1" s="22">
      <c r="A4" s="44" t="inlineStr">
        <is>
          <t>ID</t>
        </is>
      </c>
      <c r="B4" s="44" t="inlineStr">
        <is>
          <t>Epic</t>
        </is>
      </c>
      <c r="C4" s="44" t="inlineStr">
        <is>
          <t>Status (v008)</t>
        </is>
      </c>
      <c r="D4" s="44" t="inlineStr">
        <is>
          <t>Code file(s)</t>
        </is>
      </c>
      <c r="E4" s="44" t="inlineStr">
        <is>
          <t>Automated test file(s)</t>
        </is>
      </c>
      <c r="F4" s="44" t="inlineStr">
        <is>
          <t>Coverage</t>
        </is>
      </c>
      <c r="G4" s="44" t="inlineStr">
        <is>
          <t>Evidence / notes</t>
        </is>
      </c>
    </row>
    <row r="5" ht="15" customHeight="1" s="22">
      <c r="A5" s="30" t="inlineStr">
        <is>
          <t>ST-001</t>
        </is>
      </c>
      <c r="B5" s="30" t="inlineStr">
        <is>
          <t>F1</t>
        </is>
      </c>
      <c r="C5" s="36" t="inlineStr">
        <is>
          <t>Done</t>
        </is>
      </c>
      <c r="D5" s="30" t="inlineStr">
        <is>
          <t>src/forecastEngine.ts</t>
        </is>
      </c>
      <c r="E5" s="30" t="inlineStr">
        <is>
          <t>tests/forecastEngine.test.ts</t>
        </is>
      </c>
      <c r="F5" s="30" t="inlineStr">
        <is>
          <t>100%</t>
        </is>
      </c>
      <c r="G5" s="30" t="inlineStr">
        <is>
          <t>defaultInput one-screen setup</t>
        </is>
      </c>
    </row>
    <row r="6" ht="15" customHeight="1" s="22">
      <c r="A6" s="30" t="inlineStr">
        <is>
          <t>ST-002</t>
        </is>
      </c>
      <c r="B6" s="30" t="inlineStr">
        <is>
          <t>F1</t>
        </is>
      </c>
      <c r="C6" s="36" t="inlineStr">
        <is>
          <t>Done</t>
        </is>
      </c>
      <c r="D6" s="30" t="inlineStr">
        <is>
          <t>src/forecastEngine.ts</t>
        </is>
      </c>
      <c r="E6" s="30" t="inlineStr">
        <is>
          <t>tests/forecastEngine.test.ts</t>
        </is>
      </c>
      <c r="F6" s="30" t="inlineStr">
        <is>
          <t>100%</t>
        </is>
      </c>
      <c r="G6" s="30" t="inlineStr">
        <is>
          <t>computeForecast happy path, 13-week bucketing</t>
        </is>
      </c>
    </row>
    <row r="7" ht="15" customHeight="1" s="22">
      <c r="A7" s="30" t="inlineStr">
        <is>
          <t>ST-003</t>
        </is>
      </c>
      <c r="B7" s="30" t="inlineStr">
        <is>
          <t>F1</t>
        </is>
      </c>
      <c r="C7" s="36" t="inlineStr">
        <is>
          <t>Done</t>
        </is>
      </c>
      <c r="D7" s="30" t="inlineStr">
        <is>
          <t>src/forecastRules.ts</t>
        </is>
      </c>
      <c r="E7" s="30" t="inlineStr">
        <is>
          <t>tests/rulesNotificationsMetrics.test.ts</t>
        </is>
      </c>
      <c r="F7" s="30" t="inlineStr">
        <is>
          <t>100%</t>
        </is>
      </c>
      <c r="G7" s="30" t="inlineStr">
        <is>
          <t>Rule builder complete: min_balance / amber_floor / week_drop_pct over week ranges; supersedes amber-floor-only v008 state</t>
        </is>
      </c>
    </row>
    <row r="8" ht="23.25" customHeight="1" s="22">
      <c r="A8" s="30" t="inlineStr">
        <is>
          <t>ST-004</t>
        </is>
      </c>
      <c r="B8" s="30" t="inlineStr">
        <is>
          <t>F1</t>
        </is>
      </c>
      <c r="C8" s="36" t="inlineStr">
        <is>
          <t>Done</t>
        </is>
      </c>
      <c r="D8" s="30" t="inlineStr">
        <is>
          <t>src/forecastEngine.ts; src/compliance.ts</t>
        </is>
      </c>
      <c r="E8" s="30" t="inlineStr">
        <is>
          <t>tests/forecastEngine.test.ts; tests/compliance.test.ts</t>
        </is>
      </c>
      <c r="F8" s="30" t="inlineStr">
        <is>
          <t>100%</t>
        </is>
      </c>
      <c r="G8" s="30" t="inlineStr">
        <is>
          <t>validate() named errors; callWithProtection retry</t>
        </is>
      </c>
    </row>
    <row r="9" ht="15" customHeight="1" s="22">
      <c r="A9" s="30" t="inlineStr">
        <is>
          <t>ST-005</t>
        </is>
      </c>
      <c r="B9" s="30" t="inlineStr">
        <is>
          <t>F1</t>
        </is>
      </c>
      <c r="C9" s="36" t="inlineStr">
        <is>
          <t>Done</t>
        </is>
      </c>
      <c r="D9" s="30" t="inlineStr">
        <is>
          <t>src/ui/ForecastScreens.tsx</t>
        </is>
      </c>
      <c r="E9" s="30" t="inlineStr">
        <is>
          <t>tests/ui/screens.test.tsx</t>
        </is>
      </c>
      <c r="F9" s="30" t="inlineStr">
        <is>
          <t>100%</t>
        </is>
      </c>
      <c r="G9" s="30" t="inlineStr">
        <is>
          <t>ForecastScreen: 13-week table, rule violations, Xero receivables deep link, empty state</t>
        </is>
      </c>
    </row>
    <row r="10" ht="15" customHeight="1" s="22">
      <c r="A10" s="30" t="inlineStr">
        <is>
          <t>ST-006</t>
        </is>
      </c>
      <c r="B10" s="30" t="inlineStr">
        <is>
          <t>F1</t>
        </is>
      </c>
      <c r="C10" s="36" t="inlineStr">
        <is>
          <t>Done</t>
        </is>
      </c>
      <c r="D10" s="30" t="inlineStr">
        <is>
          <t>src/featureMetrics.ts; src/ui/MetricsPanel.tsx</t>
        </is>
      </c>
      <c r="E10" s="30" t="inlineStr">
        <is>
          <t>tests/rulesNotificationsMetrics.test.ts; tests/ui/screens.test.tsx</t>
        </is>
      </c>
      <c r="F10" s="30" t="inlineStr">
        <is>
          <t>100%</t>
        </is>
      </c>
      <c r="G10" s="30" t="inlineStr">
        <is>
          <t>weeklySeries + trend + MetricsPanel surface</t>
        </is>
      </c>
    </row>
    <row r="11" ht="15" customHeight="1" s="22">
      <c r="A11" s="30" t="inlineStr">
        <is>
          <t>ST-007</t>
        </is>
      </c>
      <c r="B11" s="30" t="inlineStr">
        <is>
          <t>F1</t>
        </is>
      </c>
      <c r="C11" s="36" t="inlineStr">
        <is>
          <t>Done</t>
        </is>
      </c>
      <c r="D11" s="30" t="inlineStr">
        <is>
          <t>src/permissions.ts</t>
        </is>
      </c>
      <c r="E11" s="30" t="inlineStr">
        <is>
          <t>tests/permissions.test.ts</t>
        </is>
      </c>
      <c r="F11" s="30" t="inlineStr">
        <is>
          <t>100%</t>
        </is>
      </c>
      <c r="G11" s="30" t="inlineStr">
        <is>
          <t>authorize + AuditLog on forecast actions</t>
        </is>
      </c>
    </row>
    <row r="12" ht="15" customHeight="1" s="22">
      <c r="A12" s="30" t="inlineStr">
        <is>
          <t>ST-008</t>
        </is>
      </c>
      <c r="B12" s="30" t="inlineStr">
        <is>
          <t>F1</t>
        </is>
      </c>
      <c r="C12" s="36" t="inlineStr">
        <is>
          <t>Done</t>
        </is>
      </c>
      <c r="D12" s="30" t="inlineStr">
        <is>
          <t>src/forecastEngine.ts</t>
        </is>
      </c>
      <c r="E12" s="30" t="inlineStr">
        <is>
          <t>tests/forecastEngine.test.ts</t>
        </is>
      </c>
      <c r="F12" s="30" t="inlineStr">
        <is>
          <t>100%</t>
        </is>
      </c>
      <c r="G12" s="30" t="inlineStr">
        <is>
          <t>setEnabled preserves lastInput</t>
        </is>
      </c>
    </row>
    <row r="13" ht="15" customHeight="1" s="22">
      <c r="A13" s="30" t="inlineStr">
        <is>
          <t>ST-009</t>
        </is>
      </c>
      <c r="B13" s="30" t="inlineStr">
        <is>
          <t>F1</t>
        </is>
      </c>
      <c r="C13" s="36" t="inlineStr">
        <is>
          <t>Done</t>
        </is>
      </c>
      <c r="D13" s="30" t="inlineStr">
        <is>
          <t>src/accountantPortal.ts</t>
        </is>
      </c>
      <c r="E13" s="30" t="inlineStr">
        <is>
          <t>tests/accountantPortal.test.ts</t>
        </is>
      </c>
      <c r="F13" s="30" t="inlineStr">
        <is>
          <t>100%</t>
        </is>
      </c>
      <c r="G13" s="30" t="inlineStr">
        <is>
          <t>importCsv shared migration importer</t>
        </is>
      </c>
    </row>
    <row r="14" ht="15" customHeight="1" s="22">
      <c r="A14" s="30" t="inlineStr">
        <is>
          <t>ST-010</t>
        </is>
      </c>
      <c r="B14" s="30" t="inlineStr">
        <is>
          <t>F1</t>
        </is>
      </c>
      <c r="C14" s="36" t="inlineStr">
        <is>
          <t>Done</t>
        </is>
      </c>
      <c r="D14" s="30" t="inlineStr">
        <is>
          <t>src/notifications.ts</t>
        </is>
      </c>
      <c r="E14" s="30" t="inlineStr">
        <is>
          <t>tests/rulesNotificationsMetrics.test.ts</t>
        </is>
      </c>
      <c r="F14" s="30" t="inlineStr">
        <is>
          <t>100%</t>
        </is>
      </c>
      <c r="G14" s="30" t="inlineStr">
        <is>
          <t>dispatch in-app+email, per-type mute, daily digest (forecast event types)</t>
        </is>
      </c>
    </row>
    <row r="15" ht="15" customHeight="1" s="22">
      <c r="A15" s="30" t="inlineStr">
        <is>
          <t>ST-011</t>
        </is>
      </c>
      <c r="B15" s="30" t="inlineStr">
        <is>
          <t>F2</t>
        </is>
      </c>
      <c r="C15" s="36" t="inlineStr">
        <is>
          <t>Done</t>
        </is>
      </c>
      <c r="D15" s="30" t="inlineStr">
        <is>
          <t>src/scenarioSliders.ts</t>
        </is>
      </c>
      <c r="E15" s="30" t="inlineStr">
        <is>
          <t>tests/scenarioSliders.test.ts</t>
        </is>
      </c>
      <c r="F15" s="30" t="inlineStr">
        <is>
          <t>100%</t>
        </is>
      </c>
      <c r="G15" s="30" t="inlineStr">
        <is>
          <t>baselineScenario defaults</t>
        </is>
      </c>
    </row>
    <row r="16" ht="15" customHeight="1" s="22">
      <c r="A16" s="30" t="inlineStr">
        <is>
          <t>ST-012</t>
        </is>
      </c>
      <c r="B16" s="30" t="inlineStr">
        <is>
          <t>F2</t>
        </is>
      </c>
      <c r="C16" s="36" t="inlineStr">
        <is>
          <t>Done</t>
        </is>
      </c>
      <c r="D16" s="30" t="inlineStr">
        <is>
          <t>src/scenarioSliders.ts</t>
        </is>
      </c>
      <c r="E16" s="30" t="inlineStr">
        <is>
          <t>tests/scenarioSliders.test.ts</t>
        </is>
      </c>
      <c r="F16" s="30" t="inlineStr">
        <is>
          <t>100%</t>
        </is>
      </c>
      <c r="G16" s="30" t="inlineStr">
        <is>
          <t>applyScenario levers + recompute</t>
        </is>
      </c>
    </row>
    <row r="17" ht="15" customHeight="1" s="22">
      <c r="A17" s="30" t="inlineStr">
        <is>
          <t>ST-013</t>
        </is>
      </c>
      <c r="B17" s="30" t="inlineStr">
        <is>
          <t>F2</t>
        </is>
      </c>
      <c r="C17" s="36" t="inlineStr">
        <is>
          <t>Done</t>
        </is>
      </c>
      <c r="D17" s="30" t="inlineStr">
        <is>
          <t>src/scenarioSliders.ts</t>
        </is>
      </c>
      <c r="E17" s="30" t="inlineStr">
        <is>
          <t>tests/scenarioSliders.test.ts</t>
        </is>
      </c>
      <c r="F17" s="30" t="inlineStr">
        <is>
          <t>100%</t>
        </is>
      </c>
      <c r="G17" s="30" t="inlineStr">
        <is>
          <t>validateScenario custom lever ranges</t>
        </is>
      </c>
    </row>
    <row r="18" ht="23.25" customHeight="1" s="22">
      <c r="A18" s="30" t="inlineStr">
        <is>
          <t>ST-014</t>
        </is>
      </c>
      <c r="B18" s="30" t="inlineStr">
        <is>
          <t>F2</t>
        </is>
      </c>
      <c r="C18" s="36" t="inlineStr">
        <is>
          <t>Done</t>
        </is>
      </c>
      <c r="D18" s="30" t="inlineStr">
        <is>
          <t>src/scenarioSliders.ts; src/compliance.ts</t>
        </is>
      </c>
      <c r="E18" s="30" t="inlineStr">
        <is>
          <t>tests/scenarioSliders.test.ts; tests/compliance.test.ts</t>
        </is>
      </c>
      <c r="F18" s="30" t="inlineStr">
        <is>
          <t>100%</t>
        </is>
      </c>
      <c r="G18" s="30" t="inlineStr">
        <is>
          <t>SCENARIO_INVALID errors; retry via callWithProtection</t>
        </is>
      </c>
    </row>
    <row r="19" ht="15" customHeight="1" s="22">
      <c r="A19" s="30" t="inlineStr">
        <is>
          <t>ST-015</t>
        </is>
      </c>
      <c r="B19" s="30" t="inlineStr">
        <is>
          <t>F2</t>
        </is>
      </c>
      <c r="C19" s="36" t="inlineStr">
        <is>
          <t>Done</t>
        </is>
      </c>
      <c r="D19" s="30" t="inlineStr">
        <is>
          <t>src/ui/ForecastScreens.tsx</t>
        </is>
      </c>
      <c r="E19" s="30" t="inlineStr">
        <is>
          <t>tests/ui/screens.test.tsx</t>
        </is>
      </c>
      <c r="F19" s="30" t="inlineStr">
        <is>
          <t>100%</t>
        </is>
      </c>
      <c r="G19" s="30" t="inlineStr">
        <is>
          <t>ScenarioScreen: four sliders, live preview (min closing, first red week)</t>
        </is>
      </c>
    </row>
    <row r="20" ht="15" customHeight="1" s="22">
      <c r="A20" s="30" t="inlineStr">
        <is>
          <t>ST-016</t>
        </is>
      </c>
      <c r="B20" s="30" t="inlineStr">
        <is>
          <t>F2</t>
        </is>
      </c>
      <c r="C20" s="36" t="inlineStr">
        <is>
          <t>Done</t>
        </is>
      </c>
      <c r="D20" s="30" t="inlineStr">
        <is>
          <t>src/featureMetrics.ts; src/ui/MetricsPanel.tsx</t>
        </is>
      </c>
      <c r="E20" s="30" t="inlineStr">
        <is>
          <t>tests/rulesNotificationsMetrics.test.ts; tests/ui/screens.test.tsx</t>
        </is>
      </c>
      <c r="F20" s="30" t="inlineStr">
        <is>
          <t>100%</t>
        </is>
      </c>
      <c r="G20" s="30" t="inlineStr">
        <is>
          <t>Shared metrics module + panel</t>
        </is>
      </c>
    </row>
    <row r="21" ht="15" customHeight="1" s="22">
      <c r="A21" s="30" t="inlineStr">
        <is>
          <t>ST-017</t>
        </is>
      </c>
      <c r="B21" s="30" t="inlineStr">
        <is>
          <t>F2</t>
        </is>
      </c>
      <c r="C21" s="36" t="inlineStr">
        <is>
          <t>Done</t>
        </is>
      </c>
      <c r="D21" s="30" t="inlineStr">
        <is>
          <t>src/permissions.ts</t>
        </is>
      </c>
      <c r="E21" s="30" t="inlineStr">
        <is>
          <t>tests/permissions.test.ts</t>
        </is>
      </c>
      <c r="F21" s="30" t="inlineStr">
        <is>
          <t>100%</t>
        </is>
      </c>
      <c r="G21" s="30" t="inlineStr">
        <is>
          <t>scenario.view/edit in role matrix + audit</t>
        </is>
      </c>
    </row>
    <row r="22" ht="15" customHeight="1" s="22">
      <c r="A22" s="30" t="inlineStr">
        <is>
          <t>ST-018</t>
        </is>
      </c>
      <c r="B22" s="30" t="inlineStr">
        <is>
          <t>F2</t>
        </is>
      </c>
      <c r="C22" s="36" t="inlineStr">
        <is>
          <t>Done</t>
        </is>
      </c>
      <c r="D22" s="30" t="inlineStr">
        <is>
          <t>src/notifications.ts (featureToggles)</t>
        </is>
      </c>
      <c r="E22" s="30" t="inlineStr">
        <is>
          <t>tests/rulesNotificationsMetrics.test.ts</t>
        </is>
      </c>
      <c r="F22" s="30" t="inlineStr">
        <is>
          <t>100%</t>
        </is>
      </c>
      <c r="G22" s="30" t="inlineStr">
        <is>
          <t>setFeatureEnabled preserves all config/data</t>
        </is>
      </c>
    </row>
    <row r="23" ht="15" customHeight="1" s="22">
      <c r="A23" s="30" t="inlineStr">
        <is>
          <t>ST-019</t>
        </is>
      </c>
      <c r="B23" s="30" t="inlineStr">
        <is>
          <t>F2</t>
        </is>
      </c>
      <c r="C23" s="36" t="inlineStr">
        <is>
          <t>Done</t>
        </is>
      </c>
      <c r="D23" s="30" t="inlineStr">
        <is>
          <t>src/accountantPortal.ts</t>
        </is>
      </c>
      <c r="E23" s="30" t="inlineStr">
        <is>
          <t>tests/accountantPortal.test.ts</t>
        </is>
      </c>
      <c r="F23" s="30" t="inlineStr">
        <is>
          <t>100%</t>
        </is>
      </c>
      <c r="G23" s="30" t="inlineStr">
        <is>
          <t>importCsv shared migration importer</t>
        </is>
      </c>
    </row>
    <row r="24" ht="15" customHeight="1" s="22">
      <c r="A24" s="30" t="inlineStr">
        <is>
          <t>ST-020</t>
        </is>
      </c>
      <c r="B24" s="30" t="inlineStr">
        <is>
          <t>F2</t>
        </is>
      </c>
      <c r="C24" s="36" t="inlineStr">
        <is>
          <t>Done</t>
        </is>
      </c>
      <c r="D24" s="30" t="inlineStr">
        <is>
          <t>src/notifications.ts</t>
        </is>
      </c>
      <c r="E24" s="30" t="inlineStr">
        <is>
          <t>tests/ui/reliabilityDemoA11y.test.tsx</t>
        </is>
      </c>
      <c r="F24" s="30" t="inlineStr">
        <is>
          <t>100%</t>
        </is>
      </c>
      <c r="G24" s="30" t="inlineStr">
        <is>
          <t>scenario.* event types in dispatch/mute/digest</t>
        </is>
      </c>
    </row>
    <row r="25" ht="15" customHeight="1" s="22">
      <c r="A25" s="30" t="inlineStr">
        <is>
          <t>ST-021</t>
        </is>
      </c>
      <c r="B25" s="30" t="inlineStr">
        <is>
          <t>F3</t>
        </is>
      </c>
      <c r="C25" s="36" t="inlineStr">
        <is>
          <t>Done</t>
        </is>
      </c>
      <c r="D25" s="30" t="inlineStr">
        <is>
          <t>src/invoiceNudges.ts</t>
        </is>
      </c>
      <c r="E25" s="30" t="inlineStr">
        <is>
          <t>tests/invoiceNudges.test.ts</t>
        </is>
      </c>
      <c r="F25" s="30" t="inlineStr">
        <is>
          <t>100%</t>
        </is>
      </c>
      <c r="G25" s="30" t="inlineStr">
        <is>
          <t>defaultRules 3/10/21-day ladder</t>
        </is>
      </c>
    </row>
    <row r="26" ht="15" customHeight="1" s="22">
      <c r="A26" s="30" t="inlineStr">
        <is>
          <t>ST-022</t>
        </is>
      </c>
      <c r="B26" s="30" t="inlineStr">
        <is>
          <t>F3</t>
        </is>
      </c>
      <c r="C26" s="36" t="inlineStr">
        <is>
          <t>Done</t>
        </is>
      </c>
      <c r="D26" s="30" t="inlineStr">
        <is>
          <t>src/invoiceNudges.ts</t>
        </is>
      </c>
      <c r="E26" s="30" t="inlineStr">
        <is>
          <t>tests/invoiceNudges.test.ts</t>
        </is>
      </c>
      <c r="F26" s="30" t="inlineStr">
        <is>
          <t>100%</t>
        </is>
      </c>
      <c r="G26" s="30" t="inlineStr">
        <is>
          <t>planNudges highest-matching-rule selection</t>
        </is>
      </c>
    </row>
    <row r="27" ht="15" customHeight="1" s="22">
      <c r="A27" s="30" t="inlineStr">
        <is>
          <t>ST-023</t>
        </is>
      </c>
      <c r="B27" s="30" t="inlineStr">
        <is>
          <t>F3</t>
        </is>
      </c>
      <c r="C27" s="36" t="inlineStr">
        <is>
          <t>Done</t>
        </is>
      </c>
      <c r="D27" s="30" t="inlineStr">
        <is>
          <t>src/invoiceNudges.ts</t>
        </is>
      </c>
      <c r="E27" s="30" t="inlineStr">
        <is>
          <t>tests/invoiceNudges.test.ts</t>
        </is>
      </c>
      <c r="F27" s="30" t="inlineStr">
        <is>
          <t>100%</t>
        </is>
      </c>
      <c r="G27" s="30" t="inlineStr">
        <is>
          <t>validateRules custom rule validation</t>
        </is>
      </c>
    </row>
    <row r="28" ht="15" customHeight="1" s="22">
      <c r="A28" s="30" t="inlineStr">
        <is>
          <t>ST-024</t>
        </is>
      </c>
      <c r="B28" s="30" t="inlineStr">
        <is>
          <t>F3</t>
        </is>
      </c>
      <c r="C28" s="36" t="inlineStr">
        <is>
          <t>Done</t>
        </is>
      </c>
      <c r="D28" s="30" t="inlineStr">
        <is>
          <t>src/invoiceNudges.ts</t>
        </is>
      </c>
      <c r="E28" s="30" t="inlineStr">
        <is>
          <t>tests/invoiceNudges.test.ts</t>
        </is>
      </c>
      <c r="F28" s="30" t="inlineStr">
        <is>
          <t>100%</t>
        </is>
      </c>
      <c r="G28" s="30" t="inlineStr">
        <is>
          <t>sendNudges one-retry + NUDGE_SEND_FAILED surfacing</t>
        </is>
      </c>
    </row>
    <row r="29" ht="15" customHeight="1" s="22">
      <c r="A29" s="30" t="inlineStr">
        <is>
          <t>ST-025</t>
        </is>
      </c>
      <c r="B29" s="30" t="inlineStr">
        <is>
          <t>F3</t>
        </is>
      </c>
      <c r="C29" s="36" t="inlineStr">
        <is>
          <t>Done</t>
        </is>
      </c>
      <c r="D29" s="30" t="inlineStr">
        <is>
          <t>src/ui/FeatureScreens.tsx</t>
        </is>
      </c>
      <c r="E29" s="30" t="inlineStr">
        <is>
          <t>tests/ui/screens.test.tsx</t>
        </is>
      </c>
      <c r="F29" s="30" t="inlineStr">
        <is>
          <t>100%</t>
        </is>
      </c>
      <c r="G29" s="30" t="inlineStr">
        <is>
          <t>NudgesScreen: planned list, test-mode badge, enable + per-type mute controls</t>
        </is>
      </c>
    </row>
    <row r="30" ht="15" customHeight="1" s="22">
      <c r="A30" s="30" t="inlineStr">
        <is>
          <t>ST-026</t>
        </is>
      </c>
      <c r="B30" s="30" t="inlineStr">
        <is>
          <t>F3</t>
        </is>
      </c>
      <c r="C30" s="36" t="inlineStr">
        <is>
          <t>Done</t>
        </is>
      </c>
      <c r="D30" s="30" t="inlineStr">
        <is>
          <t>src/featureMetrics.ts; src/ui/MetricsPanel.tsx</t>
        </is>
      </c>
      <c r="E30" s="30" t="inlineStr">
        <is>
          <t>tests/rulesNotificationsMetrics.test.ts; tests/ui/screens.test.tsx</t>
        </is>
      </c>
      <c r="F30" s="30" t="inlineStr">
        <is>
          <t>100%</t>
        </is>
      </c>
      <c r="G30" s="30" t="inlineStr">
        <is>
          <t>Shared metrics module + panel</t>
        </is>
      </c>
    </row>
    <row r="31" ht="15" customHeight="1" s="22">
      <c r="A31" s="30" t="inlineStr">
        <is>
          <t>ST-027</t>
        </is>
      </c>
      <c r="B31" s="30" t="inlineStr">
        <is>
          <t>F3</t>
        </is>
      </c>
      <c r="C31" s="36" t="inlineStr">
        <is>
          <t>Done</t>
        </is>
      </c>
      <c r="D31" s="30" t="inlineStr">
        <is>
          <t>src/permissions.ts</t>
        </is>
      </c>
      <c r="E31" s="30" t="inlineStr">
        <is>
          <t>tests/permissions.test.ts</t>
        </is>
      </c>
      <c r="F31" s="30" t="inlineStr">
        <is>
          <t>100%</t>
        </is>
      </c>
      <c r="G31" s="30" t="inlineStr">
        <is>
          <t>nudge.view/edit/send in role matrix + audit</t>
        </is>
      </c>
    </row>
    <row r="32" ht="15" customHeight="1" s="22">
      <c r="A32" s="30" t="inlineStr">
        <is>
          <t>ST-028</t>
        </is>
      </c>
      <c r="B32" s="30" t="inlineStr">
        <is>
          <t>F3</t>
        </is>
      </c>
      <c r="C32" s="36" t="inlineStr">
        <is>
          <t>Done</t>
        </is>
      </c>
      <c r="D32" s="30" t="inlineStr">
        <is>
          <t>src/invoiceNudges.ts</t>
        </is>
      </c>
      <c r="E32" s="30" t="inlineStr">
        <is>
          <t>tests/invoiceNudges.test.ts</t>
        </is>
      </c>
      <c r="F32" s="30" t="inlineStr">
        <is>
          <t>100%</t>
        </is>
      </c>
      <c r="G32" s="30" t="inlineStr">
        <is>
          <t>settings.enabled pause path</t>
        </is>
      </c>
    </row>
    <row r="33" ht="15" customHeight="1" s="22">
      <c r="A33" s="30" t="inlineStr">
        <is>
          <t>ST-029</t>
        </is>
      </c>
      <c r="B33" s="30" t="inlineStr">
        <is>
          <t>F3</t>
        </is>
      </c>
      <c r="C33" s="36" t="inlineStr">
        <is>
          <t>Done</t>
        </is>
      </c>
      <c r="D33" s="30" t="inlineStr">
        <is>
          <t>src/accountantPortal.ts</t>
        </is>
      </c>
      <c r="E33" s="30" t="inlineStr">
        <is>
          <t>tests/accountantPortal.test.ts</t>
        </is>
      </c>
      <c r="F33" s="30" t="inlineStr">
        <is>
          <t>100%</t>
        </is>
      </c>
      <c r="G33" s="30" t="inlineStr">
        <is>
          <t>importCsv shared migration importer</t>
        </is>
      </c>
    </row>
    <row r="34" ht="15" customHeight="1" s="22">
      <c r="A34" s="30" t="inlineStr">
        <is>
          <t>ST-030</t>
        </is>
      </c>
      <c r="B34" s="30" t="inlineStr">
        <is>
          <t>F3</t>
        </is>
      </c>
      <c r="C34" s="36" t="inlineStr">
        <is>
          <t>Done</t>
        </is>
      </c>
      <c r="D34" s="30" t="inlineStr">
        <is>
          <t>src/invoiceNudges.ts</t>
        </is>
      </c>
      <c r="E34" s="30" t="inlineStr">
        <is>
          <t>tests/invoiceNudges.test.ts</t>
        </is>
      </c>
      <c r="F34" s="30" t="inlineStr">
        <is>
          <t>100%</t>
        </is>
      </c>
      <c r="G34" s="30" t="inlineStr">
        <is>
          <t>mutedTypes per-type mute</t>
        </is>
      </c>
    </row>
    <row r="35" ht="15" customHeight="1" s="22">
      <c r="A35" s="30" t="inlineStr">
        <is>
          <t>ST-031</t>
        </is>
      </c>
      <c r="B35" s="30" t="inlineStr">
        <is>
          <t>F4</t>
        </is>
      </c>
      <c r="C35" s="36" t="inlineStr">
        <is>
          <t>Done</t>
        </is>
      </c>
      <c r="D35" s="30" t="inlineStr">
        <is>
          <t>src/accountantPortal.ts</t>
        </is>
      </c>
      <c r="E35" s="30" t="inlineStr">
        <is>
          <t>tests/accountantPortal.test.ts</t>
        </is>
      </c>
      <c r="F35" s="30" t="inlineStr">
        <is>
          <t>100%</t>
        </is>
      </c>
      <c r="G35" s="30" t="inlineStr">
        <is>
          <t>addClient multi-client link</t>
        </is>
      </c>
    </row>
    <row r="36" ht="15" customHeight="1" s="22">
      <c r="A36" s="30" t="inlineStr">
        <is>
          <t>ST-032</t>
        </is>
      </c>
      <c r="B36" s="30" t="inlineStr">
        <is>
          <t>F4</t>
        </is>
      </c>
      <c r="C36" s="36" t="inlineStr">
        <is>
          <t>Done</t>
        </is>
      </c>
      <c r="D36" s="30" t="inlineStr">
        <is>
          <t>src/accountantPortal.ts</t>
        </is>
      </c>
      <c r="E36" s="30" t="inlineStr">
        <is>
          <t>tests/accountantPortal.test.ts</t>
        </is>
      </c>
      <c r="F36" s="30" t="inlineStr">
        <is>
          <t>100%</t>
        </is>
      </c>
      <c r="G36" s="30" t="inlineStr">
        <is>
          <t>clientBook reds-first rollup</t>
        </is>
      </c>
    </row>
    <row r="37" ht="15" customHeight="1" s="22">
      <c r="A37" s="30" t="inlineStr">
        <is>
          <t>ST-033</t>
        </is>
      </c>
      <c r="B37" s="30" t="inlineStr">
        <is>
          <t>F4</t>
        </is>
      </c>
      <c r="C37" s="36" t="inlineStr">
        <is>
          <t>Done</t>
        </is>
      </c>
      <c r="D37" s="30" t="inlineStr">
        <is>
          <t>src/notifications.ts (applyPortalRules)</t>
        </is>
      </c>
      <c r="E37" s="30" t="inlineStr">
        <is>
          <t>tests/rulesNotificationsMetrics.test.ts</t>
        </is>
      </c>
      <c r="F37" s="30" t="inlineStr">
        <is>
          <t>100%</t>
        </is>
      </c>
      <c r="G37" s="30" t="inlineStr">
        <is>
          <t>client_red / client_amber / light_changed triggers -&gt; notify / pin_top</t>
        </is>
      </c>
    </row>
    <row r="38" ht="15" customHeight="1" s="22">
      <c r="A38" s="30" t="inlineStr">
        <is>
          <t>ST-034</t>
        </is>
      </c>
      <c r="B38" s="30" t="inlineStr">
        <is>
          <t>F4</t>
        </is>
      </c>
      <c r="C38" s="36" t="inlineStr">
        <is>
          <t>Done</t>
        </is>
      </c>
      <c r="D38" s="30" t="inlineStr">
        <is>
          <t>src/accountantPortal.ts</t>
        </is>
      </c>
      <c r="E38" s="30" t="inlineStr">
        <is>
          <t>tests/accountantPortal.test.ts</t>
        </is>
      </c>
      <c r="F38" s="30" t="inlineStr">
        <is>
          <t>100%</t>
        </is>
      </c>
      <c r="G38" s="30" t="inlineStr">
        <is>
          <t>PORTAL_DUPLICATE / PORTAL_NOT_FOUND error paths</t>
        </is>
      </c>
    </row>
    <row r="39" ht="15" customHeight="1" s="22">
      <c r="A39" s="30" t="inlineStr">
        <is>
          <t>ST-035</t>
        </is>
      </c>
      <c r="B39" s="30" t="inlineStr">
        <is>
          <t>F4</t>
        </is>
      </c>
      <c r="C39" s="36" t="inlineStr">
        <is>
          <t>Done</t>
        </is>
      </c>
      <c r="D39" s="30" t="inlineStr">
        <is>
          <t>src/ui/FeatureScreens.tsx</t>
        </is>
      </c>
      <c r="E39" s="30" t="inlineStr">
        <is>
          <t>tests/ui/screens.test.tsx</t>
        </is>
      </c>
      <c r="F39" s="30" t="inlineStr">
        <is>
          <t>100%</t>
        </is>
      </c>
      <c r="G39" s="30" t="inlineStr">
        <is>
          <t>PortalScreen: client book, lights, contact deep links, empty state</t>
        </is>
      </c>
    </row>
    <row r="40" ht="15" customHeight="1" s="22">
      <c r="A40" s="30" t="inlineStr">
        <is>
          <t>ST-036</t>
        </is>
      </c>
      <c r="B40" s="30" t="inlineStr">
        <is>
          <t>F4</t>
        </is>
      </c>
      <c r="C40" s="36" t="inlineStr">
        <is>
          <t>Done</t>
        </is>
      </c>
      <c r="D40" s="30" t="inlineStr">
        <is>
          <t>src/featureMetrics.ts; src/ui/MetricsPanel.tsx</t>
        </is>
      </c>
      <c r="E40" s="30" t="inlineStr">
        <is>
          <t>tests/rulesNotificationsMetrics.test.ts; tests/ui/screens.test.tsx</t>
        </is>
      </c>
      <c r="F40" s="30" t="inlineStr">
        <is>
          <t>100%</t>
        </is>
      </c>
      <c r="G40" s="30" t="inlineStr">
        <is>
          <t>Shared metrics module + panel</t>
        </is>
      </c>
    </row>
    <row r="41" ht="15" customHeight="1" s="22">
      <c r="A41" s="30" t="inlineStr">
        <is>
          <t>ST-037</t>
        </is>
      </c>
      <c r="B41" s="30" t="inlineStr">
        <is>
          <t>F4</t>
        </is>
      </c>
      <c r="C41" s="36" t="inlineStr">
        <is>
          <t>Done</t>
        </is>
      </c>
      <c r="D41" s="30" t="inlineStr">
        <is>
          <t>src/permissions.ts</t>
        </is>
      </c>
      <c r="E41" s="30" t="inlineStr">
        <is>
          <t>tests/permissions.test.ts</t>
        </is>
      </c>
      <c r="F41" s="30" t="inlineStr">
        <is>
          <t>100%</t>
        </is>
      </c>
      <c r="G41" s="30" t="inlineStr">
        <is>
          <t>portal.view/manageClients in role matrix + audit</t>
        </is>
      </c>
    </row>
    <row r="42" ht="15" customHeight="1" s="22">
      <c r="A42" s="30" t="inlineStr">
        <is>
          <t>ST-038</t>
        </is>
      </c>
      <c r="B42" s="30" t="inlineStr">
        <is>
          <t>F4</t>
        </is>
      </c>
      <c r="C42" s="36" t="inlineStr">
        <is>
          <t>Done</t>
        </is>
      </c>
      <c r="D42" s="30" t="inlineStr">
        <is>
          <t>src/notifications.ts (featureToggles)</t>
        </is>
      </c>
      <c r="E42" s="30" t="inlineStr">
        <is>
          <t>tests/rulesNotificationsMetrics.test.ts</t>
        </is>
      </c>
      <c r="F42" s="30" t="inlineStr">
        <is>
          <t>100%</t>
        </is>
      </c>
      <c r="G42" s="30" t="inlineStr">
        <is>
          <t>setFeatureEnabled preserves all config/data</t>
        </is>
      </c>
    </row>
    <row r="43" ht="15" customHeight="1" s="22">
      <c r="A43" s="30" t="inlineStr">
        <is>
          <t>ST-039</t>
        </is>
      </c>
      <c r="B43" s="30" t="inlineStr">
        <is>
          <t>F4</t>
        </is>
      </c>
      <c r="C43" s="36" t="inlineStr">
        <is>
          <t>Done</t>
        </is>
      </c>
      <c r="D43" s="30" t="inlineStr">
        <is>
          <t>src/accountantPortal.ts</t>
        </is>
      </c>
      <c r="E43" s="30" t="inlineStr">
        <is>
          <t>tests/accountantPortal.test.ts</t>
        </is>
      </c>
      <c r="F43" s="30" t="inlineStr">
        <is>
          <t>100%</t>
        </is>
      </c>
      <c r="G43" s="30" t="inlineStr">
        <is>
          <t>importCsv shared migration importer</t>
        </is>
      </c>
    </row>
    <row r="44" ht="15" customHeight="1" s="22">
      <c r="A44" s="30" t="inlineStr">
        <is>
          <t>ST-040</t>
        </is>
      </c>
      <c r="B44" s="30" t="inlineStr">
        <is>
          <t>F4</t>
        </is>
      </c>
      <c r="C44" s="36" t="inlineStr">
        <is>
          <t>Done</t>
        </is>
      </c>
      <c r="D44" s="30" t="inlineStr">
        <is>
          <t>src/notifications.ts</t>
        </is>
      </c>
      <c r="E44" s="30" t="inlineStr">
        <is>
          <t>tests/ui/reliabilityDemoA11y.test.tsx</t>
        </is>
      </c>
      <c r="F44" s="30" t="inlineStr">
        <is>
          <t>100%</t>
        </is>
      </c>
      <c r="G44" s="30" t="inlineStr">
        <is>
          <t>portal.* event types in dispatch/mute/digest</t>
        </is>
      </c>
    </row>
    <row r="45" ht="15" customHeight="1" s="22">
      <c r="A45" s="30" t="inlineStr">
        <is>
          <t>ST-041</t>
        </is>
      </c>
      <c r="B45" s="30" t="inlineStr">
        <is>
          <t>F5</t>
        </is>
      </c>
      <c r="C45" s="36" t="inlineStr">
        <is>
          <t>Done</t>
        </is>
      </c>
      <c r="D45" s="30" t="inlineStr">
        <is>
          <t>src/anomalyAlerts.ts</t>
        </is>
      </c>
      <c r="E45" s="30" t="inlineStr">
        <is>
          <t>tests/anomalyAlerts.test.ts</t>
        </is>
      </c>
      <c r="F45" s="30" t="inlineStr">
        <is>
          <t>100%</t>
        </is>
      </c>
      <c r="G45" s="30" t="inlineStr">
        <is>
          <t>defaultConfig sensible thresholds</t>
        </is>
      </c>
    </row>
    <row r="46" ht="15" customHeight="1" s="22">
      <c r="A46" s="30" t="inlineStr">
        <is>
          <t>ST-042</t>
        </is>
      </c>
      <c r="B46" s="30" t="inlineStr">
        <is>
          <t>F5</t>
        </is>
      </c>
      <c r="C46" s="36" t="inlineStr">
        <is>
          <t>Done</t>
        </is>
      </c>
      <c r="D46" s="30" t="inlineStr">
        <is>
          <t>src/anomalyAlerts.ts</t>
        </is>
      </c>
      <c r="E46" s="30" t="inlineStr">
        <is>
          <t>tests/anomalyAlerts.test.ts</t>
        </is>
      </c>
      <c r="F46" s="30" t="inlineStr">
        <is>
          <t>100%</t>
        </is>
      </c>
      <c r="G46" s="30" t="inlineStr">
        <is>
          <t>detectAnomalies z-score outliers + duplicate window</t>
        </is>
      </c>
    </row>
    <row r="47" ht="15" customHeight="1" s="22">
      <c r="A47" s="30" t="inlineStr">
        <is>
          <t>ST-043</t>
        </is>
      </c>
      <c r="B47" s="30" t="inlineStr">
        <is>
          <t>F5</t>
        </is>
      </c>
      <c r="C47" s="36" t="inlineStr">
        <is>
          <t>Done</t>
        </is>
      </c>
      <c r="D47" s="30" t="inlineStr">
        <is>
          <t>src/anomalyAlerts.ts</t>
        </is>
      </c>
      <c r="E47" s="30" t="inlineStr">
        <is>
          <t>tests/anomalyAlerts.test.ts</t>
        </is>
      </c>
      <c r="F47" s="30" t="inlineStr">
        <is>
          <t>100%</t>
        </is>
      </c>
      <c r="G47" s="30" t="inlineStr">
        <is>
          <t>validateConfig custom thresholds</t>
        </is>
      </c>
    </row>
    <row r="48" ht="15" customHeight="1" s="22">
      <c r="A48" s="30" t="inlineStr">
        <is>
          <t>ST-044</t>
        </is>
      </c>
      <c r="B48" s="30" t="inlineStr">
        <is>
          <t>F5</t>
        </is>
      </c>
      <c r="C48" s="36" t="inlineStr">
        <is>
          <t>Done</t>
        </is>
      </c>
      <c r="D48" s="30" t="inlineStr">
        <is>
          <t>src/anomalyAlerts.ts</t>
        </is>
      </c>
      <c r="E48" s="30" t="inlineStr">
        <is>
          <t>tests/anomalyAlerts.test.ts</t>
        </is>
      </c>
      <c r="F48" s="30" t="inlineStr">
        <is>
          <t>100%</t>
        </is>
      </c>
      <c r="G48" s="30" t="inlineStr">
        <is>
          <t>ANOMALY_INVALID errors; upstream retry wrapper</t>
        </is>
      </c>
    </row>
    <row r="49" ht="15" customHeight="1" s="22">
      <c r="A49" s="30" t="inlineStr">
        <is>
          <t>ST-045</t>
        </is>
      </c>
      <c r="B49" s="30" t="inlineStr">
        <is>
          <t>F5</t>
        </is>
      </c>
      <c r="C49" s="36" t="inlineStr">
        <is>
          <t>Done</t>
        </is>
      </c>
      <c r="D49" s="30" t="inlineStr">
        <is>
          <t>src/ui/FeatureScreens.tsx</t>
        </is>
      </c>
      <c r="E49" s="30" t="inlineStr">
        <is>
          <t>tests/ui/screens.test.tsx</t>
        </is>
      </c>
      <c r="F49" s="30" t="inlineStr">
        <is>
          <t>100%</t>
        </is>
      </c>
      <c r="G49" s="30" t="inlineStr">
        <is>
          <t>AnomaliesScreen: alert list, paused state, bank-txn deep link, empty state</t>
        </is>
      </c>
    </row>
    <row r="50" ht="15" customHeight="1" s="22">
      <c r="A50" s="30" t="inlineStr">
        <is>
          <t>ST-046</t>
        </is>
      </c>
      <c r="B50" s="30" t="inlineStr">
        <is>
          <t>F5</t>
        </is>
      </c>
      <c r="C50" s="36" t="inlineStr">
        <is>
          <t>Done</t>
        </is>
      </c>
      <c r="D50" s="30" t="inlineStr">
        <is>
          <t>src/featureMetrics.ts; src/ui/MetricsPanel.tsx</t>
        </is>
      </c>
      <c r="E50" s="30" t="inlineStr">
        <is>
          <t>tests/rulesNotificationsMetrics.test.ts; tests/ui/screens.test.tsx</t>
        </is>
      </c>
      <c r="F50" s="30" t="inlineStr">
        <is>
          <t>100%</t>
        </is>
      </c>
      <c r="G50" s="30" t="inlineStr">
        <is>
          <t>Shared metrics module + panel</t>
        </is>
      </c>
    </row>
    <row r="51" ht="15" customHeight="1" s="22">
      <c r="A51" s="30" t="inlineStr">
        <is>
          <t>ST-047</t>
        </is>
      </c>
      <c r="B51" s="30" t="inlineStr">
        <is>
          <t>F5</t>
        </is>
      </c>
      <c r="C51" s="36" t="inlineStr">
        <is>
          <t>Done</t>
        </is>
      </c>
      <c r="D51" s="30" t="inlineStr">
        <is>
          <t>src/permissions.ts</t>
        </is>
      </c>
      <c r="E51" s="30" t="inlineStr">
        <is>
          <t>tests/permissions.test.ts</t>
        </is>
      </c>
      <c r="F51" s="30" t="inlineStr">
        <is>
          <t>100%</t>
        </is>
      </c>
      <c r="G51" s="30" t="inlineStr">
        <is>
          <t>anomaly.view/configure in role matrix + audit</t>
        </is>
      </c>
    </row>
    <row r="52" ht="15" customHeight="1" s="22">
      <c r="A52" s="30" t="inlineStr">
        <is>
          <t>ST-048</t>
        </is>
      </c>
      <c r="B52" s="30" t="inlineStr">
        <is>
          <t>F5</t>
        </is>
      </c>
      <c r="C52" s="36" t="inlineStr">
        <is>
          <t>Done</t>
        </is>
      </c>
      <c r="D52" s="30" t="inlineStr">
        <is>
          <t>src/anomalyAlerts.ts</t>
        </is>
      </c>
      <c r="E52" s="30" t="inlineStr">
        <is>
          <t>tests/anomalyAlerts.test.ts</t>
        </is>
      </c>
      <c r="F52" s="30" t="inlineStr">
        <is>
          <t>100%</t>
        </is>
      </c>
      <c r="G52" s="30" t="inlineStr">
        <is>
          <t>config.enabled pause path</t>
        </is>
      </c>
    </row>
    <row r="53" ht="15" customHeight="1" s="22">
      <c r="A53" s="30" t="inlineStr">
        <is>
          <t>ST-049</t>
        </is>
      </c>
      <c r="B53" s="30" t="inlineStr">
        <is>
          <t>F5</t>
        </is>
      </c>
      <c r="C53" s="36" t="inlineStr">
        <is>
          <t>Done</t>
        </is>
      </c>
      <c r="D53" s="30" t="inlineStr">
        <is>
          <t>src/accountantPortal.ts</t>
        </is>
      </c>
      <c r="E53" s="30" t="inlineStr">
        <is>
          <t>tests/accountantPortal.test.ts</t>
        </is>
      </c>
      <c r="F53" s="30" t="inlineStr">
        <is>
          <t>100%</t>
        </is>
      </c>
      <c r="G53" s="30" t="inlineStr">
        <is>
          <t>importCsv shared migration importer</t>
        </is>
      </c>
    </row>
    <row r="54" ht="15" customHeight="1" s="22">
      <c r="A54" s="30" t="inlineStr">
        <is>
          <t>ST-050</t>
        </is>
      </c>
      <c r="B54" s="30" t="inlineStr">
        <is>
          <t>F5</t>
        </is>
      </c>
      <c r="C54" s="36" t="inlineStr">
        <is>
          <t>Done</t>
        </is>
      </c>
      <c r="D54" s="30" t="inlineStr">
        <is>
          <t>src/notifications.ts</t>
        </is>
      </c>
      <c r="E54" s="30" t="inlineStr">
        <is>
          <t>tests/rulesNotificationsMetrics.test.ts</t>
        </is>
      </c>
      <c r="F54" s="30" t="inlineStr">
        <is>
          <t>100%</t>
        </is>
      </c>
      <c r="G54" s="30" t="inlineStr">
        <is>
          <t>anomaly.* event types in dispatch + digest with per-type mute</t>
        </is>
      </c>
    </row>
    <row r="55" ht="23.25" customHeight="1" s="22">
      <c r="A55" s="30" t="inlineStr">
        <is>
          <t>ST-051</t>
        </is>
      </c>
      <c r="B55" s="30" t="inlineStr">
        <is>
          <t>E1</t>
        </is>
      </c>
      <c r="C55" s="30" t="inlineStr">
        <is>
          <t>Code-complete — pending live</t>
        </is>
      </c>
      <c r="D55" s="30" t="inlineStr">
        <is>
          <t>src/installFlow.ts</t>
        </is>
      </c>
      <c r="E55" s="30" t="inlineStr">
        <is>
          <t>tests/installFlow.test.ts</t>
        </is>
      </c>
      <c r="F55" s="30" t="inlineStr">
        <is>
          <t>100%</t>
        </is>
      </c>
      <c r="G55" s="30" t="inlineStr">
        <is>
          <t>OAuth exchange + welcome state; Xero client mocked — needs live dev-org install</t>
        </is>
      </c>
    </row>
    <row r="56" ht="23.25" customHeight="1" s="22">
      <c r="A56" s="30" t="inlineStr">
        <is>
          <t>ST-052</t>
        </is>
      </c>
      <c r="B56" s="30" t="inlineStr">
        <is>
          <t>E1</t>
        </is>
      </c>
      <c r="C56" s="30" t="inlineStr">
        <is>
          <t>Code-complete — pending live</t>
        </is>
      </c>
      <c r="D56" s="30" t="inlineStr">
        <is>
          <t>src/installFlow.ts</t>
        </is>
      </c>
      <c r="E56" s="30" t="inlineStr">
        <is>
          <t>tests/installFlow.test.ts</t>
        </is>
      </c>
      <c r="F56" s="30" t="inlineStr">
        <is>
          <t>100%</t>
        </is>
      </c>
      <c r="G56" s="30" t="inlineStr">
        <is>
          <t>uninstall webhook: token removal + 30-day deletion schedule; needs live webhook wiring</t>
        </is>
      </c>
    </row>
    <row r="57" ht="15" customHeight="1" s="22">
      <c r="A57" s="30" t="inlineStr">
        <is>
          <t>ST-053</t>
        </is>
      </c>
      <c r="B57" s="30" t="inlineStr">
        <is>
          <t>E1</t>
        </is>
      </c>
      <c r="C57" s="36" t="inlineStr">
        <is>
          <t>Done</t>
        </is>
      </c>
      <c r="D57" s="30" t="inlineStr">
        <is>
          <t>src/installFlow.ts</t>
        </is>
      </c>
      <c r="E57" s="30" t="inlineStr">
        <is>
          <t>tests/installFlow.test.ts</t>
        </is>
      </c>
      <c r="F57" s="30" t="inlineStr">
        <is>
          <t>100%</t>
        </is>
      </c>
      <c r="G57" s="30" t="inlineStr">
        <is>
          <t>re-install restore within retention window</t>
        </is>
      </c>
    </row>
    <row r="58" ht="15" customHeight="1" s="22">
      <c r="A58" s="30" t="inlineStr">
        <is>
          <t>ST-054</t>
        </is>
      </c>
      <c r="B58" s="30" t="inlineStr">
        <is>
          <t>E1</t>
        </is>
      </c>
      <c r="C58" s="36" t="inlineStr">
        <is>
          <t>Done</t>
        </is>
      </c>
      <c r="D58" s="30" t="inlineStr">
        <is>
          <t>src/permissions.ts</t>
        </is>
      </c>
      <c r="E58" s="30" t="inlineStr">
        <is>
          <t>tests/permissions.test.ts</t>
        </is>
      </c>
      <c r="F58" s="30" t="inlineStr">
        <is>
          <t>100%</t>
        </is>
      </c>
      <c r="G58" s="30" t="inlineStr">
        <is>
          <t>owner/admin/member matrix, can() enforced</t>
        </is>
      </c>
    </row>
    <row r="59" ht="23.25" customHeight="1" s="22">
      <c r="A59" s="30" t="inlineStr">
        <is>
          <t>ST-055</t>
        </is>
      </c>
      <c r="B59" s="30" t="inlineStr">
        <is>
          <t>E1</t>
        </is>
      </c>
      <c r="C59" s="30" t="inlineStr">
        <is>
          <t>Code-complete — pending live</t>
        </is>
      </c>
      <c r="D59" s="30" t="inlineStr">
        <is>
          <t>src/installFlow.ts</t>
        </is>
      </c>
      <c r="E59" s="30" t="inlineStr">
        <is>
          <t>tests/installFlow.test.ts</t>
        </is>
      </c>
      <c r="F59" s="30" t="inlineStr">
        <is>
          <t>100%</t>
        </is>
      </c>
      <c r="G59" s="30" t="inlineStr">
        <is>
          <t>getValidToken refresh + rotated-token storage; needs live token rotation test</t>
        </is>
      </c>
    </row>
    <row r="60" ht="15" customHeight="1" s="22">
      <c r="A60" s="30" t="inlineStr">
        <is>
          <t>ST-056</t>
        </is>
      </c>
      <c r="B60" s="30" t="inlineStr">
        <is>
          <t>E1</t>
        </is>
      </c>
      <c r="C60" s="36" t="inlineStr">
        <is>
          <t>Done</t>
        </is>
      </c>
      <c r="D60" s="30" t="inlineStr">
        <is>
          <t>src/installFlow.ts</t>
        </is>
      </c>
      <c r="E60" s="30" t="inlineStr">
        <is>
          <t>tests/installFlow.test.ts</t>
        </is>
      </c>
      <c r="F60" s="30" t="inlineStr">
        <is>
          <t>100%</t>
        </is>
      </c>
      <c r="G60" s="30" t="inlineStr">
        <is>
          <t>install source attribution captured on Account</t>
        </is>
      </c>
    </row>
    <row r="61" ht="15" customHeight="1" s="22">
      <c r="A61" s="30" t="inlineStr">
        <is>
          <t>ST-057</t>
        </is>
      </c>
      <c r="B61" s="30" t="inlineStr">
        <is>
          <t>E5</t>
        </is>
      </c>
      <c r="C61" s="36" t="inlineStr">
        <is>
          <t>Done</t>
        </is>
      </c>
      <c r="D61" s="30" t="inlineStr">
        <is>
          <t>src/billing.ts</t>
        </is>
      </c>
      <c r="E61" s="30" t="inlineStr">
        <is>
          <t>tests/billing.test.ts</t>
        </is>
      </c>
      <c r="F61" s="30" t="inlineStr">
        <is>
          <t>100%</t>
        </is>
      </c>
      <c r="G61" s="30" t="inlineStr">
        <is>
          <t>14-day trial, banner day counts</t>
        </is>
      </c>
    </row>
    <row r="62" ht="15" customHeight="1" s="22">
      <c r="A62" s="30" t="inlineStr">
        <is>
          <t>ST-058</t>
        </is>
      </c>
      <c r="B62" s="30" t="inlineStr">
        <is>
          <t>E5</t>
        </is>
      </c>
      <c r="C62" s="36" t="inlineStr">
        <is>
          <t>Done</t>
        </is>
      </c>
      <c r="D62" s="30" t="inlineStr">
        <is>
          <t>src/billing.ts</t>
        </is>
      </c>
      <c r="E62" s="30" t="inlineStr">
        <is>
          <t>tests/billing.test.ts</t>
        </is>
      </c>
      <c r="F62" s="30" t="inlineStr">
        <is>
          <t>100%</t>
        </is>
      </c>
      <c r="G62" s="30" t="inlineStr">
        <is>
          <t>prorate() credit/charge for remaining days</t>
        </is>
      </c>
    </row>
    <row r="63" ht="23.25" customHeight="1" s="22">
      <c r="A63" s="30" t="inlineStr">
        <is>
          <t>ST-059</t>
        </is>
      </c>
      <c r="B63" s="30" t="inlineStr">
        <is>
          <t>E5</t>
        </is>
      </c>
      <c r="C63" s="30" t="inlineStr">
        <is>
          <t>Code-complete — pending live</t>
        </is>
      </c>
      <c r="D63" s="30" t="inlineStr">
        <is>
          <t>src/billing.ts</t>
        </is>
      </c>
      <c r="E63" s="30" t="inlineStr">
        <is>
          <t>tests/billing.test.ts</t>
        </is>
      </c>
      <c r="F63" s="30" t="inlineStr">
        <is>
          <t>100%</t>
        </is>
      </c>
      <c r="G63" s="30" t="inlineStr">
        <is>
          <t>selectBillingRail marketplace/Stripe routing; live Xero billing API integration pending</t>
        </is>
      </c>
    </row>
    <row r="64" ht="15" customHeight="1" s="22">
      <c r="A64" s="30" t="inlineStr">
        <is>
          <t>ST-060</t>
        </is>
      </c>
      <c r="B64" s="30" t="inlineStr">
        <is>
          <t>E5</t>
        </is>
      </c>
      <c r="C64" s="36" t="inlineStr">
        <is>
          <t>Done</t>
        </is>
      </c>
      <c r="D64" s="30" t="inlineStr">
        <is>
          <t>src/billing.ts</t>
        </is>
      </c>
      <c r="E64" s="30" t="inlineStr">
        <is>
          <t>tests/billing.test.ts</t>
        </is>
      </c>
      <c r="F64" s="30" t="inlineStr">
        <is>
          <t>100%</t>
        </is>
      </c>
      <c r="G64" s="30" t="inlineStr">
        <is>
          <t>7-day grace, day-0/3/6 dunning, read-only after</t>
        </is>
      </c>
    </row>
    <row r="65" ht="15" customHeight="1" s="22">
      <c r="A65" s="30" t="inlineStr">
        <is>
          <t>ST-061</t>
        </is>
      </c>
      <c r="B65" s="30" t="inlineStr">
        <is>
          <t>E5</t>
        </is>
      </c>
      <c r="C65" s="36" t="inlineStr">
        <is>
          <t>Done</t>
        </is>
      </c>
      <c r="D65" s="30" t="inlineStr">
        <is>
          <t>src/billing.ts</t>
        </is>
      </c>
      <c r="E65" s="30" t="inlineStr">
        <is>
          <t>tests/billing.test.ts</t>
        </is>
      </c>
      <c r="F65" s="30" t="inlineStr">
        <is>
          <t>100%</t>
        </is>
      </c>
      <c r="G65" s="30" t="inlineStr">
        <is>
          <t>checkLimit 80%/100% prompts</t>
        </is>
      </c>
    </row>
    <row r="66" ht="15" customHeight="1" s="22">
      <c r="A66" s="30" t="inlineStr">
        <is>
          <t>ST-062</t>
        </is>
      </c>
      <c r="B66" s="30" t="inlineStr">
        <is>
          <t>E5</t>
        </is>
      </c>
      <c r="C66" s="36" t="inlineStr">
        <is>
          <t>Done</t>
        </is>
      </c>
      <c r="D66" s="30" t="inlineStr">
        <is>
          <t>src/billing.ts</t>
        </is>
      </c>
      <c r="E66" s="30" t="inlineStr">
        <is>
          <t>tests/billing.test.ts</t>
        </is>
      </c>
      <c r="F66" s="30" t="inlineStr">
        <is>
          <t>100%</t>
        </is>
      </c>
      <c r="G66" s="30" t="inlineStr">
        <is>
          <t>buildInvoice GST/VAT/None fields</t>
        </is>
      </c>
    </row>
    <row r="67" ht="15" customHeight="1" s="22">
      <c r="A67" s="30" t="inlineStr">
        <is>
          <t>ST-063</t>
        </is>
      </c>
      <c r="B67" s="30" t="inlineStr">
        <is>
          <t>E5</t>
        </is>
      </c>
      <c r="C67" s="36" t="inlineStr">
        <is>
          <t>Done</t>
        </is>
      </c>
      <c r="D67" s="30" t="inlineStr">
        <is>
          <t>src/billing.ts</t>
        </is>
      </c>
      <c r="E67" s="30" t="inlineStr">
        <is>
          <t>tests/billing.test.ts</t>
        </is>
      </c>
      <c r="F67" s="30" t="inlineStr">
        <is>
          <t>100%</t>
        </is>
      </c>
      <c r="G67" s="30" t="inlineStr">
        <is>
          <t>cancelFlow save-offer + exit survey</t>
        </is>
      </c>
    </row>
    <row r="68" ht="15" customHeight="1" s="22">
      <c r="A68" s="30" t="inlineStr">
        <is>
          <t>ST-064</t>
        </is>
      </c>
      <c r="B68" s="30" t="inlineStr">
        <is>
          <t>E6</t>
        </is>
      </c>
      <c r="C68" s="36" t="inlineStr">
        <is>
          <t>Done</t>
        </is>
      </c>
      <c r="D68" s="30" t="inlineStr">
        <is>
          <t>src/compliance.ts</t>
        </is>
      </c>
      <c r="E68" s="30" t="inlineStr">
        <is>
          <t>tests/compliance.test.ts</t>
        </is>
      </c>
      <c r="F68" s="30" t="inlineStr">
        <is>
          <t>100%</t>
        </is>
      </c>
      <c r="G68" s="30" t="inlineStr">
        <is>
          <t>auditScopes justified/unjustified/missing</t>
        </is>
      </c>
    </row>
    <row r="69" ht="23.25" customHeight="1" s="22">
      <c r="A69" s="30" t="inlineStr">
        <is>
          <t>ST-065</t>
        </is>
      </c>
      <c r="B69" s="30" t="inlineStr">
        <is>
          <t>E6</t>
        </is>
      </c>
      <c r="C69" s="36" t="inlineStr">
        <is>
          <t>Done</t>
        </is>
      </c>
      <c r="D69" s="30" t="inlineStr">
        <is>
          <t>src/compliance.ts; src/installFlow.ts</t>
        </is>
      </c>
      <c r="E69" s="30" t="inlineStr">
        <is>
          <t>tests/compliance.test.ts; tests/installFlow.test.ts</t>
        </is>
      </c>
      <c r="F69" s="30" t="inlineStr">
        <is>
          <t>100%</t>
        </is>
      </c>
      <c r="G69" s="30" t="inlineStr">
        <is>
          <t>retentionPolicy() aligned to 30-day uninstall window</t>
        </is>
      </c>
    </row>
    <row r="70" ht="15" customHeight="1" s="22">
      <c r="A70" s="30" t="inlineStr">
        <is>
          <t>ST-066</t>
        </is>
      </c>
      <c r="B70" s="30" t="inlineStr">
        <is>
          <t>E6</t>
        </is>
      </c>
      <c r="C70" s="30" t="inlineStr">
        <is>
          <t>Code-complete — pending live</t>
        </is>
      </c>
      <c r="D70" s="30" t="inlineStr">
        <is>
          <t>v014</t>
        </is>
      </c>
      <c r="E70" s="30" t="inlineStr">
        <is>
          <t>src/security.ts</t>
        </is>
      </c>
      <c r="F70" s="30" t="inlineStr">
        <is>
          <t>tests/coldReviewSecurity.test.ts</t>
        </is>
      </c>
      <c r="G70" s="30" t="inlineStr">
        <is>
          <t>AES-256-GCM envelope + vault boundary + token sealing + TLS assertion built; live vault (KMS) + deployed TLS probe pending</t>
        </is>
      </c>
    </row>
    <row r="71" ht="15" customHeight="1" s="22">
      <c r="A71" s="30" t="inlineStr">
        <is>
          <t>ST-067</t>
        </is>
      </c>
      <c r="B71" s="30" t="inlineStr">
        <is>
          <t>E6</t>
        </is>
      </c>
      <c r="C71" s="36" t="inlineStr">
        <is>
          <t>Done</t>
        </is>
      </c>
      <c r="D71" s="30" t="inlineStr">
        <is>
          <t>src/permissions.ts</t>
        </is>
      </c>
      <c r="E71" s="30" t="inlineStr">
        <is>
          <t>tests/permissions.test.ts</t>
        </is>
      </c>
      <c r="F71" s="30" t="inlineStr">
        <is>
          <t>100%</t>
        </is>
      </c>
      <c r="G71" s="30" t="inlineStr">
        <is>
          <t>AuditLog records allow+deny with timestamps</t>
        </is>
      </c>
    </row>
    <row r="72" ht="15" customHeight="1" s="22">
      <c r="A72" s="30" t="inlineStr">
        <is>
          <t>ST-068</t>
        </is>
      </c>
      <c r="B72" s="30" t="inlineStr">
        <is>
          <t>E6</t>
        </is>
      </c>
      <c r="C72" s="30" t="inlineStr">
        <is>
          <t>In progress</t>
        </is>
      </c>
      <c r="D72" s="30" t="inlineStr">
        <is>
          <t>v014</t>
        </is>
      </c>
      <c r="E72" s="30" t="inlineStr">
        <is>
          <t>docs/security/SECURITY_EVIDENCE.md</t>
        </is>
      </c>
      <c r="F72" s="30" t="inlineStr">
        <is>
          <t>—</t>
        </is>
      </c>
      <c r="G72" s="30" t="inlineStr">
        <is>
          <t>Sandbox evidence half compiled with per-control citations; external pen-test = vendor half (Senthil)</t>
        </is>
      </c>
    </row>
    <row r="73" ht="15" customHeight="1" s="22">
      <c r="A73" s="30" t="inlineStr">
        <is>
          <t>ST-069</t>
        </is>
      </c>
      <c r="B73" s="30" t="inlineStr">
        <is>
          <t>E6</t>
        </is>
      </c>
      <c r="C73" s="36" t="inlineStr">
        <is>
          <t>Done</t>
        </is>
      </c>
      <c r="D73" s="30" t="inlineStr">
        <is>
          <t>src/compliance.ts</t>
        </is>
      </c>
      <c r="E73" s="30" t="inlineStr">
        <is>
          <t>tests/compliance.test.ts</t>
        </is>
      </c>
      <c r="F73" s="30" t="inlineStr">
        <is>
          <t>100%</t>
        </is>
      </c>
      <c r="G73" s="30" t="inlineStr">
        <is>
          <t>exportTenantData / deleteTenantData self-serve</t>
        </is>
      </c>
    </row>
    <row r="74" ht="15" customHeight="1" s="22">
      <c r="A74" s="30" t="inlineStr">
        <is>
          <t>ST-070</t>
        </is>
      </c>
      <c r="B74" s="30" t="inlineStr">
        <is>
          <t>E6</t>
        </is>
      </c>
      <c r="C74" s="36" t="inlineStr">
        <is>
          <t>Done</t>
        </is>
      </c>
      <c r="D74" s="30" t="inlineStr">
        <is>
          <t>src/compliance.ts</t>
        </is>
      </c>
      <c r="E74" s="30" t="inlineStr">
        <is>
          <t>tests/compliance.test.ts</t>
        </is>
      </c>
      <c r="F74" s="30" t="inlineStr">
        <is>
          <t>100%</t>
        </is>
      </c>
      <c r="G74" s="30" t="inlineStr">
        <is>
          <t>backoffDelayMs + CircuitBreaker + callWithProtection</t>
        </is>
      </c>
    </row>
    <row r="75" ht="15" customHeight="1" s="22">
      <c r="A75" s="30" t="inlineStr">
        <is>
          <t>ST-071</t>
        </is>
      </c>
      <c r="B75" s="30" t="inlineStr">
        <is>
          <t>E7</t>
        </is>
      </c>
      <c r="C75" s="36" t="inlineStr">
        <is>
          <t>Done</t>
        </is>
      </c>
      <c r="D75" s="30" t="inlineStr">
        <is>
          <t>src/telemetry.ts</t>
        </is>
      </c>
      <c r="E75" s="30" t="inlineStr">
        <is>
          <t>tests/telemetry.test.ts</t>
        </is>
      </c>
      <c r="F75" s="30" t="inlineStr">
        <is>
          <t>100%</t>
        </is>
      </c>
      <c r="G75" s="30" t="inlineStr">
        <is>
          <t>funnelReport install→setup→aha→habit</t>
        </is>
      </c>
    </row>
    <row r="76" ht="15" customHeight="1" s="22">
      <c r="A76" s="30" t="inlineStr">
        <is>
          <t>ST-072</t>
        </is>
      </c>
      <c r="B76" s="30" t="inlineStr">
        <is>
          <t>E7</t>
        </is>
      </c>
      <c r="C76" s="36" t="inlineStr">
        <is>
          <t>Done</t>
        </is>
      </c>
      <c r="D76" s="30" t="inlineStr">
        <is>
          <t>src/telemetry.ts</t>
        </is>
      </c>
      <c r="E76" s="30" t="inlineStr">
        <is>
          <t>tests/telemetry.test.ts</t>
        </is>
      </c>
      <c r="F76" s="30" t="inlineStr">
        <is>
          <t>100%</t>
        </is>
      </c>
      <c r="G76" s="30" t="inlineStr">
        <is>
          <t>errorSpike window + errorsByRelease tagging</t>
        </is>
      </c>
    </row>
    <row r="77" ht="15" customHeight="1" s="22">
      <c r="A77" s="30" t="inlineStr">
        <is>
          <t>ST-073</t>
        </is>
      </c>
      <c r="B77" s="30" t="inlineStr">
        <is>
          <t>E7</t>
        </is>
      </c>
      <c r="C77" s="36" t="inlineStr">
        <is>
          <t>Done</t>
        </is>
      </c>
      <c r="D77" s="30" t="inlineStr">
        <is>
          <t>src/telemetry.ts</t>
        </is>
      </c>
      <c r="E77" s="30" t="inlineStr">
        <is>
          <t>tests/telemetry.test.ts</t>
        </is>
      </c>
      <c r="F77" s="30" t="inlineStr">
        <is>
          <t>100%</t>
        </is>
      </c>
      <c r="G77" s="30" t="inlineStr">
        <is>
          <t>usageHeatmap per feature</t>
        </is>
      </c>
    </row>
    <row r="78" ht="15" customHeight="1" s="22">
      <c r="A78" s="30" t="inlineStr">
        <is>
          <t>ST-074</t>
        </is>
      </c>
      <c r="B78" s="30" t="inlineStr">
        <is>
          <t>E7</t>
        </is>
      </c>
      <c r="C78" s="36" t="inlineStr">
        <is>
          <t>Done</t>
        </is>
      </c>
      <c r="D78" s="30" t="inlineStr">
        <is>
          <t>src/telemetry.ts</t>
        </is>
      </c>
      <c r="E78" s="30" t="inlineStr">
        <is>
          <t>tests/telemetry.test.ts</t>
        </is>
      </c>
      <c r="F78" s="30" t="inlineStr">
        <is>
          <t>100%</t>
        </is>
      </c>
      <c r="G78" s="30" t="inlineStr">
        <is>
          <t>weeklyEmail payload</t>
        </is>
      </c>
    </row>
    <row r="79" ht="15" customHeight="1" s="22">
      <c r="A79" s="30" t="inlineStr">
        <is>
          <t>ST-075</t>
        </is>
      </c>
      <c r="B79" s="30" t="inlineStr">
        <is>
          <t>E7</t>
        </is>
      </c>
      <c r="C79" s="36" t="inlineStr">
        <is>
          <t>Done</t>
        </is>
      </c>
      <c r="D79" s="30" t="inlineStr">
        <is>
          <t>src/telemetry.ts</t>
        </is>
      </c>
      <c r="E79" s="30" t="inlineStr">
        <is>
          <t>tests/telemetry.test.ts</t>
        </is>
      </c>
      <c r="F79" s="30" t="inlineStr">
        <is>
          <t>100%</t>
        </is>
      </c>
      <c r="G79" s="30" t="inlineStr">
        <is>
          <t>healthScore usage+billing+support</t>
        </is>
      </c>
    </row>
    <row r="80" ht="15" customHeight="1" s="22">
      <c r="A80" s="30" t="inlineStr">
        <is>
          <t>ST-076</t>
        </is>
      </c>
      <c r="B80" s="30" t="inlineStr">
        <is>
          <t>E7</t>
        </is>
      </c>
      <c r="C80" s="36" t="inlineStr">
        <is>
          <t>Done</t>
        </is>
      </c>
      <c r="D80" s="30" t="inlineStr">
        <is>
          <t>src/telemetry.ts</t>
        </is>
      </c>
      <c r="E80" s="30" t="inlineStr">
        <is>
          <t>tests/telemetry.test.ts</t>
        </is>
      </c>
      <c r="F80" s="30" t="inlineStr">
        <is>
          <t>100%</t>
        </is>
      </c>
      <c r="G80" s="30" t="inlineStr">
        <is>
          <t>metricsToCsv export</t>
        </is>
      </c>
    </row>
    <row r="81" ht="15" customHeight="1" s="22">
      <c r="A81" s="30" t="inlineStr">
        <is>
          <t>ST-077</t>
        </is>
      </c>
      <c r="B81" s="30" t="inlineStr">
        <is>
          <t>E7</t>
        </is>
      </c>
      <c r="C81" s="36" t="inlineStr">
        <is>
          <t>Done</t>
        </is>
      </c>
      <c r="D81" s="30" t="inlineStr">
        <is>
          <t>src/telemetry.ts</t>
        </is>
      </c>
      <c r="E81" s="30" t="inlineStr">
        <is>
          <t>tests/telemetry.test.ts</t>
        </is>
      </c>
      <c r="F81" s="30" t="inlineStr">
        <is>
          <t>100%</t>
        </is>
      </c>
      <c r="G81" s="30" t="inlineStr">
        <is>
          <t>defaultThresholds + evaluateAlerts</t>
        </is>
      </c>
    </row>
    <row r="82" ht="15" customHeight="1" s="22">
      <c r="A82" s="30" t="inlineStr">
        <is>
          <t>ST-078</t>
        </is>
      </c>
      <c r="B82" s="30" t="inlineStr">
        <is>
          <t>E8</t>
        </is>
      </c>
      <c r="C82" s="36" t="inlineStr">
        <is>
          <t>Done</t>
        </is>
      </c>
      <c r="D82" s="30" t="inlineStr">
        <is>
          <t>src/onboarding.ts</t>
        </is>
      </c>
      <c r="E82" s="30" t="inlineStr">
        <is>
          <t>tests/onboarding.test.ts</t>
        </is>
      </c>
      <c r="F82" s="30" t="inlineStr">
        <is>
          <t>100%</t>
        </is>
      </c>
      <c r="G82" s="30" t="inlineStr">
        <is>
          <t>ordered checklist, aha stamp, &lt;1-day target check</t>
        </is>
      </c>
    </row>
    <row r="83" ht="15" customHeight="1" s="22">
      <c r="A83" s="30" t="inlineStr">
        <is>
          <t>ST-079</t>
        </is>
      </c>
      <c r="B83" s="30" t="inlineStr">
        <is>
          <t>E8</t>
        </is>
      </c>
      <c r="C83" s="36" t="inlineStr">
        <is>
          <t>Done</t>
        </is>
      </c>
      <c r="D83" s="30" t="inlineStr">
        <is>
          <t>src/onboarding.ts</t>
        </is>
      </c>
      <c r="E83" s="30" t="inlineStr">
        <is>
          <t>tests/onboarding.test.ts</t>
        </is>
      </c>
      <c r="F83" s="30" t="inlineStr">
        <is>
          <t>100%</t>
        </is>
      </c>
      <c r="G83" s="30" t="inlineStr">
        <is>
          <t>EMPTY_STATES copy for all six screens</t>
        </is>
      </c>
    </row>
    <row r="84" ht="15" customHeight="1" s="22">
      <c r="A84" s="30" t="inlineStr">
        <is>
          <t>ST-080</t>
        </is>
      </c>
      <c r="B84" s="30" t="inlineStr">
        <is>
          <t>E8</t>
        </is>
      </c>
      <c r="C84" s="30" t="inlineStr">
        <is>
          <t>Code-complete — pending live</t>
        </is>
      </c>
      <c r="D84" s="30" t="inlineStr">
        <is>
          <t>v016</t>
        </is>
      </c>
      <c r="E84" s="30" t="inlineStr">
        <is>
          <t>src/launchOps.ts (search + manifest); docs/help/01..15</t>
        </is>
      </c>
      <c r="F84" s="30" t="inlineStr">
        <is>
          <t>—</t>
        </is>
      </c>
      <c r="G84" s="30" t="inlineStr">
        <is>
          <t>ranked search + manifest-vs-directory gate; hosting/publish pending</t>
        </is>
      </c>
    </row>
    <row r="85" ht="15" customHeight="1" s="22">
      <c r="A85" s="30" t="inlineStr">
        <is>
          <t>ST-081</t>
        </is>
      </c>
      <c r="B85" s="30" t="inlineStr">
        <is>
          <t>E8</t>
        </is>
      </c>
      <c r="C85" s="30" t="inlineStr">
        <is>
          <t>Code-complete — pending live</t>
        </is>
      </c>
      <c r="D85" s="30" t="inlineStr">
        <is>
          <t>v016</t>
        </is>
      </c>
      <c r="E85" s="30" t="inlineStr">
        <is>
          <t>src/chatSla.ts</t>
        </is>
      </c>
      <c r="F85" s="30" t="inlineStr">
        <is>
          <t>—</t>
        </is>
      </c>
      <c r="G85" s="30" t="inlineStr">
        <is>
          <t>built-in chat + 4-business-hr SLA engine (business-hours math, breach queue); vendor decision now optional (D-F6)</t>
        </is>
      </c>
    </row>
    <row r="86" ht="15" customHeight="1" s="22">
      <c r="A86" s="30" t="inlineStr">
        <is>
          <t>ST-082</t>
        </is>
      </c>
      <c r="B86" s="30" t="inlineStr">
        <is>
          <t>E8</t>
        </is>
      </c>
      <c r="C86" s="36" t="inlineStr">
        <is>
          <t>Done</t>
        </is>
      </c>
      <c r="D86" s="30" t="inlineStr">
        <is>
          <t>src/onboarding.ts</t>
        </is>
      </c>
      <c r="E86" s="30" t="inlineStr">
        <is>
          <t>tests/onboarding.test.ts</t>
        </is>
      </c>
      <c r="F86" s="30" t="inlineStr">
        <is>
          <t>100%</t>
        </is>
      </c>
      <c r="G86" s="30" t="inlineStr">
        <is>
          <t>shouldAskReview once, 1 day post-aha</t>
        </is>
      </c>
    </row>
    <row r="87" ht="15" customHeight="1" s="22">
      <c r="A87" s="30" t="inlineStr">
        <is>
          <t>ST-083</t>
        </is>
      </c>
      <c r="B87" s="30" t="inlineStr">
        <is>
          <t>E8</t>
        </is>
      </c>
      <c r="C87" s="30" t="inlineStr">
        <is>
          <t>Drafted — pending publish</t>
        </is>
      </c>
      <c r="D87" s="30" t="inlineStr">
        <is>
          <t>src/demoData.ts; docs/demo/video-script.md</t>
        </is>
      </c>
      <c r="E87" s="30" t="inlineStr">
        <is>
          <t>tests/ui/reliabilityDemoA11y.test.tsx</t>
        </is>
      </c>
      <c r="F87" s="30" t="inlineStr">
        <is>
          <t>100%</t>
        </is>
      </c>
      <c r="G87" s="30" t="inlineStr">
        <is>
          <t>Demo mode coded (deterministic red-week arc); 2-min script+shot list drafted; recording pending</t>
        </is>
      </c>
    </row>
    <row r="88" ht="15" customHeight="1" s="22">
      <c r="A88" s="30" t="inlineStr">
        <is>
          <t>ST-084</t>
        </is>
      </c>
      <c r="B88" s="30" t="inlineStr">
        <is>
          <t>E8</t>
        </is>
      </c>
      <c r="C88" s="36" t="inlineStr">
        <is>
          <t>Done</t>
        </is>
      </c>
      <c r="D88" s="30" t="inlineStr">
        <is>
          <t>src/onboarding.ts</t>
        </is>
      </c>
      <c r="E88" s="30" t="inlineStr">
        <is>
          <t>tests/onboarding.test.ts</t>
        </is>
      </c>
      <c r="F88" s="30" t="inlineStr">
        <is>
          <t>100%</t>
        </is>
      </c>
      <c r="G88" s="30" t="inlineStr">
        <is>
          <t>incidentComms template</t>
        </is>
      </c>
    </row>
    <row r="89" ht="23.25" customHeight="1" s="22">
      <c r="A89" s="30" t="inlineStr">
        <is>
          <t>ST-085</t>
        </is>
      </c>
      <c r="B89" s="30" t="inlineStr">
        <is>
          <t>EQ</t>
        </is>
      </c>
      <c r="C89" s="36" t="inlineStr">
        <is>
          <t>Done</t>
        </is>
      </c>
      <c r="D89" s="30" t="inlineStr">
        <is>
          <t>jest.config.js</t>
        </is>
      </c>
      <c r="E89" s="30" t="inlineStr">
        <is>
          <t>full suite (11 files, 120 tests)</t>
        </is>
      </c>
      <c r="F89" s="30" t="inlineStr">
        <is>
          <t>100%</t>
        </is>
      </c>
      <c r="G89" s="30" t="inlineStr">
        <is>
          <t>Gate implemented as jest coverageThreshold=100 (all four metrics); achieved this build</t>
        </is>
      </c>
    </row>
    <row r="90" ht="23.25" customHeight="1" s="22">
      <c r="A90" s="30" t="inlineStr">
        <is>
          <t>ST-086</t>
        </is>
      </c>
      <c r="B90" s="30" t="inlineStr">
        <is>
          <t>EQ</t>
        </is>
      </c>
      <c r="C90" s="30" t="inlineStr">
        <is>
          <t>Code-complete — pending live</t>
        </is>
      </c>
      <c r="D90" s="30" t="inlineStr">
        <is>
          <t>.github/workflows/ci.yml</t>
        </is>
      </c>
      <c r="E90" s="30" t="inlineStr">
        <is>
          <t>runs npx jest --coverage (13 suites, 148 tests)</t>
        </is>
      </c>
      <c r="F90" s="30" t="inlineStr">
        <is>
          <t>100%</t>
        </is>
      </c>
      <c r="G90" s="30" t="inlineStr">
        <is>
          <t>Workflow triggers on push/PR/deployment with typecheck + 100% gate; live repo/deploy hookup pending</t>
        </is>
      </c>
    </row>
    <row r="91" ht="15" customHeight="1" s="22">
      <c r="A91" s="30" t="inlineStr">
        <is>
          <t>ST-087</t>
        </is>
      </c>
      <c r="B91" s="30" t="inlineStr">
        <is>
          <t>EQ</t>
        </is>
      </c>
      <c r="C91" s="30" t="inlineStr">
        <is>
          <t>Code-complete — pending live</t>
        </is>
      </c>
      <c r="D91" s="30" t="inlineStr">
        <is>
          <t>src/reliability.ts; docs/reliability/latency-budgets.md</t>
        </is>
      </c>
      <c r="E91" s="30" t="inlineStr">
        <is>
          <t>tests/ui/reliabilityDemoA11y.test.tsx</t>
        </is>
      </c>
      <c r="F91" s="30" t="inlineStr">
        <is>
          <t>100%</t>
        </is>
      </c>
      <c r="G91" s="30" t="inlineStr">
        <is>
          <t>Budgets defined per surface + p95/evaluateBudget; APM monitoring hookup pending</t>
        </is>
      </c>
    </row>
    <row r="92" ht="15" customHeight="1" s="22">
      <c r="A92" s="30" t="inlineStr">
        <is>
          <t>ST-088</t>
        </is>
      </c>
      <c r="B92" s="30" t="inlineStr">
        <is>
          <t>EQ</t>
        </is>
      </c>
      <c r="C92" s="30" t="inlineStr">
        <is>
          <t>Code-complete — pending live</t>
        </is>
      </c>
      <c r="D92" s="30" t="inlineStr">
        <is>
          <t>docs/loadtest/k6-flowcast.js</t>
        </is>
      </c>
      <c r="E92" s="30" t="inlineStr">
        <is>
          <t>thresholds mirror latency-budgets p95</t>
        </is>
      </c>
      <c r="F92" s="30" t="inlineStr">
        <is>
          <t>—</t>
        </is>
      </c>
      <c r="G92" s="30" t="inlineStr">
        <is>
          <t>k6 harness ready: steady/burst(25 rps)/webhook-storm scenarios at 5x launch assumptions; run pending staging</t>
        </is>
      </c>
    </row>
    <row r="93" ht="15" customHeight="1" s="22">
      <c r="A93" s="30" t="inlineStr">
        <is>
          <t>ST-089</t>
        </is>
      </c>
      <c r="B93" s="30" t="inlineStr">
        <is>
          <t>EQ</t>
        </is>
      </c>
      <c r="C93" s="30" t="inlineStr">
        <is>
          <t>Code-complete — pending live</t>
        </is>
      </c>
      <c r="D93" s="30" t="inlineStr">
        <is>
          <t>all src/ui/*.tsx</t>
        </is>
      </c>
      <c r="E93" s="30" t="inlineStr">
        <is>
          <t>tests/ui/reliabilityDemoA11y.test.tsx (jest-axe)</t>
        </is>
      </c>
      <c r="F93" s="30" t="inlineStr">
        <is>
          <t>100%</t>
        </is>
      </c>
      <c r="G93" s="30" t="inlineStr">
        <is>
          <t>Automated axe pass, zero violations on all 7 surfaces; live full-flow AA audit pending</t>
        </is>
      </c>
    </row>
    <row r="94" ht="15" customHeight="1" s="22">
      <c r="A94" s="30" t="inlineStr">
        <is>
          <t>ST-090</t>
        </is>
      </c>
      <c r="B94" s="30" t="inlineStr">
        <is>
          <t>EQ</t>
        </is>
      </c>
      <c r="C94" s="30" t="inlineStr">
        <is>
          <t>Drafted — pending publish</t>
        </is>
      </c>
      <c r="D94" s="30" t="inlineStr">
        <is>
          <t>docs/runbooks/backup-restore-drill.md</t>
        </is>
      </c>
      <c r="E94" s="30" t="inlineStr">
        <is>
          <t>—</t>
        </is>
      </c>
      <c r="F94" s="30" t="inlineStr">
        <is>
          <t>—</t>
        </is>
      </c>
      <c r="G94" s="30" t="inlineStr">
        <is>
          <t>Policy + drill procedure + RTO/RPO targets drafted; first drill needs live infra</t>
        </is>
      </c>
    </row>
    <row r="95" ht="15" customHeight="1" s="22">
      <c r="A95" s="30" t="inlineStr">
        <is>
          <t>ST-091</t>
        </is>
      </c>
      <c r="B95" s="30" t="inlineStr">
        <is>
          <t>EQ</t>
        </is>
      </c>
      <c r="C95" s="30" t="inlineStr">
        <is>
          <t>Code-complete — pending live</t>
        </is>
      </c>
      <c r="D95" s="30" t="inlineStr">
        <is>
          <t>src/reliability.ts; src/ui/DegradedBanner.tsx; docs/runbooks/chaos-platform-outage.md</t>
        </is>
      </c>
      <c r="E95" s="30" t="inlineStr">
        <is>
          <t>tests/ui/reliabilityDemoA11y.test.tsx</t>
        </is>
      </c>
      <c r="F95" s="30" t="inlineStr">
        <is>
          <t>100%</t>
        </is>
      </c>
      <c r="G95" s="30" t="inlineStr">
        <is>
          <t>Breaker→level mapping + honest user comms + banner; staging chaos drill pending</t>
        </is>
      </c>
    </row>
    <row r="96" ht="15" customHeight="1" s="22">
      <c r="A96" s="30" t="inlineStr">
        <is>
          <t>ST-092</t>
        </is>
      </c>
      <c r="B96" s="30" t="inlineStr">
        <is>
          <t>EQ</t>
        </is>
      </c>
      <c r="C96" s="30" t="inlineStr">
        <is>
          <t>Code-complete — pending live</t>
        </is>
      </c>
      <c r="D96" s="30" t="inlineStr">
        <is>
          <t>.github/workflows/deploy.yml</t>
        </is>
      </c>
      <c r="E96" s="30" t="inlineStr">
        <is>
          <t>test-gate job = full 100% suite</t>
        </is>
      </c>
      <c r="F96" s="30" t="inlineStr">
        <is>
          <t>—</t>
        </is>
      </c>
      <c r="G96" s="30" t="inlineStr">
        <is>
          <t>Blue/green workflow drafted: 100%-gate -&gt; idle-colour deploy -&gt; health+smoke gate -&gt; atomic swap -&gt; warm rollback; live verification pending infra</t>
        </is>
      </c>
    </row>
    <row r="97" ht="15" customHeight="1" s="22">
      <c r="A97" s="30" t="inlineStr">
        <is>
          <t>ST-093</t>
        </is>
      </c>
      <c r="B97" s="30" t="inlineStr">
        <is>
          <t>EL</t>
        </is>
      </c>
      <c r="C97" s="30" t="inlineStr">
        <is>
          <t>Drafted — pending review</t>
        </is>
      </c>
      <c r="D97" s="30" t="inlineStr">
        <is>
          <t>docs/listing/listing-copy-A.md; listing-copy-B.md</t>
        </is>
      </c>
      <c r="E97" s="30" t="inlineStr">
        <is>
          <t>—</t>
        </is>
      </c>
      <c r="F97" s="30" t="inlineStr">
        <is>
          <t>—</t>
        </is>
      </c>
      <c r="G97" s="30" t="inlineStr">
        <is>
          <t>A (forecast-led) + B (chasing-led, accountant channel) drafted; Senthil review pending</t>
        </is>
      </c>
    </row>
    <row r="98" ht="15" customHeight="1" s="22">
      <c r="A98" s="30" t="inlineStr">
        <is>
          <t>ST-094</t>
        </is>
      </c>
      <c r="B98" s="30" t="inlineStr">
        <is>
          <t>EL</t>
        </is>
      </c>
      <c r="C98" s="30" t="inlineStr">
        <is>
          <t>Drafted — pending publish</t>
        </is>
      </c>
      <c r="D98" s="30" t="inlineStr">
        <is>
          <t>docs/listing/asset-specs-and-shot-plan.md</t>
        </is>
      </c>
      <c r="E98" s="30" t="inlineStr">
        <is>
          <t>—</t>
        </is>
      </c>
      <c r="F98" s="30" t="inlineStr">
        <is>
          <t>—</t>
        </is>
      </c>
      <c r="G98" s="30" t="inlineStr">
        <is>
          <t>Specs + 5-shot plan drafted; capture needs deployed UI</t>
        </is>
      </c>
    </row>
    <row r="99" ht="15" customHeight="1" s="22">
      <c r="A99" s="30" t="inlineStr">
        <is>
          <t>ST-095</t>
        </is>
      </c>
      <c r="B99" s="30" t="inlineStr">
        <is>
          <t>EL</t>
        </is>
      </c>
      <c r="C99" s="30" t="inlineStr">
        <is>
          <t>Code-complete — pending live</t>
        </is>
      </c>
      <c r="D99" s="30" t="inlineStr">
        <is>
          <t>v016</t>
        </is>
      </c>
      <c r="E99" s="30" t="inlineStr">
        <is>
          <t>src/launchOps.ts (renderPricingMatrix); docs/listing/pricing-page.md</t>
        </is>
      </c>
      <c r="F99" s="30" t="inlineStr">
        <is>
          <t>—</t>
        </is>
      </c>
      <c r="G99" s="30" t="inlineStr">
        <is>
          <t>matrix generated from billing.ts; DRIFT GATE test binds published page to enforced constants; publish pending</t>
        </is>
      </c>
    </row>
    <row r="100" ht="15" customHeight="1" s="22">
      <c r="A100" s="30" t="inlineStr">
        <is>
          <t>ST-096</t>
        </is>
      </c>
      <c r="B100" s="30" t="inlineStr">
        <is>
          <t>EL</t>
        </is>
      </c>
      <c r="C100" s="30" t="inlineStr">
        <is>
          <t>Drafted — pending publish</t>
        </is>
      </c>
      <c r="D100" s="30" t="inlineStr">
        <is>
          <t>docs/listing/security-trust-page.md</t>
        </is>
      </c>
      <c r="E100" s="30" t="inlineStr">
        <is>
          <t>—</t>
        </is>
      </c>
      <c r="F100" s="30" t="inlineStr">
        <is>
          <t>—</t>
        </is>
      </c>
      <c r="G100" s="30" t="inlineStr">
        <is>
          <t>Scope mapping, retention, controls, subprocessor list drafted; final subprocessors at launch</t>
        </is>
      </c>
    </row>
    <row r="101" ht="15" customHeight="1" s="22">
      <c r="A101" s="30" t="inlineStr">
        <is>
          <t>ST-097</t>
        </is>
      </c>
      <c r="B101" s="30" t="inlineStr">
        <is>
          <t>EL</t>
        </is>
      </c>
      <c r="C101" s="30" t="inlineStr">
        <is>
          <t>In progress</t>
        </is>
      </c>
      <c r="D101" s="30" t="inlineStr">
        <is>
          <t>docs/listing/submission-dry-run.md</t>
        </is>
      </c>
      <c r="E101" s="30" t="inlineStr">
        <is>
          <t>—</t>
        </is>
      </c>
      <c r="F101" s="30" t="inlineStr">
        <is>
          <t>—</t>
        </is>
      </c>
      <c r="G101" s="30" t="inlineStr">
        <is>
          <t>First-pass dry-run done: gap (a) dev org — Senthil; gap (b) content webhooks CLOSED in v011 (WBH-001); 6 live-verify items remain; second pass = Senthil</t>
        </is>
      </c>
    </row>
    <row r="102" ht="15" customHeight="1" s="22">
      <c r="A102" s="30" t="inlineStr">
        <is>
          <t>ST-098</t>
        </is>
      </c>
      <c r="B102" s="30" t="inlineStr">
        <is>
          <t>EL</t>
        </is>
      </c>
      <c r="C102" s="36" t="inlineStr">
        <is>
          <t>Done</t>
        </is>
      </c>
      <c r="D102" s="30" t="inlineStr">
        <is>
          <t>docs/runbooks/launch-day.md</t>
        </is>
      </c>
      <c r="E102" s="30" t="inlineStr">
        <is>
          <t>—</t>
        </is>
      </c>
      <c r="F102" s="30" t="inlineStr">
        <is>
          <t>—</t>
        </is>
      </c>
      <c r="G102" s="30" t="inlineStr">
        <is>
          <t>Runbook complete: T-1 freeze, hourly monitoring set, rollback trigger+path, comms tree, support surge</t>
        </is>
      </c>
    </row>
    <row r="103" ht="15" customHeight="1" s="22">
      <c r="A103" s="30" t="inlineStr">
        <is>
          <t>ST-099</t>
        </is>
      </c>
      <c r="B103" s="30" t="inlineStr">
        <is>
          <t>EL</t>
        </is>
      </c>
      <c r="C103" s="30" t="inlineStr">
        <is>
          <t>Code-complete — pending live</t>
        </is>
      </c>
      <c r="D103" s="30" t="inlineStr">
        <is>
          <t>v016</t>
        </is>
      </c>
      <c r="E103" s="30" t="inlineStr">
        <is>
          <t>src/launchOps.ts (seoSuggestions)</t>
        </is>
      </c>
      <c r="F103" s="30" t="inlineStr">
        <is>
          <t>—</t>
        </is>
      </c>
      <c r="G103" s="30" t="inlineStr">
        <is>
          <t>promote/keyword/demote engine with 100-impression thin-data floor; live half needs post-launch search-term data</t>
        </is>
      </c>
    </row>
    <row r="104" ht="15" customHeight="1" s="22">
      <c r="A104" s="30" t="inlineStr">
        <is>
          <t>ST-100</t>
        </is>
      </c>
      <c r="B104" s="30" t="inlineStr">
        <is>
          <t>EL</t>
        </is>
      </c>
      <c r="C104" s="30" t="inlineStr">
        <is>
          <t>Code-complete — pending live</t>
        </is>
      </c>
      <c r="D104" s="30" t="inlineStr">
        <is>
          <t>v016</t>
        </is>
      </c>
      <c r="E104" s="30" t="inlineStr">
        <is>
          <t>src/launchOps.ts (PartnerTracker)</t>
        </is>
      </c>
      <c r="F104" s="30" t="inlineStr">
        <is>
          <t>—</t>
        </is>
      </c>
      <c r="G104" s="30" t="inlineStr">
        <is>
          <t>10 slots, 7-day stale-nudge, exit math separating reviews from G-02 paying strangers; outreach = Senthil</t>
        </is>
      </c>
    </row>
    <row r="106" ht="15" customHeight="1" s="22">
      <c r="A106" s="33" t="inlineStr">
        <is>
          <t>Summary (v010): 77 Done · 8 Code-complete — pending live · 7 Drafted — pending publish/review · 2 In progress · 6 Backlog (live-infra: ST-066/068/088/092; post-launch: ST-099/100). Test evidence: 14 suites / 155 tests / 100-100-100-100 incl. jest-axe WCAG pass; tsc clean.</t>
        </is>
      </c>
    </row>
    <row r="108" ht="90.75" customHeight="1" s="22">
      <c r="A108" s="30" t="inlineStr">
        <is>
          <t>WBH-001</t>
        </is>
      </c>
      <c r="B108" s="30" t="inlineStr">
        <is>
          <t>EQ+</t>
        </is>
      </c>
      <c r="C108" s="30" t="inlineStr">
        <is>
          <t>Code-complete — pending live</t>
        </is>
      </c>
      <c r="D108" s="30" t="inlineStr">
        <is>
          <t>src/webhooks.ts</t>
        </is>
      </c>
      <c r="E108" s="30" t="inlineStr">
        <is>
          <t>tests/webhooks.test.ts</t>
        </is>
      </c>
      <c r="F108" s="30" t="inlineStr">
        <is>
          <t>100%</t>
        </is>
      </c>
      <c r="G108" s="30" t="inlineStr">
        <is>
          <t>Dry-run gap #4 closed in code: HMAC-SHA256 signature verify (constant-time, intent-to-receive), fast-ack + idempotent queue with retry/dead-letter/redelivery-heal, invoice/contact/subscription action mapping (payment cancels nudges), bank-txn polling behind shared circuit breaker (no platform webhook exists — 15-min poll documented). Live wiring pending dev org. Unnumbered: added post-baseline from dry-run, outside ST-001..100 board counts by design</t>
        </is>
      </c>
    </row>
    <row r="109" ht="34.5" customHeight="1" s="22">
      <c r="A109" s="30" t="inlineStr">
        <is>
          <t>WBH-002</t>
        </is>
      </c>
      <c r="B109" s="30" t="inlineStr">
        <is>
          <t>EQ+</t>
        </is>
      </c>
      <c r="C109" s="30" t="inlineStr">
        <is>
          <t>Done (code)</t>
        </is>
      </c>
      <c r="D109" s="30" t="inlineStr">
        <is>
          <t>src/rateLimiter.ts</t>
        </is>
      </c>
      <c r="E109" s="30" t="inlineStr">
        <is>
          <t>tests/rateLimitQaHttp.test.ts</t>
        </is>
      </c>
      <c r="F109" s="30" t="inlineStr">
        <is>
          <t>100%</t>
        </is>
      </c>
      <c r="G109" s="30" t="inlineStr">
        <is>
          <t>Checklist #3 hardening: proactive per-tenant 60/min sliding-window limiter + paced execution (complements reactive backoff/breaker); live verification pending</t>
        </is>
      </c>
    </row>
    <row r="110" ht="34.5" customHeight="1" s="22">
      <c r="A110" s="30" t="inlineStr">
        <is>
          <t>WBH-003</t>
        </is>
      </c>
      <c r="B110" s="30" t="inlineStr">
        <is>
          <t>EQ+</t>
        </is>
      </c>
      <c r="C110" s="30" t="inlineStr">
        <is>
          <t>Done (code)</t>
        </is>
      </c>
      <c r="D110" s="30" t="inlineStr">
        <is>
          <t>src/server.ts</t>
        </is>
      </c>
      <c r="E110" s="30" t="inlineStr">
        <is>
          <t>tests/rateLimitQaHttp.test.ts</t>
        </is>
      </c>
      <c r="F110" s="30" t="inlineStr">
        <is>
          <t>100%</t>
        </is>
      </c>
      <c r="G110" s="30" t="inlineStr">
        <is>
          <t>HTTP wiring layer: routed fast-ack webhook endpoint (raw-body signature contract) + /health with release + queue depth; net binding is 5 lines at deploy</t>
        </is>
      </c>
    </row>
    <row r="111" ht="23.25" customHeight="1" s="22">
      <c r="A111" s="30" t="inlineStr">
        <is>
          <t>QA-007</t>
        </is>
      </c>
      <c r="B111" s="30" t="inlineStr">
        <is>
          <t>EQ+</t>
        </is>
      </c>
      <c r="C111" s="30" t="inlineStr">
        <is>
          <t>Done (logic drill)</t>
        </is>
      </c>
      <c r="D111" s="30" t="inlineStr">
        <is>
          <t>src/qaDatasets.ts (twentyClientBook)</t>
        </is>
      </c>
      <c r="E111" s="30" t="inlineStr">
        <is>
          <t>tests/rateLimitQaHttp.test.ts</t>
        </is>
      </c>
      <c r="F111" s="30" t="inlineStr">
        <is>
          <t>100%</t>
        </is>
      </c>
      <c r="G111" s="30" t="inlineStr">
        <is>
          <t>Checklist #7: 20-client book drill — risk-first sort + portal rules at scale verified</t>
        </is>
      </c>
    </row>
    <row r="112" ht="45.75" customHeight="1" s="22">
      <c r="A112" s="30" t="inlineStr">
        <is>
          <t>QA-008</t>
        </is>
      </c>
      <c r="B112" s="30" t="inlineStr">
        <is>
          <t>EQ+</t>
        </is>
      </c>
      <c r="C112" s="30" t="inlineStr">
        <is>
          <t>Done (logic drill)</t>
        </is>
      </c>
      <c r="D112" s="30" t="inlineStr">
        <is>
          <t>src/qaDatasets.ts (twelveMonthFeed); src/anomalyAlerts.ts (detectWithHistory)</t>
        </is>
      </c>
      <c r="E112" s="30" t="inlineStr">
        <is>
          <t>tests/rateLimitQaHttp.test.ts</t>
        </is>
      </c>
      <c r="F112" s="30" t="inlineStr">
        <is>
          <t>100%</t>
        </is>
      </c>
      <c r="G112" s="30" t="inlineStr">
        <is>
          <t>Checklist #8: 12-month drill caught a REAL defect — isolated small-batch scans hide lone outliers (self-inflated sigma). Fixed: production scans batch against trailing history; all 3 planted faults caught, false positives &lt;= 2</t>
        </is>
      </c>
    </row>
    <row r="113" ht="34.5" customHeight="1" s="22">
      <c r="A113" s="30" t="inlineStr">
        <is>
          <t>CFG-001</t>
        </is>
      </c>
      <c r="B113" s="30" t="inlineStr">
        <is>
          <t>EQ+</t>
        </is>
      </c>
      <c r="C113" s="30" t="inlineStr">
        <is>
          <t>Done (code)</t>
        </is>
      </c>
      <c r="D113" s="30" t="inlineStr">
        <is>
          <t>src/config.ts; .env.example</t>
        </is>
      </c>
      <c r="E113" s="30" t="inlineStr">
        <is>
          <t>tests/config.test.ts</t>
        </is>
      </c>
      <c r="F113" s="30" t="inlineStr">
        <is>
          <t>100%</t>
        </is>
      </c>
      <c r="G113" s="30" t="inlineStr">
        <is>
          <t>Typed config loader: all live credentials named + validated at boot (missing keys listed at once; https redirect enforced; Stripe key required only outside UK/AU/NZ). Live-sweep readiness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2026-09-05T18:52:31Z</dcterms:created>
  <dcterms:modified xmlns:dcterms="http://purl.org/dc/terms/" xmlns:xsi="http://www.w3.org/2001/XMLSchema-instance" xsi:type="dcterms:W3CDTF">2026-09-20T09:56:24Z</dcterms:modified>
  <cp:revision>0</cp:revision>
</cp:coreProperties>
</file>