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Context_ReadMe" sheetId="2" state="visible" r:id="rId4"/>
    <sheet name="Operating_Rules" sheetId="3" state="visible" r:id="rId5"/>
    <sheet name="Sheet_Index" sheetId="4" state="visible" r:id="rId6"/>
    <sheet name="Sprint_Tracker_Log" sheetId="5" state="visible" r:id="rId7"/>
    <sheet name="S0_Task_Board" sheetId="6" state="visible" r:id="rId8"/>
    <sheet name="Traceability_Matrix" sheetId="7" state="visible" r:id="rId9"/>
    <sheet name="Sprint_Status_Rollup" sheetId="8" state="visible" r:id="rId10"/>
    <sheet name="RAID_Carryover" sheetId="9" state="visible" r:id="rId11"/>
    <sheet name="Gate_Checklis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<sst xmlns="http://schemas.openxmlformats.org/spreadsheetml/2006/main" count="3247" uniqueCount="1324">
  <si>
    <t xml:space="preserve">VERSION CONTROL — RevRescue Sprint Tracker &amp; Traceability</t>
  </si>
  <si>
    <t xml:space="preserve">File naming: claude_v&lt;NNN&gt;_&lt;proper file name&gt;_YYYYMMDD_HHMI.xlsx</t>
  </si>
  <si>
    <t xml:space="preserve">Version</t>
  </si>
  <si>
    <t xml:space="preserve">Date/Time</t>
  </si>
  <si>
    <t xml:space="preserve">Author</t>
  </si>
  <si>
    <t xml:space="preserve">Change Description</t>
  </si>
  <si>
    <t xml:space="preserve">Status</t>
  </si>
  <si>
    <t xml:space="preserve">v001</t>
  </si>
  <si>
    <t xml:space="preserve">2026-09-10 19:42</t>
  </si>
  <si>
    <t xml:space="preserve">Claude for Senthil/KP</t>
  </si>
  <si>
    <t xml:space="preserve">THIS FILE — Live execution tracker for RevRescue (portfolio rank 1, D8): sprint tracker log, S0 task board, sprint status rollup (formula-driven), 100-story traceability matrix (spec module -&gt; epic -&gt; story -&gt; screen -&gt; NFR -&gt; verification), RAID carryover, D7 gate checklist. Companion to v007 workbook (backlog source of truth) and v002 kickoff chatlog. S0 opened; Stripe terms verification (N2) executed and logged.</t>
  </si>
  <si>
    <t xml:space="preserve">Released</t>
  </si>
  <si>
    <t xml:space="preserve">v002</t>
  </si>
  <si>
    <t xml:space="preserve">2026-09-10 20:05</t>
  </si>
  <si>
    <t xml:space="preserve">T-01 EXECUTED: PRD draft delivered (claude_v001_revrescue_prd_20260910_2005.docx) — 11 sections incl. S0-verified platform requirements, outcome-pricing spec as declared usage-based pricing, NFR-to-story verification map, discovery question set for T-02. T-01 -&gt; Done (draft); awaiting T-06 sign-off. E004 logged. (Supersedes earlier v002 plan text; S0-close update moves to v003.)</t>
  </si>
  <si>
    <t xml:space="preserve">v003</t>
  </si>
  <si>
    <t xml:space="preserve">2026-09-10 20:18</t>
  </si>
  <si>
    <t xml:space="preserve">R5 CLOSED + T-04 EXECUTED: full April-2026 Stripe Apps Agreement read — new obligations logged (no Personal Data in Stripe Apps storage §13; 72-hr breach notification §11; EAR99/5D992 export self-classification §14.3; 30-day removal notice §15; annual Compliance Review exposure §27; Part III Provisioning is OPTIONAL public preview -&gt; D-open: list-only + own billing keeps Part III out of scope). Gate items LC-12/LC-13 added; RAID R5 closed, R8/R9 opened, D-P1 decision raised. Wireframes SCR-1..9 delivered (claude_v001_revrescue_wireframes_scr1-9_20260910_2018.html); T-04 -&gt; Done (draft).</t>
  </si>
  <si>
    <t xml:space="preserve">v004</t>
  </si>
  <si>
    <t xml:space="preserve">2026-09-10 20:42</t>
  </si>
  <si>
    <t xml:space="preserve">D13 LOGGED (Senthil 20:41): T-02/T-05 five-user discovery PARKED; development proceeds; quality rule raised to 100% automation test coverage per code unit (supersedes ST-085 &gt;=70% gate). S1 OPENED. S1 foundation code delivered with enforced 100% gate: ST-051/052/055/056 core logic, 26/26 tests, 202/202 stmts, 53/53 branches, 20/20 funcs (claude_v001_revrescue_s1_foundation_code_20260910_2042.zip). Matrix statuses -&gt; In progress.</t>
  </si>
  <si>
    <t xml:space="preserve">v005</t>
  </si>
  <si>
    <t xml:space="preserve">2026-09-10 20:48</t>
  </si>
  <si>
    <t xml:space="preserve">D14 LOGGED (Senthil 20:48): Stripe SDK adapters + live dev-store smoke PARKED. Sprint continued across all platform-independent scope: 7 domain engines delivered (retry incl. payday-aware, dunning incl. LC-7 locked footer + LC-11 test mode, save-offer guardrails, LC-5 conservative attribution, outcome-fee calculator, alert routing with per-type mute, ST-070 backoff/breaker + LC-4 dedupe). VERIFIED under enforced gate: 64/64 tests, 100% stmts (471/471) / branches (146/146) / funcs (49/49). 22 further stories -&gt; In progress. Code: claude_v002_revrescue_core_engines_code_20260910_2048.zip</t>
  </si>
  <si>
    <t xml:space="preserve">v006</t>
  </si>
  <si>
    <t xml:space="preserve">2026-09-10 21:06</t>
  </si>
  <si>
    <t xml:space="preserve">Remaining pure-logic stories built under 100% gate: ST-054 role matrix + typed enforcement, ST-060 grace/read-only with day-0/3/6 email cadence, ST-061 plan limits with 80%/100% prompts, ST-063 cancellation state machine (save-offer integrated, exit survey, full audit trail), ST-075 weighted health score with bands. VERIFIED: 86/86 tests, 100% stmts (639/639) / branches (198/198) / funcs (68/68). Platform-independent backlog scope now EXHAUSTED — everything further needs D13/D14 unpark or is S9+ content work. Code: claude_v003_revrescue_full_logic_code_20260910_2106.zip</t>
  </si>
  <si>
    <t xml:space="preserve">v007</t>
  </si>
  <si>
    <t xml:space="preserve">2026-09-10 22:00</t>
  </si>
  <si>
    <t xml:space="preserve">S9-S11 LAUNCH CONTENT PACK delivered (28 files): listing copy variants A+B with review-required limitation disclosures (ST-093), pricing page + FAQ with fee rate as flagged [X]% placeholder pending Senthil decision D-P2 (ST-095), security/trust page grounded in the agreement obligations (ST-096), launch runbook incl. LC-13 72-hr breach program (ST-098), incident comms templates (ST-084), review-ask copy (ST-082), 15 help-center articles (ST-080). All external-facing content uses product name only / generic entity placeholders per naming rule. Zip: claude_v001_revrescue_launch_content_pack_20260910_2200.zip. D-P2 (fee %) raised in RAID.</t>
  </si>
  <si>
    <t xml:space="preserve">v008</t>
  </si>
  <si>
    <t xml:space="preserve">2026-09-13 11:32</t>
  </si>
  <si>
    <t xml:space="preserve">RevRescue's FIRST adversarial audit (sibling Pre-Completion Audit pattern) + integration layer. 10 defects found in code at 100% coverage, 2 structural: GAP-RR1 no HTTP application existed behind any surface; GAP-RR2 no DB schema behind any store; F-RR01 every engine was its own only reader; F-RR02/F-RR03 read-only and plan limits computed and enforced nowhere; F-RR04 fee disputes published in FAQ + help article 12 with no code; F-RR05 export/delete published on the trust page with no code (uninstall scheduled nothing); F-RR06 refunds/chargebacks still billed; F-RR07 deduper unused by the webhook handler though LC-4 claimed replay protection; VER-RR01 no Stripe API version pinned. ALL FIXED with pinned regressions. 22 modules, 119 tests, 100% stmts (884)/branches (275)/funcs (83)/lines. 5 observations (OBS-RR1..RR5) logged for disposition. Action plan workbook issued (claude_v001_revrescue_senthil_action_plan_20260913_1132.xlsx), superseding the 10 Sep step-by-step guide. Code: claude_v004_revrescue_integration_code_20260913_1132.zip</t>
  </si>
  <si>
    <t xml:space="preserve">v009</t>
  </si>
  <si>
    <t xml:space="preserve">2026-09-13 12:05</t>
  </si>
  <si>
    <t xml:space="preserve">Verification sweep vs live Stripe docs + review gates ported (PORT-03) + cold-review pass 2 — all without D14. VER-RR02 pinned version 2026-07-30 was not a valid Stripe version string (named-release suffix required since 2024-09-30.acacia; current GA 2026-08-26.dahlia). VER-RR03 LIVE-BLOCKING: the webhook read its event id from a stripe-event-id header Stripe never sends — every real webhook would have been refused missing_event_id. VER-RR04 signature must be verified on the raw body before parsing. F-RR08: every event was handed to the uninstall handler, so invoice.payment_failed would have been rejected as malformed and lost — now dispatched on event.type. REACHABILITY GATE found five modules STILL orphaned after the 11:32 fixes (alerts, dispute, dunning, outcomefee, retry) — closed by building recovery.ts and billing.ts, the service layer that uses them. 24 modules, 140 tests, 100% stmts (1114)/branches (340)/funcs (98)/lines. Code: claude_v005_revrescue_swept_code_20260913_1205.zip</t>
  </si>
  <si>
    <t xml:space="preserve">v010</t>
  </si>
  <si>
    <t xml:space="preserve">2026-09-13 16:24</t>
  </si>
  <si>
    <t xml:space="preserve">Cold-review PASS 3 (logic and integration, no D14 needed) — 6 findings, all fixed with pinned regressions. F-RR09: uninstall deleted NOTHING — it scheduled via an unimplemented interface while the real purge registry was reachable only from the authenticated route; the F-RR05 failure recurring after a partial fix (L-RR3 again). F-RR10: token refresh stampede — concurrent refreshes rotated twice, the second invalidating the first, silently locking the account out. F-RR11: dunning had no send ledger, so a mid-sequence failure or any re-run re-sent earlier steps (duplicate chase messages to paying customers). F-RR12: help article 09 publishes cross-channel opt-out; nothing implemented it — opted-out customers kept receiving both channels (compliance exposure). F-RR13: nextPayday compared calendar dates, so a failure at 08:00 on the 15th was delayed two weeks. Attribution tie-break made deterministic. Claims gate extended to 13 checks. 26 modules, 152 tests, 100% stmts (1210)/branches (360)/funcs (104). Code: claude_v006_revrescue_pass3_code_20260913_1624.zip</t>
  </si>
  <si>
    <t xml:space="preserve">v011</t>
  </si>
  <si>
    <t xml:space="preserve">2026-09-13 16:29</t>
  </si>
  <si>
    <t xml:space="preserve">PORT-03 completed as a PORTABLE PACKAGE (at-review-gates v1.0.0, 10 tests, 100% on all four metrics): three drop-in CI gates — reachability (modules nothing calls), published-claims (promises with no code), config-drift (a value that must match everywhere, e.g. the fee % across listing/app/pricing page) — plus a CLI exiting 1 on failure, an example config and a README. Installable into all ten sibling repos in minutes. Design rule enforced: a gate that cannot see its inputs THROWS rather than passing vacuously (lesson L-RR6). Also issued REVIEW_PACK.md for the external second reviewer (ACT-20), which is the longest-lead item Senthil can start today — it names what to look at in consequence order, the six questions we most want answered, and the eight known-missing items not to waste time on. Zips: claude_v001_at_review_gates_package_20260913_1629.zip, claude_v007_revrescue_reviewpack_code_20260913_1629.zip</t>
  </si>
  <si>
    <t xml:space="preserve">v012</t>
  </si>
  <si>
    <t xml:space="preserve">2026-09-13 16:33</t>
  </si>
  <si>
    <t xml:space="preserve">Dogfooded at-review-gates against RevRescue itself and it found TWO things the in-repo version had missed. (1) The cancellation flow (ST-063) was genuinely orphaned — it passed the earlier gate only because I had whitelisted it as an entrypoint; a whitelist is a place to hide a failure. Now wired to a real route with guardrails. (2) OBS-RR4 encrypted-token claim failed the claims gate — and reviewing why, the planned fix (ACT-07) had been scheduled behind D14 IN ERROR: encryption at rest is our own code and needs nothing from Stripe. Built now: AES-256-GCM vault with key rotation and an EncryptedTokenStore wrapper, so ciphertext is what reaches storage and the trust-page claim is true. 28 modules, 160 tests, 100% stmts (1327)/branches (383)/funcs (117); all three gates PASS. HANDOVER.md issued so the product can be resumed cold or closed cleanly. Code: claude_v008_revrescue_vaulted_code_20260913_1633.zip</t>
  </si>
  <si>
    <t xml:space="preserve">v013</t>
  </si>
  <si>
    <t xml:space="preserve">2026-09-13 16:36</t>
  </si>
  <si>
    <t xml:space="preserve">PARK AUDIT (applying L-RR8): every parked item re-tested against WHO parked it and WHY. Stripe SDK adapters and the live dev account were named by Senthil in D14 and STAY PARKED — not mine to unpark. Token encryption (done 16:33) and signed sessions were parked by me through inherited assumption, not by Senthil, and needed nothing from Stripe. OBS-RR5 CLOSED: src/sessions.ts — HMAC-SHA256 over canonical claims, constant-time comparison with a length guard, explicit expiry, key-id rotation, and a resolver that reads ONLY a bearer token or signed cookie, never an x-user-id header in any environment; a test performs the actual role-escalation attack and proves rejection. The reachability gate flagged sessions.ts as orphaned before it was wired, then passed once it was. Entrypoint whitelist reduced to one justified entry per L-RR7. 30 modules, 170 tests, 100% stmts (1416)/branches (414)/funcs (128). Code: claude_v009_revrescue_sessions_code_20260913_1636.zip</t>
  </si>
  <si>
    <t xml:space="preserve">v014</t>
  </si>
  <si>
    <t xml:space="preserve">2026-09-13 16:41</t>
  </si>
  <si>
    <t xml:space="preserve">OBS-RR2 CLOSED for the adapter layer — Postgres adapters built AND PROVEN against a real embedded Postgres (PGlite/WASM) rather than a fake client. Two defects surfaced on first contact, exactly the RSK-04 failure mode: (1) multi-statement DDL cannot go through a prepared statement — real Postgres refused every migration; fixed with SqlClient.exec plus a tested query-only fallback; (2) access_token BYTEA rejected the sealed JSON envelope; migration 001 amended to TEXT (nothing deployed). src/main.ts added as the composition root and the reachability gate's ONLY entrypoint: it runs migrations at startup, derives read-only state from real account data, refuses to boot half-wired (NotWired on an incomplete purge registry or bad migrations path), and represents the parked Stripe adapters with stripeAdaptersMissing() which throws with the reason rather than faking them. Proven end-to-end: install -&gt; sealed token -&gt; ciphertext in Postgres -&gt; signed session -&gt; guarded route -&gt; statement netting disputes/reversals -&gt; purge across 8 domains -&gt; account cascade delete. 33 modules, 193 tests, 100% stmts (1683)/branches (463)/funcs (152). Code: claude_v010_revrescue_persistence_code_20260913_1641.zip</t>
  </si>
  <si>
    <t xml:space="preserve">v015</t>
  </si>
  <si>
    <t xml:space="preserve">2026-09-13 17:22</t>
  </si>
  <si>
    <t xml:space="preserve">Park audit applied to ACT-09: the remaining sprint scope was ALSO parked behind D14 by me though none of it touches Stripe. Three stories built and wired: ST-090 backup + restore DRILL (built against the sibling failure where an export bundle silently omitted a domain and the drill still reported success — this one compares per-domain counts, refuses to produce an incomplete bundle, and is proven by a full round trip through real Postgres: back up, wipe, restore, verify); ST-080 ranked help search with title boost, phrase bonus and deterministic tie-break, on a public route; ST-081 SLA clock counting BUSINESS hours only, so overnight and weekends do not consume the 4-hour budget. All three were caught as orphaned by the reachability gate before wiring. The drill route returns 500 on failure. 35 modules, 221 tests, 100% stmts (1854)/branches (530)/funcs (160). Remaining in ACT-09: status page, demo mode, load harness, blue-green deploy, CI wiring. Code: claude_v011_revrescue_ops_support_code_20260913_1722.zip</t>
  </si>
  <si>
    <t xml:space="preserve">v016</t>
  </si>
  <si>
    <t xml:space="preserve">2026-09-13 19:34</t>
  </si>
  <si>
    <t xml:space="preserve">ACT-09 COMPLETE. ST-084 status page with component state DERIVED from open incidents so it cannot claim all-operational while an incident is open (public and unauthenticated by design). ST-083 demo mode that REFUSES any account without the demo_ prefix in every environment, so demos and screenshots can never be staged on a real merchant's data. ST-088 load harness taking an injected clock, so the same code measures a real staging run and a deterministic test run — removing the in-process p95 flake class a sibling hit. ST-092 blue-green cutover as a decision the code makes (promote / hold on unhealthy, pending migrations or API-version mismatch / roll back after cutover). ST-085 CI workflow running type check, tests at 100% and the review gates, each failing the build independently — the quality bar is now enforced by CI rather than by discipline. 39 modules, 245 tests, 100% stmts (2108)/branches (606)/funcs (175), 15 routes. Code: claude_v012_revrescue_act09_complete_code_20260913_1934.zip</t>
  </si>
  <si>
    <t xml:space="preserve">v017</t>
  </si>
  <si>
    <t xml:space="preserve">2026-09-13 20:05</t>
  </si>
  <si>
    <t xml:space="preserve">COLD REVIEW PASS 4 over the ~20 modules written TODAY, which had only their own tests. Four defects, all in code shipped today at 100% coverage. F-RR16: the webhook deduper marked an event seen BEFORE processing, so a failed handler meant Stripe's retry was deduped and the event lost permanently (an uninstall that never purges, a payment never retried); now two-phase begin/commit/abandon. F-RR17: the entitlement gate blocked delete_data in read-only — the RIGHT TO ERASURE GATED BEHIND PAYMENT, contradicting the trust page and statutory rights; deletion and export are now escape hatches. F-RR18: attribution_audit and recoveries shared one table, so export emitted every row twice and deletion reported zero the second time, reading as a partial purge; own table plus migration 004 and a guard that no table backs two domains. F-RR19: restoreAndVerify treated an absent domain as '0 of 0, all good' — the exact sibling failure this module was built to prevent, reproduced inside the prevention, and an earlier test DOCUMENTED the hole instead of failing on it. 42 modules, 252 tests, 100% stmts (2186)/branches (626)/funcs (182). Code: claude_v013_revrescue_pass4_code_20260913_2005.zip</t>
  </si>
  <si>
    <t xml:space="preserve">v018</t>
  </si>
  <si>
    <t xml:space="preserve">2026-09-13 20:26</t>
  </si>
  <si>
    <t xml:space="preserve">COLD REVIEW PASS 5 — cross-module behaviour rather than individual modules — found the largest structural gap in the product. GAP-RR3: THERE WAS NO SCHEDULER. RecoveryService wrote a retry time into a queue interface nothing drained, and ran dunning once with lastRun = now-1 so only the day-0 step could ever fire. Every scheduled retry and every dunning step at days 2, 4 and 7 never happened — the entire core product loop was missing behind 252 passing tests at 100% coverage, because every module did exactly what its own tests asked. Built src/scheduler.ts (pull-based idempotent tick, claims due work, executes retries, advances sequences, at-least-once with crash-safe claim expiry), migration 005 (retry_queue + dunning_state), PgWorkStore with atomic claims proven against real Postgres (a claimed row is not handed to a second scheduler; a stale claim IS reclaimed), and start() now returns {app, tick} so a cron drives the loop. Scheduler-found recoveries reach the ledger, or they would be invisible to attribution and never billed. 45 modules, 267 tests, 100% stmts (2382)/branches (655)/funcs (194). Code: claude_v014_revrescue_scheduler_code_20260913_2026.zip</t>
  </si>
  <si>
    <t xml:space="preserve">v019</t>
  </si>
  <si>
    <t xml:space="preserve">2026-09-13 22:47</t>
  </si>
  <si>
    <t xml:space="preserve">Applied the patterns from the portfolio's FIRST INDEPENDENT EXTERNAL REVIEW (of a sibling product) to RevRescue. GAP-RR4: NOTHING BOUND A PORT — start() returned a Router, no process served it, no npm start; 45 modules and 267 tests at 100% and the app could not receive a single request. Built a real node:http server with body cap (413), request timeout, error boundary, correlation ids, structured logs, and a drain WITH A DEADLINE per L-RK10. F-RR20: two ports defaulted to a SILENT FAKE rather than throwing — optOut to 'nobody has ever opted out' and sendLedger to in-memory — so with neither wired every opted-out customer would still be messaged and every restart re-sent whole dunning sequences; both are now required parameters, plus src/config.ts refuses a production boot without https, a database, a dedicated encryption key, a session secret or the Stripe adapters. F-RR21: the Router returned the thrown error message TO THE CALLER, leaking internal detail on every unhandled error — and an earlier test asserted that leak as correct, the third occurrence of L-RR11 here. 48 modules, 286 tests, 100% stmts (2583)/branches (716)/funcs (203). Code: claude_v015_revrescue_server_code_20260913_2247.zip [v020 CORRECTION: the measured v015 branch count is 715, not 716 — re-run on 16 Sep reproduced 2583 stmts / 715 branches / 203 funcs.]</t>
  </si>
  <si>
    <t xml:space="preserve">v020</t>
  </si>
  <si>
    <t xml:space="preserve">2026-09-16 18:07</t>
  </si>
  <si>
    <t xml:space="preserve">INDEPENDENT REVIEW V001 (pass 6) RESPONSE. All 12 findings (P-RR01..P-RR12) verified against v015 before any change — all real — and closed at INTEGRATION evidence; 12 more found while verifying/building (V-01..V-12), all fixed. Highlights: scheduler recoveries were billed at £0 (P-RR01); no payment success was ever observed so dunning/save-offer recoveries could never be attributed (P-RR02); every statement re-billed all history and fee_statements was never written (P-RR03); customers who had paid kept receiving dunning (V-01); delete-my-data left customer emails behind (V-06); CI ran the claims gate on an EMPTY list (V-07). Added: Operating_Rules sheet (R9 evidence classes, R10 money invariants as gates, R11 no literals in the composition root); Traceability_Matrix evidence-class columns and the 60 review stories RR-P001..RR-P060; S13–S22 in Sprint_Status_Rollup; seven CI gates in Gate_Checklist; findings and lessons L-RR17..L-RR21 in RAID; log entry E028. Corrected the v015 branch count (715). Stories with built, integration-tested code that were still marked Backlog moved to In progress. NOTHING marked Done — highest evidence class reached is integration. 41 modules, 6 migrations, 331 tests, 100% stmts (4536)/branches (1363)/funcs (361); 7 gates pass. Code: claude_v016_revrescue_server_code_20260916_1807.zip</t>
  </si>
  <si>
    <t xml:space="preserve">v021</t>
  </si>
  <si>
    <t xml:space="preserve">2026-09-16 19:16</t>
  </si>
  <si>
    <t xml:space="preserve">D1–D5 (all D14-free follow-ups, approved 18:18). D1 mutation testing on the money path: StrykerJS over the compiled billing/fee/invariant/dispute/attribution modules, gated at 85% in CI — final score 99.1% (464/468); the first run (93.3%) exposed 7 real test gaps, now tested. D2 dead-letter queue: work that errors 5 times is parked with one dead letter; billing failures are dead-lettered and auto-resolved by a later success; an operator plane with its own key ring, 1-hour tokens and an allowlist lists/replays/discards dead letters and resolves fee disputes, every action audited. D3 row-level security FORCED on all 20 account-scoped tables; merchant requests and webhooks run as a tenant role, scheduler/billing/operator as a system role. D4 hash-chained audit trail with anchored retention and a merchant verify route; retention policy applied by the tick (RETENTION.md); error text redacted. D5 help 13 and FAQ corrected (WORDING AWAITS SENTHIL). New defects: V-14 test-mode dunning would have reached real customers over WhatsApp (sandbox port wired to the WhatsApp adapter, present since before v015); V-15 breaker ran on wall-clock time; V-16 redaction masked dates (caught by its own test). NOTHING marked Done. 42 modules, 7 migrations, 353 tests, 100% stmts (5040)/branches (1529)/funcs (412); 7 gates pass. Code: claude_v017_revrescue_server_code_20260916_1916.zip</t>
  </si>
  <si>
    <t xml:space="preserve">v022</t>
  </si>
  <si>
    <t xml:space="preserve">PLANNED: S14 on DEC-04; production DB roles per OPERATIONS.md; D5 wording and retention sign-off</t>
  </si>
  <si>
    <t xml:space="preserve">Planned</t>
  </si>
  <si>
    <t xml:space="preserve">CONTEXT — WHAT THIS FILE IS</t>
  </si>
  <si>
    <t xml:space="preserve">Read this sheet first.</t>
  </si>
  <si>
    <t xml:space="preserve">WHAT: The live execution tracker for RevRescue (Stripe App Marketplace, failed-payment recovery) — product #1 of the locked 12-product WIN order (Decision D5/D8, 10 Sep 2026 kickoff).</t>
  </si>
  <si>
    <t xml:space="preserve">ROLE IN LINEAGE: v007 workbook (claude_v007_revrescue_stripe_product_workbook_20260905_1950.xlsx) remains the BACKLOG SOURCE OF TRUTH for story definitions. THIS file is the tracking layer: session log, live status, traceability, gate evidence. v002 chatlog holds the locked decisions D1-D11. The independent review workbook (RevRescue_Review_V001 — Findings &amp; Sprint Backlog S13-S22) is the BACKLOG SOURCE for stories RR-P001..RR-P060.</t>
  </si>
  <si>
    <t xml:space="preserve">HOW TO USE: (1) Every working session gets a Sprint_Tracker_Log entry. (2) Story status is edited ONLY in Traceability_Matrix col J (yellow) — Sprint_Status_Rollup recalculates from it. (3) S0 tasks (no backlog stories exist for S0) live in S0_Task_Board. (4) At each sprint exit, check the exit criteria row in Sprint_Status_Rollup. (5) The D7 gate (LISTED + 10 paying + kill criteria) is tracked in Gate_Checklist.</t>
  </si>
  <si>
    <t xml:space="preserve">EDIT SURFACES (yellow fill): Traceability_Matrix Status/Evidence, S0_Task_Board Status/Notes, Sprint_Tracker_Log new rows, Gate_Checklist Status. Everything else is reference or formula.</t>
  </si>
  <si>
    <t xml:space="preserve">NOTE: This file does NOT replace the planned v008 of the v007 workbook (post-S0 re-baseline). When v008 is produced, re-sync the matrix if story IDs change.</t>
  </si>
  <si>
    <t xml:space="preserve">OPERATING RULES IN FORCE: R1 serial builds, R2 revenue gate, R3 kill criteria live, R5 gate decisions = Senthil (see v002 Operating_Rules); plus R9 evidence classes, R10 money invariants as build gates, R11 no literals in the composition root (see Operating_Rules sheet, added v020). Note: operating-rule IDs are a separate series from the RAID risk IDs R1–R9.</t>
  </si>
  <si>
    <t xml:space="preserve">OPERATING RULES — added from independent review V001 (16 Sep 2026)</t>
  </si>
  <si>
    <t xml:space="preserve">R1–R8 live in the v002 chatlog Operating_Rules sheet. R9–R11 below were adopted in v020. Rule IDs are a separate series from RAID risk IDs.</t>
  </si>
  <si>
    <t xml:space="preserve">Rule</t>
  </si>
  <si>
    <t xml:space="preserve">Statement</t>
  </si>
  <si>
    <t xml:space="preserve">Why (origin)</t>
  </si>
  <si>
    <t xml:space="preserve">How it is enforced</t>
  </si>
  <si>
    <t xml:space="preserve">In force since</t>
  </si>
  <si>
    <t xml:space="preserve">R9</t>
  </si>
  <si>
    <t xml:space="preserve">Every story records the EVIDENCE CLASS it has reached: unit | integration (real Postgres and/or real composition root over HTTP) | contract (Stripe test mode) | live | operational | external. Done requires the target class, and never less than live for anything that touches Stripe.</t>
  </si>
  <si>
    <t xml:space="preserve">Pass 6 found 12 defects in code at 100% coverage after five internal passes. Coverage proved execution, not correctness; statuses did not say what kind of proof stood behind them.</t>
  </si>
  <si>
    <t xml:space="preserve">Traceability_Matrix columns M (reached) and N (target). REVIEW_RESPONSE.md states the class per finding. No story is marked Done in v020.</t>
  </si>
  <si>
    <t xml:space="preserve">v020 (16 Sep 2026)</t>
  </si>
  <si>
    <t xml:space="preserve">R10</t>
  </si>
  <si>
    <t xml:space="preserve">Money invariants are BUILD GATES and RUNTIME CHECKS, not tests: (I1) statement lines incl. cap line sum to the total; (I2) nothing attributable is worth ≤0; (I3) fee ≤ rate × recovered and ≤ cap; (I4) an invoice is billed at most once, in one period; (I5) reversed/disputed lines are never billed; (I6) trial recoveries bill zero whenever billed.</t>
  </si>
  <si>
    <t xml:space="preserve">P-RR01 (£0 recoveries), P-RR03 (history re-billed monthly), P-RR04 (capped statement did not reconcile) — none visible to any existing test.</t>
  </si>
  <si>
    <t xml:space="preserve">src/moneyinvariants.ts refuses to issue a violating statement; test/moneygates.ts bills 400 random 6-month histories in `npm run gates` and checks convergence. Mutation-checked: 5 of 5 injected billing bugs caught.</t>
  </si>
  <si>
    <t xml:space="preserve">R11</t>
  </si>
  <si>
    <t xml:space="preserve">No literal in the composition root (src/main.ts) may stand in for persisted state or a capability: no empty collections, zeros, booleans or money fields. The root builds real stores; it does not describe them.</t>
  </si>
  <si>
    <t xml:space="preserve">P-RR01 (amountCents: 0), P-RR08 ({ muted: [] }, emailsSent: 0), P-RR10 (durability declared as true) all lived in main.ts.</t>
  </si>
  <si>
    <t xml:space="preserve">composition-root gate in `npm run gates` (test/reviewgates.ts). Negative check: adding `batch: 0` to main.ts fails CI.</t>
  </si>
  <si>
    <t xml:space="preserve">SHEET INDEX</t>
  </si>
  <si>
    <t xml:space="preserve">Sheet</t>
  </si>
  <si>
    <t xml:space="preserve">Purpose</t>
  </si>
  <si>
    <t xml:space="preserve">Edit surface?</t>
  </si>
  <si>
    <t xml:space="preserve">Version_Control</t>
  </si>
  <si>
    <t xml:space="preserve">File version lineage</t>
  </si>
  <si>
    <t xml:space="preserve">No</t>
  </si>
  <si>
    <t xml:space="preserve">Context_ReadMe</t>
  </si>
  <si>
    <t xml:space="preserve">What this file is and how to use it</t>
  </si>
  <si>
    <t xml:space="preserve">Sprint_Tracker_Log</t>
  </si>
  <si>
    <t xml:space="preserve">Session-by-session execution log (append rows)</t>
  </si>
  <si>
    <t xml:space="preserve">Yes — append</t>
  </si>
  <si>
    <t xml:space="preserve">S0_Task_Board</t>
  </si>
  <si>
    <t xml:space="preserve">S0 Discovery &amp; Design tasks (S0 has no backlog stories)</t>
  </si>
  <si>
    <t xml:space="preserve">Yes — Status/Notes</t>
  </si>
  <si>
    <t xml:space="preserve">Sprint_Status_Rollup</t>
  </si>
  <si>
    <t xml:space="preserve">Formula-driven S0-S12 progress vs exit criteria</t>
  </si>
  <si>
    <t xml:space="preserve">No — formulas</t>
  </si>
  <si>
    <t xml:space="preserve">Traceability_Matrix</t>
  </si>
  <si>
    <t xml:space="preserve">100 stories: module-&gt;epic-&gt;story-&gt;screen-&gt;NFR-&gt;verification-&gt;status</t>
  </si>
  <si>
    <t xml:space="preserve">Yes — Status/Evidence</t>
  </si>
  <si>
    <t xml:space="preserve">RAID_Carryover</t>
  </si>
  <si>
    <t xml:space="preserve">Live risks/issues carried from v007 + v002 + S0 findings</t>
  </si>
  <si>
    <t xml:space="preserve">Yes</t>
  </si>
  <si>
    <t xml:space="preserve">Gate_Checklist</t>
  </si>
  <si>
    <t xml:space="preserve">D7 completion gate + Stripe launch checklist items</t>
  </si>
  <si>
    <t xml:space="preserve">Yes — Status</t>
  </si>
  <si>
    <t xml:space="preserve">Operating_Rules</t>
  </si>
  <si>
    <t xml:space="preserve">R9–R11 adopted from independent review V001 (evidence classes, money gates, composition-root rule)</t>
  </si>
  <si>
    <t xml:space="preserve">SPRINT TRACKER LOG — one row per working session / significant event</t>
  </si>
  <si>
    <t xml:space="preserve">Append-only. Newest at bottom. Story IDs reference Traceability_Matrix; task IDs reference S0_Task_Board (T-xx) or Gate_Checklist (LC-xx).</t>
  </si>
  <si>
    <t xml:space="preserve">Entry</t>
  </si>
  <si>
    <t xml:space="preserve">Sprint</t>
  </si>
  <si>
    <t xml:space="preserve">Activity / Focus</t>
  </si>
  <si>
    <t xml:space="preserve">Items touched</t>
  </si>
  <si>
    <t xml:space="preserve">Outcome / Points moved</t>
  </si>
  <si>
    <t xml:space="preserve">Blockers</t>
  </si>
  <si>
    <t xml:space="preserve">Next action</t>
  </si>
  <si>
    <t xml:space="preserve">E001</t>
  </si>
  <si>
    <t xml:space="preserve">2026-09-10 17:52</t>
  </si>
  <si>
    <t xml:space="preserve">S0</t>
  </si>
  <si>
    <t xml:space="preserve">Tracker instruction received; source files (v002 chatlog, v004 plan, v007 workbook) reviewed; tracker + traceability structure planned</t>
  </si>
  <si>
    <t xml:space="preserve">—</t>
  </si>
  <si>
    <t xml:space="preserve">Plan approved 19:42</t>
  </si>
  <si>
    <t xml:space="preserve">None</t>
  </si>
  <si>
    <t xml:space="preserve">Build tracker (E002)</t>
  </si>
  <si>
    <t xml:space="preserve">E002</t>
  </si>
  <si>
    <t xml:space="preserve">THIS FILE built: 100-story traceability matrix mapped to spec modules/screens/NFRs; formula rollup; S0 board; gate checklist. S0 formally OPENED.</t>
  </si>
  <si>
    <t xml:space="preserve">All</t>
  </si>
  <si>
    <t xml:space="preserve">Tracker baseline v001 released</t>
  </si>
  <si>
    <t xml:space="preserve">Execute S0 tasks (E003)</t>
  </si>
  <si>
    <t xml:space="preserve">E003</t>
  </si>
  <si>
    <t xml:space="preserve">S0 task T-03 EXECUTED — Stripe App Marketplace terms verification (per N2): April 2026 Apps agreement update confirmed; provisioning transactions must use Stripe Payments (subsequent independent billing exempt); full pricing disclosure mandatory; review needs test plan + credentials; sandbox support required in manifest; pricing must match off-marketplace pricing. Sources logged in RAID_Carryover R5 and S0_Task_Board.</t>
  </si>
  <si>
    <t xml:space="preserve">T-03</t>
  </si>
  <si>
    <t xml:space="preserve">T-03 -&gt; Done. Finding: outcome-billing (% of recovered) must be fully disclosed at listing; transparency page (LC-6) is now also a REVIEW requirement, not just a trust feature.</t>
  </si>
  <si>
    <t xml:space="preserve">T-01 PRD draft; T-02 discovery interviews (Senthil to source 5 target users)</t>
  </si>
  <si>
    <t xml:space="preserve">E004</t>
  </si>
  <si>
    <t xml:space="preserve">S0 task T-01 EXECUTED — PRD drafted from v007 spec + E003 platform findings: scope (F1-F5), ICP/personas, April-2026 platform constraints as build requirements, outcome-billing pricing model (~$89 ARPU, 20% install-&gt;paid working assumptions), NFR table with verifying story IDs, SCR-1..9, gate metrics, top risks, 5 discovery questions feeding T-02.</t>
  </si>
  <si>
    <t xml:space="preserve">T-01</t>
  </si>
  <si>
    <t xml:space="preserve">T-01 -&gt; Done (draft). PRD file: claude_v001_revrescue_prd_20260910_2005.docx</t>
  </si>
  <si>
    <t xml:space="preserve">None — T-06 sign-off pending (Senthil)</t>
  </si>
  <si>
    <t xml:space="preserve">T-04 wireframes (Claude); T-02 interview sourcing (Senthil); R5 full agreement read</t>
  </si>
  <si>
    <t xml:space="preserve">E005</t>
  </si>
  <si>
    <t xml:space="preserve">R5 CLOSED — full Stripe Apps Agreement (28 Apr 2026) read at stripe.com/legal/apps. New build/ops obligations beyond E003: (1) §13 no Personal Data / health data in Stripe Apps storage -&gt; all customer &amp; dunning data lives in own backend (Postgres), Stripe Apps storage for config only; (2) §11 data-breach notice to stripe-apps-security@stripe.com within 72 hrs + incident mgmt program required; (3) §14.3 export self-classification EAR99 or 5D992 mandatory (app uses encryption); (4) §15 removing app needs 30-day notice + ongoing support for installed users; (5) §27 annual Compliance Review possible, costs reimbursable on non-compliance; (6) §32 terms can change on 30-day notice — monitor; (7) Part III Provisioning Services is PUBLIC PREVIEW and OPTIONAL: applies only if selling via provisioning; if RevRescue lists app + bills independently (v007 fee-note assumption), Part III incl. PSCo tax facilitation does NOT apply and Senthil stays merchant of record handling own taxes either way (§20.3).</t>
  </si>
  <si>
    <t xml:space="preserve">R5, LC-12, LC-13, D-P1</t>
  </si>
  <si>
    <t xml:space="preserve">RAID R5 -&gt; Closed; R8, R9 opened; gate items LC-12 (export classification), LC-13 (breach-notification runbook) added; decision D-P1 raised for Senthil</t>
  </si>
  <si>
    <t xml:space="preserve">D-P1 to Senthil with T-06</t>
  </si>
  <si>
    <t xml:space="preserve">E006</t>
  </si>
  <si>
    <t xml:space="preserve">S0 task T-04 EXECUTED — lo-fi wireframes for all 9 screens (SCR-1..9): onboarding aha = own lost-revenue number before configuration; retry queue with reasoned scheduling; dunning rail with locked compliance footer; save-offer experiments with finance guardrails; settings with role matrix + data self-serve; billing card wired to §19.4 single-pricing-source rule; analytics attribution-audit tab as transparency-page data source; help. 3 open questions annotated for T-02 interviews (leak-report credibility, WhatsApp value, fair fee %).</t>
  </si>
  <si>
    <t xml:space="preserve">T-04</t>
  </si>
  <si>
    <t xml:space="preserve">T-04 -&gt; Done (draft). File: claude_v001_revrescue_wireframes_scr1-9_20260910_2018.html — attach link to v007 Screens_Wireframes col E</t>
  </si>
  <si>
    <t xml:space="preserve">T-05 prototype test (needs T-02 users); T-06 sign-off pack ready</t>
  </si>
  <si>
    <t xml:space="preserve">E007</t>
  </si>
  <si>
    <t xml:space="preserve">2026-09-10 20:41</t>
  </si>
  <si>
    <t xml:space="preserve">S0/S1</t>
  </si>
  <si>
    <t xml:space="preserve">D13 received from Senthil: park 5-user discovery (T-02/T-05); proceed to development with 100% automation testing for all code. S0 amended (T-02/T-05 -&gt; Parked; PRD = working baseline pending T-06). S1 OPENED.</t>
  </si>
  <si>
    <t xml:space="preserve">T-02, T-05, ST-085</t>
  </si>
  <si>
    <t xml:space="preserve">S0 board updated; quality rule logged; ST-085 superseded note added</t>
  </si>
  <si>
    <t xml:space="preserve">Build S1 foundation with 100% gate (E008)</t>
  </si>
  <si>
    <t xml:space="preserve">E008</t>
  </si>
  <si>
    <t xml:space="preserve">S1</t>
  </si>
  <si>
    <t xml:space="preserve">S1 FOUNDATION BUILT under the new 100% rule — TypeScript core for ST-051 (OAuth install: single-use CSRF state, exchange, persistence, welcome landing), ST-052 (uninstall webhook: signature check, token removal, 30d deletion schedule, audit log), ST-055 (token refresh surviving platform ROTATION — rotated refresh token persisted and reused), ST-056 (install source attribution incl. unknown-kept rule). Dependency-injected platform boundaries; R8 honoured (own token store, nothing in Stripe Apps storage). VERIFIED: 26/26 tests pass; coverage 100% stmts (202/202), 100% branches (53/53), 100% funcs (20/20); gate ENFORCED in build (c8 --100 fails below).</t>
  </si>
  <si>
    <t xml:space="preserve">ST-051, ST-052, ST-055, ST-056</t>
  </si>
  <si>
    <t xml:space="preserve">4 stories -&gt; In progress (core logic + tests complete; Stripe SDK adapters + dev-store install smoke pending — S1 exit criterion). Code: claude_v001_revrescue_s1_foundation_code_20260910_2042.zip</t>
  </si>
  <si>
    <t xml:space="preserve">Stripe SDK adapters; dev-store smoke test (needs Stripe dev account — Senthil env)</t>
  </si>
  <si>
    <t xml:space="preserve">E009</t>
  </si>
  <si>
    <t xml:space="preserve">D14 received: park SDK adapters + live dev account; continue sprint and complete all platform-independent work. Scope interpretation logged: "complete" = domain core built + 100% tested; stories stay In progress (not Done) where their exit needs the parked platform surface.</t>
  </si>
  <si>
    <t xml:space="preserve">D14</t>
  </si>
  <si>
    <t xml:space="preserve">RAID D14 logged; v005 plan reset</t>
  </si>
  <si>
    <t xml:space="preserve">Build all domain engines (E010)</t>
  </si>
  <si>
    <t xml:space="preserve">E010</t>
  </si>
  <si>
    <t xml:space="preserve">S2-S8 (core)</t>
  </si>
  <si>
    <t xml:space="preserve">ALL DOMAIN ENGINES BUILT under 100% gate: F1 retry (payday-aware 1st/15th, backoff, skip-reasons, exhaustion, ST-008 pause-preserves-state), F2 dunning (validation, due-window progression, LC-7 locked compliance footer, LC-11 sandbox test mode), F3 save-offer (deterministic A/B, exclusion/frequency/discount guardrails), F4 attribution (LC-5: FIRST-event single attribution, duplicates counted+ignored, accounting export), E5 outcome fee (lines match attribution 1:1, ST-057 trial bills zero, cap flag), F5 alerts (per-type mute, ST-048 disable no-loss), ST-070+LC-4 resilience (jittered capped backoff, breaker state machine, replay dedupe with window expiry). VERIFIED: 64/64 tests; 471/471 stmts, 146/146 branches, 49/49 funcs — gate enforced in build.</t>
  </si>
  <si>
    <t xml:space="preserve">ST-001,003,004,008,011,013,014,018,021,023,024,028,031,033,034,036,041,043,044,048,057,070</t>
  </si>
  <si>
    <t xml:space="preserve">22 stories -&gt; In progress (domain core complete + fully tested; Dashboard UI-extension surfaces and platform wiring pending D14 unpark). Code zip: claude_v002_revrescue_core_engines_code_20260910_2048.zip</t>
  </si>
  <si>
    <t xml:space="preserve">D14 park blocks all sprint EXIT criteria that need the dev store / UI surface</t>
  </si>
  <si>
    <t xml:space="preserve">Senthil: unpark D13 (interviews) and/or D14 (platform) when ready; Claude: remaining pure-logic stories on next continue</t>
  </si>
  <si>
    <t xml:space="preserve">E011</t>
  </si>
  <si>
    <t xml:space="preserve">FINAL PURE-LOGIC BATCH BUILT: ST-054 owner/admin/member capability matrix with typed PermissionDenied for audit; ST-060 7-day grace with day-0/3/6 dunning cadence then read-only, instant restore on payment; ST-061 limit states ok/warn(80%)/blocked(100%) with upgrade prompts, unlimited plans; ST-063 cancellation state machine — guardrail-refused offers skip to survey, invalid transitions rejected without state corruption, every step audited; ST-075 weighted health score (usage .5 / billing .3 / support .2), clamped inputs, green/amber/red bands. VERIFIED: 86/86 tests; 639/639 stmts, 198/198 branches, 68/68 funcs — gate enforced. Platform-independent backlog scope EXHAUSTED at this point.</t>
  </si>
  <si>
    <t xml:space="preserve">ST-054, ST-060, ST-061, ST-063, ST-075</t>
  </si>
  <si>
    <t xml:space="preserve">5 stories -&gt; In progress (31 of 100 now moving). Code zip: claude_v003_revrescue_full_logic_code_20260910_2106.zip</t>
  </si>
  <si>
    <t xml:space="preserve">All remaining backlog scope blocked on D13/D14 parks except S9+ content artifacts</t>
  </si>
  <si>
    <t xml:space="preserve">Senthil choice: S9+ content next, or unpark D14 for platform wiring</t>
  </si>
  <si>
    <t xml:space="preserve">E012</t>
  </si>
  <si>
    <t xml:space="preserve">S9-S11 (content)</t>
  </si>
  <si>
    <t xml:space="preserve">LAUNCH CONTENT PACK BUILT — everything writable under both parks: two listing variants (A "See the money" / B "Stop the silent churn") each carrying the mandatory limitations disclosure; pricing FAQ with §19.4 single-source rule stated inline and fee as [X]% placeholder (D-P2); trust page mapping §9/§11/§13/§26 obligations to plain customer language incl. 72-hr breach notice and 30-day deletion; launch runbook as solo-operator playbook with L1/L2/L3 incident ladder + LC-13 breach program; status/banner/email comms templates; post-aha-only review-ask copy; 15 help articles covering setup, retries (incl. payday logic in customer language), dunning + test mode, WhatsApp, fees, attribution + dispute path, data rights, roles, troubleshooting. Entity references generic per external-naming rule.</t>
  </si>
  <si>
    <t xml:space="preserve">ST-080, ST-082, ST-084, ST-093, ST-095, ST-096, ST-098</t>
  </si>
  <si>
    <t xml:space="preserve">7 stories -&gt; In progress (38 of 100 now moving). Pack: claude_v001_revrescue_launch_content_pack_20260910_2200.zip. Note: these reach Done only when published/embedded at S9-S11 with D-P2 resolved.</t>
  </si>
  <si>
    <t xml:space="preserve">D-P2 blocks pricing surfaces; parks unchanged</t>
  </si>
  <si>
    <t xml:space="preserve">Senthil: D-P2 + T-06 + parks; workable-without-Senthil scope now fully exhausted</t>
  </si>
  <si>
    <t xml:space="preserve">E013</t>
  </si>
  <si>
    <t xml:space="preserve">Audit</t>
  </si>
  <si>
    <t xml:space="preserve">PRE-COMPLETION AUDIT executed against RevRescue using the portfolio defect-pattern register (RetainKit/OnCall/EngageOS/MeetSync/TestPulse classes). Headline: every engine was its own only reader — grep confirmed no module imported another except outcomefee-&gt;attribution and cancellation-&gt;saveoffer types; there was no application, no schema, no API version. 10 defects fixed with pinned regressions (GAP-RR1, GAP-RR2, F-RR01..F-RR07, VER-RR01); async-safe router built so a rejected handler returns 500 rather than hanging (M-F21 class); purge registry makes deletion complete by construction; reversals and disputes now excluded from billing; webhook route dedupes before dispatch closing the LC-4 claim gap. Migrations cascade from accounts with a test proving the schema covers every purge domain.</t>
  </si>
  <si>
    <t xml:space="preserve">GAP-RR1, GAP-RR2, F-RR01..07, VER-RR01</t>
  </si>
  <si>
    <t xml:space="preserve">22 modules / 119 tests at 100% (884 stmts, 275 branches, 83 funcs). Code: claude_v004_revrescue_integration_code_20260913_1132.zip. Story position deliberately UNCHANGED — this is a correctness and structure release, not new stories.</t>
  </si>
  <si>
    <t xml:space="preserve">OBS-RR1..RR5 await disposition; OBS-RR2/RR4/RR5 fixes are gated behind D14</t>
  </si>
  <si>
    <t xml:space="preserve">Action plan issued; DEC-04 (D14 unpark) is the next move</t>
  </si>
  <si>
    <t xml:space="preserve">E014</t>
  </si>
  <si>
    <t xml:space="preserve">Planning</t>
  </si>
  <si>
    <t xml:space="preserve">SENTHIL ACTION PLAN issued in the RetainKit v001 pattern (13 sheets): 26 actions across both owners in execution order, 12 decisions (5 RevRescue, 5 portfolio-wide, 2 on RevRescue's rank), the 15 audit findings with dispositions, portfolio actions, RACI, 8 live-path risks, what Claude produces per trigger, and a plain-language glossary. Supersedes claude_v001_revrescue_senthil_stepbystep_guide_20260910_2205.xlsx, whose phase walkthrough is carried into Step_By_Step_Live_Path. States plainly that RevRescue is rank 1 in the WIN order and last in actual progress (DEC-12 / PORT-01).</t>
  </si>
  <si>
    <t xml:space="preserve">All ACT/DEC rows</t>
  </si>
  <si>
    <t xml:space="preserve">claude_v001_revrescue_senthil_action_plan_20260913_1132.xlsx released</t>
  </si>
  <si>
    <t xml:space="preserve">D14 park blocks ACT-05..ACT-10</t>
  </si>
  <si>
    <t xml:space="preserve">Senthil: DEC-04 first, then DEC-03/DEC-01/DEC-02</t>
  </si>
  <si>
    <t xml:space="preserve">E015</t>
  </si>
  <si>
    <t xml:space="preserve">Verification</t>
  </si>
  <si>
    <t xml:space="preserve">VERIFICATION SWEEP vs live Stripe documentation (sibling pattern — the sweep is historically where live-blocking defects appear). VER-RR02: the version pinned at 11:32 was a bare date; Stripe versions carry a named-release suffix and same-family events stay deserialisable, so apiversion.ts now parses, validates family and rejects a bare date. VER-RR03 LIVE-BLOCKING: event id was read from a header Stripe does not send; ids and types live in the body. VER-RR04: raw body must be verified before any parsing. VER-RR05 (recorded, not codeable yet): the app manifest must grant event_read plus a permission per subscribed event, and the endpoint must be registered to listen on connected accounts — folded into ACT-08.</t>
  </si>
  <si>
    <t xml:space="preserve">VER-RR02..RR05, F-RR08</t>
  </si>
  <si>
    <t xml:space="preserve">3 fixed with pinned regressions; VER-RR05 recorded against ACT-08</t>
  </si>
  <si>
    <t xml:space="preserve">Review gates (E016)</t>
  </si>
  <si>
    <t xml:space="preserve">E016</t>
  </si>
  <si>
    <t xml:space="preserve">Review gates</t>
  </si>
  <si>
    <t xml:space="preserve">PORT-03 EXECUTED — the TestPulse reachability and published-claims gates ported into RevRescue's suite. On first run the reachability gate found FIVE modules still orphaned after this morning's fixes: alerts, dispute, dunning, outcomefee and retry were built, tested and called by nothing. This is the F-RR01 class recurring after a partial fix, found by automation rather than by reading. Closed by building recovery.ts (failure -&gt; retry schedule / dunning / exhausted alert; recovery -&gt; ledger + alert) and billing.ts (attribution -&gt; disputes and reversals -&gt; fee statement), then wiring both plus telemetry and health into the application. Published-claims gate now checks nine customer-facing promises against code evidence on every run. Three tests that asserted the wrong API version format had to be corrected — the R-K9 pattern (tests pinning the defect) recurring.</t>
  </si>
  <si>
    <t xml:space="preserve">F-RR01 (second half), PORT-03</t>
  </si>
  <si>
    <t xml:space="preserve">24 modules / 140 tests at 100% (1114 stmts, 340 branches, 98 funcs). Both gates run in CI-ready form on every test run.</t>
  </si>
  <si>
    <t xml:space="preserve">D14 remains the only blocker on further product work</t>
  </si>
  <si>
    <t xml:space="preserve">E017</t>
  </si>
  <si>
    <t xml:space="preserve">Review pass 3</t>
  </si>
  <si>
    <t xml:space="preserve">COLD REVIEW PASS 3 — line-by-line logic read of the domain modules, the pass TeleField proved still finds defects after structural work. Six findings, all fixed: F-RR09 uninstall deleted nothing (purge registry existed but only the authenticated route used it — the same partial-fix pattern as L-RR3, twice in one day); F-RR10 refresh stampede locking accounts out under concurrency; F-RR11 no dunning send ledger, so retries and mid-sequence failures re-sent customer messages; F-RR12 cross-channel opt-out published in help article 09 with no code; F-RR13 payday comparison by date not instant, delaying retries two weeks; attribution tie-break made deterministic. Published-claims gate extended from 9 to 13 checks so F-RR12's class is caught automatically in future. Note: the content/ directory now ships inside the repo because the gate reads it — removing it at packaging time silently disabled the gate, which is itself a lesson.</t>
  </si>
  <si>
    <t xml:space="preserve">F-RR09..F-RR13 + attribution determinism</t>
  </si>
  <si>
    <t xml:space="preserve">26 modules / 152 tests at 100% (1210 stmts, 360 branches, 104 funcs). Story position unchanged — correctness release, no new stories.</t>
  </si>
  <si>
    <t xml:space="preserve">None — D14 still blocks all remaining product work</t>
  </si>
  <si>
    <t xml:space="preserve">Senthil: DEC-04</t>
  </si>
  <si>
    <t xml:space="preserve">E018</t>
  </si>
  <si>
    <t xml:space="preserve">Portfolio tooling</t>
  </si>
  <si>
    <t xml:space="preserve">PORT-03 EXTENDED — the two RevRescue gates generalised into at-review-gates v1.0.0, a standalone package installable into every product repo (npm i -D, copy the example config, npx at-gates, exit 1 fails CI). Third gate added: config-drift, which checks a value appears identically everywhere it must — built specifically for the fee-percentage rule where the marketplace requires listing, app and public pricing to agree exactly, so DEC-03 becomes enforceable rather than remembered. 10 tests, 100% stmts (152)/branches (53)/funcs (8). Inputs-missing now throws GateInputMissing by design, closing lesson L-RR6 structurally.</t>
  </si>
  <si>
    <t xml:space="preserve">PORT-03</t>
  </si>
  <si>
    <t xml:space="preserve">at-review-gates v1.0.0 released; ready for the ten sibling repos</t>
  </si>
  <si>
    <t xml:space="preserve">Senthil: authorise adoption across products</t>
  </si>
  <si>
    <t xml:space="preserve">E019</t>
  </si>
  <si>
    <t xml:space="preserve">Review prep</t>
  </si>
  <si>
    <t xml:space="preserve">REVIEW_PACK.md issued for ACT-20 (external second reviewer) — the longest-lead item Senthil can start without D14, running 1-2 weeks in parallel with everything else. Pack states the honest build state up front (no story Done, nothing has touched live Stripe, adapters parked), ranks six review areas by consequence with billing correctness first, asks the six questions we most want answered including whether the gates can be defeated, and lists eight known-missing items so the reviewer does not spend time on them. Frames the central question: what class of defect survives an author reviewing their own work — given 19 defects were found internally in code at 100% coverage and two fixes were partial.</t>
  </si>
  <si>
    <t xml:space="preserve">ACT-20 prerequisite</t>
  </si>
  <si>
    <t xml:space="preserve">REVIEW_PACK.md in the code zip; ACT-20 now startable</t>
  </si>
  <si>
    <t xml:space="preserve">Needs Senthil to identify a reviewer</t>
  </si>
  <si>
    <t xml:space="preserve">Senthil: send the pack + code to a developer who did not build it</t>
  </si>
  <si>
    <t xml:space="preserve">E020</t>
  </si>
  <si>
    <t xml:space="preserve">Dogfood + fixes</t>
  </si>
  <si>
    <t xml:space="preserve">at-review-gates run against RevRescue with a FRESH config rather than the in-repo copy — two findings. ST-063 cancellation was orphaned and had been hidden by an entrypoint whitelist I wrote; now reachable via POST /api/cancellation/start with save-offer guardrails and role gating. OBS-RR4: the claims gate failed the encrypted-tokens promise, and the plan itself was wrong — ACT-07 had token encryption parked behind D14 although it needs nothing from Stripe. Built src/vault.ts (AES-256-GCM, fresh IV per seal, auth-tag tamper detection, key-id rotation so old records open under old keys) and EncryptedTokenStore, proven by a test that inspects what actually reaches storage. All three gates now PASS. HANDOVER.md written for cold resumption or clean closure.</t>
  </si>
  <si>
    <t xml:space="preserve">OBS-RR4, ST-063, PORT-03</t>
  </si>
  <si>
    <t xml:space="preserve">28 modules / 160 tests at 100% (1327 stmts, 383 branches, 117 funcs). OBS-RR4 CLOSED — no longer waiting on D14.</t>
  </si>
  <si>
    <t xml:space="preserve">DEC-04 remains the only route to any live evidence</t>
  </si>
  <si>
    <t xml:space="preserve">E021</t>
  </si>
  <si>
    <t xml:space="preserve">Park audit</t>
  </si>
  <si>
    <t xml:space="preserve">Re-tested all parked work against its stated reason (L-RR8). Split is now clean: Senthil parked Stripe SDK adapters and the live dev account by name in D14 — those stay parked and will not be touched. Token encryption and signed sessions were parked by ME through inherited assumption and needed nothing from Stripe; both are now built. Postgres adapters are partially mis-parked — the adapter code is ours, but proving it needs a running server, which is ACT-13 on Senthil's side. OBS-RR5 closed with a real attack test: a member rewriting their own role claim in the token is rejected by the signature check. Whitelist tightened to a single entrypoint after L-RR7.</t>
  </si>
  <si>
    <t xml:space="preserve">OBS-RR5, park audit</t>
  </si>
  <si>
    <t xml:space="preserve">30 modules / 170 tests at 100% (1416 stmts, 414 branches, 128 funcs). OBS-RR2 remains open but reclassified: code buildable, proof needs a server.</t>
  </si>
  <si>
    <t xml:space="preserve">DEC-04 — now genuinely the only remaining blocker, covering only what Senthil actually parked</t>
  </si>
  <si>
    <t xml:space="preserve">E022</t>
  </si>
  <si>
    <t xml:space="preserve">Persistence</t>
  </si>
  <si>
    <t xml:space="preserve">Postgres adapter layer built and PROVEN against real embedded Postgres (PGlite), closing OBS-RR2 for everything except a production server run (ACT-13, Senthil). Using a real engine rather than a fake immediately produced two defects that a mock would have hidden: multi-statement DDL rejected by the prepared-statement path (every migration would have failed on first contact with a real server — precisely risk RSK-04), and BYTEA columns rejecting the sealed JSON envelope. Also added src/main.ts as the true composition root, which let the reachability gate's entrypoint list shrink to a single honest entry; startup now fails loudly rather than booting half-wired, and the parked Stripe adapters throw with their reason instead of being stubbed.</t>
  </si>
  <si>
    <t xml:space="preserve">OBS-RR2, RSK-04, F-RR14 (DDL), F-RR15 (column type)</t>
  </si>
  <si>
    <t xml:space="preserve">33 modules / 193 tests at 100% (1683 stmts, 463 branches, 152 funcs). Cascade deletes, tenant isolation and FK enforcement proven by execution.</t>
  </si>
  <si>
    <t xml:space="preserve">DEC-04 — the Stripe adapters are now the ONLY parked item</t>
  </si>
  <si>
    <t xml:space="preserve">E023</t>
  </si>
  <si>
    <t xml:space="preserve">S9-S10 scope</t>
  </si>
  <si>
    <t xml:space="preserve">ACT-09 re-tested against its park reason (L-RR8) and found mis-parked: status pages, help search, SLA clocks, demo mode and drills need nothing from Stripe. Built ST-090 (restore drill that fails on any per-domain shortfall and refuses incomplete bundles, round-tripped through real Postgres), ST-080 (ranked help search, public route), ST-081 (business-hours SLA clock). The reachability gate flagged all three as orphaned on creation, before wiring — the gate is now routinely catching things at the moment they are written rather than sessions later.</t>
  </si>
  <si>
    <t xml:space="preserve">ST-080, ST-081, ST-090</t>
  </si>
  <si>
    <t xml:space="preserve">35 modules / 221 tests at 100% (1854 stmts, 530 branches, 160 funcs). Story position: these are code-complete but not Done — no live evidence.</t>
  </si>
  <si>
    <t xml:space="preserve">Remaining ACT-09 items, then DEC-04 for the Stripe adapters</t>
  </si>
  <si>
    <t xml:space="preserve">E024</t>
  </si>
  <si>
    <t xml:space="preserve">S9-S12 scope</t>
  </si>
  <si>
    <t xml:space="preserve">Remaining ACT-09 built and wired: status board (component state derived from incidents, never hand-set), demo mode (refuses non-demo accounts by prefix guard), load harness (injected clock — deterministic, no coverage-instrumentation flake), blue-green cutover gate (promote/hold/rollback as code), and the CI workflow that runs type check + 100% tests + review gates as three independent failing steps. ACT-09 CLOSED. Every item the park audit reclaimed from D14 is now built; the only outstanding work is the Stripe SDK adapters, which Senthil parked by name.</t>
  </si>
  <si>
    <t xml:space="preserve">ST-083, ST-084, ST-085, ST-088, ST-092</t>
  </si>
  <si>
    <t xml:space="preserve">39 modules / 245 tests at 100% (2108 stmts, 606 branches, 175 funcs), 15 routes. Code-complete for everything not requiring live Stripe; still ZERO stories Done — no live evidence exists.</t>
  </si>
  <si>
    <t xml:space="preserve">DEC-04 is the sole remaining blocker</t>
  </si>
  <si>
    <t xml:space="preserve">E025</t>
  </si>
  <si>
    <t xml:space="preserve">Review pass 4</t>
  </si>
  <si>
    <t xml:space="preserve">Adversarial pass over the day's own output. Four defects found, two of them serious: the dedupe-before-processing bug (F-RR16) would have silently discarded any webhook whose handler failed — including uninstalls, which would then never purge — and the entitlement gate (F-RR17) put the right to erasure behind payment. F-RR18 (two domains, one table) inflated every data export and made deletion look partial. F-RR19 is the most instructive: the restore drill built specifically to prevent a sibling's silent-data-loss failure contained that same failure, and an earlier test asserted the broken behaviour as correct rather than failing on it.</t>
  </si>
  <si>
    <t xml:space="preserve">F-RR16..F-RR19</t>
  </si>
  <si>
    <t xml:space="preserve">42 modules / 252 tests at 100% (2186 stmts, 626 branches, 182 funcs); migration 004 added; review gates pass</t>
  </si>
  <si>
    <t xml:space="preserve">DEC-04</t>
  </si>
  <si>
    <t xml:space="preserve">E026</t>
  </si>
  <si>
    <t xml:space="preserve">Review pass 5</t>
  </si>
  <si>
    <t xml:space="preserve">Pass 5 examined behaviour BETWEEN modules and found GAP-RR3: no component ever executed scheduled work. Retries were scheduled into an undrained interface and dunning fired only its first step, so the product could never actually recover a payment on a delayed retry or send a day-2 reminder. Fixed with a durable work queue (migration 005), an idempotent scheduler with crash-safe claims, Postgres-proven claim atomicity, and a tick exposed from the composition root. Also found a limitation in our own reachability gate: it was satisfied by a TYPE-ONLY import of the scheduler, so the module appeared wired when nothing constructed it.</t>
  </si>
  <si>
    <t xml:space="preserve">GAP-RR3, L-RR13</t>
  </si>
  <si>
    <t xml:space="preserve">45 modules / 267 tests at 100% (2382 stmts, 655 branches, 194 funcs). The product now has a core loop that runs.</t>
  </si>
  <si>
    <t xml:space="preserve">E027</t>
  </si>
  <si>
    <t xml:space="preserve">Cross-product patterns</t>
  </si>
  <si>
    <t xml:space="preserve">Tested RevRescue against the three patterns an independent external reviewer found in a sibling product. Two applied and one was severe: no process bound a port (GAP-RR4) and two ports silently substituted fakes instead of failing at configuration time (F-RR20). Fixing the server surfaced a third defect of our own — the Router leaked internal error text to callers (F-RR21), asserted as correct by an existing test. The cross-product transfer worked: findings from a review of a DIFFERENT product, by a DIFFERENT reviewer, located three real defects here within minutes.</t>
  </si>
  <si>
    <t xml:space="preserve">GAP-RR4, F-RR20, F-RR21</t>
  </si>
  <si>
    <t xml:space="preserve">48 modules / 286 tests at 100% (2583 stmts, 716 branches, 203 funcs). npm start exists; the app serves real HTTP.</t>
  </si>
  <si>
    <t xml:space="preserve">DEC-04; and RevRescue has never had an independent external review of its own</t>
  </si>
  <si>
    <t xml:space="preserve">E028</t>
  </si>
  <si>
    <t xml:space="preserve">S13 (+S15/S16/S20/S22 D14-free)</t>
  </si>
  <si>
    <t xml:space="preserve">Independent review V001 received 13:53 and verified finding by finding against v015 before any change: all 12 real (P-RR01..P-RR12). Senthil approved scope A+B+C (all D14-free fixes). Verification and build found 12 more (V-01..V-12): dunning continued after payment; a £0 row would permanently beat the real payment; eight orphaned tables not six; non-atomic dunning pickup; event time read from a field Stripe never sends; delete-my-data left customer emails; CI claims gate ran on an empty list; one Slack channel for all tenants; no error sink; no demo sink; denied actions never recorded; an unused circuit breaker hidden by a type import. Two of our own defects were caught before release by the new gates: a double credit (money gate) and an over-reporting billing run (HTTP acceptance suite).</t>
  </si>
  <si>
    <t xml:space="preserve">P-RR01..P-RR12; V-01..V-12; RR-P001..008, 011, 013, 014, 016..019, 025, 026, 040(p), 043, 045(p), 054(p)..058; ST-007, 066, 067, 069, 081, 083, 085, 088, 090, 092 (drift corrected)</t>
  </si>
  <si>
    <t xml:space="preserve">All 12 P-RR closed at INTEGRATION evidence; none Done (R9). Still open: P-RR05 Stripe test-mode replay test; P-RR02 payload validation against real Stripe and the charge-&gt;invoice adapter; P-RR12 SSO/SCIM and a shared rate limiter; P-RR06 plan values and P-RR08 grace trigger await pricing/DEC-02. 41 modules, 6 migrations, 331 tests at 100% (4536 stmts, 1363 branches, 361 funcs); 7 gates pass; mutation-checked money gate. v015 branch count corrected 716-&gt;715. Code: claude_v016_revrescue_server_code_20260916_1807.zip</t>
  </si>
  <si>
    <t xml:space="preserve">DEC-04 (total blocker); pricing model (decision 2) before RR-P031/049</t>
  </si>
  <si>
    <t xml:space="preserve">Senthil: take DEC-04 and decisions 2–4. Then S14: Stripe adapters with idempotency keys, replay contract test, manifest generated from HANDLED_EVENTS.</t>
  </si>
  <si>
    <t xml:space="preserve">E029</t>
  </si>
  <si>
    <t xml:space="preserve">S15/S19/S20/S22 (D14-free)</t>
  </si>
  <si>
    <t xml:space="preserve">Senthil approved D1–D5 at 18:18. Built mutation testing, a dead-letter queue with an operator plane, row-level security and a tamper-evident audit trail with retention, and corrected two content passages. The first mutation run scored 93.3% and its survivors named seven real test gaps; after fixing them the score is 99.1% (464/468). The acceptance suite found V-14: dunning test mode had been wired to the live WhatsApp adapter since before v015, so test-mode messages would have reached real customers. It also found the breaker running on wall-clock time (V-15). A redaction bug of our own (V-16) was caught by its test.</t>
  </si>
  <si>
    <t xml:space="preserve">RR-P021, RR-P040, RR-P046, RR-P054; V-13 (content), V-14, V-15, V-16; ST-018/066/067/069 evidence</t>
  </si>
  <si>
    <t xml:space="preserve">Four stories advanced to integration/unit evidence; none Done. 42 modules, 7 migrations, 353 tests at 100% (5040 stmts, 1529 branches, 412 funcs); 7 gates pass; mutation 99.1% (464/468). Code: claude_v017_revrescue_server_code_20260916_1916.zip</t>
  </si>
  <si>
    <t xml:space="preserve">DEC-04; D5 wording approval; retention periods; operator allowlist; production DB roles</t>
  </si>
  <si>
    <t xml:space="preserve">Senthil: approve D5 wording and RETENTION.md periods, name operators, take DEC-04. Then S14.</t>
  </si>
  <si>
    <t xml:space="preserve">S0 TASK BOARD — Discovery &amp; Design (2 wks) — exit: PRD signed off; prototype tested with 5 target users</t>
  </si>
  <si>
    <t xml:space="preserve">S0 has zero backlog stories in v007 by design; these tasks operationalise its exit criteria + N2. Edit Status (yellow) + Notes.</t>
  </si>
  <si>
    <t xml:space="preserve">ID</t>
  </si>
  <si>
    <t xml:space="preserve">Task</t>
  </si>
  <si>
    <t xml:space="preserve">Owner</t>
  </si>
  <si>
    <t xml:space="preserve">Due (indicative)</t>
  </si>
  <si>
    <t xml:space="preserve">Notes / Evidence</t>
  </si>
  <si>
    <t xml:space="preserve">Draft RevRescue PRD from v007 Product_Spec (5 modules, personas, NFRs) incl. outcome-billing pricing spec</t>
  </si>
  <si>
    <t xml:space="preserve">Claude</t>
  </si>
  <si>
    <t xml:space="preserve">2026-09-14</t>
  </si>
  <si>
    <t xml:space="preserve">Done</t>
  </si>
  <si>
    <t xml:space="preserve">DONE 10 Sep 20:05 — claude_v001_revrescue_prd_20260910_2005.docx (draft; baselines on T-06 sign-off). See E004.</t>
  </si>
  <si>
    <t xml:space="preserve">T-02</t>
  </si>
  <si>
    <t xml:space="preserve">Discovery interviews: 5 target users (SaaS $10k-500k MRR on Stripe Billing, no RevOps)</t>
  </si>
  <si>
    <t xml:space="preserve">Senthil (sourcing) + Claude (script/synthesis)</t>
  </si>
  <si>
    <t xml:space="preserve">2026-09-22</t>
  </si>
  <si>
    <t xml:space="preserve">Parked</t>
  </si>
  <si>
    <t xml:space="preserve">PARKED per D13 (Senthil 20:41) — resume post-launch or when user access available; discovery questions preserved in PRD §11 + wireframe annotations</t>
  </si>
  <si>
    <t xml:space="preserve">Verify current Stripe App Marketplace terms, review requirements, payments obligations</t>
  </si>
  <si>
    <t xml:space="preserve">2026-09-10</t>
  </si>
  <si>
    <t xml:space="preserve">DONE 10 Sep 19:42 — April 2026 agreement update; provisioning sales via Stripe Payments (initial txn only); full pricing disclosure incl. usage rates; test plan + credentials for review; sandbox support in manifest; transparent pricing aligned off-marketplace. See E003 + RAID R5.</t>
  </si>
  <si>
    <t xml:space="preserve">Wireframes for SCR-1..9 (attach links in v007 Screens_Wireframes col E)</t>
  </si>
  <si>
    <t xml:space="preserve">Claude (draft) / Senthil (review)</t>
  </si>
  <si>
    <t xml:space="preserve">2026-09-18</t>
  </si>
  <si>
    <t xml:space="preserve">DONE 10 Sep 20:18 — claude_v001_revrescue_wireframes_scr1-9_20260910_2018.html (draft for T-05). See E006.</t>
  </si>
  <si>
    <t xml:space="preserve">T-05</t>
  </si>
  <si>
    <t xml:space="preserve">Prototype tested with 5 target users; findings logged</t>
  </si>
  <si>
    <t xml:space="preserve">Both</t>
  </si>
  <si>
    <t xml:space="preserve">2026-09-24</t>
  </si>
  <si>
    <t xml:space="preserve">T-06</t>
  </si>
  <si>
    <t xml:space="preserve">PRD sign-off by Senthil</t>
  </si>
  <si>
    <t xml:space="preserve">Senthil</t>
  </si>
  <si>
    <t xml:space="preserve">To do</t>
  </si>
  <si>
    <t xml:space="preserve">S0 close condition (R5)</t>
  </si>
  <si>
    <t xml:space="preserve">T-07</t>
  </si>
  <si>
    <t xml:space="preserve">Re-baseline backlog if discovery changes scope -&gt; produce v008 of v007 workbook</t>
  </si>
  <si>
    <t xml:space="preserve">Planned in v007 Version_Control</t>
  </si>
  <si>
    <t xml:space="preserve">T-08</t>
  </si>
  <si>
    <t xml:space="preserve">(R6 parallel) DocMerge Pro CASA Tier 2 paperwork research kicked off</t>
  </si>
  <si>
    <t xml:space="preserve">during S1</t>
  </si>
  <si>
    <t xml:space="preserve">N3 — runs on external clock</t>
  </si>
  <si>
    <t xml:space="preserve">TRACEABILITY MATRIX — spec module -&gt; epic -&gt; story -&gt; sprint -&gt; screen -&gt; NFR -&gt; verification -&gt; status</t>
  </si>
  <si>
    <t xml:space="preserve">One row per v007 Full_Backlog story (100). EDIT ONLY: Status (col J, yellow; dropdown) and Evidence (col L, yellow). Rollup recalculates automatically. Story text abridged where long — v007 remains authoritative wording. v020: rows 104-163 are the review stories RR-P001..RR-P060 (unestimated); columns M/N record evidence class per rule R9.</t>
  </si>
  <si>
    <t xml:space="preserve">Story ID</t>
  </si>
  <si>
    <t xml:space="preserve">Epic</t>
  </si>
  <si>
    <t xml:space="preserve">Spec module / area</t>
  </si>
  <si>
    <t xml:space="preserve">Story</t>
  </si>
  <si>
    <t xml:space="preserve">Points</t>
  </si>
  <si>
    <t xml:space="preserve">Priority</t>
  </si>
  <si>
    <t xml:space="preserve">Screen ref</t>
  </si>
  <si>
    <t xml:space="preserve">NFR applicable</t>
  </si>
  <si>
    <t xml:space="preserve">Verification method</t>
  </si>
  <si>
    <t xml:space="preserve">Evidence / link</t>
  </si>
  <si>
    <t xml:space="preserve">Evidence class reached (R9)</t>
  </si>
  <si>
    <t xml:space="preserve">Target evidence class</t>
  </si>
  <si>
    <t xml:space="preserve">ST-001</t>
  </si>
  <si>
    <t xml:space="preserve">F1</t>
  </si>
  <si>
    <t xml:space="preserve">Smart retry scheduler</t>
  </si>
  <si>
    <t xml:space="preserve">As a Founder, I can set up Smart retry scheduler with sensible defaults in one screen</t>
  </si>
  <si>
    <t xml:space="preserve">P0</t>
  </si>
  <si>
    <t xml:space="preserve">S2</t>
  </si>
  <si>
    <t xml:space="preserve">SCR-3 Retry workspace</t>
  </si>
  <si>
    <t xml:space="preserve">p95 &lt;500ms API / &lt;2s UI</t>
  </si>
  <si>
    <t xml:space="preserve">In progress</t>
  </si>
  <si>
    <t xml:space="preserve">E2E test + demo</t>
  </si>
  <si>
    <t xml:space="preserve">Core engine + 100% tests in engines zip 20260910_2048 (E010); UI/platform wiring pending D14 | v016: exercised end to end through the composition root on real Postgres (claude_v016_revrescue_server_code_20260916_1807.zip); still no live Stripe.</t>
  </si>
  <si>
    <t xml:space="preserve">integration</t>
  </si>
  <si>
    <t xml:space="preserve">live</t>
  </si>
  <si>
    <t xml:space="preserve">ST-002</t>
  </si>
  <si>
    <t xml:space="preserve">As a Founder, the Smart retry scheduler happy path completes without documentation</t>
  </si>
  <si>
    <t xml:space="preserve">Backlog</t>
  </si>
  <si>
    <t xml:space="preserve">none</t>
  </si>
  <si>
    <t xml:space="preserve">ST-003</t>
  </si>
  <si>
    <t xml:space="preserve">As a Finance ops, I can customise Smart retry scheduler rules/conditions for my workflow</t>
  </si>
  <si>
    <t xml:space="preserve">P1</t>
  </si>
  <si>
    <t xml:space="preserve">Integration test + manual QA</t>
  </si>
  <si>
    <t xml:space="preserve">ST-004</t>
  </si>
  <si>
    <t xml:space="preserve">As a user, Smart retry scheduler shows clear errors and retry paths on platform API failures</t>
  </si>
  <si>
    <t xml:space="preserve">ST-005</t>
  </si>
  <si>
    <t xml:space="preserve">As a Growth lead, Smart retry scheduler works on the Stripe Apps UI extension in Dashboard surface end-to-end</t>
  </si>
  <si>
    <t xml:space="preserve">S3</t>
  </si>
  <si>
    <t xml:space="preserve">ST-006</t>
  </si>
  <si>
    <t xml:space="preserve">As a Finance ops, I can see Smart retry scheduler performance metrics and trends</t>
  </si>
  <si>
    <t xml:space="preserve">ST-007</t>
  </si>
  <si>
    <t xml:space="preserve">As a user, Smart retry scheduler respects role permissions and audit logging</t>
  </si>
  <si>
    <t xml:space="preserve">v016 (20260916_1807): Role checks on every route; denied actions recorded to the audit trail (V-11); retry decisions audited — v016 main.test. UI pending S16.</t>
  </si>
  <si>
    <t xml:space="preserve">ST-008</t>
  </si>
  <si>
    <t xml:space="preserve">As a Founder, I can pause/disable Smart retry scheduler without data loss</t>
  </si>
  <si>
    <t xml:space="preserve">P2</t>
  </si>
  <si>
    <t xml:space="preserve">Manual QA</t>
  </si>
  <si>
    <t xml:space="preserve">ST-009</t>
  </si>
  <si>
    <t xml:space="preserve">As a Finance ops, I can import/migrate existing data into Smart retry scheduler (CSV + competitor importer)</t>
  </si>
  <si>
    <t xml:space="preserve">ST-010</t>
  </si>
  <si>
    <t xml:space="preserve">As a user, I get notifications (in-app + email) for key Smart retry scheduler events with per-type mute</t>
  </si>
  <si>
    <t xml:space="preserve">ST-011</t>
  </si>
  <si>
    <t xml:space="preserve">F2</t>
  </si>
  <si>
    <t xml:space="preserve">Dunning sequences (email/WA)</t>
  </si>
  <si>
    <t xml:space="preserve">As a Founder, I can set up Dunning sequences (email/WA) with sensible defaults in one screen</t>
  </si>
  <si>
    <t xml:space="preserve">SCR-4 Dunning builder</t>
  </si>
  <si>
    <t xml:space="preserve">ST-012</t>
  </si>
  <si>
    <t xml:space="preserve">As a Founder, the Dunning sequences (email/WA) happy path completes without documentation</t>
  </si>
  <si>
    <t xml:space="preserve">ST-013</t>
  </si>
  <si>
    <t xml:space="preserve">As a Finance ops, I can customise Dunning sequences (email/WA) rules/conditions for my workflow</t>
  </si>
  <si>
    <t xml:space="preserve">ST-014</t>
  </si>
  <si>
    <t xml:space="preserve">As a user, Dunning sequences (email/WA) shows clear errors and retry paths on platform API failures</t>
  </si>
  <si>
    <t xml:space="preserve">ST-015</t>
  </si>
  <si>
    <t xml:space="preserve">As a Growth lead, Dunning sequences (email/WA) works on the Stripe Apps UI extension in Dashboard surface end-to-end</t>
  </si>
  <si>
    <t xml:space="preserve">S4</t>
  </si>
  <si>
    <t xml:space="preserve">ST-016</t>
  </si>
  <si>
    <t xml:space="preserve">As a Finance ops, I can see Dunning sequences (email/WA) performance metrics and trends</t>
  </si>
  <si>
    <t xml:space="preserve">ST-017</t>
  </si>
  <si>
    <t xml:space="preserve">As a user, Dunning sequences (email/WA) respects role permissions and audit logging</t>
  </si>
  <si>
    <t xml:space="preserve">ST-018</t>
  </si>
  <si>
    <t xml:space="preserve">As a Founder, I can pause/disable Dunning sequences (email/WA) without data loss</t>
  </si>
  <si>
    <t xml:space="preserve">Core engine + 100% tests in engines zip 20260910_2048 (E010); UI/platform wiring pending D14 | v016: exercised end to end through the composition root on real Postgres (claude_v016_revrescue_server_code_20260916_1807.zip); still no live Stripe. | v017: V-14 fixed — test mode had been wired to the live WhatsApp adapter; now a separate sandbox sender, proven by test.</t>
  </si>
  <si>
    <t xml:space="preserve">ST-019</t>
  </si>
  <si>
    <t xml:space="preserve">As a Finance ops, I can import/migrate existing data into Dunning sequences (email/WA) (CSV + competitor importer)</t>
  </si>
  <si>
    <t xml:space="preserve">ST-020</t>
  </si>
  <si>
    <t xml:space="preserve">As a user, I get notifications (in-app + email) for key Dunning sequences (email/WA) events with per-type mute</t>
  </si>
  <si>
    <t xml:space="preserve">ST-021</t>
  </si>
  <si>
    <t xml:space="preserve">F3</t>
  </si>
  <si>
    <t xml:space="preserve">Save-offer engine</t>
  </si>
  <si>
    <t xml:space="preserve">As a Founder, I can set up Save-offer engine with sensible defaults in one screen</t>
  </si>
  <si>
    <t xml:space="preserve">S5</t>
  </si>
  <si>
    <t xml:space="preserve">SCR-5 Save-offer view</t>
  </si>
  <si>
    <t xml:space="preserve">ST-022</t>
  </si>
  <si>
    <t xml:space="preserve">As a Founder, the Save-offer engine happy path completes without documentation</t>
  </si>
  <si>
    <t xml:space="preserve">ST-023</t>
  </si>
  <si>
    <t xml:space="preserve">As a Finance ops, I can customise Save-offer engine rules/conditions for my workflow</t>
  </si>
  <si>
    <t xml:space="preserve">ST-024</t>
  </si>
  <si>
    <t xml:space="preserve">As a user, Save-offer engine shows clear errors and retry paths on platform API failures</t>
  </si>
  <si>
    <t xml:space="preserve">ST-025</t>
  </si>
  <si>
    <t xml:space="preserve">As a Growth lead, Save-offer engine works on the Stripe Apps UI extension in Dashboard surface end-to-end</t>
  </si>
  <si>
    <t xml:space="preserve">ST-026</t>
  </si>
  <si>
    <t xml:space="preserve">As a Finance ops, I can see Save-offer engine performance metrics and trends</t>
  </si>
  <si>
    <t xml:space="preserve">ST-027</t>
  </si>
  <si>
    <t xml:space="preserve">As a user, Save-offer engine respects role permissions and audit logging</t>
  </si>
  <si>
    <t xml:space="preserve">ST-028</t>
  </si>
  <si>
    <t xml:space="preserve">As a Founder, I can pause/disable Save-offer engine without data loss</t>
  </si>
  <si>
    <t xml:space="preserve">ST-029</t>
  </si>
  <si>
    <t xml:space="preserve">As a Finance ops, I can import/migrate existing data into Save-offer engine (CSV + competitor importer)</t>
  </si>
  <si>
    <t xml:space="preserve">ST-030</t>
  </si>
  <si>
    <t xml:space="preserve">As a user, I get notifications (in-app + email) for key Save-offer engine events with per-type mute</t>
  </si>
  <si>
    <t xml:space="preserve">ST-031</t>
  </si>
  <si>
    <t xml:space="preserve">F4</t>
  </si>
  <si>
    <t xml:space="preserve">Recovery analytics</t>
  </si>
  <si>
    <t xml:space="preserve">As a Founder, I can set up Recovery analytics with sensible defaults in one screen</t>
  </si>
  <si>
    <t xml:space="preserve">S6</t>
  </si>
  <si>
    <t xml:space="preserve">SCR-8 Analytics</t>
  </si>
  <si>
    <t xml:space="preserve">ST-032</t>
  </si>
  <si>
    <t xml:space="preserve">As a Founder, the Recovery analytics happy path completes without documentation</t>
  </si>
  <si>
    <t xml:space="preserve">ST-033</t>
  </si>
  <si>
    <t xml:space="preserve">As a Finance ops, I can customise Recovery analytics rules/conditions for my workflow</t>
  </si>
  <si>
    <t xml:space="preserve">ST-034</t>
  </si>
  <si>
    <t xml:space="preserve">As a user, Recovery analytics shows clear errors and retry paths on platform API failures</t>
  </si>
  <si>
    <t xml:space="preserve">ST-035</t>
  </si>
  <si>
    <t xml:space="preserve">As a Growth lead, Recovery analytics works on the Stripe Apps UI extension in Dashboard surface end-to-end</t>
  </si>
  <si>
    <t xml:space="preserve">ST-036</t>
  </si>
  <si>
    <t xml:space="preserve">As a Finance ops, I can see Recovery analytics performance metrics and trends</t>
  </si>
  <si>
    <t xml:space="preserve">ST-037</t>
  </si>
  <si>
    <t xml:space="preserve">As a user, Recovery analytics respects role permissions and audit logging</t>
  </si>
  <si>
    <t xml:space="preserve">ST-038</t>
  </si>
  <si>
    <t xml:space="preserve">As a Founder, I can pause/disable Recovery analytics without data loss</t>
  </si>
  <si>
    <t xml:space="preserve">ST-039</t>
  </si>
  <si>
    <t xml:space="preserve">As a Finance ops, I can import/migrate existing data into Recovery analytics (CSV + competitor importer)</t>
  </si>
  <si>
    <t xml:space="preserve">ST-040</t>
  </si>
  <si>
    <t xml:space="preserve">As a user, I get notifications (in-app + email) for key Recovery analytics events with per-type mute</t>
  </si>
  <si>
    <t xml:space="preserve">ST-041</t>
  </si>
  <si>
    <t xml:space="preserve">F5</t>
  </si>
  <si>
    <t xml:space="preserve">Slack alerts</t>
  </si>
  <si>
    <t xml:space="preserve">As a Founder, I can set up Slack alerts with sensible defaults in one screen</t>
  </si>
  <si>
    <t xml:space="preserve">S8</t>
  </si>
  <si>
    <t xml:space="preserve">SCR-2 Dashboard / SCR-6 Settings</t>
  </si>
  <si>
    <t xml:space="preserve">Rate-limit safe (backoff+queue)</t>
  </si>
  <si>
    <t xml:space="preserve">ST-042</t>
  </si>
  <si>
    <t xml:space="preserve">As a Founder, the Slack alerts happy path completes without documentation</t>
  </si>
  <si>
    <t xml:space="preserve">ST-043</t>
  </si>
  <si>
    <t xml:space="preserve">As a Finance ops, I can customise Slack alerts rules/conditions for my workflow</t>
  </si>
  <si>
    <t xml:space="preserve">ST-044</t>
  </si>
  <si>
    <t xml:space="preserve">As a user, Slack alerts shows clear errors and retry paths on platform API failures</t>
  </si>
  <si>
    <t xml:space="preserve">ST-045</t>
  </si>
  <si>
    <t xml:space="preserve">As a Growth lead, Slack alerts works on the Stripe Apps UI extension in Dashboard surface end-to-end</t>
  </si>
  <si>
    <t xml:space="preserve">ST-046</t>
  </si>
  <si>
    <t xml:space="preserve">As a Finance ops, I can see Slack alerts performance metrics and trends</t>
  </si>
  <si>
    <t xml:space="preserve">ST-047</t>
  </si>
  <si>
    <t xml:space="preserve">As a user, Slack alerts respects role permissions and audit logging</t>
  </si>
  <si>
    <t xml:space="preserve">ST-048</t>
  </si>
  <si>
    <t xml:space="preserve">As a Founder, I can pause/disable Slack alerts without data loss</t>
  </si>
  <si>
    <t xml:space="preserve">ST-049</t>
  </si>
  <si>
    <t xml:space="preserve">As a Finance ops, I can import/migrate existing data into Slack alerts (CSV + competitor importer)</t>
  </si>
  <si>
    <t xml:space="preserve">ST-050</t>
  </si>
  <si>
    <t xml:space="preserve">As a user, I get notifications (in-app + email) for key Slack alerts events with per-type mute</t>
  </si>
  <si>
    <t xml:space="preserve">ST-051</t>
  </si>
  <si>
    <t xml:space="preserve">E1</t>
  </si>
  <si>
    <t xml:space="preserve">Platform foundation (install/auth)</t>
  </si>
  <si>
    <t xml:space="preserve">Marketplace OAuth install completes and lands on welcome state in &lt;2 min</t>
  </si>
  <si>
    <t xml:space="preserve">SCR-1 Onboarding</t>
  </si>
  <si>
    <t xml:space="preserve">S1 foundation zip 20260910_2042 — core logic + tests, 100% cov (E008); SDK adapters pending | v016: exercised end to end through the composition root on real Postgres (claude_v016_revrescue_server_code_20260916_1807.zip); still no live Stripe.</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</si>
  <si>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</si>
  <si>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</si>
  <si>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</si>
  <si>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</si>
  <si>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</si>
  <si>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</si>
  <si>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Core engine + 100% tests in full-logic zip 20260910_2106 (E011); UI/platform wiring pending D14 | v016: exercised end to end through the composition root on real Postgres (claude_v016_revrescue_server_code_20260916_1807.zip); still no live Stripe.</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</si>
  <si>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</si>
  <si>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</si>
  <si>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</si>
  <si>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</si>
  <si>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</si>
  <si>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</si>
  <si>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Billing &amp; plans</t>
  </si>
  <si>
    <t xml:space="preserve">14-day trial without card; banner shows days remaining</t>
  </si>
  <si>
    <t xml:space="preserve">SCR-7 Billing</t>
  </si>
  <si>
    <t xml:space="preserve">99.5% monthly uptime</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</si>
  <si>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</si>
  <si>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</si>
  <si>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</si>
  <si>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</si>
  <si>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</si>
  <si>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</si>
  <si>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</si>
  <si>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</si>
  <si>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</si>
  <si>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</si>
  <si>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</si>
  <si>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</si>
  <si>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</si>
  <si>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</si>
  <si>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</si>
  <si>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Security &amp; compliance</t>
  </si>
  <si>
    <t xml:space="preserve">Scopes requested map 1:1 to shipped features (least privilege doc)</t>
  </si>
  <si>
    <t xml:space="preserve">SCR-6 Settings / LC-1..7</t>
  </si>
  <si>
    <t xml:space="preserve">SOC2-track controls</t>
  </si>
  <si>
    <t xml:space="preserve">Evidence archived + gate review</t>
  </si>
  <si>
    <t xml:space="preserve">ST-065</t>
  </si>
  <si>
    <t xml:space="preserve">Data-flow diagram + retention policy published</t>
  </si>
  <si>
    <t xml:space="preserve">ST-066</t>
  </si>
  <si>
    <t xml:space="preserve">Encryption at rest + in transit verified; secrets in vault</t>
  </si>
  <si>
    <t xml:space="preserve">v016 (20260916_1807): AES-256-GCM token encryption at rest with key rotation, proven against Postgres (pg.test). Vault/KMS + TLS verification pending infra. | v017: row-level security forced on every account table (RR-P046).</t>
  </si>
  <si>
    <t xml:space="preserve">ST-067</t>
  </si>
  <si>
    <t xml:space="preserve">Audit log for admin-sensitive actions</t>
  </si>
  <si>
    <t xml:space="preserve">v016 (20260916_1807): Audit trail table with writer and reader (GET /api/recoveries/audit); access denials recorded — v016. Team/role changes not yet audited. | v017: audit trail hash-chained and verifiable; operator actions audited.</t>
  </si>
  <si>
    <t xml:space="preserve">ST-068</t>
  </si>
  <si>
    <t xml:space="preserve">Pen-test (or platform-required evidence) completed and archived</t>
  </si>
  <si>
    <t xml:space="preserve">S9</t>
  </si>
  <si>
    <t xml:space="preserve">ST-069</t>
  </si>
  <si>
    <t xml:space="preserve">Data export + delete-my-data self-serve</t>
  </si>
  <si>
    <t xml:space="preserve">v016 (20260916_1807): GET /api/data/export and POST /api/data/delete over every account-scoped table; completeness read from Postgres (V-06) — v016. | v017: export/delete run under tenant-scoped database access; help 13 wording corrected (awaiting approval).</t>
  </si>
  <si>
    <t xml:space="preserve">ST-070</t>
  </si>
  <si>
    <t xml:space="preserve">Rate-limit backoff + circuit breaker on platform APIs</t>
  </si>
  <si>
    <t xml:space="preserve">ST-071</t>
  </si>
  <si>
    <t xml:space="preserve">E7</t>
  </si>
  <si>
    <t xml:space="preserve">Telemetry &amp; metrics</t>
  </si>
  <si>
    <t xml:space="preserve">Activation funnel events (install-&gt;setup-&gt;aha-&gt;habit) in one dashboard</t>
  </si>
  <si>
    <t xml:space="preserve">SCR-8 Analytics (internal)</t>
  </si>
  <si>
    <t xml:space="preserve">p95 latency budgets</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</si>
  <si>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</si>
  <si>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</si>
  <si>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</si>
  <si>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</si>
  <si>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</si>
  <si>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</si>
  <si>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</si>
  <si>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</si>
  <si>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Core engine + 100% tests in full-logic zip 20260910_2106 (E011); UI/platform wiring pending D14</t>
  </si>
  <si>
    <t xml:space="preserve">unit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</si>
  <si>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</si>
  <si>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</si>
  <si>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</si>
  <si>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</si>
  <si>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</si>
  <si>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</si>
  <si>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Onboarding, docs &amp; support</t>
  </si>
  <si>
    <t xml:space="preserve">First-run checklist reaches aha-moment in &lt;1 day</t>
  </si>
  <si>
    <t xml:space="preserve">SCR-1 / SCR-9 Help</t>
  </si>
  <si>
    <t xml:space="preserve">WCAG AA</t>
  </si>
  <si>
    <t xml:space="preserve">ST-079</t>
  </si>
  <si>
    <t xml:space="preserve">Empty states teach next action on every screen</t>
  </si>
  <si>
    <t xml:space="preserve">ST-080</t>
  </si>
  <si>
    <t xml:space="preserve">Help center with 15 launch articles + search</t>
  </si>
  <si>
    <t xml:space="preserve">S10</t>
  </si>
  <si>
    <t xml:space="preserve">Draft content complete in launch pack 20260910_2200 (E012); publication at S9-S11 + D-P2 fee decision pending</t>
  </si>
  <si>
    <t xml:space="preserve">none (content draft)</t>
  </si>
  <si>
    <t xml:space="preserve">external</t>
  </si>
  <si>
    <t xml:space="preserve">ST-081</t>
  </si>
  <si>
    <t xml:space="preserve">In-app chat with &lt;4 business-hr first response</t>
  </si>
  <si>
    <t xml:space="preserve">v016 (20260916_1807): SLA engine + GET /api/support/sla (business-hours breach) — v016 main.test. The in-app chat itself does not exist.</t>
  </si>
  <si>
    <t xml:space="preserve">ST-082</t>
  </si>
  <si>
    <t xml:space="preserve">In-app review ask after aha-moment (marketplace rating engine)</t>
  </si>
  <si>
    <t xml:space="preserve">S11</t>
  </si>
  <si>
    <t xml:space="preserve">ST-083</t>
  </si>
  <si>
    <t xml:space="preserve">Demo video (2 min) + interactive sandbox/demo data mode</t>
  </si>
  <si>
    <t xml:space="preserve">v016 (20260916_1807): Demo data mode: demo_ guard, PgDemoSink writes real rows (V-10), demo accounts never billed — v016. Demo video not made.</t>
  </si>
  <si>
    <t xml:space="preserve">ST-084</t>
  </si>
  <si>
    <t xml:space="preserve">Status page + incident comms template</t>
  </si>
  <si>
    <t xml:space="preserve">ST-085</t>
  </si>
  <si>
    <t xml:space="preserve">EQ</t>
  </si>
  <si>
    <t xml:space="preserve">Quality engineering (cross-cutting)</t>
  </si>
  <si>
    <t xml:space="preserve">Unit+integration test coverage gate ≥70% on core modules</t>
  </si>
  <si>
    <t xml:space="preserve">All surfaces</t>
  </si>
  <si>
    <t xml:space="preserve">Per story (coverage/perf/a11y)</t>
  </si>
  <si>
    <t xml:space="preserve">v016 (20260916_1807): CI: tsc, 100% coverage, seven review gates (LC-17/LC-18..) — v016. Supersedes the &gt;=70% target (D13).</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</si>
  <si>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</si>
  <si>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</si>
  <si>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</si>
  <si>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</si>
  <si>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</si>
  <si>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</si>
  <si>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v016 (20260916_1807): Load harness against the built app (loadTest) — v016. NOT 5x launch traffic on real infra (RR-P041).</t>
  </si>
  <si>
    <t xml:space="preserve">ST-089</t>
  </si>
  <si>
    <t xml:space="preserve">Accessibility WCAG AA pass on primary flows</t>
  </si>
  <si>
    <t xml:space="preserve">ST-090</t>
  </si>
  <si>
    <t xml:space="preserve">Backup + restore drill executed</t>
  </si>
  <si>
    <t xml:space="preserve">v016 (20260916_1807): Backup/restore drill route, fails loudly on shortfall, round-trip on embedded Postgres — v016. Real-infra drill pending (RR-P042).</t>
  </si>
  <si>
    <t xml:space="preserve">ST-091</t>
  </si>
  <si>
    <t xml:space="preserve">Chaos test: platform API outage degrades gracefully with user comms</t>
  </si>
  <si>
    <t xml:space="preserve">ST-092</t>
  </si>
  <si>
    <t xml:space="preserve">Zero-downtime deploy verified (blue/green or rolling)</t>
  </si>
  <si>
    <t xml:space="preserve">v016 (20260916_1807): Cutover gate derives migration state from the ledger (P-RR11) — v016. Blue/green not exercised on infra.</t>
  </si>
  <si>
    <t xml:space="preserve">ST-093</t>
  </si>
  <si>
    <t xml:space="preserve">EL</t>
  </si>
  <si>
    <t xml:space="preserve">Launch &amp; listing</t>
  </si>
  <si>
    <t xml:space="preserve">Marketplace listing copy A + B variants drafted and reviewed</t>
  </si>
  <si>
    <t xml:space="preserve">Listing / LC-8..10</t>
  </si>
  <si>
    <t xml:space="preserve">Platform asset specs</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</si>
  <si>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</si>
  <si>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</si>
  <si>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</si>
  <si>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</si>
  <si>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</si>
  <si>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</si>
  <si>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</si>
  <si>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</si>
  <si>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</si>
  <si>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</si>
  <si>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</si>
  <si>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</si>
  <si>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</si>
  <si>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</si>
  <si>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</si>
  <si>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RR-P001</t>
  </si>
  <si>
    <t xml:space="preserve">RV</t>
  </si>
  <si>
    <t xml:space="preserve">Money correctness (BLOCKING)</t>
  </si>
  <si>
    <t xml:space="preserve">Widen RetryExecutor to return { outcome, amountCents, currency, action, stripeInvoiceId, attemptId }</t>
  </si>
  <si>
    <t xml:space="preserve">TBD</t>
  </si>
  <si>
    <t xml:space="preserve">S13</t>
  </si>
  <si>
    <t xml:space="preserve">Closes: P-RR01</t>
  </si>
  <si>
    <t xml:space="preserve">Every existing call site becomes a compile error; no path can append a recovery without an amount</t>
  </si>
  <si>
    <t xml:space="preserve">v016 (claude_v016_revrescue_server_code_20260916_1807.zip): RetryResult carries amount/currency/Stripe id; call sites could not compile without it. scheduler.test, main.test.</t>
  </si>
  <si>
    <t xml:space="preserve">RR-P002</t>
  </si>
  <si>
    <t xml:space="preserve">Fix the zero-amount ledger append; store rejects amount_cents &lt;= 0</t>
  </si>
  <si>
    <t xml:space="preserve">DB CHECK constraint + typed refusal; regression test asserts a zero-amount append throws</t>
  </si>
  <si>
    <t xml:space="preserve">v016 (claude_v016_revrescue_server_code_20260916_1807.zip): assertRecordable + DB CHECK (amount_cents &gt; 0) + closed action set (migration 006); both layers proven in pg.test.</t>
  </si>
  <si>
    <t xml:space="preserve">RR-P003</t>
  </si>
  <si>
    <t xml:space="preserve">Add invoice.payment_succeeded / invoice.paid handler mapped to handleRecovery with real amount and causing action</t>
  </si>
  <si>
    <t xml:space="preserve">Closes: P-RR02</t>
  </si>
  <si>
    <t xml:space="preserve">Dunning-caused payment produces a 'dunning' row; save-offer-caused produces 'save_offer'</t>
  </si>
  <si>
    <t xml:space="preserve">v016 (claude_v016_revrescue_server_code_20260916_1807.zip): invoice.paid/payment_succeeded -&gt; handleSuccess; cause from our own records; dunning and save-offer payments attributed end to end (main.test). Contract class needs D14.</t>
  </si>
  <si>
    <t xml:space="preserve">contract</t>
  </si>
  <si>
    <t xml:space="preserve">RR-P004</t>
  </si>
  <si>
    <t xml:space="preserve">Handlers for charge.refunded, charge.dispute.created/closed, customer.subscription.deleted -&gt; writers for reversals and disputes</t>
  </si>
  <si>
    <t xml:space="preserve">Closes: P-RR02, P-RR07</t>
  </si>
  <si>
    <t xml:space="preserve">Every migrations/ table has a writer or a declared read-only justification</t>
  </si>
  <si>
    <t xml:space="preserve">v016 (claude_v016_revrescue_server_code_20260916_1807.zip): charge.refunded (partial, cumulative), charge.dispute.created/closed, customer.subscription.deleted handled; writers for all tables (schema gate). Contract class needs D14.</t>
  </si>
  <si>
    <t xml:space="preserve">RR-P005</t>
  </si>
  <si>
    <t xml:space="preserve">Period-bounded statements; immutable fee_statements keyed (account_id, period_start); adjustment lines for post-issue events</t>
  </si>
  <si>
    <t xml:space="preserve">Closes: P-RR03</t>
  </si>
  <si>
    <t xml:space="preserve">Property test: every invoice billed exactly once across all periods; a post-issue refund becomes a credit line, never a rewrite</t>
  </si>
  <si>
    <t xml:space="preserve">v016 (claude_v016_revrescue_server_code_20260916_1807.zip): Period statements per account/currency; atomic immutable issue; credits converge; tick issues once (services/pg/main tests + money gate).</t>
  </si>
  <si>
    <t xml:space="preserve">RR-P006</t>
  </si>
  <si>
    <t xml:space="preserve">test/moneygates.ts - six money invariants enforced as a build gate</t>
  </si>
  <si>
    <t xml:space="preserve">Closes: P-RR01..05</t>
  </si>
  <si>
    <t xml:space="preserve">(1) sum(lines)==feeTotal incl. cap adj (2) no attributable event &lt;= 0 (3) fee &lt;= recovered x rate (4) no invoice in two periods (5) reversed/disputed never billed (6) trial bills zero whenever generated</t>
  </si>
  <si>
    <t xml:space="preserve">v016 (claude_v016_revrescue_server_code_20260916_1807.zip): test/moneygates.ts in npm test and npm run gates (400 histories) + src/moneyinvariants.ts refusing bad statements; mutation-checked.</t>
  </si>
  <si>
    <t xml:space="preserve">RR-P007</t>
  </si>
  <si>
    <t xml:space="preserve">Explicit cap_adjustment line</t>
  </si>
  <si>
    <t xml:space="preserve">Closes: P-RR04</t>
  </si>
  <si>
    <t xml:space="preserve">Capped statement reconciles exactly with its line items</t>
  </si>
  <si>
    <t xml:space="preserve">v016 (claude_v016_revrescue_server_code_20260916_1807.zip): cap_adjustment line + largest-remainder allocation (outcomefee.test, money gate I1).</t>
  </si>
  <si>
    <t xml:space="preserve">RR-P008</t>
  </si>
  <si>
    <t xml:space="preserve">Attribution audit writer: one immutable row per fee decision with the evidence used</t>
  </si>
  <si>
    <t xml:space="preserve">Closes: P-RR07</t>
  </si>
  <si>
    <t xml:space="preserve">A merchant dispute is answerable from data, not by re-running code</t>
  </si>
  <si>
    <t xml:space="preserve">v016 (claude_v016_revrescue_server_code_20260916_1807.zip): One attribution_audit row per fee decision with evidence JSON, written in the issue transaction (pg.test).</t>
  </si>
  <si>
    <t xml:space="preserve">RR-P009</t>
  </si>
  <si>
    <t xml:space="preserve">Stripe platform integration (DEC-04)</t>
  </si>
  <si>
    <t xml:space="preserve">Real ExchangeClient / RefreshClient / SignatureVerifier adapters</t>
  </si>
  <si>
    <t xml:space="preserve">S14</t>
  </si>
  <si>
    <t xml:space="preserve">Closes: D14</t>
  </si>
  <si>
    <t xml:space="preserve">Blocked</t>
  </si>
  <si>
    <t xml:space="preserve">OAuth install completes end to end against a dev account</t>
  </si>
  <si>
    <t xml:space="preserve">Blocked by DEC-04.</t>
  </si>
  <si>
    <t xml:space="preserve">RR-P010</t>
  </si>
  <si>
    <t xml:space="preserve">stripe-app.json manifest: id, permissions with purpose strings, sandbox declaration, distribution</t>
  </si>
  <si>
    <t xml:space="preserve">Closes: -</t>
  </si>
  <si>
    <t xml:space="preserve">Validates via Stripe Apps CLI; sandbox support declared explicitly</t>
  </si>
  <si>
    <t xml:space="preserve">RR-P011</t>
  </si>
  <si>
    <t xml:space="preserve">Declare and gate the minimum event/object permission set</t>
  </si>
  <si>
    <t xml:space="preserve">Route-coverage gate: every permitted event has a handler, every handler a permission</t>
  </si>
  <si>
    <t xml:space="preserve">v016 (claude_v016_revrescue_server_code_20260916_1807.zip): HANDLED_EVENTS declared; event-coverage gate in CI. Manifest (RR-P010) still to generate — needs D14.</t>
  </si>
  <si>
    <t xml:space="preserve">RR-P012</t>
  </si>
  <si>
    <t xml:space="preserve">Secret Store API for all UI-extension secrets</t>
  </si>
  <si>
    <t xml:space="preserve">No secret in app config or code</t>
  </si>
  <si>
    <t xml:space="preserve">RR-P013</t>
  </si>
  <si>
    <t xml:space="preserve">Idempotency keys on every Stripe write; persist key + response; reclaim queries state first</t>
  </si>
  <si>
    <t xml:space="preserve">Closes: P-RR05</t>
  </si>
  <si>
    <t xml:space="preserve">Replayed tick produces exactly one charge in Stripe test mode</t>
  </si>
  <si>
    <t xml:space="preserve">v016 (claude_v016_revrescue_server_code_20260916_1807.zip): Deterministic key persisted before the call; state read before any re-attempt (scheduler.test, main.test). STILL NEEDS the Stripe test-mode replay test.</t>
  </si>
  <si>
    <t xml:space="preserve">RR-P014</t>
  </si>
  <si>
    <t xml:space="preserve">Resolve tenant from the verified installation, not the event body</t>
  </si>
  <si>
    <t xml:space="preserve">Closes: P-RR12</t>
  </si>
  <si>
    <t xml:space="preserve">Event for an unknown or uninstalled account is rejected and alarmed</t>
  </si>
  <si>
    <t xml:space="preserve">v016 (claude_v016_revrescue_server_code_20260916_1807.zip): Webhooks for accounts without an installation rejected and raised (main.test). Contract class needs D14.</t>
  </si>
  <si>
    <t xml:space="preserve">RR-P015</t>
  </si>
  <si>
    <t xml:space="preserve">Live dev-account smoke: install -&gt; failed payment -&gt; retry -&gt; recovery -&gt; statement</t>
  </si>
  <si>
    <t xml:space="preserve">FIRST story in project history marked Done, with live evidence</t>
  </si>
  <si>
    <t xml:space="preserve">RR-P016</t>
  </si>
  <si>
    <t xml:space="preserve">Durability and the work loop</t>
  </si>
  <si>
    <t xml:space="preserve">Postgres webhook dedupe ledger with PRIMARY KEY (event_id) and claim/commit/abandon states</t>
  </si>
  <si>
    <t xml:space="preserve">S15</t>
  </si>
  <si>
    <t xml:space="preserve">Closes: P-RR09</t>
  </si>
  <si>
    <t xml:space="preserve">Two concurrent processes given the same event: exactly one processes it</t>
  </si>
  <si>
    <t xml:space="preserve">v016 (claude_v016_revrescue_server_code_20260916_1807.zip): PgEventLedger: two instances, one winner; stale claim takeover; prune (pgstores.test).</t>
  </si>
  <si>
    <t xml:space="preserve">RR-P017</t>
  </si>
  <si>
    <t xml:space="preserve">Build PgSendLedger and PgOptOutStore</t>
  </si>
  <si>
    <t xml:space="preserve">Closes: P-RR10</t>
  </si>
  <si>
    <t xml:space="preserve">Restart mid-sequence re-sends nothing; opt-out survives restart; proven against real Postgres</t>
  </si>
  <si>
    <t xml:space="preserve">v016 (claude_v016_revrescue_server_code_20260916_1807.zip): PgSendLedger (dunning_log) and PgOptOutStore; survive a new instance (pgstores.test, main.test).</t>
  </si>
  <si>
    <t xml:space="preserve">RR-P018</t>
  </si>
  <si>
    <t xml:space="preserve">Config validates capabilities, not booleans</t>
  </si>
  <si>
    <t xml:space="preserve">Passing an in-memory store in production is a refusal, not a warning</t>
  </si>
  <si>
    <t xml:space="preserve">v016 (claude_v016_revrescue_server_code_20260916_1807.zip): validate() inspects DURABLE brand on the wired objects (config.test).</t>
  </si>
  <si>
    <t xml:space="preserve">RR-P019</t>
  </si>
  <si>
    <t xml:space="preserve">Migration ledger + checksums + advisory lock; derive migrationsApplied</t>
  </si>
  <si>
    <t xml:space="preserve">Closes: P-RR11</t>
  </si>
  <si>
    <t xml:space="preserve">Two concurrent boots: one migrates, one waits; a changed applied file fails the boot</t>
  </si>
  <si>
    <t xml:space="preserve">v016 (claude_v016_revrescue_server_code_20260916_1807.zip): schema_migrations + checksums + advisory lock + single transaction; cutover derives state (pg.test, main.test).</t>
  </si>
  <si>
    <t xml:space="preserve">RR-P020</t>
  </si>
  <si>
    <t xml:space="preserve">Worker topology: scheduler as its own process, leader election or per-shard claims, per-tenant fairness</t>
  </si>
  <si>
    <t xml:space="preserve">10k due items across 50 tenants with no tenant starved; documented throughput</t>
  </si>
  <si>
    <t xml:space="preserve">operational</t>
  </si>
  <si>
    <t xml:space="preserve">RR-P021</t>
  </si>
  <si>
    <t xml:space="preserve">Dead-letter queue + operator replay</t>
  </si>
  <si>
    <t xml:space="preserve">Nothing silently abandoned; every abandonment queryable</t>
  </si>
  <si>
    <t xml:space="preserve">v017 (claude_v017_revrescue_server_code_20260916_1916.zip): failures counted, work parked at 5 with one dead letter; billing failures dead-lettered and auto-resolved; operator replay/discard over an authenticated operator plane, audited (main/scheduler/v017 tests). Operator UI and paging not built.</t>
  </si>
  <si>
    <t xml:space="preserve">RR-P022</t>
  </si>
  <si>
    <t xml:space="preserve">Merchant surface (UI extension)</t>
  </si>
  <si>
    <t xml:space="preserve">UI extension: SCR-1 aha view, retry queue, recovery analytics</t>
  </si>
  <si>
    <t xml:space="preserve">S16</t>
  </si>
  <si>
    <t xml:space="preserve">Renders in the Stripe Dashboard against real data</t>
  </si>
  <si>
    <t xml:space="preserve">RR-P023</t>
  </si>
  <si>
    <t xml:space="preserve">Settings surface: retry rules, sequences, alert mutes, plan, roles</t>
  </si>
  <si>
    <t xml:space="preserve">Required vs optional distinguished; one clear save action</t>
  </si>
  <si>
    <t xml:space="preserve">RR-P024</t>
  </si>
  <si>
    <t xml:space="preserve">Fee statement + dispute-in-one-click UI wired to the S13 writers</t>
  </si>
  <si>
    <t xml:space="preserve">Claims gate upgraded to claim -&gt; module -&gt; route -&gt; write -&gt; UI</t>
  </si>
  <si>
    <t xml:space="preserve">RR-P025</t>
  </si>
  <si>
    <t xml:space="preserve">Wire plan limits into entitled() as a REQUIRED argument; usage counter source</t>
  </si>
  <si>
    <t xml:space="preserve">Closes: P-RR06</t>
  </si>
  <si>
    <t xml:space="preserve">Compile error if omitted; blocked account sees the prompt and can still reach billing/export/delete</t>
  </si>
  <si>
    <t xml:space="preserve">v016 (claude_v016_revrescue_server_code_20260916_1807.zip): limit required in entitled(); usage counter; enforced on writes and on automation (entitlement/pgstores/main tests). Plan values await pricing decision.</t>
  </si>
  <si>
    <t xml:space="preserve">RR-P026</t>
  </si>
  <si>
    <t xml:space="preserve">Load alert mutes and grace cadence from persistence; add rule R11</t>
  </si>
  <si>
    <t xml:space="preserve">Closes: P-RR08</t>
  </si>
  <si>
    <t xml:space="preserve">No literals in main.ts where persisted state belongs</t>
  </si>
  <si>
    <t xml:space="preserve">v016 (claude_v016_revrescue_server_code_20260916_1807.zip): account_settings + grace_emails_sent; grace notices in the tick; composition-root gate (R11).</t>
  </si>
  <si>
    <t xml:space="preserve">RR-P027</t>
  </si>
  <si>
    <t xml:space="preserve">Stripe house-style date/time formatting across all surfaces</t>
  </si>
  <si>
    <t xml:space="preserve">'Jan 3, 2021' and '3:25 PM' per review requirements</t>
  </si>
  <si>
    <t xml:space="preserve">RR-P028</t>
  </si>
  <si>
    <t xml:space="preserve">Attribution defensibility and incrementality</t>
  </si>
  <si>
    <t xml:space="preserve">Holdback control groups: configurable % handled by Stripe's native path only</t>
  </si>
  <si>
    <t xml:space="preserve">S17</t>
  </si>
  <si>
    <t xml:space="preserve">Assignment deterministic, auditable, disclosed to the merchant, excluded from fees</t>
  </si>
  <si>
    <t xml:space="preserve">Blocked by Decision 4 (holdback).</t>
  </si>
  <si>
    <t xml:space="preserve">RR-P029</t>
  </si>
  <si>
    <t xml:space="preserve">Incrementality engine: recovery rate vs holdback with confidence intervals</t>
  </si>
  <si>
    <t xml:space="preserve">Merchant-facing 'X more than Stripe alone would have recovered', method disclosed</t>
  </si>
  <si>
    <t xml:space="preserve">RR-P030</t>
  </si>
  <si>
    <t xml:space="preserve">Stripe-baseline benchmarking with decline-code-level breakdown</t>
  </si>
  <si>
    <t xml:space="preserve">Analytics view; becomes the sales pitch</t>
  </si>
  <si>
    <t xml:space="preserve">RR-P031</t>
  </si>
  <si>
    <t xml:space="preserve">Switch the fee model to incremental recovered revenue, or to a flat MRR tier</t>
  </si>
  <si>
    <t xml:space="preserve">Closes: DEC-03</t>
  </si>
  <si>
    <t xml:space="preserve">Pricing page, listing copy, FAQ and gates.config drift rule updated in one change</t>
  </si>
  <si>
    <t xml:space="preserve">Blocked by Decision 2 (pricing model).</t>
  </si>
  <si>
    <t xml:space="preserve">RR-P032</t>
  </si>
  <si>
    <t xml:space="preserve">Third-party review of the attribution and incrementality method</t>
  </si>
  <si>
    <t xml:space="preserve">Written opinion attached to the trust page</t>
  </si>
  <si>
    <t xml:space="preserve">RR-P033</t>
  </si>
  <si>
    <t xml:space="preserve">Deliverability and channel compliance</t>
  </si>
  <si>
    <t xml:space="preserve">ESP adapter + SPF/DKIM/DMARC + per-merchant sender identity</t>
  </si>
  <si>
    <t xml:space="preserve">S18</t>
  </si>
  <si>
    <t xml:space="preserve">Inbox placement tested on Gmail/Outlook/Apple; DMARC aligned</t>
  </si>
  <si>
    <t xml:space="preserve">Blocked by DEC-04 + ESP choice.</t>
  </si>
  <si>
    <t xml:space="preserve">RR-P034</t>
  </si>
  <si>
    <t xml:space="preserve">Bounce, complaint and suppression handling feeding PgOptOutStore</t>
  </si>
  <si>
    <t xml:space="preserve">A hard bounce suppresses further sends and is visible to the merchant</t>
  </si>
  <si>
    <t xml:space="preserve">Blocked by RR-P033.</t>
  </si>
  <si>
    <t xml:space="preserve">RR-P035</t>
  </si>
  <si>
    <t xml:space="preserve">WhatsApp Business: Meta verification, template approval, opt-in capture and proof</t>
  </si>
  <si>
    <t xml:space="preserve">No message sent without recorded consent; templates approved pre-launch</t>
  </si>
  <si>
    <t xml:space="preserve">Blocked by Meta verification.</t>
  </si>
  <si>
    <t xml:space="preserve">RR-P036</t>
  </si>
  <si>
    <t xml:space="preserve">Regional consent matrix (GDPR/PECR, CAN-SPAM, DPDP) driving footer and channel eligibility</t>
  </si>
  <si>
    <t xml:space="preserve">Footer and channel derive from recipient region, not a global constant</t>
  </si>
  <si>
    <t xml:space="preserve">RR-P037</t>
  </si>
  <si>
    <t xml:space="preserve">Observability and SRE</t>
  </si>
  <si>
    <t xml:space="preserve">OpenTelemetry metrics + traces: webhook lag, tick duration, retry outcomes, fee totals, queue depth</t>
  </si>
  <si>
    <t xml:space="preserve">S19</t>
  </si>
  <si>
    <t xml:space="preserve">Dashboards exist; the status page derives from real signals</t>
  </si>
  <si>
    <t xml:space="preserve">RR-P038</t>
  </si>
  <si>
    <t xml:space="preserve">SLOs with error budgets: webhook ingest p99, tick freshness, statement success</t>
  </si>
  <si>
    <t xml:space="preserve">Published; alerts fire on burn rate</t>
  </si>
  <si>
    <t xml:space="preserve">RR-P039</t>
  </si>
  <si>
    <t xml:space="preserve">Alerting + on-call rota + incident lifecycle wired to the existing runbook</t>
  </si>
  <si>
    <t xml:space="preserve">One rehearsed incident, written up</t>
  </si>
  <si>
    <t xml:space="preserve">RR-P040</t>
  </si>
  <si>
    <t xml:space="preserve">Log hygiene: PII redaction, retention policy, tamper-evident audit stream</t>
  </si>
  <si>
    <t xml:space="preserve">No customer identifier in application logs; audit exportable</t>
  </si>
  <si>
    <t xml:space="preserve">v017 (claude_v017_revrescue_server_code_20260916_1916.zip): path-only logs (v016) + redaction of emails/phones in every error sink and dead letter; hash-chained audit with verify route; retention policy applied by the tick with chain anchors (RETENTION.md). PARTIAL: external anchoring of the chain head and log-platform retention (S19).</t>
  </si>
  <si>
    <t xml:space="preserve">RR-P041</t>
  </si>
  <si>
    <t xml:space="preserve">Real load, soak and chaos: 10x peak, 24h soak, DB failover, Stripe-outage injection</t>
  </si>
  <si>
    <t xml:space="preserve">Capacity statement with numbers; recovery behaviour documented</t>
  </si>
  <si>
    <t xml:space="preserve">RR-P042</t>
  </si>
  <si>
    <t xml:space="preserve">DR: backup schedule, restore drill on real infrastructure, RPO/RTO targets</t>
  </si>
  <si>
    <t xml:space="preserve">Drill run on real infra, not PGlite; result published</t>
  </si>
  <si>
    <t xml:space="preserve">RR-P043</t>
  </si>
  <si>
    <t xml:space="preserve">Enterprise security and compliance</t>
  </si>
  <si>
    <t xml:space="preserve">Session revocation (jti store), rotation, forced logout on role change or removal</t>
  </si>
  <si>
    <t xml:space="preserve">S20</t>
  </si>
  <si>
    <t xml:space="preserve">Removed member loses access immediately</t>
  </si>
  <si>
    <t xml:space="preserve">v016 (claude_v016_revrescue_server_code_20260916_1807.zip): Revocation store, logout, membership+role checked per request, last-owner protection (sessions/main tests).</t>
  </si>
  <si>
    <t xml:space="preserve">RR-P044</t>
  </si>
  <si>
    <t xml:space="preserve">SSO (OIDC/SAML) + SCIM; per-account API keys with scopes</t>
  </si>
  <si>
    <t xml:space="preserve">Enterprise auth checklist satisfied</t>
  </si>
  <si>
    <t xml:space="preserve">RR-P045</t>
  </si>
  <si>
    <t xml:space="preserve">Edge hardening: per-route rate limits, security headers, quotas, WAF posture</t>
  </si>
  <si>
    <t xml:space="preserve">Abuse test suite passes</t>
  </si>
  <si>
    <t xml:space="preserve">v016 (claude_v016_revrescue_server_code_20260916_1807.zip): PARTIAL: per-route-class rate limits (per instance) + security headers (server.test). Quotas/WAF/abuse suite not done.</t>
  </si>
  <si>
    <t xml:space="preserve">RR-P046</t>
  </si>
  <si>
    <t xml:space="preserve">Tenant isolation hardening: RLS or equivalent, isolation suite, per-tenant key derivation</t>
  </si>
  <si>
    <t xml:space="preserve">A crafted request cannot read another tenant's row</t>
  </si>
  <si>
    <t xml:space="preserve">v017 (claude_v017_revrescue_server_code_20260916_1916.zip): RLS forced on all 20 account tables; tenant/system roles; crafted and unfiltered cross-tenant reads and writes refused by Postgres (main.test). Needs verification on production Postgres with a non-superuser login (OPERATIONS.md).</t>
  </si>
  <si>
    <t xml:space="preserve">RR-P047</t>
  </si>
  <si>
    <t xml:space="preserve">Compliance pack: DPA, sub-processor register, data residency, PCI scope statement, security whitepaper</t>
  </si>
  <si>
    <t xml:space="preserve">Published and matching the trust page word for word (drift gate extended to legal docs)</t>
  </si>
  <si>
    <t xml:space="preserve">RR-P048</t>
  </si>
  <si>
    <t xml:space="preserve">Independent penetration test + SOC 2 Type II readiness assessment</t>
  </si>
  <si>
    <t xml:space="preserve">Findings triaged with owners and dates</t>
  </si>
  <si>
    <t xml:space="preserve">RR-P049</t>
  </si>
  <si>
    <t xml:space="preserve">Marketplace launch</t>
  </si>
  <si>
    <t xml:space="preserve">Confirm the pricing model in writing with Stripe partnerships BEFORE DEC-03</t>
  </si>
  <si>
    <t xml:space="preserve">S21</t>
  </si>
  <si>
    <t xml:space="preserve">Written confirmation on file; if declined, the flat-tier variant ships instead</t>
  </si>
  <si>
    <t xml:space="preserve">Blocked by Decisions 2 and 3.</t>
  </si>
  <si>
    <t xml:space="preserve">RR-P050</t>
  </si>
  <si>
    <t xml:space="preserve">Listing assets to spec: 35-char name (no 'Stripe'/'app'), 80-char subtitle, 1000-char about, 3 key features</t>
  </si>
  <si>
    <t xml:space="preserve">Matches Stripe listing guidelines; no unprovable claims</t>
  </si>
  <si>
    <t xml:space="preserve">RR-P051</t>
  </si>
  <si>
    <t xml:space="preserve">Pricing page consistent with off-marketplace pricing, no post-install surprises</t>
  </si>
  <si>
    <t xml:space="preserve">Matches publish-app requirements</t>
  </si>
  <si>
    <t xml:space="preserve">RR-P052</t>
  </si>
  <si>
    <t xml:space="preserve">Reviewer test plan on demo-mode data (demo_ prefix guard already built)</t>
  </si>
  <si>
    <t xml:space="preserve">Reviewer exercises every feature without a real merchant</t>
  </si>
  <si>
    <t xml:space="preserve">RR-P053</t>
  </si>
  <si>
    <t xml:space="preserve">Submit; triage review feedback within 48h</t>
  </si>
  <si>
    <t xml:space="preserve">Approved listing</t>
  </si>
  <si>
    <t xml:space="preserve">RR-P054</t>
  </si>
  <si>
    <t xml:space="preserve">Method upgrade (continuous from S13)</t>
  </si>
  <si>
    <t xml:space="preserve">Mutation testing (StrykerJS) on the money path, threshold &gt;= 85% killed</t>
  </si>
  <si>
    <t xml:space="preserve">S22</t>
  </si>
  <si>
    <t xml:space="preserve">Closes: P-RR01..07</t>
  </si>
  <si>
    <t xml:space="preserve">100% coverage proved insufficient twice; mutation score is the honest metric</t>
  </si>
  <si>
    <t xml:space="preserve">v017 (claude_v017_revrescue_server_code_20260916_1916.zip): StrykerJS on the money path, CI step, threshold 85%; final local score 99.1% (464/468). Acceptance met locally — Done once the CI run is observed.</t>
  </si>
  <si>
    <t xml:space="preserve">RR-P055</t>
  </si>
  <si>
    <t xml:space="preserve">HTTP-level acceptance tests through a real server and real Postgres for every published promise</t>
  </si>
  <si>
    <t xml:space="preserve">The layer where P-RR01/02/03/06/07 all lived</t>
  </si>
  <si>
    <t xml:space="preserve">v016 (claude_v016_revrescue_server_code_20260916_1807.zip): test/main.test.ts: real requests through the real composition root on embedded Postgres for every published promise touched in v016. Not yet through a real socket for all routes.</t>
  </si>
  <si>
    <t xml:space="preserve">RR-P056</t>
  </si>
  <si>
    <t xml:space="preserve">Claims gate v2: claim -&gt; module -&gt; route -&gt; persisted write -&gt; UI surface</t>
  </si>
  <si>
    <t xml:space="preserve">Fix BEFORE at-review-gates ships to the 11 sibling products</t>
  </si>
  <si>
    <t xml:space="preserve">v016 (claude_v016_revrescue_server_code_20260916_1807.zip): PARTIAL: claims gate v2 checks module -&gt; evidence -&gt; route -&gt; persisted write. UI level waits for S16.</t>
  </si>
  <si>
    <t xml:space="preserve">RR-P057</t>
  </si>
  <si>
    <t xml:space="preserve">Schema gate: every table has a writer or a declared read-only justification</t>
  </si>
  <si>
    <t xml:space="preserve">Would have caught six orphaned tables</t>
  </si>
  <si>
    <t xml:space="preserve">v016 (claude_v016_revrescue_server_code_20260916_1807.zip): Schema gate in CI; negative-tested.</t>
  </si>
  <si>
    <t xml:space="preserve">RR-P058</t>
  </si>
  <si>
    <t xml:space="preserve">Composition-root gate (R11): no literal collections/zeros/booleans standing in for state</t>
  </si>
  <si>
    <t xml:space="preserve">Closes: P-RR01, P-RR08, P-RR10</t>
  </si>
  <si>
    <t xml:space="preserve">Would have caught P-RR01, P-RR08, P-RR10</t>
  </si>
  <si>
    <t xml:space="preserve">v016 (claude_v016_revrescue_server_code_20260916_1807.zip): Composition-root gate in CI; negative-tested (a numeric literal in main.ts fails the build).</t>
  </si>
  <si>
    <t xml:space="preserve">RR-P059</t>
  </si>
  <si>
    <t xml:space="preserve">Contract tests against Stripe test mode in CI + API-version drift alerting</t>
  </si>
  <si>
    <t xml:space="preserve">Closes: VER-RR02</t>
  </si>
  <si>
    <t xml:space="preserve">Version pinning becomes verified rather than declared</t>
  </si>
  <si>
    <t xml:space="preserve">RR-P060</t>
  </si>
  <si>
    <t xml:space="preserve">Independent external review of RevRescue itself (ACT-20, still not done)</t>
  </si>
  <si>
    <t xml:space="preserve">Closes: ACT-20</t>
  </si>
  <si>
    <t xml:space="preserve">This document is one input, not a substitute</t>
  </si>
  <si>
    <t xml:space="preserve">Blocked by Senthil to commission (ACT-20).</t>
  </si>
  <si>
    <t xml:space="preserve">SPRINT STATUS ROLLUP — live formulas over Traceability_Matrix (S0 from S0_Task_Board)</t>
  </si>
  <si>
    <t xml:space="preserve">Do not edit — recalculates from status columns. Exit criteria from v007 Sprint_Board. v020: S13–S22 added; their stories are unestimated, so % done is by story count.</t>
  </si>
  <si>
    <t xml:space="preserve">Focus</t>
  </si>
  <si>
    <t xml:space="preserve">Stories</t>
  </si>
  <si>
    <t xml:space="preserve">Done points</t>
  </si>
  <si>
    <t xml:space="preserve">% points done</t>
  </si>
  <si>
    <t xml:space="preserve">RAG (manual)</t>
  </si>
  <si>
    <t xml:space="preserve">Exit criteria</t>
  </si>
  <si>
    <t xml:space="preserve">Discovery &amp; Design (2 wks)</t>
  </si>
  <si>
    <t xml:space="preserve">AMBER — in progress</t>
  </si>
  <si>
    <t xml:space="preserve">PRD signed off; prototype tested with 5 target users</t>
  </si>
  <si>
    <t xml:space="preserve">Foundation (2 wks)</t>
  </si>
  <si>
    <t xml:space="preserve">App installs cleanly in dev store; telemetry firing</t>
  </si>
  <si>
    <t xml:space="preserve">Smart retry scheduler pt 1</t>
  </si>
  <si>
    <t xml:space="preserve">Smart retry happy path demoable</t>
  </si>
  <si>
    <t xml:space="preserve">Smart retry pt 2 + Dunning start</t>
  </si>
  <si>
    <t xml:space="preserve">Smart retry complete with tests; Dunning skeleton</t>
  </si>
  <si>
    <t xml:space="preserve">MVP loop usable end-to-end internally</t>
  </si>
  <si>
    <t xml:space="preserve">Save-offer engine + alpha hardening</t>
  </si>
  <si>
    <t xml:space="preserve">Internal alpha: team dogfoods daily</t>
  </si>
  <si>
    <t xml:space="preserve">Billing + Recovery analytics</t>
  </si>
  <si>
    <t xml:space="preserve">Can charge a test customer; up/downgrade paths work</t>
  </si>
  <si>
    <t xml:space="preserve">Private beta (design partners)</t>
  </si>
  <si>
    <t xml:space="preserve">3+ partners active weekly; NPS pulse &gt;30</t>
  </si>
  <si>
    <t xml:space="preserve">Beta iteration + Slack alerts</t>
  </si>
  <si>
    <t xml:space="preserve">Beta cohort WoW retention &gt;60%</t>
  </si>
  <si>
    <t xml:space="preserve">Marketplace review prep</t>
  </si>
  <si>
    <t xml:space="preserve">Review submission accepted into queue</t>
  </si>
  <si>
    <t xml:space="preserve">Review remediation + docs</t>
  </si>
  <si>
    <t xml:space="preserve">Marketplace approval obtained</t>
  </si>
  <si>
    <t xml:space="preserve">Launch</t>
  </si>
  <si>
    <t xml:space="preserve">First 10 installs; first 3 reviews; activation &gt;40%</t>
  </si>
  <si>
    <t xml:space="preserve">Iterate &amp; scale decision</t>
  </si>
  <si>
    <t xml:space="preserve">Growth model doc with CAC/LTV first estimates</t>
  </si>
  <si>
    <t xml:space="preserve">AMBER — built to integration; contract/live evidence needs D14</t>
  </si>
  <si>
    <t xml:space="preserve">All six money invariants green as gates; P-RR01..05 regression-tested (reached at integration in v016)</t>
  </si>
  <si>
    <t xml:space="preserve">RED — blocked (DEC-04)</t>
  </si>
  <si>
    <t xml:space="preserve">First story Done with live Stripe evidence (RR-P015)</t>
  </si>
  <si>
    <t xml:space="preserve">AMBER — 5 of 6 built to integration (worker topology open)</t>
  </si>
  <si>
    <t xml:space="preserve">No in-process state required for correctness</t>
  </si>
  <si>
    <t xml:space="preserve">RED — UI blocked (DEC-04); 2 wiring stories built</t>
  </si>
  <si>
    <t xml:space="preserve">Merchant can see, configure and dispute in the Dashboard</t>
  </si>
  <si>
    <t xml:space="preserve">RED — decisions 2 and 4</t>
  </si>
  <si>
    <t xml:space="preserve">Incrementality measured and disclosed</t>
  </si>
  <si>
    <t xml:space="preserve">RED — blocked</t>
  </si>
  <si>
    <t xml:space="preserve">Inbox placement and consent evidenced</t>
  </si>
  <si>
    <t xml:space="preserve">AMBER — redaction, tamper-evident audit, retention built; SRE work open</t>
  </si>
  <si>
    <t xml:space="preserve">SLOs published; restore drilled on real infra</t>
  </si>
  <si>
    <t xml:space="preserve">AMBER — revocation, headers, rate limits, row-level security built</t>
  </si>
  <si>
    <t xml:space="preserve">Pen test triaged; isolation suite green</t>
  </si>
  <si>
    <t xml:space="preserve">RED — decisions 2 and 3</t>
  </si>
  <si>
    <t xml:space="preserve">AMBER — mutation testing + 4 gates built; contract tests and external review open</t>
  </si>
  <si>
    <t xml:space="preserve">Mutation score &gt;= 85% on the money path; contract tests in CI</t>
  </si>
  <si>
    <t xml:space="preserve">TOTAL</t>
  </si>
  <si>
    <t xml:space="preserve">(S1-S22 stories; S13-S22 unestimated, so % by points covers S1-S12)</t>
  </si>
  <si>
    <t xml:space="preserve">RAID CARRYOVER — live register for RevRescue execution</t>
  </si>
  <si>
    <t xml:space="preserve">Seeded from v007 Risk_Register + v002 RAID + S0 findings. Review at every sprint exit.</t>
  </si>
  <si>
    <t xml:space="preserve">Type</t>
  </si>
  <si>
    <t xml:space="preserve">Item</t>
  </si>
  <si>
    <t xml:space="preserve">Impact/Likelihood</t>
  </si>
  <si>
    <t xml:space="preserve">Mitigation / response</t>
  </si>
  <si>
    <t xml:space="preserve">R1</t>
  </si>
  <si>
    <t xml:space="preserve">Risk</t>
  </si>
  <si>
    <t xml:space="preserve">Stripe builds native smart-retry/dunning upgrades</t>
  </si>
  <si>
    <t xml:space="preserve">High / High</t>
  </si>
  <si>
    <t xml:space="preserve">Save-offer + WhatsApp channel + analytics depth beyond native (v007)</t>
  </si>
  <si>
    <t xml:space="preserve">Open</t>
  </si>
  <si>
    <t xml:space="preserve">R2</t>
  </si>
  <si>
    <t xml:space="preserve">Outcome-fee attribution disputes</t>
  </si>
  <si>
    <t xml:space="preserve">Med / Med</t>
  </si>
  <si>
    <t xml:space="preserve">Transparent calculator + conservative attribution + audit log (LC-5, LC-6)</t>
  </si>
  <si>
    <t xml:space="preserve">R3</t>
  </si>
  <si>
    <t xml:space="preserve">Stripe Apps platform maturity (API/UI limits)</t>
  </si>
  <si>
    <t xml:space="preserve">Web-app fallback surface outside Dashboard</t>
  </si>
  <si>
    <t xml:space="preserve">R4</t>
  </si>
  <si>
    <t xml:space="preserve">Solo last-mile overload (portfolio-level, v002)</t>
  </si>
  <si>
    <t xml:space="preserve">High / Med</t>
  </si>
  <si>
    <t xml:space="preserve">R1 serial builds; R4 ops floor only after LIVE</t>
  </si>
  <si>
    <t xml:space="preserve">R5</t>
  </si>
  <si>
    <t xml:space="preserve">Finding (S0)</t>
  </si>
  <si>
    <t xml:space="preserve">April 2026 Stripe Apps agreement: provisioning sales must use Stripe Payments (initial txn; subsequent independent billing exempt); FULL pricing disclosure incl. usage/outcome rates mandatory; pricing must align with off-marketplace pricing</t>
  </si>
  <si>
    <t xml:space="preserve">High / Certain</t>
  </si>
  <si>
    <t xml:space="preserve">Design outcome-billing (% of recovered) as declared usage-based pricing from day 1; LC-6 transparency page doubles as review artifact; read full agreement text at stripe.com/legal/apps during T-01</t>
  </si>
  <si>
    <t xml:space="preserve">Closed — full agreement read 10 Sep 20:18 (E005); obligations distributed to R8/R9, LC-12/LC-13, D-P1</t>
  </si>
  <si>
    <t xml:space="preserve">R6</t>
  </si>
  <si>
    <t xml:space="preserve">Dependency</t>
  </si>
  <si>
    <t xml:space="preserve">5 discovery-interview users must be sourced (T-02)</t>
  </si>
  <si>
    <t xml:space="preserve">Med / —</t>
  </si>
  <si>
    <t xml:space="preserve">Senthil network + Stripe-community outreach; blocks S0 exit</t>
  </si>
  <si>
    <t xml:space="preserve">R7</t>
  </si>
  <si>
    <t xml:space="preserve">Assumption</t>
  </si>
  <si>
    <t xml:space="preserve">v007 stack assumption (TS/Node, React, Postgres) survives Stripe Apps sandbox constraints (React UI extension)</t>
  </si>
  <si>
    <t xml:space="preserve">Confirm during T-01/T-04 against current Stripe Apps SDK docs</t>
  </si>
  <si>
    <t xml:space="preserve">R8</t>
  </si>
  <si>
    <t xml:space="preserve">Constraint</t>
  </si>
  <si>
    <t xml:space="preserve">§13 Apps Agreement: Stripe Apps storage may hold NO Personal Data (beyond listing needs) or health data</t>
  </si>
  <si>
    <t xml:space="preserve">Architecture rule: all customer, payment-status and dunning data in own Postgres backend; Stripe Apps storage limited to non-personal config. Enforce in S1 foundation stories.</t>
  </si>
  <si>
    <t xml:space="preserve">Open — binds S1+</t>
  </si>
  <si>
    <t xml:space="preserve">Obligation</t>
  </si>
  <si>
    <t xml:space="preserve">§11 breach notice to stripe-apps-security@stripe.com within 72 hrs; §14.3 export self-classification EAR99/5D992; §15 30-day removal notice; §27 annual Compliance Review; §32 terms may change on 30-day notice</t>
  </si>
  <si>
    <t xml:space="preserve">Med / Certain</t>
  </si>
  <si>
    <t xml:space="preserve">LC-12 + LC-13 added to gate; incident-mgmt program folded into ST-098 runbook; quarterly terms-recheck added to R4 ops floor</t>
  </si>
  <si>
    <t xml:space="preserve">D-P1</t>
  </si>
  <si>
    <t xml:space="preserve">Decision needed (Senthil)</t>
  </si>
  <si>
    <t xml:space="preserve">Sell via Stripe Provisioning Services (Part III, public preview: PSCo facilitates indirect taxes in Facilitator Countries but adds PTC/self-billing/pricing-schema obligations) OR list-only + own Stripe billing (Part III out of scope; v007 fee-note assumption; self-managed taxes)</t>
  </si>
  <si>
    <t xml:space="preserve">High / —</t>
  </si>
  <si>
    <t xml:space="preserve">Recommendation prepared: START list-only + own billing for launch simplicity (matches v007 model and D8 low-friction rationale); revisit provisioning post-gate if tax admin becomes material. Decide with T-06.</t>
  </si>
  <si>
    <t xml:space="preserve">Open — Senthil</t>
  </si>
  <si>
    <t xml:space="preserve">D13</t>
  </si>
  <si>
    <t xml:space="preserve">Decision (Senthil, LOCKED)</t>
  </si>
  <si>
    <t xml:space="preserve">T-02/T-05 (5-user discovery + prototype test) PARKED for now; development proceeds directly; ALL code carries 100% automation test coverage (statements/branches/functions/lines), enforced in build. Supersedes ST-085 (&gt;=70%). S0 exit criteria amended accordingly; PRD operates as working baseline pending T-06.</t>
  </si>
  <si>
    <t xml:space="preserve">Coverage gate wired into npm test (c8 --100 --check-coverage — build fails below 100%). Discovery questions preserved in PRD §11 + wireframe annotations for when interviews resume. To be appended to chatlog Decision_Log at its next version.</t>
  </si>
  <si>
    <t xml:space="preserve">LOCKED 20:41</t>
  </si>
  <si>
    <t xml:space="preserve">Stripe SDK adapters + live dev account/dev-store smoke test PARKED for now; sprint continues on all platform-independent scope under the D13 100% rule</t>
  </si>
  <si>
    <t xml:space="preserve">All platform boundaries remain dependency-injected interfaces (ExchangeClient, SignatureVerifier, RefreshClient, SendPort, SlackPort) so adapters slot in later without touching tested code. NOTE: S1 exit criterion (installs cleanly in dev store) and S2+ exit criteria involving the Stripe Apps UI surface cannot be MET while parked — sprint completion is redefined as core-logic-complete until unparked.</t>
  </si>
  <si>
    <t xml:space="preserve">LOCKED 20:48</t>
  </si>
  <si>
    <t xml:space="preserve">D-P2</t>
  </si>
  <si>
    <t xml:space="preserve">Outcome-fee rate: the [X]% in pricing FAQ, SCR-7 billing card, transparency page, and marketplace pricing submission must be one identical number (§19.2/19.4). Financial model context: break-even ~M14-15 at ~$89 blended ARPU; SCR-7 wireframe example used 5%.</t>
  </si>
  <si>
    <t xml:space="preserve">Content pack ships with flagged placeholder; nothing can be submitted for review until set. Recommend deciding alongside T-06 sign-off; original T-02 question ("at what % does it feel unfair?") answerable post-launch via early customers if interviews stay parked.</t>
  </si>
  <si>
    <t xml:space="preserve">OBS-RR1</t>
  </si>
  <si>
    <t xml:space="preserve">Observation (disposition needed)</t>
  </si>
  <si>
    <t xml:space="preserve">Circuit breaker allows unlimited half-open probes after cooldown</t>
  </si>
  <si>
    <t xml:space="preserve">Portfolio-wide, identical in 5 products. Recommend ONE trial call. See action plan DEC-06.</t>
  </si>
  <si>
    <t xml:space="preserve">OBS-RR2</t>
  </si>
  <si>
    <t xml:space="preserve">Default wiring in-memory; migrations exist but no adapter reads them</t>
  </si>
  <si>
    <t xml:space="preserve">Fix scheduled as ACT-06 behind D14. See DEC-07.</t>
  </si>
  <si>
    <t xml:space="preserve">CLOSED 16:41 — adapters built and proven against real embedded Postgres; only a production server run remains (ACT-13, Senthil)</t>
  </si>
  <si>
    <t xml:space="preserve">OBS-RR3</t>
  </si>
  <si>
    <t xml:space="preserve">Accounting export is not RFC-4180 quoted</t>
  </si>
  <si>
    <t xml:space="preserve">Low / —</t>
  </si>
  <si>
    <t xml:space="preserve">Small fix bundled into ACT-09. Five siblings hit this for real.</t>
  </si>
  <si>
    <t xml:space="preserve">OBS-RR4</t>
  </si>
  <si>
    <t xml:space="preserve">Trust page states tokens are encrypted in a vault; no encryption module exists</t>
  </si>
  <si>
    <t xml:space="preserve">Published claim ahead of code. Fix scheduled as ACT-07 behind D14.</t>
  </si>
  <si>
    <t xml:space="preserve">CLOSED 16:33 — AES-256-GCM vault + EncryptedTokenStore built; was wrongly scheduled behind D14 (encryption needs nothing from Stripe)</t>
  </si>
  <si>
    <t xml:space="preserve">OBS-RR5</t>
  </si>
  <si>
    <t xml:space="preserve">Identity resolved through an interface with no signed implementation</t>
  </si>
  <si>
    <t xml:space="preserve">Two siblings shipped caller-declared identity as a security-review blocker. Fix scheduled as ACT-07.</t>
  </si>
  <si>
    <t xml:space="preserve">CLOSED 16:36 — HMAC-signed sessions with rotation; header-declared identity refused in every environment. Was wrongly parked behind D14 (needs nothing from Stripe)</t>
  </si>
  <si>
    <t xml:space="preserve">L-RR1</t>
  </si>
  <si>
    <t xml:space="preserve">Lesson</t>
  </si>
  <si>
    <t xml:space="preserve">Coverage proves execution, not correctness or completeness — confirmed on RevRescue: 86 tests at 100% across 16 modules that no application ever called</t>
  </si>
  <si>
    <t xml:space="preserve">Pre-Completion Audit adopted before any completion claim; port the TestPulse reachability + published-claims gates (action plan PORT-02/PORT-03).</t>
  </si>
  <si>
    <t xml:space="preserve">Logged</t>
  </si>
  <si>
    <t xml:space="preserve">L-RR2</t>
  </si>
  <si>
    <t xml:space="preserve">A published claim is not a shipped feature — three of ten defects were promises in the FAQ, help articles and trust page with no code behind them</t>
  </si>
  <si>
    <t xml:space="preserve">Content and code must be gated against each other in the same pass, as siblings now do.</t>
  </si>
  <si>
    <t xml:space="preserve">L-RR3</t>
  </si>
  <si>
    <t xml:space="preserve">A partial fix reads as a complete one. The 11:32 session fixed "no module calls another" by wiring four modules; five others stayed orphaned and nobody would have noticed. The automated gate found them in one run.</t>
  </si>
  <si>
    <t xml:space="preserve">Reachability + published-claims gates now run in the suite; recommend porting to the other ten products (PORT-03 extended).</t>
  </si>
  <si>
    <t xml:space="preserve">L-RR4</t>
  </si>
  <si>
    <t xml:space="preserve">Tests pinned the defect again — three API-version tests asserted the wrong format and had to be corrected. Same class as RetainKit R-K9.</t>
  </si>
  <si>
    <t xml:space="preserve">When a verification sweep changes a fact, re-read the tests that asserted it rather than trusting a green suite.</t>
  </si>
  <si>
    <t xml:space="preserve">L-RR5</t>
  </si>
  <si>
    <t xml:space="preserve">A partial fix recurred TWICE in one day: F-RR01 was half-fixed at 11:32 (five modules still orphaned) and F-RR05 was half-fixed too (uninstall never used the purge registry). Both were found by tooling or a deliberate re-read, not by the original fix feeling incomplete.</t>
  </si>
  <si>
    <t xml:space="preserve">After any fix, re-run the gates AND re-read every other caller of the thing fixed. Treat "fixed" as a hypothesis until a gate proves it.</t>
  </si>
  <si>
    <t xml:space="preserve">L-RR6</t>
  </si>
  <si>
    <t xml:space="preserve">Packaging removed the content/ directory, which silently disabled the published-claims gate — a gate that cannot see its inputs passes vacuously.</t>
  </si>
  <si>
    <t xml:space="preserve">content/ now lives in the repo; gates must fail loudly when their inputs are missing rather than finding nothing to check.</t>
  </si>
  <si>
    <t xml:space="preserve">L-RR7</t>
  </si>
  <si>
    <t xml:space="preserve">A whitelist is a place to hide a failure. The cancellation flow was genuinely orphaned and passed the reachability gate only because it sat in the entrypoint list. Running the packaged gate with a fresh config exposed it.</t>
  </si>
  <si>
    <t xml:space="preserve">Keep entrypoint lists minimal and justify each entry; re-derive the config periodically rather than inheriting it.</t>
  </si>
  <si>
    <t xml:space="preserve">L-RR8</t>
  </si>
  <si>
    <t xml:space="preserve">A park can be wrong. Token encryption sat blocked behind D14 for three days although it needed nothing from Stripe — the plan inherited the park without testing it.</t>
  </si>
  <si>
    <t xml:space="preserve">When work is parked behind a dependency, state WHY it needs that dependency. Re-test parked items against their stated reason before accepting the block.</t>
  </si>
  <si>
    <t xml:space="preserve">L-RR9</t>
  </si>
  <si>
    <t xml:space="preserve">Testing against a fake hides the defects that matter. Swapping an in-memory stub for a real embedded Postgres produced two failures within minutes — both would have surfaced only when Senthil first pointed the app at a live database.</t>
  </si>
  <si>
    <t xml:space="preserve">Use a real engine in tests wherever one can be embedded (PGlite for Postgres). Extend to the sibling products.</t>
  </si>
  <si>
    <t xml:space="preserve">L-RR10</t>
  </si>
  <si>
    <t xml:space="preserve">The park audit has now found FOUR items wrongly blocked behind D14 (token encryption, signed sessions, Postgres adapters, the whole of ACT-09). Every one was parked by inheritance rather than by Senthil. Roughly a full day of buildable work sat idle.</t>
  </si>
  <si>
    <t xml:space="preserve">When anything is marked blocked, record WHO blocked it and WHY. Re-test the reason, not the label. Apply this audit to the other ten products.</t>
  </si>
  <si>
    <t xml:space="preserve">L-RR11</t>
  </si>
  <si>
    <t xml:space="preserve">A test can document a defect instead of failing on it. The F-RR19 test asserted "an absent domain restores 0 of 0 and looks fine" and was written by the same author who had just described that behaviour as the failure to prevent.</t>
  </si>
  <si>
    <t xml:space="preserve">When a test comment explains why a surprising result is acceptable, treat it as a review finding. Re-read assertions that accommodate behaviour rather than demanding it.</t>
  </si>
  <si>
    <t xml:space="preserve">L-RR12</t>
  </si>
  <si>
    <t xml:space="preserve">Code written today needs the same adversarial pass as code written last week. 29 defects have now been found across 4 passes, every one in code sitting at 100% coverage; pass 4 found 4 in modules only hours old.</t>
  </si>
  <si>
    <t xml:space="preserve">Run the pass on the session output before declaring the session complete, not only before declaring the product complete.</t>
  </si>
  <si>
    <t xml:space="preserve">L-RR13</t>
  </si>
  <si>
    <t xml:space="preserve">The reachability gate can be satisfied by a TYPE-ONLY import. scheduler.ts looked wired because store/pg.ts imported its interfaces, while nothing constructed it. A gate measures what it measures.</t>
  </si>
  <si>
    <t xml:space="preserve">Strengthen the gate to require a runtime reference (constructor call or function invocation), not merely an import. Applies to at-review-gates and therefore to every product adopting it.</t>
  </si>
  <si>
    <t xml:space="preserve">Closed v016 — reachability gate reads compiled JS; found V-12 on first run</t>
  </si>
  <si>
    <t xml:space="preserve">L-RR14</t>
  </si>
  <si>
    <t xml:space="preserve">Five review passes have now found 30 defects and 3 structural gaps, all in code at 100% coverage. The largest — a product with no core loop — was invisible to every module-level test and to four earlier passes, and surfaced only when the question changed from "is this module correct" to "does the whole thing actually run".</t>
  </si>
  <si>
    <t xml:space="preserve">Add a cross-module pass that asks what executes each piece of scheduled or deferred work, on every product.</t>
  </si>
  <si>
    <t xml:space="preserve">L-RR15</t>
  </si>
  <si>
    <t xml:space="preserve">A silent default is more dangerous than a throwing one. A port that defaults to "nobody opted out" passes every test, because every test wires a real one — and then messages opted-out customers in production. A default that cannot do the job must fail at configuration time.</t>
  </si>
  <si>
    <t xml:space="preserve">Ports with no safe default are now required parameters; production config is validated fail-closed at startup.</t>
  </si>
  <si>
    <t xml:space="preserve">L-RR16</t>
  </si>
  <si>
    <t xml:space="preserve">Findings from an independent review of ANOTHER product transferred directly: three real defects here in minutes, including one that made the application unable to serve a request. RevRescue has still never had an independent review of its own.</t>
  </si>
  <si>
    <t xml:space="preserve">ACT-20 (external reviewer, REVIEW_PACK.md ready) is now the highest-value item Senthil can start; on this evidence it will find things five internal passes did not.</t>
  </si>
  <si>
    <t xml:space="preserve">Partly addressed — first independent (AI) review received 16 Sep and applied; developer-led review still open (RR-P060)</t>
  </si>
  <si>
    <t xml:space="preserve">P-RR01</t>
  </si>
  <si>
    <t xml:space="preserve">Issue (review V001)</t>
  </si>
  <si>
    <t xml:space="preserve">Scheduler recoveries written with amountCents: 0 — product would recover money and bill nothing</t>
  </si>
  <si>
    <t xml:space="preserve">High / Certain (verified)</t>
  </si>
  <si>
    <t xml:space="preserve">Fixed in v016 with regressions — see REVIEW_RESPONSE.md</t>
  </si>
  <si>
    <t xml:space="preserve">Closed at integration</t>
  </si>
  <si>
    <t xml:space="preserve">P-RR02</t>
  </si>
  <si>
    <t xml:space="preserve">No payment-success handler; dunning and save-offer recoveries unattributable</t>
  </si>
  <si>
    <t xml:space="preserve">Closed at integration; Open — real-payload validation + charge-&gt;invoice adapter (D14)</t>
  </si>
  <si>
    <t xml:space="preserve">P-RR03</t>
  </si>
  <si>
    <t xml:space="preserve">Statements unbounded by period; fee_statements never written; history re-billed monthly</t>
  </si>
  <si>
    <t xml:space="preserve">P-RR04</t>
  </si>
  <si>
    <t xml:space="preserve">Capped statement lines did not reconcile with the charged total</t>
  </si>
  <si>
    <t xml:space="preserve">P-RR05</t>
  </si>
  <si>
    <t xml:space="preserve">No idempotency keys on retries — double-charge risk on crash/replay</t>
  </si>
  <si>
    <t xml:space="preserve">Closed at integration; Open — Stripe test-mode replay test (RR-P013, D14)</t>
  </si>
  <si>
    <t xml:space="preserve">P-RR06</t>
  </si>
  <si>
    <t xml:space="preserve">Plan limits enforced nowhere (F-RR03 recurrence)</t>
  </si>
  <si>
    <t xml:space="preserve">Closed at integration; Open — plan values (pricing decision)</t>
  </si>
  <si>
    <t xml:space="preserve">P-RR07</t>
  </si>
  <si>
    <t xml:space="preserve">Claims gate regex-only; tables with no writer</t>
  </si>
  <si>
    <t xml:space="preserve">P-RR08</t>
  </si>
  <si>
    <t xml:space="preserve">Alert mutes and grace cadence hardcoded in the composition root</t>
  </si>
  <si>
    <t xml:space="preserve">Closed at integration; Open — grace trigger depends on DEC-02</t>
  </si>
  <si>
    <t xml:space="preserve">P-RR09</t>
  </si>
  <si>
    <t xml:space="preserve">Webhook dedupe held in process memory</t>
  </si>
  <si>
    <t xml:space="preserve">P-RR10</t>
  </si>
  <si>
    <t xml:space="preserve">Fail-closed config trusted booleans; no durable send ledger or opt-out store existed</t>
  </si>
  <si>
    <t xml:space="preserve">P-RR11</t>
  </si>
  <si>
    <t xml:space="preserve">No migration ledger, checksum or lock</t>
  </si>
  <si>
    <t xml:space="preserve">P-RR12</t>
  </si>
  <si>
    <t xml:space="preserve">No session revocation, rate limiting or security headers; tenant taken from the event body</t>
  </si>
  <si>
    <t xml:space="preserve">Closed at integration; Open — SSO/SCIM (RR-P044), shared limiter/WAF (RR-P045)</t>
  </si>
  <si>
    <t xml:space="preserve">V-01</t>
  </si>
  <si>
    <t xml:space="preserve">Issue (v016 verification)</t>
  </si>
  <si>
    <t xml:space="preserve">Dunning never stopped when an invoice was paid — paying customers kept receiving day-4/day-7 messages</t>
  </si>
  <si>
    <t xml:space="preserve">Fixed in v016 — Stop on success/recovery/cancellation; running step cannot resurrect</t>
  </si>
  <si>
    <t xml:space="preserve">V-02</t>
  </si>
  <si>
    <t xml:space="preserve">ON CONFLICT DO NOTHING let a £0 scheduler row permanently beat the real payment</t>
  </si>
  <si>
    <t xml:space="preserve">Fixed in v016 — Zero refused in code and DB; duplicates audited</t>
  </si>
  <si>
    <t xml:space="preserve">V-03</t>
  </si>
  <si>
    <t xml:space="preserve">Eight tables without a writer (team_members, telemetry beyond the six reported)</t>
  </si>
  <si>
    <t xml:space="preserve">Fixed in v016 — Writers added; schema gate</t>
  </si>
  <si>
    <t xml:space="preserve">V-04</t>
  </si>
  <si>
    <t xml:space="preserve">Dunning pickup was a plain SELECT (not an atomic claim)</t>
  </si>
  <si>
    <t xml:space="preserve">Fixed in v016 — Expiring claim with SKIP LOCKED</t>
  </si>
  <si>
    <t xml:space="preserve">V-05</t>
  </si>
  <si>
    <t xml:space="preserve">Event time read from created_ms, which Stripe does not send — failures timed at 1970</t>
  </si>
  <si>
    <t xml:space="preserve">Fixed in v016 — Stripe created (unix seconds)</t>
  </si>
  <si>
    <t xml:space="preserve">V-06</t>
  </si>
  <si>
    <t xml:space="preserve">Delete-my-data missed disputes, reversals, retry_queue, dunning_state — customer emails survived</t>
  </si>
  <si>
    <t xml:space="preserve">Fixed in v016 — Registry covers every account-scoped table; checked from Postgres</t>
  </si>
  <si>
    <t xml:space="preserve">V-07</t>
  </si>
  <si>
    <t xml:space="preserve">npm run gates ran the claims gate on an EMPTY list; no drift gate; gates.config.mjs read by nothing</t>
  </si>
  <si>
    <t xml:space="preserve">Fixed in v016 — One config; empty input fails</t>
  </si>
  <si>
    <t xml:space="preserve">V-08</t>
  </si>
  <si>
    <t xml:space="preserve">One Slack channel for every tenant — cross-tenant disclosure of invoice ids</t>
  </si>
  <si>
    <t xml:space="preserve">Fixed in v016 — Channel per account</t>
  </si>
  <si>
    <t xml:space="preserve">V-09</t>
  </si>
  <si>
    <t xml:space="preserve">Router built without an error sink — every 500 cause lost</t>
  </si>
  <si>
    <t xml:space="preserve">Fixed in v016 — onError/onSecurityEvent required</t>
  </si>
  <si>
    <t xml:space="preserve">V-10</t>
  </si>
  <si>
    <t xml:space="preserve">Demo sink had no implementation</t>
  </si>
  <si>
    <t xml:space="preserve">Fixed in v016 — PgDemoSink; demo accounts never billed</t>
  </si>
  <si>
    <t xml:space="preserve">V-11</t>
  </si>
  <si>
    <t xml:space="preserve">Help article 14 promises denied actions are recorded; nothing recorded them</t>
  </si>
  <si>
    <t xml:space="preserve">Fixed in v016 — Denials written to the audit trail</t>
  </si>
  <si>
    <t xml:space="preserve">V-12</t>
  </si>
  <si>
    <t xml:space="preserve">ST-070 circuit breaker had no production caller (hidden by a type import)</t>
  </si>
  <si>
    <t xml:space="preserve">Fixed in v016 — Breaker guards scheduler platform calls; backoff still awaits the D14 adapter</t>
  </si>
  <si>
    <t xml:space="preserve">V-13</t>
  </si>
  <si>
    <t xml:space="preserve">Issue (content)</t>
  </si>
  <si>
    <t xml:space="preserve">Help 13 says the export is CSV (it is JSON); FAQ "we don't claim it" is only backed for payments with no RevRescue action — incrementality needs the holdback (S17)</t>
  </si>
  <si>
    <t xml:space="preserve">Fixed in v017 (help 13: JSON + immediate deletion; FAQ states exactly what is billed and what cannot yet be proven); both sentences gated</t>
  </si>
  <si>
    <t xml:space="preserve">Fixed — wording awaits Senthil approval</t>
  </si>
  <si>
    <t xml:space="preserve">L-RR17</t>
  </si>
  <si>
    <t xml:space="preserve">Five internal passes and 100% coverage did not find money bugs an outside reviewer found in hours: nothing asserted a property of the money. Coverage measures execution.</t>
  </si>
  <si>
    <t xml:space="preserve">R10: invariants as gates and runtime checks; mutation-check each gate.</t>
  </si>
  <si>
    <t xml:space="preserve">L-RR18</t>
  </si>
  <si>
    <t xml:space="preserve">A gate with empty input passes. CI ran the claims gate over [] for several releases while the test suite ran it over a real list — two sources of truth, one of them hollow.</t>
  </si>
  <si>
    <t xml:space="preserve">One gate config; empty input is a failure.</t>
  </si>
  <si>
    <t xml:space="preserve">L-RR19</t>
  </si>
  <si>
    <t xml:space="preserve">The composition root is where the product decides what things MEAN; three of twelve findings were literals there.</t>
  </si>
  <si>
    <t xml:space="preserve">R11 + composition-root gate.</t>
  </si>
  <si>
    <t xml:space="preserve">L-RR20</t>
  </si>
  <si>
    <t xml:space="preserve">Property tests and end-to-end tests find different bugs: 400 random histories missed a billing-run counting error that one HTTP acceptance test found at once.</t>
  </si>
  <si>
    <t xml:space="preserve">Keep both; add acceptance tests for every published promise (RR-P055).</t>
  </si>
  <si>
    <t xml:space="preserve">L-RR21</t>
  </si>
  <si>
    <t xml:space="preserve">Verifying a review before fixing it paid off: every finding was real, and verification alone found four more, including one customer-facing (V-01) the reviewer missed.</t>
  </si>
  <si>
    <t xml:space="preserve">Verify-then-fix as standard for every external review across the portfolio.</t>
  </si>
  <si>
    <t xml:space="preserve">V-14</t>
  </si>
  <si>
    <t xml:space="preserve">Issue (v017 build)</t>
  </si>
  <si>
    <t xml:space="preserve">Dunning test mode was wired to the LIVE WhatsApp adapter (sandbox port = WhatsApp), so test-mode messages would have reached real customers; live WhatsApp steps went to the email adapter. Present since before v015.</t>
  </si>
  <si>
    <t xml:space="preserve">Fixed v017: channel router for live sends; separate required sandbox sender; test proves nothing live in test mode</t>
  </si>
  <si>
    <t xml:space="preserve">V-15</t>
  </si>
  <si>
    <t xml:space="preserve">Scheduler circuit breaker used wall-clock time while the scheduler runs on the application clock</t>
  </si>
  <si>
    <t xml:space="preserve">Fixed v017: breaker takes the application clock</t>
  </si>
  <si>
    <t xml:space="preserve">V-16</t>
  </si>
  <si>
    <t xml:space="preserve">New redaction masked ISO dates as phone numbers, hiding billing periods in errors</t>
  </si>
  <si>
    <t xml:space="preserve">Low / Certain</t>
  </si>
  <si>
    <t xml:space="preserve">Fixed before release: 9-digit minimum, dates excluded</t>
  </si>
  <si>
    <t xml:space="preserve">Closed</t>
  </si>
  <si>
    <t xml:space="preserve">DEC-D5</t>
  </si>
  <si>
    <t xml:space="preserve">Decision</t>
  </si>
  <si>
    <t xml:space="preserve">Approve the corrected help 13 and FAQ wording (text in v017 REVIEW_RESPONSE / chat 18:xx)</t>
  </si>
  <si>
    <t xml:space="preserve">Senthil to approve or amend before listing</t>
  </si>
  <si>
    <t xml:space="preserve">DEC-RET</t>
  </si>
  <si>
    <t xml:space="preserve">Retention periods: audit 7 years, dunning history 2 years, telemetry 13 months, resolved dead letters 90 days (RETENTION.md)</t>
  </si>
  <si>
    <t xml:space="preserve">Senthil to confirm; must match trust page and DPA (RR-P047)</t>
  </si>
  <si>
    <t xml:space="preserve">DEC-OPS</t>
  </si>
  <si>
    <t xml:space="preserve">Name the operator allowlist and custodian of the operator signing key</t>
  </si>
  <si>
    <t xml:space="preserve">R-RLS</t>
  </si>
  <si>
    <t xml:space="preserve">Row-level security is bypassed by a superuser or BYPASSRLS login, and the app login can switch to the system role</t>
  </si>
  <si>
    <t xml:space="preserve">High / Low</t>
  </si>
  <si>
    <t xml:space="preserve">OPERATIONS.md: non-superuser login without BYPASSRLS; all SQL parameterised; verify on production Postgres</t>
  </si>
  <si>
    <t xml:space="preserve">L-RR22</t>
  </si>
  <si>
    <t xml:space="preserve">Wiring is where the worst defects hide: V-14 sent test-mode messages to real customers and survived every module test, because nothing distinguished the live sender from the sandbox until an acceptance test did.</t>
  </si>
  <si>
    <t xml:space="preserve">Every port pair (live/sandbox, tenant/system) gets a test that tells its two sides apart.</t>
  </si>
  <si>
    <t xml:space="preserve">L-RR23</t>
  </si>
  <si>
    <t xml:space="preserve">Mutation testing found seven assertions missing from a suite already at 100% coverage and passing a 400-history property gate.</t>
  </si>
  <si>
    <t xml:space="preserve">Keep the mutation gate in CI; read survivors, do not just chase the score.</t>
  </si>
  <si>
    <t xml:space="preserve">COMPLETION GATE (D7) — RevRescue is DONE only when every row is Done</t>
  </si>
  <si>
    <t xml:space="preserve">R2: code complete counts for nothing. Gate decision = Senthil on evidence (R5/D10). LC items from v007 Launch_Checklist.</t>
  </si>
  <si>
    <t xml:space="preserve">Gate item</t>
  </si>
  <si>
    <t xml:space="preserve">Source</t>
  </si>
  <si>
    <t xml:space="preserve">G-01</t>
  </si>
  <si>
    <t xml:space="preserve">App LISTED on Stripe App Marketplace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</si>
  <si>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</si>
  <si>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</si>
  <si>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</si>
  <si>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</si>
  <si>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</si>
  <si>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</si>
  <si>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</si>
  <si>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</si>
  <si>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</si>
  <si>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</si>
  <si>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TeleField (rank 2) build authorised; RevRescue enters R4 ops floor</t>
  </si>
  <si>
    <t xml:space="preserve">N4 / R1</t>
  </si>
  <si>
    <t xml:space="preserve">LC-1</t>
  </si>
  <si>
    <t xml:space="preserve">Stripe app manifest + restricted API key scopes</t>
  </si>
  <si>
    <t xml:space="preserve">v007 LC</t>
  </si>
  <si>
    <t xml:space="preserve">LC-2</t>
  </si>
  <si>
    <t xml:space="preserve">No-card-data architecture attestation documented</t>
  </si>
  <si>
    <t xml:space="preserve">LC-3</t>
  </si>
  <si>
    <t xml:space="preserve">UI extension guidelines compliance (React sandbox)</t>
  </si>
  <si>
    <t xml:space="preserve">LC-4</t>
  </si>
  <si>
    <t xml:space="preserve">Webhook resilience: retry + dedupe + replay protection</t>
  </si>
  <si>
    <t xml:space="preserve">LC-5</t>
  </si>
  <si>
    <t xml:space="preserve">Recovery attribution logic audited (no double-counting)</t>
  </si>
  <si>
    <t xml:space="preserve">LC-6</t>
  </si>
  <si>
    <t xml:space="preserve">Outcome-billing transparency page (now ALSO a review requirement — R5 finding)</t>
  </si>
  <si>
    <t xml:space="preserve">v007 LC + S0</t>
  </si>
  <si>
    <t xml:space="preserve">LC-7</t>
  </si>
  <si>
    <t xml:space="preserve">Dunning templates compliance (CAN-SPAM/DPDP)</t>
  </si>
  <si>
    <t xml:space="preserve">LC-8</t>
  </si>
  <si>
    <t xml:space="preserve">Review submission with demo account + TEST PLAN + credentials (per current review reqs)</t>
  </si>
  <si>
    <t xml:space="preserve">LC-9</t>
  </si>
  <si>
    <t xml:space="preserve">Listing assets + 90-second demo video</t>
  </si>
  <si>
    <t xml:space="preserve">LC-10</t>
  </si>
  <si>
    <t xml:space="preserve">Case-study calculator embedded on listing</t>
  </si>
  <si>
    <t xml:space="preserve">LC-11</t>
  </si>
  <si>
    <t xml:space="preserve">Sandbox support declared in app manifest (Feb 2025 review requirement)</t>
  </si>
  <si>
    <t xml:space="preserve">S0 finding</t>
  </si>
  <si>
    <t xml:space="preserve">LC-12</t>
  </si>
  <si>
    <t xml:space="preserve">Export self-classification: certify app as EAR99 or ECCN 5D992 (uses encryption) per §14.3 — non-conforming classification prohibited</t>
  </si>
  <si>
    <t xml:space="preserve">S0 finding (E005)</t>
  </si>
  <si>
    <t xml:space="preserve">LC-13</t>
  </si>
  <si>
    <t xml:space="preserve">Data-breach incident-mgmt program documented incl. 72-hr notice to stripe-apps-security@stripe.com (§11); folded into ST-098 launch runbook</t>
  </si>
  <si>
    <t xml:space="preserve">LC-14</t>
  </si>
  <si>
    <t xml:space="preserve">Cold-review pass 2 + verification sweep against live Stripe documentation completed before submission</t>
  </si>
  <si>
    <t xml:space="preserve">S0 audit (E013)</t>
  </si>
  <si>
    <t xml:space="preserve">LC-15</t>
  </si>
  <si>
    <t xml:space="preserve">Reachability and published-claims CI gates ported from TestPulse — v2 in v016</t>
  </si>
  <si>
    <t xml:space="preserve">Action plan PORT-03</t>
  </si>
  <si>
    <t xml:space="preserve">LC-16</t>
  </si>
  <si>
    <t xml:space="preserve">App manifest grants event_read plus a permission per subscribed event; webhook endpoint registered to listen on connected accounts (VER-RR05)</t>
  </si>
  <si>
    <t xml:space="preserve">Sweep 13 Sep (E015)</t>
  </si>
  <si>
    <t xml:space="preserve">LC-17</t>
  </si>
  <si>
    <t xml:space="preserve">CI enforces the quality bar: type check, 100% coverage, and the review gates, each failing the build independently (v020: seven gates, one config, empty input fails — V-07)</t>
  </si>
  <si>
    <t xml:space="preserve">ST-085 (E024)</t>
  </si>
  <si>
    <t xml:space="preserve">LC-18</t>
  </si>
  <si>
    <t xml:space="preserve">Money-invariant gate (R10): 400 random 6-month histories; runtime refusal of a violating statement; mutation-checked</t>
  </si>
  <si>
    <t xml:space="preserve">Review V001 / RR-P006</t>
  </si>
  <si>
    <t xml:space="preserve">LC-19</t>
  </si>
  <si>
    <t xml:space="preserve">LC-20</t>
  </si>
  <si>
    <t xml:space="preserve">Composition-root gate (R11): no literal where persisted state belongs</t>
  </si>
  <si>
    <t xml:space="preserve">LC-21</t>
  </si>
  <si>
    <t xml:space="preserve">Published-claims gate v2: claim -&gt; module -&gt; route -&gt; persisted write (UI level pending S16)</t>
  </si>
  <si>
    <t xml:space="preserve">LC-22</t>
  </si>
  <si>
    <t xml:space="preserve">Event-coverage gate: every subscribed Stripe event has a handler, and vice versa</t>
  </si>
  <si>
    <t xml:space="preserve">LC-23</t>
  </si>
  <si>
    <t xml:space="preserve">Reachability gate reads compiled output (type-only imports no longer count)</t>
  </si>
  <si>
    <t xml:space="preserve">LC-24</t>
  </si>
  <si>
    <t xml:space="preserve">Contract tests against Stripe test mode in CI, incl. idempotent retry replay</t>
  </si>
  <si>
    <t xml:space="preserve">RR-P013 / RR-P059</t>
  </si>
  <si>
    <t xml:space="preserve">LC-25</t>
  </si>
  <si>
    <t xml:space="preserve">Mutation testing (StrykerJS) &gt;= 85% killed on the money path — 99.1% (464/468) locally; CI step added (v017)</t>
  </si>
  <si>
    <t xml:space="preserve">LC-26</t>
  </si>
  <si>
    <t xml:space="preserve">Pricing model confirmed in writing with Stripe before listing</t>
  </si>
  <si>
    <t xml:space="preserve">Review decision 3 / RR-P049</t>
  </si>
  <si>
    <t xml:space="preserve">LC-27</t>
  </si>
  <si>
    <t xml:space="preserve">Row-level security forced on every account-scoped table; tenant/system roles; checked by test</t>
  </si>
  <si>
    <t xml:space="preserve">LC-28</t>
  </si>
  <si>
    <t xml:space="preserve">Audit trail tamper-evident and merchant-verifiable (GET /api/audit/verify)</t>
  </si>
  <si>
    <t xml:space="preserve">LC-29</t>
  </si>
  <si>
    <t xml:space="preserve">Production database login is not superuser and lacks BYPASSRLS; isolation re-run on production Postgres</t>
  </si>
  <si>
    <t xml:space="preserve">OPERATIONS.md</t>
  </si>
  <si>
    <t xml:space="preserve">LC-30</t>
  </si>
  <si>
    <t xml:space="preserve">Dunning test mode proven to send nothing to a live channel (V-14)</t>
  </si>
  <si>
    <t xml:space="preserve">LC-11 / V-14</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</si>
</sst>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i val="true"/>
      <sz val="9"/>
      <name val="Arial"/>
      <family val="0"/>
      <charset val="1"/>
    </font>
    <font>
      <b val="true"/>
      <sz val="10"/>
      <color rgb="FF000000"/>
      <name val="Arial"/>
      <family val="0"/>
      <charset val="1"/>
    </font>
    <font>
      <sz val="10"/>
      <color rgb="FF000000"/>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22"/>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c r="B1" s="3"/>
      <c r="C1" s="3"/>
      <c r="D1" s="3"/>
      <c r="E1" s="3"/>
    </row>
    <row r="2" customFormat="false" ht="15" hidden="false" customHeight="true" outlineLevel="0" collapsed="false">
      <c r="A2" s="4" t="s">
        <v>1</v>
      </c>
    </row>
    <row r="3" customFormat="false" ht="15" hidden="false" customHeight="true" outlineLevel="0" collapsed="false">
      <c r="A3" s="5" t="s">
        <v>2</v>
      </c>
      <c r="B3" s="5" t="s">
        <v>3</v>
      </c>
      <c r="C3" s="5" t="s">
        <v>4</v>
      </c>
      <c r="D3" s="5" t="s">
        <v>5</v>
      </c>
      <c r="E3" s="5" t="s">
        <v>6</v>
      </c>
    </row>
    <row r="4" customFormat="false" ht="45.75" hidden="false" customHeight="true" outlineLevel="0" collapsed="false">
      <c r="A4" s="6" t="s">
        <v>7</v>
      </c>
      <c r="B4" s="6" t="s">
        <v>8</v>
      </c>
      <c r="C4" s="6" t="s">
        <v>9</v>
      </c>
      <c r="D4" s="6" t="s">
        <v>10</v>
      </c>
      <c r="E4" s="6" t="s">
        <v>11</v>
      </c>
    </row>
    <row r="5" customFormat="false" ht="23.25" hidden="false" customHeight="true" outlineLevel="0" collapsed="false">
      <c r="A5" s="7" t="s">
        <v>12</v>
      </c>
      <c r="B5" s="7" t="s">
        <v>13</v>
      </c>
      <c r="C5" s="7" t="s">
        <v>9</v>
      </c>
      <c r="D5" s="7" t="s">
        <v>14</v>
      </c>
      <c r="E5" s="7" t="s">
        <v>11</v>
      </c>
    </row>
    <row r="6" customFormat="false" ht="23.25" hidden="false" customHeight="true" outlineLevel="0" collapsed="false">
      <c r="A6" s="7" t="s">
        <v>15</v>
      </c>
      <c r="B6" s="7" t="s">
        <v>16</v>
      </c>
      <c r="C6" s="7" t="s">
        <v>9</v>
      </c>
      <c r="D6" s="7" t="s">
        <v>17</v>
      </c>
      <c r="E6" s="7" t="s">
        <v>11</v>
      </c>
    </row>
    <row r="7" customFormat="false" ht="23.25" hidden="false" customHeight="true" outlineLevel="0" collapsed="false">
      <c r="A7" s="7" t="s">
        <v>18</v>
      </c>
      <c r="B7" s="7" t="s">
        <v>19</v>
      </c>
      <c r="C7" s="7" t="s">
        <v>9</v>
      </c>
      <c r="D7" s="7" t="s">
        <v>20</v>
      </c>
      <c r="E7" s="7" t="s">
        <v>11</v>
      </c>
    </row>
    <row r="8" customFormat="false" ht="15" hidden="false" customHeight="true" outlineLevel="0" collapsed="false">
      <c r="A8" s="7" t="s">
        <v>21</v>
      </c>
      <c r="B8" s="7" t="s">
        <v>22</v>
      </c>
      <c r="C8" s="7" t="s">
        <v>9</v>
      </c>
      <c r="D8" s="7" t="s">
        <v>23</v>
      </c>
      <c r="E8" s="7" t="s">
        <v>11</v>
      </c>
    </row>
    <row r="9" customFormat="false" ht="23.25" hidden="false" customHeight="true" outlineLevel="0" collapsed="false">
      <c r="A9" s="7" t="s">
        <v>24</v>
      </c>
      <c r="B9" s="7" t="s">
        <v>25</v>
      </c>
      <c r="C9" s="7" t="s">
        <v>9</v>
      </c>
      <c r="D9" s="7" t="s">
        <v>26</v>
      </c>
      <c r="E9" s="7" t="s">
        <v>11</v>
      </c>
    </row>
    <row r="10" customFormat="false" ht="23.25" hidden="false" customHeight="true" outlineLevel="0" collapsed="false">
      <c r="A10" s="7" t="s">
        <v>27</v>
      </c>
      <c r="B10" s="7" t="s">
        <v>28</v>
      </c>
      <c r="C10" s="7" t="s">
        <v>9</v>
      </c>
      <c r="D10" s="7" t="s">
        <v>29</v>
      </c>
      <c r="E10" s="7" t="s">
        <v>11</v>
      </c>
    </row>
    <row r="11" customFormat="false" ht="23.25" hidden="false" customHeight="true" outlineLevel="0" collapsed="false">
      <c r="A11" s="7" t="s">
        <v>30</v>
      </c>
      <c r="B11" s="7" t="s">
        <v>31</v>
      </c>
      <c r="C11" s="7" t="s">
        <v>9</v>
      </c>
      <c r="D11" s="7" t="s">
        <v>32</v>
      </c>
      <c r="E11" s="7" t="s">
        <v>11</v>
      </c>
    </row>
    <row r="12" customFormat="false" ht="23.25" hidden="false" customHeight="true" outlineLevel="0" collapsed="false">
      <c r="A12" s="7" t="s">
        <v>33</v>
      </c>
      <c r="B12" s="7" t="s">
        <v>34</v>
      </c>
      <c r="C12" s="7" t="s">
        <v>9</v>
      </c>
      <c r="D12" s="7" t="s">
        <v>35</v>
      </c>
      <c r="E12" s="7" t="s">
        <v>11</v>
      </c>
    </row>
    <row r="13" customFormat="false" ht="23.25" hidden="false" customHeight="true" outlineLevel="0" collapsed="false">
      <c r="A13" s="7" t="s">
        <v>36</v>
      </c>
      <c r="B13" s="7" t="s">
        <v>37</v>
      </c>
      <c r="C13" s="7" t="s">
        <v>9</v>
      </c>
      <c r="D13" s="7" t="s">
        <v>38</v>
      </c>
      <c r="E13" s="7" t="s">
        <v>11</v>
      </c>
    </row>
    <row r="14" customFormat="false" ht="23.25" hidden="false" customHeight="true" outlineLevel="0" collapsed="false">
      <c r="A14" s="7" t="s">
        <v>39</v>
      </c>
      <c r="B14" s="7" t="s">
        <v>40</v>
      </c>
      <c r="C14" s="7" t="s">
        <v>9</v>
      </c>
      <c r="D14" s="7" t="s">
        <v>41</v>
      </c>
      <c r="E14" s="7" t="s">
        <v>11</v>
      </c>
    </row>
    <row r="15" customFormat="false" ht="23.25" hidden="false" customHeight="true" outlineLevel="0" collapsed="false">
      <c r="A15" s="7" t="s">
        <v>42</v>
      </c>
      <c r="B15" s="7" t="s">
        <v>43</v>
      </c>
      <c r="C15" s="7" t="s">
        <v>9</v>
      </c>
      <c r="D15" s="7" t="s">
        <v>44</v>
      </c>
      <c r="E15" s="7" t="s">
        <v>11</v>
      </c>
    </row>
    <row r="16" customFormat="false" ht="23.25" hidden="false" customHeight="true" outlineLevel="0" collapsed="false">
      <c r="A16" s="7" t="s">
        <v>45</v>
      </c>
      <c r="B16" s="7" t="s">
        <v>46</v>
      </c>
      <c r="C16" s="7" t="s">
        <v>9</v>
      </c>
      <c r="D16" s="7" t="s">
        <v>47</v>
      </c>
      <c r="E16" s="7" t="s">
        <v>11</v>
      </c>
    </row>
    <row r="17" customFormat="false" ht="23.25" hidden="false" customHeight="true" outlineLevel="0" collapsed="false">
      <c r="A17" s="7" t="s">
        <v>48</v>
      </c>
      <c r="B17" s="7" t="s">
        <v>49</v>
      </c>
      <c r="C17" s="7" t="s">
        <v>9</v>
      </c>
      <c r="D17" s="7" t="s">
        <v>50</v>
      </c>
      <c r="E17" s="7" t="s">
        <v>11</v>
      </c>
    </row>
    <row r="18" customFormat="false" ht="23.25" hidden="false" customHeight="true" outlineLevel="0" collapsed="false">
      <c r="A18" s="7" t="s">
        <v>51</v>
      </c>
      <c r="B18" s="7" t="s">
        <v>52</v>
      </c>
      <c r="C18" s="7" t="s">
        <v>9</v>
      </c>
      <c r="D18" s="7" t="s">
        <v>53</v>
      </c>
      <c r="E18" s="7" t="s">
        <v>11</v>
      </c>
    </row>
    <row r="19" customFormat="false" ht="15" hidden="false" customHeight="true" outlineLevel="0" collapsed="false">
      <c r="A19" s="7" t="s">
        <v>54</v>
      </c>
      <c r="B19" s="7" t="s">
        <v>55</v>
      </c>
      <c r="C19" s="7" t="s">
        <v>9</v>
      </c>
      <c r="D19" s="7" t="s">
        <v>56</v>
      </c>
      <c r="E19" s="7" t="s">
        <v>11</v>
      </c>
    </row>
    <row r="20" customFormat="false" ht="23.25" hidden="false" customHeight="true" outlineLevel="0" collapsed="false">
      <c r="A20" s="7" t="s">
        <v>57</v>
      </c>
      <c r="B20" s="7" t="s">
        <v>58</v>
      </c>
      <c r="C20" s="7" t="s">
        <v>9</v>
      </c>
      <c r="D20" s="7" t="s">
        <v>59</v>
      </c>
      <c r="E20" s="7" t="s">
        <v>11</v>
      </c>
    </row>
    <row r="21" customFormat="false" ht="15" hidden="false" customHeight="true" outlineLevel="0" collapsed="false">
      <c r="A21" s="7" t="s">
        <v>60</v>
      </c>
      <c r="B21" s="7" t="s">
        <v>61</v>
      </c>
      <c r="C21" s="7" t="s">
        <v>9</v>
      </c>
      <c r="D21" s="7" t="s">
        <v>62</v>
      </c>
      <c r="E21" s="7" t="s">
        <v>11</v>
      </c>
    </row>
    <row r="22" customFormat="false" ht="15" hidden="false" customHeight="true" outlineLevel="0" collapsed="false">
      <c r="A22" s="7" t="s">
        <v>63</v>
      </c>
      <c r="B22" s="7" t="s">
        <v>64</v>
      </c>
      <c r="C22" s="7" t="s">
        <v>9</v>
      </c>
      <c r="D22" s="7" t="s">
        <v>65</v>
      </c>
      <c r="E22" s="7" t="s">
        <v>11</v>
      </c>
    </row>
    <row r="23" customFormat="false" ht="159.75" hidden="false" customHeight="true" outlineLevel="0" collapsed="false">
      <c r="A23" s="7" t="s">
        <v>66</v>
      </c>
      <c r="B23" s="7" t="s">
        <v>67</v>
      </c>
      <c r="C23" s="7" t="s">
        <v>9</v>
      </c>
      <c r="D23" s="7" t="s">
        <v>68</v>
      </c>
      <c r="E23" s="7" t="s">
        <v>11</v>
      </c>
    </row>
    <row r="24" customFormat="false" ht="150" hidden="false" customHeight="true" outlineLevel="0" collapsed="false">
      <c r="A24" s="7" t="s">
        <v>69</v>
      </c>
      <c r="B24" s="7" t="s">
        <v>70</v>
      </c>
      <c r="C24" s="7" t="s">
        <v>9</v>
      </c>
      <c r="D24" s="7" t="s">
        <v>71</v>
      </c>
      <c r="E24" s="7" t="s">
        <v>11</v>
      </c>
    </row>
    <row r="25" customFormat="false" ht="15" hidden="false" customHeight="false" outlineLevel="0" collapsed="false">
      <c r="A25" s="7" t="s">
        <v>72</v>
      </c>
      <c r="B25" s="7"/>
      <c r="C25" s="7"/>
      <c r="D25" s="7" t="s">
        <v>73</v>
      </c>
      <c r="E25" s="7"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5" hidden="false" customHeight="true" outlineLevel="0" collapsed="false">
      <c r="A1" s="2" t="s">
        <v>75</v>
      </c>
    </row>
    <row r="2" customFormat="false" ht="15" hidden="false" customHeight="true" outlineLevel="0" collapsed="false">
      <c r="A2" s="6" t="s">
        <v>76</v>
      </c>
    </row>
    <row r="3" customFormat="false" ht="23.25" hidden="false" customHeight="true" outlineLevel="0" collapsed="false">
      <c r="A3" s="6" t="s">
        <v>77</v>
      </c>
    </row>
    <row r="4" customFormat="false" ht="23.25" hidden="false" customHeight="true" outlineLevel="0" collapsed="false">
      <c r="A4" s="6" t="s">
        <v>78</v>
      </c>
    </row>
    <row r="5" customFormat="false" ht="34.5" hidden="false" customHeight="true" outlineLevel="0" collapsed="false">
      <c r="A5" s="6" t="s">
        <v>79</v>
      </c>
    </row>
    <row r="6" customFormat="false" ht="23.25" hidden="false" customHeight="true" outlineLevel="0" collapsed="false">
      <c r="A6" s="6" t="s">
        <v>80</v>
      </c>
    </row>
    <row r="7" customFormat="false" ht="15" hidden="false" customHeight="true" outlineLevel="0" collapsed="false">
      <c r="A7" s="6" t="s">
        <v>81</v>
      </c>
    </row>
    <row r="8" customFormat="false" ht="15" hidden="false" customHeight="true" outlineLevel="0" collapsed="false">
      <c r="A8" s="6"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55"/>
    <col collapsed="false" customWidth="true" hidden="false" outlineLevel="0" max="4" min="4" style="1" width="60"/>
    <col collapsed="false" customWidth="true" hidden="false" outlineLevel="0" max="5" min="5" style="1" width="16"/>
  </cols>
  <sheetData>
    <row r="1" customFormat="false" ht="15" hidden="false" customHeight="true" outlineLevel="0" collapsed="false">
      <c r="A1" s="2" t="s">
        <v>83</v>
      </c>
      <c r="B1" s="2"/>
      <c r="C1" s="2"/>
      <c r="D1" s="2"/>
      <c r="E1" s="2"/>
    </row>
    <row r="2" customFormat="false" ht="15" hidden="false" customHeight="true" outlineLevel="0" collapsed="false">
      <c r="A2" s="4" t="s">
        <v>84</v>
      </c>
    </row>
    <row r="3" customFormat="false" ht="15" hidden="false" customHeight="true" outlineLevel="0" collapsed="false">
      <c r="A3" s="5" t="s">
        <v>85</v>
      </c>
      <c r="B3" s="5" t="s">
        <v>86</v>
      </c>
      <c r="C3" s="5" t="s">
        <v>87</v>
      </c>
      <c r="D3" s="5" t="s">
        <v>88</v>
      </c>
      <c r="E3" s="5" t="s">
        <v>89</v>
      </c>
    </row>
    <row r="4" customFormat="false" ht="120" hidden="false" customHeight="true" outlineLevel="0" collapsed="false">
      <c r="A4" s="6" t="s">
        <v>90</v>
      </c>
      <c r="B4" s="6" t="s">
        <v>91</v>
      </c>
      <c r="C4" s="6" t="s">
        <v>92</v>
      </c>
      <c r="D4" s="6" t="s">
        <v>93</v>
      </c>
      <c r="E4" s="6" t="s">
        <v>94</v>
      </c>
    </row>
    <row r="5" customFormat="false" ht="120" hidden="false" customHeight="true" outlineLevel="0" collapsed="false">
      <c r="A5" s="6" t="s">
        <v>95</v>
      </c>
      <c r="B5" s="6" t="s">
        <v>96</v>
      </c>
      <c r="C5" s="6" t="s">
        <v>97</v>
      </c>
      <c r="D5" s="6" t="s">
        <v>98</v>
      </c>
      <c r="E5" s="6" t="s">
        <v>94</v>
      </c>
    </row>
    <row r="6" customFormat="false" ht="120" hidden="false" customHeight="true" outlineLevel="0" collapsed="false">
      <c r="A6" s="6" t="s">
        <v>99</v>
      </c>
      <c r="B6" s="6" t="s">
        <v>100</v>
      </c>
      <c r="C6" s="6" t="s">
        <v>101</v>
      </c>
      <c r="D6" s="6" t="s">
        <v>102</v>
      </c>
      <c r="E6" s="6"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0"/>
    <col collapsed="false" customWidth="true" hidden="false" outlineLevel="0" max="3" min="3" style="1" width="18"/>
  </cols>
  <sheetData>
    <row r="1" customFormat="false" ht="15" hidden="false" customHeight="true" outlineLevel="0" collapsed="false">
      <c r="A1" s="2" t="s">
        <v>103</v>
      </c>
      <c r="B1" s="3"/>
      <c r="C1" s="3"/>
    </row>
    <row r="2" customFormat="false" ht="15" hidden="false" customHeight="true" outlineLevel="0" collapsed="false">
      <c r="A2" s="5" t="s">
        <v>104</v>
      </c>
      <c r="B2" s="5" t="s">
        <v>105</v>
      </c>
      <c r="C2" s="5" t="s">
        <v>106</v>
      </c>
    </row>
    <row r="3" customFormat="false" ht="15" hidden="false" customHeight="true" outlineLevel="0" collapsed="false">
      <c r="A3" s="6" t="s">
        <v>107</v>
      </c>
      <c r="B3" s="6" t="s">
        <v>108</v>
      </c>
      <c r="C3" s="6" t="s">
        <v>109</v>
      </c>
    </row>
    <row r="4" customFormat="false" ht="15" hidden="false" customHeight="true" outlineLevel="0" collapsed="false">
      <c r="A4" s="6" t="s">
        <v>110</v>
      </c>
      <c r="B4" s="6" t="s">
        <v>111</v>
      </c>
      <c r="C4" s="6" t="s">
        <v>109</v>
      </c>
    </row>
    <row r="5" customFormat="false" ht="15" hidden="false" customHeight="true" outlineLevel="0" collapsed="false">
      <c r="A5" s="6" t="s">
        <v>112</v>
      </c>
      <c r="B5" s="6" t="s">
        <v>113</v>
      </c>
      <c r="C5" s="6" t="s">
        <v>114</v>
      </c>
    </row>
    <row r="6" customFormat="false" ht="15" hidden="false" customHeight="true" outlineLevel="0" collapsed="false">
      <c r="A6" s="6" t="s">
        <v>115</v>
      </c>
      <c r="B6" s="6" t="s">
        <v>116</v>
      </c>
      <c r="C6" s="6" t="s">
        <v>117</v>
      </c>
    </row>
    <row r="7" customFormat="false" ht="15" hidden="false" customHeight="true" outlineLevel="0" collapsed="false">
      <c r="A7" s="6" t="s">
        <v>118</v>
      </c>
      <c r="B7" s="6" t="s">
        <v>119</v>
      </c>
      <c r="C7" s="6" t="s">
        <v>120</v>
      </c>
    </row>
    <row r="8" customFormat="false" ht="23.25" hidden="false" customHeight="true" outlineLevel="0" collapsed="false">
      <c r="A8" s="6" t="s">
        <v>121</v>
      </c>
      <c r="B8" s="6" t="s">
        <v>122</v>
      </c>
      <c r="C8" s="6" t="s">
        <v>123</v>
      </c>
    </row>
    <row r="9" customFormat="false" ht="15" hidden="false" customHeight="true" outlineLevel="0" collapsed="false">
      <c r="A9" s="6" t="s">
        <v>124</v>
      </c>
      <c r="B9" s="6" t="s">
        <v>125</v>
      </c>
      <c r="C9" s="6" t="s">
        <v>126</v>
      </c>
    </row>
    <row r="10" customFormat="false" ht="15" hidden="false" customHeight="true" outlineLevel="0" collapsed="false">
      <c r="A10" s="6" t="s">
        <v>127</v>
      </c>
      <c r="B10" s="6" t="s">
        <v>128</v>
      </c>
      <c r="C10" s="6" t="s">
        <v>129</v>
      </c>
    </row>
    <row r="11" customFormat="false" ht="23.25" hidden="false" customHeight="true" outlineLevel="0" collapsed="false">
      <c r="A11" s="6" t="s">
        <v>130</v>
      </c>
      <c r="B11" s="6" t="s">
        <v>131</v>
      </c>
      <c r="C11" s="6"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3" min="3" style="1" width="7"/>
    <col collapsed="false" customWidth="true" hidden="false" outlineLevel="0" max="4" min="4" style="1" width="55"/>
    <col collapsed="false" customWidth="true" hidden="false" outlineLevel="0" max="5" min="5" style="1" width="14"/>
    <col collapsed="false" customWidth="true" hidden="false" outlineLevel="0" max="6" min="6" style="1" width="40"/>
    <col collapsed="false" customWidth="true" hidden="false" outlineLevel="0" max="7" min="7" style="1" width="18"/>
    <col collapsed="false" customWidth="true" hidden="false" outlineLevel="0" max="8" min="8" style="1" width="32"/>
  </cols>
  <sheetData>
    <row r="1" customFormat="false" ht="15" hidden="false" customHeight="true" outlineLevel="0" collapsed="false">
      <c r="A1" s="2" t="s">
        <v>132</v>
      </c>
      <c r="B1" s="3"/>
      <c r="C1" s="3"/>
      <c r="D1" s="3"/>
      <c r="E1" s="3"/>
      <c r="F1" s="3"/>
      <c r="G1" s="3"/>
      <c r="H1" s="3"/>
    </row>
    <row r="2" customFormat="false" ht="15" hidden="false" customHeight="true" outlineLevel="0" collapsed="false">
      <c r="A2" s="4" t="s">
        <v>133</v>
      </c>
    </row>
    <row r="3" customFormat="false" ht="15" hidden="false" customHeight="true" outlineLevel="0" collapsed="false">
      <c r="A3" s="5" t="s">
        <v>134</v>
      </c>
      <c r="B3" s="5" t="s">
        <v>3</v>
      </c>
      <c r="C3" s="5" t="s">
        <v>135</v>
      </c>
      <c r="D3" s="5" t="s">
        <v>136</v>
      </c>
      <c r="E3" s="5" t="s">
        <v>137</v>
      </c>
      <c r="F3" s="5" t="s">
        <v>138</v>
      </c>
      <c r="G3" s="5" t="s">
        <v>139</v>
      </c>
      <c r="H3" s="5" t="s">
        <v>140</v>
      </c>
    </row>
    <row r="4" customFormat="false" ht="23.25" hidden="false" customHeight="true" outlineLevel="0" collapsed="false">
      <c r="A4" s="6" t="s">
        <v>141</v>
      </c>
      <c r="B4" s="6" t="s">
        <v>142</v>
      </c>
      <c r="C4" s="6" t="s">
        <v>143</v>
      </c>
      <c r="D4" s="6" t="s">
        <v>144</v>
      </c>
      <c r="E4" s="6" t="s">
        <v>145</v>
      </c>
      <c r="F4" s="6" t="s">
        <v>146</v>
      </c>
      <c r="G4" s="6" t="s">
        <v>147</v>
      </c>
      <c r="H4" s="6" t="s">
        <v>148</v>
      </c>
    </row>
    <row r="5" customFormat="false" ht="34.5" hidden="false" customHeight="true" outlineLevel="0" collapsed="false">
      <c r="A5" s="6" t="s">
        <v>149</v>
      </c>
      <c r="B5" s="6" t="s">
        <v>8</v>
      </c>
      <c r="C5" s="6" t="s">
        <v>143</v>
      </c>
      <c r="D5" s="6" t="s">
        <v>150</v>
      </c>
      <c r="E5" s="6" t="s">
        <v>151</v>
      </c>
      <c r="F5" s="6" t="s">
        <v>152</v>
      </c>
      <c r="G5" s="6" t="s">
        <v>147</v>
      </c>
      <c r="H5" s="6" t="s">
        <v>153</v>
      </c>
    </row>
    <row r="6" customFormat="false" ht="79.5" hidden="false" customHeight="true" outlineLevel="0" collapsed="false">
      <c r="A6" s="6" t="s">
        <v>154</v>
      </c>
      <c r="B6" s="6" t="s">
        <v>8</v>
      </c>
      <c r="C6" s="6" t="s">
        <v>143</v>
      </c>
      <c r="D6" s="6" t="s">
        <v>155</v>
      </c>
      <c r="E6" s="6" t="s">
        <v>156</v>
      </c>
      <c r="F6" s="6" t="s">
        <v>157</v>
      </c>
      <c r="G6" s="6" t="s">
        <v>147</v>
      </c>
      <c r="H6" s="6" t="s">
        <v>158</v>
      </c>
    </row>
    <row r="7" customFormat="false" ht="68.25" hidden="false" customHeight="true" outlineLevel="0" collapsed="false">
      <c r="A7" s="7" t="s">
        <v>159</v>
      </c>
      <c r="B7" s="7" t="s">
        <v>13</v>
      </c>
      <c r="C7" s="7" t="s">
        <v>143</v>
      </c>
      <c r="D7" s="7" t="s">
        <v>160</v>
      </c>
      <c r="E7" s="7" t="s">
        <v>161</v>
      </c>
      <c r="F7" s="7" t="s">
        <v>162</v>
      </c>
      <c r="G7" s="7" t="s">
        <v>163</v>
      </c>
      <c r="H7" s="7" t="s">
        <v>164</v>
      </c>
    </row>
    <row r="8" customFormat="false" ht="180" hidden="false" customHeight="true" outlineLevel="0" collapsed="false">
      <c r="A8" s="7" t="s">
        <v>165</v>
      </c>
      <c r="B8" s="7" t="s">
        <v>16</v>
      </c>
      <c r="C8" s="7" t="s">
        <v>143</v>
      </c>
      <c r="D8" s="7" t="s">
        <v>166</v>
      </c>
      <c r="E8" s="7" t="s">
        <v>167</v>
      </c>
      <c r="F8" s="7" t="s">
        <v>168</v>
      </c>
      <c r="G8" s="7" t="s">
        <v>147</v>
      </c>
      <c r="H8" s="7" t="s">
        <v>169</v>
      </c>
    </row>
    <row r="9" customFormat="false" ht="102" hidden="false" customHeight="true" outlineLevel="0" collapsed="false">
      <c r="A9" s="7" t="s">
        <v>170</v>
      </c>
      <c r="B9" s="7" t="s">
        <v>16</v>
      </c>
      <c r="C9" s="7" t="s">
        <v>143</v>
      </c>
      <c r="D9" s="7" t="s">
        <v>171</v>
      </c>
      <c r="E9" s="7" t="s">
        <v>172</v>
      </c>
      <c r="F9" s="7" t="s">
        <v>173</v>
      </c>
      <c r="G9" s="7" t="s">
        <v>147</v>
      </c>
      <c r="H9" s="7" t="s">
        <v>174</v>
      </c>
    </row>
    <row r="10" customFormat="false" ht="45.75" hidden="false" customHeight="true" outlineLevel="0" collapsed="false">
      <c r="A10" s="7" t="s">
        <v>175</v>
      </c>
      <c r="B10" s="7" t="s">
        <v>176</v>
      </c>
      <c r="C10" s="7" t="s">
        <v>177</v>
      </c>
      <c r="D10" s="7" t="s">
        <v>178</v>
      </c>
      <c r="E10" s="7" t="s">
        <v>179</v>
      </c>
      <c r="F10" s="7" t="s">
        <v>180</v>
      </c>
      <c r="G10" s="7" t="s">
        <v>147</v>
      </c>
      <c r="H10" s="7" t="s">
        <v>181</v>
      </c>
    </row>
    <row r="11" customFormat="false" ht="124.5" hidden="false" customHeight="true" outlineLevel="0" collapsed="false">
      <c r="A11" s="7" t="s">
        <v>182</v>
      </c>
      <c r="B11" s="7" t="s">
        <v>19</v>
      </c>
      <c r="C11" s="7" t="s">
        <v>183</v>
      </c>
      <c r="D11" s="7" t="s">
        <v>184</v>
      </c>
      <c r="E11" s="7" t="s">
        <v>185</v>
      </c>
      <c r="F11" s="7" t="s">
        <v>186</v>
      </c>
      <c r="G11" s="7" t="s">
        <v>147</v>
      </c>
      <c r="H11" s="7" t="s">
        <v>187</v>
      </c>
    </row>
    <row r="12" customFormat="false" ht="57" hidden="false" customHeight="true" outlineLevel="0" collapsed="false">
      <c r="A12" s="7" t="s">
        <v>188</v>
      </c>
      <c r="B12" s="7" t="s">
        <v>22</v>
      </c>
      <c r="C12" s="7" t="s">
        <v>183</v>
      </c>
      <c r="D12" s="7" t="s">
        <v>189</v>
      </c>
      <c r="E12" s="7" t="s">
        <v>190</v>
      </c>
      <c r="F12" s="7" t="s">
        <v>191</v>
      </c>
      <c r="G12" s="7" t="s">
        <v>147</v>
      </c>
      <c r="H12" s="7" t="s">
        <v>192</v>
      </c>
    </row>
    <row r="13" customFormat="false" ht="135.75" hidden="false" customHeight="true" outlineLevel="0" collapsed="false">
      <c r="A13" s="7" t="s">
        <v>193</v>
      </c>
      <c r="B13" s="7" t="s">
        <v>22</v>
      </c>
      <c r="C13" s="7" t="s">
        <v>194</v>
      </c>
      <c r="D13" s="7" t="s">
        <v>195</v>
      </c>
      <c r="E13" s="7" t="s">
        <v>196</v>
      </c>
      <c r="F13" s="7" t="s">
        <v>197</v>
      </c>
      <c r="G13" s="7" t="s">
        <v>198</v>
      </c>
      <c r="H13" s="7" t="s">
        <v>199</v>
      </c>
    </row>
    <row r="14" customFormat="false" ht="135.75" hidden="false" customHeight="true" outlineLevel="0" collapsed="false">
      <c r="A14" s="7" t="s">
        <v>200</v>
      </c>
      <c r="B14" s="7" t="s">
        <v>25</v>
      </c>
      <c r="C14" s="7" t="s">
        <v>194</v>
      </c>
      <c r="D14" s="7" t="s">
        <v>201</v>
      </c>
      <c r="E14" s="7" t="s">
        <v>202</v>
      </c>
      <c r="F14" s="7" t="s">
        <v>203</v>
      </c>
      <c r="G14" s="7" t="s">
        <v>204</v>
      </c>
      <c r="H14" s="7" t="s">
        <v>205</v>
      </c>
    </row>
    <row r="15" customFormat="false" ht="147" hidden="false" customHeight="true" outlineLevel="0" collapsed="false">
      <c r="A15" s="7" t="s">
        <v>206</v>
      </c>
      <c r="B15" s="7" t="s">
        <v>28</v>
      </c>
      <c r="C15" s="7" t="s">
        <v>207</v>
      </c>
      <c r="D15" s="7" t="s">
        <v>208</v>
      </c>
      <c r="E15" s="7" t="s">
        <v>209</v>
      </c>
      <c r="F15" s="7" t="s">
        <v>210</v>
      </c>
      <c r="G15" s="7" t="s">
        <v>211</v>
      </c>
      <c r="H15" s="7" t="s">
        <v>212</v>
      </c>
    </row>
    <row r="16" customFormat="false" ht="157.5" hidden="false" customHeight="true" outlineLevel="0" collapsed="false">
      <c r="A16" s="7" t="s">
        <v>213</v>
      </c>
      <c r="B16" s="7" t="s">
        <v>31</v>
      </c>
      <c r="C16" s="7" t="s">
        <v>214</v>
      </c>
      <c r="D16" s="7" t="s">
        <v>215</v>
      </c>
      <c r="E16" s="7" t="s">
        <v>216</v>
      </c>
      <c r="F16" s="7" t="s">
        <v>217</v>
      </c>
      <c r="G16" s="7" t="s">
        <v>218</v>
      </c>
      <c r="H16" s="7" t="s">
        <v>219</v>
      </c>
    </row>
    <row r="17" customFormat="false" ht="113.25" hidden="false" customHeight="true" outlineLevel="0" collapsed="false">
      <c r="A17" s="7" t="s">
        <v>220</v>
      </c>
      <c r="B17" s="7" t="s">
        <v>31</v>
      </c>
      <c r="C17" s="7" t="s">
        <v>221</v>
      </c>
      <c r="D17" s="7" t="s">
        <v>222</v>
      </c>
      <c r="E17" s="7" t="s">
        <v>223</v>
      </c>
      <c r="F17" s="7" t="s">
        <v>224</v>
      </c>
      <c r="G17" s="7" t="s">
        <v>225</v>
      </c>
      <c r="H17" s="7" t="s">
        <v>226</v>
      </c>
    </row>
    <row r="18" customFormat="false" ht="135.75" hidden="false" customHeight="true" outlineLevel="0" collapsed="false">
      <c r="A18" s="7" t="s">
        <v>227</v>
      </c>
      <c r="B18" s="7" t="s">
        <v>34</v>
      </c>
      <c r="C18" s="7" t="s">
        <v>228</v>
      </c>
      <c r="D18" s="7" t="s">
        <v>229</v>
      </c>
      <c r="E18" s="7" t="s">
        <v>230</v>
      </c>
      <c r="F18" s="7" t="s">
        <v>231</v>
      </c>
      <c r="G18" s="7" t="s">
        <v>147</v>
      </c>
      <c r="H18" s="7" t="s">
        <v>232</v>
      </c>
    </row>
    <row r="19" customFormat="false" ht="157.5" hidden="false" customHeight="true" outlineLevel="0" collapsed="false">
      <c r="A19" s="7" t="s">
        <v>233</v>
      </c>
      <c r="B19" s="7" t="s">
        <v>34</v>
      </c>
      <c r="C19" s="7" t="s">
        <v>234</v>
      </c>
      <c r="D19" s="7" t="s">
        <v>235</v>
      </c>
      <c r="E19" s="7" t="s">
        <v>236</v>
      </c>
      <c r="F19" s="7" t="s">
        <v>237</v>
      </c>
      <c r="G19" s="7" t="s">
        <v>147</v>
      </c>
      <c r="H19" s="7" t="s">
        <v>238</v>
      </c>
    </row>
    <row r="20" customFormat="false" ht="168.75" hidden="false" customHeight="true" outlineLevel="0" collapsed="false">
      <c r="A20" s="7" t="s">
        <v>239</v>
      </c>
      <c r="B20" s="7" t="s">
        <v>37</v>
      </c>
      <c r="C20" s="7" t="s">
        <v>240</v>
      </c>
      <c r="D20" s="7" t="s">
        <v>241</v>
      </c>
      <c r="E20" s="7" t="s">
        <v>242</v>
      </c>
      <c r="F20" s="7" t="s">
        <v>243</v>
      </c>
      <c r="G20" s="7" t="s">
        <v>244</v>
      </c>
      <c r="H20" s="7" t="s">
        <v>245</v>
      </c>
    </row>
    <row r="21" customFormat="false" ht="113.25" hidden="false" customHeight="true" outlineLevel="0" collapsed="false">
      <c r="A21" s="7" t="s">
        <v>246</v>
      </c>
      <c r="B21" s="7" t="s">
        <v>40</v>
      </c>
      <c r="C21" s="7" t="s">
        <v>247</v>
      </c>
      <c r="D21" s="7" t="s">
        <v>248</v>
      </c>
      <c r="E21" s="7" t="s">
        <v>249</v>
      </c>
      <c r="F21" s="7" t="s">
        <v>250</v>
      </c>
      <c r="G21" s="7" t="s">
        <v>147</v>
      </c>
      <c r="H21" s="7" t="s">
        <v>251</v>
      </c>
    </row>
    <row r="22" customFormat="false" ht="124.5" hidden="false" customHeight="true" outlineLevel="0" collapsed="false">
      <c r="A22" s="7" t="s">
        <v>252</v>
      </c>
      <c r="B22" s="7" t="s">
        <v>40</v>
      </c>
      <c r="C22" s="7" t="s">
        <v>253</v>
      </c>
      <c r="D22" s="7" t="s">
        <v>254</v>
      </c>
      <c r="E22" s="7" t="s">
        <v>255</v>
      </c>
      <c r="F22" s="7" t="s">
        <v>256</v>
      </c>
      <c r="G22" s="7" t="s">
        <v>257</v>
      </c>
      <c r="H22" s="7" t="s">
        <v>258</v>
      </c>
    </row>
    <row r="23" customFormat="false" ht="135.75" hidden="false" customHeight="true" outlineLevel="0" collapsed="false">
      <c r="A23" s="7" t="s">
        <v>259</v>
      </c>
      <c r="B23" s="7" t="s">
        <v>43</v>
      </c>
      <c r="C23" s="7" t="s">
        <v>260</v>
      </c>
      <c r="D23" s="7" t="s">
        <v>261</v>
      </c>
      <c r="E23" s="7" t="s">
        <v>262</v>
      </c>
      <c r="F23" s="7" t="s">
        <v>263</v>
      </c>
      <c r="G23" s="7" t="s">
        <v>147</v>
      </c>
      <c r="H23" s="7" t="s">
        <v>264</v>
      </c>
    </row>
    <row r="24" customFormat="false" ht="124.5" hidden="false" customHeight="true" outlineLevel="0" collapsed="false">
      <c r="A24" s="7" t="s">
        <v>265</v>
      </c>
      <c r="B24" s="7" t="s">
        <v>46</v>
      </c>
      <c r="C24" s="7" t="s">
        <v>266</v>
      </c>
      <c r="D24" s="7" t="s">
        <v>267</v>
      </c>
      <c r="E24" s="7" t="s">
        <v>268</v>
      </c>
      <c r="F24" s="7" t="s">
        <v>269</v>
      </c>
      <c r="G24" s="7" t="s">
        <v>147</v>
      </c>
      <c r="H24" s="7" t="s">
        <v>270</v>
      </c>
    </row>
    <row r="25" customFormat="false" ht="135.75" hidden="false" customHeight="true" outlineLevel="0" collapsed="false">
      <c r="A25" s="7" t="s">
        <v>271</v>
      </c>
      <c r="B25" s="7" t="s">
        <v>49</v>
      </c>
      <c r="C25" s="7" t="s">
        <v>272</v>
      </c>
      <c r="D25" s="7" t="s">
        <v>273</v>
      </c>
      <c r="E25" s="7" t="s">
        <v>274</v>
      </c>
      <c r="F25" s="7" t="s">
        <v>275</v>
      </c>
      <c r="G25" s="7" t="s">
        <v>147</v>
      </c>
      <c r="H25" s="7" t="s">
        <v>276</v>
      </c>
    </row>
    <row r="26" customFormat="false" ht="102" hidden="false" customHeight="true" outlineLevel="0" collapsed="false">
      <c r="A26" s="7" t="s">
        <v>277</v>
      </c>
      <c r="B26" s="7" t="s">
        <v>52</v>
      </c>
      <c r="C26" s="7" t="s">
        <v>278</v>
      </c>
      <c r="D26" s="7" t="s">
        <v>279</v>
      </c>
      <c r="E26" s="7" t="s">
        <v>280</v>
      </c>
      <c r="F26" s="7" t="s">
        <v>281</v>
      </c>
      <c r="G26" s="7" t="s">
        <v>147</v>
      </c>
      <c r="H26" s="7" t="s">
        <v>282</v>
      </c>
    </row>
    <row r="27" customFormat="false" ht="102" hidden="false" customHeight="true" outlineLevel="0" collapsed="false">
      <c r="A27" s="7" t="s">
        <v>283</v>
      </c>
      <c r="B27" s="7" t="s">
        <v>55</v>
      </c>
      <c r="C27" s="7" t="s">
        <v>284</v>
      </c>
      <c r="D27" s="7" t="s">
        <v>285</v>
      </c>
      <c r="E27" s="7" t="s">
        <v>286</v>
      </c>
      <c r="F27" s="7" t="s">
        <v>287</v>
      </c>
      <c r="G27" s="7" t="s">
        <v>147</v>
      </c>
      <c r="H27" s="7" t="s">
        <v>288</v>
      </c>
    </row>
    <row r="28" customFormat="false" ht="113.25" hidden="false" customHeight="true" outlineLevel="0" collapsed="false">
      <c r="A28" s="7" t="s">
        <v>289</v>
      </c>
      <c r="B28" s="7" t="s">
        <v>58</v>
      </c>
      <c r="C28" s="7" t="s">
        <v>290</v>
      </c>
      <c r="D28" s="7" t="s">
        <v>291</v>
      </c>
      <c r="E28" s="7" t="s">
        <v>292</v>
      </c>
      <c r="F28" s="7" t="s">
        <v>293</v>
      </c>
      <c r="G28" s="7" t="s">
        <v>147</v>
      </c>
      <c r="H28" s="7" t="s">
        <v>294</v>
      </c>
    </row>
    <row r="29" customFormat="false" ht="113.25" hidden="false" customHeight="true" outlineLevel="0" collapsed="false">
      <c r="A29" s="7" t="s">
        <v>295</v>
      </c>
      <c r="B29" s="7" t="s">
        <v>61</v>
      </c>
      <c r="C29" s="7" t="s">
        <v>296</v>
      </c>
      <c r="D29" s="7" t="s">
        <v>297</v>
      </c>
      <c r="E29" s="7" t="s">
        <v>298</v>
      </c>
      <c r="F29" s="7" t="s">
        <v>299</v>
      </c>
      <c r="G29" s="7" t="s">
        <v>147</v>
      </c>
      <c r="H29" s="7" t="s">
        <v>294</v>
      </c>
    </row>
    <row r="30" customFormat="false" ht="102" hidden="false" customHeight="true" outlineLevel="0" collapsed="false">
      <c r="A30" s="7" t="s">
        <v>300</v>
      </c>
      <c r="B30" s="7" t="s">
        <v>64</v>
      </c>
      <c r="C30" s="7" t="s">
        <v>301</v>
      </c>
      <c r="D30" s="7" t="s">
        <v>302</v>
      </c>
      <c r="E30" s="7" t="s">
        <v>303</v>
      </c>
      <c r="F30" s="7" t="s">
        <v>304</v>
      </c>
      <c r="G30" s="7" t="s">
        <v>147</v>
      </c>
      <c r="H30" s="7" t="s">
        <v>305</v>
      </c>
    </row>
    <row r="31" customFormat="false" ht="240" hidden="false" customHeight="true" outlineLevel="0" collapsed="false">
      <c r="A31" s="7" t="s">
        <v>306</v>
      </c>
      <c r="B31" s="7" t="s">
        <v>67</v>
      </c>
      <c r="C31" s="7" t="s">
        <v>307</v>
      </c>
      <c r="D31" s="7" t="s">
        <v>308</v>
      </c>
      <c r="E31" s="7" t="s">
        <v>309</v>
      </c>
      <c r="F31" s="7" t="s">
        <v>310</v>
      </c>
      <c r="G31" s="7" t="s">
        <v>311</v>
      </c>
      <c r="H31" s="7" t="s">
        <v>312</v>
      </c>
    </row>
    <row r="32" customFormat="false" ht="219.75" hidden="false" customHeight="true" outlineLevel="0" collapsed="false">
      <c r="A32" s="7" t="s">
        <v>313</v>
      </c>
      <c r="B32" s="7" t="s">
        <v>70</v>
      </c>
      <c r="C32" s="7" t="s">
        <v>314</v>
      </c>
      <c r="D32" s="7" t="s">
        <v>315</v>
      </c>
      <c r="E32" s="7" t="s">
        <v>316</v>
      </c>
      <c r="F32" s="7" t="s">
        <v>317</v>
      </c>
      <c r="G32" s="7" t="s">
        <v>318</v>
      </c>
      <c r="H32" s="7"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26"/>
    <col collapsed="false" customWidth="true" hidden="false" outlineLevel="0" max="4" min="4" style="1" width="14"/>
    <col collapsed="false" customWidth="true" hidden="false" outlineLevel="0" max="5" min="5" style="1" width="12"/>
    <col collapsed="false" customWidth="true" hidden="false" outlineLevel="0" max="6" min="6" style="1" width="70"/>
  </cols>
  <sheetData>
    <row r="1" customFormat="false" ht="15" hidden="false" customHeight="true" outlineLevel="0" collapsed="false">
      <c r="A1" s="2" t="s">
        <v>320</v>
      </c>
      <c r="B1" s="3"/>
      <c r="C1" s="3"/>
      <c r="D1" s="3"/>
      <c r="E1" s="3"/>
      <c r="F1" s="3"/>
    </row>
    <row r="2" customFormat="false" ht="15" hidden="false" customHeight="true" outlineLevel="0" collapsed="false">
      <c r="A2" s="4" t="s">
        <v>321</v>
      </c>
    </row>
    <row r="3" customFormat="false" ht="15" hidden="false" customHeight="true" outlineLevel="0" collapsed="false">
      <c r="A3" s="5" t="s">
        <v>322</v>
      </c>
      <c r="B3" s="5" t="s">
        <v>323</v>
      </c>
      <c r="C3" s="5" t="s">
        <v>324</v>
      </c>
      <c r="D3" s="5" t="s">
        <v>325</v>
      </c>
      <c r="E3" s="5" t="s">
        <v>6</v>
      </c>
      <c r="F3" s="5" t="s">
        <v>326</v>
      </c>
    </row>
    <row r="4" customFormat="false" ht="23.25" hidden="false" customHeight="true" outlineLevel="0" collapsed="false">
      <c r="A4" s="7" t="s">
        <v>161</v>
      </c>
      <c r="B4" s="7" t="s">
        <v>327</v>
      </c>
      <c r="C4" s="7" t="s">
        <v>328</v>
      </c>
      <c r="D4" s="7" t="s">
        <v>329</v>
      </c>
      <c r="E4" s="8" t="s">
        <v>330</v>
      </c>
      <c r="F4" s="8" t="s">
        <v>331</v>
      </c>
    </row>
    <row r="5" customFormat="false" ht="23.25" hidden="false" customHeight="true" outlineLevel="0" collapsed="false">
      <c r="A5" s="7" t="s">
        <v>332</v>
      </c>
      <c r="B5" s="7" t="s">
        <v>333</v>
      </c>
      <c r="C5" s="7" t="s">
        <v>334</v>
      </c>
      <c r="D5" s="7" t="s">
        <v>335</v>
      </c>
      <c r="E5" s="8" t="s">
        <v>336</v>
      </c>
      <c r="F5" s="8" t="s">
        <v>337</v>
      </c>
    </row>
    <row r="6" customFormat="false" ht="45.75" hidden="false" customHeight="true" outlineLevel="0" collapsed="false">
      <c r="A6" s="6" t="s">
        <v>156</v>
      </c>
      <c r="B6" s="6" t="s">
        <v>338</v>
      </c>
      <c r="C6" s="6" t="s">
        <v>328</v>
      </c>
      <c r="D6" s="6" t="s">
        <v>339</v>
      </c>
      <c r="E6" s="9" t="s">
        <v>330</v>
      </c>
      <c r="F6" s="9" t="s">
        <v>340</v>
      </c>
    </row>
    <row r="7" customFormat="false" ht="15" hidden="false" customHeight="true" outlineLevel="0" collapsed="false">
      <c r="A7" s="7" t="s">
        <v>172</v>
      </c>
      <c r="B7" s="7" t="s">
        <v>341</v>
      </c>
      <c r="C7" s="7" t="s">
        <v>342</v>
      </c>
      <c r="D7" s="7" t="s">
        <v>343</v>
      </c>
      <c r="E7" s="8" t="s">
        <v>330</v>
      </c>
      <c r="F7" s="8" t="s">
        <v>344</v>
      </c>
    </row>
    <row r="8" customFormat="false" ht="15" hidden="false" customHeight="true" outlineLevel="0" collapsed="false">
      <c r="A8" s="7" t="s">
        <v>345</v>
      </c>
      <c r="B8" s="7" t="s">
        <v>346</v>
      </c>
      <c r="C8" s="7" t="s">
        <v>347</v>
      </c>
      <c r="D8" s="7" t="s">
        <v>348</v>
      </c>
      <c r="E8" s="8" t="s">
        <v>336</v>
      </c>
      <c r="F8" s="8" t="s">
        <v>337</v>
      </c>
    </row>
    <row r="9" customFormat="false" ht="15" hidden="false" customHeight="true" outlineLevel="0" collapsed="false">
      <c r="A9" s="6" t="s">
        <v>349</v>
      </c>
      <c r="B9" s="6" t="s">
        <v>350</v>
      </c>
      <c r="C9" s="6" t="s">
        <v>351</v>
      </c>
      <c r="D9" s="6" t="s">
        <v>348</v>
      </c>
      <c r="E9" s="9" t="s">
        <v>352</v>
      </c>
      <c r="F9" s="9" t="s">
        <v>353</v>
      </c>
    </row>
    <row r="10" customFormat="false" ht="23.25" hidden="false" customHeight="true" outlineLevel="0" collapsed="false">
      <c r="A10" s="6" t="s">
        <v>354</v>
      </c>
      <c r="B10" s="6" t="s">
        <v>355</v>
      </c>
      <c r="C10" s="6" t="s">
        <v>328</v>
      </c>
      <c r="D10" s="6" t="s">
        <v>348</v>
      </c>
      <c r="E10" s="9" t="s">
        <v>352</v>
      </c>
      <c r="F10" s="9" t="s">
        <v>356</v>
      </c>
    </row>
    <row r="11" customFormat="false" ht="15" hidden="false" customHeight="true" outlineLevel="0" collapsed="false">
      <c r="A11" s="6" t="s">
        <v>357</v>
      </c>
      <c r="B11" s="6" t="s">
        <v>358</v>
      </c>
      <c r="C11" s="6" t="s">
        <v>328</v>
      </c>
      <c r="D11" s="6" t="s">
        <v>359</v>
      </c>
      <c r="E11" s="9" t="s">
        <v>352</v>
      </c>
      <c r="F11" s="9" t="s">
        <v>360</v>
      </c>
    </row>
  </sheetData>
  <dataValidations count="1">
    <dataValidation allowBlank="true" errorStyle="stop" operator="between" showDropDown="false" showErrorMessage="false" showInputMessage="false" sqref="E4:E11" type="list">
      <formula1>"To do,In progress,Done,Blocked,Dropped"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30"/>
    <col collapsed="false" customWidth="true" hidden="false" outlineLevel="0" max="4" min="4" style="1" width="70"/>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9" min="8" style="1" width="26"/>
    <col collapsed="false" customWidth="true" hidden="false" outlineLevel="0" max="10" min="10" style="1" width="12"/>
    <col collapsed="false" customWidth="true" hidden="false" outlineLevel="0" max="12" min="11" style="1" width="26"/>
    <col collapsed="false" customWidth="true" hidden="false" outlineLevel="0" max="13" min="13" style="1" width="16"/>
    <col collapsed="false" customWidth="true" hidden="false" outlineLevel="0" max="14" min="14" style="1" width="14"/>
  </cols>
  <sheetData>
    <row r="1" customFormat="false" ht="15" hidden="false" customHeight="true" outlineLevel="0" collapsed="false">
      <c r="A1" s="2" t="s">
        <v>361</v>
      </c>
      <c r="B1" s="3"/>
      <c r="C1" s="3"/>
      <c r="D1" s="3"/>
      <c r="E1" s="3"/>
      <c r="F1" s="3"/>
      <c r="G1" s="3"/>
      <c r="H1" s="3"/>
      <c r="I1" s="3"/>
      <c r="J1" s="3"/>
      <c r="K1" s="3"/>
      <c r="L1" s="3"/>
    </row>
    <row r="2" customFormat="false" ht="15" hidden="false" customHeight="true" outlineLevel="0" collapsed="false">
      <c r="A2" s="4" t="s">
        <v>362</v>
      </c>
    </row>
    <row r="3" customFormat="false" ht="15" hidden="false" customHeight="true" outlineLevel="0" collapsed="false">
      <c r="A3" s="5" t="s">
        <v>363</v>
      </c>
      <c r="B3" s="5" t="s">
        <v>364</v>
      </c>
      <c r="C3" s="5" t="s">
        <v>365</v>
      </c>
      <c r="D3" s="5" t="s">
        <v>366</v>
      </c>
      <c r="E3" s="5" t="s">
        <v>367</v>
      </c>
      <c r="F3" s="5" t="s">
        <v>368</v>
      </c>
      <c r="G3" s="5" t="s">
        <v>135</v>
      </c>
      <c r="H3" s="5" t="s">
        <v>369</v>
      </c>
      <c r="I3" s="5" t="s">
        <v>370</v>
      </c>
      <c r="J3" s="5" t="s">
        <v>6</v>
      </c>
      <c r="K3" s="5" t="s">
        <v>371</v>
      </c>
      <c r="L3" s="5" t="s">
        <v>372</v>
      </c>
      <c r="M3" s="5" t="s">
        <v>373</v>
      </c>
      <c r="N3" s="5" t="s">
        <v>374</v>
      </c>
    </row>
    <row r="4" customFormat="false" ht="15" hidden="false" customHeight="true" outlineLevel="0" collapsed="false">
      <c r="A4" s="6" t="s">
        <v>375</v>
      </c>
      <c r="B4" s="6" t="s">
        <v>376</v>
      </c>
      <c r="C4" s="6" t="s">
        <v>377</v>
      </c>
      <c r="D4" s="6" t="s">
        <v>378</v>
      </c>
      <c r="E4" s="6" t="n">
        <v>5</v>
      </c>
      <c r="F4" s="6" t="s">
        <v>379</v>
      </c>
      <c r="G4" s="6" t="s">
        <v>380</v>
      </c>
      <c r="H4" s="6" t="s">
        <v>381</v>
      </c>
      <c r="I4" s="6" t="s">
        <v>382</v>
      </c>
      <c r="J4" s="8" t="s">
        <v>383</v>
      </c>
      <c r="K4" s="6" t="s">
        <v>384</v>
      </c>
      <c r="L4" s="8" t="s">
        <v>385</v>
      </c>
      <c r="M4" s="6" t="s">
        <v>386</v>
      </c>
      <c r="N4" s="6" t="s">
        <v>387</v>
      </c>
    </row>
    <row r="5" customFormat="false" ht="15" hidden="false" customHeight="true" outlineLevel="0" collapsed="false">
      <c r="A5" s="6" t="s">
        <v>388</v>
      </c>
      <c r="B5" s="6" t="s">
        <v>376</v>
      </c>
      <c r="C5" s="6" t="s">
        <v>377</v>
      </c>
      <c r="D5" s="6" t="s">
        <v>389</v>
      </c>
      <c r="E5" s="6" t="n">
        <v>8</v>
      </c>
      <c r="F5" s="6" t="s">
        <v>379</v>
      </c>
      <c r="G5" s="6" t="s">
        <v>380</v>
      </c>
      <c r="H5" s="6" t="s">
        <v>381</v>
      </c>
      <c r="I5" s="6" t="s">
        <v>382</v>
      </c>
      <c r="J5" s="9" t="s">
        <v>390</v>
      </c>
      <c r="K5" s="6" t="s">
        <v>384</v>
      </c>
      <c r="L5" s="9"/>
      <c r="M5" s="6" t="s">
        <v>391</v>
      </c>
      <c r="N5" s="6" t="s">
        <v>387</v>
      </c>
    </row>
    <row r="6" customFormat="false" ht="23.25" hidden="false" customHeight="true" outlineLevel="0" collapsed="false">
      <c r="A6" s="6" t="s">
        <v>392</v>
      </c>
      <c r="B6" s="6" t="s">
        <v>376</v>
      </c>
      <c r="C6" s="6" t="s">
        <v>377</v>
      </c>
      <c r="D6" s="6" t="s">
        <v>393</v>
      </c>
      <c r="E6" s="6" t="n">
        <v>5</v>
      </c>
      <c r="F6" s="6" t="s">
        <v>394</v>
      </c>
      <c r="G6" s="6" t="s">
        <v>380</v>
      </c>
      <c r="H6" s="6" t="s">
        <v>381</v>
      </c>
      <c r="I6" s="6" t="s">
        <v>382</v>
      </c>
      <c r="J6" s="8" t="s">
        <v>383</v>
      </c>
      <c r="K6" s="6" t="s">
        <v>395</v>
      </c>
      <c r="L6" s="8" t="s">
        <v>385</v>
      </c>
      <c r="M6" s="6" t="s">
        <v>386</v>
      </c>
      <c r="N6" s="6" t="s">
        <v>387</v>
      </c>
    </row>
    <row r="7" customFormat="false" ht="23.25" hidden="false" customHeight="true" outlineLevel="0" collapsed="false">
      <c r="A7" s="6" t="s">
        <v>396</v>
      </c>
      <c r="B7" s="6" t="s">
        <v>376</v>
      </c>
      <c r="C7" s="6" t="s">
        <v>377</v>
      </c>
      <c r="D7" s="6" t="s">
        <v>397</v>
      </c>
      <c r="E7" s="6" t="n">
        <v>3</v>
      </c>
      <c r="F7" s="6" t="s">
        <v>379</v>
      </c>
      <c r="G7" s="6" t="s">
        <v>380</v>
      </c>
      <c r="H7" s="6" t="s">
        <v>381</v>
      </c>
      <c r="I7" s="6" t="s">
        <v>382</v>
      </c>
      <c r="J7" s="8" t="s">
        <v>383</v>
      </c>
      <c r="K7" s="6" t="s">
        <v>384</v>
      </c>
      <c r="L7" s="8" t="s">
        <v>385</v>
      </c>
      <c r="M7" s="6" t="s">
        <v>386</v>
      </c>
      <c r="N7" s="6" t="s">
        <v>387</v>
      </c>
    </row>
    <row r="8" customFormat="false" ht="23.25" hidden="false" customHeight="true" outlineLevel="0" collapsed="false">
      <c r="A8" s="6" t="s">
        <v>398</v>
      </c>
      <c r="B8" s="6" t="s">
        <v>376</v>
      </c>
      <c r="C8" s="6" t="s">
        <v>377</v>
      </c>
      <c r="D8" s="6" t="s">
        <v>399</v>
      </c>
      <c r="E8" s="6" t="n">
        <v>5</v>
      </c>
      <c r="F8" s="6" t="s">
        <v>379</v>
      </c>
      <c r="G8" s="6" t="s">
        <v>400</v>
      </c>
      <c r="H8" s="6" t="s">
        <v>381</v>
      </c>
      <c r="I8" s="6" t="s">
        <v>382</v>
      </c>
      <c r="J8" s="9" t="s">
        <v>390</v>
      </c>
      <c r="K8" s="6" t="s">
        <v>384</v>
      </c>
      <c r="L8" s="9"/>
      <c r="M8" s="6" t="s">
        <v>391</v>
      </c>
      <c r="N8" s="6" t="s">
        <v>387</v>
      </c>
    </row>
    <row r="9" customFormat="false" ht="15" hidden="false" customHeight="true" outlineLevel="0" collapsed="false">
      <c r="A9" s="6" t="s">
        <v>401</v>
      </c>
      <c r="B9" s="6" t="s">
        <v>376</v>
      </c>
      <c r="C9" s="6" t="s">
        <v>377</v>
      </c>
      <c r="D9" s="6" t="s">
        <v>402</v>
      </c>
      <c r="E9" s="6" t="n">
        <v>3</v>
      </c>
      <c r="F9" s="6" t="s">
        <v>394</v>
      </c>
      <c r="G9" s="6" t="s">
        <v>400</v>
      </c>
      <c r="H9" s="6" t="s">
        <v>381</v>
      </c>
      <c r="I9" s="6" t="s">
        <v>382</v>
      </c>
      <c r="J9" s="9" t="s">
        <v>390</v>
      </c>
      <c r="K9" s="6" t="s">
        <v>395</v>
      </c>
      <c r="L9" s="9"/>
      <c r="M9" s="6" t="s">
        <v>391</v>
      </c>
      <c r="N9" s="6" t="s">
        <v>387</v>
      </c>
    </row>
    <row r="10" customFormat="false" ht="15" hidden="false" customHeight="true" outlineLevel="0" collapsed="false">
      <c r="A10" s="6" t="s">
        <v>403</v>
      </c>
      <c r="B10" s="6" t="s">
        <v>376</v>
      </c>
      <c r="C10" s="6" t="s">
        <v>377</v>
      </c>
      <c r="D10" s="6" t="s">
        <v>404</v>
      </c>
      <c r="E10" s="6" t="n">
        <v>3</v>
      </c>
      <c r="F10" s="6" t="s">
        <v>394</v>
      </c>
      <c r="G10" s="6" t="s">
        <v>400</v>
      </c>
      <c r="H10" s="6" t="s">
        <v>381</v>
      </c>
      <c r="I10" s="6" t="s">
        <v>382</v>
      </c>
      <c r="J10" s="9" t="s">
        <v>383</v>
      </c>
      <c r="K10" s="6" t="s">
        <v>395</v>
      </c>
      <c r="L10" s="9" t="s">
        <v>405</v>
      </c>
      <c r="M10" s="6" t="s">
        <v>386</v>
      </c>
      <c r="N10" s="6" t="s">
        <v>387</v>
      </c>
    </row>
    <row r="11" customFormat="false" ht="15" hidden="false" customHeight="true" outlineLevel="0" collapsed="false">
      <c r="A11" s="6" t="s">
        <v>406</v>
      </c>
      <c r="B11" s="6" t="s">
        <v>376</v>
      </c>
      <c r="C11" s="6" t="s">
        <v>377</v>
      </c>
      <c r="D11" s="6" t="s">
        <v>407</v>
      </c>
      <c r="E11" s="6" t="n">
        <v>2</v>
      </c>
      <c r="F11" s="6" t="s">
        <v>408</v>
      </c>
      <c r="G11" s="6" t="s">
        <v>400</v>
      </c>
      <c r="H11" s="6" t="s">
        <v>381</v>
      </c>
      <c r="I11" s="6" t="s">
        <v>382</v>
      </c>
      <c r="J11" s="8" t="s">
        <v>383</v>
      </c>
      <c r="K11" s="6" t="s">
        <v>409</v>
      </c>
      <c r="L11" s="8" t="s">
        <v>385</v>
      </c>
      <c r="M11" s="6" t="s">
        <v>386</v>
      </c>
      <c r="N11" s="6" t="s">
        <v>387</v>
      </c>
    </row>
    <row r="12" customFormat="false" ht="23.25" hidden="false" customHeight="true" outlineLevel="0" collapsed="false">
      <c r="A12" s="6" t="s">
        <v>410</v>
      </c>
      <c r="B12" s="6" t="s">
        <v>376</v>
      </c>
      <c r="C12" s="6" t="s">
        <v>377</v>
      </c>
      <c r="D12" s="6" t="s">
        <v>411</v>
      </c>
      <c r="E12" s="6" t="n">
        <v>5</v>
      </c>
      <c r="F12" s="6" t="s">
        <v>394</v>
      </c>
      <c r="G12" s="6" t="s">
        <v>400</v>
      </c>
      <c r="H12" s="6" t="s">
        <v>381</v>
      </c>
      <c r="I12" s="6" t="s">
        <v>382</v>
      </c>
      <c r="J12" s="9" t="s">
        <v>390</v>
      </c>
      <c r="K12" s="6" t="s">
        <v>395</v>
      </c>
      <c r="L12" s="9"/>
      <c r="M12" s="6" t="s">
        <v>391</v>
      </c>
      <c r="N12" s="6" t="s">
        <v>387</v>
      </c>
    </row>
    <row r="13" customFormat="false" ht="23.25" hidden="false" customHeight="true" outlineLevel="0" collapsed="false">
      <c r="A13" s="6" t="s">
        <v>412</v>
      </c>
      <c r="B13" s="6" t="s">
        <v>376</v>
      </c>
      <c r="C13" s="6" t="s">
        <v>377</v>
      </c>
      <c r="D13" s="6" t="s">
        <v>413</v>
      </c>
      <c r="E13" s="6" t="n">
        <v>3</v>
      </c>
      <c r="F13" s="6" t="s">
        <v>408</v>
      </c>
      <c r="G13" s="6" t="s">
        <v>400</v>
      </c>
      <c r="H13" s="6" t="s">
        <v>381</v>
      </c>
      <c r="I13" s="6" t="s">
        <v>382</v>
      </c>
      <c r="J13" s="9" t="s">
        <v>390</v>
      </c>
      <c r="K13" s="6" t="s">
        <v>409</v>
      </c>
      <c r="L13" s="9"/>
      <c r="M13" s="6" t="s">
        <v>391</v>
      </c>
      <c r="N13" s="6" t="s">
        <v>387</v>
      </c>
    </row>
    <row r="14" customFormat="false" ht="23.25" hidden="false" customHeight="true" outlineLevel="0" collapsed="false">
      <c r="A14" s="6" t="s">
        <v>414</v>
      </c>
      <c r="B14" s="6" t="s">
        <v>415</v>
      </c>
      <c r="C14" s="6" t="s">
        <v>416</v>
      </c>
      <c r="D14" s="6" t="s">
        <v>417</v>
      </c>
      <c r="E14" s="6" t="n">
        <v>5</v>
      </c>
      <c r="F14" s="6" t="s">
        <v>379</v>
      </c>
      <c r="G14" s="6" t="s">
        <v>400</v>
      </c>
      <c r="H14" s="6" t="s">
        <v>418</v>
      </c>
      <c r="I14" s="6" t="s">
        <v>382</v>
      </c>
      <c r="J14" s="8" t="s">
        <v>383</v>
      </c>
      <c r="K14" s="6" t="s">
        <v>384</v>
      </c>
      <c r="L14" s="8" t="s">
        <v>385</v>
      </c>
      <c r="M14" s="6" t="s">
        <v>386</v>
      </c>
      <c r="N14" s="6" t="s">
        <v>387</v>
      </c>
    </row>
    <row r="15" customFormat="false" ht="23.25" hidden="false" customHeight="true" outlineLevel="0" collapsed="false">
      <c r="A15" s="6" t="s">
        <v>419</v>
      </c>
      <c r="B15" s="6" t="s">
        <v>415</v>
      </c>
      <c r="C15" s="6" t="s">
        <v>416</v>
      </c>
      <c r="D15" s="6" t="s">
        <v>420</v>
      </c>
      <c r="E15" s="6" t="n">
        <v>8</v>
      </c>
      <c r="F15" s="6" t="s">
        <v>379</v>
      </c>
      <c r="G15" s="6" t="s">
        <v>400</v>
      </c>
      <c r="H15" s="6" t="s">
        <v>418</v>
      </c>
      <c r="I15" s="6" t="s">
        <v>382</v>
      </c>
      <c r="J15" s="9" t="s">
        <v>390</v>
      </c>
      <c r="K15" s="6" t="s">
        <v>384</v>
      </c>
      <c r="L15" s="9"/>
      <c r="M15" s="6" t="s">
        <v>391</v>
      </c>
      <c r="N15" s="6" t="s">
        <v>387</v>
      </c>
    </row>
    <row r="16" customFormat="false" ht="23.25" hidden="false" customHeight="true" outlineLevel="0" collapsed="false">
      <c r="A16" s="6" t="s">
        <v>421</v>
      </c>
      <c r="B16" s="6" t="s">
        <v>415</v>
      </c>
      <c r="C16" s="6" t="s">
        <v>416</v>
      </c>
      <c r="D16" s="6" t="s">
        <v>422</v>
      </c>
      <c r="E16" s="6" t="n">
        <v>5</v>
      </c>
      <c r="F16" s="6" t="s">
        <v>394</v>
      </c>
      <c r="G16" s="6" t="s">
        <v>400</v>
      </c>
      <c r="H16" s="6" t="s">
        <v>418</v>
      </c>
      <c r="I16" s="6" t="s">
        <v>382</v>
      </c>
      <c r="J16" s="8" t="s">
        <v>383</v>
      </c>
      <c r="K16" s="6" t="s">
        <v>395</v>
      </c>
      <c r="L16" s="8" t="s">
        <v>385</v>
      </c>
      <c r="M16" s="6" t="s">
        <v>386</v>
      </c>
      <c r="N16" s="6" t="s">
        <v>387</v>
      </c>
    </row>
    <row r="17" customFormat="false" ht="23.25" hidden="false" customHeight="true" outlineLevel="0" collapsed="false">
      <c r="A17" s="6" t="s">
        <v>423</v>
      </c>
      <c r="B17" s="6" t="s">
        <v>415</v>
      </c>
      <c r="C17" s="6" t="s">
        <v>416</v>
      </c>
      <c r="D17" s="6" t="s">
        <v>424</v>
      </c>
      <c r="E17" s="6" t="n">
        <v>3</v>
      </c>
      <c r="F17" s="6" t="s">
        <v>379</v>
      </c>
      <c r="G17" s="6" t="s">
        <v>400</v>
      </c>
      <c r="H17" s="6" t="s">
        <v>418</v>
      </c>
      <c r="I17" s="6" t="s">
        <v>382</v>
      </c>
      <c r="J17" s="8" t="s">
        <v>383</v>
      </c>
      <c r="K17" s="6" t="s">
        <v>384</v>
      </c>
      <c r="L17" s="8" t="s">
        <v>385</v>
      </c>
      <c r="M17" s="6" t="s">
        <v>386</v>
      </c>
      <c r="N17" s="6" t="s">
        <v>387</v>
      </c>
    </row>
    <row r="18" customFormat="false" ht="23.25" hidden="false" customHeight="true" outlineLevel="0" collapsed="false">
      <c r="A18" s="6" t="s">
        <v>425</v>
      </c>
      <c r="B18" s="6" t="s">
        <v>415</v>
      </c>
      <c r="C18" s="6" t="s">
        <v>416</v>
      </c>
      <c r="D18" s="6" t="s">
        <v>426</v>
      </c>
      <c r="E18" s="6" t="n">
        <v>5</v>
      </c>
      <c r="F18" s="6" t="s">
        <v>379</v>
      </c>
      <c r="G18" s="6" t="s">
        <v>427</v>
      </c>
      <c r="H18" s="6" t="s">
        <v>418</v>
      </c>
      <c r="I18" s="6" t="s">
        <v>382</v>
      </c>
      <c r="J18" s="9" t="s">
        <v>390</v>
      </c>
      <c r="K18" s="6" t="s">
        <v>384</v>
      </c>
      <c r="L18" s="9"/>
      <c r="M18" s="6" t="s">
        <v>391</v>
      </c>
      <c r="N18" s="6" t="s">
        <v>387</v>
      </c>
    </row>
    <row r="19" customFormat="false" ht="23.25" hidden="false" customHeight="true" outlineLevel="0" collapsed="false">
      <c r="A19" s="6" t="s">
        <v>428</v>
      </c>
      <c r="B19" s="6" t="s">
        <v>415</v>
      </c>
      <c r="C19" s="6" t="s">
        <v>416</v>
      </c>
      <c r="D19" s="6" t="s">
        <v>429</v>
      </c>
      <c r="E19" s="6" t="n">
        <v>3</v>
      </c>
      <c r="F19" s="6" t="s">
        <v>394</v>
      </c>
      <c r="G19" s="6" t="s">
        <v>427</v>
      </c>
      <c r="H19" s="6" t="s">
        <v>418</v>
      </c>
      <c r="I19" s="6" t="s">
        <v>382</v>
      </c>
      <c r="J19" s="9" t="s">
        <v>390</v>
      </c>
      <c r="K19" s="6" t="s">
        <v>395</v>
      </c>
      <c r="L19" s="9"/>
      <c r="M19" s="6" t="s">
        <v>391</v>
      </c>
      <c r="N19" s="6" t="s">
        <v>387</v>
      </c>
    </row>
    <row r="20" customFormat="false" ht="15" hidden="false" customHeight="true" outlineLevel="0" collapsed="false">
      <c r="A20" s="6" t="s">
        <v>430</v>
      </c>
      <c r="B20" s="6" t="s">
        <v>415</v>
      </c>
      <c r="C20" s="6" t="s">
        <v>416</v>
      </c>
      <c r="D20" s="6" t="s">
        <v>431</v>
      </c>
      <c r="E20" s="6" t="n">
        <v>3</v>
      </c>
      <c r="F20" s="6" t="s">
        <v>394</v>
      </c>
      <c r="G20" s="6" t="s">
        <v>427</v>
      </c>
      <c r="H20" s="6" t="s">
        <v>418</v>
      </c>
      <c r="I20" s="6" t="s">
        <v>382</v>
      </c>
      <c r="J20" s="9" t="s">
        <v>390</v>
      </c>
      <c r="K20" s="6" t="s">
        <v>395</v>
      </c>
      <c r="L20" s="9"/>
      <c r="M20" s="6" t="s">
        <v>391</v>
      </c>
      <c r="N20" s="6" t="s">
        <v>387</v>
      </c>
    </row>
    <row r="21" customFormat="false" ht="15" hidden="false" customHeight="true" outlineLevel="0" collapsed="false">
      <c r="A21" s="6" t="s">
        <v>432</v>
      </c>
      <c r="B21" s="6" t="s">
        <v>415</v>
      </c>
      <c r="C21" s="6" t="s">
        <v>416</v>
      </c>
      <c r="D21" s="6" t="s">
        <v>433</v>
      </c>
      <c r="E21" s="6" t="n">
        <v>2</v>
      </c>
      <c r="F21" s="6" t="s">
        <v>408</v>
      </c>
      <c r="G21" s="6" t="s">
        <v>427</v>
      </c>
      <c r="H21" s="6" t="s">
        <v>418</v>
      </c>
      <c r="I21" s="6" t="s">
        <v>382</v>
      </c>
      <c r="J21" s="8" t="s">
        <v>383</v>
      </c>
      <c r="K21" s="6" t="s">
        <v>409</v>
      </c>
      <c r="L21" s="8" t="s">
        <v>434</v>
      </c>
      <c r="M21" s="6" t="s">
        <v>386</v>
      </c>
      <c r="N21" s="6" t="s">
        <v>387</v>
      </c>
    </row>
    <row r="22" customFormat="false" ht="23.25" hidden="false" customHeight="true" outlineLevel="0" collapsed="false">
      <c r="A22" s="6" t="s">
        <v>435</v>
      </c>
      <c r="B22" s="6" t="s">
        <v>415</v>
      </c>
      <c r="C22" s="6" t="s">
        <v>416</v>
      </c>
      <c r="D22" s="6" t="s">
        <v>436</v>
      </c>
      <c r="E22" s="6" t="n">
        <v>5</v>
      </c>
      <c r="F22" s="6" t="s">
        <v>394</v>
      </c>
      <c r="G22" s="6" t="s">
        <v>427</v>
      </c>
      <c r="H22" s="6" t="s">
        <v>418</v>
      </c>
      <c r="I22" s="6" t="s">
        <v>382</v>
      </c>
      <c r="J22" s="9" t="s">
        <v>390</v>
      </c>
      <c r="K22" s="6" t="s">
        <v>395</v>
      </c>
      <c r="L22" s="9"/>
      <c r="M22" s="6" t="s">
        <v>391</v>
      </c>
      <c r="N22" s="6" t="s">
        <v>387</v>
      </c>
    </row>
    <row r="23" customFormat="false" ht="23.25" hidden="false" customHeight="true" outlineLevel="0" collapsed="false">
      <c r="A23" s="6" t="s">
        <v>437</v>
      </c>
      <c r="B23" s="6" t="s">
        <v>415</v>
      </c>
      <c r="C23" s="6" t="s">
        <v>416</v>
      </c>
      <c r="D23" s="6" t="s">
        <v>438</v>
      </c>
      <c r="E23" s="6" t="n">
        <v>3</v>
      </c>
      <c r="F23" s="6" t="s">
        <v>408</v>
      </c>
      <c r="G23" s="6" t="s">
        <v>427</v>
      </c>
      <c r="H23" s="6" t="s">
        <v>418</v>
      </c>
      <c r="I23" s="6" t="s">
        <v>382</v>
      </c>
      <c r="J23" s="9" t="s">
        <v>390</v>
      </c>
      <c r="K23" s="6" t="s">
        <v>409</v>
      </c>
      <c r="L23" s="9"/>
      <c r="M23" s="6" t="s">
        <v>391</v>
      </c>
      <c r="N23" s="6" t="s">
        <v>387</v>
      </c>
    </row>
    <row r="24" customFormat="false" ht="15" hidden="false" customHeight="true" outlineLevel="0" collapsed="false">
      <c r="A24" s="6" t="s">
        <v>439</v>
      </c>
      <c r="B24" s="6" t="s">
        <v>440</v>
      </c>
      <c r="C24" s="6" t="s">
        <v>441</v>
      </c>
      <c r="D24" s="6" t="s">
        <v>442</v>
      </c>
      <c r="E24" s="6" t="n">
        <v>5</v>
      </c>
      <c r="F24" s="6" t="s">
        <v>379</v>
      </c>
      <c r="G24" s="6" t="s">
        <v>443</v>
      </c>
      <c r="H24" s="6" t="s">
        <v>444</v>
      </c>
      <c r="I24" s="6" t="s">
        <v>382</v>
      </c>
      <c r="J24" s="8" t="s">
        <v>383</v>
      </c>
      <c r="K24" s="6" t="s">
        <v>384</v>
      </c>
      <c r="L24" s="8" t="s">
        <v>385</v>
      </c>
      <c r="M24" s="6" t="s">
        <v>386</v>
      </c>
      <c r="N24" s="6" t="s">
        <v>387</v>
      </c>
    </row>
    <row r="25" customFormat="false" ht="15" hidden="false" customHeight="true" outlineLevel="0" collapsed="false">
      <c r="A25" s="6" t="s">
        <v>445</v>
      </c>
      <c r="B25" s="6" t="s">
        <v>440</v>
      </c>
      <c r="C25" s="6" t="s">
        <v>441</v>
      </c>
      <c r="D25" s="6" t="s">
        <v>446</v>
      </c>
      <c r="E25" s="6" t="n">
        <v>8</v>
      </c>
      <c r="F25" s="6" t="s">
        <v>379</v>
      </c>
      <c r="G25" s="6" t="s">
        <v>443</v>
      </c>
      <c r="H25" s="6" t="s">
        <v>444</v>
      </c>
      <c r="I25" s="6" t="s">
        <v>382</v>
      </c>
      <c r="J25" s="9" t="s">
        <v>390</v>
      </c>
      <c r="K25" s="6" t="s">
        <v>384</v>
      </c>
      <c r="L25" s="9"/>
      <c r="M25" s="6" t="s">
        <v>391</v>
      </c>
      <c r="N25" s="6" t="s">
        <v>387</v>
      </c>
    </row>
    <row r="26" customFormat="false" ht="15" hidden="false" customHeight="true" outlineLevel="0" collapsed="false">
      <c r="A26" s="6" t="s">
        <v>447</v>
      </c>
      <c r="B26" s="6" t="s">
        <v>440</v>
      </c>
      <c r="C26" s="6" t="s">
        <v>441</v>
      </c>
      <c r="D26" s="6" t="s">
        <v>448</v>
      </c>
      <c r="E26" s="6" t="n">
        <v>5</v>
      </c>
      <c r="F26" s="6" t="s">
        <v>394</v>
      </c>
      <c r="G26" s="6" t="s">
        <v>443</v>
      </c>
      <c r="H26" s="6" t="s">
        <v>444</v>
      </c>
      <c r="I26" s="6" t="s">
        <v>382</v>
      </c>
      <c r="J26" s="8" t="s">
        <v>383</v>
      </c>
      <c r="K26" s="6" t="s">
        <v>395</v>
      </c>
      <c r="L26" s="8" t="s">
        <v>385</v>
      </c>
      <c r="M26" s="6" t="s">
        <v>386</v>
      </c>
      <c r="N26" s="6" t="s">
        <v>387</v>
      </c>
    </row>
    <row r="27" customFormat="false" ht="23.25" hidden="false" customHeight="true" outlineLevel="0" collapsed="false">
      <c r="A27" s="6" t="s">
        <v>449</v>
      </c>
      <c r="B27" s="6" t="s">
        <v>440</v>
      </c>
      <c r="C27" s="6" t="s">
        <v>441</v>
      </c>
      <c r="D27" s="6" t="s">
        <v>450</v>
      </c>
      <c r="E27" s="6" t="n">
        <v>3</v>
      </c>
      <c r="F27" s="6" t="s">
        <v>379</v>
      </c>
      <c r="G27" s="6" t="s">
        <v>443</v>
      </c>
      <c r="H27" s="6" t="s">
        <v>444</v>
      </c>
      <c r="I27" s="6" t="s">
        <v>382</v>
      </c>
      <c r="J27" s="8" t="s">
        <v>383</v>
      </c>
      <c r="K27" s="6" t="s">
        <v>384</v>
      </c>
      <c r="L27" s="8" t="s">
        <v>385</v>
      </c>
      <c r="M27" s="6" t="s">
        <v>386</v>
      </c>
      <c r="N27" s="6" t="s">
        <v>387</v>
      </c>
    </row>
    <row r="28" customFormat="false" ht="23.25" hidden="false" customHeight="true" outlineLevel="0" collapsed="false">
      <c r="A28" s="6" t="s">
        <v>451</v>
      </c>
      <c r="B28" s="6" t="s">
        <v>440</v>
      </c>
      <c r="C28" s="6" t="s">
        <v>441</v>
      </c>
      <c r="D28" s="6" t="s">
        <v>452</v>
      </c>
      <c r="E28" s="6" t="n">
        <v>5</v>
      </c>
      <c r="F28" s="6" t="s">
        <v>379</v>
      </c>
      <c r="G28" s="6" t="s">
        <v>443</v>
      </c>
      <c r="H28" s="6" t="s">
        <v>444</v>
      </c>
      <c r="I28" s="6" t="s">
        <v>382</v>
      </c>
      <c r="J28" s="9" t="s">
        <v>390</v>
      </c>
      <c r="K28" s="6" t="s">
        <v>384</v>
      </c>
      <c r="L28" s="9"/>
      <c r="M28" s="6" t="s">
        <v>391</v>
      </c>
      <c r="N28" s="6" t="s">
        <v>387</v>
      </c>
    </row>
    <row r="29" customFormat="false" ht="15" hidden="false" customHeight="true" outlineLevel="0" collapsed="false">
      <c r="A29" s="6" t="s">
        <v>453</v>
      </c>
      <c r="B29" s="6" t="s">
        <v>440</v>
      </c>
      <c r="C29" s="6" t="s">
        <v>441</v>
      </c>
      <c r="D29" s="6" t="s">
        <v>454</v>
      </c>
      <c r="E29" s="6" t="n">
        <v>3</v>
      </c>
      <c r="F29" s="6" t="s">
        <v>394</v>
      </c>
      <c r="G29" s="6" t="s">
        <v>443</v>
      </c>
      <c r="H29" s="6" t="s">
        <v>444</v>
      </c>
      <c r="I29" s="6" t="s">
        <v>382</v>
      </c>
      <c r="J29" s="9" t="s">
        <v>390</v>
      </c>
      <c r="K29" s="6" t="s">
        <v>395</v>
      </c>
      <c r="L29" s="9"/>
      <c r="M29" s="6" t="s">
        <v>391</v>
      </c>
      <c r="N29" s="6" t="s">
        <v>387</v>
      </c>
    </row>
    <row r="30" customFormat="false" ht="15" hidden="false" customHeight="true" outlineLevel="0" collapsed="false">
      <c r="A30" s="6" t="s">
        <v>455</v>
      </c>
      <c r="B30" s="6" t="s">
        <v>440</v>
      </c>
      <c r="C30" s="6" t="s">
        <v>441</v>
      </c>
      <c r="D30" s="6" t="s">
        <v>456</v>
      </c>
      <c r="E30" s="6" t="n">
        <v>3</v>
      </c>
      <c r="F30" s="6" t="s">
        <v>394</v>
      </c>
      <c r="G30" s="6" t="s">
        <v>443</v>
      </c>
      <c r="H30" s="6" t="s">
        <v>444</v>
      </c>
      <c r="I30" s="6" t="s">
        <v>382</v>
      </c>
      <c r="J30" s="9" t="s">
        <v>390</v>
      </c>
      <c r="K30" s="6" t="s">
        <v>395</v>
      </c>
      <c r="L30" s="9"/>
      <c r="M30" s="6" t="s">
        <v>391</v>
      </c>
      <c r="N30" s="6" t="s">
        <v>387</v>
      </c>
    </row>
    <row r="31" customFormat="false" ht="15" hidden="false" customHeight="true" outlineLevel="0" collapsed="false">
      <c r="A31" s="6" t="s">
        <v>457</v>
      </c>
      <c r="B31" s="6" t="s">
        <v>440</v>
      </c>
      <c r="C31" s="6" t="s">
        <v>441</v>
      </c>
      <c r="D31" s="6" t="s">
        <v>458</v>
      </c>
      <c r="E31" s="6" t="n">
        <v>2</v>
      </c>
      <c r="F31" s="6" t="s">
        <v>408</v>
      </c>
      <c r="G31" s="6" t="s">
        <v>443</v>
      </c>
      <c r="H31" s="6" t="s">
        <v>444</v>
      </c>
      <c r="I31" s="6" t="s">
        <v>382</v>
      </c>
      <c r="J31" s="8" t="s">
        <v>383</v>
      </c>
      <c r="K31" s="6" t="s">
        <v>409</v>
      </c>
      <c r="L31" s="8" t="s">
        <v>385</v>
      </c>
      <c r="M31" s="6" t="s">
        <v>386</v>
      </c>
      <c r="N31" s="6" t="s">
        <v>387</v>
      </c>
    </row>
    <row r="32" customFormat="false" ht="23.25" hidden="false" customHeight="true" outlineLevel="0" collapsed="false">
      <c r="A32" s="6" t="s">
        <v>459</v>
      </c>
      <c r="B32" s="6" t="s">
        <v>440</v>
      </c>
      <c r="C32" s="6" t="s">
        <v>441</v>
      </c>
      <c r="D32" s="6" t="s">
        <v>460</v>
      </c>
      <c r="E32" s="6" t="n">
        <v>5</v>
      </c>
      <c r="F32" s="6" t="s">
        <v>394</v>
      </c>
      <c r="G32" s="6" t="s">
        <v>443</v>
      </c>
      <c r="H32" s="6" t="s">
        <v>444</v>
      </c>
      <c r="I32" s="6" t="s">
        <v>382</v>
      </c>
      <c r="J32" s="9" t="s">
        <v>390</v>
      </c>
      <c r="K32" s="6" t="s">
        <v>395</v>
      </c>
      <c r="L32" s="9"/>
      <c r="M32" s="6" t="s">
        <v>391</v>
      </c>
      <c r="N32" s="6" t="s">
        <v>387</v>
      </c>
    </row>
    <row r="33" customFormat="false" ht="23.25" hidden="false" customHeight="true" outlineLevel="0" collapsed="false">
      <c r="A33" s="6" t="s">
        <v>461</v>
      </c>
      <c r="B33" s="6" t="s">
        <v>440</v>
      </c>
      <c r="C33" s="6" t="s">
        <v>441</v>
      </c>
      <c r="D33" s="6" t="s">
        <v>462</v>
      </c>
      <c r="E33" s="6" t="n">
        <v>3</v>
      </c>
      <c r="F33" s="6" t="s">
        <v>408</v>
      </c>
      <c r="G33" s="6" t="s">
        <v>443</v>
      </c>
      <c r="H33" s="6" t="s">
        <v>444</v>
      </c>
      <c r="I33" s="6" t="s">
        <v>382</v>
      </c>
      <c r="J33" s="9" t="s">
        <v>390</v>
      </c>
      <c r="K33" s="6" t="s">
        <v>409</v>
      </c>
      <c r="L33" s="9"/>
      <c r="M33" s="6" t="s">
        <v>391</v>
      </c>
      <c r="N33" s="6" t="s">
        <v>387</v>
      </c>
    </row>
    <row r="34" customFormat="false" ht="15" hidden="false" customHeight="true" outlineLevel="0" collapsed="false">
      <c r="A34" s="6" t="s">
        <v>463</v>
      </c>
      <c r="B34" s="6" t="s">
        <v>464</v>
      </c>
      <c r="C34" s="6" t="s">
        <v>465</v>
      </c>
      <c r="D34" s="6" t="s">
        <v>466</v>
      </c>
      <c r="E34" s="6" t="n">
        <v>5</v>
      </c>
      <c r="F34" s="6" t="s">
        <v>379</v>
      </c>
      <c r="G34" s="6" t="s">
        <v>467</v>
      </c>
      <c r="H34" s="6" t="s">
        <v>468</v>
      </c>
      <c r="I34" s="6" t="s">
        <v>382</v>
      </c>
      <c r="J34" s="8" t="s">
        <v>383</v>
      </c>
      <c r="K34" s="6" t="s">
        <v>384</v>
      </c>
      <c r="L34" s="8" t="s">
        <v>385</v>
      </c>
      <c r="M34" s="6" t="s">
        <v>386</v>
      </c>
      <c r="N34" s="6" t="s">
        <v>387</v>
      </c>
    </row>
    <row r="35" customFormat="false" ht="15" hidden="false" customHeight="true" outlineLevel="0" collapsed="false">
      <c r="A35" s="6" t="s">
        <v>469</v>
      </c>
      <c r="B35" s="6" t="s">
        <v>464</v>
      </c>
      <c r="C35" s="6" t="s">
        <v>465</v>
      </c>
      <c r="D35" s="6" t="s">
        <v>470</v>
      </c>
      <c r="E35" s="6" t="n">
        <v>8</v>
      </c>
      <c r="F35" s="6" t="s">
        <v>379</v>
      </c>
      <c r="G35" s="6" t="s">
        <v>467</v>
      </c>
      <c r="H35" s="6" t="s">
        <v>468</v>
      </c>
      <c r="I35" s="6" t="s">
        <v>382</v>
      </c>
      <c r="J35" s="9" t="s">
        <v>390</v>
      </c>
      <c r="K35" s="6" t="s">
        <v>384</v>
      </c>
      <c r="L35" s="9"/>
      <c r="M35" s="6" t="s">
        <v>391</v>
      </c>
      <c r="N35" s="6" t="s">
        <v>387</v>
      </c>
    </row>
    <row r="36" customFormat="false" ht="15" hidden="false" customHeight="true" outlineLevel="0" collapsed="false">
      <c r="A36" s="6" t="s">
        <v>471</v>
      </c>
      <c r="B36" s="6" t="s">
        <v>464</v>
      </c>
      <c r="C36" s="6" t="s">
        <v>465</v>
      </c>
      <c r="D36" s="6" t="s">
        <v>472</v>
      </c>
      <c r="E36" s="6" t="n">
        <v>5</v>
      </c>
      <c r="F36" s="6" t="s">
        <v>394</v>
      </c>
      <c r="G36" s="6" t="s">
        <v>467</v>
      </c>
      <c r="H36" s="6" t="s">
        <v>468</v>
      </c>
      <c r="I36" s="6" t="s">
        <v>382</v>
      </c>
      <c r="J36" s="8" t="s">
        <v>383</v>
      </c>
      <c r="K36" s="6" t="s">
        <v>395</v>
      </c>
      <c r="L36" s="8" t="s">
        <v>385</v>
      </c>
      <c r="M36" s="6" t="s">
        <v>386</v>
      </c>
      <c r="N36" s="6" t="s">
        <v>387</v>
      </c>
    </row>
    <row r="37" customFormat="false" ht="23.25" hidden="false" customHeight="true" outlineLevel="0" collapsed="false">
      <c r="A37" s="6" t="s">
        <v>473</v>
      </c>
      <c r="B37" s="6" t="s">
        <v>464</v>
      </c>
      <c r="C37" s="6" t="s">
        <v>465</v>
      </c>
      <c r="D37" s="6" t="s">
        <v>474</v>
      </c>
      <c r="E37" s="6" t="n">
        <v>3</v>
      </c>
      <c r="F37" s="6" t="s">
        <v>379</v>
      </c>
      <c r="G37" s="6" t="s">
        <v>467</v>
      </c>
      <c r="H37" s="6" t="s">
        <v>468</v>
      </c>
      <c r="I37" s="6" t="s">
        <v>382</v>
      </c>
      <c r="J37" s="8" t="s">
        <v>383</v>
      </c>
      <c r="K37" s="6" t="s">
        <v>384</v>
      </c>
      <c r="L37" s="8" t="s">
        <v>385</v>
      </c>
      <c r="M37" s="6" t="s">
        <v>386</v>
      </c>
      <c r="N37" s="6" t="s">
        <v>387</v>
      </c>
    </row>
    <row r="38" customFormat="false" ht="23.25" hidden="false" customHeight="true" outlineLevel="0" collapsed="false">
      <c r="A38" s="6" t="s">
        <v>475</v>
      </c>
      <c r="B38" s="6" t="s">
        <v>464</v>
      </c>
      <c r="C38" s="6" t="s">
        <v>465</v>
      </c>
      <c r="D38" s="6" t="s">
        <v>476</v>
      </c>
      <c r="E38" s="6" t="n">
        <v>5</v>
      </c>
      <c r="F38" s="6" t="s">
        <v>379</v>
      </c>
      <c r="G38" s="6" t="s">
        <v>467</v>
      </c>
      <c r="H38" s="6" t="s">
        <v>468</v>
      </c>
      <c r="I38" s="6" t="s">
        <v>382</v>
      </c>
      <c r="J38" s="9" t="s">
        <v>390</v>
      </c>
      <c r="K38" s="6" t="s">
        <v>384</v>
      </c>
      <c r="L38" s="9"/>
      <c r="M38" s="6" t="s">
        <v>391</v>
      </c>
      <c r="N38" s="6" t="s">
        <v>387</v>
      </c>
    </row>
    <row r="39" customFormat="false" ht="15" hidden="false" customHeight="true" outlineLevel="0" collapsed="false">
      <c r="A39" s="6" t="s">
        <v>477</v>
      </c>
      <c r="B39" s="6" t="s">
        <v>464</v>
      </c>
      <c r="C39" s="6" t="s">
        <v>465</v>
      </c>
      <c r="D39" s="6" t="s">
        <v>478</v>
      </c>
      <c r="E39" s="6" t="n">
        <v>3</v>
      </c>
      <c r="F39" s="6" t="s">
        <v>394</v>
      </c>
      <c r="G39" s="6" t="s">
        <v>467</v>
      </c>
      <c r="H39" s="6" t="s">
        <v>468</v>
      </c>
      <c r="I39" s="6" t="s">
        <v>382</v>
      </c>
      <c r="J39" s="8" t="s">
        <v>383</v>
      </c>
      <c r="K39" s="6" t="s">
        <v>395</v>
      </c>
      <c r="L39" s="8" t="s">
        <v>385</v>
      </c>
      <c r="M39" s="6" t="s">
        <v>386</v>
      </c>
      <c r="N39" s="6" t="s">
        <v>387</v>
      </c>
    </row>
    <row r="40" customFormat="false" ht="15" hidden="false" customHeight="true" outlineLevel="0" collapsed="false">
      <c r="A40" s="6" t="s">
        <v>479</v>
      </c>
      <c r="B40" s="6" t="s">
        <v>464</v>
      </c>
      <c r="C40" s="6" t="s">
        <v>465</v>
      </c>
      <c r="D40" s="6" t="s">
        <v>480</v>
      </c>
      <c r="E40" s="6" t="n">
        <v>3</v>
      </c>
      <c r="F40" s="6" t="s">
        <v>394</v>
      </c>
      <c r="G40" s="6" t="s">
        <v>467</v>
      </c>
      <c r="H40" s="6" t="s">
        <v>468</v>
      </c>
      <c r="I40" s="6" t="s">
        <v>382</v>
      </c>
      <c r="J40" s="9" t="s">
        <v>390</v>
      </c>
      <c r="K40" s="6" t="s">
        <v>395</v>
      </c>
      <c r="L40" s="9"/>
      <c r="M40" s="6" t="s">
        <v>391</v>
      </c>
      <c r="N40" s="6" t="s">
        <v>387</v>
      </c>
    </row>
    <row r="41" customFormat="false" ht="15" hidden="false" customHeight="true" outlineLevel="0" collapsed="false">
      <c r="A41" s="6" t="s">
        <v>481</v>
      </c>
      <c r="B41" s="6" t="s">
        <v>464</v>
      </c>
      <c r="C41" s="6" t="s">
        <v>465</v>
      </c>
      <c r="D41" s="6" t="s">
        <v>482</v>
      </c>
      <c r="E41" s="6" t="n">
        <v>2</v>
      </c>
      <c r="F41" s="6" t="s">
        <v>408</v>
      </c>
      <c r="G41" s="6" t="s">
        <v>467</v>
      </c>
      <c r="H41" s="6" t="s">
        <v>468</v>
      </c>
      <c r="I41" s="6" t="s">
        <v>382</v>
      </c>
      <c r="J41" s="9" t="s">
        <v>390</v>
      </c>
      <c r="K41" s="6" t="s">
        <v>409</v>
      </c>
      <c r="L41" s="9"/>
      <c r="M41" s="6" t="s">
        <v>391</v>
      </c>
      <c r="N41" s="6" t="s">
        <v>387</v>
      </c>
    </row>
    <row r="42" customFormat="false" ht="23.25" hidden="false" customHeight="true" outlineLevel="0" collapsed="false">
      <c r="A42" s="6" t="s">
        <v>483</v>
      </c>
      <c r="B42" s="6" t="s">
        <v>464</v>
      </c>
      <c r="C42" s="6" t="s">
        <v>465</v>
      </c>
      <c r="D42" s="6" t="s">
        <v>484</v>
      </c>
      <c r="E42" s="6" t="n">
        <v>5</v>
      </c>
      <c r="F42" s="6" t="s">
        <v>394</v>
      </c>
      <c r="G42" s="6" t="s">
        <v>467</v>
      </c>
      <c r="H42" s="6" t="s">
        <v>468</v>
      </c>
      <c r="I42" s="6" t="s">
        <v>382</v>
      </c>
      <c r="J42" s="9" t="s">
        <v>390</v>
      </c>
      <c r="K42" s="6" t="s">
        <v>395</v>
      </c>
      <c r="L42" s="9"/>
      <c r="M42" s="6" t="s">
        <v>391</v>
      </c>
      <c r="N42" s="6" t="s">
        <v>387</v>
      </c>
    </row>
    <row r="43" customFormat="false" ht="23.25" hidden="false" customHeight="true" outlineLevel="0" collapsed="false">
      <c r="A43" s="6" t="s">
        <v>485</v>
      </c>
      <c r="B43" s="6" t="s">
        <v>464</v>
      </c>
      <c r="C43" s="6" t="s">
        <v>465</v>
      </c>
      <c r="D43" s="6" t="s">
        <v>486</v>
      </c>
      <c r="E43" s="6" t="n">
        <v>3</v>
      </c>
      <c r="F43" s="6" t="s">
        <v>408</v>
      </c>
      <c r="G43" s="6" t="s">
        <v>467</v>
      </c>
      <c r="H43" s="6" t="s">
        <v>468</v>
      </c>
      <c r="I43" s="6" t="s">
        <v>382</v>
      </c>
      <c r="J43" s="9" t="s">
        <v>390</v>
      </c>
      <c r="K43" s="6" t="s">
        <v>409</v>
      </c>
      <c r="L43" s="9"/>
      <c r="M43" s="6" t="s">
        <v>391</v>
      </c>
      <c r="N43" s="6" t="s">
        <v>387</v>
      </c>
    </row>
    <row r="44" customFormat="false" ht="23.25" hidden="false" customHeight="true" outlineLevel="0" collapsed="false">
      <c r="A44" s="6" t="s">
        <v>487</v>
      </c>
      <c r="B44" s="6" t="s">
        <v>488</v>
      </c>
      <c r="C44" s="6" t="s">
        <v>489</v>
      </c>
      <c r="D44" s="6" t="s">
        <v>490</v>
      </c>
      <c r="E44" s="6" t="n">
        <v>5</v>
      </c>
      <c r="F44" s="6" t="s">
        <v>379</v>
      </c>
      <c r="G44" s="6" t="s">
        <v>491</v>
      </c>
      <c r="H44" s="6" t="s">
        <v>492</v>
      </c>
      <c r="I44" s="6" t="s">
        <v>493</v>
      </c>
      <c r="J44" s="8" t="s">
        <v>383</v>
      </c>
      <c r="K44" s="6" t="s">
        <v>384</v>
      </c>
      <c r="L44" s="8" t="s">
        <v>385</v>
      </c>
      <c r="M44" s="6" t="s">
        <v>386</v>
      </c>
      <c r="N44" s="6" t="s">
        <v>387</v>
      </c>
    </row>
    <row r="45" customFormat="false" ht="23.25" hidden="false" customHeight="true" outlineLevel="0" collapsed="false">
      <c r="A45" s="6" t="s">
        <v>494</v>
      </c>
      <c r="B45" s="6" t="s">
        <v>488</v>
      </c>
      <c r="C45" s="6" t="s">
        <v>489</v>
      </c>
      <c r="D45" s="6" t="s">
        <v>495</v>
      </c>
      <c r="E45" s="6" t="n">
        <v>8</v>
      </c>
      <c r="F45" s="6" t="s">
        <v>379</v>
      </c>
      <c r="G45" s="6" t="s">
        <v>491</v>
      </c>
      <c r="H45" s="6" t="s">
        <v>492</v>
      </c>
      <c r="I45" s="6" t="s">
        <v>493</v>
      </c>
      <c r="J45" s="9" t="s">
        <v>390</v>
      </c>
      <c r="K45" s="6" t="s">
        <v>384</v>
      </c>
      <c r="L45" s="9"/>
      <c r="M45" s="6" t="s">
        <v>391</v>
      </c>
      <c r="N45" s="6" t="s">
        <v>387</v>
      </c>
    </row>
    <row r="46" customFormat="false" ht="23.25" hidden="false" customHeight="true" outlineLevel="0" collapsed="false">
      <c r="A46" s="6" t="s">
        <v>496</v>
      </c>
      <c r="B46" s="6" t="s">
        <v>488</v>
      </c>
      <c r="C46" s="6" t="s">
        <v>489</v>
      </c>
      <c r="D46" s="6" t="s">
        <v>497</v>
      </c>
      <c r="E46" s="6" t="n">
        <v>5</v>
      </c>
      <c r="F46" s="6" t="s">
        <v>394</v>
      </c>
      <c r="G46" s="6" t="s">
        <v>491</v>
      </c>
      <c r="H46" s="6" t="s">
        <v>492</v>
      </c>
      <c r="I46" s="6" t="s">
        <v>493</v>
      </c>
      <c r="J46" s="8" t="s">
        <v>383</v>
      </c>
      <c r="K46" s="6" t="s">
        <v>395</v>
      </c>
      <c r="L46" s="8" t="s">
        <v>385</v>
      </c>
      <c r="M46" s="6" t="s">
        <v>386</v>
      </c>
      <c r="N46" s="6" t="s">
        <v>387</v>
      </c>
    </row>
    <row r="47" customFormat="false" ht="23.25" hidden="false" customHeight="true" outlineLevel="0" collapsed="false">
      <c r="A47" s="6" t="s">
        <v>498</v>
      </c>
      <c r="B47" s="6" t="s">
        <v>488</v>
      </c>
      <c r="C47" s="6" t="s">
        <v>489</v>
      </c>
      <c r="D47" s="6" t="s">
        <v>499</v>
      </c>
      <c r="E47" s="6" t="n">
        <v>3</v>
      </c>
      <c r="F47" s="6" t="s">
        <v>379</v>
      </c>
      <c r="G47" s="6" t="s">
        <v>491</v>
      </c>
      <c r="H47" s="6" t="s">
        <v>492</v>
      </c>
      <c r="I47" s="6" t="s">
        <v>493</v>
      </c>
      <c r="J47" s="8" t="s">
        <v>383</v>
      </c>
      <c r="K47" s="6" t="s">
        <v>384</v>
      </c>
      <c r="L47" s="8" t="s">
        <v>385</v>
      </c>
      <c r="M47" s="6" t="s">
        <v>386</v>
      </c>
      <c r="N47" s="6" t="s">
        <v>387</v>
      </c>
    </row>
    <row r="48" customFormat="false" ht="23.25" hidden="false" customHeight="true" outlineLevel="0" collapsed="false">
      <c r="A48" s="6" t="s">
        <v>500</v>
      </c>
      <c r="B48" s="6" t="s">
        <v>488</v>
      </c>
      <c r="C48" s="6" t="s">
        <v>489</v>
      </c>
      <c r="D48" s="6" t="s">
        <v>501</v>
      </c>
      <c r="E48" s="6" t="n">
        <v>5</v>
      </c>
      <c r="F48" s="6" t="s">
        <v>379</v>
      </c>
      <c r="G48" s="6" t="s">
        <v>491</v>
      </c>
      <c r="H48" s="6" t="s">
        <v>492</v>
      </c>
      <c r="I48" s="6" t="s">
        <v>493</v>
      </c>
      <c r="J48" s="9" t="s">
        <v>390</v>
      </c>
      <c r="K48" s="6" t="s">
        <v>384</v>
      </c>
      <c r="L48" s="9"/>
      <c r="M48" s="6" t="s">
        <v>391</v>
      </c>
      <c r="N48" s="6" t="s">
        <v>387</v>
      </c>
    </row>
    <row r="49" customFormat="false" ht="23.25" hidden="false" customHeight="true" outlineLevel="0" collapsed="false">
      <c r="A49" s="6" t="s">
        <v>502</v>
      </c>
      <c r="B49" s="6" t="s">
        <v>488</v>
      </c>
      <c r="C49" s="6" t="s">
        <v>489</v>
      </c>
      <c r="D49" s="6" t="s">
        <v>503</v>
      </c>
      <c r="E49" s="6" t="n">
        <v>3</v>
      </c>
      <c r="F49" s="6" t="s">
        <v>394</v>
      </c>
      <c r="G49" s="6" t="s">
        <v>491</v>
      </c>
      <c r="H49" s="6" t="s">
        <v>492</v>
      </c>
      <c r="I49" s="6" t="s">
        <v>493</v>
      </c>
      <c r="J49" s="9" t="s">
        <v>390</v>
      </c>
      <c r="K49" s="6" t="s">
        <v>395</v>
      </c>
      <c r="L49" s="9"/>
      <c r="M49" s="6" t="s">
        <v>391</v>
      </c>
      <c r="N49" s="6" t="s">
        <v>387</v>
      </c>
    </row>
    <row r="50" customFormat="false" ht="23.25" hidden="false" customHeight="true" outlineLevel="0" collapsed="false">
      <c r="A50" s="6" t="s">
        <v>504</v>
      </c>
      <c r="B50" s="6" t="s">
        <v>488</v>
      </c>
      <c r="C50" s="6" t="s">
        <v>489</v>
      </c>
      <c r="D50" s="6" t="s">
        <v>505</v>
      </c>
      <c r="E50" s="6" t="n">
        <v>3</v>
      </c>
      <c r="F50" s="6" t="s">
        <v>394</v>
      </c>
      <c r="G50" s="6" t="s">
        <v>491</v>
      </c>
      <c r="H50" s="6" t="s">
        <v>492</v>
      </c>
      <c r="I50" s="6" t="s">
        <v>493</v>
      </c>
      <c r="J50" s="9" t="s">
        <v>390</v>
      </c>
      <c r="K50" s="6" t="s">
        <v>395</v>
      </c>
      <c r="L50" s="9"/>
      <c r="M50" s="6" t="s">
        <v>391</v>
      </c>
      <c r="N50" s="6" t="s">
        <v>387</v>
      </c>
    </row>
    <row r="51" customFormat="false" ht="23.25" hidden="false" customHeight="true" outlineLevel="0" collapsed="false">
      <c r="A51" s="6" t="s">
        <v>506</v>
      </c>
      <c r="B51" s="6" t="s">
        <v>488</v>
      </c>
      <c r="C51" s="6" t="s">
        <v>489</v>
      </c>
      <c r="D51" s="6" t="s">
        <v>507</v>
      </c>
      <c r="E51" s="6" t="n">
        <v>2</v>
      </c>
      <c r="F51" s="6" t="s">
        <v>408</v>
      </c>
      <c r="G51" s="6" t="s">
        <v>491</v>
      </c>
      <c r="H51" s="6" t="s">
        <v>492</v>
      </c>
      <c r="I51" s="6" t="s">
        <v>493</v>
      </c>
      <c r="J51" s="8" t="s">
        <v>383</v>
      </c>
      <c r="K51" s="6" t="s">
        <v>409</v>
      </c>
      <c r="L51" s="8" t="s">
        <v>385</v>
      </c>
      <c r="M51" s="6" t="s">
        <v>386</v>
      </c>
      <c r="N51" s="6" t="s">
        <v>387</v>
      </c>
    </row>
    <row r="52" customFormat="false" ht="23.25" hidden="false" customHeight="true" outlineLevel="0" collapsed="false">
      <c r="A52" s="6" t="s">
        <v>508</v>
      </c>
      <c r="B52" s="6" t="s">
        <v>488</v>
      </c>
      <c r="C52" s="6" t="s">
        <v>489</v>
      </c>
      <c r="D52" s="6" t="s">
        <v>509</v>
      </c>
      <c r="E52" s="6" t="n">
        <v>5</v>
      </c>
      <c r="F52" s="6" t="s">
        <v>394</v>
      </c>
      <c r="G52" s="6" t="s">
        <v>491</v>
      </c>
      <c r="H52" s="6" t="s">
        <v>492</v>
      </c>
      <c r="I52" s="6" t="s">
        <v>493</v>
      </c>
      <c r="J52" s="9" t="s">
        <v>390</v>
      </c>
      <c r="K52" s="6" t="s">
        <v>395</v>
      </c>
      <c r="L52" s="9"/>
      <c r="M52" s="6" t="s">
        <v>391</v>
      </c>
      <c r="N52" s="6" t="s">
        <v>387</v>
      </c>
    </row>
    <row r="53" customFormat="false" ht="23.25" hidden="false" customHeight="true" outlineLevel="0" collapsed="false">
      <c r="A53" s="6" t="s">
        <v>510</v>
      </c>
      <c r="B53" s="6" t="s">
        <v>488</v>
      </c>
      <c r="C53" s="6" t="s">
        <v>489</v>
      </c>
      <c r="D53" s="6" t="s">
        <v>511</v>
      </c>
      <c r="E53" s="6" t="n">
        <v>3</v>
      </c>
      <c r="F53" s="6" t="s">
        <v>408</v>
      </c>
      <c r="G53" s="6" t="s">
        <v>491</v>
      </c>
      <c r="H53" s="6" t="s">
        <v>492</v>
      </c>
      <c r="I53" s="6" t="s">
        <v>493</v>
      </c>
      <c r="J53" s="9" t="s">
        <v>390</v>
      </c>
      <c r="K53" s="6" t="s">
        <v>409</v>
      </c>
      <c r="L53" s="9"/>
      <c r="M53" s="6" t="s">
        <v>391</v>
      </c>
      <c r="N53" s="6" t="s">
        <v>387</v>
      </c>
    </row>
    <row r="54" customFormat="false" ht="15" hidden="false" customHeight="true" outlineLevel="0" collapsed="false">
      <c r="A54" s="6" t="s">
        <v>512</v>
      </c>
      <c r="B54" s="6" t="s">
        <v>513</v>
      </c>
      <c r="C54" s="6" t="s">
        <v>514</v>
      </c>
      <c r="D54" s="6" t="s">
        <v>515</v>
      </c>
      <c r="E54" s="6" t="n">
        <v>5</v>
      </c>
      <c r="F54" s="6" t="s">
        <v>379</v>
      </c>
      <c r="G54" s="6" t="s">
        <v>183</v>
      </c>
      <c r="H54" s="6" t="s">
        <v>516</v>
      </c>
      <c r="I54" s="6" t="s">
        <v>493</v>
      </c>
      <c r="J54" s="8" t="s">
        <v>383</v>
      </c>
      <c r="K54" s="6" t="s">
        <v>384</v>
      </c>
      <c r="L54" s="8" t="s">
        <v>517</v>
      </c>
      <c r="M54" s="6" t="s">
        <v>386</v>
      </c>
      <c r="N54" s="6" t="s">
        <v>387</v>
      </c>
    </row>
    <row r="55" customFormat="false" ht="15" hidden="false" customHeight="true" outlineLevel="0" collapsed="false">
      <c r="A55" s="6" t="s">
        <v>518</v>
      </c>
      <c r="B55" s="6" t="s">
        <v>513</v>
      </c>
      <c r="C55" s="6" t="s">
        <v>514</v>
      </c>
      <c r="D55" s="6" t="s">
        <v>519</v>
      </c>
      <c r="E55" s="6" t="n">
        <v>3</v>
      </c>
      <c r="F55" s="6" t="s">
        <v>379</v>
      </c>
      <c r="G55" s="6" t="s">
        <v>183</v>
      </c>
      <c r="H55" s="6" t="s">
        <v>516</v>
      </c>
      <c r="I55" s="6" t="s">
        <v>493</v>
      </c>
      <c r="J55" s="8" t="s">
        <v>383</v>
      </c>
      <c r="K55" s="6" t="s">
        <v>384</v>
      </c>
      <c r="L55" s="8" t="s">
        <v>517</v>
      </c>
      <c r="M55" s="6" t="s">
        <v>386</v>
      </c>
      <c r="N55" s="6" t="s">
        <v>387</v>
      </c>
    </row>
    <row r="56" customFormat="false" ht="15" hidden="false" customHeight="true" outlineLevel="0" collapsed="false">
      <c r="A56" s="6" t="s">
        <v>520</v>
      </c>
      <c r="B56" s="6" t="s">
        <v>513</v>
      </c>
      <c r="C56" s="6" t="s">
        <v>514</v>
      </c>
      <c r="D56" s="6" t="s">
        <v>521</v>
      </c>
      <c r="E56" s="6" t="n">
        <v>3</v>
      </c>
      <c r="F56" s="6" t="s">
        <v>394</v>
      </c>
      <c r="G56" s="6" t="s">
        <v>380</v>
      </c>
      <c r="H56" s="6" t="s">
        <v>516</v>
      </c>
      <c r="I56" s="6" t="s">
        <v>493</v>
      </c>
      <c r="J56" s="9" t="s">
        <v>390</v>
      </c>
      <c r="K56" s="6" t="s">
        <v>395</v>
      </c>
      <c r="L56" s="9"/>
      <c r="M56" s="6" t="s">
        <v>391</v>
      </c>
      <c r="N56" s="6" t="s">
        <v>387</v>
      </c>
    </row>
    <row r="57" customFormat="false" ht="15" hidden="false" customHeight="true" outlineLevel="0" collapsed="false">
      <c r="A57" s="6" t="s">
        <v>522</v>
      </c>
      <c r="B57" s="6" t="s">
        <v>513</v>
      </c>
      <c r="C57" s="6" t="s">
        <v>514</v>
      </c>
      <c r="D57" s="6" t="s">
        <v>523</v>
      </c>
      <c r="E57" s="6" t="n">
        <v>5</v>
      </c>
      <c r="F57" s="6" t="s">
        <v>379</v>
      </c>
      <c r="G57" s="6" t="s">
        <v>380</v>
      </c>
      <c r="H57" s="6" t="s">
        <v>516</v>
      </c>
      <c r="I57" s="6" t="s">
        <v>493</v>
      </c>
      <c r="J57" s="8" t="s">
        <v>383</v>
      </c>
      <c r="K57" s="6" t="s">
        <v>384</v>
      </c>
      <c r="L57" s="8" t="s">
        <v>524</v>
      </c>
      <c r="M57" s="6" t="s">
        <v>386</v>
      </c>
      <c r="N57" s="6" t="s">
        <v>387</v>
      </c>
    </row>
    <row r="58" customFormat="false" ht="15" hidden="false" customHeight="true" outlineLevel="0" collapsed="false">
      <c r="A58" s="6" t="s">
        <v>525</v>
      </c>
      <c r="B58" s="6" t="s">
        <v>513</v>
      </c>
      <c r="C58" s="6" t="s">
        <v>514</v>
      </c>
      <c r="D58" s="6" t="s">
        <v>526</v>
      </c>
      <c r="E58" s="6" t="n">
        <v>3</v>
      </c>
      <c r="F58" s="6" t="s">
        <v>379</v>
      </c>
      <c r="G58" s="6" t="s">
        <v>183</v>
      </c>
      <c r="H58" s="6" t="s">
        <v>516</v>
      </c>
      <c r="I58" s="6" t="s">
        <v>493</v>
      </c>
      <c r="J58" s="8" t="s">
        <v>383</v>
      </c>
      <c r="K58" s="6" t="s">
        <v>384</v>
      </c>
      <c r="L58" s="8" t="s">
        <v>517</v>
      </c>
      <c r="M58" s="6" t="s">
        <v>386</v>
      </c>
      <c r="N58" s="6" t="s">
        <v>387</v>
      </c>
    </row>
    <row r="59" customFormat="false" ht="15" hidden="false" customHeight="true" outlineLevel="0" collapsed="false">
      <c r="A59" s="6" t="s">
        <v>527</v>
      </c>
      <c r="B59" s="6" t="s">
        <v>513</v>
      </c>
      <c r="C59" s="6" t="s">
        <v>514</v>
      </c>
      <c r="D59" s="6" t="s">
        <v>528</v>
      </c>
      <c r="E59" s="6" t="n">
        <v>2</v>
      </c>
      <c r="F59" s="6" t="s">
        <v>394</v>
      </c>
      <c r="G59" s="6" t="s">
        <v>183</v>
      </c>
      <c r="H59" s="6" t="s">
        <v>516</v>
      </c>
      <c r="I59" s="6" t="s">
        <v>493</v>
      </c>
      <c r="J59" s="8" t="s">
        <v>383</v>
      </c>
      <c r="K59" s="6" t="s">
        <v>395</v>
      </c>
      <c r="L59" s="8" t="s">
        <v>517</v>
      </c>
      <c r="M59" s="6" t="s">
        <v>386</v>
      </c>
      <c r="N59" s="6" t="s">
        <v>387</v>
      </c>
    </row>
    <row r="60" customFormat="false" ht="15" hidden="false" customHeight="true" outlineLevel="0" collapsed="false">
      <c r="A60" s="6" t="s">
        <v>529</v>
      </c>
      <c r="B60" s="6" t="s">
        <v>530</v>
      </c>
      <c r="C60" s="6" t="s">
        <v>531</v>
      </c>
      <c r="D60" s="6" t="s">
        <v>532</v>
      </c>
      <c r="E60" s="6" t="n">
        <v>5</v>
      </c>
      <c r="F60" s="6" t="s">
        <v>379</v>
      </c>
      <c r="G60" s="6" t="s">
        <v>467</v>
      </c>
      <c r="H60" s="6" t="s">
        <v>533</v>
      </c>
      <c r="I60" s="6" t="s">
        <v>534</v>
      </c>
      <c r="J60" s="8" t="s">
        <v>383</v>
      </c>
      <c r="K60" s="6" t="s">
        <v>384</v>
      </c>
      <c r="L60" s="8" t="s">
        <v>385</v>
      </c>
      <c r="M60" s="6" t="s">
        <v>386</v>
      </c>
      <c r="N60" s="6" t="s">
        <v>387</v>
      </c>
    </row>
    <row r="61" customFormat="false" ht="15" hidden="false" customHeight="true" outlineLevel="0" collapsed="false">
      <c r="A61" s="6" t="s">
        <v>535</v>
      </c>
      <c r="B61" s="6" t="s">
        <v>530</v>
      </c>
      <c r="C61" s="6" t="s">
        <v>531</v>
      </c>
      <c r="D61" s="6" t="s">
        <v>536</v>
      </c>
      <c r="E61" s="6" t="n">
        <v>5</v>
      </c>
      <c r="F61" s="6" t="s">
        <v>379</v>
      </c>
      <c r="G61" s="6" t="s">
        <v>467</v>
      </c>
      <c r="H61" s="6" t="s">
        <v>533</v>
      </c>
      <c r="I61" s="6" t="s">
        <v>534</v>
      </c>
      <c r="J61" s="9" t="s">
        <v>390</v>
      </c>
      <c r="K61" s="6" t="s">
        <v>384</v>
      </c>
      <c r="L61" s="9"/>
      <c r="M61" s="6" t="s">
        <v>391</v>
      </c>
      <c r="N61" s="6" t="s">
        <v>387</v>
      </c>
    </row>
    <row r="62" customFormat="false" ht="15" hidden="false" customHeight="true" outlineLevel="0" collapsed="false">
      <c r="A62" s="6" t="s">
        <v>537</v>
      </c>
      <c r="B62" s="6" t="s">
        <v>530</v>
      </c>
      <c r="C62" s="6" t="s">
        <v>531</v>
      </c>
      <c r="D62" s="6" t="s">
        <v>538</v>
      </c>
      <c r="E62" s="6" t="n">
        <v>8</v>
      </c>
      <c r="F62" s="6" t="s">
        <v>379</v>
      </c>
      <c r="G62" s="6" t="s">
        <v>467</v>
      </c>
      <c r="H62" s="6" t="s">
        <v>533</v>
      </c>
      <c r="I62" s="6" t="s">
        <v>534</v>
      </c>
      <c r="J62" s="9" t="s">
        <v>390</v>
      </c>
      <c r="K62" s="6" t="s">
        <v>384</v>
      </c>
      <c r="L62" s="9"/>
      <c r="M62" s="6" t="s">
        <v>391</v>
      </c>
      <c r="N62" s="6" t="s">
        <v>387</v>
      </c>
    </row>
    <row r="63" customFormat="false" ht="15" hidden="false" customHeight="true" outlineLevel="0" collapsed="false">
      <c r="A63" s="6" t="s">
        <v>539</v>
      </c>
      <c r="B63" s="6" t="s">
        <v>530</v>
      </c>
      <c r="C63" s="6" t="s">
        <v>531</v>
      </c>
      <c r="D63" s="6" t="s">
        <v>540</v>
      </c>
      <c r="E63" s="6" t="n">
        <v>3</v>
      </c>
      <c r="F63" s="6" t="s">
        <v>394</v>
      </c>
      <c r="G63" s="6" t="s">
        <v>541</v>
      </c>
      <c r="H63" s="6" t="s">
        <v>533</v>
      </c>
      <c r="I63" s="6" t="s">
        <v>534</v>
      </c>
      <c r="J63" s="8" t="s">
        <v>383</v>
      </c>
      <c r="K63" s="6" t="s">
        <v>395</v>
      </c>
      <c r="L63" s="8" t="s">
        <v>524</v>
      </c>
      <c r="M63" s="6" t="s">
        <v>386</v>
      </c>
      <c r="N63" s="6" t="s">
        <v>387</v>
      </c>
    </row>
    <row r="64" customFormat="false" ht="15" hidden="false" customHeight="true" outlineLevel="0" collapsed="false">
      <c r="A64" s="6" t="s">
        <v>542</v>
      </c>
      <c r="B64" s="6" t="s">
        <v>530</v>
      </c>
      <c r="C64" s="6" t="s">
        <v>531</v>
      </c>
      <c r="D64" s="6" t="s">
        <v>543</v>
      </c>
      <c r="E64" s="6" t="n">
        <v>3</v>
      </c>
      <c r="F64" s="6" t="s">
        <v>394</v>
      </c>
      <c r="G64" s="6" t="s">
        <v>541</v>
      </c>
      <c r="H64" s="6" t="s">
        <v>533</v>
      </c>
      <c r="I64" s="6" t="s">
        <v>534</v>
      </c>
      <c r="J64" s="8" t="s">
        <v>383</v>
      </c>
      <c r="K64" s="6" t="s">
        <v>395</v>
      </c>
      <c r="L64" s="8" t="s">
        <v>524</v>
      </c>
      <c r="M64" s="6" t="s">
        <v>386</v>
      </c>
      <c r="N64" s="6" t="s">
        <v>387</v>
      </c>
    </row>
    <row r="65" customFormat="false" ht="15" hidden="false" customHeight="true" outlineLevel="0" collapsed="false">
      <c r="A65" s="6" t="s">
        <v>544</v>
      </c>
      <c r="B65" s="6" t="s">
        <v>530</v>
      </c>
      <c r="C65" s="6" t="s">
        <v>531</v>
      </c>
      <c r="D65" s="6" t="s">
        <v>545</v>
      </c>
      <c r="E65" s="6" t="n">
        <v>3</v>
      </c>
      <c r="F65" s="6" t="s">
        <v>408</v>
      </c>
      <c r="G65" s="6" t="s">
        <v>541</v>
      </c>
      <c r="H65" s="6" t="s">
        <v>533</v>
      </c>
      <c r="I65" s="6" t="s">
        <v>534</v>
      </c>
      <c r="J65" s="9" t="s">
        <v>390</v>
      </c>
      <c r="K65" s="6" t="s">
        <v>409</v>
      </c>
      <c r="L65" s="9"/>
      <c r="M65" s="6" t="s">
        <v>391</v>
      </c>
      <c r="N65" s="6" t="s">
        <v>387</v>
      </c>
    </row>
    <row r="66" customFormat="false" ht="15" hidden="false" customHeight="true" outlineLevel="0" collapsed="false">
      <c r="A66" s="6" t="s">
        <v>546</v>
      </c>
      <c r="B66" s="6" t="s">
        <v>530</v>
      </c>
      <c r="C66" s="6" t="s">
        <v>531</v>
      </c>
      <c r="D66" s="6" t="s">
        <v>547</v>
      </c>
      <c r="E66" s="6" t="n">
        <v>3</v>
      </c>
      <c r="F66" s="6" t="s">
        <v>394</v>
      </c>
      <c r="G66" s="6" t="s">
        <v>541</v>
      </c>
      <c r="H66" s="6" t="s">
        <v>533</v>
      </c>
      <c r="I66" s="6" t="s">
        <v>534</v>
      </c>
      <c r="J66" s="8" t="s">
        <v>383</v>
      </c>
      <c r="K66" s="6" t="s">
        <v>395</v>
      </c>
      <c r="L66" s="8" t="s">
        <v>524</v>
      </c>
      <c r="M66" s="6" t="s">
        <v>386</v>
      </c>
      <c r="N66" s="6" t="s">
        <v>387</v>
      </c>
    </row>
    <row r="67" customFormat="false" ht="23.25" hidden="false" customHeight="true" outlineLevel="0" collapsed="false">
      <c r="A67" s="6" t="s">
        <v>548</v>
      </c>
      <c r="B67" s="6" t="s">
        <v>549</v>
      </c>
      <c r="C67" s="6" t="s">
        <v>550</v>
      </c>
      <c r="D67" s="6" t="s">
        <v>551</v>
      </c>
      <c r="E67" s="6" t="n">
        <v>3</v>
      </c>
      <c r="F67" s="6" t="s">
        <v>379</v>
      </c>
      <c r="G67" s="6" t="s">
        <v>541</v>
      </c>
      <c r="H67" s="6" t="s">
        <v>552</v>
      </c>
      <c r="I67" s="6" t="s">
        <v>553</v>
      </c>
      <c r="J67" s="9" t="s">
        <v>390</v>
      </c>
      <c r="K67" s="6" t="s">
        <v>554</v>
      </c>
      <c r="L67" s="9"/>
      <c r="M67" s="6" t="s">
        <v>391</v>
      </c>
      <c r="N67" s="6" t="s">
        <v>387</v>
      </c>
    </row>
    <row r="68" customFormat="false" ht="23.25" hidden="false" customHeight="true" outlineLevel="0" collapsed="false">
      <c r="A68" s="6" t="s">
        <v>555</v>
      </c>
      <c r="B68" s="6" t="s">
        <v>549</v>
      </c>
      <c r="C68" s="6" t="s">
        <v>550</v>
      </c>
      <c r="D68" s="6" t="s">
        <v>556</v>
      </c>
      <c r="E68" s="6" t="n">
        <v>3</v>
      </c>
      <c r="F68" s="6" t="s">
        <v>379</v>
      </c>
      <c r="G68" s="6" t="s">
        <v>491</v>
      </c>
      <c r="H68" s="6" t="s">
        <v>552</v>
      </c>
      <c r="I68" s="6" t="s">
        <v>553</v>
      </c>
      <c r="J68" s="9" t="s">
        <v>390</v>
      </c>
      <c r="K68" s="6" t="s">
        <v>554</v>
      </c>
      <c r="L68" s="9"/>
      <c r="M68" s="6" t="s">
        <v>391</v>
      </c>
      <c r="N68" s="6" t="s">
        <v>387</v>
      </c>
    </row>
    <row r="69" customFormat="false" ht="23.25" hidden="false" customHeight="true" outlineLevel="0" collapsed="false">
      <c r="A69" s="6" t="s">
        <v>557</v>
      </c>
      <c r="B69" s="6" t="s">
        <v>549</v>
      </c>
      <c r="C69" s="6" t="s">
        <v>550</v>
      </c>
      <c r="D69" s="6" t="s">
        <v>558</v>
      </c>
      <c r="E69" s="6" t="n">
        <v>5</v>
      </c>
      <c r="F69" s="6" t="s">
        <v>379</v>
      </c>
      <c r="G69" s="6" t="s">
        <v>491</v>
      </c>
      <c r="H69" s="6" t="s">
        <v>552</v>
      </c>
      <c r="I69" s="6" t="s">
        <v>553</v>
      </c>
      <c r="J69" s="9" t="s">
        <v>383</v>
      </c>
      <c r="K69" s="6" t="s">
        <v>554</v>
      </c>
      <c r="L69" s="9" t="s">
        <v>559</v>
      </c>
      <c r="M69" s="6" t="s">
        <v>386</v>
      </c>
      <c r="N69" s="6" t="s">
        <v>387</v>
      </c>
    </row>
    <row r="70" customFormat="false" ht="23.25" hidden="false" customHeight="true" outlineLevel="0" collapsed="false">
      <c r="A70" s="6" t="s">
        <v>560</v>
      </c>
      <c r="B70" s="6" t="s">
        <v>549</v>
      </c>
      <c r="C70" s="6" t="s">
        <v>550</v>
      </c>
      <c r="D70" s="6" t="s">
        <v>561</v>
      </c>
      <c r="E70" s="6" t="n">
        <v>5</v>
      </c>
      <c r="F70" s="6" t="s">
        <v>394</v>
      </c>
      <c r="G70" s="6" t="s">
        <v>491</v>
      </c>
      <c r="H70" s="6" t="s">
        <v>552</v>
      </c>
      <c r="I70" s="6" t="s">
        <v>553</v>
      </c>
      <c r="J70" s="9" t="s">
        <v>383</v>
      </c>
      <c r="K70" s="6" t="s">
        <v>554</v>
      </c>
      <c r="L70" s="9" t="s">
        <v>562</v>
      </c>
      <c r="M70" s="6" t="s">
        <v>386</v>
      </c>
      <c r="N70" s="6" t="s">
        <v>387</v>
      </c>
    </row>
    <row r="71" customFormat="false" ht="23.25" hidden="false" customHeight="true" outlineLevel="0" collapsed="false">
      <c r="A71" s="6" t="s">
        <v>563</v>
      </c>
      <c r="B71" s="6" t="s">
        <v>549</v>
      </c>
      <c r="C71" s="6" t="s">
        <v>550</v>
      </c>
      <c r="D71" s="6" t="s">
        <v>564</v>
      </c>
      <c r="E71" s="6" t="n">
        <v>8</v>
      </c>
      <c r="F71" s="6" t="s">
        <v>379</v>
      </c>
      <c r="G71" s="6" t="s">
        <v>565</v>
      </c>
      <c r="H71" s="6" t="s">
        <v>552</v>
      </c>
      <c r="I71" s="6" t="s">
        <v>553</v>
      </c>
      <c r="J71" s="9" t="s">
        <v>390</v>
      </c>
      <c r="K71" s="6" t="s">
        <v>554</v>
      </c>
      <c r="L71" s="9"/>
      <c r="M71" s="6" t="s">
        <v>391</v>
      </c>
      <c r="N71" s="6" t="s">
        <v>387</v>
      </c>
    </row>
    <row r="72" customFormat="false" ht="23.25" hidden="false" customHeight="true" outlineLevel="0" collapsed="false">
      <c r="A72" s="6" t="s">
        <v>566</v>
      </c>
      <c r="B72" s="6" t="s">
        <v>549</v>
      </c>
      <c r="C72" s="6" t="s">
        <v>550</v>
      </c>
      <c r="D72" s="6" t="s">
        <v>567</v>
      </c>
      <c r="E72" s="6" t="n">
        <v>5</v>
      </c>
      <c r="F72" s="6" t="s">
        <v>379</v>
      </c>
      <c r="G72" s="6" t="s">
        <v>565</v>
      </c>
      <c r="H72" s="6" t="s">
        <v>552</v>
      </c>
      <c r="I72" s="6" t="s">
        <v>553</v>
      </c>
      <c r="J72" s="9" t="s">
        <v>383</v>
      </c>
      <c r="K72" s="6" t="s">
        <v>554</v>
      </c>
      <c r="L72" s="9" t="s">
        <v>568</v>
      </c>
      <c r="M72" s="6" t="s">
        <v>386</v>
      </c>
      <c r="N72" s="6" t="s">
        <v>387</v>
      </c>
    </row>
    <row r="73" customFormat="false" ht="23.25" hidden="false" customHeight="true" outlineLevel="0" collapsed="false">
      <c r="A73" s="6" t="s">
        <v>569</v>
      </c>
      <c r="B73" s="6" t="s">
        <v>549</v>
      </c>
      <c r="C73" s="6" t="s">
        <v>550</v>
      </c>
      <c r="D73" s="6" t="s">
        <v>570</v>
      </c>
      <c r="E73" s="6" t="n">
        <v>5</v>
      </c>
      <c r="F73" s="6" t="s">
        <v>379</v>
      </c>
      <c r="G73" s="6" t="s">
        <v>491</v>
      </c>
      <c r="H73" s="6" t="s">
        <v>552</v>
      </c>
      <c r="I73" s="6" t="s">
        <v>553</v>
      </c>
      <c r="J73" s="8" t="s">
        <v>383</v>
      </c>
      <c r="K73" s="6" t="s">
        <v>554</v>
      </c>
      <c r="L73" s="8" t="s">
        <v>385</v>
      </c>
      <c r="M73" s="6" t="s">
        <v>386</v>
      </c>
      <c r="N73" s="6" t="s">
        <v>387</v>
      </c>
    </row>
    <row r="74" customFormat="false" ht="15" hidden="false" customHeight="true" outlineLevel="0" collapsed="false">
      <c r="A74" s="6" t="s">
        <v>571</v>
      </c>
      <c r="B74" s="6" t="s">
        <v>572</v>
      </c>
      <c r="C74" s="6" t="s">
        <v>573</v>
      </c>
      <c r="D74" s="6" t="s">
        <v>574</v>
      </c>
      <c r="E74" s="6" t="n">
        <v>5</v>
      </c>
      <c r="F74" s="6" t="s">
        <v>379</v>
      </c>
      <c r="G74" s="6" t="s">
        <v>427</v>
      </c>
      <c r="H74" s="6" t="s">
        <v>575</v>
      </c>
      <c r="I74" s="6" t="s">
        <v>576</v>
      </c>
      <c r="J74" s="9" t="s">
        <v>390</v>
      </c>
      <c r="K74" s="6" t="s">
        <v>384</v>
      </c>
      <c r="L74" s="9"/>
      <c r="M74" s="6" t="s">
        <v>391</v>
      </c>
      <c r="N74" s="6" t="s">
        <v>387</v>
      </c>
    </row>
    <row r="75" customFormat="false" ht="15" hidden="false" customHeight="true" outlineLevel="0" collapsed="false">
      <c r="A75" s="6" t="s">
        <v>577</v>
      </c>
      <c r="B75" s="6" t="s">
        <v>572</v>
      </c>
      <c r="C75" s="6" t="s">
        <v>573</v>
      </c>
      <c r="D75" s="6" t="s">
        <v>578</v>
      </c>
      <c r="E75" s="6" t="n">
        <v>3</v>
      </c>
      <c r="F75" s="6" t="s">
        <v>379</v>
      </c>
      <c r="G75" s="6" t="s">
        <v>427</v>
      </c>
      <c r="H75" s="6" t="s">
        <v>575</v>
      </c>
      <c r="I75" s="6" t="s">
        <v>576</v>
      </c>
      <c r="J75" s="9" t="s">
        <v>390</v>
      </c>
      <c r="K75" s="6" t="s">
        <v>384</v>
      </c>
      <c r="L75" s="9"/>
      <c r="M75" s="6" t="s">
        <v>391</v>
      </c>
      <c r="N75" s="6" t="s">
        <v>387</v>
      </c>
    </row>
    <row r="76" customFormat="false" ht="15" hidden="false" customHeight="true" outlineLevel="0" collapsed="false">
      <c r="A76" s="6" t="s">
        <v>579</v>
      </c>
      <c r="B76" s="6" t="s">
        <v>572</v>
      </c>
      <c r="C76" s="6" t="s">
        <v>573</v>
      </c>
      <c r="D76" s="6" t="s">
        <v>580</v>
      </c>
      <c r="E76" s="6" t="n">
        <v>3</v>
      </c>
      <c r="F76" s="6" t="s">
        <v>408</v>
      </c>
      <c r="G76" s="6" t="s">
        <v>491</v>
      </c>
      <c r="H76" s="6" t="s">
        <v>575</v>
      </c>
      <c r="I76" s="6" t="s">
        <v>576</v>
      </c>
      <c r="J76" s="9" t="s">
        <v>390</v>
      </c>
      <c r="K76" s="6" t="s">
        <v>409</v>
      </c>
      <c r="L76" s="9"/>
      <c r="M76" s="6" t="s">
        <v>391</v>
      </c>
      <c r="N76" s="6" t="s">
        <v>387</v>
      </c>
    </row>
    <row r="77" customFormat="false" ht="15" hidden="false" customHeight="true" outlineLevel="0" collapsed="false">
      <c r="A77" s="6" t="s">
        <v>581</v>
      </c>
      <c r="B77" s="6" t="s">
        <v>572</v>
      </c>
      <c r="C77" s="6" t="s">
        <v>573</v>
      </c>
      <c r="D77" s="6" t="s">
        <v>582</v>
      </c>
      <c r="E77" s="6" t="n">
        <v>2</v>
      </c>
      <c r="F77" s="6" t="s">
        <v>408</v>
      </c>
      <c r="G77" s="6" t="s">
        <v>491</v>
      </c>
      <c r="H77" s="6" t="s">
        <v>575</v>
      </c>
      <c r="I77" s="6" t="s">
        <v>576</v>
      </c>
      <c r="J77" s="9" t="s">
        <v>390</v>
      </c>
      <c r="K77" s="6" t="s">
        <v>409</v>
      </c>
      <c r="L77" s="9"/>
      <c r="M77" s="6" t="s">
        <v>391</v>
      </c>
      <c r="N77" s="6" t="s">
        <v>387</v>
      </c>
    </row>
    <row r="78" customFormat="false" ht="15" hidden="false" customHeight="true" outlineLevel="0" collapsed="false">
      <c r="A78" s="6" t="s">
        <v>583</v>
      </c>
      <c r="B78" s="6" t="s">
        <v>572</v>
      </c>
      <c r="C78" s="6" t="s">
        <v>573</v>
      </c>
      <c r="D78" s="6" t="s">
        <v>584</v>
      </c>
      <c r="E78" s="6" t="n">
        <v>5</v>
      </c>
      <c r="F78" s="6" t="s">
        <v>394</v>
      </c>
      <c r="G78" s="6" t="s">
        <v>491</v>
      </c>
      <c r="H78" s="6" t="s">
        <v>575</v>
      </c>
      <c r="I78" s="6" t="s">
        <v>576</v>
      </c>
      <c r="J78" s="8" t="s">
        <v>383</v>
      </c>
      <c r="K78" s="6" t="s">
        <v>395</v>
      </c>
      <c r="L78" s="8" t="s">
        <v>585</v>
      </c>
      <c r="M78" s="6" t="s">
        <v>586</v>
      </c>
      <c r="N78" s="6" t="s">
        <v>387</v>
      </c>
    </row>
    <row r="79" customFormat="false" ht="15" hidden="false" customHeight="true" outlineLevel="0" collapsed="false">
      <c r="A79" s="6" t="s">
        <v>587</v>
      </c>
      <c r="B79" s="6" t="s">
        <v>572</v>
      </c>
      <c r="C79" s="6" t="s">
        <v>573</v>
      </c>
      <c r="D79" s="6" t="s">
        <v>588</v>
      </c>
      <c r="E79" s="6" t="n">
        <v>3</v>
      </c>
      <c r="F79" s="6" t="s">
        <v>408</v>
      </c>
      <c r="G79" s="6" t="s">
        <v>491</v>
      </c>
      <c r="H79" s="6" t="s">
        <v>575</v>
      </c>
      <c r="I79" s="6" t="s">
        <v>576</v>
      </c>
      <c r="J79" s="9" t="s">
        <v>390</v>
      </c>
      <c r="K79" s="6" t="s">
        <v>409</v>
      </c>
      <c r="L79" s="9"/>
      <c r="M79" s="6" t="s">
        <v>391</v>
      </c>
      <c r="N79" s="6" t="s">
        <v>387</v>
      </c>
    </row>
    <row r="80" customFormat="false" ht="15" hidden="false" customHeight="true" outlineLevel="0" collapsed="false">
      <c r="A80" s="6" t="s">
        <v>589</v>
      </c>
      <c r="B80" s="6" t="s">
        <v>572</v>
      </c>
      <c r="C80" s="6" t="s">
        <v>573</v>
      </c>
      <c r="D80" s="6" t="s">
        <v>590</v>
      </c>
      <c r="E80" s="6" t="n">
        <v>3</v>
      </c>
      <c r="F80" s="6" t="s">
        <v>408</v>
      </c>
      <c r="G80" s="6" t="s">
        <v>491</v>
      </c>
      <c r="H80" s="6" t="s">
        <v>575</v>
      </c>
      <c r="I80" s="6" t="s">
        <v>576</v>
      </c>
      <c r="J80" s="9" t="s">
        <v>390</v>
      </c>
      <c r="K80" s="6" t="s">
        <v>409</v>
      </c>
      <c r="L80" s="9"/>
      <c r="M80" s="6" t="s">
        <v>391</v>
      </c>
      <c r="N80" s="6" t="s">
        <v>387</v>
      </c>
    </row>
    <row r="81" customFormat="false" ht="15" hidden="false" customHeight="true" outlineLevel="0" collapsed="false">
      <c r="A81" s="6" t="s">
        <v>591</v>
      </c>
      <c r="B81" s="6" t="s">
        <v>592</v>
      </c>
      <c r="C81" s="6" t="s">
        <v>593</v>
      </c>
      <c r="D81" s="6" t="s">
        <v>594</v>
      </c>
      <c r="E81" s="6" t="n">
        <v>5</v>
      </c>
      <c r="F81" s="6" t="s">
        <v>379</v>
      </c>
      <c r="G81" s="6" t="s">
        <v>443</v>
      </c>
      <c r="H81" s="6" t="s">
        <v>595</v>
      </c>
      <c r="I81" s="6" t="s">
        <v>596</v>
      </c>
      <c r="J81" s="9" t="s">
        <v>390</v>
      </c>
      <c r="K81" s="6" t="s">
        <v>384</v>
      </c>
      <c r="L81" s="9"/>
      <c r="M81" s="6" t="s">
        <v>391</v>
      </c>
      <c r="N81" s="6" t="s">
        <v>387</v>
      </c>
    </row>
    <row r="82" customFormat="false" ht="15" hidden="false" customHeight="true" outlineLevel="0" collapsed="false">
      <c r="A82" s="6" t="s">
        <v>597</v>
      </c>
      <c r="B82" s="6" t="s">
        <v>592</v>
      </c>
      <c r="C82" s="6" t="s">
        <v>593</v>
      </c>
      <c r="D82" s="6" t="s">
        <v>598</v>
      </c>
      <c r="E82" s="6" t="n">
        <v>3</v>
      </c>
      <c r="F82" s="6" t="s">
        <v>394</v>
      </c>
      <c r="G82" s="6" t="s">
        <v>443</v>
      </c>
      <c r="H82" s="6" t="s">
        <v>595</v>
      </c>
      <c r="I82" s="6" t="s">
        <v>596</v>
      </c>
      <c r="J82" s="9" t="s">
        <v>390</v>
      </c>
      <c r="K82" s="6" t="s">
        <v>395</v>
      </c>
      <c r="L82" s="9"/>
      <c r="M82" s="6" t="s">
        <v>391</v>
      </c>
      <c r="N82" s="6" t="s">
        <v>387</v>
      </c>
    </row>
    <row r="83" customFormat="false" ht="15" hidden="false" customHeight="true" outlineLevel="0" collapsed="false">
      <c r="A83" s="6" t="s">
        <v>599</v>
      </c>
      <c r="B83" s="6" t="s">
        <v>592</v>
      </c>
      <c r="C83" s="6" t="s">
        <v>593</v>
      </c>
      <c r="D83" s="6" t="s">
        <v>600</v>
      </c>
      <c r="E83" s="6" t="n">
        <v>5</v>
      </c>
      <c r="F83" s="6" t="s">
        <v>394</v>
      </c>
      <c r="G83" s="6" t="s">
        <v>601</v>
      </c>
      <c r="H83" s="6" t="s">
        <v>595</v>
      </c>
      <c r="I83" s="6" t="s">
        <v>596</v>
      </c>
      <c r="J83" s="8" t="s">
        <v>383</v>
      </c>
      <c r="K83" s="6" t="s">
        <v>395</v>
      </c>
      <c r="L83" s="8" t="s">
        <v>602</v>
      </c>
      <c r="M83" s="6" t="s">
        <v>603</v>
      </c>
      <c r="N83" s="6" t="s">
        <v>604</v>
      </c>
    </row>
    <row r="84" customFormat="false" ht="15" hidden="false" customHeight="true" outlineLevel="0" collapsed="false">
      <c r="A84" s="6" t="s">
        <v>605</v>
      </c>
      <c r="B84" s="6" t="s">
        <v>592</v>
      </c>
      <c r="C84" s="6" t="s">
        <v>593</v>
      </c>
      <c r="D84" s="6" t="s">
        <v>606</v>
      </c>
      <c r="E84" s="6" t="n">
        <v>3</v>
      </c>
      <c r="F84" s="6" t="s">
        <v>379</v>
      </c>
      <c r="G84" s="6" t="s">
        <v>601</v>
      </c>
      <c r="H84" s="6" t="s">
        <v>595</v>
      </c>
      <c r="I84" s="6" t="s">
        <v>596</v>
      </c>
      <c r="J84" s="9" t="s">
        <v>383</v>
      </c>
      <c r="K84" s="6" t="s">
        <v>384</v>
      </c>
      <c r="L84" s="9" t="s">
        <v>607</v>
      </c>
      <c r="M84" s="6" t="s">
        <v>386</v>
      </c>
      <c r="N84" s="6" t="s">
        <v>387</v>
      </c>
    </row>
    <row r="85" customFormat="false" ht="15" hidden="false" customHeight="true" outlineLevel="0" collapsed="false">
      <c r="A85" s="6" t="s">
        <v>608</v>
      </c>
      <c r="B85" s="6" t="s">
        <v>592</v>
      </c>
      <c r="C85" s="6" t="s">
        <v>593</v>
      </c>
      <c r="D85" s="6" t="s">
        <v>609</v>
      </c>
      <c r="E85" s="6" t="n">
        <v>3</v>
      </c>
      <c r="F85" s="6" t="s">
        <v>394</v>
      </c>
      <c r="G85" s="6" t="s">
        <v>610</v>
      </c>
      <c r="H85" s="6" t="s">
        <v>595</v>
      </c>
      <c r="I85" s="6" t="s">
        <v>596</v>
      </c>
      <c r="J85" s="8" t="s">
        <v>383</v>
      </c>
      <c r="K85" s="6" t="s">
        <v>395</v>
      </c>
      <c r="L85" s="8" t="s">
        <v>602</v>
      </c>
      <c r="M85" s="6" t="s">
        <v>603</v>
      </c>
      <c r="N85" s="6" t="s">
        <v>604</v>
      </c>
    </row>
    <row r="86" customFormat="false" ht="15" hidden="false" customHeight="true" outlineLevel="0" collapsed="false">
      <c r="A86" s="6" t="s">
        <v>611</v>
      </c>
      <c r="B86" s="6" t="s">
        <v>592</v>
      </c>
      <c r="C86" s="6" t="s">
        <v>593</v>
      </c>
      <c r="D86" s="6" t="s">
        <v>612</v>
      </c>
      <c r="E86" s="6" t="n">
        <v>5</v>
      </c>
      <c r="F86" s="6" t="s">
        <v>394</v>
      </c>
      <c r="G86" s="6" t="s">
        <v>601</v>
      </c>
      <c r="H86" s="6" t="s">
        <v>595</v>
      </c>
      <c r="I86" s="6" t="s">
        <v>596</v>
      </c>
      <c r="J86" s="9" t="s">
        <v>383</v>
      </c>
      <c r="K86" s="6" t="s">
        <v>395</v>
      </c>
      <c r="L86" s="9" t="s">
        <v>613</v>
      </c>
      <c r="M86" s="6" t="s">
        <v>386</v>
      </c>
      <c r="N86" s="6" t="s">
        <v>387</v>
      </c>
    </row>
    <row r="87" customFormat="false" ht="15" hidden="false" customHeight="true" outlineLevel="0" collapsed="false">
      <c r="A87" s="6" t="s">
        <v>614</v>
      </c>
      <c r="B87" s="6" t="s">
        <v>592</v>
      </c>
      <c r="C87" s="6" t="s">
        <v>593</v>
      </c>
      <c r="D87" s="6" t="s">
        <v>615</v>
      </c>
      <c r="E87" s="6" t="n">
        <v>2</v>
      </c>
      <c r="F87" s="6" t="s">
        <v>408</v>
      </c>
      <c r="G87" s="6" t="s">
        <v>601</v>
      </c>
      <c r="H87" s="6" t="s">
        <v>595</v>
      </c>
      <c r="I87" s="6" t="s">
        <v>596</v>
      </c>
      <c r="J87" s="8" t="s">
        <v>383</v>
      </c>
      <c r="K87" s="6" t="s">
        <v>409</v>
      </c>
      <c r="L87" s="8" t="s">
        <v>602</v>
      </c>
      <c r="M87" s="6" t="s">
        <v>603</v>
      </c>
      <c r="N87" s="6" t="s">
        <v>604</v>
      </c>
    </row>
    <row r="88" customFormat="false" ht="23.25" hidden="false" customHeight="true" outlineLevel="0" collapsed="false">
      <c r="A88" s="6" t="s">
        <v>616</v>
      </c>
      <c r="B88" s="6" t="s">
        <v>617</v>
      </c>
      <c r="C88" s="6" t="s">
        <v>618</v>
      </c>
      <c r="D88" s="6" t="s">
        <v>619</v>
      </c>
      <c r="E88" s="6" t="n">
        <v>5</v>
      </c>
      <c r="F88" s="6" t="s">
        <v>379</v>
      </c>
      <c r="G88" s="6" t="s">
        <v>400</v>
      </c>
      <c r="H88" s="6" t="s">
        <v>620</v>
      </c>
      <c r="I88" s="6" t="s">
        <v>621</v>
      </c>
      <c r="J88" s="9" t="s">
        <v>383</v>
      </c>
      <c r="K88" s="6" t="s">
        <v>554</v>
      </c>
      <c r="L88" s="8" t="s">
        <v>622</v>
      </c>
      <c r="M88" s="6" t="s">
        <v>386</v>
      </c>
      <c r="N88" s="6" t="s">
        <v>387</v>
      </c>
    </row>
    <row r="89" customFormat="false" ht="23.25" hidden="false" customHeight="true" outlineLevel="0" collapsed="false">
      <c r="A89" s="6" t="s">
        <v>623</v>
      </c>
      <c r="B89" s="6" t="s">
        <v>617</v>
      </c>
      <c r="C89" s="6" t="s">
        <v>618</v>
      </c>
      <c r="D89" s="6" t="s">
        <v>624</v>
      </c>
      <c r="E89" s="6" t="n">
        <v>5</v>
      </c>
      <c r="F89" s="6" t="s">
        <v>379</v>
      </c>
      <c r="G89" s="6" t="s">
        <v>427</v>
      </c>
      <c r="H89" s="6" t="s">
        <v>620</v>
      </c>
      <c r="I89" s="6" t="s">
        <v>621</v>
      </c>
      <c r="J89" s="9" t="s">
        <v>390</v>
      </c>
      <c r="K89" s="6" t="s">
        <v>554</v>
      </c>
      <c r="L89" s="9"/>
      <c r="M89" s="6" t="s">
        <v>391</v>
      </c>
      <c r="N89" s="6" t="s">
        <v>387</v>
      </c>
    </row>
    <row r="90" customFormat="false" ht="23.25" hidden="false" customHeight="true" outlineLevel="0" collapsed="false">
      <c r="A90" s="6" t="s">
        <v>625</v>
      </c>
      <c r="B90" s="6" t="s">
        <v>617</v>
      </c>
      <c r="C90" s="6" t="s">
        <v>618</v>
      </c>
      <c r="D90" s="6" t="s">
        <v>626</v>
      </c>
      <c r="E90" s="6" t="n">
        <v>3</v>
      </c>
      <c r="F90" s="6" t="s">
        <v>379</v>
      </c>
      <c r="G90" s="6" t="s">
        <v>491</v>
      </c>
      <c r="H90" s="6" t="s">
        <v>620</v>
      </c>
      <c r="I90" s="6" t="s">
        <v>621</v>
      </c>
      <c r="J90" s="9" t="s">
        <v>390</v>
      </c>
      <c r="K90" s="6" t="s">
        <v>554</v>
      </c>
      <c r="L90" s="9"/>
      <c r="M90" s="6" t="s">
        <v>391</v>
      </c>
      <c r="N90" s="6" t="s">
        <v>387</v>
      </c>
    </row>
    <row r="91" customFormat="false" ht="23.25" hidden="false" customHeight="true" outlineLevel="0" collapsed="false">
      <c r="A91" s="6" t="s">
        <v>627</v>
      </c>
      <c r="B91" s="6" t="s">
        <v>617</v>
      </c>
      <c r="C91" s="6" t="s">
        <v>618</v>
      </c>
      <c r="D91" s="6" t="s">
        <v>628</v>
      </c>
      <c r="E91" s="6" t="n">
        <v>5</v>
      </c>
      <c r="F91" s="6" t="s">
        <v>394</v>
      </c>
      <c r="G91" s="6" t="s">
        <v>491</v>
      </c>
      <c r="H91" s="6" t="s">
        <v>620</v>
      </c>
      <c r="I91" s="6" t="s">
        <v>621</v>
      </c>
      <c r="J91" s="9" t="s">
        <v>383</v>
      </c>
      <c r="K91" s="6" t="s">
        <v>554</v>
      </c>
      <c r="L91" s="9" t="s">
        <v>629</v>
      </c>
      <c r="M91" s="6" t="s">
        <v>386</v>
      </c>
      <c r="N91" s="6" t="s">
        <v>387</v>
      </c>
    </row>
    <row r="92" customFormat="false" ht="23.25" hidden="false" customHeight="true" outlineLevel="0" collapsed="false">
      <c r="A92" s="6" t="s">
        <v>630</v>
      </c>
      <c r="B92" s="6" t="s">
        <v>617</v>
      </c>
      <c r="C92" s="6" t="s">
        <v>618</v>
      </c>
      <c r="D92" s="6" t="s">
        <v>631</v>
      </c>
      <c r="E92" s="6" t="n">
        <v>3</v>
      </c>
      <c r="F92" s="6" t="s">
        <v>394</v>
      </c>
      <c r="G92" s="6" t="s">
        <v>565</v>
      </c>
      <c r="H92" s="6" t="s">
        <v>620</v>
      </c>
      <c r="I92" s="6" t="s">
        <v>621</v>
      </c>
      <c r="J92" s="9" t="s">
        <v>390</v>
      </c>
      <c r="K92" s="6" t="s">
        <v>554</v>
      </c>
      <c r="L92" s="9"/>
      <c r="M92" s="6" t="s">
        <v>391</v>
      </c>
      <c r="N92" s="6" t="s">
        <v>387</v>
      </c>
    </row>
    <row r="93" customFormat="false" ht="23.25" hidden="false" customHeight="true" outlineLevel="0" collapsed="false">
      <c r="A93" s="6" t="s">
        <v>632</v>
      </c>
      <c r="B93" s="6" t="s">
        <v>617</v>
      </c>
      <c r="C93" s="6" t="s">
        <v>618</v>
      </c>
      <c r="D93" s="6" t="s">
        <v>633</v>
      </c>
      <c r="E93" s="6" t="n">
        <v>3</v>
      </c>
      <c r="F93" s="6" t="s">
        <v>394</v>
      </c>
      <c r="G93" s="6" t="s">
        <v>565</v>
      </c>
      <c r="H93" s="6" t="s">
        <v>620</v>
      </c>
      <c r="I93" s="6" t="s">
        <v>621</v>
      </c>
      <c r="J93" s="9" t="s">
        <v>383</v>
      </c>
      <c r="K93" s="6" t="s">
        <v>554</v>
      </c>
      <c r="L93" s="9" t="s">
        <v>634</v>
      </c>
      <c r="M93" s="6" t="s">
        <v>386</v>
      </c>
      <c r="N93" s="6" t="s">
        <v>387</v>
      </c>
    </row>
    <row r="94" customFormat="false" ht="23.25" hidden="false" customHeight="true" outlineLevel="0" collapsed="false">
      <c r="A94" s="6" t="s">
        <v>635</v>
      </c>
      <c r="B94" s="6" t="s">
        <v>617</v>
      </c>
      <c r="C94" s="6" t="s">
        <v>618</v>
      </c>
      <c r="D94" s="6" t="s">
        <v>636</v>
      </c>
      <c r="E94" s="6" t="n">
        <v>3</v>
      </c>
      <c r="F94" s="6" t="s">
        <v>408</v>
      </c>
      <c r="G94" s="6" t="s">
        <v>565</v>
      </c>
      <c r="H94" s="6" t="s">
        <v>620</v>
      </c>
      <c r="I94" s="6" t="s">
        <v>621</v>
      </c>
      <c r="J94" s="9" t="s">
        <v>390</v>
      </c>
      <c r="K94" s="6" t="s">
        <v>554</v>
      </c>
      <c r="L94" s="9"/>
      <c r="M94" s="6" t="s">
        <v>391</v>
      </c>
      <c r="N94" s="6" t="s">
        <v>387</v>
      </c>
    </row>
    <row r="95" customFormat="false" ht="23.25" hidden="false" customHeight="true" outlineLevel="0" collapsed="false">
      <c r="A95" s="6" t="s">
        <v>637</v>
      </c>
      <c r="B95" s="6" t="s">
        <v>617</v>
      </c>
      <c r="C95" s="6" t="s">
        <v>618</v>
      </c>
      <c r="D95" s="6" t="s">
        <v>638</v>
      </c>
      <c r="E95" s="6" t="n">
        <v>3</v>
      </c>
      <c r="F95" s="6" t="s">
        <v>408</v>
      </c>
      <c r="G95" s="6" t="s">
        <v>491</v>
      </c>
      <c r="H95" s="6" t="s">
        <v>620</v>
      </c>
      <c r="I95" s="6" t="s">
        <v>621</v>
      </c>
      <c r="J95" s="9" t="s">
        <v>383</v>
      </c>
      <c r="K95" s="6" t="s">
        <v>554</v>
      </c>
      <c r="L95" s="9" t="s">
        <v>639</v>
      </c>
      <c r="M95" s="6" t="s">
        <v>386</v>
      </c>
      <c r="N95" s="6" t="s">
        <v>387</v>
      </c>
    </row>
    <row r="96" customFormat="false" ht="15" hidden="false" customHeight="true" outlineLevel="0" collapsed="false">
      <c r="A96" s="6" t="s">
        <v>640</v>
      </c>
      <c r="B96" s="6" t="s">
        <v>641</v>
      </c>
      <c r="C96" s="6" t="s">
        <v>642</v>
      </c>
      <c r="D96" s="6" t="s">
        <v>643</v>
      </c>
      <c r="E96" s="6" t="n">
        <v>3</v>
      </c>
      <c r="F96" s="6" t="s">
        <v>379</v>
      </c>
      <c r="G96" s="6" t="s">
        <v>565</v>
      </c>
      <c r="H96" s="6" t="s">
        <v>644</v>
      </c>
      <c r="I96" s="6" t="s">
        <v>645</v>
      </c>
      <c r="J96" s="8" t="s">
        <v>383</v>
      </c>
      <c r="K96" s="6" t="s">
        <v>384</v>
      </c>
      <c r="L96" s="8" t="s">
        <v>602</v>
      </c>
      <c r="M96" s="6" t="s">
        <v>603</v>
      </c>
      <c r="N96" s="6" t="s">
        <v>604</v>
      </c>
    </row>
    <row r="97" customFormat="false" ht="15" hidden="false" customHeight="true" outlineLevel="0" collapsed="false">
      <c r="A97" s="6" t="s">
        <v>646</v>
      </c>
      <c r="B97" s="6" t="s">
        <v>641</v>
      </c>
      <c r="C97" s="6" t="s">
        <v>642</v>
      </c>
      <c r="D97" s="6" t="s">
        <v>647</v>
      </c>
      <c r="E97" s="6" t="n">
        <v>5</v>
      </c>
      <c r="F97" s="6" t="s">
        <v>379</v>
      </c>
      <c r="G97" s="6" t="s">
        <v>565</v>
      </c>
      <c r="H97" s="6" t="s">
        <v>644</v>
      </c>
      <c r="I97" s="6" t="s">
        <v>645</v>
      </c>
      <c r="J97" s="9" t="s">
        <v>390</v>
      </c>
      <c r="K97" s="6" t="s">
        <v>384</v>
      </c>
      <c r="L97" s="9"/>
      <c r="M97" s="6" t="s">
        <v>391</v>
      </c>
      <c r="N97" s="6" t="s">
        <v>387</v>
      </c>
    </row>
    <row r="98" customFormat="false" ht="15" hidden="false" customHeight="true" outlineLevel="0" collapsed="false">
      <c r="A98" s="6" t="s">
        <v>648</v>
      </c>
      <c r="B98" s="6" t="s">
        <v>641</v>
      </c>
      <c r="C98" s="6" t="s">
        <v>642</v>
      </c>
      <c r="D98" s="6" t="s">
        <v>649</v>
      </c>
      <c r="E98" s="6" t="n">
        <v>3</v>
      </c>
      <c r="F98" s="6" t="s">
        <v>379</v>
      </c>
      <c r="G98" s="6" t="s">
        <v>601</v>
      </c>
      <c r="H98" s="6" t="s">
        <v>644</v>
      </c>
      <c r="I98" s="6" t="s">
        <v>645</v>
      </c>
      <c r="J98" s="8" t="s">
        <v>383</v>
      </c>
      <c r="K98" s="6" t="s">
        <v>384</v>
      </c>
      <c r="L98" s="8" t="s">
        <v>602</v>
      </c>
      <c r="M98" s="6" t="s">
        <v>603</v>
      </c>
      <c r="N98" s="6" t="s">
        <v>604</v>
      </c>
    </row>
    <row r="99" customFormat="false" ht="15" hidden="false" customHeight="true" outlineLevel="0" collapsed="false">
      <c r="A99" s="6" t="s">
        <v>650</v>
      </c>
      <c r="B99" s="6" t="s">
        <v>641</v>
      </c>
      <c r="C99" s="6" t="s">
        <v>642</v>
      </c>
      <c r="D99" s="6" t="s">
        <v>651</v>
      </c>
      <c r="E99" s="6" t="n">
        <v>3</v>
      </c>
      <c r="F99" s="6" t="s">
        <v>379</v>
      </c>
      <c r="G99" s="6" t="s">
        <v>601</v>
      </c>
      <c r="H99" s="6" t="s">
        <v>644</v>
      </c>
      <c r="I99" s="6" t="s">
        <v>645</v>
      </c>
      <c r="J99" s="8" t="s">
        <v>383</v>
      </c>
      <c r="K99" s="6" t="s">
        <v>384</v>
      </c>
      <c r="L99" s="8" t="s">
        <v>602</v>
      </c>
      <c r="M99" s="6" t="s">
        <v>603</v>
      </c>
      <c r="N99" s="6" t="s">
        <v>604</v>
      </c>
    </row>
    <row r="100" customFormat="false" ht="15" hidden="false" customHeight="true" outlineLevel="0" collapsed="false">
      <c r="A100" s="6" t="s">
        <v>652</v>
      </c>
      <c r="B100" s="6" t="s">
        <v>641</v>
      </c>
      <c r="C100" s="6" t="s">
        <v>642</v>
      </c>
      <c r="D100" s="6" t="s">
        <v>653</v>
      </c>
      <c r="E100" s="6" t="n">
        <v>3</v>
      </c>
      <c r="F100" s="6" t="s">
        <v>379</v>
      </c>
      <c r="G100" s="6" t="s">
        <v>601</v>
      </c>
      <c r="H100" s="6" t="s">
        <v>644</v>
      </c>
      <c r="I100" s="6" t="s">
        <v>645</v>
      </c>
      <c r="J100" s="9" t="s">
        <v>390</v>
      </c>
      <c r="K100" s="6" t="s">
        <v>384</v>
      </c>
      <c r="L100" s="9"/>
      <c r="M100" s="6" t="s">
        <v>391</v>
      </c>
      <c r="N100" s="6" t="s">
        <v>387</v>
      </c>
    </row>
    <row r="101" customFormat="false" ht="15" hidden="false" customHeight="true" outlineLevel="0" collapsed="false">
      <c r="A101" s="6" t="s">
        <v>654</v>
      </c>
      <c r="B101" s="6" t="s">
        <v>641</v>
      </c>
      <c r="C101" s="6" t="s">
        <v>642</v>
      </c>
      <c r="D101" s="6" t="s">
        <v>655</v>
      </c>
      <c r="E101" s="6" t="n">
        <v>3</v>
      </c>
      <c r="F101" s="6" t="s">
        <v>394</v>
      </c>
      <c r="G101" s="6" t="s">
        <v>610</v>
      </c>
      <c r="H101" s="6" t="s">
        <v>644</v>
      </c>
      <c r="I101" s="6" t="s">
        <v>645</v>
      </c>
      <c r="J101" s="8" t="s">
        <v>383</v>
      </c>
      <c r="K101" s="6" t="s">
        <v>395</v>
      </c>
      <c r="L101" s="8" t="s">
        <v>602</v>
      </c>
      <c r="M101" s="6" t="s">
        <v>603</v>
      </c>
      <c r="N101" s="6" t="s">
        <v>604</v>
      </c>
    </row>
    <row r="102" customFormat="false" ht="15" hidden="false" customHeight="true" outlineLevel="0" collapsed="false">
      <c r="A102" s="6" t="s">
        <v>656</v>
      </c>
      <c r="B102" s="6" t="s">
        <v>641</v>
      </c>
      <c r="C102" s="6" t="s">
        <v>642</v>
      </c>
      <c r="D102" s="6" t="s">
        <v>657</v>
      </c>
      <c r="E102" s="6" t="n">
        <v>2</v>
      </c>
      <c r="F102" s="6" t="s">
        <v>408</v>
      </c>
      <c r="G102" s="6" t="s">
        <v>658</v>
      </c>
      <c r="H102" s="6" t="s">
        <v>644</v>
      </c>
      <c r="I102" s="6" t="s">
        <v>645</v>
      </c>
      <c r="J102" s="9" t="s">
        <v>390</v>
      </c>
      <c r="K102" s="6" t="s">
        <v>409</v>
      </c>
      <c r="L102" s="9"/>
      <c r="M102" s="6" t="s">
        <v>391</v>
      </c>
      <c r="N102" s="6" t="s">
        <v>387</v>
      </c>
    </row>
    <row r="103" customFormat="false" ht="15" hidden="false" customHeight="true" outlineLevel="0" collapsed="false">
      <c r="A103" s="6" t="s">
        <v>659</v>
      </c>
      <c r="B103" s="6" t="s">
        <v>641</v>
      </c>
      <c r="C103" s="6" t="s">
        <v>642</v>
      </c>
      <c r="D103" s="6" t="s">
        <v>660</v>
      </c>
      <c r="E103" s="6" t="n">
        <v>2</v>
      </c>
      <c r="F103" s="6" t="s">
        <v>394</v>
      </c>
      <c r="G103" s="6" t="s">
        <v>610</v>
      </c>
      <c r="H103" s="6" t="s">
        <v>644</v>
      </c>
      <c r="I103" s="6" t="s">
        <v>645</v>
      </c>
      <c r="J103" s="9" t="s">
        <v>390</v>
      </c>
      <c r="K103" s="6" t="s">
        <v>395</v>
      </c>
      <c r="L103" s="9"/>
      <c r="M103" s="6" t="s">
        <v>391</v>
      </c>
      <c r="N103" s="6" t="s">
        <v>387</v>
      </c>
    </row>
    <row r="104" customFormat="false" ht="79.5" hidden="false" customHeight="true" outlineLevel="0" collapsed="false">
      <c r="A104" s="6" t="s">
        <v>661</v>
      </c>
      <c r="B104" s="6" t="s">
        <v>662</v>
      </c>
      <c r="C104" s="6" t="s">
        <v>663</v>
      </c>
      <c r="D104" s="6" t="s">
        <v>664</v>
      </c>
      <c r="E104" s="6" t="s">
        <v>665</v>
      </c>
      <c r="F104" s="6" t="s">
        <v>379</v>
      </c>
      <c r="G104" s="6" t="s">
        <v>666</v>
      </c>
      <c r="H104" s="6" t="s">
        <v>145</v>
      </c>
      <c r="I104" s="6" t="s">
        <v>667</v>
      </c>
      <c r="J104" s="9" t="s">
        <v>383</v>
      </c>
      <c r="K104" s="6" t="s">
        <v>668</v>
      </c>
      <c r="L104" s="9" t="s">
        <v>669</v>
      </c>
      <c r="M104" s="6" t="s">
        <v>386</v>
      </c>
      <c r="N104" s="6" t="s">
        <v>386</v>
      </c>
    </row>
    <row r="105" customFormat="false" ht="90.75" hidden="false" customHeight="true" outlineLevel="0" collapsed="false">
      <c r="A105" s="6" t="s">
        <v>670</v>
      </c>
      <c r="B105" s="6" t="s">
        <v>662</v>
      </c>
      <c r="C105" s="6" t="s">
        <v>663</v>
      </c>
      <c r="D105" s="6" t="s">
        <v>671</v>
      </c>
      <c r="E105" s="6" t="s">
        <v>665</v>
      </c>
      <c r="F105" s="6" t="s">
        <v>379</v>
      </c>
      <c r="G105" s="6" t="s">
        <v>666</v>
      </c>
      <c r="H105" s="6" t="s">
        <v>145</v>
      </c>
      <c r="I105" s="6" t="s">
        <v>667</v>
      </c>
      <c r="J105" s="9" t="s">
        <v>383</v>
      </c>
      <c r="K105" s="6" t="s">
        <v>672</v>
      </c>
      <c r="L105" s="9" t="s">
        <v>673</v>
      </c>
      <c r="M105" s="6" t="s">
        <v>386</v>
      </c>
      <c r="N105" s="6" t="s">
        <v>386</v>
      </c>
    </row>
    <row r="106" customFormat="false" ht="113.25" hidden="false" customHeight="true" outlineLevel="0" collapsed="false">
      <c r="A106" s="6" t="s">
        <v>674</v>
      </c>
      <c r="B106" s="6" t="s">
        <v>662</v>
      </c>
      <c r="C106" s="6" t="s">
        <v>663</v>
      </c>
      <c r="D106" s="6" t="s">
        <v>675</v>
      </c>
      <c r="E106" s="6" t="s">
        <v>665</v>
      </c>
      <c r="F106" s="6" t="s">
        <v>379</v>
      </c>
      <c r="G106" s="6" t="s">
        <v>666</v>
      </c>
      <c r="H106" s="6" t="s">
        <v>145</v>
      </c>
      <c r="I106" s="6" t="s">
        <v>676</v>
      </c>
      <c r="J106" s="9" t="s">
        <v>383</v>
      </c>
      <c r="K106" s="6" t="s">
        <v>677</v>
      </c>
      <c r="L106" s="9" t="s">
        <v>678</v>
      </c>
      <c r="M106" s="6" t="s">
        <v>386</v>
      </c>
      <c r="N106" s="6" t="s">
        <v>679</v>
      </c>
    </row>
    <row r="107" customFormat="false" ht="113.25" hidden="false" customHeight="true" outlineLevel="0" collapsed="false">
      <c r="A107" s="6" t="s">
        <v>680</v>
      </c>
      <c r="B107" s="6" t="s">
        <v>662</v>
      </c>
      <c r="C107" s="6" t="s">
        <v>663</v>
      </c>
      <c r="D107" s="6" t="s">
        <v>681</v>
      </c>
      <c r="E107" s="6" t="s">
        <v>665</v>
      </c>
      <c r="F107" s="6" t="s">
        <v>379</v>
      </c>
      <c r="G107" s="6" t="s">
        <v>666</v>
      </c>
      <c r="H107" s="6" t="s">
        <v>145</v>
      </c>
      <c r="I107" s="6" t="s">
        <v>682</v>
      </c>
      <c r="J107" s="9" t="s">
        <v>383</v>
      </c>
      <c r="K107" s="6" t="s">
        <v>683</v>
      </c>
      <c r="L107" s="9" t="s">
        <v>684</v>
      </c>
      <c r="M107" s="6" t="s">
        <v>386</v>
      </c>
      <c r="N107" s="6" t="s">
        <v>679</v>
      </c>
    </row>
    <row r="108" customFormat="false" ht="102" hidden="false" customHeight="true" outlineLevel="0" collapsed="false">
      <c r="A108" s="6" t="s">
        <v>685</v>
      </c>
      <c r="B108" s="6" t="s">
        <v>662</v>
      </c>
      <c r="C108" s="6" t="s">
        <v>663</v>
      </c>
      <c r="D108" s="6" t="s">
        <v>686</v>
      </c>
      <c r="E108" s="6" t="s">
        <v>665</v>
      </c>
      <c r="F108" s="6" t="s">
        <v>379</v>
      </c>
      <c r="G108" s="6" t="s">
        <v>666</v>
      </c>
      <c r="H108" s="6" t="s">
        <v>145</v>
      </c>
      <c r="I108" s="6" t="s">
        <v>687</v>
      </c>
      <c r="J108" s="9" t="s">
        <v>383</v>
      </c>
      <c r="K108" s="6" t="s">
        <v>688</v>
      </c>
      <c r="L108" s="9" t="s">
        <v>689</v>
      </c>
      <c r="M108" s="6" t="s">
        <v>386</v>
      </c>
      <c r="N108" s="6" t="s">
        <v>386</v>
      </c>
    </row>
    <row r="109" customFormat="false" ht="102" hidden="false" customHeight="true" outlineLevel="0" collapsed="false">
      <c r="A109" s="6" t="s">
        <v>690</v>
      </c>
      <c r="B109" s="6" t="s">
        <v>662</v>
      </c>
      <c r="C109" s="6" t="s">
        <v>663</v>
      </c>
      <c r="D109" s="6" t="s">
        <v>691</v>
      </c>
      <c r="E109" s="6" t="s">
        <v>665</v>
      </c>
      <c r="F109" s="6" t="s">
        <v>379</v>
      </c>
      <c r="G109" s="6" t="s">
        <v>666</v>
      </c>
      <c r="H109" s="6" t="s">
        <v>145</v>
      </c>
      <c r="I109" s="6" t="s">
        <v>692</v>
      </c>
      <c r="J109" s="9" t="s">
        <v>383</v>
      </c>
      <c r="K109" s="6" t="s">
        <v>693</v>
      </c>
      <c r="L109" s="9" t="s">
        <v>694</v>
      </c>
      <c r="M109" s="6" t="s">
        <v>386</v>
      </c>
      <c r="N109" s="6" t="s">
        <v>386</v>
      </c>
    </row>
    <row r="110" customFormat="false" ht="79.5" hidden="false" customHeight="true" outlineLevel="0" collapsed="false">
      <c r="A110" s="6" t="s">
        <v>695</v>
      </c>
      <c r="B110" s="6" t="s">
        <v>662</v>
      </c>
      <c r="C110" s="6" t="s">
        <v>663</v>
      </c>
      <c r="D110" s="6" t="s">
        <v>696</v>
      </c>
      <c r="E110" s="6" t="s">
        <v>665</v>
      </c>
      <c r="F110" s="6" t="s">
        <v>379</v>
      </c>
      <c r="G110" s="6" t="s">
        <v>666</v>
      </c>
      <c r="H110" s="6" t="s">
        <v>145</v>
      </c>
      <c r="I110" s="6" t="s">
        <v>697</v>
      </c>
      <c r="J110" s="9" t="s">
        <v>383</v>
      </c>
      <c r="K110" s="6" t="s">
        <v>698</v>
      </c>
      <c r="L110" s="9" t="s">
        <v>699</v>
      </c>
      <c r="M110" s="6" t="s">
        <v>586</v>
      </c>
      <c r="N110" s="6" t="s">
        <v>586</v>
      </c>
    </row>
    <row r="111" customFormat="false" ht="79.5" hidden="false" customHeight="true" outlineLevel="0" collapsed="false">
      <c r="A111" s="6" t="s">
        <v>700</v>
      </c>
      <c r="B111" s="6" t="s">
        <v>662</v>
      </c>
      <c r="C111" s="6" t="s">
        <v>663</v>
      </c>
      <c r="D111" s="6" t="s">
        <v>701</v>
      </c>
      <c r="E111" s="6" t="s">
        <v>665</v>
      </c>
      <c r="F111" s="6" t="s">
        <v>379</v>
      </c>
      <c r="G111" s="6" t="s">
        <v>666</v>
      </c>
      <c r="H111" s="6" t="s">
        <v>145</v>
      </c>
      <c r="I111" s="6" t="s">
        <v>702</v>
      </c>
      <c r="J111" s="9" t="s">
        <v>383</v>
      </c>
      <c r="K111" s="6" t="s">
        <v>703</v>
      </c>
      <c r="L111" s="9" t="s">
        <v>704</v>
      </c>
      <c r="M111" s="6" t="s">
        <v>386</v>
      </c>
      <c r="N111" s="6" t="s">
        <v>386</v>
      </c>
    </row>
    <row r="112" customFormat="false" ht="23.25" hidden="false" customHeight="true" outlineLevel="0" collapsed="false">
      <c r="A112" s="6" t="s">
        <v>705</v>
      </c>
      <c r="B112" s="6" t="s">
        <v>662</v>
      </c>
      <c r="C112" s="6" t="s">
        <v>706</v>
      </c>
      <c r="D112" s="6" t="s">
        <v>707</v>
      </c>
      <c r="E112" s="6" t="s">
        <v>665</v>
      </c>
      <c r="F112" s="6" t="s">
        <v>145</v>
      </c>
      <c r="G112" s="6" t="s">
        <v>708</v>
      </c>
      <c r="H112" s="6" t="s">
        <v>145</v>
      </c>
      <c r="I112" s="6" t="s">
        <v>709</v>
      </c>
      <c r="J112" s="9" t="s">
        <v>710</v>
      </c>
      <c r="K112" s="6" t="s">
        <v>711</v>
      </c>
      <c r="L112" s="9" t="s">
        <v>712</v>
      </c>
      <c r="M112" s="6" t="s">
        <v>391</v>
      </c>
      <c r="N112" s="6" t="s">
        <v>387</v>
      </c>
    </row>
    <row r="113" customFormat="false" ht="34.5" hidden="false" customHeight="true" outlineLevel="0" collapsed="false">
      <c r="A113" s="6" t="s">
        <v>713</v>
      </c>
      <c r="B113" s="6" t="s">
        <v>662</v>
      </c>
      <c r="C113" s="6" t="s">
        <v>706</v>
      </c>
      <c r="D113" s="6" t="s">
        <v>714</v>
      </c>
      <c r="E113" s="6" t="s">
        <v>665</v>
      </c>
      <c r="F113" s="6" t="s">
        <v>145</v>
      </c>
      <c r="G113" s="6" t="s">
        <v>708</v>
      </c>
      <c r="H113" s="6" t="s">
        <v>145</v>
      </c>
      <c r="I113" s="6" t="s">
        <v>715</v>
      </c>
      <c r="J113" s="9" t="s">
        <v>710</v>
      </c>
      <c r="K113" s="6" t="s">
        <v>716</v>
      </c>
      <c r="L113" s="9" t="s">
        <v>712</v>
      </c>
      <c r="M113" s="6" t="s">
        <v>391</v>
      </c>
      <c r="N113" s="6" t="s">
        <v>679</v>
      </c>
    </row>
    <row r="114" customFormat="false" ht="79.5" hidden="false" customHeight="true" outlineLevel="0" collapsed="false">
      <c r="A114" s="6" t="s">
        <v>717</v>
      </c>
      <c r="B114" s="6" t="s">
        <v>662</v>
      </c>
      <c r="C114" s="6" t="s">
        <v>706</v>
      </c>
      <c r="D114" s="6" t="s">
        <v>718</v>
      </c>
      <c r="E114" s="6" t="s">
        <v>665</v>
      </c>
      <c r="F114" s="6" t="s">
        <v>145</v>
      </c>
      <c r="G114" s="6" t="s">
        <v>708</v>
      </c>
      <c r="H114" s="6" t="s">
        <v>145</v>
      </c>
      <c r="I114" s="6" t="s">
        <v>676</v>
      </c>
      <c r="J114" s="9" t="s">
        <v>383</v>
      </c>
      <c r="K114" s="6" t="s">
        <v>719</v>
      </c>
      <c r="L114" s="9" t="s">
        <v>720</v>
      </c>
      <c r="M114" s="6" t="s">
        <v>386</v>
      </c>
      <c r="N114" s="6" t="s">
        <v>679</v>
      </c>
    </row>
    <row r="115" customFormat="false" ht="15" hidden="false" customHeight="true" outlineLevel="0" collapsed="false">
      <c r="A115" s="6" t="s">
        <v>721</v>
      </c>
      <c r="B115" s="6" t="s">
        <v>662</v>
      </c>
      <c r="C115" s="6" t="s">
        <v>706</v>
      </c>
      <c r="D115" s="6" t="s">
        <v>722</v>
      </c>
      <c r="E115" s="6" t="s">
        <v>665</v>
      </c>
      <c r="F115" s="6" t="s">
        <v>145</v>
      </c>
      <c r="G115" s="6" t="s">
        <v>708</v>
      </c>
      <c r="H115" s="6" t="s">
        <v>145</v>
      </c>
      <c r="I115" s="6" t="s">
        <v>715</v>
      </c>
      <c r="J115" s="9" t="s">
        <v>710</v>
      </c>
      <c r="K115" s="6" t="s">
        <v>723</v>
      </c>
      <c r="L115" s="9" t="s">
        <v>712</v>
      </c>
      <c r="M115" s="6" t="s">
        <v>391</v>
      </c>
      <c r="N115" s="6" t="s">
        <v>679</v>
      </c>
    </row>
    <row r="116" customFormat="false" ht="102" hidden="false" customHeight="true" outlineLevel="0" collapsed="false">
      <c r="A116" s="6" t="s">
        <v>724</v>
      </c>
      <c r="B116" s="6" t="s">
        <v>662</v>
      </c>
      <c r="C116" s="6" t="s">
        <v>706</v>
      </c>
      <c r="D116" s="6" t="s">
        <v>725</v>
      </c>
      <c r="E116" s="6" t="s">
        <v>665</v>
      </c>
      <c r="F116" s="6" t="s">
        <v>145</v>
      </c>
      <c r="G116" s="6" t="s">
        <v>708</v>
      </c>
      <c r="H116" s="6" t="s">
        <v>145</v>
      </c>
      <c r="I116" s="6" t="s">
        <v>726</v>
      </c>
      <c r="J116" s="9" t="s">
        <v>383</v>
      </c>
      <c r="K116" s="6" t="s">
        <v>727</v>
      </c>
      <c r="L116" s="9" t="s">
        <v>728</v>
      </c>
      <c r="M116" s="6" t="s">
        <v>386</v>
      </c>
      <c r="N116" s="6" t="s">
        <v>679</v>
      </c>
    </row>
    <row r="117" customFormat="false" ht="79.5" hidden="false" customHeight="true" outlineLevel="0" collapsed="false">
      <c r="A117" s="6" t="s">
        <v>729</v>
      </c>
      <c r="B117" s="6" t="s">
        <v>662</v>
      </c>
      <c r="C117" s="6" t="s">
        <v>706</v>
      </c>
      <c r="D117" s="6" t="s">
        <v>730</v>
      </c>
      <c r="E117" s="6" t="s">
        <v>665</v>
      </c>
      <c r="F117" s="6" t="s">
        <v>145</v>
      </c>
      <c r="G117" s="6" t="s">
        <v>708</v>
      </c>
      <c r="H117" s="6" t="s">
        <v>145</v>
      </c>
      <c r="I117" s="6" t="s">
        <v>731</v>
      </c>
      <c r="J117" s="9" t="s">
        <v>383</v>
      </c>
      <c r="K117" s="6" t="s">
        <v>732</v>
      </c>
      <c r="L117" s="9" t="s">
        <v>733</v>
      </c>
      <c r="M117" s="6" t="s">
        <v>386</v>
      </c>
      <c r="N117" s="6" t="s">
        <v>679</v>
      </c>
    </row>
    <row r="118" customFormat="false" ht="34.5" hidden="false" customHeight="true" outlineLevel="0" collapsed="false">
      <c r="A118" s="6" t="s">
        <v>734</v>
      </c>
      <c r="B118" s="6" t="s">
        <v>662</v>
      </c>
      <c r="C118" s="6" t="s">
        <v>706</v>
      </c>
      <c r="D118" s="6" t="s">
        <v>735</v>
      </c>
      <c r="E118" s="6" t="s">
        <v>665</v>
      </c>
      <c r="F118" s="6" t="s">
        <v>145</v>
      </c>
      <c r="G118" s="6" t="s">
        <v>708</v>
      </c>
      <c r="H118" s="6" t="s">
        <v>145</v>
      </c>
      <c r="I118" s="6" t="s">
        <v>709</v>
      </c>
      <c r="J118" s="9" t="s">
        <v>710</v>
      </c>
      <c r="K118" s="6" t="s">
        <v>736</v>
      </c>
      <c r="L118" s="9" t="s">
        <v>712</v>
      </c>
      <c r="M118" s="6" t="s">
        <v>391</v>
      </c>
      <c r="N118" s="6" t="s">
        <v>387</v>
      </c>
    </row>
    <row r="119" customFormat="false" ht="68.25" hidden="false" customHeight="true" outlineLevel="0" collapsed="false">
      <c r="A119" s="6" t="s">
        <v>737</v>
      </c>
      <c r="B119" s="6" t="s">
        <v>662</v>
      </c>
      <c r="C119" s="6" t="s">
        <v>738</v>
      </c>
      <c r="D119" s="6" t="s">
        <v>739</v>
      </c>
      <c r="E119" s="6" t="s">
        <v>665</v>
      </c>
      <c r="F119" s="6" t="s">
        <v>145</v>
      </c>
      <c r="G119" s="6" t="s">
        <v>740</v>
      </c>
      <c r="H119" s="6" t="s">
        <v>145</v>
      </c>
      <c r="I119" s="6" t="s">
        <v>741</v>
      </c>
      <c r="J119" s="9" t="s">
        <v>383</v>
      </c>
      <c r="K119" s="6" t="s">
        <v>742</v>
      </c>
      <c r="L119" s="9" t="s">
        <v>743</v>
      </c>
      <c r="M119" s="6" t="s">
        <v>386</v>
      </c>
      <c r="N119" s="6" t="s">
        <v>386</v>
      </c>
    </row>
    <row r="120" customFormat="false" ht="79.5" hidden="false" customHeight="true" outlineLevel="0" collapsed="false">
      <c r="A120" s="6" t="s">
        <v>744</v>
      </c>
      <c r="B120" s="6" t="s">
        <v>662</v>
      </c>
      <c r="C120" s="6" t="s">
        <v>738</v>
      </c>
      <c r="D120" s="6" t="s">
        <v>745</v>
      </c>
      <c r="E120" s="6" t="s">
        <v>665</v>
      </c>
      <c r="F120" s="6" t="s">
        <v>145</v>
      </c>
      <c r="G120" s="6" t="s">
        <v>740</v>
      </c>
      <c r="H120" s="6" t="s">
        <v>145</v>
      </c>
      <c r="I120" s="6" t="s">
        <v>746</v>
      </c>
      <c r="J120" s="9" t="s">
        <v>383</v>
      </c>
      <c r="K120" s="6" t="s">
        <v>747</v>
      </c>
      <c r="L120" s="9" t="s">
        <v>748</v>
      </c>
      <c r="M120" s="6" t="s">
        <v>386</v>
      </c>
      <c r="N120" s="6" t="s">
        <v>386</v>
      </c>
    </row>
    <row r="121" customFormat="false" ht="68.25" hidden="false" customHeight="true" outlineLevel="0" collapsed="false">
      <c r="A121" s="6" t="s">
        <v>749</v>
      </c>
      <c r="B121" s="6" t="s">
        <v>662</v>
      </c>
      <c r="C121" s="6" t="s">
        <v>738</v>
      </c>
      <c r="D121" s="6" t="s">
        <v>750</v>
      </c>
      <c r="E121" s="6" t="s">
        <v>665</v>
      </c>
      <c r="F121" s="6" t="s">
        <v>145</v>
      </c>
      <c r="G121" s="6" t="s">
        <v>740</v>
      </c>
      <c r="H121" s="6" t="s">
        <v>145</v>
      </c>
      <c r="I121" s="6" t="s">
        <v>746</v>
      </c>
      <c r="J121" s="9" t="s">
        <v>383</v>
      </c>
      <c r="K121" s="6" t="s">
        <v>751</v>
      </c>
      <c r="L121" s="9" t="s">
        <v>752</v>
      </c>
      <c r="M121" s="6" t="s">
        <v>586</v>
      </c>
      <c r="N121" s="6" t="s">
        <v>586</v>
      </c>
    </row>
    <row r="122" customFormat="false" ht="90.75" hidden="false" customHeight="true" outlineLevel="0" collapsed="false">
      <c r="A122" s="6" t="s">
        <v>753</v>
      </c>
      <c r="B122" s="6" t="s">
        <v>662</v>
      </c>
      <c r="C122" s="6" t="s">
        <v>738</v>
      </c>
      <c r="D122" s="6" t="s">
        <v>754</v>
      </c>
      <c r="E122" s="6" t="s">
        <v>665</v>
      </c>
      <c r="F122" s="6" t="s">
        <v>145</v>
      </c>
      <c r="G122" s="6" t="s">
        <v>740</v>
      </c>
      <c r="H122" s="6" t="s">
        <v>145</v>
      </c>
      <c r="I122" s="6" t="s">
        <v>755</v>
      </c>
      <c r="J122" s="9" t="s">
        <v>383</v>
      </c>
      <c r="K122" s="6" t="s">
        <v>756</v>
      </c>
      <c r="L122" s="9" t="s">
        <v>757</v>
      </c>
      <c r="M122" s="6" t="s">
        <v>386</v>
      </c>
      <c r="N122" s="6" t="s">
        <v>386</v>
      </c>
    </row>
    <row r="123" customFormat="false" ht="34.5" hidden="false" customHeight="true" outlineLevel="0" collapsed="false">
      <c r="A123" s="6" t="s">
        <v>758</v>
      </c>
      <c r="B123" s="6" t="s">
        <v>662</v>
      </c>
      <c r="C123" s="6" t="s">
        <v>738</v>
      </c>
      <c r="D123" s="6" t="s">
        <v>759</v>
      </c>
      <c r="E123" s="6" t="s">
        <v>665</v>
      </c>
      <c r="F123" s="6" t="s">
        <v>145</v>
      </c>
      <c r="G123" s="6" t="s">
        <v>740</v>
      </c>
      <c r="H123" s="6" t="s">
        <v>145</v>
      </c>
      <c r="I123" s="6" t="s">
        <v>715</v>
      </c>
      <c r="J123" s="9" t="s">
        <v>390</v>
      </c>
      <c r="K123" s="6" t="s">
        <v>760</v>
      </c>
      <c r="L123" s="9"/>
      <c r="M123" s="6" t="s">
        <v>391</v>
      </c>
      <c r="N123" s="6" t="s">
        <v>761</v>
      </c>
    </row>
    <row r="124" customFormat="false" ht="23.25" hidden="false" customHeight="true" outlineLevel="0" collapsed="false">
      <c r="A124" s="6" t="s">
        <v>762</v>
      </c>
      <c r="B124" s="6" t="s">
        <v>662</v>
      </c>
      <c r="C124" s="6" t="s">
        <v>738</v>
      </c>
      <c r="D124" s="6" t="s">
        <v>763</v>
      </c>
      <c r="E124" s="6" t="s">
        <v>665</v>
      </c>
      <c r="F124" s="6" t="s">
        <v>145</v>
      </c>
      <c r="G124" s="6" t="s">
        <v>740</v>
      </c>
      <c r="H124" s="6" t="s">
        <v>145</v>
      </c>
      <c r="I124" s="6" t="s">
        <v>715</v>
      </c>
      <c r="J124" s="9" t="s">
        <v>383</v>
      </c>
      <c r="K124" s="6" t="s">
        <v>764</v>
      </c>
      <c r="L124" s="9" t="s">
        <v>765</v>
      </c>
      <c r="M124" s="6" t="s">
        <v>386</v>
      </c>
      <c r="N124" s="6" t="s">
        <v>386</v>
      </c>
    </row>
    <row r="125" customFormat="false" ht="23.25" hidden="false" customHeight="true" outlineLevel="0" collapsed="false">
      <c r="A125" s="6" t="s">
        <v>766</v>
      </c>
      <c r="B125" s="6" t="s">
        <v>662</v>
      </c>
      <c r="C125" s="6" t="s">
        <v>767</v>
      </c>
      <c r="D125" s="6" t="s">
        <v>768</v>
      </c>
      <c r="E125" s="6" t="s">
        <v>665</v>
      </c>
      <c r="F125" s="6" t="s">
        <v>145</v>
      </c>
      <c r="G125" s="6" t="s">
        <v>769</v>
      </c>
      <c r="H125" s="6" t="s">
        <v>145</v>
      </c>
      <c r="I125" s="6" t="s">
        <v>715</v>
      </c>
      <c r="J125" s="9" t="s">
        <v>710</v>
      </c>
      <c r="K125" s="6" t="s">
        <v>770</v>
      </c>
      <c r="L125" s="9" t="s">
        <v>712</v>
      </c>
      <c r="M125" s="6" t="s">
        <v>391</v>
      </c>
      <c r="N125" s="6" t="s">
        <v>387</v>
      </c>
    </row>
    <row r="126" customFormat="false" ht="34.5" hidden="false" customHeight="true" outlineLevel="0" collapsed="false">
      <c r="A126" s="6" t="s">
        <v>771</v>
      </c>
      <c r="B126" s="6" t="s">
        <v>662</v>
      </c>
      <c r="C126" s="6" t="s">
        <v>767</v>
      </c>
      <c r="D126" s="6" t="s">
        <v>772</v>
      </c>
      <c r="E126" s="6" t="s">
        <v>665</v>
      </c>
      <c r="F126" s="6" t="s">
        <v>145</v>
      </c>
      <c r="G126" s="6" t="s">
        <v>769</v>
      </c>
      <c r="H126" s="6" t="s">
        <v>145</v>
      </c>
      <c r="I126" s="6" t="s">
        <v>715</v>
      </c>
      <c r="J126" s="9" t="s">
        <v>710</v>
      </c>
      <c r="K126" s="6" t="s">
        <v>773</v>
      </c>
      <c r="L126" s="9" t="s">
        <v>712</v>
      </c>
      <c r="M126" s="6" t="s">
        <v>391</v>
      </c>
      <c r="N126" s="6" t="s">
        <v>387</v>
      </c>
    </row>
    <row r="127" customFormat="false" ht="34.5" hidden="false" customHeight="true" outlineLevel="0" collapsed="false">
      <c r="A127" s="6" t="s">
        <v>774</v>
      </c>
      <c r="B127" s="6" t="s">
        <v>662</v>
      </c>
      <c r="C127" s="6" t="s">
        <v>767</v>
      </c>
      <c r="D127" s="6" t="s">
        <v>775</v>
      </c>
      <c r="E127" s="6" t="s">
        <v>665</v>
      </c>
      <c r="F127" s="6" t="s">
        <v>145</v>
      </c>
      <c r="G127" s="6" t="s">
        <v>769</v>
      </c>
      <c r="H127" s="6" t="s">
        <v>145</v>
      </c>
      <c r="I127" s="6" t="s">
        <v>702</v>
      </c>
      <c r="J127" s="9" t="s">
        <v>710</v>
      </c>
      <c r="K127" s="6" t="s">
        <v>776</v>
      </c>
      <c r="L127" s="9" t="s">
        <v>712</v>
      </c>
      <c r="M127" s="6" t="s">
        <v>391</v>
      </c>
      <c r="N127" s="6" t="s">
        <v>387</v>
      </c>
    </row>
    <row r="128" customFormat="false" ht="102" hidden="false" customHeight="true" outlineLevel="0" collapsed="false">
      <c r="A128" s="6" t="s">
        <v>777</v>
      </c>
      <c r="B128" s="6" t="s">
        <v>662</v>
      </c>
      <c r="C128" s="6" t="s">
        <v>767</v>
      </c>
      <c r="D128" s="6" t="s">
        <v>778</v>
      </c>
      <c r="E128" s="6" t="s">
        <v>665</v>
      </c>
      <c r="F128" s="6" t="s">
        <v>145</v>
      </c>
      <c r="G128" s="6" t="s">
        <v>769</v>
      </c>
      <c r="H128" s="6" t="s">
        <v>145</v>
      </c>
      <c r="I128" s="6" t="s">
        <v>779</v>
      </c>
      <c r="J128" s="9" t="s">
        <v>383</v>
      </c>
      <c r="K128" s="6" t="s">
        <v>780</v>
      </c>
      <c r="L128" s="9" t="s">
        <v>781</v>
      </c>
      <c r="M128" s="6" t="s">
        <v>386</v>
      </c>
      <c r="N128" s="6" t="s">
        <v>386</v>
      </c>
    </row>
    <row r="129" customFormat="false" ht="79.5" hidden="false" customHeight="true" outlineLevel="0" collapsed="false">
      <c r="A129" s="6" t="s">
        <v>782</v>
      </c>
      <c r="B129" s="6" t="s">
        <v>662</v>
      </c>
      <c r="C129" s="6" t="s">
        <v>767</v>
      </c>
      <c r="D129" s="6" t="s">
        <v>783</v>
      </c>
      <c r="E129" s="6" t="s">
        <v>665</v>
      </c>
      <c r="F129" s="6" t="s">
        <v>145</v>
      </c>
      <c r="G129" s="6" t="s">
        <v>769</v>
      </c>
      <c r="H129" s="6" t="s">
        <v>145</v>
      </c>
      <c r="I129" s="6" t="s">
        <v>784</v>
      </c>
      <c r="J129" s="9" t="s">
        <v>383</v>
      </c>
      <c r="K129" s="6" t="s">
        <v>785</v>
      </c>
      <c r="L129" s="9" t="s">
        <v>786</v>
      </c>
      <c r="M129" s="6" t="s">
        <v>386</v>
      </c>
      <c r="N129" s="6" t="s">
        <v>386</v>
      </c>
    </row>
    <row r="130" customFormat="false" ht="23.25" hidden="false" customHeight="true" outlineLevel="0" collapsed="false">
      <c r="A130" s="6" t="s">
        <v>787</v>
      </c>
      <c r="B130" s="6" t="s">
        <v>662</v>
      </c>
      <c r="C130" s="6" t="s">
        <v>767</v>
      </c>
      <c r="D130" s="6" t="s">
        <v>788</v>
      </c>
      <c r="E130" s="6" t="s">
        <v>665</v>
      </c>
      <c r="F130" s="6" t="s">
        <v>145</v>
      </c>
      <c r="G130" s="6" t="s">
        <v>769</v>
      </c>
      <c r="H130" s="6" t="s">
        <v>145</v>
      </c>
      <c r="I130" s="6" t="s">
        <v>715</v>
      </c>
      <c r="J130" s="9" t="s">
        <v>390</v>
      </c>
      <c r="K130" s="6" t="s">
        <v>789</v>
      </c>
      <c r="L130" s="9"/>
      <c r="M130" s="6" t="s">
        <v>391</v>
      </c>
      <c r="N130" s="6" t="s">
        <v>586</v>
      </c>
    </row>
    <row r="131" customFormat="false" ht="34.5" hidden="false" customHeight="true" outlineLevel="0" collapsed="false">
      <c r="A131" s="6" t="s">
        <v>790</v>
      </c>
      <c r="B131" s="6" t="s">
        <v>662</v>
      </c>
      <c r="C131" s="6" t="s">
        <v>791</v>
      </c>
      <c r="D131" s="6" t="s">
        <v>792</v>
      </c>
      <c r="E131" s="6" t="s">
        <v>665</v>
      </c>
      <c r="F131" s="6" t="s">
        <v>145</v>
      </c>
      <c r="G131" s="6" t="s">
        <v>793</v>
      </c>
      <c r="H131" s="6" t="s">
        <v>145</v>
      </c>
      <c r="I131" s="6" t="s">
        <v>676</v>
      </c>
      <c r="J131" s="9" t="s">
        <v>710</v>
      </c>
      <c r="K131" s="6" t="s">
        <v>794</v>
      </c>
      <c r="L131" s="9" t="s">
        <v>795</v>
      </c>
      <c r="M131" s="6" t="s">
        <v>391</v>
      </c>
      <c r="N131" s="6" t="s">
        <v>761</v>
      </c>
    </row>
    <row r="132" customFormat="false" ht="34.5" hidden="false" customHeight="true" outlineLevel="0" collapsed="false">
      <c r="A132" s="6" t="s">
        <v>796</v>
      </c>
      <c r="B132" s="6" t="s">
        <v>662</v>
      </c>
      <c r="C132" s="6" t="s">
        <v>791</v>
      </c>
      <c r="D132" s="6" t="s">
        <v>797</v>
      </c>
      <c r="E132" s="6" t="s">
        <v>665</v>
      </c>
      <c r="F132" s="6" t="s">
        <v>145</v>
      </c>
      <c r="G132" s="6" t="s">
        <v>793</v>
      </c>
      <c r="H132" s="6" t="s">
        <v>145</v>
      </c>
      <c r="I132" s="6" t="s">
        <v>715</v>
      </c>
      <c r="J132" s="9" t="s">
        <v>710</v>
      </c>
      <c r="K132" s="6" t="s">
        <v>798</v>
      </c>
      <c r="L132" s="9" t="s">
        <v>795</v>
      </c>
      <c r="M132" s="6" t="s">
        <v>391</v>
      </c>
      <c r="N132" s="6" t="s">
        <v>761</v>
      </c>
    </row>
    <row r="133" customFormat="false" ht="23.25" hidden="false" customHeight="true" outlineLevel="0" collapsed="false">
      <c r="A133" s="6" t="s">
        <v>799</v>
      </c>
      <c r="B133" s="6" t="s">
        <v>662</v>
      </c>
      <c r="C133" s="6" t="s">
        <v>791</v>
      </c>
      <c r="D133" s="6" t="s">
        <v>800</v>
      </c>
      <c r="E133" s="6" t="s">
        <v>665</v>
      </c>
      <c r="F133" s="6" t="s">
        <v>145</v>
      </c>
      <c r="G133" s="6" t="s">
        <v>793</v>
      </c>
      <c r="H133" s="6" t="s">
        <v>145</v>
      </c>
      <c r="I133" s="6" t="s">
        <v>715</v>
      </c>
      <c r="J133" s="9" t="s">
        <v>710</v>
      </c>
      <c r="K133" s="6" t="s">
        <v>801</v>
      </c>
      <c r="L133" s="9" t="s">
        <v>712</v>
      </c>
      <c r="M133" s="6" t="s">
        <v>391</v>
      </c>
      <c r="N133" s="6" t="s">
        <v>761</v>
      </c>
    </row>
    <row r="134" customFormat="false" ht="34.5" hidden="false" customHeight="true" outlineLevel="0" collapsed="false">
      <c r="A134" s="6" t="s">
        <v>802</v>
      </c>
      <c r="B134" s="6" t="s">
        <v>662</v>
      </c>
      <c r="C134" s="6" t="s">
        <v>791</v>
      </c>
      <c r="D134" s="6" t="s">
        <v>803</v>
      </c>
      <c r="E134" s="6" t="s">
        <v>665</v>
      </c>
      <c r="F134" s="6" t="s">
        <v>145</v>
      </c>
      <c r="G134" s="6" t="s">
        <v>793</v>
      </c>
      <c r="H134" s="6" t="s">
        <v>145</v>
      </c>
      <c r="I134" s="6" t="s">
        <v>804</v>
      </c>
      <c r="J134" s="9" t="s">
        <v>710</v>
      </c>
      <c r="K134" s="6" t="s">
        <v>805</v>
      </c>
      <c r="L134" s="9" t="s">
        <v>806</v>
      </c>
      <c r="M134" s="6" t="s">
        <v>391</v>
      </c>
      <c r="N134" s="6" t="s">
        <v>386</v>
      </c>
    </row>
    <row r="135" customFormat="false" ht="23.25" hidden="false" customHeight="true" outlineLevel="0" collapsed="false">
      <c r="A135" s="6" t="s">
        <v>807</v>
      </c>
      <c r="B135" s="6" t="s">
        <v>662</v>
      </c>
      <c r="C135" s="6" t="s">
        <v>791</v>
      </c>
      <c r="D135" s="6" t="s">
        <v>808</v>
      </c>
      <c r="E135" s="6" t="s">
        <v>665</v>
      </c>
      <c r="F135" s="6" t="s">
        <v>145</v>
      </c>
      <c r="G135" s="6" t="s">
        <v>793</v>
      </c>
      <c r="H135" s="6" t="s">
        <v>145</v>
      </c>
      <c r="I135" s="6" t="s">
        <v>715</v>
      </c>
      <c r="J135" s="9" t="s">
        <v>390</v>
      </c>
      <c r="K135" s="6" t="s">
        <v>809</v>
      </c>
      <c r="L135" s="9"/>
      <c r="M135" s="6" t="s">
        <v>391</v>
      </c>
      <c r="N135" s="6" t="s">
        <v>604</v>
      </c>
    </row>
    <row r="136" customFormat="false" ht="34.5" hidden="false" customHeight="true" outlineLevel="0" collapsed="false">
      <c r="A136" s="6" t="s">
        <v>810</v>
      </c>
      <c r="B136" s="6" t="s">
        <v>662</v>
      </c>
      <c r="C136" s="6" t="s">
        <v>811</v>
      </c>
      <c r="D136" s="6" t="s">
        <v>812</v>
      </c>
      <c r="E136" s="6" t="s">
        <v>665</v>
      </c>
      <c r="F136" s="6" t="s">
        <v>145</v>
      </c>
      <c r="G136" s="6" t="s">
        <v>813</v>
      </c>
      <c r="H136" s="6" t="s">
        <v>145</v>
      </c>
      <c r="I136" s="6" t="s">
        <v>715</v>
      </c>
      <c r="J136" s="9" t="s">
        <v>710</v>
      </c>
      <c r="K136" s="6" t="s">
        <v>814</v>
      </c>
      <c r="L136" s="9" t="s">
        <v>815</v>
      </c>
      <c r="M136" s="6" t="s">
        <v>391</v>
      </c>
      <c r="N136" s="6" t="s">
        <v>387</v>
      </c>
    </row>
    <row r="137" customFormat="false" ht="34.5" hidden="false" customHeight="true" outlineLevel="0" collapsed="false">
      <c r="A137" s="6" t="s">
        <v>816</v>
      </c>
      <c r="B137" s="6" t="s">
        <v>662</v>
      </c>
      <c r="C137" s="6" t="s">
        <v>811</v>
      </c>
      <c r="D137" s="6" t="s">
        <v>817</v>
      </c>
      <c r="E137" s="6" t="s">
        <v>665</v>
      </c>
      <c r="F137" s="6" t="s">
        <v>145</v>
      </c>
      <c r="G137" s="6" t="s">
        <v>813</v>
      </c>
      <c r="H137" s="6" t="s">
        <v>145</v>
      </c>
      <c r="I137" s="6" t="s">
        <v>746</v>
      </c>
      <c r="J137" s="9" t="s">
        <v>710</v>
      </c>
      <c r="K137" s="6" t="s">
        <v>818</v>
      </c>
      <c r="L137" s="9" t="s">
        <v>819</v>
      </c>
      <c r="M137" s="6" t="s">
        <v>391</v>
      </c>
      <c r="N137" s="6" t="s">
        <v>387</v>
      </c>
    </row>
    <row r="138" customFormat="false" ht="34.5" hidden="false" customHeight="true" outlineLevel="0" collapsed="false">
      <c r="A138" s="6" t="s">
        <v>820</v>
      </c>
      <c r="B138" s="6" t="s">
        <v>662</v>
      </c>
      <c r="C138" s="6" t="s">
        <v>811</v>
      </c>
      <c r="D138" s="6" t="s">
        <v>821</v>
      </c>
      <c r="E138" s="6" t="s">
        <v>665</v>
      </c>
      <c r="F138" s="6" t="s">
        <v>145</v>
      </c>
      <c r="G138" s="6" t="s">
        <v>813</v>
      </c>
      <c r="H138" s="6" t="s">
        <v>145</v>
      </c>
      <c r="I138" s="6" t="s">
        <v>715</v>
      </c>
      <c r="J138" s="9" t="s">
        <v>710</v>
      </c>
      <c r="K138" s="6" t="s">
        <v>822</v>
      </c>
      <c r="L138" s="9" t="s">
        <v>823</v>
      </c>
      <c r="M138" s="6" t="s">
        <v>391</v>
      </c>
      <c r="N138" s="6" t="s">
        <v>387</v>
      </c>
    </row>
    <row r="139" customFormat="false" ht="34.5" hidden="false" customHeight="true" outlineLevel="0" collapsed="false">
      <c r="A139" s="6" t="s">
        <v>824</v>
      </c>
      <c r="B139" s="6" t="s">
        <v>662</v>
      </c>
      <c r="C139" s="6" t="s">
        <v>811</v>
      </c>
      <c r="D139" s="6" t="s">
        <v>825</v>
      </c>
      <c r="E139" s="6" t="s">
        <v>665</v>
      </c>
      <c r="F139" s="6" t="s">
        <v>145</v>
      </c>
      <c r="G139" s="6" t="s">
        <v>813</v>
      </c>
      <c r="H139" s="6" t="s">
        <v>145</v>
      </c>
      <c r="I139" s="6" t="s">
        <v>715</v>
      </c>
      <c r="J139" s="9" t="s">
        <v>390</v>
      </c>
      <c r="K139" s="6" t="s">
        <v>826</v>
      </c>
      <c r="L139" s="9"/>
      <c r="M139" s="6" t="s">
        <v>391</v>
      </c>
      <c r="N139" s="6" t="s">
        <v>386</v>
      </c>
    </row>
    <row r="140" customFormat="false" ht="23.25" hidden="false" customHeight="true" outlineLevel="0" collapsed="false">
      <c r="A140" s="6" t="s">
        <v>827</v>
      </c>
      <c r="B140" s="6" t="s">
        <v>662</v>
      </c>
      <c r="C140" s="6" t="s">
        <v>828</v>
      </c>
      <c r="D140" s="6" t="s">
        <v>829</v>
      </c>
      <c r="E140" s="6" t="s">
        <v>665</v>
      </c>
      <c r="F140" s="6" t="s">
        <v>145</v>
      </c>
      <c r="G140" s="6" t="s">
        <v>830</v>
      </c>
      <c r="H140" s="6" t="s">
        <v>145</v>
      </c>
      <c r="I140" s="6" t="s">
        <v>715</v>
      </c>
      <c r="J140" s="9" t="s">
        <v>390</v>
      </c>
      <c r="K140" s="6" t="s">
        <v>831</v>
      </c>
      <c r="L140" s="9"/>
      <c r="M140" s="6" t="s">
        <v>391</v>
      </c>
      <c r="N140" s="6" t="s">
        <v>761</v>
      </c>
    </row>
    <row r="141" customFormat="false" ht="23.25" hidden="false" customHeight="true" outlineLevel="0" collapsed="false">
      <c r="A141" s="6" t="s">
        <v>832</v>
      </c>
      <c r="B141" s="6" t="s">
        <v>662</v>
      </c>
      <c r="C141" s="6" t="s">
        <v>828</v>
      </c>
      <c r="D141" s="6" t="s">
        <v>833</v>
      </c>
      <c r="E141" s="6" t="s">
        <v>665</v>
      </c>
      <c r="F141" s="6" t="s">
        <v>145</v>
      </c>
      <c r="G141" s="6" t="s">
        <v>830</v>
      </c>
      <c r="H141" s="6" t="s">
        <v>145</v>
      </c>
      <c r="I141" s="6" t="s">
        <v>715</v>
      </c>
      <c r="J141" s="9" t="s">
        <v>390</v>
      </c>
      <c r="K141" s="6" t="s">
        <v>834</v>
      </c>
      <c r="L141" s="9"/>
      <c r="M141" s="6" t="s">
        <v>391</v>
      </c>
      <c r="N141" s="6" t="s">
        <v>761</v>
      </c>
    </row>
    <row r="142" customFormat="false" ht="23.25" hidden="false" customHeight="true" outlineLevel="0" collapsed="false">
      <c r="A142" s="6" t="s">
        <v>835</v>
      </c>
      <c r="B142" s="6" t="s">
        <v>662</v>
      </c>
      <c r="C142" s="6" t="s">
        <v>828</v>
      </c>
      <c r="D142" s="6" t="s">
        <v>836</v>
      </c>
      <c r="E142" s="6" t="s">
        <v>665</v>
      </c>
      <c r="F142" s="6" t="s">
        <v>145</v>
      </c>
      <c r="G142" s="6" t="s">
        <v>830</v>
      </c>
      <c r="H142" s="6" t="s">
        <v>145</v>
      </c>
      <c r="I142" s="6" t="s">
        <v>715</v>
      </c>
      <c r="J142" s="9" t="s">
        <v>390</v>
      </c>
      <c r="K142" s="6" t="s">
        <v>837</v>
      </c>
      <c r="L142" s="9"/>
      <c r="M142" s="6" t="s">
        <v>391</v>
      </c>
      <c r="N142" s="6" t="s">
        <v>761</v>
      </c>
    </row>
    <row r="143" customFormat="false" ht="79.5" hidden="false" customHeight="true" outlineLevel="0" collapsed="false">
      <c r="A143" s="6" t="s">
        <v>838</v>
      </c>
      <c r="B143" s="6" t="s">
        <v>662</v>
      </c>
      <c r="C143" s="6" t="s">
        <v>828</v>
      </c>
      <c r="D143" s="6" t="s">
        <v>839</v>
      </c>
      <c r="E143" s="6" t="s">
        <v>665</v>
      </c>
      <c r="F143" s="6" t="s">
        <v>145</v>
      </c>
      <c r="G143" s="6" t="s">
        <v>830</v>
      </c>
      <c r="H143" s="6" t="s">
        <v>145</v>
      </c>
      <c r="I143" s="6" t="s">
        <v>731</v>
      </c>
      <c r="J143" s="9" t="s">
        <v>383</v>
      </c>
      <c r="K143" s="6" t="s">
        <v>840</v>
      </c>
      <c r="L143" s="9" t="s">
        <v>841</v>
      </c>
      <c r="M143" s="6" t="s">
        <v>386</v>
      </c>
      <c r="N143" s="6" t="s">
        <v>386</v>
      </c>
    </row>
    <row r="144" customFormat="false" ht="34.5" hidden="false" customHeight="true" outlineLevel="0" collapsed="false">
      <c r="A144" s="6" t="s">
        <v>842</v>
      </c>
      <c r="B144" s="6" t="s">
        <v>662</v>
      </c>
      <c r="C144" s="6" t="s">
        <v>828</v>
      </c>
      <c r="D144" s="6" t="s">
        <v>843</v>
      </c>
      <c r="E144" s="6" t="s">
        <v>665</v>
      </c>
      <c r="F144" s="6" t="s">
        <v>145</v>
      </c>
      <c r="G144" s="6" t="s">
        <v>830</v>
      </c>
      <c r="H144" s="6" t="s">
        <v>145</v>
      </c>
      <c r="I144" s="6" t="s">
        <v>715</v>
      </c>
      <c r="J144" s="9" t="s">
        <v>390</v>
      </c>
      <c r="K144" s="6" t="s">
        <v>844</v>
      </c>
      <c r="L144" s="9"/>
      <c r="M144" s="6" t="s">
        <v>391</v>
      </c>
      <c r="N144" s="6" t="s">
        <v>761</v>
      </c>
    </row>
    <row r="145" customFormat="false" ht="23.25" hidden="false" customHeight="true" outlineLevel="0" collapsed="false">
      <c r="A145" s="6" t="s">
        <v>845</v>
      </c>
      <c r="B145" s="6" t="s">
        <v>662</v>
      </c>
      <c r="C145" s="6" t="s">
        <v>828</v>
      </c>
      <c r="D145" s="6" t="s">
        <v>846</v>
      </c>
      <c r="E145" s="6" t="s">
        <v>665</v>
      </c>
      <c r="F145" s="6" t="s">
        <v>145</v>
      </c>
      <c r="G145" s="6" t="s">
        <v>830</v>
      </c>
      <c r="H145" s="6" t="s">
        <v>145</v>
      </c>
      <c r="I145" s="6" t="s">
        <v>715</v>
      </c>
      <c r="J145" s="9" t="s">
        <v>390</v>
      </c>
      <c r="K145" s="6" t="s">
        <v>847</v>
      </c>
      <c r="L145" s="9"/>
      <c r="M145" s="6" t="s">
        <v>391</v>
      </c>
      <c r="N145" s="6" t="s">
        <v>761</v>
      </c>
    </row>
    <row r="146" customFormat="false" ht="79.5" hidden="false" customHeight="true" outlineLevel="0" collapsed="false">
      <c r="A146" s="6" t="s">
        <v>848</v>
      </c>
      <c r="B146" s="6" t="s">
        <v>662</v>
      </c>
      <c r="C146" s="6" t="s">
        <v>849</v>
      </c>
      <c r="D146" s="6" t="s">
        <v>850</v>
      </c>
      <c r="E146" s="6" t="s">
        <v>665</v>
      </c>
      <c r="F146" s="6" t="s">
        <v>145</v>
      </c>
      <c r="G146" s="6" t="s">
        <v>851</v>
      </c>
      <c r="H146" s="6" t="s">
        <v>145</v>
      </c>
      <c r="I146" s="6" t="s">
        <v>731</v>
      </c>
      <c r="J146" s="9" t="s">
        <v>383</v>
      </c>
      <c r="K146" s="6" t="s">
        <v>852</v>
      </c>
      <c r="L146" s="9" t="s">
        <v>853</v>
      </c>
      <c r="M146" s="6" t="s">
        <v>386</v>
      </c>
      <c r="N146" s="6" t="s">
        <v>386</v>
      </c>
    </row>
    <row r="147" customFormat="false" ht="23.25" hidden="false" customHeight="true" outlineLevel="0" collapsed="false">
      <c r="A147" s="6" t="s">
        <v>854</v>
      </c>
      <c r="B147" s="6" t="s">
        <v>662</v>
      </c>
      <c r="C147" s="6" t="s">
        <v>849</v>
      </c>
      <c r="D147" s="6" t="s">
        <v>855</v>
      </c>
      <c r="E147" s="6" t="s">
        <v>665</v>
      </c>
      <c r="F147" s="6" t="s">
        <v>145</v>
      </c>
      <c r="G147" s="6" t="s">
        <v>851</v>
      </c>
      <c r="H147" s="6" t="s">
        <v>145</v>
      </c>
      <c r="I147" s="6" t="s">
        <v>715</v>
      </c>
      <c r="J147" s="9" t="s">
        <v>390</v>
      </c>
      <c r="K147" s="6" t="s">
        <v>856</v>
      </c>
      <c r="L147" s="9"/>
      <c r="M147" s="6" t="s">
        <v>391</v>
      </c>
      <c r="N147" s="6" t="s">
        <v>387</v>
      </c>
    </row>
    <row r="148" customFormat="false" ht="90.75" hidden="false" customHeight="true" outlineLevel="0" collapsed="false">
      <c r="A148" s="6" t="s">
        <v>857</v>
      </c>
      <c r="B148" s="6" t="s">
        <v>662</v>
      </c>
      <c r="C148" s="6" t="s">
        <v>849</v>
      </c>
      <c r="D148" s="6" t="s">
        <v>858</v>
      </c>
      <c r="E148" s="6" t="s">
        <v>665</v>
      </c>
      <c r="F148" s="6" t="s">
        <v>145</v>
      </c>
      <c r="G148" s="6" t="s">
        <v>851</v>
      </c>
      <c r="H148" s="6" t="s">
        <v>145</v>
      </c>
      <c r="I148" s="6" t="s">
        <v>731</v>
      </c>
      <c r="J148" s="9" t="s">
        <v>383</v>
      </c>
      <c r="K148" s="6" t="s">
        <v>859</v>
      </c>
      <c r="L148" s="9" t="s">
        <v>860</v>
      </c>
      <c r="M148" s="6" t="s">
        <v>386</v>
      </c>
      <c r="N148" s="6" t="s">
        <v>761</v>
      </c>
    </row>
    <row r="149" customFormat="false" ht="23.25" hidden="false" customHeight="true" outlineLevel="0" collapsed="false">
      <c r="A149" s="6" t="s">
        <v>861</v>
      </c>
      <c r="B149" s="6" t="s">
        <v>662</v>
      </c>
      <c r="C149" s="6" t="s">
        <v>849</v>
      </c>
      <c r="D149" s="6" t="s">
        <v>862</v>
      </c>
      <c r="E149" s="6" t="s">
        <v>665</v>
      </c>
      <c r="F149" s="6" t="s">
        <v>145</v>
      </c>
      <c r="G149" s="6" t="s">
        <v>851</v>
      </c>
      <c r="H149" s="6" t="s">
        <v>145</v>
      </c>
      <c r="I149" s="6" t="s">
        <v>715</v>
      </c>
      <c r="J149" s="9" t="s">
        <v>383</v>
      </c>
      <c r="K149" s="6" t="s">
        <v>863</v>
      </c>
      <c r="L149" s="9" t="s">
        <v>864</v>
      </c>
      <c r="M149" s="6" t="s">
        <v>386</v>
      </c>
      <c r="N149" s="6" t="s">
        <v>386</v>
      </c>
    </row>
    <row r="150" customFormat="false" ht="34.5" hidden="false" customHeight="true" outlineLevel="0" collapsed="false">
      <c r="A150" s="6" t="s">
        <v>865</v>
      </c>
      <c r="B150" s="6" t="s">
        <v>662</v>
      </c>
      <c r="C150" s="6" t="s">
        <v>849</v>
      </c>
      <c r="D150" s="6" t="s">
        <v>866</v>
      </c>
      <c r="E150" s="6" t="s">
        <v>665</v>
      </c>
      <c r="F150" s="6" t="s">
        <v>145</v>
      </c>
      <c r="G150" s="6" t="s">
        <v>851</v>
      </c>
      <c r="H150" s="6" t="s">
        <v>145</v>
      </c>
      <c r="I150" s="6" t="s">
        <v>715</v>
      </c>
      <c r="J150" s="9" t="s">
        <v>390</v>
      </c>
      <c r="K150" s="6" t="s">
        <v>867</v>
      </c>
      <c r="L150" s="9"/>
      <c r="M150" s="6" t="s">
        <v>391</v>
      </c>
      <c r="N150" s="6" t="s">
        <v>604</v>
      </c>
    </row>
    <row r="151" customFormat="false" ht="23.25" hidden="false" customHeight="true" outlineLevel="0" collapsed="false">
      <c r="A151" s="6" t="s">
        <v>868</v>
      </c>
      <c r="B151" s="6" t="s">
        <v>662</v>
      </c>
      <c r="C151" s="6" t="s">
        <v>849</v>
      </c>
      <c r="D151" s="6" t="s">
        <v>869</v>
      </c>
      <c r="E151" s="6" t="s">
        <v>665</v>
      </c>
      <c r="F151" s="6" t="s">
        <v>145</v>
      </c>
      <c r="G151" s="6" t="s">
        <v>851</v>
      </c>
      <c r="H151" s="6" t="s">
        <v>145</v>
      </c>
      <c r="I151" s="6" t="s">
        <v>715</v>
      </c>
      <c r="J151" s="9" t="s">
        <v>390</v>
      </c>
      <c r="K151" s="6" t="s">
        <v>870</v>
      </c>
      <c r="L151" s="9"/>
      <c r="M151" s="6" t="s">
        <v>391</v>
      </c>
      <c r="N151" s="6" t="s">
        <v>604</v>
      </c>
    </row>
    <row r="152" customFormat="false" ht="34.5" hidden="false" customHeight="true" outlineLevel="0" collapsed="false">
      <c r="A152" s="6" t="s">
        <v>871</v>
      </c>
      <c r="B152" s="6" t="s">
        <v>662</v>
      </c>
      <c r="C152" s="6" t="s">
        <v>872</v>
      </c>
      <c r="D152" s="6" t="s">
        <v>873</v>
      </c>
      <c r="E152" s="6" t="s">
        <v>665</v>
      </c>
      <c r="F152" s="6" t="s">
        <v>145</v>
      </c>
      <c r="G152" s="6" t="s">
        <v>874</v>
      </c>
      <c r="H152" s="6" t="s">
        <v>145</v>
      </c>
      <c r="I152" s="6" t="s">
        <v>804</v>
      </c>
      <c r="J152" s="9" t="s">
        <v>710</v>
      </c>
      <c r="K152" s="6" t="s">
        <v>875</v>
      </c>
      <c r="L152" s="9" t="s">
        <v>876</v>
      </c>
      <c r="M152" s="6" t="s">
        <v>391</v>
      </c>
      <c r="N152" s="6" t="s">
        <v>604</v>
      </c>
    </row>
    <row r="153" customFormat="false" ht="34.5" hidden="false" customHeight="true" outlineLevel="0" collapsed="false">
      <c r="A153" s="6" t="s">
        <v>877</v>
      </c>
      <c r="B153" s="6" t="s">
        <v>662</v>
      </c>
      <c r="C153" s="6" t="s">
        <v>872</v>
      </c>
      <c r="D153" s="6" t="s">
        <v>878</v>
      </c>
      <c r="E153" s="6" t="s">
        <v>665</v>
      </c>
      <c r="F153" s="6" t="s">
        <v>145</v>
      </c>
      <c r="G153" s="6" t="s">
        <v>874</v>
      </c>
      <c r="H153" s="6" t="s">
        <v>145</v>
      </c>
      <c r="I153" s="6" t="s">
        <v>715</v>
      </c>
      <c r="J153" s="9" t="s">
        <v>390</v>
      </c>
      <c r="K153" s="6" t="s">
        <v>879</v>
      </c>
      <c r="L153" s="9"/>
      <c r="M153" s="6" t="s">
        <v>391</v>
      </c>
      <c r="N153" s="6" t="s">
        <v>604</v>
      </c>
    </row>
    <row r="154" customFormat="false" ht="23.25" hidden="false" customHeight="true" outlineLevel="0" collapsed="false">
      <c r="A154" s="6" t="s">
        <v>880</v>
      </c>
      <c r="B154" s="6" t="s">
        <v>662</v>
      </c>
      <c r="C154" s="6" t="s">
        <v>872</v>
      </c>
      <c r="D154" s="6" t="s">
        <v>881</v>
      </c>
      <c r="E154" s="6" t="s">
        <v>665</v>
      </c>
      <c r="F154" s="6" t="s">
        <v>145</v>
      </c>
      <c r="G154" s="6" t="s">
        <v>874</v>
      </c>
      <c r="H154" s="6" t="s">
        <v>145</v>
      </c>
      <c r="I154" s="6" t="s">
        <v>715</v>
      </c>
      <c r="J154" s="9" t="s">
        <v>390</v>
      </c>
      <c r="K154" s="6" t="s">
        <v>882</v>
      </c>
      <c r="L154" s="9"/>
      <c r="M154" s="6" t="s">
        <v>391</v>
      </c>
      <c r="N154" s="6" t="s">
        <v>604</v>
      </c>
    </row>
    <row r="155" customFormat="false" ht="23.25" hidden="false" customHeight="true" outlineLevel="0" collapsed="false">
      <c r="A155" s="6" t="s">
        <v>883</v>
      </c>
      <c r="B155" s="6" t="s">
        <v>662</v>
      </c>
      <c r="C155" s="6" t="s">
        <v>872</v>
      </c>
      <c r="D155" s="6" t="s">
        <v>884</v>
      </c>
      <c r="E155" s="6" t="s">
        <v>665</v>
      </c>
      <c r="F155" s="6" t="s">
        <v>145</v>
      </c>
      <c r="G155" s="6" t="s">
        <v>874</v>
      </c>
      <c r="H155" s="6" t="s">
        <v>145</v>
      </c>
      <c r="I155" s="6" t="s">
        <v>715</v>
      </c>
      <c r="J155" s="9" t="s">
        <v>390</v>
      </c>
      <c r="K155" s="6" t="s">
        <v>885</v>
      </c>
      <c r="L155" s="9"/>
      <c r="M155" s="6" t="s">
        <v>391</v>
      </c>
      <c r="N155" s="6" t="s">
        <v>604</v>
      </c>
    </row>
    <row r="156" customFormat="false" ht="15" hidden="false" customHeight="true" outlineLevel="0" collapsed="false">
      <c r="A156" s="6" t="s">
        <v>886</v>
      </c>
      <c r="B156" s="6" t="s">
        <v>662</v>
      </c>
      <c r="C156" s="6" t="s">
        <v>872</v>
      </c>
      <c r="D156" s="6" t="s">
        <v>887</v>
      </c>
      <c r="E156" s="6" t="s">
        <v>665</v>
      </c>
      <c r="F156" s="6" t="s">
        <v>145</v>
      </c>
      <c r="G156" s="6" t="s">
        <v>874</v>
      </c>
      <c r="H156" s="6" t="s">
        <v>145</v>
      </c>
      <c r="I156" s="6" t="s">
        <v>715</v>
      </c>
      <c r="J156" s="9" t="s">
        <v>390</v>
      </c>
      <c r="K156" s="6" t="s">
        <v>888</v>
      </c>
      <c r="L156" s="9"/>
      <c r="M156" s="6" t="s">
        <v>391</v>
      </c>
      <c r="N156" s="6" t="s">
        <v>604</v>
      </c>
    </row>
    <row r="157" customFormat="false" ht="79.5" hidden="false" customHeight="true" outlineLevel="0" collapsed="false">
      <c r="A157" s="6" t="s">
        <v>889</v>
      </c>
      <c r="B157" s="6" t="s">
        <v>662</v>
      </c>
      <c r="C157" s="6" t="s">
        <v>890</v>
      </c>
      <c r="D157" s="6" t="s">
        <v>891</v>
      </c>
      <c r="E157" s="6" t="s">
        <v>665</v>
      </c>
      <c r="F157" s="6" t="s">
        <v>145</v>
      </c>
      <c r="G157" s="6" t="s">
        <v>892</v>
      </c>
      <c r="H157" s="6" t="s">
        <v>145</v>
      </c>
      <c r="I157" s="6" t="s">
        <v>893</v>
      </c>
      <c r="J157" s="9" t="s">
        <v>383</v>
      </c>
      <c r="K157" s="6" t="s">
        <v>894</v>
      </c>
      <c r="L157" s="9" t="s">
        <v>895</v>
      </c>
      <c r="M157" s="6" t="s">
        <v>586</v>
      </c>
      <c r="N157" s="6" t="s">
        <v>586</v>
      </c>
    </row>
    <row r="158" customFormat="false" ht="113.25" hidden="false" customHeight="true" outlineLevel="0" collapsed="false">
      <c r="A158" s="6" t="s">
        <v>896</v>
      </c>
      <c r="B158" s="6" t="s">
        <v>662</v>
      </c>
      <c r="C158" s="6" t="s">
        <v>890</v>
      </c>
      <c r="D158" s="6" t="s">
        <v>897</v>
      </c>
      <c r="E158" s="6" t="s">
        <v>665</v>
      </c>
      <c r="F158" s="6" t="s">
        <v>145</v>
      </c>
      <c r="G158" s="6" t="s">
        <v>892</v>
      </c>
      <c r="H158" s="6" t="s">
        <v>145</v>
      </c>
      <c r="I158" s="6" t="s">
        <v>893</v>
      </c>
      <c r="J158" s="9" t="s">
        <v>383</v>
      </c>
      <c r="K158" s="6" t="s">
        <v>898</v>
      </c>
      <c r="L158" s="9" t="s">
        <v>899</v>
      </c>
      <c r="M158" s="6" t="s">
        <v>386</v>
      </c>
      <c r="N158" s="6" t="s">
        <v>386</v>
      </c>
    </row>
    <row r="159" customFormat="false" ht="79.5" hidden="false" customHeight="true" outlineLevel="0" collapsed="false">
      <c r="A159" s="6" t="s">
        <v>900</v>
      </c>
      <c r="B159" s="6" t="s">
        <v>662</v>
      </c>
      <c r="C159" s="6" t="s">
        <v>890</v>
      </c>
      <c r="D159" s="6" t="s">
        <v>901</v>
      </c>
      <c r="E159" s="6" t="s">
        <v>665</v>
      </c>
      <c r="F159" s="6" t="s">
        <v>145</v>
      </c>
      <c r="G159" s="6" t="s">
        <v>892</v>
      </c>
      <c r="H159" s="6" t="s">
        <v>145</v>
      </c>
      <c r="I159" s="6" t="s">
        <v>702</v>
      </c>
      <c r="J159" s="9" t="s">
        <v>383</v>
      </c>
      <c r="K159" s="6" t="s">
        <v>902</v>
      </c>
      <c r="L159" s="9" t="s">
        <v>903</v>
      </c>
      <c r="M159" s="6" t="s">
        <v>386</v>
      </c>
      <c r="N159" s="6" t="s">
        <v>386</v>
      </c>
    </row>
    <row r="160" customFormat="false" ht="57" hidden="false" customHeight="true" outlineLevel="0" collapsed="false">
      <c r="A160" s="6" t="s">
        <v>904</v>
      </c>
      <c r="B160" s="6" t="s">
        <v>662</v>
      </c>
      <c r="C160" s="6" t="s">
        <v>890</v>
      </c>
      <c r="D160" s="6" t="s">
        <v>905</v>
      </c>
      <c r="E160" s="6" t="s">
        <v>665</v>
      </c>
      <c r="F160" s="6" t="s">
        <v>145</v>
      </c>
      <c r="G160" s="6" t="s">
        <v>892</v>
      </c>
      <c r="H160" s="6" t="s">
        <v>145</v>
      </c>
      <c r="I160" s="6" t="s">
        <v>702</v>
      </c>
      <c r="J160" s="9" t="s">
        <v>383</v>
      </c>
      <c r="K160" s="6" t="s">
        <v>906</v>
      </c>
      <c r="L160" s="9" t="s">
        <v>907</v>
      </c>
      <c r="M160" s="6" t="s">
        <v>386</v>
      </c>
      <c r="N160" s="6" t="s">
        <v>386</v>
      </c>
    </row>
    <row r="161" customFormat="false" ht="68.25" hidden="false" customHeight="true" outlineLevel="0" collapsed="false">
      <c r="A161" s="6" t="s">
        <v>908</v>
      </c>
      <c r="B161" s="6" t="s">
        <v>662</v>
      </c>
      <c r="C161" s="6" t="s">
        <v>890</v>
      </c>
      <c r="D161" s="6" t="s">
        <v>909</v>
      </c>
      <c r="E161" s="6" t="s">
        <v>665</v>
      </c>
      <c r="F161" s="6" t="s">
        <v>145</v>
      </c>
      <c r="G161" s="6" t="s">
        <v>892</v>
      </c>
      <c r="H161" s="6" t="s">
        <v>145</v>
      </c>
      <c r="I161" s="6" t="s">
        <v>910</v>
      </c>
      <c r="J161" s="9" t="s">
        <v>383</v>
      </c>
      <c r="K161" s="6" t="s">
        <v>911</v>
      </c>
      <c r="L161" s="9" t="s">
        <v>912</v>
      </c>
      <c r="M161" s="6" t="s">
        <v>386</v>
      </c>
      <c r="N161" s="6" t="s">
        <v>386</v>
      </c>
    </row>
    <row r="162" customFormat="false" ht="23.25" hidden="false" customHeight="true" outlineLevel="0" collapsed="false">
      <c r="A162" s="6" t="s">
        <v>913</v>
      </c>
      <c r="B162" s="6" t="s">
        <v>662</v>
      </c>
      <c r="C162" s="6" t="s">
        <v>890</v>
      </c>
      <c r="D162" s="6" t="s">
        <v>914</v>
      </c>
      <c r="E162" s="6" t="s">
        <v>665</v>
      </c>
      <c r="F162" s="6" t="s">
        <v>145</v>
      </c>
      <c r="G162" s="6" t="s">
        <v>892</v>
      </c>
      <c r="H162" s="6" t="s">
        <v>145</v>
      </c>
      <c r="I162" s="6" t="s">
        <v>915</v>
      </c>
      <c r="J162" s="9" t="s">
        <v>710</v>
      </c>
      <c r="K162" s="6" t="s">
        <v>916</v>
      </c>
      <c r="L162" s="9" t="s">
        <v>712</v>
      </c>
      <c r="M162" s="6" t="s">
        <v>391</v>
      </c>
      <c r="N162" s="6" t="s">
        <v>679</v>
      </c>
    </row>
    <row r="163" customFormat="false" ht="23.25" hidden="false" customHeight="true" outlineLevel="0" collapsed="false">
      <c r="A163" s="6" t="s">
        <v>917</v>
      </c>
      <c r="B163" s="6" t="s">
        <v>662</v>
      </c>
      <c r="C163" s="6" t="s">
        <v>890</v>
      </c>
      <c r="D163" s="6" t="s">
        <v>918</v>
      </c>
      <c r="E163" s="6" t="s">
        <v>665</v>
      </c>
      <c r="F163" s="6" t="s">
        <v>145</v>
      </c>
      <c r="G163" s="6" t="s">
        <v>892</v>
      </c>
      <c r="H163" s="6" t="s">
        <v>145</v>
      </c>
      <c r="I163" s="6" t="s">
        <v>919</v>
      </c>
      <c r="J163" s="9" t="s">
        <v>710</v>
      </c>
      <c r="K163" s="6" t="s">
        <v>920</v>
      </c>
      <c r="L163" s="9" t="s">
        <v>921</v>
      </c>
      <c r="M163" s="6" t="s">
        <v>391</v>
      </c>
      <c r="N163" s="6" t="s">
        <v>604</v>
      </c>
    </row>
  </sheetData>
  <dataValidations count="1">
    <dataValidation allowBlank="true" errorStyle="stop" operator="between" showDropDown="false" showErrorMessage="false" showInputMessage="false" sqref="J4:J163" type="list">
      <formula1>"Backlog,In progress,Done,Blocked,Dropped"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6"/>
    <col collapsed="false" customWidth="true" hidden="false" outlineLevel="0" max="4" min="3" style="1" width="8"/>
    <col collapsed="false" customWidth="true" hidden="false" outlineLevel="0" max="5" min="5" style="1" width="7"/>
    <col collapsed="false" customWidth="true" hidden="false" outlineLevel="0" max="6" min="6" style="1" width="11"/>
    <col collapsed="false" customWidth="true" hidden="false" outlineLevel="0" max="7" min="7" style="1" width="13"/>
    <col collapsed="false" customWidth="true" hidden="false" outlineLevel="0" max="8" min="8" style="1" width="18"/>
    <col collapsed="false" customWidth="true" hidden="false" outlineLevel="0" max="9" min="9" style="1" width="52"/>
  </cols>
  <sheetData>
    <row r="1" customFormat="false" ht="15" hidden="false" customHeight="true" outlineLevel="0" collapsed="false">
      <c r="A1" s="2" t="s">
        <v>922</v>
      </c>
      <c r="B1" s="3"/>
      <c r="C1" s="3"/>
      <c r="D1" s="3"/>
      <c r="E1" s="3"/>
      <c r="F1" s="3"/>
      <c r="G1" s="3"/>
      <c r="H1" s="3"/>
      <c r="I1" s="3"/>
    </row>
    <row r="2" customFormat="false" ht="15" hidden="false" customHeight="true" outlineLevel="0" collapsed="false">
      <c r="A2" s="4" t="s">
        <v>923</v>
      </c>
    </row>
    <row r="3" customFormat="false" ht="15" hidden="false" customHeight="true" outlineLevel="0" collapsed="false">
      <c r="A3" s="5" t="s">
        <v>135</v>
      </c>
      <c r="B3" s="5" t="s">
        <v>924</v>
      </c>
      <c r="C3" s="5" t="s">
        <v>925</v>
      </c>
      <c r="D3" s="5" t="s">
        <v>367</v>
      </c>
      <c r="E3" s="5" t="s">
        <v>330</v>
      </c>
      <c r="F3" s="5" t="s">
        <v>926</v>
      </c>
      <c r="G3" s="5" t="s">
        <v>927</v>
      </c>
      <c r="H3" s="5" t="s">
        <v>928</v>
      </c>
      <c r="I3" s="5" t="s">
        <v>929</v>
      </c>
    </row>
    <row r="4" customFormat="false" ht="23.25" hidden="false" customHeight="true" outlineLevel="0" collapsed="false">
      <c r="A4" s="6" t="s">
        <v>143</v>
      </c>
      <c r="B4" s="6" t="s">
        <v>930</v>
      </c>
      <c r="C4" s="6" t="n">
        <f aca="false">COUNTA(S0_Task_Board!$A$4:$A$11)</f>
        <v>8</v>
      </c>
      <c r="D4" s="6" t="str">
        <f aca="false">"—"</f>
        <v>—</v>
      </c>
      <c r="E4" s="6" t="n">
        <f aca="false">COUNTIF(S0_Task_Board!$E$4:$E$11,"Done")</f>
        <v>3</v>
      </c>
      <c r="F4" s="6" t="str">
        <f aca="false">"—"</f>
        <v>—</v>
      </c>
      <c r="G4" s="10" t="n">
        <f aca="false">IFERROR(COUNTIF(S0_Task_Board!$E$4:$E$11,"Done")/COUNTA(S0_Task_Board!$A$4:$A$11),0)</f>
        <v>0.375</v>
      </c>
      <c r="H4" s="6" t="s">
        <v>931</v>
      </c>
      <c r="I4" s="6" t="s">
        <v>932</v>
      </c>
    </row>
    <row r="5" customFormat="false" ht="15" hidden="false" customHeight="true" outlineLevel="0" collapsed="false">
      <c r="A5" s="6" t="s">
        <v>183</v>
      </c>
      <c r="B5" s="6" t="s">
        <v>933</v>
      </c>
      <c r="C5" s="6" t="n">
        <f aca="false">COUNTIF(Traceability_Matrix!$G$4:$G$163,"S1")</f>
        <v>4</v>
      </c>
      <c r="D5" s="6" t="n">
        <f aca="false">SUMIF(Traceability_Matrix!$G$4:$G$163,"S1",Traceability_Matrix!$E$4:$E$163)</f>
        <v>13</v>
      </c>
      <c r="E5" s="6" t="n">
        <f aca="false">COUNTIFS(Traceability_Matrix!$G$4:$G$163,"S1",Traceability_Matrix!$J$4:$J$163,"Done")</f>
        <v>0</v>
      </c>
      <c r="F5" s="6" t="n">
        <f aca="false">SUMIFS(Traceability_Matrix!$E$4:$E$163,Traceability_Matrix!$G$4:$G$163,"S1",Traceability_Matrix!$J$4:$J$163,"Done")</f>
        <v>0</v>
      </c>
      <c r="G5" s="10" t="n">
        <f aca="false">IFERROR(SUMIFS(Traceability_Matrix!$E$4:$E$163,Traceability_Matrix!$G$4:$G$163,"S1",Traceability_Matrix!$J$4:$J$163,"Done")/SUMIF(Traceability_Matrix!$G$4:$G$163,"S1",Traceability_Matrix!$E$4:$E$163),0)</f>
        <v>0</v>
      </c>
      <c r="H5" s="6"/>
      <c r="I5" s="6" t="s">
        <v>934</v>
      </c>
    </row>
    <row r="6" customFormat="false" ht="15" hidden="false" customHeight="true" outlineLevel="0" collapsed="false">
      <c r="A6" s="6" t="s">
        <v>380</v>
      </c>
      <c r="B6" s="6" t="s">
        <v>935</v>
      </c>
      <c r="C6" s="6" t="n">
        <f aca="false">COUNTIF(Traceability_Matrix!$G$4:$G$163,"S2")</f>
        <v>6</v>
      </c>
      <c r="D6" s="6" t="n">
        <f aca="false">SUMIF(Traceability_Matrix!$G$4:$G$163,"S2",Traceability_Matrix!$E$4:$E$163)</f>
        <v>29</v>
      </c>
      <c r="E6" s="6" t="n">
        <f aca="false">COUNTIFS(Traceability_Matrix!$G$4:$G$163,"S2",Traceability_Matrix!$J$4:$J$163,"Done")</f>
        <v>0</v>
      </c>
      <c r="F6" s="6" t="n">
        <f aca="false">SUMIFS(Traceability_Matrix!$E$4:$E$163,Traceability_Matrix!$G$4:$G$163,"S2",Traceability_Matrix!$J$4:$J$163,"Done")</f>
        <v>0</v>
      </c>
      <c r="G6" s="10" t="n">
        <f aca="false">IFERROR(SUMIFS(Traceability_Matrix!$E$4:$E$163,Traceability_Matrix!$G$4:$G$163,"S2",Traceability_Matrix!$J$4:$J$163,"Done")/SUMIF(Traceability_Matrix!$G$4:$G$163,"S2",Traceability_Matrix!$E$4:$E$163),0)</f>
        <v>0</v>
      </c>
      <c r="H6" s="6"/>
      <c r="I6" s="6" t="s">
        <v>936</v>
      </c>
    </row>
    <row r="7" customFormat="false" ht="15" hidden="false" customHeight="true" outlineLevel="0" collapsed="false">
      <c r="A7" s="6" t="s">
        <v>400</v>
      </c>
      <c r="B7" s="6" t="s">
        <v>937</v>
      </c>
      <c r="C7" s="6" t="n">
        <f aca="false">COUNTIF(Traceability_Matrix!$G$4:$G$163,"S3")</f>
        <v>11</v>
      </c>
      <c r="D7" s="6" t="n">
        <f aca="false">SUMIF(Traceability_Matrix!$G$4:$G$163,"S3",Traceability_Matrix!$E$4:$E$163)</f>
        <v>47</v>
      </c>
      <c r="E7" s="6" t="n">
        <f aca="false">COUNTIFS(Traceability_Matrix!$G$4:$G$163,"S3",Traceability_Matrix!$J$4:$J$163,"Done")</f>
        <v>0</v>
      </c>
      <c r="F7" s="6" t="n">
        <f aca="false">SUMIFS(Traceability_Matrix!$E$4:$E$163,Traceability_Matrix!$G$4:$G$163,"S3",Traceability_Matrix!$J$4:$J$163,"Done")</f>
        <v>0</v>
      </c>
      <c r="G7" s="10" t="n">
        <f aca="false">IFERROR(SUMIFS(Traceability_Matrix!$E$4:$E$163,Traceability_Matrix!$G$4:$G$163,"S3",Traceability_Matrix!$J$4:$J$163,"Done")/SUMIF(Traceability_Matrix!$G$4:$G$163,"S3",Traceability_Matrix!$E$4:$E$163),0)</f>
        <v>0</v>
      </c>
      <c r="H7" s="6"/>
      <c r="I7" s="6" t="s">
        <v>938</v>
      </c>
    </row>
    <row r="8" customFormat="false" ht="15" hidden="false" customHeight="true" outlineLevel="0" collapsed="false">
      <c r="A8" s="6" t="s">
        <v>427</v>
      </c>
      <c r="B8" s="6" t="s">
        <v>416</v>
      </c>
      <c r="C8" s="6" t="n">
        <f aca="false">COUNTIF(Traceability_Matrix!$G$4:$G$163,"S4")</f>
        <v>9</v>
      </c>
      <c r="D8" s="6" t="n">
        <f aca="false">SUMIF(Traceability_Matrix!$G$4:$G$163,"S4",Traceability_Matrix!$E$4:$E$163)</f>
        <v>34</v>
      </c>
      <c r="E8" s="6" t="n">
        <f aca="false">COUNTIFS(Traceability_Matrix!$G$4:$G$163,"S4",Traceability_Matrix!$J$4:$J$163,"Done")</f>
        <v>0</v>
      </c>
      <c r="F8" s="6" t="n">
        <f aca="false">SUMIFS(Traceability_Matrix!$E$4:$E$163,Traceability_Matrix!$G$4:$G$163,"S4",Traceability_Matrix!$J$4:$J$163,"Done")</f>
        <v>0</v>
      </c>
      <c r="G8" s="10" t="n">
        <f aca="false">IFERROR(SUMIFS(Traceability_Matrix!$E$4:$E$163,Traceability_Matrix!$G$4:$G$163,"S4",Traceability_Matrix!$J$4:$J$163,"Done")/SUMIF(Traceability_Matrix!$G$4:$G$163,"S4",Traceability_Matrix!$E$4:$E$163),0)</f>
        <v>0</v>
      </c>
      <c r="H8" s="6"/>
      <c r="I8" s="6" t="s">
        <v>939</v>
      </c>
    </row>
    <row r="9" customFormat="false" ht="15" hidden="false" customHeight="true" outlineLevel="0" collapsed="false">
      <c r="A9" s="6" t="s">
        <v>443</v>
      </c>
      <c r="B9" s="6" t="s">
        <v>940</v>
      </c>
      <c r="C9" s="6" t="n">
        <f aca="false">COUNTIF(Traceability_Matrix!$G$4:$G$163,"S5")</f>
        <v>12</v>
      </c>
      <c r="D9" s="6" t="n">
        <f aca="false">SUMIF(Traceability_Matrix!$G$4:$G$163,"S5",Traceability_Matrix!$E$4:$E$163)</f>
        <v>50</v>
      </c>
      <c r="E9" s="6" t="n">
        <f aca="false">COUNTIFS(Traceability_Matrix!$G$4:$G$163,"S5",Traceability_Matrix!$J$4:$J$163,"Done")</f>
        <v>0</v>
      </c>
      <c r="F9" s="6" t="n">
        <f aca="false">SUMIFS(Traceability_Matrix!$E$4:$E$163,Traceability_Matrix!$G$4:$G$163,"S5",Traceability_Matrix!$J$4:$J$163,"Done")</f>
        <v>0</v>
      </c>
      <c r="G9" s="10" t="n">
        <f aca="false">IFERROR(SUMIFS(Traceability_Matrix!$E$4:$E$163,Traceability_Matrix!$G$4:$G$163,"S5",Traceability_Matrix!$J$4:$J$163,"Done")/SUMIF(Traceability_Matrix!$G$4:$G$163,"S5",Traceability_Matrix!$E$4:$E$163),0)</f>
        <v>0</v>
      </c>
      <c r="H9" s="6"/>
      <c r="I9" s="6" t="s">
        <v>941</v>
      </c>
    </row>
    <row r="10" customFormat="false" ht="15" hidden="false" customHeight="true" outlineLevel="0" collapsed="false">
      <c r="A10" s="6" t="s">
        <v>467</v>
      </c>
      <c r="B10" s="6" t="s">
        <v>942</v>
      </c>
      <c r="C10" s="6" t="n">
        <f aca="false">COUNTIF(Traceability_Matrix!$G$4:$G$163,"S6")</f>
        <v>13</v>
      </c>
      <c r="D10" s="6" t="n">
        <f aca="false">SUMIF(Traceability_Matrix!$G$4:$G$163,"S6",Traceability_Matrix!$E$4:$E$163)</f>
        <v>60</v>
      </c>
      <c r="E10" s="6" t="n">
        <f aca="false">COUNTIFS(Traceability_Matrix!$G$4:$G$163,"S6",Traceability_Matrix!$J$4:$J$163,"Done")</f>
        <v>0</v>
      </c>
      <c r="F10" s="6" t="n">
        <f aca="false">SUMIFS(Traceability_Matrix!$E$4:$E$163,Traceability_Matrix!$G$4:$G$163,"S6",Traceability_Matrix!$J$4:$J$163,"Done")</f>
        <v>0</v>
      </c>
      <c r="G10" s="10" t="n">
        <f aca="false">IFERROR(SUMIFS(Traceability_Matrix!$E$4:$E$163,Traceability_Matrix!$G$4:$G$163,"S6",Traceability_Matrix!$J$4:$J$163,"Done")/SUMIF(Traceability_Matrix!$G$4:$G$163,"S6",Traceability_Matrix!$E$4:$E$163),0)</f>
        <v>0</v>
      </c>
      <c r="H10" s="6"/>
      <c r="I10" s="6" t="s">
        <v>943</v>
      </c>
    </row>
    <row r="11" customFormat="false" ht="15" hidden="false" customHeight="true" outlineLevel="0" collapsed="false">
      <c r="A11" s="6" t="s">
        <v>541</v>
      </c>
      <c r="B11" s="6" t="s">
        <v>944</v>
      </c>
      <c r="C11" s="6" t="n">
        <f aca="false">COUNTIF(Traceability_Matrix!$G$4:$G$163,"S7")</f>
        <v>5</v>
      </c>
      <c r="D11" s="6" t="n">
        <f aca="false">SUMIF(Traceability_Matrix!$G$4:$G$163,"S7",Traceability_Matrix!$E$4:$E$163)</f>
        <v>15</v>
      </c>
      <c r="E11" s="6" t="n">
        <f aca="false">COUNTIFS(Traceability_Matrix!$G$4:$G$163,"S7",Traceability_Matrix!$J$4:$J$163,"Done")</f>
        <v>0</v>
      </c>
      <c r="F11" s="6" t="n">
        <f aca="false">SUMIFS(Traceability_Matrix!$E$4:$E$163,Traceability_Matrix!$G$4:$G$163,"S7",Traceability_Matrix!$J$4:$J$163,"Done")</f>
        <v>0</v>
      </c>
      <c r="G11" s="10" t="n">
        <f aca="false">IFERROR(SUMIFS(Traceability_Matrix!$E$4:$E$163,Traceability_Matrix!$G$4:$G$163,"S7",Traceability_Matrix!$J$4:$J$163,"Done")/SUMIF(Traceability_Matrix!$G$4:$G$163,"S7",Traceability_Matrix!$E$4:$E$163),0)</f>
        <v>0</v>
      </c>
      <c r="H11" s="6"/>
      <c r="I11" s="6" t="s">
        <v>945</v>
      </c>
    </row>
    <row r="12" customFormat="false" ht="15" hidden="false" customHeight="true" outlineLevel="0" collapsed="false">
      <c r="A12" s="6" t="s">
        <v>491</v>
      </c>
      <c r="B12" s="6" t="s">
        <v>946</v>
      </c>
      <c r="C12" s="6" t="n">
        <f aca="false">COUNTIF(Traceability_Matrix!$G$4:$G$163,"S8")</f>
        <v>22</v>
      </c>
      <c r="D12" s="6" t="n">
        <f aca="false">SUMIF(Traceability_Matrix!$G$4:$G$163,"S8",Traceability_Matrix!$E$4:$E$163)</f>
        <v>87</v>
      </c>
      <c r="E12" s="6" t="n">
        <f aca="false">COUNTIFS(Traceability_Matrix!$G$4:$G$163,"S8",Traceability_Matrix!$J$4:$J$163,"Done")</f>
        <v>0</v>
      </c>
      <c r="F12" s="6" t="n">
        <f aca="false">SUMIFS(Traceability_Matrix!$E$4:$E$163,Traceability_Matrix!$G$4:$G$163,"S8",Traceability_Matrix!$J$4:$J$163,"Done")</f>
        <v>0</v>
      </c>
      <c r="G12" s="10" t="n">
        <f aca="false">IFERROR(SUMIFS(Traceability_Matrix!$E$4:$E$163,Traceability_Matrix!$G$4:$G$163,"S8",Traceability_Matrix!$J$4:$J$163,"Done")/SUMIF(Traceability_Matrix!$G$4:$G$163,"S8",Traceability_Matrix!$E$4:$E$163),0)</f>
        <v>0</v>
      </c>
      <c r="H12" s="6"/>
      <c r="I12" s="6" t="s">
        <v>947</v>
      </c>
    </row>
    <row r="13" customFormat="false" ht="15" hidden="false" customHeight="true" outlineLevel="0" collapsed="false">
      <c r="A13" s="6" t="s">
        <v>565</v>
      </c>
      <c r="B13" s="6" t="s">
        <v>948</v>
      </c>
      <c r="C13" s="6" t="n">
        <f aca="false">COUNTIF(Traceability_Matrix!$G$4:$G$163,"S9")</f>
        <v>7</v>
      </c>
      <c r="D13" s="6" t="n">
        <f aca="false">SUMIF(Traceability_Matrix!$G$4:$G$163,"S9",Traceability_Matrix!$E$4:$E$163)</f>
        <v>30</v>
      </c>
      <c r="E13" s="6" t="n">
        <f aca="false">COUNTIFS(Traceability_Matrix!$G$4:$G$163,"S9",Traceability_Matrix!$J$4:$J$163,"Done")</f>
        <v>0</v>
      </c>
      <c r="F13" s="6" t="n">
        <f aca="false">SUMIFS(Traceability_Matrix!$E$4:$E$163,Traceability_Matrix!$G$4:$G$163,"S9",Traceability_Matrix!$J$4:$J$163,"Done")</f>
        <v>0</v>
      </c>
      <c r="G13" s="10" t="n">
        <f aca="false">IFERROR(SUMIFS(Traceability_Matrix!$E$4:$E$163,Traceability_Matrix!$G$4:$G$163,"S9",Traceability_Matrix!$J$4:$J$163,"Done")/SUMIF(Traceability_Matrix!$G$4:$G$163,"S9",Traceability_Matrix!$E$4:$E$163),0)</f>
        <v>0</v>
      </c>
      <c r="H13" s="6"/>
      <c r="I13" s="6" t="s">
        <v>949</v>
      </c>
    </row>
    <row r="14" customFormat="false" ht="15" hidden="false" customHeight="true" outlineLevel="0" collapsed="false">
      <c r="A14" s="6" t="s">
        <v>601</v>
      </c>
      <c r="B14" s="6" t="s">
        <v>950</v>
      </c>
      <c r="C14" s="6" t="n">
        <f aca="false">COUNTIF(Traceability_Matrix!$G$4:$G$163,"S10")</f>
        <v>7</v>
      </c>
      <c r="D14" s="6" t="n">
        <f aca="false">SUMIF(Traceability_Matrix!$G$4:$G$163,"S10",Traceability_Matrix!$E$4:$E$163)</f>
        <v>24</v>
      </c>
      <c r="E14" s="6" t="n">
        <f aca="false">COUNTIFS(Traceability_Matrix!$G$4:$G$163,"S10",Traceability_Matrix!$J$4:$J$163,"Done")</f>
        <v>0</v>
      </c>
      <c r="F14" s="6" t="n">
        <f aca="false">SUMIFS(Traceability_Matrix!$E$4:$E$163,Traceability_Matrix!$G$4:$G$163,"S10",Traceability_Matrix!$J$4:$J$163,"Done")</f>
        <v>0</v>
      </c>
      <c r="G14" s="10" t="n">
        <f aca="false">IFERROR(SUMIFS(Traceability_Matrix!$E$4:$E$163,Traceability_Matrix!$G$4:$G$163,"S10",Traceability_Matrix!$J$4:$J$163,"Done")/SUMIF(Traceability_Matrix!$G$4:$G$163,"S10",Traceability_Matrix!$E$4:$E$163),0)</f>
        <v>0</v>
      </c>
      <c r="H14" s="6"/>
      <c r="I14" s="6" t="s">
        <v>951</v>
      </c>
    </row>
    <row r="15" customFormat="false" ht="15" hidden="false" customHeight="true" outlineLevel="0" collapsed="false">
      <c r="A15" s="6" t="s">
        <v>610</v>
      </c>
      <c r="B15" s="6" t="s">
        <v>952</v>
      </c>
      <c r="C15" s="6" t="n">
        <f aca="false">COUNTIF(Traceability_Matrix!$G$4:$G$163,"S11")</f>
        <v>3</v>
      </c>
      <c r="D15" s="6" t="n">
        <f aca="false">SUMIF(Traceability_Matrix!$G$4:$G$163,"S11",Traceability_Matrix!$E$4:$E$163)</f>
        <v>8</v>
      </c>
      <c r="E15" s="6" t="n">
        <f aca="false">COUNTIFS(Traceability_Matrix!$G$4:$G$163,"S11",Traceability_Matrix!$J$4:$J$163,"Done")</f>
        <v>0</v>
      </c>
      <c r="F15" s="6" t="n">
        <f aca="false">SUMIFS(Traceability_Matrix!$E$4:$E$163,Traceability_Matrix!$G$4:$G$163,"S11",Traceability_Matrix!$J$4:$J$163,"Done")</f>
        <v>0</v>
      </c>
      <c r="G15" s="10" t="n">
        <f aca="false">IFERROR(SUMIFS(Traceability_Matrix!$E$4:$E$163,Traceability_Matrix!$G$4:$G$163,"S11",Traceability_Matrix!$J$4:$J$163,"Done")/SUMIF(Traceability_Matrix!$G$4:$G$163,"S11",Traceability_Matrix!$E$4:$E$163),0)</f>
        <v>0</v>
      </c>
      <c r="H15" s="6"/>
      <c r="I15" s="6" t="s">
        <v>953</v>
      </c>
    </row>
    <row r="16" customFormat="false" ht="15" hidden="false" customHeight="true" outlineLevel="0" collapsed="false">
      <c r="A16" s="6" t="s">
        <v>658</v>
      </c>
      <c r="B16" s="6" t="s">
        <v>954</v>
      </c>
      <c r="C16" s="6" t="n">
        <f aca="false">COUNTIF(Traceability_Matrix!$G$4:$G$163,"S12")</f>
        <v>1</v>
      </c>
      <c r="D16" s="6" t="n">
        <f aca="false">SUMIF(Traceability_Matrix!$G$4:$G$163,"S12",Traceability_Matrix!$E$4:$E$163)</f>
        <v>2</v>
      </c>
      <c r="E16" s="6" t="n">
        <f aca="false">COUNTIFS(Traceability_Matrix!$G$4:$G$163,"S12",Traceability_Matrix!$J$4:$J$163,"Done")</f>
        <v>0</v>
      </c>
      <c r="F16" s="6" t="n">
        <f aca="false">SUMIFS(Traceability_Matrix!$E$4:$E$163,Traceability_Matrix!$G$4:$G$163,"S12",Traceability_Matrix!$J$4:$J$163,"Done")</f>
        <v>0</v>
      </c>
      <c r="G16" s="10" t="n">
        <f aca="false">IFERROR(SUMIFS(Traceability_Matrix!$E$4:$E$163,Traceability_Matrix!$G$4:$G$163,"S12",Traceability_Matrix!$J$4:$J$163,"Done")/SUMIF(Traceability_Matrix!$G$4:$G$163,"S12",Traceability_Matrix!$E$4:$E$163),0)</f>
        <v>0</v>
      </c>
      <c r="H16" s="6"/>
      <c r="I16" s="6" t="s">
        <v>955</v>
      </c>
    </row>
    <row r="17" customFormat="false" ht="15" hidden="false" customHeight="true" outlineLevel="0" collapsed="false">
      <c r="A17" s="6" t="s">
        <v>666</v>
      </c>
      <c r="B17" s="6" t="s">
        <v>663</v>
      </c>
      <c r="C17" s="6" t="n">
        <f aca="false">COUNTIF(Traceability_Matrix!$G$4:$G$163,"S13")</f>
        <v>8</v>
      </c>
      <c r="D17" s="6" t="str">
        <f aca="false">"unestimated"</f>
        <v>unestimated</v>
      </c>
      <c r="E17" s="6" t="n">
        <f aca="false">COUNTIFS(Traceability_Matrix!$G$4:$G$163,"S13",Traceability_Matrix!$J$4:$J$163,"Done")</f>
        <v>0</v>
      </c>
      <c r="F17" s="6" t="str">
        <f aca="false">"—"</f>
        <v>—</v>
      </c>
      <c r="G17" s="10" t="n">
        <f aca="false">IFERROR(COUNTIFS(Traceability_Matrix!$G$4:$G$163,"S13",Traceability_Matrix!$J$4:$J$163,"Done")/COUNTIF(Traceability_Matrix!$G$4:$G$163,"S13"),0)</f>
        <v>0</v>
      </c>
      <c r="H17" s="6" t="s">
        <v>956</v>
      </c>
      <c r="I17" s="6" t="s">
        <v>957</v>
      </c>
    </row>
    <row r="18" customFormat="false" ht="23.25" hidden="false" customHeight="true" outlineLevel="0" collapsed="false">
      <c r="A18" s="6" t="s">
        <v>708</v>
      </c>
      <c r="B18" s="6" t="s">
        <v>706</v>
      </c>
      <c r="C18" s="6" t="n">
        <f aca="false">COUNTIF(Traceability_Matrix!$G$4:$G$163,"S14")</f>
        <v>7</v>
      </c>
      <c r="D18" s="6" t="str">
        <f aca="false">"unestimated"</f>
        <v>unestimated</v>
      </c>
      <c r="E18" s="6" t="n">
        <f aca="false">COUNTIFS(Traceability_Matrix!$G$4:$G$163,"S14",Traceability_Matrix!$J$4:$J$163,"Done")</f>
        <v>0</v>
      </c>
      <c r="F18" s="6" t="str">
        <f aca="false">"—"</f>
        <v>—</v>
      </c>
      <c r="G18" s="10" t="n">
        <f aca="false">IFERROR(COUNTIFS(Traceability_Matrix!$G$4:$G$163,"S14",Traceability_Matrix!$J$4:$J$163,"Done")/COUNTIF(Traceability_Matrix!$G$4:$G$163,"S14"),0)</f>
        <v>0</v>
      </c>
      <c r="H18" s="6" t="s">
        <v>958</v>
      </c>
      <c r="I18" s="6" t="s">
        <v>959</v>
      </c>
    </row>
    <row r="19" customFormat="false" ht="23.25" hidden="false" customHeight="true" outlineLevel="0" collapsed="false">
      <c r="A19" s="6" t="s">
        <v>740</v>
      </c>
      <c r="B19" s="6" t="s">
        <v>738</v>
      </c>
      <c r="C19" s="6" t="n">
        <f aca="false">COUNTIF(Traceability_Matrix!$G$4:$G$163,"S15")</f>
        <v>6</v>
      </c>
      <c r="D19" s="6" t="str">
        <f aca="false">"unestimated"</f>
        <v>unestimated</v>
      </c>
      <c r="E19" s="6" t="n">
        <f aca="false">COUNTIFS(Traceability_Matrix!$G$4:$G$163,"S15",Traceability_Matrix!$J$4:$J$163,"Done")</f>
        <v>0</v>
      </c>
      <c r="F19" s="6" t="str">
        <f aca="false">"—"</f>
        <v>—</v>
      </c>
      <c r="G19" s="10" t="n">
        <f aca="false">IFERROR(COUNTIFS(Traceability_Matrix!$G$4:$G$163,"S15",Traceability_Matrix!$J$4:$J$163,"Done")/COUNTIF(Traceability_Matrix!$G$4:$G$163,"S15"),0)</f>
        <v>0</v>
      </c>
      <c r="H19" s="6" t="s">
        <v>960</v>
      </c>
      <c r="I19" s="6" t="s">
        <v>961</v>
      </c>
    </row>
    <row r="20" customFormat="false" ht="34.5" hidden="false" customHeight="true" outlineLevel="0" collapsed="false">
      <c r="A20" s="6" t="s">
        <v>769</v>
      </c>
      <c r="B20" s="6" t="s">
        <v>767</v>
      </c>
      <c r="C20" s="6" t="n">
        <f aca="false">COUNTIF(Traceability_Matrix!$G$4:$G$163,"S16")</f>
        <v>6</v>
      </c>
      <c r="D20" s="6" t="str">
        <f aca="false">"unestimated"</f>
        <v>unestimated</v>
      </c>
      <c r="E20" s="6" t="n">
        <f aca="false">COUNTIFS(Traceability_Matrix!$G$4:$G$163,"S16",Traceability_Matrix!$J$4:$J$163,"Done")</f>
        <v>0</v>
      </c>
      <c r="F20" s="6" t="str">
        <f aca="false">"—"</f>
        <v>—</v>
      </c>
      <c r="G20" s="10" t="n">
        <f aca="false">IFERROR(COUNTIFS(Traceability_Matrix!$G$4:$G$163,"S16",Traceability_Matrix!$J$4:$J$163,"Done")/COUNTIF(Traceability_Matrix!$G$4:$G$163,"S16"),0)</f>
        <v>0</v>
      </c>
      <c r="H20" s="6" t="s">
        <v>962</v>
      </c>
      <c r="I20" s="6" t="s">
        <v>963</v>
      </c>
    </row>
    <row r="21" customFormat="false" ht="23.25" hidden="false" customHeight="true" outlineLevel="0" collapsed="false">
      <c r="A21" s="6" t="s">
        <v>793</v>
      </c>
      <c r="B21" s="6" t="s">
        <v>791</v>
      </c>
      <c r="C21" s="6" t="n">
        <f aca="false">COUNTIF(Traceability_Matrix!$G$4:$G$163,"S17")</f>
        <v>5</v>
      </c>
      <c r="D21" s="6" t="str">
        <f aca="false">"unestimated"</f>
        <v>unestimated</v>
      </c>
      <c r="E21" s="6" t="n">
        <f aca="false">COUNTIFS(Traceability_Matrix!$G$4:$G$163,"S17",Traceability_Matrix!$J$4:$J$163,"Done")</f>
        <v>0</v>
      </c>
      <c r="F21" s="6" t="str">
        <f aca="false">"—"</f>
        <v>—</v>
      </c>
      <c r="G21" s="10" t="n">
        <f aca="false">IFERROR(COUNTIFS(Traceability_Matrix!$G$4:$G$163,"S17",Traceability_Matrix!$J$4:$J$163,"Done")/COUNTIF(Traceability_Matrix!$G$4:$G$163,"S17"),0)</f>
        <v>0</v>
      </c>
      <c r="H21" s="6" t="s">
        <v>964</v>
      </c>
      <c r="I21" s="6" t="s">
        <v>965</v>
      </c>
    </row>
    <row r="22" customFormat="false" ht="23.25" hidden="false" customHeight="true" outlineLevel="0" collapsed="false">
      <c r="A22" s="6" t="s">
        <v>813</v>
      </c>
      <c r="B22" s="6" t="s">
        <v>811</v>
      </c>
      <c r="C22" s="6" t="n">
        <f aca="false">COUNTIF(Traceability_Matrix!$G$4:$G$163,"S18")</f>
        <v>4</v>
      </c>
      <c r="D22" s="6" t="str">
        <f aca="false">"unestimated"</f>
        <v>unestimated</v>
      </c>
      <c r="E22" s="6" t="n">
        <f aca="false">COUNTIFS(Traceability_Matrix!$G$4:$G$163,"S18",Traceability_Matrix!$J$4:$J$163,"Done")</f>
        <v>0</v>
      </c>
      <c r="F22" s="6" t="str">
        <f aca="false">"—"</f>
        <v>—</v>
      </c>
      <c r="G22" s="10" t="n">
        <f aca="false">IFERROR(COUNTIFS(Traceability_Matrix!$G$4:$G$163,"S18",Traceability_Matrix!$J$4:$J$163,"Done")/COUNTIF(Traceability_Matrix!$G$4:$G$163,"S18"),0)</f>
        <v>0</v>
      </c>
      <c r="H22" s="6" t="s">
        <v>966</v>
      </c>
      <c r="I22" s="6" t="s">
        <v>967</v>
      </c>
    </row>
    <row r="23" customFormat="false" ht="23.25" hidden="false" customHeight="true" outlineLevel="0" collapsed="false">
      <c r="A23" s="6" t="s">
        <v>830</v>
      </c>
      <c r="B23" s="6" t="s">
        <v>828</v>
      </c>
      <c r="C23" s="6" t="n">
        <f aca="false">COUNTIF(Traceability_Matrix!$G$4:$G$163,"S19")</f>
        <v>6</v>
      </c>
      <c r="D23" s="6" t="str">
        <f aca="false">"unestimated"</f>
        <v>unestimated</v>
      </c>
      <c r="E23" s="6" t="n">
        <f aca="false">COUNTIFS(Traceability_Matrix!$G$4:$G$163,"S19",Traceability_Matrix!$J$4:$J$163,"Done")</f>
        <v>0</v>
      </c>
      <c r="F23" s="6" t="str">
        <f aca="false">"—"</f>
        <v>—</v>
      </c>
      <c r="G23" s="10" t="n">
        <f aca="false">IFERROR(COUNTIFS(Traceability_Matrix!$G$4:$G$163,"S19",Traceability_Matrix!$J$4:$J$163,"Done")/COUNTIF(Traceability_Matrix!$G$4:$G$163,"S19"),0)</f>
        <v>0</v>
      </c>
      <c r="H23" s="6" t="s">
        <v>968</v>
      </c>
      <c r="I23" s="6" t="s">
        <v>969</v>
      </c>
    </row>
    <row r="24" customFormat="false" ht="34.5" hidden="false" customHeight="true" outlineLevel="0" collapsed="false">
      <c r="A24" s="6" t="s">
        <v>851</v>
      </c>
      <c r="B24" s="6" t="s">
        <v>849</v>
      </c>
      <c r="C24" s="6" t="n">
        <f aca="false">COUNTIF(Traceability_Matrix!$G$4:$G$163,"S20")</f>
        <v>6</v>
      </c>
      <c r="D24" s="6" t="str">
        <f aca="false">"unestimated"</f>
        <v>unestimated</v>
      </c>
      <c r="E24" s="6" t="n">
        <f aca="false">COUNTIFS(Traceability_Matrix!$G$4:$G$163,"S20",Traceability_Matrix!$J$4:$J$163,"Done")</f>
        <v>0</v>
      </c>
      <c r="F24" s="6" t="str">
        <f aca="false">"—"</f>
        <v>—</v>
      </c>
      <c r="G24" s="10" t="n">
        <f aca="false">IFERROR(COUNTIFS(Traceability_Matrix!$G$4:$G$163,"S20",Traceability_Matrix!$J$4:$J$163,"Done")/COUNTIF(Traceability_Matrix!$G$4:$G$163,"S20"),0)</f>
        <v>0</v>
      </c>
      <c r="H24" s="6" t="s">
        <v>970</v>
      </c>
      <c r="I24" s="6" t="s">
        <v>971</v>
      </c>
    </row>
    <row r="25" customFormat="false" ht="23.25" hidden="false" customHeight="true" outlineLevel="0" collapsed="false">
      <c r="A25" s="6" t="s">
        <v>874</v>
      </c>
      <c r="B25" s="6" t="s">
        <v>872</v>
      </c>
      <c r="C25" s="6" t="n">
        <f aca="false">COUNTIF(Traceability_Matrix!$G$4:$G$163,"S21")</f>
        <v>5</v>
      </c>
      <c r="D25" s="6" t="str">
        <f aca="false">"unestimated"</f>
        <v>unestimated</v>
      </c>
      <c r="E25" s="6" t="n">
        <f aca="false">COUNTIFS(Traceability_Matrix!$G$4:$G$163,"S21",Traceability_Matrix!$J$4:$J$163,"Done")</f>
        <v>0</v>
      </c>
      <c r="F25" s="6" t="str">
        <f aca="false">"—"</f>
        <v>—</v>
      </c>
      <c r="G25" s="10" t="n">
        <f aca="false">IFERROR(COUNTIFS(Traceability_Matrix!$G$4:$G$163,"S21",Traceability_Matrix!$J$4:$J$163,"Done")/COUNTIF(Traceability_Matrix!$G$4:$G$163,"S21"),0)</f>
        <v>0</v>
      </c>
      <c r="H25" s="6" t="s">
        <v>972</v>
      </c>
      <c r="I25" s="6" t="s">
        <v>888</v>
      </c>
    </row>
    <row r="26" customFormat="false" ht="23.25" hidden="false" customHeight="true" outlineLevel="0" collapsed="false">
      <c r="A26" s="6" t="s">
        <v>892</v>
      </c>
      <c r="B26" s="6" t="s">
        <v>890</v>
      </c>
      <c r="C26" s="6" t="n">
        <f aca="false">COUNTIF(Traceability_Matrix!$G$4:$G$163,"S22")</f>
        <v>7</v>
      </c>
      <c r="D26" s="6" t="str">
        <f aca="false">"unestimated"</f>
        <v>unestimated</v>
      </c>
      <c r="E26" s="6" t="n">
        <f aca="false">COUNTIFS(Traceability_Matrix!$G$4:$G$163,"S22",Traceability_Matrix!$J$4:$J$163,"Done")</f>
        <v>0</v>
      </c>
      <c r="F26" s="6" t="str">
        <f aca="false">"—"</f>
        <v>—</v>
      </c>
      <c r="G26" s="10" t="n">
        <f aca="false">IFERROR(COUNTIFS(Traceability_Matrix!$G$4:$G$163,"S22",Traceability_Matrix!$J$4:$J$163,"Done")/COUNTIF(Traceability_Matrix!$G$4:$G$163,"S22"),0)</f>
        <v>0</v>
      </c>
      <c r="H26" s="6" t="s">
        <v>973</v>
      </c>
      <c r="I26" s="6" t="s">
        <v>974</v>
      </c>
    </row>
    <row r="27" customFormat="false" ht="23.25" hidden="false" customHeight="true" outlineLevel="0" collapsed="false">
      <c r="A27" s="11" t="s">
        <v>975</v>
      </c>
      <c r="B27" s="11" t="s">
        <v>976</v>
      </c>
      <c r="C27" s="11" t="n">
        <f aca="false">SUM(C5:C26)</f>
        <v>160</v>
      </c>
      <c r="D27" s="11" t="n">
        <f aca="false">SUM(D5:D16)</f>
        <v>399</v>
      </c>
      <c r="E27" s="11" t="n">
        <f aca="false">SUM(E5:E26)</f>
        <v>0</v>
      </c>
      <c r="F27" s="11" t="n">
        <f aca="false">SUM(F5:F16)</f>
        <v>0</v>
      </c>
      <c r="G27" s="12" t="n">
        <f aca="false">IFERROR(F27/D27,0)</f>
        <v>0</v>
      </c>
      <c r="H27" s="11"/>
      <c r="I27"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70"/>
    <col collapsed="false" customWidth="true" hidden="false" outlineLevel="0" max="4" min="4" style="1" width="16"/>
    <col collapsed="false" customWidth="true" hidden="false" outlineLevel="0" max="5" min="5" style="1" width="60"/>
    <col collapsed="false" customWidth="true" hidden="false" outlineLevel="0" max="6" min="6" style="1" width="14"/>
  </cols>
  <sheetData>
    <row r="1" customFormat="false" ht="15" hidden="false" customHeight="true" outlineLevel="0" collapsed="false">
      <c r="A1" s="2" t="s">
        <v>977</v>
      </c>
      <c r="B1" s="3"/>
      <c r="C1" s="3"/>
      <c r="D1" s="3"/>
      <c r="E1" s="3"/>
      <c r="F1" s="3"/>
    </row>
    <row r="2" customFormat="false" ht="15" hidden="false" customHeight="true" outlineLevel="0" collapsed="false">
      <c r="A2" s="4" t="s">
        <v>978</v>
      </c>
    </row>
    <row r="3" customFormat="false" ht="15" hidden="false" customHeight="true" outlineLevel="0" collapsed="false">
      <c r="A3" s="5" t="s">
        <v>322</v>
      </c>
      <c r="B3" s="5" t="s">
        <v>979</v>
      </c>
      <c r="C3" s="5" t="s">
        <v>980</v>
      </c>
      <c r="D3" s="5" t="s">
        <v>981</v>
      </c>
      <c r="E3" s="5" t="s">
        <v>982</v>
      </c>
      <c r="F3" s="5" t="s">
        <v>6</v>
      </c>
    </row>
    <row r="4" customFormat="false" ht="15" hidden="false" customHeight="true" outlineLevel="0" collapsed="false">
      <c r="A4" s="6" t="s">
        <v>983</v>
      </c>
      <c r="B4" s="6" t="s">
        <v>984</v>
      </c>
      <c r="C4" s="6" t="s">
        <v>985</v>
      </c>
      <c r="D4" s="6" t="s">
        <v>986</v>
      </c>
      <c r="E4" s="6" t="s">
        <v>987</v>
      </c>
      <c r="F4" s="9" t="s">
        <v>988</v>
      </c>
    </row>
    <row r="5" customFormat="false" ht="15" hidden="false" customHeight="true" outlineLevel="0" collapsed="false">
      <c r="A5" s="6" t="s">
        <v>989</v>
      </c>
      <c r="B5" s="6" t="s">
        <v>984</v>
      </c>
      <c r="C5" s="6" t="s">
        <v>990</v>
      </c>
      <c r="D5" s="6" t="s">
        <v>991</v>
      </c>
      <c r="E5" s="6" t="s">
        <v>992</v>
      </c>
      <c r="F5" s="9" t="s">
        <v>988</v>
      </c>
    </row>
    <row r="6" customFormat="false" ht="15" hidden="false" customHeight="true" outlineLevel="0" collapsed="false">
      <c r="A6" s="6" t="s">
        <v>993</v>
      </c>
      <c r="B6" s="6" t="s">
        <v>984</v>
      </c>
      <c r="C6" s="6" t="s">
        <v>994</v>
      </c>
      <c r="D6" s="6" t="s">
        <v>991</v>
      </c>
      <c r="E6" s="6" t="s">
        <v>995</v>
      </c>
      <c r="F6" s="9" t="s">
        <v>988</v>
      </c>
    </row>
    <row r="7" customFormat="false" ht="15" hidden="false" customHeight="true" outlineLevel="0" collapsed="false">
      <c r="A7" s="6" t="s">
        <v>996</v>
      </c>
      <c r="B7" s="6" t="s">
        <v>984</v>
      </c>
      <c r="C7" s="6" t="s">
        <v>997</v>
      </c>
      <c r="D7" s="6" t="s">
        <v>998</v>
      </c>
      <c r="E7" s="6" t="s">
        <v>999</v>
      </c>
      <c r="F7" s="9" t="s">
        <v>988</v>
      </c>
    </row>
    <row r="8" customFormat="false" ht="34.5" hidden="false" customHeight="true" outlineLevel="0" collapsed="false">
      <c r="A8" s="7" t="s">
        <v>1000</v>
      </c>
      <c r="B8" s="7" t="s">
        <v>1001</v>
      </c>
      <c r="C8" s="7" t="s">
        <v>1002</v>
      </c>
      <c r="D8" s="7" t="s">
        <v>1003</v>
      </c>
      <c r="E8" s="7" t="s">
        <v>1004</v>
      </c>
      <c r="F8" s="8" t="s">
        <v>1005</v>
      </c>
    </row>
    <row r="9" customFormat="false" ht="15" hidden="false" customHeight="true" outlineLevel="0" collapsed="false">
      <c r="A9" s="6" t="s">
        <v>1006</v>
      </c>
      <c r="B9" s="6" t="s">
        <v>1007</v>
      </c>
      <c r="C9" s="6" t="s">
        <v>1008</v>
      </c>
      <c r="D9" s="6" t="s">
        <v>1009</v>
      </c>
      <c r="E9" s="6" t="s">
        <v>1010</v>
      </c>
      <c r="F9" s="9" t="s">
        <v>988</v>
      </c>
    </row>
    <row r="10" customFormat="false" ht="23.25" hidden="false" customHeight="true" outlineLevel="0" collapsed="false">
      <c r="A10" s="6" t="s">
        <v>1011</v>
      </c>
      <c r="B10" s="6" t="s">
        <v>1012</v>
      </c>
      <c r="C10" s="6" t="s">
        <v>1013</v>
      </c>
      <c r="D10" s="6" t="s">
        <v>1009</v>
      </c>
      <c r="E10" s="6" t="s">
        <v>1014</v>
      </c>
      <c r="F10" s="9" t="s">
        <v>988</v>
      </c>
    </row>
    <row r="11" customFormat="false" ht="34.5" hidden="false" customHeight="true" outlineLevel="0" collapsed="false">
      <c r="A11" s="7" t="s">
        <v>1015</v>
      </c>
      <c r="B11" s="7" t="s">
        <v>1016</v>
      </c>
      <c r="C11" s="7" t="s">
        <v>1017</v>
      </c>
      <c r="D11" s="7" t="s">
        <v>1003</v>
      </c>
      <c r="E11" s="7" t="s">
        <v>1018</v>
      </c>
      <c r="F11" s="8" t="s">
        <v>1019</v>
      </c>
    </row>
    <row r="12" customFormat="false" ht="34.5" hidden="false" customHeight="true" outlineLevel="0" collapsed="false">
      <c r="A12" s="7" t="s">
        <v>90</v>
      </c>
      <c r="B12" s="7" t="s">
        <v>1020</v>
      </c>
      <c r="C12" s="7" t="s">
        <v>1021</v>
      </c>
      <c r="D12" s="7" t="s">
        <v>1022</v>
      </c>
      <c r="E12" s="7" t="s">
        <v>1023</v>
      </c>
      <c r="F12" s="8" t="s">
        <v>988</v>
      </c>
    </row>
    <row r="13" customFormat="false" ht="45.75" hidden="false" customHeight="true" outlineLevel="0" collapsed="false">
      <c r="A13" s="7" t="s">
        <v>1024</v>
      </c>
      <c r="B13" s="7" t="s">
        <v>1025</v>
      </c>
      <c r="C13" s="7" t="s">
        <v>1026</v>
      </c>
      <c r="D13" s="7" t="s">
        <v>1027</v>
      </c>
      <c r="E13" s="7" t="s">
        <v>1028</v>
      </c>
      <c r="F13" s="8" t="s">
        <v>1029</v>
      </c>
    </row>
    <row r="14" customFormat="false" ht="57" hidden="false" customHeight="true" outlineLevel="0" collapsed="false">
      <c r="A14" s="7" t="s">
        <v>1030</v>
      </c>
      <c r="B14" s="7" t="s">
        <v>1031</v>
      </c>
      <c r="C14" s="7" t="s">
        <v>1032</v>
      </c>
      <c r="D14" s="7" t="s">
        <v>1027</v>
      </c>
      <c r="E14" s="7" t="s">
        <v>1033</v>
      </c>
      <c r="F14" s="8" t="s">
        <v>1034</v>
      </c>
    </row>
    <row r="15" customFormat="false" ht="68.25" hidden="false" customHeight="true" outlineLevel="0" collapsed="false">
      <c r="A15" s="7" t="s">
        <v>190</v>
      </c>
      <c r="B15" s="7" t="s">
        <v>1031</v>
      </c>
      <c r="C15" s="7" t="s">
        <v>1035</v>
      </c>
      <c r="D15" s="7" t="s">
        <v>1027</v>
      </c>
      <c r="E15" s="7" t="s">
        <v>1036</v>
      </c>
      <c r="F15" s="8" t="s">
        <v>1037</v>
      </c>
    </row>
    <row r="16" customFormat="false" ht="45.75" hidden="false" customHeight="true" outlineLevel="0" collapsed="false">
      <c r="A16" s="7" t="s">
        <v>1038</v>
      </c>
      <c r="B16" s="7" t="s">
        <v>1025</v>
      </c>
      <c r="C16" s="7" t="s">
        <v>1039</v>
      </c>
      <c r="D16" s="7" t="s">
        <v>1027</v>
      </c>
      <c r="E16" s="7" t="s">
        <v>1040</v>
      </c>
      <c r="F16" s="8" t="s">
        <v>1029</v>
      </c>
    </row>
    <row r="17" customFormat="false" ht="34.5" hidden="false" customHeight="true" outlineLevel="0" collapsed="false">
      <c r="A17" s="7" t="s">
        <v>1041</v>
      </c>
      <c r="B17" s="7" t="s">
        <v>1042</v>
      </c>
      <c r="C17" s="7" t="s">
        <v>1043</v>
      </c>
      <c r="D17" s="7" t="s">
        <v>1009</v>
      </c>
      <c r="E17" s="7" t="s">
        <v>1044</v>
      </c>
      <c r="F17" s="8" t="s">
        <v>1029</v>
      </c>
    </row>
    <row r="18" customFormat="false" ht="34.5" hidden="false" customHeight="true" outlineLevel="0" collapsed="false">
      <c r="A18" s="7" t="s">
        <v>1045</v>
      </c>
      <c r="B18" s="7" t="s">
        <v>1042</v>
      </c>
      <c r="C18" s="7" t="s">
        <v>1046</v>
      </c>
      <c r="D18" s="7" t="s">
        <v>1027</v>
      </c>
      <c r="E18" s="7" t="s">
        <v>1047</v>
      </c>
      <c r="F18" s="8" t="s">
        <v>1048</v>
      </c>
    </row>
    <row r="19" customFormat="false" ht="34.5" hidden="false" customHeight="true" outlineLevel="0" collapsed="false">
      <c r="A19" s="7" t="s">
        <v>1049</v>
      </c>
      <c r="B19" s="7" t="s">
        <v>1042</v>
      </c>
      <c r="C19" s="7" t="s">
        <v>1050</v>
      </c>
      <c r="D19" s="7" t="s">
        <v>1051</v>
      </c>
      <c r="E19" s="7" t="s">
        <v>1052</v>
      </c>
      <c r="F19" s="8" t="s">
        <v>1029</v>
      </c>
    </row>
    <row r="20" customFormat="false" ht="34.5" hidden="false" customHeight="true" outlineLevel="0" collapsed="false">
      <c r="A20" s="7" t="s">
        <v>1053</v>
      </c>
      <c r="B20" s="7" t="s">
        <v>1042</v>
      </c>
      <c r="C20" s="7" t="s">
        <v>1054</v>
      </c>
      <c r="D20" s="7" t="s">
        <v>1027</v>
      </c>
      <c r="E20" s="7" t="s">
        <v>1055</v>
      </c>
      <c r="F20" s="8" t="s">
        <v>1056</v>
      </c>
    </row>
    <row r="21" customFormat="false" ht="34.5" hidden="false" customHeight="true" outlineLevel="0" collapsed="false">
      <c r="A21" s="7" t="s">
        <v>1057</v>
      </c>
      <c r="B21" s="7" t="s">
        <v>1042</v>
      </c>
      <c r="C21" s="7" t="s">
        <v>1058</v>
      </c>
      <c r="D21" s="7" t="s">
        <v>1027</v>
      </c>
      <c r="E21" s="7" t="s">
        <v>1059</v>
      </c>
      <c r="F21" s="8" t="s">
        <v>1060</v>
      </c>
    </row>
    <row r="22" customFormat="false" ht="34.5" hidden="false" customHeight="true" outlineLevel="0" collapsed="false">
      <c r="A22" s="7" t="s">
        <v>1061</v>
      </c>
      <c r="B22" s="7" t="s">
        <v>1062</v>
      </c>
      <c r="C22" s="7" t="s">
        <v>1063</v>
      </c>
      <c r="D22" s="7" t="s">
        <v>145</v>
      </c>
      <c r="E22" s="7" t="s">
        <v>1064</v>
      </c>
      <c r="F22" s="8" t="s">
        <v>1065</v>
      </c>
    </row>
    <row r="23" customFormat="false" ht="23.25" hidden="false" customHeight="true" outlineLevel="0" collapsed="false">
      <c r="A23" s="7" t="s">
        <v>1066</v>
      </c>
      <c r="B23" s="7" t="s">
        <v>1062</v>
      </c>
      <c r="C23" s="7" t="s">
        <v>1067</v>
      </c>
      <c r="D23" s="7" t="s">
        <v>145</v>
      </c>
      <c r="E23" s="7" t="s">
        <v>1068</v>
      </c>
      <c r="F23" s="8" t="s">
        <v>1065</v>
      </c>
    </row>
    <row r="24" customFormat="false" ht="34.5" hidden="false" customHeight="true" outlineLevel="0" collapsed="false">
      <c r="A24" s="7" t="s">
        <v>1069</v>
      </c>
      <c r="B24" s="7" t="s">
        <v>1062</v>
      </c>
      <c r="C24" s="7" t="s">
        <v>1070</v>
      </c>
      <c r="D24" s="7" t="s">
        <v>145</v>
      </c>
      <c r="E24" s="7" t="s">
        <v>1071</v>
      </c>
      <c r="F24" s="8" t="s">
        <v>1065</v>
      </c>
    </row>
    <row r="25" customFormat="false" ht="23.25" hidden="false" customHeight="true" outlineLevel="0" collapsed="false">
      <c r="A25" s="7" t="s">
        <v>1072</v>
      </c>
      <c r="B25" s="7" t="s">
        <v>1062</v>
      </c>
      <c r="C25" s="7" t="s">
        <v>1073</v>
      </c>
      <c r="D25" s="7" t="s">
        <v>145</v>
      </c>
      <c r="E25" s="7" t="s">
        <v>1074</v>
      </c>
      <c r="F25" s="8" t="s">
        <v>1065</v>
      </c>
    </row>
    <row r="26" customFormat="false" ht="45.75" hidden="false" customHeight="true" outlineLevel="0" collapsed="false">
      <c r="A26" s="7" t="s">
        <v>1075</v>
      </c>
      <c r="B26" s="7" t="s">
        <v>1062</v>
      </c>
      <c r="C26" s="7" t="s">
        <v>1076</v>
      </c>
      <c r="D26" s="7" t="s">
        <v>145</v>
      </c>
      <c r="E26" s="7" t="s">
        <v>1077</v>
      </c>
      <c r="F26" s="8" t="s">
        <v>1065</v>
      </c>
    </row>
    <row r="27" customFormat="false" ht="23.25" hidden="false" customHeight="true" outlineLevel="0" collapsed="false">
      <c r="A27" s="7" t="s">
        <v>1078</v>
      </c>
      <c r="B27" s="7" t="s">
        <v>1062</v>
      </c>
      <c r="C27" s="7" t="s">
        <v>1079</v>
      </c>
      <c r="D27" s="7" t="s">
        <v>145</v>
      </c>
      <c r="E27" s="7" t="s">
        <v>1080</v>
      </c>
      <c r="F27" s="8" t="s">
        <v>1065</v>
      </c>
    </row>
    <row r="28" customFormat="false" ht="34.5" hidden="false" customHeight="true" outlineLevel="0" collapsed="false">
      <c r="A28" s="7" t="s">
        <v>1081</v>
      </c>
      <c r="B28" s="7" t="s">
        <v>1062</v>
      </c>
      <c r="C28" s="7" t="s">
        <v>1082</v>
      </c>
      <c r="D28" s="7" t="s">
        <v>145</v>
      </c>
      <c r="E28" s="7" t="s">
        <v>1083</v>
      </c>
      <c r="F28" s="8" t="s">
        <v>1065</v>
      </c>
    </row>
    <row r="29" customFormat="false" ht="34.5" hidden="false" customHeight="true" outlineLevel="0" collapsed="false">
      <c r="A29" s="7" t="s">
        <v>1084</v>
      </c>
      <c r="B29" s="7" t="s">
        <v>1062</v>
      </c>
      <c r="C29" s="7" t="s">
        <v>1085</v>
      </c>
      <c r="D29" s="7" t="s">
        <v>145</v>
      </c>
      <c r="E29" s="7" t="s">
        <v>1086</v>
      </c>
      <c r="F29" s="8" t="s">
        <v>1065</v>
      </c>
    </row>
    <row r="30" customFormat="false" ht="34.5" hidden="false" customHeight="true" outlineLevel="0" collapsed="false">
      <c r="A30" s="7" t="s">
        <v>1087</v>
      </c>
      <c r="B30" s="7" t="s">
        <v>1062</v>
      </c>
      <c r="C30" s="7" t="s">
        <v>1088</v>
      </c>
      <c r="D30" s="7" t="s">
        <v>145</v>
      </c>
      <c r="E30" s="7" t="s">
        <v>1089</v>
      </c>
      <c r="F30" s="8" t="s">
        <v>1065</v>
      </c>
    </row>
    <row r="31" customFormat="false" ht="45.75" hidden="false" customHeight="true" outlineLevel="0" collapsed="false">
      <c r="A31" s="7" t="s">
        <v>1090</v>
      </c>
      <c r="B31" s="7" t="s">
        <v>1062</v>
      </c>
      <c r="C31" s="7" t="s">
        <v>1091</v>
      </c>
      <c r="D31" s="7" t="s">
        <v>145</v>
      </c>
      <c r="E31" s="7" t="s">
        <v>1092</v>
      </c>
      <c r="F31" s="8" t="s">
        <v>1065</v>
      </c>
    </row>
    <row r="32" customFormat="false" ht="34.5" hidden="false" customHeight="true" outlineLevel="0" collapsed="false">
      <c r="A32" s="7" t="s">
        <v>1093</v>
      </c>
      <c r="B32" s="7" t="s">
        <v>1062</v>
      </c>
      <c r="C32" s="7" t="s">
        <v>1094</v>
      </c>
      <c r="D32" s="7" t="s">
        <v>145</v>
      </c>
      <c r="E32" s="7" t="s">
        <v>1095</v>
      </c>
      <c r="F32" s="8" t="s">
        <v>1065</v>
      </c>
    </row>
    <row r="33" customFormat="false" ht="34.5" hidden="false" customHeight="true" outlineLevel="0" collapsed="false">
      <c r="A33" s="7" t="s">
        <v>1096</v>
      </c>
      <c r="B33" s="7" t="s">
        <v>1062</v>
      </c>
      <c r="C33" s="7" t="s">
        <v>1097</v>
      </c>
      <c r="D33" s="7" t="s">
        <v>145</v>
      </c>
      <c r="E33" s="7" t="s">
        <v>1098</v>
      </c>
      <c r="F33" s="8" t="s">
        <v>1065</v>
      </c>
    </row>
    <row r="34" customFormat="false" ht="34.5" hidden="false" customHeight="true" outlineLevel="0" collapsed="false">
      <c r="A34" s="7" t="s">
        <v>1099</v>
      </c>
      <c r="B34" s="7" t="s">
        <v>1062</v>
      </c>
      <c r="C34" s="7" t="s">
        <v>1100</v>
      </c>
      <c r="D34" s="7" t="s">
        <v>145</v>
      </c>
      <c r="E34" s="7" t="s">
        <v>1101</v>
      </c>
      <c r="F34" s="8" t="s">
        <v>1102</v>
      </c>
    </row>
    <row r="35" customFormat="false" ht="45.75" hidden="false" customHeight="true" outlineLevel="0" collapsed="false">
      <c r="A35" s="7" t="s">
        <v>1103</v>
      </c>
      <c r="B35" s="7" t="s">
        <v>1062</v>
      </c>
      <c r="C35" s="7" t="s">
        <v>1104</v>
      </c>
      <c r="D35" s="7" t="s">
        <v>145</v>
      </c>
      <c r="E35" s="7" t="s">
        <v>1105</v>
      </c>
      <c r="F35" s="8" t="s">
        <v>1065</v>
      </c>
    </row>
    <row r="36" customFormat="false" ht="45.75" hidden="false" customHeight="true" outlineLevel="0" collapsed="false">
      <c r="A36" s="7" t="s">
        <v>1106</v>
      </c>
      <c r="B36" s="7" t="s">
        <v>1062</v>
      </c>
      <c r="C36" s="7" t="s">
        <v>1107</v>
      </c>
      <c r="D36" s="7" t="s">
        <v>145</v>
      </c>
      <c r="E36" s="7" t="s">
        <v>1108</v>
      </c>
      <c r="F36" s="8" t="s">
        <v>1065</v>
      </c>
    </row>
    <row r="37" customFormat="false" ht="34.5" hidden="false" customHeight="true" outlineLevel="0" collapsed="false">
      <c r="A37" s="7" t="s">
        <v>1109</v>
      </c>
      <c r="B37" s="7" t="s">
        <v>1062</v>
      </c>
      <c r="C37" s="7" t="s">
        <v>1110</v>
      </c>
      <c r="D37" s="7" t="s">
        <v>145</v>
      </c>
      <c r="E37" s="7" t="s">
        <v>1111</v>
      </c>
      <c r="F37" s="8" t="s">
        <v>1112</v>
      </c>
    </row>
    <row r="38" customFormat="false" ht="45" hidden="false" customHeight="true" outlineLevel="0" collapsed="false">
      <c r="A38" s="7" t="s">
        <v>1113</v>
      </c>
      <c r="B38" s="7" t="s">
        <v>1114</v>
      </c>
      <c r="C38" s="7" t="s">
        <v>1115</v>
      </c>
      <c r="D38" s="7" t="s">
        <v>1116</v>
      </c>
      <c r="E38" s="7" t="s">
        <v>1117</v>
      </c>
      <c r="F38" s="8" t="s">
        <v>1118</v>
      </c>
    </row>
    <row r="39" customFormat="false" ht="45" hidden="false" customHeight="true" outlineLevel="0" collapsed="false">
      <c r="A39" s="7" t="s">
        <v>1119</v>
      </c>
      <c r="B39" s="7" t="s">
        <v>1114</v>
      </c>
      <c r="C39" s="7" t="s">
        <v>1120</v>
      </c>
      <c r="D39" s="7" t="s">
        <v>1116</v>
      </c>
      <c r="E39" s="7" t="s">
        <v>1117</v>
      </c>
      <c r="F39" s="8" t="s">
        <v>1121</v>
      </c>
    </row>
    <row r="40" customFormat="false" ht="45" hidden="false" customHeight="true" outlineLevel="0" collapsed="false">
      <c r="A40" s="7" t="s">
        <v>1122</v>
      </c>
      <c r="B40" s="7" t="s">
        <v>1114</v>
      </c>
      <c r="C40" s="7" t="s">
        <v>1123</v>
      </c>
      <c r="D40" s="7" t="s">
        <v>1116</v>
      </c>
      <c r="E40" s="7" t="s">
        <v>1117</v>
      </c>
      <c r="F40" s="8" t="s">
        <v>1118</v>
      </c>
    </row>
    <row r="41" customFormat="false" ht="45" hidden="false" customHeight="true" outlineLevel="0" collapsed="false">
      <c r="A41" s="7" t="s">
        <v>1124</v>
      </c>
      <c r="B41" s="7" t="s">
        <v>1114</v>
      </c>
      <c r="C41" s="7" t="s">
        <v>1125</v>
      </c>
      <c r="D41" s="7" t="s">
        <v>1116</v>
      </c>
      <c r="E41" s="7" t="s">
        <v>1117</v>
      </c>
      <c r="F41" s="8" t="s">
        <v>1118</v>
      </c>
    </row>
    <row r="42" customFormat="false" ht="45" hidden="false" customHeight="true" outlineLevel="0" collapsed="false">
      <c r="A42" s="7" t="s">
        <v>1126</v>
      </c>
      <c r="B42" s="7" t="s">
        <v>1114</v>
      </c>
      <c r="C42" s="7" t="s">
        <v>1127</v>
      </c>
      <c r="D42" s="7" t="s">
        <v>1116</v>
      </c>
      <c r="E42" s="7" t="s">
        <v>1117</v>
      </c>
      <c r="F42" s="8" t="s">
        <v>1128</v>
      </c>
    </row>
    <row r="43" customFormat="false" ht="45" hidden="false" customHeight="true" outlineLevel="0" collapsed="false">
      <c r="A43" s="7" t="s">
        <v>1129</v>
      </c>
      <c r="B43" s="7" t="s">
        <v>1114</v>
      </c>
      <c r="C43" s="7" t="s">
        <v>1130</v>
      </c>
      <c r="D43" s="7" t="s">
        <v>1116</v>
      </c>
      <c r="E43" s="7" t="s">
        <v>1117</v>
      </c>
      <c r="F43" s="8" t="s">
        <v>1131</v>
      </c>
    </row>
    <row r="44" customFormat="false" ht="45" hidden="false" customHeight="true" outlineLevel="0" collapsed="false">
      <c r="A44" s="7" t="s">
        <v>1132</v>
      </c>
      <c r="B44" s="7" t="s">
        <v>1114</v>
      </c>
      <c r="C44" s="7" t="s">
        <v>1133</v>
      </c>
      <c r="D44" s="7" t="s">
        <v>1116</v>
      </c>
      <c r="E44" s="7" t="s">
        <v>1117</v>
      </c>
      <c r="F44" s="8" t="s">
        <v>1118</v>
      </c>
    </row>
    <row r="45" customFormat="false" ht="45" hidden="false" customHeight="true" outlineLevel="0" collapsed="false">
      <c r="A45" s="7" t="s">
        <v>1134</v>
      </c>
      <c r="B45" s="7" t="s">
        <v>1114</v>
      </c>
      <c r="C45" s="7" t="s">
        <v>1135</v>
      </c>
      <c r="D45" s="7" t="s">
        <v>1116</v>
      </c>
      <c r="E45" s="7" t="s">
        <v>1117</v>
      </c>
      <c r="F45" s="8" t="s">
        <v>1136</v>
      </c>
    </row>
    <row r="46" customFormat="false" ht="45" hidden="false" customHeight="true" outlineLevel="0" collapsed="false">
      <c r="A46" s="7" t="s">
        <v>1137</v>
      </c>
      <c r="B46" s="7" t="s">
        <v>1114</v>
      </c>
      <c r="C46" s="7" t="s">
        <v>1138</v>
      </c>
      <c r="D46" s="7" t="s">
        <v>1116</v>
      </c>
      <c r="E46" s="7" t="s">
        <v>1117</v>
      </c>
      <c r="F46" s="8" t="s">
        <v>1118</v>
      </c>
    </row>
    <row r="47" customFormat="false" ht="45" hidden="false" customHeight="true" outlineLevel="0" collapsed="false">
      <c r="A47" s="7" t="s">
        <v>1139</v>
      </c>
      <c r="B47" s="7" t="s">
        <v>1114</v>
      </c>
      <c r="C47" s="7" t="s">
        <v>1140</v>
      </c>
      <c r="D47" s="7" t="s">
        <v>1116</v>
      </c>
      <c r="E47" s="7" t="s">
        <v>1117</v>
      </c>
      <c r="F47" s="8" t="s">
        <v>1118</v>
      </c>
    </row>
    <row r="48" customFormat="false" ht="45" hidden="false" customHeight="true" outlineLevel="0" collapsed="false">
      <c r="A48" s="7" t="s">
        <v>1141</v>
      </c>
      <c r="B48" s="7" t="s">
        <v>1114</v>
      </c>
      <c r="C48" s="7" t="s">
        <v>1142</v>
      </c>
      <c r="D48" s="7" t="s">
        <v>1116</v>
      </c>
      <c r="E48" s="7" t="s">
        <v>1117</v>
      </c>
      <c r="F48" s="8" t="s">
        <v>1118</v>
      </c>
    </row>
    <row r="49" customFormat="false" ht="45" hidden="false" customHeight="true" outlineLevel="0" collapsed="false">
      <c r="A49" s="7" t="s">
        <v>1143</v>
      </c>
      <c r="B49" s="7" t="s">
        <v>1114</v>
      </c>
      <c r="C49" s="7" t="s">
        <v>1144</v>
      </c>
      <c r="D49" s="7" t="s">
        <v>1116</v>
      </c>
      <c r="E49" s="7" t="s">
        <v>1117</v>
      </c>
      <c r="F49" s="8" t="s">
        <v>1145</v>
      </c>
    </row>
    <row r="50" customFormat="false" ht="45" hidden="false" customHeight="true" outlineLevel="0" collapsed="false">
      <c r="A50" s="7" t="s">
        <v>1146</v>
      </c>
      <c r="B50" s="7" t="s">
        <v>1147</v>
      </c>
      <c r="C50" s="7" t="s">
        <v>1148</v>
      </c>
      <c r="D50" s="7" t="s">
        <v>1003</v>
      </c>
      <c r="E50" s="7" t="s">
        <v>1149</v>
      </c>
      <c r="F50" s="8" t="s">
        <v>1118</v>
      </c>
    </row>
    <row r="51" customFormat="false" ht="45" hidden="false" customHeight="true" outlineLevel="0" collapsed="false">
      <c r="A51" s="7" t="s">
        <v>1150</v>
      </c>
      <c r="B51" s="7" t="s">
        <v>1147</v>
      </c>
      <c r="C51" s="7" t="s">
        <v>1151</v>
      </c>
      <c r="D51" s="7" t="s">
        <v>1003</v>
      </c>
      <c r="E51" s="7" t="s">
        <v>1152</v>
      </c>
      <c r="F51" s="8" t="s">
        <v>1118</v>
      </c>
    </row>
    <row r="52" customFormat="false" ht="45" hidden="false" customHeight="true" outlineLevel="0" collapsed="false">
      <c r="A52" s="7" t="s">
        <v>1153</v>
      </c>
      <c r="B52" s="7" t="s">
        <v>1147</v>
      </c>
      <c r="C52" s="7" t="s">
        <v>1154</v>
      </c>
      <c r="D52" s="7" t="s">
        <v>1003</v>
      </c>
      <c r="E52" s="7" t="s">
        <v>1155</v>
      </c>
      <c r="F52" s="8" t="s">
        <v>1118</v>
      </c>
    </row>
    <row r="53" customFormat="false" ht="45" hidden="false" customHeight="true" outlineLevel="0" collapsed="false">
      <c r="A53" s="7" t="s">
        <v>1156</v>
      </c>
      <c r="B53" s="7" t="s">
        <v>1147</v>
      </c>
      <c r="C53" s="7" t="s">
        <v>1157</v>
      </c>
      <c r="D53" s="7" t="s">
        <v>1003</v>
      </c>
      <c r="E53" s="7" t="s">
        <v>1158</v>
      </c>
      <c r="F53" s="8" t="s">
        <v>1118</v>
      </c>
    </row>
    <row r="54" customFormat="false" ht="45" hidden="false" customHeight="true" outlineLevel="0" collapsed="false">
      <c r="A54" s="7" t="s">
        <v>1159</v>
      </c>
      <c r="B54" s="7" t="s">
        <v>1147</v>
      </c>
      <c r="C54" s="7" t="s">
        <v>1160</v>
      </c>
      <c r="D54" s="7" t="s">
        <v>1003</v>
      </c>
      <c r="E54" s="7" t="s">
        <v>1161</v>
      </c>
      <c r="F54" s="8" t="s">
        <v>1118</v>
      </c>
    </row>
    <row r="55" customFormat="false" ht="45" hidden="false" customHeight="true" outlineLevel="0" collapsed="false">
      <c r="A55" s="7" t="s">
        <v>1162</v>
      </c>
      <c r="B55" s="7" t="s">
        <v>1147</v>
      </c>
      <c r="C55" s="7" t="s">
        <v>1163</v>
      </c>
      <c r="D55" s="7" t="s">
        <v>1003</v>
      </c>
      <c r="E55" s="7" t="s">
        <v>1164</v>
      </c>
      <c r="F55" s="8" t="s">
        <v>1118</v>
      </c>
    </row>
    <row r="56" customFormat="false" ht="45" hidden="false" customHeight="true" outlineLevel="0" collapsed="false">
      <c r="A56" s="7" t="s">
        <v>1165</v>
      </c>
      <c r="B56" s="7" t="s">
        <v>1147</v>
      </c>
      <c r="C56" s="7" t="s">
        <v>1166</v>
      </c>
      <c r="D56" s="7" t="s">
        <v>1003</v>
      </c>
      <c r="E56" s="7" t="s">
        <v>1167</v>
      </c>
      <c r="F56" s="8" t="s">
        <v>1118</v>
      </c>
    </row>
    <row r="57" customFormat="false" ht="45" hidden="false" customHeight="true" outlineLevel="0" collapsed="false">
      <c r="A57" s="7" t="s">
        <v>1168</v>
      </c>
      <c r="B57" s="7" t="s">
        <v>1147</v>
      </c>
      <c r="C57" s="7" t="s">
        <v>1169</v>
      </c>
      <c r="D57" s="7" t="s">
        <v>1003</v>
      </c>
      <c r="E57" s="7" t="s">
        <v>1170</v>
      </c>
      <c r="F57" s="8" t="s">
        <v>1118</v>
      </c>
    </row>
    <row r="58" customFormat="false" ht="45" hidden="false" customHeight="true" outlineLevel="0" collapsed="false">
      <c r="A58" s="7" t="s">
        <v>1171</v>
      </c>
      <c r="B58" s="7" t="s">
        <v>1147</v>
      </c>
      <c r="C58" s="7" t="s">
        <v>1172</v>
      </c>
      <c r="D58" s="7" t="s">
        <v>1003</v>
      </c>
      <c r="E58" s="7" t="s">
        <v>1173</v>
      </c>
      <c r="F58" s="8" t="s">
        <v>1118</v>
      </c>
    </row>
    <row r="59" customFormat="false" ht="45" hidden="false" customHeight="true" outlineLevel="0" collapsed="false">
      <c r="A59" s="7" t="s">
        <v>1174</v>
      </c>
      <c r="B59" s="7" t="s">
        <v>1147</v>
      </c>
      <c r="C59" s="7" t="s">
        <v>1175</v>
      </c>
      <c r="D59" s="7" t="s">
        <v>1003</v>
      </c>
      <c r="E59" s="7" t="s">
        <v>1176</v>
      </c>
      <c r="F59" s="8" t="s">
        <v>1118</v>
      </c>
    </row>
    <row r="60" customFormat="false" ht="45" hidden="false" customHeight="true" outlineLevel="0" collapsed="false">
      <c r="A60" s="7" t="s">
        <v>1177</v>
      </c>
      <c r="B60" s="7" t="s">
        <v>1147</v>
      </c>
      <c r="C60" s="7" t="s">
        <v>1178</v>
      </c>
      <c r="D60" s="7" t="s">
        <v>1003</v>
      </c>
      <c r="E60" s="7" t="s">
        <v>1179</v>
      </c>
      <c r="F60" s="8" t="s">
        <v>1118</v>
      </c>
    </row>
    <row r="61" customFormat="false" ht="45" hidden="false" customHeight="true" outlineLevel="0" collapsed="false">
      <c r="A61" s="7" t="s">
        <v>1180</v>
      </c>
      <c r="B61" s="7" t="s">
        <v>1147</v>
      </c>
      <c r="C61" s="7" t="s">
        <v>1181</v>
      </c>
      <c r="D61" s="7" t="s">
        <v>1003</v>
      </c>
      <c r="E61" s="7" t="s">
        <v>1182</v>
      </c>
      <c r="F61" s="8" t="s">
        <v>1118</v>
      </c>
    </row>
    <row r="62" customFormat="false" ht="45" hidden="false" customHeight="true" outlineLevel="0" collapsed="false">
      <c r="A62" s="7" t="s">
        <v>1183</v>
      </c>
      <c r="B62" s="7" t="s">
        <v>1184</v>
      </c>
      <c r="C62" s="7" t="s">
        <v>1185</v>
      </c>
      <c r="D62" s="7" t="s">
        <v>1022</v>
      </c>
      <c r="E62" s="7" t="s">
        <v>1186</v>
      </c>
      <c r="F62" s="8" t="s">
        <v>1187</v>
      </c>
    </row>
    <row r="63" customFormat="false" ht="45" hidden="false" customHeight="true" outlineLevel="0" collapsed="false">
      <c r="A63" s="7" t="s">
        <v>1188</v>
      </c>
      <c r="B63" s="7" t="s">
        <v>1062</v>
      </c>
      <c r="C63" s="7" t="s">
        <v>1189</v>
      </c>
      <c r="D63" s="7" t="s">
        <v>145</v>
      </c>
      <c r="E63" s="7" t="s">
        <v>1190</v>
      </c>
      <c r="F63" s="8" t="s">
        <v>1065</v>
      </c>
    </row>
    <row r="64" customFormat="false" ht="45" hidden="false" customHeight="true" outlineLevel="0" collapsed="false">
      <c r="A64" s="7" t="s">
        <v>1191</v>
      </c>
      <c r="B64" s="7" t="s">
        <v>1062</v>
      </c>
      <c r="C64" s="7" t="s">
        <v>1192</v>
      </c>
      <c r="D64" s="7" t="s">
        <v>145</v>
      </c>
      <c r="E64" s="7" t="s">
        <v>1193</v>
      </c>
      <c r="F64" s="8" t="s">
        <v>1065</v>
      </c>
    </row>
    <row r="65" customFormat="false" ht="45" hidden="false" customHeight="true" outlineLevel="0" collapsed="false">
      <c r="A65" s="7" t="s">
        <v>1194</v>
      </c>
      <c r="B65" s="7" t="s">
        <v>1062</v>
      </c>
      <c r="C65" s="7" t="s">
        <v>1195</v>
      </c>
      <c r="D65" s="7" t="s">
        <v>145</v>
      </c>
      <c r="E65" s="7" t="s">
        <v>1196</v>
      </c>
      <c r="F65" s="8" t="s">
        <v>1065</v>
      </c>
    </row>
    <row r="66" customFormat="false" ht="45" hidden="false" customHeight="true" outlineLevel="0" collapsed="false">
      <c r="A66" s="7" t="s">
        <v>1197</v>
      </c>
      <c r="B66" s="7" t="s">
        <v>1062</v>
      </c>
      <c r="C66" s="7" t="s">
        <v>1198</v>
      </c>
      <c r="D66" s="7" t="s">
        <v>145</v>
      </c>
      <c r="E66" s="7" t="s">
        <v>1199</v>
      </c>
      <c r="F66" s="8" t="s">
        <v>1065</v>
      </c>
    </row>
    <row r="67" customFormat="false" ht="45" hidden="false" customHeight="true" outlineLevel="0" collapsed="false">
      <c r="A67" s="7" t="s">
        <v>1200</v>
      </c>
      <c r="B67" s="7" t="s">
        <v>1062</v>
      </c>
      <c r="C67" s="7" t="s">
        <v>1201</v>
      </c>
      <c r="D67" s="7" t="s">
        <v>145</v>
      </c>
      <c r="E67" s="7" t="s">
        <v>1202</v>
      </c>
      <c r="F67" s="8" t="s">
        <v>1065</v>
      </c>
    </row>
    <row r="68" customFormat="false" ht="45" hidden="false" customHeight="true" outlineLevel="0" collapsed="false">
      <c r="A68" s="7" t="s">
        <v>1203</v>
      </c>
      <c r="B68" s="7" t="s">
        <v>1204</v>
      </c>
      <c r="C68" s="7" t="s">
        <v>1205</v>
      </c>
      <c r="D68" s="7" t="s">
        <v>1003</v>
      </c>
      <c r="E68" s="7" t="s">
        <v>1206</v>
      </c>
      <c r="F68" s="8" t="s">
        <v>1118</v>
      </c>
    </row>
    <row r="69" customFormat="false" ht="45" hidden="false" customHeight="true" outlineLevel="0" collapsed="false">
      <c r="A69" s="7" t="s">
        <v>1207</v>
      </c>
      <c r="B69" s="7" t="s">
        <v>1204</v>
      </c>
      <c r="C69" s="7" t="s">
        <v>1208</v>
      </c>
      <c r="D69" s="7" t="s">
        <v>1022</v>
      </c>
      <c r="E69" s="7" t="s">
        <v>1209</v>
      </c>
      <c r="F69" s="8" t="s">
        <v>1118</v>
      </c>
    </row>
    <row r="70" customFormat="false" ht="45" hidden="false" customHeight="true" outlineLevel="0" collapsed="false">
      <c r="A70" s="7" t="s">
        <v>1210</v>
      </c>
      <c r="B70" s="7" t="s">
        <v>1204</v>
      </c>
      <c r="C70" s="7" t="s">
        <v>1211</v>
      </c>
      <c r="D70" s="7" t="s">
        <v>1212</v>
      </c>
      <c r="E70" s="7" t="s">
        <v>1213</v>
      </c>
      <c r="F70" s="8" t="s">
        <v>1214</v>
      </c>
    </row>
    <row r="71" customFormat="false" ht="45" hidden="false" customHeight="true" outlineLevel="0" collapsed="false">
      <c r="A71" s="7" t="s">
        <v>1215</v>
      </c>
      <c r="B71" s="7" t="s">
        <v>1216</v>
      </c>
      <c r="C71" s="7" t="s">
        <v>1217</v>
      </c>
      <c r="D71" s="7" t="s">
        <v>145</v>
      </c>
      <c r="E71" s="7" t="s">
        <v>1218</v>
      </c>
      <c r="F71" s="8" t="s">
        <v>1029</v>
      </c>
    </row>
    <row r="72" customFormat="false" ht="45" hidden="false" customHeight="true" outlineLevel="0" collapsed="false">
      <c r="A72" s="7" t="s">
        <v>1219</v>
      </c>
      <c r="B72" s="7" t="s">
        <v>1216</v>
      </c>
      <c r="C72" s="7" t="s">
        <v>1220</v>
      </c>
      <c r="D72" s="7" t="s">
        <v>145</v>
      </c>
      <c r="E72" s="7" t="s">
        <v>1221</v>
      </c>
      <c r="F72" s="8" t="s">
        <v>1029</v>
      </c>
    </row>
    <row r="73" customFormat="false" ht="45" hidden="false" customHeight="true" outlineLevel="0" collapsed="false">
      <c r="A73" s="7" t="s">
        <v>1222</v>
      </c>
      <c r="B73" s="7" t="s">
        <v>1216</v>
      </c>
      <c r="C73" s="7" t="s">
        <v>1223</v>
      </c>
      <c r="D73" s="7" t="s">
        <v>145</v>
      </c>
      <c r="E73" s="7" t="s">
        <v>351</v>
      </c>
      <c r="F73" s="8" t="s">
        <v>1029</v>
      </c>
    </row>
    <row r="74" customFormat="false" ht="45" hidden="false" customHeight="true" outlineLevel="0" collapsed="false">
      <c r="A74" s="7" t="s">
        <v>1224</v>
      </c>
      <c r="B74" s="7" t="s">
        <v>984</v>
      </c>
      <c r="C74" s="7" t="s">
        <v>1225</v>
      </c>
      <c r="D74" s="7" t="s">
        <v>1226</v>
      </c>
      <c r="E74" s="7" t="s">
        <v>1227</v>
      </c>
      <c r="F74" s="8" t="s">
        <v>988</v>
      </c>
    </row>
    <row r="75" customFormat="false" ht="45" hidden="false" customHeight="true" outlineLevel="0" collapsed="false">
      <c r="A75" s="7" t="s">
        <v>1228</v>
      </c>
      <c r="B75" s="7" t="s">
        <v>1062</v>
      </c>
      <c r="C75" s="7" t="s">
        <v>1229</v>
      </c>
      <c r="D75" s="7" t="s">
        <v>145</v>
      </c>
      <c r="E75" s="7" t="s">
        <v>1230</v>
      </c>
      <c r="F75" s="8" t="s">
        <v>1065</v>
      </c>
    </row>
    <row r="76" customFormat="false" ht="45" hidden="false" customHeight="true" outlineLevel="0" collapsed="false">
      <c r="A76" s="7" t="s">
        <v>1231</v>
      </c>
      <c r="B76" s="7" t="s">
        <v>1062</v>
      </c>
      <c r="C76" s="7" t="s">
        <v>1232</v>
      </c>
      <c r="D76" s="7" t="s">
        <v>145</v>
      </c>
      <c r="E76" s="7" t="s">
        <v>1233</v>
      </c>
      <c r="F76" s="8" t="s">
        <v>1065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5"/>
    <col collapsed="false" customWidth="true" hidden="false" outlineLevel="0" max="3" min="3" style="1" width="16"/>
    <col collapsed="false" customWidth="true" hidden="false" outlineLevel="0" max="4" min="4" style="1" width="12"/>
  </cols>
  <sheetData>
    <row r="1" customFormat="false" ht="15" hidden="false" customHeight="true" outlineLevel="0" collapsed="false">
      <c r="A1" s="2" t="s">
        <v>1234</v>
      </c>
      <c r="B1" s="3"/>
      <c r="C1" s="3"/>
      <c r="D1" s="3"/>
    </row>
    <row r="2" customFormat="false" ht="15" hidden="false" customHeight="true" outlineLevel="0" collapsed="false">
      <c r="A2" s="4" t="s">
        <v>1235</v>
      </c>
    </row>
    <row r="3" customFormat="false" ht="15" hidden="false" customHeight="true" outlineLevel="0" collapsed="false">
      <c r="A3" s="5" t="s">
        <v>322</v>
      </c>
      <c r="B3" s="5" t="s">
        <v>1236</v>
      </c>
      <c r="C3" s="5" t="s">
        <v>1237</v>
      </c>
      <c r="D3" s="5" t="s">
        <v>6</v>
      </c>
    </row>
    <row r="4" customFormat="false" ht="15" hidden="false" customHeight="true" outlineLevel="0" collapsed="false">
      <c r="A4" s="6" t="s">
        <v>1238</v>
      </c>
      <c r="B4" s="6" t="s">
        <v>1239</v>
      </c>
      <c r="C4" s="6" t="s">
        <v>1240</v>
      </c>
      <c r="D4" s="9" t="s">
        <v>988</v>
      </c>
    </row>
    <row r="5" customFormat="false" ht="15" hidden="false" customHeight="true" outlineLevel="0" collapsed="false">
      <c r="A5" s="6" t="s">
        <v>1241</v>
      </c>
      <c r="B5" s="6" t="s">
        <v>1242</v>
      </c>
      <c r="C5" s="6" t="s">
        <v>1240</v>
      </c>
      <c r="D5" s="9" t="s">
        <v>988</v>
      </c>
    </row>
    <row r="6" customFormat="false" ht="15" hidden="false" customHeight="true" outlineLevel="0" collapsed="false">
      <c r="A6" s="6" t="s">
        <v>1243</v>
      </c>
      <c r="B6" s="6" t="s">
        <v>1244</v>
      </c>
      <c r="C6" s="6" t="s">
        <v>1245</v>
      </c>
      <c r="D6" s="9" t="s">
        <v>988</v>
      </c>
    </row>
    <row r="7" customFormat="false" ht="15" hidden="false" customHeight="true" outlineLevel="0" collapsed="false">
      <c r="A7" s="6" t="s">
        <v>1246</v>
      </c>
      <c r="B7" s="6" t="s">
        <v>1247</v>
      </c>
      <c r="C7" s="6" t="s">
        <v>1248</v>
      </c>
      <c r="D7" s="9" t="s">
        <v>988</v>
      </c>
    </row>
    <row r="8" customFormat="false" ht="15" hidden="false" customHeight="true" outlineLevel="0" collapsed="false">
      <c r="A8" s="6" t="s">
        <v>1249</v>
      </c>
      <c r="B8" s="6" t="s">
        <v>1250</v>
      </c>
      <c r="C8" s="6" t="s">
        <v>1251</v>
      </c>
      <c r="D8" s="9" t="s">
        <v>988</v>
      </c>
    </row>
    <row r="9" customFormat="false" ht="15" hidden="false" customHeight="true" outlineLevel="0" collapsed="false">
      <c r="A9" s="6" t="s">
        <v>1252</v>
      </c>
      <c r="B9" s="6" t="s">
        <v>1253</v>
      </c>
      <c r="C9" s="6" t="s">
        <v>1254</v>
      </c>
      <c r="D9" s="9" t="s">
        <v>988</v>
      </c>
    </row>
    <row r="10" customFormat="false" ht="15" hidden="false" customHeight="true" outlineLevel="0" collapsed="false">
      <c r="A10" s="6" t="s">
        <v>1255</v>
      </c>
      <c r="B10" s="6" t="s">
        <v>1256</v>
      </c>
      <c r="C10" s="6" t="s">
        <v>1254</v>
      </c>
      <c r="D10" s="9" t="s">
        <v>988</v>
      </c>
    </row>
    <row r="11" customFormat="false" ht="15" hidden="false" customHeight="true" outlineLevel="0" collapsed="false">
      <c r="A11" s="6" t="s">
        <v>1257</v>
      </c>
      <c r="B11" s="6" t="s">
        <v>1258</v>
      </c>
      <c r="C11" s="6" t="s">
        <v>1254</v>
      </c>
      <c r="D11" s="9" t="s">
        <v>988</v>
      </c>
    </row>
    <row r="12" customFormat="false" ht="15" hidden="false" customHeight="true" outlineLevel="0" collapsed="false">
      <c r="A12" s="6" t="s">
        <v>1259</v>
      </c>
      <c r="B12" s="6" t="s">
        <v>1260</v>
      </c>
      <c r="C12" s="6" t="s">
        <v>1254</v>
      </c>
      <c r="D12" s="9" t="s">
        <v>988</v>
      </c>
    </row>
    <row r="13" customFormat="false" ht="15" hidden="false" customHeight="true" outlineLevel="0" collapsed="false">
      <c r="A13" s="6" t="s">
        <v>1261</v>
      </c>
      <c r="B13" s="6" t="s">
        <v>1262</v>
      </c>
      <c r="C13" s="6" t="s">
        <v>1254</v>
      </c>
      <c r="D13" s="9" t="s">
        <v>988</v>
      </c>
    </row>
    <row r="14" customFormat="false" ht="15" hidden="false" customHeight="true" outlineLevel="0" collapsed="false">
      <c r="A14" s="6" t="s">
        <v>1263</v>
      </c>
      <c r="B14" s="6" t="s">
        <v>1264</v>
      </c>
      <c r="C14" s="6" t="s">
        <v>1265</v>
      </c>
      <c r="D14" s="9" t="s">
        <v>988</v>
      </c>
    </row>
    <row r="15" customFormat="false" ht="15" hidden="false" customHeight="true" outlineLevel="0" collapsed="false">
      <c r="A15" s="6" t="s">
        <v>1266</v>
      </c>
      <c r="B15" s="6" t="s">
        <v>1267</v>
      </c>
      <c r="C15" s="6" t="s">
        <v>1254</v>
      </c>
      <c r="D15" s="9" t="s">
        <v>988</v>
      </c>
    </row>
    <row r="16" customFormat="false" ht="15" hidden="false" customHeight="true" outlineLevel="0" collapsed="false">
      <c r="A16" s="6" t="s">
        <v>1268</v>
      </c>
      <c r="B16" s="6" t="s">
        <v>1269</v>
      </c>
      <c r="C16" s="6" t="s">
        <v>1265</v>
      </c>
      <c r="D16" s="9" t="s">
        <v>988</v>
      </c>
    </row>
    <row r="17" customFormat="false" ht="15" hidden="false" customHeight="true" outlineLevel="0" collapsed="false">
      <c r="A17" s="6" t="s">
        <v>1270</v>
      </c>
      <c r="B17" s="6" t="s">
        <v>1271</v>
      </c>
      <c r="C17" s="6" t="s">
        <v>1254</v>
      </c>
      <c r="D17" s="9" t="s">
        <v>988</v>
      </c>
    </row>
    <row r="18" customFormat="false" ht="15" hidden="false" customHeight="true" outlineLevel="0" collapsed="false">
      <c r="A18" s="6" t="s">
        <v>1272</v>
      </c>
      <c r="B18" s="6" t="s">
        <v>1273</v>
      </c>
      <c r="C18" s="6" t="s">
        <v>1254</v>
      </c>
      <c r="D18" s="9" t="s">
        <v>988</v>
      </c>
    </row>
    <row r="19" customFormat="false" ht="15" hidden="false" customHeight="true" outlineLevel="0" collapsed="false">
      <c r="A19" s="6" t="s">
        <v>1274</v>
      </c>
      <c r="B19" s="6" t="s">
        <v>1275</v>
      </c>
      <c r="C19" s="6" t="s">
        <v>1276</v>
      </c>
      <c r="D19" s="9" t="s">
        <v>988</v>
      </c>
    </row>
    <row r="20" customFormat="false" ht="23.25" hidden="false" customHeight="true" outlineLevel="0" collapsed="false">
      <c r="A20" s="7" t="s">
        <v>1277</v>
      </c>
      <c r="B20" s="7" t="s">
        <v>1278</v>
      </c>
      <c r="C20" s="7" t="s">
        <v>1279</v>
      </c>
      <c r="D20" s="8" t="s">
        <v>988</v>
      </c>
    </row>
    <row r="21" customFormat="false" ht="23.25" hidden="false" customHeight="true" outlineLevel="0" collapsed="false">
      <c r="A21" s="7" t="s">
        <v>1280</v>
      </c>
      <c r="B21" s="7" t="s">
        <v>1281</v>
      </c>
      <c r="C21" s="7" t="s">
        <v>1279</v>
      </c>
      <c r="D21" s="8" t="s">
        <v>988</v>
      </c>
    </row>
    <row r="22" customFormat="false" ht="15" hidden="false" customHeight="true" outlineLevel="0" collapsed="false">
      <c r="A22" s="7" t="s">
        <v>1282</v>
      </c>
      <c r="B22" s="7" t="s">
        <v>1283</v>
      </c>
      <c r="C22" s="7" t="s">
        <v>1284</v>
      </c>
      <c r="D22" s="8" t="s">
        <v>988</v>
      </c>
    </row>
    <row r="23" customFormat="false" ht="23.25" hidden="false" customHeight="true" outlineLevel="0" collapsed="false">
      <c r="A23" s="7" t="s">
        <v>1285</v>
      </c>
      <c r="B23" s="7" t="s">
        <v>1286</v>
      </c>
      <c r="C23" s="7" t="s">
        <v>1287</v>
      </c>
      <c r="D23" s="8" t="s">
        <v>330</v>
      </c>
    </row>
    <row r="24" customFormat="false" ht="23.25" hidden="false" customHeight="true" outlineLevel="0" collapsed="false">
      <c r="A24" s="7" t="s">
        <v>1288</v>
      </c>
      <c r="B24" s="7" t="s">
        <v>1289</v>
      </c>
      <c r="C24" s="7" t="s">
        <v>1290</v>
      </c>
      <c r="D24" s="8" t="s">
        <v>988</v>
      </c>
    </row>
    <row r="25" customFormat="false" ht="23.25" hidden="false" customHeight="true" outlineLevel="0" collapsed="false">
      <c r="A25" s="7" t="s">
        <v>1291</v>
      </c>
      <c r="B25" s="7" t="s">
        <v>1292</v>
      </c>
      <c r="C25" s="7" t="s">
        <v>1293</v>
      </c>
      <c r="D25" s="8" t="s">
        <v>330</v>
      </c>
    </row>
    <row r="26" customFormat="false" ht="23.25" hidden="false" customHeight="true" outlineLevel="0" collapsed="false">
      <c r="A26" s="7" t="s">
        <v>1294</v>
      </c>
      <c r="B26" s="7" t="s">
        <v>1295</v>
      </c>
      <c r="C26" s="7" t="s">
        <v>1296</v>
      </c>
      <c r="D26" s="8" t="s">
        <v>330</v>
      </c>
    </row>
    <row r="27" customFormat="false" ht="15" hidden="false" customHeight="true" outlineLevel="0" collapsed="false">
      <c r="A27" s="7" t="s">
        <v>1297</v>
      </c>
      <c r="B27" s="7" t="s">
        <v>905</v>
      </c>
      <c r="C27" s="7" t="s">
        <v>904</v>
      </c>
      <c r="D27" s="8" t="s">
        <v>330</v>
      </c>
    </row>
    <row r="28" customFormat="false" ht="15" hidden="false" customHeight="true" outlineLevel="0" collapsed="false">
      <c r="A28" s="7" t="s">
        <v>1298</v>
      </c>
      <c r="B28" s="7" t="s">
        <v>1299</v>
      </c>
      <c r="C28" s="7" t="s">
        <v>908</v>
      </c>
      <c r="D28" s="8" t="s">
        <v>330</v>
      </c>
    </row>
    <row r="29" customFormat="false" ht="15" hidden="false" customHeight="true" outlineLevel="0" collapsed="false">
      <c r="A29" s="7" t="s">
        <v>1300</v>
      </c>
      <c r="B29" s="7" t="s">
        <v>1301</v>
      </c>
      <c r="C29" s="7" t="s">
        <v>900</v>
      </c>
      <c r="D29" s="8" t="s">
        <v>988</v>
      </c>
    </row>
    <row r="30" customFormat="false" ht="15" hidden="false" customHeight="true" outlineLevel="0" collapsed="false">
      <c r="A30" s="7" t="s">
        <v>1302</v>
      </c>
      <c r="B30" s="7" t="s">
        <v>1303</v>
      </c>
      <c r="C30" s="7" t="s">
        <v>717</v>
      </c>
      <c r="D30" s="8" t="s">
        <v>330</v>
      </c>
    </row>
    <row r="31" customFormat="false" ht="15" hidden="false" customHeight="true" outlineLevel="0" collapsed="false">
      <c r="A31" s="7" t="s">
        <v>1304</v>
      </c>
      <c r="B31" s="7" t="s">
        <v>1305</v>
      </c>
      <c r="C31" s="7" t="s">
        <v>1099</v>
      </c>
      <c r="D31" s="8" t="s">
        <v>330</v>
      </c>
    </row>
    <row r="32" customFormat="false" ht="23.25" hidden="false" customHeight="true" outlineLevel="0" collapsed="false">
      <c r="A32" s="7" t="s">
        <v>1306</v>
      </c>
      <c r="B32" s="7" t="s">
        <v>1307</v>
      </c>
      <c r="C32" s="7" t="s">
        <v>1308</v>
      </c>
      <c r="D32" s="8" t="s">
        <v>988</v>
      </c>
    </row>
    <row r="33" customFormat="false" ht="15" hidden="false" customHeight="true" outlineLevel="0" collapsed="false">
      <c r="A33" s="7" t="s">
        <v>1309</v>
      </c>
      <c r="B33" s="7" t="s">
        <v>1310</v>
      </c>
      <c r="C33" s="7" t="s">
        <v>889</v>
      </c>
      <c r="D33" s="8" t="s">
        <v>330</v>
      </c>
    </row>
    <row r="34" customFormat="false" ht="23.25" hidden="false" customHeight="true" outlineLevel="0" collapsed="false">
      <c r="A34" s="7" t="s">
        <v>1311</v>
      </c>
      <c r="B34" s="7" t="s">
        <v>1312</v>
      </c>
      <c r="C34" s="7" t="s">
        <v>1313</v>
      </c>
      <c r="D34" s="8" t="s">
        <v>988</v>
      </c>
    </row>
    <row r="35" customFormat="false" ht="15" hidden="false" customHeight="false" outlineLevel="0" collapsed="false">
      <c r="A35" s="7" t="s">
        <v>1314</v>
      </c>
      <c r="B35" s="7" t="s">
        <v>1315</v>
      </c>
      <c r="C35" s="7" t="s">
        <v>861</v>
      </c>
      <c r="D35" s="8" t="s">
        <v>330</v>
      </c>
    </row>
    <row r="36" customFormat="false" ht="15" hidden="false" customHeight="false" outlineLevel="0" collapsed="false">
      <c r="A36" s="7" t="s">
        <v>1316</v>
      </c>
      <c r="B36" s="7" t="s">
        <v>1317</v>
      </c>
      <c r="C36" s="7" t="s">
        <v>838</v>
      </c>
      <c r="D36" s="8" t="s">
        <v>330</v>
      </c>
    </row>
    <row r="37" customFormat="false" ht="23.85" hidden="false" customHeight="false" outlineLevel="0" collapsed="false">
      <c r="A37" s="7" t="s">
        <v>1318</v>
      </c>
      <c r="B37" s="7" t="s">
        <v>1319</v>
      </c>
      <c r="C37" s="7" t="s">
        <v>1320</v>
      </c>
      <c r="D37" s="8" t="s">
        <v>988</v>
      </c>
    </row>
    <row r="38" customFormat="false" ht="15" hidden="false" customHeight="false" outlineLevel="0" collapsed="false">
      <c r="A38" s="7" t="s">
        <v>1321</v>
      </c>
      <c r="B38" s="7" t="s">
        <v>1322</v>
      </c>
      <c r="C38" s="7" t="s">
        <v>1323</v>
      </c>
      <c r="D38" s="8" t="s">
        <v>330</v>
      </c>
    </row>
  </sheetData>
  <dataValidations count="1">
    <dataValidation allowBlank="true" errorStyle="stop" operator="between" showDropDown="false" showErrorMessage="false" showInputMessage="false" sqref="D4:D19"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2026-09-10T18:45:56Z</dcterms:created>
  <dc:creator>openpyxl</dc:creator>
  <dc:description/>
  <dc:language>en-US</dc:language>
  <cp:lastModifiedBy/>
  <dcterms:modified xsi:type="dcterms:W3CDTF">2026-09-16T18:42:44Z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