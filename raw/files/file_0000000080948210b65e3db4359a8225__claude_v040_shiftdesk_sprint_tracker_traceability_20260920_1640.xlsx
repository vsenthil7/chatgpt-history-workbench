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S1_Build_Board" sheetId="4" state="visible" r:id="rId4"/>
    <sheet xmlns:r="http://schemas.openxmlformats.org/officeDocument/2006/relationships" name="S2_Build_Board" sheetId="5" state="visible" r:id="rId5"/>
    <sheet xmlns:r="http://schemas.openxmlformats.org/officeDocument/2006/relationships" name="S3_Build_Board" sheetId="6" state="visible" r:id="rId6"/>
    <sheet xmlns:r="http://schemas.openxmlformats.org/officeDocument/2006/relationships" name="S4_Build_Board" sheetId="7" state="visible" r:id="rId7"/>
    <sheet xmlns:r="http://schemas.openxmlformats.org/officeDocument/2006/relationships" name="S5_Build_Board" sheetId="8" state="visible" r:id="rId8"/>
    <sheet xmlns:r="http://schemas.openxmlformats.org/officeDocument/2006/relationships" name="S6_Build_Board" sheetId="9" state="visible" r:id="rId9"/>
    <sheet xmlns:r="http://schemas.openxmlformats.org/officeDocument/2006/relationships" name="S7_Build_Board" sheetId="10" state="visible" r:id="rId10"/>
    <sheet xmlns:r="http://schemas.openxmlformats.org/officeDocument/2006/relationships" name="S8_Build_Board" sheetId="11" state="visible" r:id="rId11"/>
    <sheet xmlns:r="http://schemas.openxmlformats.org/officeDocument/2006/relationships" name="S13_Build_Board" sheetId="12" state="visible" r:id="rId12"/>
    <sheet xmlns:r="http://schemas.openxmlformats.org/officeDocument/2006/relationships" name="S14_Build_Board" sheetId="13" state="visible" r:id="rId13"/>
    <sheet xmlns:r="http://schemas.openxmlformats.org/officeDocument/2006/relationships" name="S15_Build_Board" sheetId="14" state="visible" r:id="rId14"/>
    <sheet xmlns:r="http://schemas.openxmlformats.org/officeDocument/2006/relationships" name="S16_Build_Board" sheetId="15" state="visible" r:id="rId15"/>
    <sheet xmlns:r="http://schemas.openxmlformats.org/officeDocument/2006/relationships" name="S17_Build_Board" sheetId="16" state="visible" r:id="rId16"/>
    <sheet xmlns:r="http://schemas.openxmlformats.org/officeDocument/2006/relationships" name="S18_Build_Board" sheetId="17" state="visible" r:id="rId17"/>
    <sheet xmlns:r="http://schemas.openxmlformats.org/officeDocument/2006/relationships" name="S19_Build_Board" sheetId="18" state="visible" r:id="rId18"/>
    <sheet xmlns:r="http://schemas.openxmlformats.org/officeDocument/2006/relationships" name="S20_Build_Board" sheetId="19" state="visible" r:id="rId19"/>
    <sheet xmlns:r="http://schemas.openxmlformats.org/officeDocument/2006/relationships" name="Traceability_Matrix" sheetId="20" state="visible" r:id="rId20"/>
    <sheet xmlns:r="http://schemas.openxmlformats.org/officeDocument/2006/relationships" name="Sprint_Status_Rollup" sheetId="21" state="visible" r:id="rId21"/>
    <sheet xmlns:r="http://schemas.openxmlformats.org/officeDocument/2006/relationships" name="RAID_Carryover" sheetId="22" state="visible" r:id="rId22"/>
    <sheet xmlns:r="http://schemas.openxmlformats.org/officeDocument/2006/relationships" name="Gate_Checklist" sheetId="23" state="visible" r:id="rId2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2"/>
    </font>
    <font>
      <name val="Arial"/>
      <charset val="1"/>
      <family val="0"/>
      <i val="1"/>
      <sz val="11"/>
    </font>
    <font>
      <name val="Arial"/>
      <charset val="1"/>
      <family val="0"/>
      <b val="1"/>
      <sz val="11"/>
    </font>
    <font>
      <name val="Arial"/>
      <charset val="1"/>
      <family val="0"/>
      <sz val="11"/>
    </font>
    <font>
      <b val="1"/>
      <color rgb="FFFFFFFF"/>
      <sz val="12"/>
    </font>
    <font>
      <b val="1"/>
      <sz val="11"/>
    </font>
  </fonts>
  <fills count="12">
    <fill>
      <patternFill/>
    </fill>
    <fill>
      <patternFill patternType="gray125"/>
    </fill>
    <fill>
      <patternFill patternType="solid">
        <fgColor rgb="FF1F4E79"/>
        <bgColor rgb="FF003366"/>
      </patternFill>
    </fill>
    <fill>
      <patternFill patternType="solid">
        <fgColor rgb="FFD9E2F3"/>
        <bgColor rgb="FFC6EFCE"/>
      </patternFill>
    </fill>
    <fill>
      <patternFill patternType="solid">
        <fgColor rgb="FFC6EFCE"/>
        <bgColor rgb="FFD9E2F3"/>
      </patternFill>
    </fill>
    <fill>
      <patternFill patternType="solid">
        <fgColor rgb="FFFFEB9C"/>
        <bgColor rgb="FFFFFFCC"/>
      </patternFill>
    </fill>
    <fill>
      <patternFill patternType="solid">
        <fgColor rgb="FF1F4E79"/>
      </patternFill>
    </fill>
    <fill>
      <patternFill patternType="solid">
        <fgColor rgb="FFD9E2F3"/>
      </patternFill>
    </fill>
    <fill>
      <patternFill patternType="solid">
        <fgColor rgb="FFC6EFCE"/>
      </patternFill>
    </fill>
    <fill>
      <patternFill patternType="solid">
        <fgColor rgb="FFFCE4D6"/>
      </patternFill>
    </fill>
    <fill>
      <patternFill patternType="solid">
        <fgColor rgb="FFFFF2CC"/>
      </patternFill>
    </fill>
    <fill>
      <patternFill patternType="solid">
        <fgColor rgb="FFDDEBF7"/>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3"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164" fontId="7" fillId="0" borderId="0" applyAlignment="1" pivotButton="0" quotePrefix="0" xfId="0">
      <alignment horizontal="general" vertical="top" wrapText="1"/>
    </xf>
    <xf numFmtId="0" fontId="6" fillId="0" borderId="0" applyAlignment="1" pivotButton="0" quotePrefix="0" xfId="0">
      <alignment horizontal="general" vertical="top" wrapText="1"/>
    </xf>
    <xf numFmtId="164"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3"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horizontal="general" vertical="bottom"/>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8" fillId="6" borderId="0" pivotButton="0" quotePrefix="0" xfId="0"/>
    <xf numFmtId="0" fontId="0" fillId="6" borderId="0" pivotButton="0" quotePrefix="0" xfId="0"/>
    <xf numFmtId="0" fontId="9"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164" fontId="7" fillId="0" borderId="0" applyAlignment="1" pivotButton="0" quotePrefix="0" xfId="0">
      <alignment horizontal="general" vertical="top" wrapText="1"/>
    </xf>
    <xf numFmtId="9" fontId="0" fillId="0" borderId="0" applyAlignment="1" pivotButton="0" quotePrefix="0" xfId="0">
      <alignment vertical="top" wrapText="1"/>
    </xf>
    <xf numFmtId="0" fontId="6" fillId="0" borderId="0" applyAlignment="1" pivotButton="0" quotePrefix="0" xfId="0">
      <alignment horizontal="general" vertical="top" wrapText="1"/>
    </xf>
    <xf numFmtId="9" fontId="6" fillId="0" borderId="0" applyAlignment="1" pivotButton="0" quotePrefix="0" xfId="0">
      <alignment horizontal="general" vertical="top" wrapText="1"/>
    </xf>
    <xf numFmtId="0" fontId="9" fillId="0" borderId="0" pivotButton="0" quotePrefix="0" xfId="0"/>
    <xf numFmtId="0" fontId="7" fillId="5"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17" customWidth="1" style="14" min="2" max="2"/>
    <col width="22" customWidth="1" style="14" min="3" max="3"/>
    <col width="95" customWidth="1" style="14" min="4" max="4"/>
    <col width="11" customWidth="1" style="14" min="5" max="5"/>
  </cols>
  <sheetData>
    <row r="1" ht="15" customHeight="1" s="15">
      <c r="A1" s="16" t="inlineStr">
        <is>
          <t>VERSION CONTROL — ShiftDesk Sprint Tracker &amp; Traceability</t>
        </is>
      </c>
    </row>
    <row r="2" ht="26.25" customHeight="1" s="15">
      <c r="A2" s="17" t="inlineStr">
        <is>
          <t>File naming: claude_v&lt;NNN&gt;_&lt;proper file name&gt;_YYYYMMDD_HHMI. Companion workbook lineage: v005 (baseline) -&gt; v045 (session 40) -&gt; v046 (session 41, this release). Codebase lineage: v0.11.0 (code phase complete) -&gt; v0.13.x (runtime wiring) -&gt; v0.14.0 (review V001 remediation).</t>
        </is>
      </c>
    </row>
    <row r="3" ht="15" customHeight="1" s="15">
      <c r="A3" s="18" t="inlineStr">
        <is>
          <t>Version</t>
        </is>
      </c>
      <c r="B3" s="18" t="inlineStr">
        <is>
          <t>Date/Time</t>
        </is>
      </c>
      <c r="C3" s="18" t="inlineStr">
        <is>
          <t>Author</t>
        </is>
      </c>
      <c r="D3" s="18" t="inlineStr">
        <is>
          <t>Change Description</t>
        </is>
      </c>
      <c r="E3" s="18" t="inlineStr">
        <is>
          <t>Status</t>
        </is>
      </c>
    </row>
    <row r="4" ht="64.5" customHeight="1" s="15">
      <c r="A4" s="19" t="inlineStr">
        <is>
          <t>v001</t>
        </is>
      </c>
      <c r="B4" s="19" t="inlineStr">
        <is>
          <t>2026-09-10 23:03</t>
        </is>
      </c>
      <c r="C4" s="19" t="inlineStr">
        <is>
          <t>Claude for Senthil/KP</t>
        </is>
      </c>
      <c r="D4" s="19" t="inlineStr">
        <is>
          <t>THIS FILE — Live execution tracker for ShiftDesk (portfolio rank per v004 plan, wave-1; Microsoft Teams App Store / AppSource). Consolidates both 10 Sep build sessions (22:26 v006, 22:54 v007) into: event-level Sprint_Tracker_Log (E001-E016), per-sprint build boards S1-S8, 100-story Traceability_Matrix with evidence, live Sprint_Status_Rollup, RAID, and D7 completion Gate_Checklist.</t>
        </is>
      </c>
      <c r="E4" s="19" t="inlineStr">
        <is>
          <t>Released</t>
        </is>
      </c>
    </row>
    <row r="5" ht="26.25" customHeight="1" s="15">
      <c r="A5" s="19" t="inlineStr">
        <is>
          <t>v002</t>
        </is>
      </c>
      <c r="B5" s="19" t="inlineStr">
        <is>
          <t>2026-09-10 23:10</t>
        </is>
      </c>
      <c r="C5" s="19" t="inlineStr">
        <is>
          <t>Claude for Senthil/KP</t>
        </is>
      </c>
      <c r="D5" s="19" t="inlineStr">
        <is>
          <t>Session 3 logged (E017-E018): live-sweep readiness pack — Teams manifest v1.17 + icons, typed config loader, 12-step scripted verification sweep, 30-min dev tenant guide (sideload path needs no Partner Center, so dev verification can start same-day). Companion workbook at v008. Gate LC-2 advanced to manifest-ready.</t>
        </is>
      </c>
      <c r="E5" s="19" t="inlineStr">
        <is>
          <t>Released</t>
        </is>
      </c>
    </row>
    <row r="6" ht="26.25" customHeight="1" s="15">
      <c r="A6" s="19" t="inlineStr">
        <is>
          <t>v003</t>
        </is>
      </c>
      <c r="B6" s="19" t="inlineStr">
        <is>
          <t>2026-09-11 08:20</t>
        </is>
      </c>
      <c r="C6" s="19" t="inlineStr">
        <is>
          <t>Claude for Senthil/KP</t>
        </is>
      </c>
      <c r="D6" s="19" t="inlineStr">
        <is>
          <t>Session 4 logged (E019-E020): ops parity pack — k6 5x load harness (ST-088), blue/green deploy workflow with approval-gated switch (ST-092), scripted backup/restore drill with RTO/RPO pass bar (ST-090); three stories Backlog -&gt; Drafted; traceability + rollup reflect workbook v009. Gate LC-8 advanced to harness-scripted.</t>
        </is>
      </c>
      <c r="E6" s="19" t="inlineStr">
        <is>
          <t>Released</t>
        </is>
      </c>
    </row>
    <row r="7" ht="15" customHeight="1" s="15">
      <c r="A7" s="19" t="inlineStr">
        <is>
          <t>v004</t>
        </is>
      </c>
      <c r="B7" s="19" t="inlineStr">
        <is>
          <t>2026-09-11 12:51</t>
        </is>
      </c>
      <c r="C7" s="19" t="inlineStr">
        <is>
          <t>Claude for Senthil/KP</t>
        </is>
      </c>
      <c r="D7" s="19" t="inlineStr">
        <is>
          <t>Session 5 logged (E021-E022): adversarial cold-review pass 1 — 6 defects fixed with regressions, F-007/F-008 open for Senthil disposition, F-009 evidence-discipline finding closed by building the ST-066 crypto module; REVIEW_PACK.md for external second reviewer. Companion workbook v010 adds Review_Findings sheet. 20 suites / 94 tests at 100%.</t>
        </is>
      </c>
      <c r="E7" s="19" t="inlineStr">
        <is>
          <t>Released</t>
        </is>
      </c>
    </row>
    <row r="8" ht="26.25" customHeight="1" s="15">
      <c r="A8" s="19" t="inlineStr">
        <is>
          <t>v005</t>
        </is>
      </c>
      <c r="B8" s="19" t="inlineStr">
        <is>
          <t>2026-09-11 20:30</t>
        </is>
      </c>
      <c r="C8" s="19" t="inlineStr">
        <is>
          <t>Claude for Senthil/KP</t>
        </is>
      </c>
      <c r="D8" s="19" t="inlineStr">
        <is>
          <t>Session 6 logged (E023-E025): cold-review pass 2 complete (F-010..F-013 fixed with regressions, OBS-SD1 for disposition; 10 defects total across passes — coverage proves execution, not correctness) + completion wave taking the last 5 backlog stories to sandbox ceiling. SHIFTDESK CODE PHASE COMPLETE — backlog zero, fourth product (after TeleField, VoiceBridge, FlowCast). Companion workbook v011; codebase v0.11.0 at 22 suites / 109 tests, 100% zero pragmas.</t>
        </is>
      </c>
      <c r="E8" s="19" t="inlineStr">
        <is>
          <t>Released</t>
        </is>
      </c>
    </row>
    <row r="9" ht="26.25" customHeight="1" s="15">
      <c r="A9" s="19" t="inlineStr">
        <is>
          <t>v006</t>
        </is>
      </c>
      <c r="B9" s="19" t="inlineStr">
        <is>
          <t>2026-09-13 09:52</t>
        </is>
      </c>
      <c r="C9" s="19" t="inlineStr">
        <is>
          <t>Claude for Senthil/KP</t>
        </is>
      </c>
      <c r="D9" s="19" t="inlineStr">
        <is>
          <t>Session 7 logged (E026-E027): external verification sweep against live Microsoft documentation plus artifact-gap audit — VER-SD01/02 store-blocking, VER-SD08 live-blocking tab handshake gap, VER-SD03/04/06 corrections (incl. reopening LC-5 which had been marked Done on an overstated permission model), VER-SD05 verified-correct pinned, VER-SD07 naming noted. Companion workbook v012; 24 suites / 120 tests at 100% zero pragmas; story counts unchanged (correctness release).</t>
        </is>
      </c>
      <c r="E9" s="19" t="inlineStr">
        <is>
          <t>Released</t>
        </is>
      </c>
    </row>
    <row r="10" ht="26.25" customHeight="1" s="15">
      <c r="A10" s="19" t="inlineStr">
        <is>
          <t>v007</t>
        </is>
      </c>
      <c r="B10" s="19" t="inlineStr">
        <is>
          <t>2026-09-13 10:01</t>
        </is>
      </c>
      <c r="C10" s="19" t="inlineStr">
        <is>
          <t>Claude for Senthil/KP</t>
        </is>
      </c>
      <c r="D10" s="19" t="inlineStr">
        <is>
          <t>Session 8 logged (E028-E029): artifact-gap audit round 2 — GAP-SD1 (three declared static tabs with no page behind them, live-blocking) closed by building the web/ tab layer; GAP-SD2 (three advertised bot commands with no handler) closed by botRouter; GAP-SD3 package hygiene; GAP-SD4 ST-094 partially unblocked by a headless-verified 1366x768 demo capture surface. Companion workbook v013; 26 suites / 145 tests at 100% across src/ and web/.</t>
        </is>
      </c>
      <c r="E10" s="19" t="inlineStr">
        <is>
          <t>Released</t>
        </is>
      </c>
    </row>
    <row r="11" ht="26.25" customHeight="1" s="15">
      <c r="A11" s="19" t="inlineStr">
        <is>
          <t>v008</t>
        </is>
      </c>
      <c r="B11" s="19" t="inlineStr">
        <is>
          <t>2026-09-13 10:24</t>
        </is>
      </c>
      <c r="C11" s="19" t="inlineStr">
        <is>
          <t>Claude for Senthil/KP</t>
        </is>
      </c>
      <c r="D11" s="19" t="inlineStr">
        <is>
          <t>Session 9 logged (E030-E031): cold-review pass 3 over the session 5-8 code that had never been reviewed — 6 defects fixed with pinned regressions (F-014..F-019) and OBS-SD2 closed. Headline F-016: the tab API validated the SSO token then never sent it. Companion workbook v014; 27 suites / 151 tests at 100% zero pragmas; story counts unchanged.</t>
        </is>
      </c>
      <c r="E11" s="19" t="inlineStr">
        <is>
          <t>Released</t>
        </is>
      </c>
    </row>
    <row r="12" ht="26.25" customHeight="1" s="15">
      <c r="A12" s="19" t="inlineStr">
        <is>
          <t>v009</t>
        </is>
      </c>
      <c r="B12" s="19" t="inlineStr">
        <is>
          <t>2026-09-13 10:37</t>
        </is>
      </c>
      <c r="C12" s="19" t="inlineStr">
        <is>
          <t>Claude for Senthil/KP</t>
        </is>
      </c>
      <c r="D12" s="19" t="inlineStr">
        <is>
          <t>Session 10 logged (E032-E033): artifact-gap audit round 3 — GAP-SD5 live-blocking (no HTTP server; three of five tab paths and the bot messaging endpoint unserved) closed with src/server.ts + src/bootstrap.ts and a client-vs-server parity test; OBS-SD3 closed. Companion workbook v015; 29 suites / 163 tests at 100% zero pragmas; story counts unchanged.</t>
        </is>
      </c>
      <c r="E12" s="19" t="inlineStr">
        <is>
          <t>Released</t>
        </is>
      </c>
    </row>
    <row r="13" ht="26.25" customHeight="1" s="15">
      <c r="A13" s="19" t="inlineStr">
        <is>
          <t>v010</t>
        </is>
      </c>
      <c r="B13" s="19" t="inlineStr">
        <is>
          <t>2026-09-13 10:42</t>
        </is>
      </c>
      <c r="C13" s="19" t="inlineStr">
        <is>
          <t>Claude for Senthil/KP</t>
        </is>
      </c>
      <c r="D13" s="19" t="inlineStr">
        <is>
          <t>Session 11 logged (E034-E035): verification sweep 2 over the bot transport seam — VER-SD09/SD10 live-blocking (Connector JWT + Activity payload; ack-then-send rather than replying in the HTTP body), VER-SD11 identity from the activity, VER-SD12 conversationUpdate welcome + ack/dedupe for non-message activities. Both live-blockers were introduced by session 10 and caught one session later. Companion workbook v016; 30 suites / 174 tests at 100% zero pragmas; story counts unchanged.</t>
        </is>
      </c>
      <c r="E13" s="19" t="inlineStr">
        <is>
          <t>Released</t>
        </is>
      </c>
    </row>
    <row r="14" ht="26.25" customHeight="1" s="15">
      <c r="A14" s="19" t="inlineStr">
        <is>
          <t>v011</t>
        </is>
      </c>
      <c r="B14" s="19" t="inlineStr">
        <is>
          <t>2026-09-13 10:57</t>
        </is>
      </c>
      <c r="C14" s="19" t="inlineStr">
        <is>
          <t>Claude for Senthil/KP</t>
        </is>
      </c>
      <c r="D14" s="19" t="inlineStr">
        <is>
          <t>Session 12 logged (E036-E037): verification sweep 3 over the tab SSO seam — VER-SD13 live-blocking (the tab was sending a hardcoded placeholder token while the manifest declared SSO) closed with the real acquisition and validation flow; VER-SD14 missing Expose-an-API setup step documented. Companion workbook v017; 31 suites / 181 tests at 100% zero pragmas; story counts unchanged.</t>
        </is>
      </c>
      <c r="E14" s="19" t="inlineStr">
        <is>
          <t>Released</t>
        </is>
      </c>
    </row>
    <row r="15" ht="26.25" customHeight="1" s="15">
      <c r="A15" s="19" t="inlineStr">
        <is>
          <t>v012</t>
        </is>
      </c>
      <c r="B15" s="19" t="inlineStr">
        <is>
          <t>2026-09-13 11:02</t>
        </is>
      </c>
      <c r="C15" s="19" t="inlineStr">
        <is>
          <t>Claude for Senthil/KP</t>
        </is>
      </c>
      <c r="D15" s="19" t="inlineStr">
        <is>
          <t>Session 13 logged (E038-E039): artifact-gap audit round 4 — GAP-SD6 (TeamMember.Read.Group requested and documented but never consumed; every role resolver a stub) closed with src/graphMembers.ts wired into both trust boundaries; GAP-SD7 (ChannelMessage.Send.Group unused) dropped and flagged D-SD5; scopes now bound to consumer files by contract test. Companion workbook v018; 32 suites / 190 tests at 100% zero pragmas; story counts unchanged.</t>
        </is>
      </c>
      <c r="E15" s="19" t="inlineStr">
        <is>
          <t>Released</t>
        </is>
      </c>
    </row>
    <row r="16" ht="26.25" customHeight="1" s="15">
      <c r="A16" s="19" t="inlineStr">
        <is>
          <t>v013</t>
        </is>
      </c>
      <c r="B16" s="19" t="inlineStr">
        <is>
          <t>2026-09-13 11:07</t>
        </is>
      </c>
      <c r="C16" s="19" t="inlineStr">
        <is>
          <t>Claude for Senthil/KP</t>
        </is>
      </c>
      <c r="D16" s="19" t="inlineStr">
        <is>
          <t>Session 14 logged (E040-E041): cold-review pass 4 over the sessions 10-13 integration code — F-020..F-024 fixed with pinned regressions, including two serious ones (any authenticated user could install or start a trial for an arbitrary tenant; failed Connector sends were deduped so Bot Service retries silently dropped the message). Companion workbook v019; 33 suites / 196 tests at 100% zero pragmas; story counts unchanged.</t>
        </is>
      </c>
      <c r="E16" s="19" t="inlineStr">
        <is>
          <t>Released</t>
        </is>
      </c>
    </row>
    <row r="17" ht="26.25" customHeight="1" s="15">
      <c r="A17" s="19" t="inlineStr">
        <is>
          <t>v014</t>
        </is>
      </c>
      <c r="B17" s="19" t="inlineStr">
        <is>
          <t>2026-09-13 11:12</t>
        </is>
      </c>
      <c r="C17" s="19" t="inlineStr">
        <is>
          <t>Claude for Senthil/KP</t>
        </is>
      </c>
      <c r="D17" s="19" t="inlineStr">
        <is>
          <t>Session 15 logged (E042-E043): artifact-gap audit round 5 — GAP-SD8 live-blocking (the "typed repositories" claimed in RAID R-S4 since session 1 never existed; all state in bare Maps) closed with a repository seam, Postgres implementation, migration SQL, durable audit log and tenant purge, under one contract suite covering both implementations. OBS-SD4 records that the SQL fake is not a database. Companion workbook v020; 34 suites / 208 tests at 100% zero pragmas; story counts unchanged.</t>
        </is>
      </c>
      <c r="E17" s="19" t="inlineStr">
        <is>
          <t>Released</t>
        </is>
      </c>
    </row>
    <row r="18" ht="26.25" customHeight="1" s="15">
      <c r="A18" s="19" t="inlineStr">
        <is>
          <t>v015</t>
        </is>
      </c>
      <c r="B18" s="19" t="inlineStr">
        <is>
          <t>2026-09-13 11:16</t>
        </is>
      </c>
      <c r="C18" s="19" t="inlineStr">
        <is>
          <t>Claude for Senthil/KP</t>
        </is>
      </c>
      <c r="D18" s="19" t="inlineStr">
        <is>
          <t>Session 16 logged (E044-E045): GAP-SD8b — the repository built in session 15 was used only by the audit log while every feature service still held bare Maps; closed with pure snapshot/restore on the service core and a StatePersister that hydrates at startup and writes back per mutating route, wired through the HTTP layer. OBS-SD5 names the state still unpersisted. Companion workbook v021; 35 suites / 213 tests at 100% zero pragmas; story counts unchanged.</t>
        </is>
      </c>
      <c r="E18" s="19" t="inlineStr">
        <is>
          <t>Released</t>
        </is>
      </c>
    </row>
    <row r="19" ht="26.25" customHeight="1" s="15">
      <c r="A19" s="19" t="inlineStr">
        <is>
          <t>v016</t>
        </is>
      </c>
      <c r="B19" s="19" t="inlineStr">
        <is>
          <t>2026-09-13 11:21</t>
        </is>
      </c>
      <c r="C19" s="19" t="inlineStr">
        <is>
          <t>Claude for Senthil/KP</t>
        </is>
      </c>
      <c r="D19" s="19" t="inlineStr">
        <is>
          <t>Session 17 logged (E046-E047): persistence slice 2 — billing, install and support chat now survive a restart (OBS-SD5a closed) — plus F-025, found while writing those tests: InMemoryRepository stored live references where Postgres stores values, so the dev and production paths diverged. OBS-SD6 accepts telemetry as unpersisted by design. Companion workbook v022; 36 suites / 219 tests at 100% zero pragmas; story counts unchanged.</t>
        </is>
      </c>
      <c r="E19" s="19" t="inlineStr">
        <is>
          <t>Released</t>
        </is>
      </c>
    </row>
    <row r="20" ht="26.25" customHeight="1" s="15">
      <c r="A20" s="19" t="inlineStr">
        <is>
          <t>v017</t>
        </is>
      </c>
      <c r="B20" s="19" t="inlineStr">
        <is>
          <t>2026-09-13 11:25</t>
        </is>
      </c>
      <c r="C20" s="19" t="inlineStr">
        <is>
          <t>Claude for Senthil/KP</t>
        </is>
      </c>
      <c r="D20" s="19" t="inlineStr">
        <is>
          <t>Session 18 logged (E048-E049): multi-tenancy audit — F-026 CRITICAL cross-tenant data exposure fixed with tenant-in-identity and a per-tenant app registry; F-027 bot mutations were never persisted; F-028 health/status regression from the same change. Companion workbook v023; 37 suites / 227 tests at 100% zero pragmas; story counts unchanged.</t>
        </is>
      </c>
      <c r="E20" s="19" t="inlineStr">
        <is>
          <t>Released</t>
        </is>
      </c>
    </row>
    <row r="21" ht="26.25" customHeight="1" s="15">
      <c r="A21" s="19" t="inlineStr">
        <is>
          <t>v018</t>
        </is>
      </c>
      <c r="B21" s="19" t="inlineStr">
        <is>
          <t>2026-09-13 11:51</t>
        </is>
      </c>
      <c r="C21" s="19" t="inlineStr">
        <is>
          <t>Claude for Senthil/KP</t>
        </is>
      </c>
      <c r="D21" s="19" t="inlineStr">
        <is>
          <t>Session 19 logged (E050-E051): data-deletion audit — F-029 CRITICAL, the published 30-day retention policy and self-serve delete-my-data deleted nothing; closed with src/tenantLifecycle.ts (durable schedule, cancel on re-install, retention sweep, immediate purge with cache eviction, real export). Companion workbook v024; 38 suites / 233 tests at 100% zero pragmas; story counts unchanged.</t>
        </is>
      </c>
      <c r="E21" s="19" t="inlineStr">
        <is>
          <t>Released</t>
        </is>
      </c>
    </row>
    <row r="22" ht="26.25" customHeight="1" s="15">
      <c r="A22" s="19" t="inlineStr">
        <is>
          <t>v019</t>
        </is>
      </c>
      <c r="B22" s="19" t="inlineStr">
        <is>
          <t>2026-09-13 11:55</t>
        </is>
      </c>
      <c r="C22" s="19" t="inlineStr">
        <is>
          <t>Claude for Senthil/KP</t>
        </is>
      </c>
      <c r="D22" s="19" t="inlineStr">
        <is>
          <t>Session 20 logged (E052-E053): authorization audit — F-030 CRITICAL, five of nine declared permissions enforced nowhere including data.delete/data.export; enforcement wired at named sites and bound by a two-way contract test, deletion receipts added. D-SD6 removes settings.roles. Companion workbook v025; 39 suites / 239 tests at 100% zero pragmas; story counts unchanged.</t>
        </is>
      </c>
      <c r="E22" s="19" t="inlineStr">
        <is>
          <t>Released</t>
        </is>
      </c>
    </row>
    <row r="23" ht="26.25" customHeight="1" s="15">
      <c r="A23" s="19" t="inlineStr">
        <is>
          <t>v020</t>
        </is>
      </c>
      <c r="B23" s="19" t="inlineStr">
        <is>
          <t>2026-09-13 12:02</t>
        </is>
      </c>
      <c r="C23" s="19" t="inlineStr">
        <is>
          <t>Claude for Senthil/KP</t>
        </is>
      </c>
      <c r="D23" s="19" t="inlineStr">
        <is>
          <t>Session 21 logged (E054-E055): billing-integrity audit — F-031 read-only/cancelled enforced nothing, F-032 plan limits advisory with zero callers, F-033 trials never expired; all three closed with src/entitlements.ts gating writes (never reads) at the request boundary, and the pricing FAQ corrected to describe real behaviour. Companion workbook v026; 40 suites / 246 tests at 100% zero pragmas; story counts unchanged.</t>
        </is>
      </c>
      <c r="E23" s="19" t="inlineStr">
        <is>
          <t>Released</t>
        </is>
      </c>
    </row>
    <row r="24" ht="26.25" customHeight="1" s="15">
      <c r="A24" s="19" t="inlineStr">
        <is>
          <t>v021</t>
        </is>
      </c>
      <c r="B24" s="19" t="inlineStr">
        <is>
          <t>2026-09-13 16:27</t>
        </is>
      </c>
      <c r="C24" s="19" t="inlineStr">
        <is>
          <t>Claude for Senthil/KP</t>
        </is>
      </c>
      <c r="D24" s="19" t="inlineStr">
        <is>
          <t>Session 22 logged (E056-E057): F-034 notifications were never delivered on either channel and the record was discarded by a FIFO cap; F-035 the p95 budgets ST-087 calls monitored were measured nowhere, leaving the runbook rollback trigger unfireable. Both closed and instrumented. Companion workbook v027; 42 suites / 256 tests at 100% zero pragmas; story counts unchanged.</t>
        </is>
      </c>
      <c r="E24" s="19" t="inlineStr">
        <is>
          <t>Released</t>
        </is>
      </c>
    </row>
    <row r="25" ht="26.25" customHeight="1" s="15">
      <c r="A25" s="19" t="inlineStr">
        <is>
          <t>v022</t>
        </is>
      </c>
      <c r="B25" s="19" t="inlineStr">
        <is>
          <t>2026-09-13 16:35</t>
        </is>
      </c>
      <c r="C25" s="19" t="inlineStr">
        <is>
          <t>Claude for Senthil/KP</t>
        </is>
      </c>
      <c r="D25" s="19" t="inlineStr">
        <is>
          <t>Session 23 logged (E058-E059): F-036 the entire telemetry epic had zero callers so the S11 activation criterion was uncomputable; F-037 audit entries were discarded on restart while the durable log built in session 15 went unused, and only configuration changes were covered. Both wired into the request path. Companion workbook v028; 43 suites / 262 tests at 100% zero pragmas; story counts unchanged.</t>
        </is>
      </c>
      <c r="E25" s="19" t="inlineStr">
        <is>
          <t>Released</t>
        </is>
      </c>
    </row>
    <row r="26" ht="26.25" customHeight="1" s="15">
      <c r="A26" s="19" t="inlineStr">
        <is>
          <t>v023</t>
        </is>
      </c>
      <c r="B26" s="19" t="inlineStr">
        <is>
          <t>2026-09-13 16:40</t>
        </is>
      </c>
      <c r="C26" s="19" t="inlineStr">
        <is>
          <t>Claude for Senthil/KP</t>
        </is>
      </c>
      <c r="D26" s="19" t="inlineStr">
        <is>
          <t>Session 24 logged (E060-E061): systematic wiring audit of all 112 exports — F-038 six of nine screens unreachable (approvals had no UI at all), F-039 last session's notification dispatcher never called, F-040 encryption-at-rest claim with no implementing caller recorded OPEN for decision, OBS-SD7 documents deliberate non-wiring. Companion workbook v029; 44 suites / 269 tests at 100% zero pragmas; story counts unchanged.</t>
        </is>
      </c>
      <c r="E26" s="19" t="inlineStr">
        <is>
          <t>Released</t>
        </is>
      </c>
    </row>
    <row r="27" ht="26.25" customHeight="1" s="15">
      <c r="A27" s="19" t="inlineStr">
        <is>
          <t>v024</t>
        </is>
      </c>
      <c r="B27" s="19" t="inlineStr">
        <is>
          <t>2026-09-13 16:47</t>
        </is>
      </c>
      <c r="C27" s="19" t="inlineStr">
        <is>
          <t>Claude for Senthil/KP</t>
        </is>
      </c>
      <c r="D27" s="19" t="inlineStr">
        <is>
          <t>Session 25 logged (E062-E063): F-040 resolved by making both dispositions cheap — opt-in AES-256-GCM payload encryption over any repository, or provider-managed storage encryption with no code change — and rewriting the trust page to describe both precisely, including what stays in clear text. OBS-SD8 records the missing key rotation. Companion workbook v030; 45 suites / 276 tests at 100% zero pragmas; story counts unchanged.</t>
        </is>
      </c>
      <c r="E27" s="19" t="inlineStr">
        <is>
          <t>Released</t>
        </is>
      </c>
    </row>
    <row r="28" ht="26.25" customHeight="1" s="15">
      <c r="A28" s="19" t="inlineStr">
        <is>
          <t>v025</t>
        </is>
      </c>
      <c r="B28" s="19" t="inlineStr">
        <is>
          <t>2026-09-13 16:51</t>
        </is>
      </c>
      <c r="C28" s="19" t="inlineStr">
        <is>
          <t>Claude for Senthil/KP</t>
        </is>
      </c>
      <c r="D28" s="19" t="inlineStr">
        <is>
          <t>Session 26 logged (E064-E065): cold-review pass 5 over the sessions 18-25 modules — F-041..F-045 fixed with pinned regressions, including a seat cap that could never fire and a notification buffer that discarded on delivery failure. Companion workbook v031; 46 suites / 282 tests at 100% zero pragmas; story counts unchanged.</t>
        </is>
      </c>
      <c r="E28" s="19" t="inlineStr">
        <is>
          <t>Released</t>
        </is>
      </c>
    </row>
    <row r="29" ht="26.25" customHeight="1" s="15">
      <c r="A29" s="19" t="inlineStr">
        <is>
          <t>v026</t>
        </is>
      </c>
      <c r="B29" s="19" t="inlineStr">
        <is>
          <t>2026-09-13 17:25</t>
        </is>
      </c>
      <c r="C29" s="19" t="inlineStr">
        <is>
          <t>Claude for Senthil/KP</t>
        </is>
      </c>
      <c r="D29" s="19" t="inlineStr">
        <is>
          <t>Session 27 logged (E066-E067): multi-instance audit — F-046 CRITICAL silent cross-instance data loss under the shipped blue/green model, closed with optimistic concurrency end to end plus migration 002 and a migration step in the deploy workflow; OBS-SD9 records the coarseness of module-level snapshots. Companion workbook v032; 47 suites / 292 tests at 100% zero pragmas; story counts unchanged.</t>
        </is>
      </c>
      <c r="E29" s="19" t="inlineStr">
        <is>
          <t>Released</t>
        </is>
      </c>
    </row>
    <row r="30" ht="26.25" customHeight="1" s="15">
      <c r="A30" s="19" t="inlineStr">
        <is>
          <t>v027</t>
        </is>
      </c>
      <c r="B30" s="19" t="inlineStr">
        <is>
          <t>2026-09-13 18:51</t>
        </is>
      </c>
      <c r="C30" s="19" t="inlineStr">
        <is>
          <t>Claude for Senthil/KP</t>
        </is>
      </c>
      <c r="D30" s="19" t="inlineStr">
        <is>
          <t>Session 28 logged (E068-E069): dependency-failure audit — F-047 CRITICAL unhandled rejections at the HTTP boundary (hung requests plus process termination on any store/Graph/mail blip) and F-048 revising the F-045 rethrow so delivery failures no longer fail the user's write. Companion workbook v033; 48 suites / 299 tests at 100% zero pragmas; story counts unchanged.</t>
        </is>
      </c>
      <c r="E30" s="19" t="inlineStr">
        <is>
          <t>Released</t>
        </is>
      </c>
    </row>
    <row r="31" ht="26.25" customHeight="1" s="15">
      <c r="A31" s="19" t="inlineStr">
        <is>
          <t>v028</t>
        </is>
      </c>
      <c r="B31" s="19" t="inlineStr">
        <is>
          <t>2026-09-13 19:10</t>
        </is>
      </c>
      <c r="C31" s="19" t="inlineStr">
        <is>
          <t>Claude for Senthil/KP</t>
        </is>
      </c>
      <c r="D31" s="19" t="inlineStr">
        <is>
          <t>Session 29 logged (E070-E071): cold-review pass 6 over sessions 26-28 — F-049 type-based error classification replacing text matching coupled to test fixtures, F-050 degradation no longer cleared by reads, F-051 bot retry no longer duplicates a mutation after a persistence conflict. Companion workbook v034; 49 suites / 303 tests at 100% zero pragmas; story counts unchanged.</t>
        </is>
      </c>
      <c r="E31" s="19" t="inlineStr">
        <is>
          <t>Released</t>
        </is>
      </c>
    </row>
    <row r="32" ht="26.25" customHeight="1" s="15">
      <c r="A32" s="19" t="inlineStr">
        <is>
          <t>v029</t>
        </is>
      </c>
      <c r="B32" s="19" t="inlineStr">
        <is>
          <t>2026-09-13 19:27</t>
        </is>
      </c>
      <c r="C32" s="19" t="inlineStr">
        <is>
          <t>Claude for Senthil/KP</t>
        </is>
      </c>
      <c r="D32" s="19" t="inlineStr">
        <is>
          <t>Session 30 logged (E072): live-day preparation — the automated half of the sweep is now executable (npm run sweep), with operator-only steps listed explicitly and unimplemented steps reported as manual rather than passed. Companion workbook v035; 50 suites / 309 tests at 100% zero pragmas; story counts unchanged.</t>
        </is>
      </c>
      <c r="E32" s="19" t="inlineStr">
        <is>
          <t>Released</t>
        </is>
      </c>
    </row>
    <row r="33" ht="15" customHeight="1" s="15">
      <c r="A33" s="19" t="inlineStr">
        <is>
          <t>v030</t>
        </is>
      </c>
      <c r="B33" s="19" t="inlineStr">
        <is>
          <t>2026-09-13 19:32</t>
        </is>
      </c>
      <c r="C33" s="19" t="inlineStr">
        <is>
          <t>Claude for Senthil/KP</t>
        </is>
      </c>
      <c r="D33" s="19" t="inlineStr">
        <is>
          <t>Session 31 logged (E073-E074): six more sweep steps automated behind capability gates with honest SKIP reporting, CLI extended for a second instance and DATABASE_URL; F-052 found by writing the funnel check — the Analytics tab read a telemetry instance nothing feeds. Companion workbook v036; 50 suites / 318 tests at 100% zero pragmas; story counts unchanged.</t>
        </is>
      </c>
      <c r="E33" s="19" t="inlineStr">
        <is>
          <t>Released</t>
        </is>
      </c>
    </row>
    <row r="34" ht="15" customHeight="1" s="15">
      <c r="A34" s="19" t="inlineStr">
        <is>
          <t>v031</t>
        </is>
      </c>
      <c r="B34" s="19" t="inlineStr">
        <is>
          <t>2026-09-13 19:39</t>
        </is>
      </c>
      <c r="C34" s="19" t="inlineStr">
        <is>
          <t>Claude for Senthil/KP</t>
        </is>
      </c>
      <c r="D34" s="19" t="inlineStr">
        <is>
          <t>Session 32 logged (E075): packaging automated — substitution with the missing value named, manifest validation against store rules, root-level archive verified end to end. Companion workbook v037; 51 suites / 323 tests at 100% zero pragmas; story counts unchanged.</t>
        </is>
      </c>
      <c r="E34" s="19" t="inlineStr">
        <is>
          <t>Released</t>
        </is>
      </c>
    </row>
    <row r="35" ht="15" customHeight="1" s="15">
      <c r="A35" s="19" t="inlineStr">
        <is>
          <t>v032</t>
        </is>
      </c>
      <c r="B35" s="19" t="inlineStr">
        <is>
          <t>2026-09-13 20:05</t>
        </is>
      </c>
      <c r="C35" s="19" t="inlineStr">
        <is>
          <t>Claude for Senthil/KP</t>
        </is>
      </c>
      <c r="D35" s="19" t="inlineStr">
        <is>
          <t>Session 33 logged (E076): deliverability audit — F-053 undeclared ts-node, F-054 undeclared optional pg driver, F-056 scripts outside the typecheck gate (and not compiling under their own runner), OBS-SD10 test tooling shipped as runtime dependencies. All fixed; CI now runs both live-day scripts after a clean install. Companion workbook v038; 51 suites / 323 tests at 100% zero pragmas; story counts unchanged.</t>
        </is>
      </c>
      <c r="E35" s="19" t="inlineStr">
        <is>
          <t>Released</t>
        </is>
      </c>
    </row>
    <row r="36" ht="15" customHeight="1" s="15">
      <c r="A36" s="19" t="inlineStr">
        <is>
          <t>v033</t>
        </is>
      </c>
      <c r="B36" s="19" t="inlineStr">
        <is>
          <t>2026-09-13 20:10</t>
        </is>
      </c>
      <c r="C36" s="19" t="inlineStr">
        <is>
          <t>Claude for Senthil/KP</t>
        </is>
      </c>
      <c r="D36" s="19" t="inlineStr">
        <is>
          <t>Session 34 logged (E077): clean-checkout rehearsal of the full delivery exposed F-057 (no server entry point shipped despite the guide instructing operators to start one since session 10); scripts/serve.ts now ships as npm start with a verifier seam that refuses to run unconfigured. Rehearsal from the delivered zip: 8 automated checks passed, 0 failed. Companion workbook v039; 52 suites / 327 tests at 100% zero pragmas; story counts unchanged.</t>
        </is>
      </c>
      <c r="E36" s="19" t="inlineStr">
        <is>
          <t>Released</t>
        </is>
      </c>
    </row>
    <row r="37" ht="15" customHeight="1" s="15">
      <c r="A37" s="19" t="inlineStr">
        <is>
          <t>v034</t>
        </is>
      </c>
      <c r="B37" s="19" t="inlineStr">
        <is>
          <t>2026-09-13 20:26</t>
        </is>
      </c>
      <c r="C37" s="19" t="inlineStr">
        <is>
          <t>Claude for Senthil/KP</t>
        </is>
      </c>
      <c r="D37" s="19" t="inlineStr">
        <is>
          <t>Session 35 logged (E078): F-058 — the manifest's tab URLs had nothing serving them; the app now serves its own built bundle at /tab with traversal refused and a clear unbuilt message, verified live by new sweep check A-14 (9 automated checks pass). Companion workbook v040; 53 suites / 334 tests at 100% zero pragmas; story counts unchanged.</t>
        </is>
      </c>
      <c r="E37" s="19" t="inlineStr">
        <is>
          <t>Released</t>
        </is>
      </c>
    </row>
    <row r="38" ht="15" customHeight="1" s="15">
      <c r="A38" s="19" t="inlineStr">
        <is>
          <t>v035</t>
        </is>
      </c>
      <c r="B38" s="19" t="inlineStr">
        <is>
          <t>2026-09-13 20:32</t>
        </is>
      </c>
      <c r="C38" s="19" t="inlineStr">
        <is>
          <t>Claude for Senthil/KP</t>
        </is>
      </c>
      <c r="D38" s="19" t="inlineStr">
        <is>
          <t>Session 36 logged (E079): F-059 — the entry point wired no bot dependencies, leaving /api/messages at 503 and every advertised command dead; Connector sender, token exchange, explicit dev and production modes, and sweep check A-15. Companion workbook v041; 54 suites / 343 tests at 100% zero pragmas; story counts unchanged.</t>
        </is>
      </c>
      <c r="E38" s="19" t="inlineStr">
        <is>
          <t>Released</t>
        </is>
      </c>
    </row>
    <row r="39" ht="15" customHeight="1" s="15">
      <c r="A39" s="19" t="inlineStr">
        <is>
          <t>v036</t>
        </is>
      </c>
      <c r="B39" s="19" t="inlineStr">
        <is>
          <t>2026-09-13 21:56</t>
        </is>
      </c>
      <c r="C39" s="19" t="inlineStr">
        <is>
          <t>Claude for Senthil/KP</t>
        </is>
      </c>
      <c r="D39" s="19" t="inlineStr">
        <is>
          <t>Session 37 logged (E080): F-060 install/uninstall recorded nothing so ST-052/053 had no trigger; F-061 CRITICAL the retention sweep was never called in any deployment. Hooks wired through the transport and an hourly scheduler added. Companion workbook v042; 55 suites / 349 tests at 100% zero pragmas; story counts unchanged.</t>
        </is>
      </c>
      <c r="E39" s="19" t="inlineStr">
        <is>
          <t>Released</t>
        </is>
      </c>
    </row>
    <row r="40" ht="15" customHeight="1" s="15">
      <c r="A40" s="19" t="inlineStr">
        <is>
          <t>v037</t>
        </is>
      </c>
      <c r="B40" s="19" t="inlineStr">
        <is>
          <t>2026-09-13 22:55</t>
        </is>
      </c>
      <c r="C40" s="19" t="inlineStr">
        <is>
          <t>Claude for Senthil/KP</t>
        </is>
      </c>
      <c r="D40" s="19" t="inlineStr">
        <is>
          <t>Session 38 logged (E081): runtime wiring audit — F-062 CRITICAL every user resolved to owner in the shipped entry point, F-063 notification dispatcher never constructed at runtime, F-064 help index never constructed. All wired with deny-safe fallbacks and startup warnings. Companion workbook v043; 56 suites / 356 tests at 100% zero pragmas; story counts unchanged.</t>
        </is>
      </c>
      <c r="E40" s="19" t="inlineStr">
        <is>
          <t>Released</t>
        </is>
      </c>
    </row>
    <row r="41" ht="15" customHeight="1" s="15">
      <c r="A41" s="19" t="inlineStr">
        <is>
          <t>v038</t>
        </is>
      </c>
      <c r="B41" s="19" t="inlineStr">
        <is>
          <t>2026-09-13 23:05</t>
        </is>
      </c>
      <c r="C41" s="19" t="inlineStr">
        <is>
          <t>Claude for Senthil/KP</t>
        </is>
      </c>
      <c r="D41" s="19" t="inlineStr">
        <is>
          <t>Session 39 logged (E082): F-065 invented notification addresses replaced by the identity the token vouches for, F-066 Graph directory made actually enablable (token + fetcher supplied), F-067 install-count seeding wired at boot. Companion workbook v044; 57 suites / 364 tests at 100% zero pragmas; story counts unchanged.</t>
        </is>
      </c>
      <c r="E41" s="19" t="inlineStr">
        <is>
          <t>Released</t>
        </is>
      </c>
    </row>
    <row r="42" ht="15" customHeight="1" s="15">
      <c r="A42" s="19" t="inlineStr">
        <is>
          <t>v039</t>
        </is>
      </c>
      <c r="B42" s="19" t="inlineStr">
        <is>
          <t>2026-09-13 23:14</t>
        </is>
      </c>
      <c r="C42" s="19" t="inlineStr">
        <is>
          <t>Claude for Senthil/KP</t>
        </is>
      </c>
      <c r="D42" s="19" t="inlineStr">
        <is>
          <t>Session 40 logged (E083): F-068 last session's seeding never reached the observer (F-067 was reported fixed and was not), F-069 the role directory was never populated so no one could be owner or admin, F-070 errors were tagged with a hardcoded "dev", OBS-SD11 listAll made contractual so decorators cannot drop it. Companion workbook v045; 58 suites / 371 tests at 100% zero pragmas; story counts unchanged.</t>
        </is>
      </c>
      <c r="E42" s="19" t="inlineStr">
        <is>
          <t>Released</t>
        </is>
      </c>
    </row>
    <row r="43" ht="15" customHeight="1" s="15">
      <c r="A43" s="20" t="inlineStr">
        <is>
          <t>v040</t>
        </is>
      </c>
      <c r="B43" s="20" t="inlineStr">
        <is>
          <t>2026-09-20 16:40</t>
        </is>
      </c>
      <c r="C43" s="20" t="inlineStr">
        <is>
          <t>Claude for Senthil/KP</t>
        </is>
      </c>
      <c r="D43" s="20" t="inlineStr">
        <is>
          <t>Session 41 logged (E084-E093): independent review V001 actioned in full. All 20 P-series findings dispositioned and all three CRITICALs closed in code (P-001 Entra JWKS verification, P-002 Connector JWT verification, P-003 durability wired with a real Postgres tier). The review's 47-story S13-S20 plan is admitted to the tracker in full — eight new build boards, Traceability rows SD201-SD247, rollup extended to 147 stories and a by-status block with a reconciliation check. 36 stories built this session, 11 stay at "To do — Senthil" under new decision D-SD8 with their artefacts prepared and their points intact. New decisions D-SD7 (three-tier quality gate), D-SD8 (human-gated stories), D-SD9 (production is the unset default). New RAID R-S17..R-S21 and A-S4; R-S2 rewritten for the free first-party overlap. New gates LC-11 Fulfillment, LC-12 residency/legal, LC-13 durability. Companion workbook v046; codebase v0.14.0 at 68 suites / 552 tests, 100% statements-branches-functions-lines with zero pragmas, plus 9/9 real-Postgres integration tests and a passing backup/restore drill. Own goals F-071..F-074 recorded, including two defects in the release gate itself (F-073 the build never emitted the tab page; F-074 the wiring job named a test file that does not exist).</t>
        </is>
      </c>
      <c r="E43" s="20" t="inlineStr">
        <is>
          <t>Released</t>
        </is>
      </c>
    </row>
    <row r="44">
      <c r="A44" s="21" t="inlineStr">
        <is>
          <t>v041</t>
        </is>
      </c>
      <c r="B44" s="21" t="n"/>
      <c r="C44" s="21" t="n"/>
      <c r="D44" s="21" t="inlineStr">
        <is>
          <t>PLANNED: opens on whichever comes first — the cold review of this session's S13-S20 code (R-S21), or the first real sweep report from the dev tenant.</t>
        </is>
      </c>
      <c r="E44" s="21" t="inlineStr">
        <is>
          <t>Planned</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9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14" min="1" max="1"/>
    <col width="17" customWidth="1" style="14" min="2" max="2"/>
    <col width="7" customWidth="1" style="14" min="3" max="3"/>
    <col width="85" customWidth="1" style="14" min="4" max="4"/>
    <col width="26" customWidth="1" style="14" min="5" max="5"/>
    <col width="32" customWidth="1" style="14" min="6" max="6"/>
    <col width="34" customWidth="1" style="14" min="7" max="7"/>
    <col width="16" customWidth="1" style="14" min="8" max="8"/>
  </cols>
  <sheetData>
    <row r="1" ht="15" customHeight="1" s="15">
      <c r="A1" s="16" t="inlineStr">
        <is>
          <t>SPRINT TRACKER LOG — every execution event, newest last</t>
        </is>
      </c>
    </row>
    <row r="2" ht="15" customHeight="1" s="15">
      <c r="A2" s="18" t="inlineStr">
        <is>
          <t>ID</t>
        </is>
      </c>
      <c r="B2" s="18" t="inlineStr">
        <is>
          <t>Date/Time</t>
        </is>
      </c>
      <c r="C2" s="18" t="inlineStr">
        <is>
          <t>Sprint</t>
        </is>
      </c>
      <c r="D2" s="18" t="inlineStr">
        <is>
          <t>What happened</t>
        </is>
      </c>
      <c r="E2" s="18" t="inlineStr">
        <is>
          <t>Refs</t>
        </is>
      </c>
      <c r="F2" s="18" t="inlineStr">
        <is>
          <t>State changes</t>
        </is>
      </c>
      <c r="G2" s="18" t="inlineStr">
        <is>
          <t>Blockers</t>
        </is>
      </c>
      <c r="H2" s="18" t="inlineStr">
        <is>
          <t>Next</t>
        </is>
      </c>
    </row>
    <row r="3" ht="39" customHeight="1" s="15">
      <c r="A3" s="19" t="inlineStr">
        <is>
          <t>E001</t>
        </is>
      </c>
      <c r="B3" s="19" t="inlineStr">
        <is>
          <t>2026-09-10 22:26</t>
        </is>
      </c>
      <c r="C3" s="19" t="inlineStr">
        <is>
          <t>—</t>
        </is>
      </c>
      <c r="D3" s="19" t="inlineStr">
        <is>
          <t>BUILD OPENED — Senthil instruction 22:26: continue work as per sprint from workbook v005; sprint tracker + traceability + development + 100% automation testing (D13). Eighth concurrent build under D15-pending.</t>
        </is>
      </c>
      <c r="E3" s="19" t="inlineStr">
        <is>
          <t>D13,D15,v005</t>
        </is>
      </c>
      <c r="F3" s="19" t="inlineStr">
        <is>
          <t>ShiftDesk S1 opened</t>
        </is>
      </c>
      <c r="G3" s="19" t="inlineStr">
        <is>
          <t>None</t>
        </is>
      </c>
      <c r="H3" s="19" t="inlineStr">
        <is>
          <t>E002</t>
        </is>
      </c>
    </row>
    <row r="4" ht="39" customHeight="1" s="15">
      <c r="A4" s="19" t="inlineStr">
        <is>
          <t>E002</t>
        </is>
      </c>
      <c r="B4" s="19" t="inlineStr">
        <is>
          <t>2026-09-10 22:26</t>
        </is>
      </c>
      <c r="C4" s="19" t="inlineStr">
        <is>
          <t>S1</t>
        </is>
      </c>
      <c r="D4" s="19" t="inlineStr">
        <is>
          <t>S1 FOUNDATION BUILT (TypeScript/Node + React per v005 ReadMe stack): install/uninstall/reinstall lifecycle with 30-day retention window, token rotation survival, source attribution; PlatformGateway (backoff + circuit breaker) as the mock/live seam.</t>
        </is>
      </c>
      <c r="E4" s="19" t="inlineStr">
        <is>
          <t>ST-052,ST-053*,ST-055,ST-056</t>
        </is>
      </c>
      <c r="F4" s="19" t="inlineStr">
        <is>
          <t>3 S1 stories Done (8 pts); ST-051 code-complete pending live</t>
        </is>
      </c>
      <c r="G4" s="19" t="inlineStr">
        <is>
          <t>Live Teams dev-store install = Senthil (Partner Center)</t>
        </is>
      </c>
      <c r="H4" s="19" t="inlineStr">
        <is>
          <t>E003</t>
        </is>
      </c>
    </row>
    <row r="5" ht="26.25" customHeight="1" s="15">
      <c r="A5" s="19" t="inlineStr">
        <is>
          <t>E003</t>
        </is>
      </c>
      <c r="B5" s="19" t="inlineStr">
        <is>
          <t>2026-09-10 22:26</t>
        </is>
      </c>
      <c r="C5" s="19" t="inlineStr">
        <is>
          <t>S2</t>
        </is>
      </c>
      <c r="D5" s="19" t="inlineStr">
        <is>
          <t>S2 HANDOVER PT 1: defaults setup, happy path with acknowledgement flow, custom rules, error/retry surfaces, role matrix (owner/admin/member) enforced server-side.</t>
        </is>
      </c>
      <c r="E5" s="19" t="inlineStr">
        <is>
          <t>ST-001..004,ST-053,ST-054</t>
        </is>
      </c>
      <c r="F5" s="19" t="inlineStr">
        <is>
          <t>6 S2 stories Done (29 pts)</t>
        </is>
      </c>
      <c r="G5" s="19" t="inlineStr">
        <is>
          <t>None</t>
        </is>
      </c>
      <c r="H5" s="19" t="inlineStr">
        <is>
          <t>E004</t>
        </is>
      </c>
    </row>
    <row r="6" ht="39" customHeight="1" s="15">
      <c r="A6" s="19" t="inlineStr">
        <is>
          <t>E004</t>
        </is>
      </c>
      <c r="B6" s="19" t="inlineStr">
        <is>
          <t>2026-09-10 22:26</t>
        </is>
      </c>
      <c r="C6" s="19" t="inlineStr">
        <is>
          <t>S3</t>
        </is>
      </c>
      <c r="D6" s="19" t="inlineStr">
        <is>
          <t>S3 HANDOVER PT 2 + APPROVALS START: metrics/trends, permissions+audit, pause without data loss, CSV import, per-type-mute notifications; approvals policy skeleton; D13 coverage gate story delivered at 100% (supersedes &gt;=70% wording).</t>
        </is>
      </c>
      <c r="E6" s="19" t="inlineStr">
        <is>
          <t>ST-006..014,ST-085</t>
        </is>
      </c>
      <c r="F6" s="19" t="inlineStr">
        <is>
          <t>10 S3 stories Done (44 pts); ST-005 pending live surface</t>
        </is>
      </c>
      <c r="G6" s="19" t="inlineStr">
        <is>
          <t>None</t>
        </is>
      </c>
      <c r="H6" s="19" t="inlineStr">
        <is>
          <t>E005</t>
        </is>
      </c>
    </row>
    <row r="7" ht="39" customHeight="1" s="15">
      <c r="A7" s="19" t="inlineStr">
        <is>
          <t>E005</t>
        </is>
      </c>
      <c r="B7" s="19" t="inlineStr">
        <is>
          <t>2026-09-10 22:26</t>
        </is>
      </c>
      <c r="C7" s="19" t="inlineStr">
        <is>
          <t>S4</t>
        </is>
      </c>
      <c r="D7" s="19" t="inlineStr">
        <is>
          <t>S4 APPROVALS COMPLETE: auto-approve threshold, blocked categories, needs-review routing, preview/test mode; funnel events + error tracking with release tags; E2E smoke suite through API dispatcher.</t>
        </is>
      </c>
      <c r="E7" s="19" t="inlineStr">
        <is>
          <t>ST-016..020,ST-071,ST-072,ST-086</t>
        </is>
      </c>
      <c r="F7" s="19" t="inlineStr">
        <is>
          <t>8 S4 stories Done (29 pts); ST-015 pending live</t>
        </is>
      </c>
      <c r="G7" s="19" t="inlineStr">
        <is>
          <t>None</t>
        </is>
      </c>
      <c r="H7" s="19" t="inlineStr">
        <is>
          <t>E006</t>
        </is>
      </c>
    </row>
    <row r="8" ht="26.25" customHeight="1" s="15">
      <c r="A8" s="19" t="inlineStr">
        <is>
          <t>E006</t>
        </is>
      </c>
      <c r="B8" s="19" t="inlineStr">
        <is>
          <t>2026-09-10 22:26</t>
        </is>
      </c>
      <c r="C8" s="19" t="inlineStr">
        <is>
          <t>S5</t>
        </is>
      </c>
      <c r="D8" s="19" t="inlineStr">
        <is>
          <t>S5 CHECKLISTS + ALPHA HARDENING: create/tick/progress/CSV export; first-run checklist to aha (&lt;1 day design), empty states on every screen.</t>
        </is>
      </c>
      <c r="E8" s="19" t="inlineStr">
        <is>
          <t>ST-021..024,ST-026..030,ST-078,ST-079</t>
        </is>
      </c>
      <c r="F8" s="19" t="inlineStr">
        <is>
          <t>11 S5 stories Done (42 pts); ST-025 pending live</t>
        </is>
      </c>
      <c r="G8" s="19" t="inlineStr">
        <is>
          <t>Live dogfooding needs installed tenant</t>
        </is>
      </c>
      <c r="H8" s="19" t="inlineStr">
        <is>
          <t>E007</t>
        </is>
      </c>
    </row>
    <row r="9" ht="39" customHeight="1" s="15">
      <c r="A9" s="19" t="inlineStr">
        <is>
          <t>E007</t>
        </is>
      </c>
      <c r="B9" s="19" t="inlineStr">
        <is>
          <t>2026-09-10 22:26</t>
        </is>
      </c>
      <c r="C9" s="19" t="inlineStr">
        <is>
          <t>S6</t>
        </is>
      </c>
      <c r="D9" s="19" t="inlineStr">
        <is>
          <t>S6 BILLING + KUDOS: 14-day no-card trial with countdown banner, mid-cycle proration, marketplace-vs-Stripe rail decision point (mocked transactable API), kudos + leaderboard + self-kudos block.</t>
        </is>
      </c>
      <c r="E9" s="19" t="inlineStr">
        <is>
          <t>ST-031..034,ST-036..040,ST-057,ST-058</t>
        </is>
      </c>
      <c r="F9" s="19" t="inlineStr">
        <is>
          <t>11 S6 stories Done (48 pts); ST-035,ST-059 pending live</t>
        </is>
      </c>
      <c r="G9" s="19" t="inlineStr">
        <is>
          <t>Marketplace billing API needs Partner Center offer</t>
        </is>
      </c>
      <c r="H9" s="19" t="inlineStr">
        <is>
          <t>E008</t>
        </is>
      </c>
    </row>
    <row r="10" ht="39" customHeight="1" s="15">
      <c r="A10" s="19" t="inlineStr">
        <is>
          <t>E008</t>
        </is>
      </c>
      <c r="B10" s="19" t="inlineStr">
        <is>
          <t>2026-09-10 22:26</t>
        </is>
      </c>
      <c r="C10" s="19" t="inlineStr">
        <is>
          <t>S7</t>
        </is>
      </c>
      <c r="D10" s="19" t="inlineStr">
        <is>
          <t>S7 BILLING HARDENING + COMPLIANCE DOC: 7-day grace -&gt; 3 dunning emails -&gt; read-only, 80/100% limit prompts, GST/VAT invoices, save-offer cancellation + exit survey; least-privilege scope map doc (CI-tested vs SCOPE_MAP).</t>
        </is>
      </c>
      <c r="E10" s="19" t="inlineStr">
        <is>
          <t>ST-060..064</t>
        </is>
      </c>
      <c r="F10" s="19" t="inlineStr">
        <is>
          <t>5 S7 stories Done (15 pts)</t>
        </is>
      </c>
      <c r="G10" s="19" t="inlineStr">
        <is>
          <t>Design partners = human-dependent (S7 exit)</t>
        </is>
      </c>
      <c r="H10" s="19" t="inlineStr">
        <is>
          <t>E009</t>
        </is>
      </c>
    </row>
    <row r="11" ht="51.75" customHeight="1" s="15">
      <c r="A11" s="19" t="inlineStr">
        <is>
          <t>E009</t>
        </is>
      </c>
      <c r="B11" s="19" t="inlineStr">
        <is>
          <t>2026-09-10 22:26</t>
        </is>
      </c>
      <c r="C11" s="19" t="inlineStr">
        <is>
          <t>S8</t>
        </is>
      </c>
      <c r="D11" s="19" t="inlineStr">
        <is>
          <t>S8 MANAGER DASHBOARD + PLATFORM QUALITY: KPI aggregation, trends, open items; retention policy doc, audit log, rate-limit backoff + circuit breaker with graceful-degrade user comms, latency budgets (api 500ms / bot 800ms / ui 2s), heatmap, health scores, configurable alerts, weekly metrics email, CSV export.</t>
        </is>
      </c>
      <c r="E11" s="19" t="inlineStr">
        <is>
          <t>ST-041..044,ST-046..050,ST-065..067,ST-069,ST-070,ST-073..077,ST-087,ST-091</t>
        </is>
      </c>
      <c r="F11" s="19" t="inlineStr">
        <is>
          <t>18 S8 stories Done (69 pts); ST-045,ST-066 pending live</t>
        </is>
      </c>
      <c r="G11" s="19" t="inlineStr">
        <is>
          <t>Zero-downtime deploy (ST-092) needs live infra</t>
        </is>
      </c>
      <c r="H11" s="19" t="inlineStr">
        <is>
          <t>E010</t>
        </is>
      </c>
    </row>
    <row r="12" ht="39" customHeight="1" s="15">
      <c r="A12" s="19" t="inlineStr">
        <is>
          <t>E010</t>
        </is>
      </c>
      <c r="B12" s="19" t="inlineStr">
        <is>
          <t>2026-09-10 22:26</t>
        </is>
      </c>
      <c r="C12" s="19" t="inlineStr">
        <is>
          <t>—</t>
        </is>
      </c>
      <c r="D12" s="19" t="inlineStr">
        <is>
          <t>D13 TEST GATE MET (SESSION 1) — 15 Jest suites / 67 tests; 100% statements, branches, functions, lines enforced via jest.config.js coverageThreshold; TypeScript strict, tsc --noEmit clean; GitHub Actions CI.</t>
        </is>
      </c>
      <c r="E12" s="19" t="inlineStr">
        <is>
          <t>D13</t>
        </is>
      </c>
      <c r="F12" s="19" t="inlineStr">
        <is>
          <t>Evidence in Traceability col K</t>
        </is>
      </c>
      <c r="G12" s="19" t="inlineStr">
        <is>
          <t>None</t>
        </is>
      </c>
      <c r="H12" s="19" t="inlineStr">
        <is>
          <t>E011</t>
        </is>
      </c>
    </row>
    <row r="13" ht="39" customHeight="1" s="15">
      <c r="A13" s="19" t="inlineStr">
        <is>
          <t>E011</t>
        </is>
      </c>
      <c r="B13" s="19" t="inlineStr">
        <is>
          <t>2026-09-10 22:26</t>
        </is>
      </c>
      <c r="C13" s="19" t="inlineStr">
        <is>
          <t>—</t>
        </is>
      </c>
      <c r="D13" s="19" t="inlineStr">
        <is>
          <t>WORKBOOK v006 RELEASED (22:26) — Full_Backlog statuses (75 Done / 8 pending live / 1 in progress / 16 backlog), Sprint_Tracker_Log + Traceability_Matrix sheets added, Sprint_Board live COUNTIFS verified, recalc 169 formulas 0 errors. Source zip delivered.</t>
        </is>
      </c>
      <c r="E13" s="19" t="inlineStr">
        <is>
          <t>v006</t>
        </is>
      </c>
      <c r="F13" s="19" t="inlineStr">
        <is>
          <t>Session 1 closed</t>
        </is>
      </c>
      <c r="G13" s="19" t="inlineStr">
        <is>
          <t>Senthil-gated items listed E016</t>
        </is>
      </c>
      <c r="H13" s="19" t="inlineStr">
        <is>
          <t>E012</t>
        </is>
      </c>
    </row>
    <row r="14" ht="39" customHeight="1" s="15">
      <c r="A14" s="19" t="inlineStr">
        <is>
          <t>E012</t>
        </is>
      </c>
      <c r="B14" s="19" t="inlineStr">
        <is>
          <t>2026-09-10 22:54</t>
        </is>
      </c>
      <c r="C14" s="19" t="inlineStr">
        <is>
          <t>S9</t>
        </is>
      </c>
      <c r="D14" s="19" t="inlineStr">
        <is>
          <t>SESSION 2 — S9 PARTIAL: jest-axe automated WCAG suite over all 9 screens wired into CI (suite count 16 / tests 76, coverage held at 100%); submission dry-run executed against the 10-item Launch_Checklist with honest per-item statuses.</t>
        </is>
      </c>
      <c r="E14" s="19" t="inlineStr">
        <is>
          <t>ST-089,ST-097</t>
        </is>
      </c>
      <c r="F14" s="19" t="inlineStr">
        <is>
          <t>ST-089 -&gt; code-complete pending live audit; ST-097 -&gt; in progress</t>
        </is>
      </c>
      <c r="G14" s="19" t="inlineStr">
        <is>
          <t>Pen test (ST-068) = external vendor</t>
        </is>
      </c>
      <c r="H14" s="19" t="inlineStr">
        <is>
          <t>E013</t>
        </is>
      </c>
    </row>
    <row r="15" ht="51.75" customHeight="1" s="15">
      <c r="A15" s="19" t="inlineStr">
        <is>
          <t>E013</t>
        </is>
      </c>
      <c r="B15" s="19" t="inlineStr">
        <is>
          <t>2026-09-10 22:54</t>
        </is>
      </c>
      <c r="C15" s="19" t="inlineStr">
        <is>
          <t>S10</t>
        </is>
      </c>
      <c r="D15" s="19" t="inlineStr">
        <is>
          <t>S10 PARTIAL — CONTENT DRAFTED: listing copy A (benefit-led) + B (problem-led), pricing matrix + 6-question FAQ, security/trust page, 15 launch help articles, admin deployment guide, positioning one-pager. External-facing, product name only (no company name rule).</t>
        </is>
      </c>
      <c r="E15" s="19" t="inlineStr">
        <is>
          <t>ST-080,ST-093,ST-095,ST-096</t>
        </is>
      </c>
      <c r="F15" s="19" t="inlineStr">
        <is>
          <t>6 stories -&gt; Drafted</t>
        </is>
      </c>
      <c r="G15" s="19" t="inlineStr">
        <is>
          <t>Publishing needs live site/listing</t>
        </is>
      </c>
      <c r="H15" s="19" t="inlineStr">
        <is>
          <t>E014</t>
        </is>
      </c>
    </row>
    <row r="16" ht="39" customHeight="1" s="15">
      <c r="A16" s="19" t="inlineStr">
        <is>
          <t>E014</t>
        </is>
      </c>
      <c r="B16" s="19" t="inlineStr">
        <is>
          <t>2026-09-10 22:54</t>
        </is>
      </c>
      <c r="C16" s="19" t="inlineStr">
        <is>
          <t>S11</t>
        </is>
      </c>
      <c r="D16" s="19" t="inlineStr">
        <is>
          <t>S11 PARTIAL — LAUNCH OPS DRAFTED: launch-day runbook (freeze, rollback triggers, comms tree, EOD snapshot), incident comms template mirrored to in-product degrade banner, 2-min demo video script.</t>
        </is>
      </c>
      <c r="E16" s="19" t="inlineStr">
        <is>
          <t>ST-083,ST-084,ST-098</t>
        </is>
      </c>
      <c r="F16" s="19" t="inlineStr">
        <is>
          <t>ST-098 Drafted; ST-083 in progress (recording pending); ST-084 Drafted</t>
        </is>
      </c>
      <c r="G16" s="19" t="inlineStr">
        <is>
          <t>Video/screenshots (ST-094) need live product UI</t>
        </is>
      </c>
      <c r="H16" s="19" t="inlineStr">
        <is>
          <t>E015</t>
        </is>
      </c>
    </row>
    <row r="17" ht="39" customHeight="1" s="15">
      <c r="A17" s="19" t="inlineStr">
        <is>
          <t>E015</t>
        </is>
      </c>
      <c r="B17" s="19" t="inlineStr">
        <is>
          <t>2026-09-10 22:54</t>
        </is>
      </c>
      <c r="C17" s="19" t="inlineStr">
        <is>
          <t>—</t>
        </is>
      </c>
      <c r="D17" s="19" t="inlineStr">
        <is>
          <t>WORKBOOK v007 RELEASED (22:54) — statuses 75 Done / 9 pending live / 2 in progress / 6 drafted / 8 backlog; Launch_Checklist carries dry-run statuses; recalc 0 errors. Source zip v007 (code + content/).</t>
        </is>
      </c>
      <c r="E17" s="19" t="inlineStr">
        <is>
          <t>v007</t>
        </is>
      </c>
      <c r="F17" s="19" t="inlineStr">
        <is>
          <t>Session 2 closed</t>
        </is>
      </c>
      <c r="G17" s="19" t="inlineStr">
        <is>
          <t>—</t>
        </is>
      </c>
      <c r="H17" s="19" t="inlineStr">
        <is>
          <t>E016</t>
        </is>
      </c>
    </row>
    <row r="18" ht="51.75" customHeight="1" s="15">
      <c r="A18" s="19" t="inlineStr">
        <is>
          <t>E016</t>
        </is>
      </c>
      <c r="B18" s="19" t="inlineStr">
        <is>
          <t>2026-09-10 23:03</t>
        </is>
      </c>
      <c r="C18" s="19" t="inlineStr">
        <is>
          <t>—</t>
        </is>
      </c>
      <c r="D18" s="19" t="inlineStr">
        <is>
          <t>SANDBOX CEILING DECLARED + THIS TRACKER CREATED (v001). Everything remaining is Senthil-gated or live-gated: Partner Center enrollment + publisher attestation, live Teams dev tenant (unblocks 9 pending-live stories + LC items), pen test, chat vendor, load/backup/deploy drills, listing A/B pick, D15 (eight concurrent builds).</t>
        </is>
      </c>
      <c r="E18" s="19" t="inlineStr">
        <is>
          <t>D15</t>
        </is>
      </c>
      <c r="F18" s="19" t="inlineStr">
        <is>
          <t>Tracker live; awaiting Senthil inputs</t>
        </is>
      </c>
      <c r="G18" s="19" t="inlineStr">
        <is>
          <t>All remaining blockers = Senthil/live</t>
        </is>
      </c>
      <c r="H18" s="19" t="inlineStr">
        <is>
          <t>v002</t>
        </is>
      </c>
    </row>
    <row r="19" ht="64.5" customHeight="1" s="15">
      <c r="A19" s="19" t="inlineStr">
        <is>
          <t>E017</t>
        </is>
      </c>
      <c r="B19" s="19" t="inlineStr">
        <is>
          <t>2026-09-10 23:10</t>
        </is>
      </c>
      <c r="C19" s="19" t="inlineStr">
        <is>
          <t>S1/S9</t>
        </is>
      </c>
      <c r="D19" s="19" t="inlineStr">
        <is>
          <t>LIVE-SWEEP READINESS BUILT — teams-app/manifest.json (v1.17: bot with command list, 3 static tabs, permissions, valid-domain placeholders) + generated color/outline icons, sideload-ready zip recipe; src/config.ts typed env loader (fail-fast, redacted print); src/liveSweep.ts 12-step orchestrator mapped to every pending-live story; content/dev-tenant-setup-guide.md 30-min path.</t>
        </is>
      </c>
      <c r="E19" s="19" t="inlineStr">
        <is>
          <t>ST-051,ST-005,ST-015,ST-025,ST-052..055</t>
        </is>
      </c>
      <c r="F19" s="19" t="inlineStr">
        <is>
          <t>LC-2 -&gt; manifest-ready; S1-07 reduced to wiring-only</t>
        </is>
      </c>
      <c r="G19" s="19" t="inlineStr">
        <is>
          <t>Dev tenant + Entra app registration = Senthil</t>
        </is>
      </c>
      <c r="H19" s="19" t="inlineStr">
        <is>
          <t>E018</t>
        </is>
      </c>
    </row>
    <row r="20" ht="15" customHeight="1" s="15">
      <c r="A20" s="19" t="inlineStr">
        <is>
          <t>E018</t>
        </is>
      </c>
    </row>
    <row r="21" ht="51.75" customHeight="1" s="15">
      <c r="A21" s="19" t="inlineStr">
        <is>
          <t>E019</t>
        </is>
      </c>
      <c r="B21" s="19" t="inlineStr">
        <is>
          <t>2026-09-11 08:20</t>
        </is>
      </c>
      <c r="C21" s="19" t="inlineStr">
        <is>
          <t>S9/S11</t>
        </is>
      </c>
      <c r="D21" s="19" t="inlineStr">
        <is>
          <t>OPS PARITY PACK — load/k6-load-sweep.js (ramp 0-&gt;500 VUs = 5x expected, thresholds mirror perf.ts budgets, traffic mix 50/20/15/10/5), .github/workflows/deploy.yml blue/green (gate -&gt; green -&gt; smoke -&gt; approval-gated switch, blue warm 24h), ops/backup-restore-drill.md (sentinel-row method, RTO&lt;60m/RPO&lt;15m, sweep 12/12 pass bar).</t>
        </is>
      </c>
      <c r="E21" s="19" t="inlineStr">
        <is>
          <t>ST-088,ST-090,ST-092</t>
        </is>
      </c>
      <c r="F21" s="19" t="inlineStr">
        <is>
          <t>3 stories Backlog -&gt; Drafted; backlog now 5 (all external)</t>
        </is>
      </c>
      <c r="G21" s="19" t="inlineStr">
        <is>
          <t>Execution live-gated (staging infra + Postgres)</t>
        </is>
      </c>
      <c r="H21" s="19" t="inlineStr">
        <is>
          <t>E020</t>
        </is>
      </c>
    </row>
    <row r="22" ht="15" customHeight="1" s="15">
      <c r="A22" s="19" t="inlineStr">
        <is>
          <t>E020</t>
        </is>
      </c>
      <c r="B22" s="19" t="inlineStr">
        <is>
          <t>2026-09-11 08:20</t>
        </is>
      </c>
      <c r="C22" s="19" t="inlineStr">
        <is>
          <t>—</t>
        </is>
      </c>
      <c r="D22" s="19" t="inlineStr">
        <is>
          <t>D13 GATE RE-VERIFIED — 18 suites / 85 tests, 100% x4 unchanged (no src changes; ops artifacts only). Workbook v009 + tracker v003 released. ShiftDesk position: 75 Done / 9 pending live / 2 in progress / 9 drafted / 5 backlog; every remaining item is Senthil-gated or live-gated per Action Board v002 sitting order (dev tenant = same-day win).</t>
        </is>
      </c>
      <c r="E22" s="19" t="inlineStr">
        <is>
          <t>D13,v009</t>
        </is>
      </c>
      <c r="F22" s="19" t="inlineStr">
        <is>
          <t>Tracker at v003</t>
        </is>
      </c>
      <c r="G22" s="19" t="inlineStr">
        <is>
          <t>Dev tenant + Entra registration = 30-min same-day win</t>
        </is>
      </c>
      <c r="H22" s="19" t="inlineStr">
        <is>
          <t>v004</t>
        </is>
      </c>
    </row>
    <row r="23" ht="102.75" customHeight="1" s="15">
      <c r="A23" s="19" t="inlineStr">
        <is>
          <t>E021</t>
        </is>
      </c>
      <c r="B23" s="19" t="inlineStr">
        <is>
          <t>2026-09-11 12:51</t>
        </is>
      </c>
      <c r="C23" s="19" t="inlineStr">
        <is>
          <t>S9</t>
        </is>
      </c>
      <c r="D23" s="19" t="inlineStr">
        <is>
          <t>COLD-REVIEW PASS 1 — six defects found in own code and FIXED with pinned regressions: F-001 billing had no payment-recovery path (grace/read-only was terminal), F-002 duplicate install webhook overwrote tenant data, F-003 unbounded error/notification ledgers -&gt; FIFO 10k, F-004 backoff computed but never applied -&gt; injectable sleeper wired, F-005 negative/zero amounts auto-approved -&gt; AMOUNT_INVALID, F-006 checklist CSV export unquoted -&gt; RFC-4180. Plus F-009 corrective: ST-066 evidence had overstated — src/crypto.ts (AES-256-GCM, tamper rejection, SecretsVault redacted dump + rotation) now actually built.</t>
        </is>
      </c>
      <c r="E23" s="19" t="inlineStr">
        <is>
          <t>F-001..F-006,F-009,ST-066</t>
        </is>
      </c>
      <c r="F23" s="19" t="inlineStr">
        <is>
          <t>Review_Findings sheet added to workbook v010; ST-066 evidence now truthful</t>
        </is>
      </c>
      <c r="G23" s="19" t="inlineStr">
        <is>
          <t>F-007 (breaker half-open) + F-008 (audit persistence) = Senthil dispositions</t>
        </is>
      </c>
      <c r="H23" s="19" t="inlineStr">
        <is>
          <t>E022</t>
        </is>
      </c>
    </row>
    <row r="24" ht="15" customHeight="1" s="15">
      <c r="A24" s="19" t="inlineStr">
        <is>
          <t>E022</t>
        </is>
      </c>
      <c r="B24" s="19" t="inlineStr">
        <is>
          <t>2026-09-11 12:51</t>
        </is>
      </c>
      <c r="C24" s="19" t="inlineStr">
        <is>
          <t>—</t>
        </is>
      </c>
      <c r="D24" s="19" t="inlineStr">
        <is>
          <t>D13 GATE HELD + REVIEW_PACK.md issued for external second reviewer (ST-097 stays In progress — same-AI review not independent; pack lists claims to verify + adversarial probes incl. the naive CSV importer flagged for pass 2). 20 suites / 94 tests, 100% x4, zero pragmas. Workbook v010 + tracker v004 released.</t>
        </is>
      </c>
      <c r="E24" s="19" t="inlineStr">
        <is>
          <t>ST-097,v010</t>
        </is>
      </c>
      <c r="F24" s="19" t="inlineStr">
        <is>
          <t>Tracker at v004</t>
        </is>
      </c>
      <c r="G24" s="19" t="inlineStr">
        <is>
          <t>External reviewer + dispositions + dev tenant = Senthil</t>
        </is>
      </c>
      <c r="H24" s="19" t="inlineStr">
        <is>
          <t>v005</t>
        </is>
      </c>
    </row>
    <row r="25" ht="90" customHeight="1" s="15">
      <c r="A25" s="19" t="inlineStr">
        <is>
          <t>E023</t>
        </is>
      </c>
      <c r="B25" s="19" t="inlineStr">
        <is>
          <t>2026-09-11 20:30</t>
        </is>
      </c>
      <c r="C25" s="19" t="inlineStr">
        <is>
          <t>S9</t>
        </is>
      </c>
      <c r="D25" s="19" t="inlineStr">
        <is>
          <t>COLD-REVIEW PASS 2 (modules pass 1 skipped) — F-010 importer was naive comma-split, RFC-4180 parser wired (closes RAID R-S7); F-011 alert ledger unbounded + duplicate spam -&gt; dedupe + cap 1000; F-012 latency samples unbounded -&gt; rolling 10k window; F-013 trial banner shown to paying/grace accounts -&gt; trial-state-only. OBS-SD1 (pause blocks creates but not completes) logged for disposition. Review COMPLETE across all modules: 10 defects total found in code shipped at 100% coverage — F-V14 lesson holds here too.</t>
        </is>
      </c>
      <c r="E25" s="19" t="inlineStr">
        <is>
          <t>F-010..F-013,OBS-SD1,R-S7</t>
        </is>
      </c>
      <c r="F25" s="19" t="inlineStr">
        <is>
          <t>R-S7 closed; Review_Findings sheet extended</t>
        </is>
      </c>
      <c r="G25" s="19" t="inlineStr">
        <is>
          <t>OBS-SD1 = Senthil disposition</t>
        </is>
      </c>
      <c r="H25" s="19" t="inlineStr">
        <is>
          <t>E024</t>
        </is>
      </c>
    </row>
    <row r="26" ht="15" customHeight="1" s="15">
      <c r="A26" s="19" t="inlineStr">
        <is>
          <t>E024</t>
        </is>
      </c>
      <c r="B26" s="19" t="inlineStr">
        <is>
          <t>2026-09-11 20:30</t>
        </is>
      </c>
      <c r="C26" s="19" t="inlineStr">
        <is>
          <t>S7-S12</t>
        </is>
      </c>
      <c r="D26" s="19" t="inlineStr">
        <is>
          <t>COMPLETION WAVE (sibling-validated) — ST-081 built-in chat + 4-business-hour SLA engine (business-minutes clock, breach detection, ranked queue; vendor decision now OPTIONAL, D-SD4 flagged); ST-100 10-slot partner tracker with stale-nudge + honest exit math (G-02 counts only paying strangers); ST-099 SEO iteration engine (thin-data floor 100 impressions); ST-080 ranked help search + manifest gate over the 15 articles; ST-068 SECURITY_EVIDENCE.md sandbox half; ST-094 ASSET_PLAN.md 5-shot list; ST-095 pricing drift gate binding content to billing.ts PLANS.</t>
        </is>
      </c>
      <c r="E26" s="19" t="inlineStr">
        <is>
          <t>ST-068,080,081,094,095,099,100</t>
        </is>
      </c>
      <c r="F26" s="19" t="inlineStr">
        <is>
          <t>5 backlog stories -&gt; ceiling; BACKLOG ZERO</t>
        </is>
      </c>
      <c r="G26" s="19" t="inlineStr">
        <is>
          <t>Pen-test vendor, asset capture, partner outreach = Senthil</t>
        </is>
      </c>
      <c r="H26" s="19" t="inlineStr">
        <is>
          <t>E025</t>
        </is>
      </c>
    </row>
    <row r="27" ht="102.75" customHeight="1" s="15">
      <c r="A27" s="19" t="inlineStr">
        <is>
          <t>E025</t>
        </is>
      </c>
      <c r="B27" s="19" t="inlineStr">
        <is>
          <t>2026-09-11 20:30</t>
        </is>
      </c>
      <c r="C27" s="19" t="inlineStr">
        <is>
          <t>—</t>
        </is>
      </c>
      <c r="D27" s="19" t="inlineStr">
        <is>
          <t>SHIFTDESK CODE PHASE COMPLETE — fourth product to backlog zero (TeleField 12:47, VoiceBridge 13:32, FlowCast 15:27, ShiftDesk 20:30). Position: 75 Done / 13 code-complete pending live / 3 in progress / 9 drafted / 0 backlog. Codebase v0.11.0: 22 suites / 109 tests, 100% x4, zero pragmas. No further code sprints planned. Remaining chain all Senthil/live: dev tenant + Entra (30-min, flips 9+ stories via 12-step sweep) -&gt; Partner Center + attestation -&gt; dispositions (F-007/F-008/OBS-SD1) -&gt; external reviewer (REVIEW_PACK.md) -&gt; pen-test vendor -&gt; copy A/B + asset capture -&gt; launch runbook + partner outreach; D15 + D-SD1..4 ratifications open.</t>
        </is>
      </c>
      <c r="E27" s="19" t="inlineStr">
        <is>
          <t>D15,v011</t>
        </is>
      </c>
      <c r="F27" s="19" t="inlineStr">
        <is>
          <t>Tracker at v005; v006 opens on live evidence</t>
        </is>
      </c>
      <c r="G27" s="19" t="inlineStr">
        <is>
          <t>All remaining = Senthil</t>
        </is>
      </c>
      <c r="H27" s="19" t="inlineStr">
        <is>
          <t>v006</t>
        </is>
      </c>
    </row>
    <row r="28" ht="165.75" customHeight="1" s="15">
      <c r="A28" s="19" t="inlineStr">
        <is>
          <t>E026</t>
        </is>
      </c>
      <c r="B28" s="19" t="inlineStr">
        <is>
          <t>2026-09-13 09:52</t>
        </is>
      </c>
      <c r="C28" s="19" t="inlineStr">
        <is>
          <t>S9</t>
        </is>
      </c>
      <c r="D28" s="19" t="inlineStr">
        <is>
          <t>EXTERNAL VERIFICATION SWEEP (ShiftDesk first) — checked our assumptions against live Microsoft docs. VER-SD01 STORE-BLOCKING: asset plan said 1920x1080, real spec is 1366x768 / &lt;=1,024KB / min 3 max 5 / mobile shot mandatory / video as YouTube-Vimeo URL. VER-SD02 STORE-BLOCKING: manifest schema v1.17, current is v1.19 (1.18 never existed) and submission requires the latest. VER-SD03: deprecated top-level permissions block removed. VER-SD04: permission model corrected from org-wide Graph .All scopes to resource-specific consent (Send/Read.Group + TeamMember.Read.Group) — and the manifest had NO RSC block, so the bot could not have posted without @mention; gate LC-5 had been marked Done on that overstated doc and is now reopened-and-corrected. VER-SD06: outline icon re-cropped edge-to-edge. VER-SD05 verified-correct (botId/webApplicationInfo match, 192x192 colour icon, 3% fee) and pinned so it cannot drift. VER-SD07: AppSource now presented as Microsoft Marketplace — GTM copy note only.</t>
        </is>
      </c>
      <c r="E28" s="19" t="inlineStr">
        <is>
          <t>VER-SD01..07,ST-064,ST-094,LC-5</t>
        </is>
      </c>
      <c r="F28" s="19" t="inlineStr">
        <is>
          <t>Review_Findings extended in workbook v012; ASSET_PLAN + scope doc rewritten</t>
        </is>
      </c>
      <c r="G28" s="19" t="inlineStr">
        <is>
          <t>Live consent screen + asset capture still need the dev tenant</t>
        </is>
      </c>
      <c r="H28" s="19" t="inlineStr">
        <is>
          <t>E027</t>
        </is>
      </c>
    </row>
    <row r="29" ht="15" customHeight="1" s="15">
      <c r="A29" s="19" t="inlineStr">
        <is>
          <t>E027</t>
        </is>
      </c>
      <c r="B29" s="19" t="inlineStr">
        <is>
          <t>2026-09-13 09:52</t>
        </is>
      </c>
      <c r="C29" s="19" t="inlineStr">
        <is>
          <t>S9</t>
        </is>
      </c>
      <c r="D29" s="19" t="inlineStr">
        <is>
          <t>ARTIFACT-GAP AUDIT — VER-SD08 LIVE-BLOCKING: the manifest declared three static tabs but nothing in the codebase ever performed the TeamsJS handshake; a contentUrl page that never calls app.initialize()/notifySuccess renders a blank error-less tab in Teams. Invisible to 109 passing tests — same class as the sibling SDK gaps. Built src/teamsClient.ts boundary (initialize, context validation, theme propagation, notifySuccess/notifyFailure, explicit user-facing error when the script is absent) with 5 tests over every path; live sweep extended 12 -&gt; 14 steps (RSC consent + tab handshake) and the dev-tenant guide gains the bootstrap step. 24 suites / 120 tests at 100% zero pragmas; story counts deliberately unchanged — correctness release, no new stories.</t>
        </is>
      </c>
      <c r="E29" s="19" t="inlineStr">
        <is>
          <t>VER-SD08,ST-005/015/025/035/045</t>
        </is>
      </c>
      <c r="F29" s="19" t="inlineStr">
        <is>
          <t>Tracker at v006</t>
        </is>
      </c>
      <c r="G29" s="19" t="inlineStr">
        <is>
          <t>Dev tenant remains the single highest-leverage unlock</t>
        </is>
      </c>
      <c r="H29" s="19" t="inlineStr">
        <is>
          <t>v007</t>
        </is>
      </c>
    </row>
    <row r="30" ht="115.5" customHeight="1" s="15">
      <c r="A30" s="19" t="inlineStr">
        <is>
          <t>E028</t>
        </is>
      </c>
      <c r="B30" s="19" t="inlineStr">
        <is>
          <t>2026-09-13 10:01</t>
        </is>
      </c>
      <c r="C30" s="19" t="inlineStr">
        <is>
          <t>S2-S5</t>
        </is>
      </c>
      <c r="D30" s="19" t="inlineStr">
        <is>
          <t>GAP-SD1 LIVE-BLOCKING CLOSED — the manifest had declared three static tabs since session 3 with no page behind them; session 7 built the TeamsJS boundary but not the tab itself, so installing would have shown three broken tabs. Built web/: TabShell (bootstrap -&gt; entity routing -&gt; the real screens, with loading/error phases), typed TabApi over an injected fetcher (unauthenticated / 403 / outage each mapped to a distinct human message), entry.tsx mount reading ?entity=, index.html loading TeamsJS BEFORE tab.js, esbuild build script emitting web-dist/. 20 new tests including unmount-while-in-flight on both success and failure paths. GAP-SD3: bundles moved out of the store package; contents now asserted as exactly manifest + two icons.</t>
        </is>
      </c>
      <c r="E30" s="19" t="inlineStr">
        <is>
          <t>GAP-SD1,GAP-SD3,ST-005/015/025/035/045</t>
        </is>
      </c>
      <c r="F30" s="19" t="inlineStr">
        <is>
          <t>Five surface stories now full-stack — only in-client render pending</t>
        </is>
      </c>
      <c r="G30" s="19" t="inlineStr">
        <is>
          <t>Live tenant still required to prove in-client render (R-S8)</t>
        </is>
      </c>
      <c r="H30" s="19" t="inlineStr">
        <is>
          <t>E029</t>
        </is>
      </c>
    </row>
    <row r="31" ht="15" customHeight="1" s="15">
      <c r="A31" s="19" t="inlineStr">
        <is>
          <t>E029</t>
        </is>
      </c>
      <c r="B31" s="19" t="inlineStr">
        <is>
          <t>2026-09-13 10:01</t>
        </is>
      </c>
      <c r="C31" s="19" t="inlineStr">
        <is>
          <t>S9</t>
        </is>
      </c>
      <c r="D31" s="19" t="inlineStr">
        <is>
          <t>GAP-SD2 CLOSED — the manifest advertised /handover, /approve and /checklist in its commandLists, but no code parsed or handled a bot command; every advertised command would have returned nothing. Built src/botRouter.ts over the existing dispatcher: @mention-chip stripping, slash and case normalisation, handover/ack/approve/checklist/kudos/help, explicit usage text for all ten malformed forms, and distinct replies for permission denial vs validation failure. GAP-SD4: web-dist/demo.html capture surface (fixed 1366x768, canned data, verified rendering headless) makes listing shots 1/3/4 draftable BEFORE the tenant exists — ST-094 Drafted -&gt; In progress; finals still come from the live client since the store requires accurate UI. 26 suites / 145 tests at 100% across src/ and web/, zero pragmas.</t>
        </is>
      </c>
      <c r="E31" s="19" t="inlineStr">
        <is>
          <t>GAP-SD2,GAP-SD4,ST-094</t>
        </is>
      </c>
      <c r="F31" s="19" t="inlineStr">
        <is>
          <t>Tracker at v007</t>
        </is>
      </c>
      <c r="G31" s="19" t="inlineStr">
        <is>
          <t>Dev tenant remains the single unlock</t>
        </is>
      </c>
      <c r="H31" s="19" t="inlineStr">
        <is>
          <t>v008</t>
        </is>
      </c>
    </row>
    <row r="32" ht="153" customHeight="1" s="15">
      <c r="A32" s="19" t="inlineStr">
        <is>
          <t>E030</t>
        </is>
      </c>
      <c r="B32" s="19" t="inlineStr">
        <is>
          <t>2026-09-13 10:24</t>
        </is>
      </c>
      <c r="C32" s="19" t="inlineStr">
        <is>
          <t>S9</t>
        </is>
      </c>
      <c r="D32" s="19" t="inlineStr">
        <is>
          <t>COLD-REVIEW PASS 3 — the code written in sessions 5-8 (web tab layer, bot router, chat/partners/SEO/help modules, config, crypto) had never been adversarially reviewed; the portfolio lesson says new code needs its own pass. Six defects found and fixed with pinned regressions. F-016 (High): TabApi read the SSO token, checked it was non-null, and never sent it — every tab API call would have been unauthenticated in production; the suite passed because the fetcher was injected and no test ever asserted on headers, the same "computed but never applied" class as F-004. F-014: Infinity and 1e999 passed the "amount &gt; 0" guard added in pass 1. F-015: the checklist parser filtered empty segments before assigning the title, so a missing title silently promoted task 1 — a wrong artifact rather than an error. F-017: bootstrap was not idempotent. F-018: internal codes like SELF_KUDOS_NOT_ALLOWED were shown verbatim to frontline staff. F-019: SHIFTDESK_TRIAL_DAYS was validated then ignored by a hard-coded 14.</t>
        </is>
      </c>
      <c r="E32" s="19" t="inlineStr">
        <is>
          <t>F-014..F-019</t>
        </is>
      </c>
      <c r="F32" s="19" t="inlineStr">
        <is>
          <t>Review_Findings extended in workbook v014</t>
        </is>
      </c>
      <c r="G32" s="19" t="inlineStr">
        <is>
          <t>None — all fixed in-session</t>
        </is>
      </c>
      <c r="H32" s="19" t="inlineStr">
        <is>
          <t>E031</t>
        </is>
      </c>
    </row>
    <row r="33" ht="15" customHeight="1" s="15">
      <c r="A33" s="19" t="inlineStr">
        <is>
          <t>E031</t>
        </is>
      </c>
      <c r="B33" s="19" t="inlineStr">
        <is>
          <t>2026-09-13 10:24</t>
        </is>
      </c>
      <c r="C33" s="19" t="inlineStr">
        <is>
          <t>—</t>
        </is>
      </c>
      <c r="D33" s="19" t="inlineStr">
        <is>
          <t>OBS-SD2 closed: a dead defensive branch (parts[0] ?? '') was removed rather than covered with an unreachable-state test — noted so the pattern is recognised, since chasing an impossible branch to keep a coverage number is exactly how coverage stops meaning anything. Running total across three review passes: 19 defects and 3 observations in code that has held 100% coverage throughout. 27 suites / 151 tests at 100% zero pragmas; story counts deliberately unchanged. Every remaining item is still Senthil-gated or live-gated.</t>
        </is>
      </c>
      <c r="E33" s="19" t="inlineStr">
        <is>
          <t>OBS-SD2,D13</t>
        </is>
      </c>
      <c r="F33" s="19" t="inlineStr">
        <is>
          <t>Tracker at v008</t>
        </is>
      </c>
      <c r="G33" s="19" t="inlineStr">
        <is>
          <t>Dev tenant remains the single unlock</t>
        </is>
      </c>
      <c r="H33" s="19" t="inlineStr">
        <is>
          <t>v009</t>
        </is>
      </c>
    </row>
    <row r="34" ht="153" customHeight="1" s="15">
      <c r="A34" s="19" t="inlineStr">
        <is>
          <t>E032</t>
        </is>
      </c>
      <c r="B34" s="19" t="inlineStr">
        <is>
          <t>2026-09-13 10:37</t>
        </is>
      </c>
      <c r="C34" s="19" t="inlineStr">
        <is>
          <t>S1/S9</t>
        </is>
      </c>
      <c r="D34" s="19" t="inlineStr">
        <is>
          <t>GAP-SD5 LIVE-BLOCKING CLOSED — audited what the tab client actually calls against what anything serves. No HTTP server existed at all; /api/handovers, /api/checklists/today and /api/checklists/today/check had no handler anywhere, /api/dashboard and /api/handover/ack existed only under different names inside the in-process dispatcher, and /api/messages — the Azure Bot messaging endpoint named in the dev-tenant guide and the k6 harness — did not exist. Every tab would have loaded (session 8 fixed that) and then failed on its first call. Built src/server.ts: pure router serving all five tab paths plus /api/messages, public /health and /status reflecting the circuit breaker, bearer auth enforced before any work with 401-unauthenticated, 401-invalid-token, 403-permission and 405-wrong-verb all distinct; dispatcher gained the three missing routes and the services behind them. src/bootstrap.ts wires node:http from the typed config and is verified over a real socket in test.</t>
        </is>
      </c>
      <c r="E34" s="19" t="inlineStr">
        <is>
          <t>GAP-SD5,F-016,ST-070</t>
        </is>
      </c>
      <c r="F34" s="19" t="inlineStr">
        <is>
          <t>Tab + bot surfaces end-to-end in code; sweep 14 -&gt; 15 steps</t>
        </is>
      </c>
      <c r="G34" s="19" t="inlineStr">
        <is>
          <t>In-client proof still needs the dev tenant (R-S8)</t>
        </is>
      </c>
      <c r="H34" s="19" t="inlineStr">
        <is>
          <t>E033</t>
        </is>
      </c>
    </row>
    <row r="35" ht="15" customHeight="1" s="15">
      <c r="A35" s="19" t="inlineStr">
        <is>
          <t>E033</t>
        </is>
      </c>
      <c r="B35" s="19" t="inlineStr">
        <is>
          <t>2026-09-13 10:37</t>
        </is>
      </c>
      <c r="C35" s="19" t="inlineStr">
        <is>
          <t>—</t>
        </is>
      </c>
      <c r="D35" s="19" t="inlineStr">
        <is>
          <t>PARITY TEST ADDED — reads web/tabApi.ts, extracts every path it calls, and asserts each is served under at least one verb, so a client route with no server handler now fails CI (the manifest-vs-code assertions from session 8 did the same for tab and bot promises). OBS-SD3: a second dead defensive branch removed rather than covered with an unreachable-state test. Three consecutive sessions have each found a gap the previous ones missed: blank tabs (session 8), unauthenticated calls (session 9), no server to call (session 10) — each invisible to a suite at 100%. 29 suites / 163 tests at 100% zero pragmas; story counts deliberately unchanged.</t>
        </is>
      </c>
      <c r="E35" s="19" t="inlineStr">
        <is>
          <t>GAP-SD5,OBS-SD3,D13</t>
        </is>
      </c>
      <c r="F35" s="19" t="inlineStr">
        <is>
          <t>Tracker at v009</t>
        </is>
      </c>
      <c r="G35" s="19" t="inlineStr">
        <is>
          <t>Dev tenant remains the single unlock</t>
        </is>
      </c>
      <c r="H35" s="19" t="inlineStr">
        <is>
          <t>v010</t>
        </is>
      </c>
    </row>
    <row r="36" ht="153" customHeight="1" s="15">
      <c r="A36" s="19" t="inlineStr">
        <is>
          <t>E034</t>
        </is>
      </c>
      <c r="B36" s="19" t="inlineStr">
        <is>
          <t>2026-09-13 10:42</t>
        </is>
      </c>
      <c r="C36" s="19" t="inlineStr">
        <is>
          <t>S1/S9</t>
        </is>
      </c>
      <c r="D36" s="19" t="inlineStr">
        <is>
          <t>VERIFICATION SWEEP 2 — BOT TRANSPORT SEAM. Checked session 10's /api/messages against live Bot Framework documentation and found it wrong in every dimension. VER-SD09 LIVE-BLOCKING: it demanded our tab SSO bearer token and read a {text} body; the Bot Connector calls with its own RS256 JWT bound to the activity serviceUrl and sends an Activity — every real Teams message would have been 401'd. VER-SD10 LIVE-BLOCKING: replies were returned in the HTTP response body; the Connector model is ack, then post the reply to the conversation at serviceUrl with bot credentials — no reply would ever have reached a channel. VER-SD11: sender identity must come from from.aadObjectId with the tenant in channelData. VER-SD12: conversationUpdate was unhandled, so the install welcome (ST-051, the under-2-minute activation evidence) had no delivery path at all, and unacked activity types would be retried.</t>
        </is>
      </c>
      <c r="E36" s="19" t="inlineStr">
        <is>
          <t>VER-SD09..SD12,ST-051</t>
        </is>
      </c>
      <c r="F36" s="19" t="inlineStr">
        <is>
          <t>src/botTransport.ts built as a separate trust boundary; server gains an async activity path; bootstrap takes injected auth/sender/role deps</t>
        </is>
      </c>
      <c r="G36" s="19" t="inlineStr">
        <is>
          <t>Live Connector behaviour still needs the dev tenant (R-S8)</t>
        </is>
      </c>
      <c r="H36" s="19" t="inlineStr">
        <is>
          <t>E035</t>
        </is>
      </c>
    </row>
    <row r="37" ht="15" customHeight="1" s="15">
      <c r="A37" s="19" t="inlineStr">
        <is>
          <t>E035</t>
        </is>
      </c>
      <c r="B37" s="19" t="inlineStr">
        <is>
          <t>2026-09-13 10:42</t>
        </is>
      </c>
      <c r="C37" s="19" t="inlineStr">
        <is>
          <t>—</t>
        </is>
      </c>
      <c r="D37" s="19" t="inlineStr">
        <is>
          <t>COLLATERAL CORRECTIONS + PATTERN. serviceUrl allowlisted to Bot Connector hosts before any outbound reply; activity ids deduped in a bounded ledger so Connector retries cannot double-post a handover; k6 harness now posts a real Activity and asserts an empty-body ack; sweep steps SW-03/SW-05 reworded to the true mechanics; dev-tenant guide states plainly that the bot endpoint is a different trust boundary from the tab API. NOTE FOR THE RECORD: both live-blockers were introduced by the immediately preceding session and passed its own tests — new integration code is wrong until checked against the vendor's documentation, not against our own assumptions. 30 suites / 174 tests at 100% zero pragmas; story counts deliberately unchanged.</t>
        </is>
      </c>
      <c r="E37" s="19" t="inlineStr">
        <is>
          <t>VER-SD10,R-S10,R-S11</t>
        </is>
      </c>
      <c r="F37" s="19" t="inlineStr">
        <is>
          <t>Tracker at v010</t>
        </is>
      </c>
      <c r="G37" s="19" t="inlineStr">
        <is>
          <t>Dev tenant remains the single unlock</t>
        </is>
      </c>
      <c r="H37" s="19" t="inlineStr">
        <is>
          <t>v011</t>
        </is>
      </c>
    </row>
    <row r="38" ht="141" customHeight="1" s="15">
      <c r="A38" s="19" t="inlineStr">
        <is>
          <t>E036</t>
        </is>
      </c>
      <c r="B38" s="19" t="inlineStr">
        <is>
          <t>2026-09-13 10:57</t>
        </is>
      </c>
      <c r="C38" s="19" t="inlineStr">
        <is>
          <t>S1/S9</t>
        </is>
      </c>
      <c r="D38" s="19" t="inlineStr">
        <is>
          <t>VER-SD13 LIVE-BLOCKING CLOSED — tab SSO. The tab had been passing the literal string "teams-sso" as its bearer token since session 8; session 9 fixed the token being dropped, but never questioned what the token was. The manifest has declared webApplicationInfo since session 3, making this the third declared-but-unimplemented promise after the tabs themselves and the bot commands. Implemented the documented flow: client-side microsoftTeams.authentication.getAuthToken() with caching to just under the ~60-minute lifetime and consent_required / invalid_grant / interaction_required surfaced as an actionable prompt rather than a generic failure; server-side validation of the Entra v2 token across all four documented audience forms, issuer-matching-tenant, token version, oid/tid, exp/nbf and the access_as_user scope, each rejection reason distinct. The JWKS signature check is an explicit injected seam (it needs network), not a silent assumption.</t>
        </is>
      </c>
      <c r="E38" s="19" t="inlineStr">
        <is>
          <t>VER-SD13,ST-054,ST-064</t>
        </is>
      </c>
      <c r="F38" s="19" t="inlineStr">
        <is>
          <t>bootstrap.ssoVerifierFor derives the expectation from config; role resolved from validated identity</t>
        </is>
      </c>
      <c r="G38" s="19" t="inlineStr">
        <is>
          <t>JWKS wiring + first-run consent only provable in the live tenant</t>
        </is>
      </c>
      <c r="H38" s="19" t="inlineStr">
        <is>
          <t>E037</t>
        </is>
      </c>
    </row>
    <row r="39" ht="15" customHeight="1" s="15">
      <c r="A39" s="19" t="inlineStr">
        <is>
          <t>E037</t>
        </is>
      </c>
      <c r="B39" s="19" t="inlineStr">
        <is>
          <t>2026-09-13 10:57</t>
        </is>
      </c>
      <c r="C39" s="19" t="inlineStr">
        <is>
          <t>—</t>
        </is>
      </c>
      <c r="D39" s="19" t="inlineStr">
        <is>
          <t>VER-SD14 + SWEEP — the Entra setup guide omitted Expose an API (Application ID URI, access_as_user scope, pre-authorized Teams clients); without it getAuthToken() cannot issue a token at all, so the guide would have produced a dead install. Added as step 4b. Scope map and least-privilege doc now list access_as_user with its validation rules; sweep gains SSO validation and first-run-consent steps, 15 -&gt; 16. Pattern for the record: each of the three manifest promises (tabs, bot commands, SSO) was declared early and implemented much later — the manifest-vs-code assertions added in session 8 now cover all three. 31 suites / 181 tests at 100% zero pragmas; story counts deliberately unchanged.</t>
        </is>
      </c>
      <c r="E39" s="19" t="inlineStr">
        <is>
          <t>VER-SD14,R-S9</t>
        </is>
      </c>
      <c r="F39" s="19" t="inlineStr">
        <is>
          <t>Tracker at v011</t>
        </is>
      </c>
      <c r="G39" s="19" t="inlineStr">
        <is>
          <t>Dev tenant remains the single unlock</t>
        </is>
      </c>
      <c r="H39" s="19" t="inlineStr">
        <is>
          <t>v012</t>
        </is>
      </c>
    </row>
    <row r="40" ht="153" customHeight="1" s="15">
      <c r="A40" s="19" t="inlineStr">
        <is>
          <t>E038</t>
        </is>
      </c>
      <c r="B40" s="19" t="inlineStr">
        <is>
          <t>2026-09-13 11:02</t>
        </is>
      </c>
      <c r="C40" s="19" t="inlineStr">
        <is>
          <t>S1/S8</t>
        </is>
      </c>
      <c r="D40" s="19" t="inlineStr">
        <is>
          <t>GAP-SD6 CLOSED — audited the requested permissions against code that consumes them. TeamMember.Read.Group had been in the manifest since session 7 and the least-privilege doc claimed it powered the role matrix, but nothing consumed it: every resolveRole on both trust boundaries was an injected stub. In a live tenant every user including team owners would have resolved to "member", making every admin-only action impossible for everyone — a defect that looks like a permissions problem and is actually a missing feature. Built src/graphMembers.ts: RSC app-token Graph client with @odata.nextLink pagination (large teams would otherwise truncate silently), 429 handling reading Retry-After as SECONDS (the sibling-product lesson), a ten-minute membership cache, and deny-safe failure — a Graph outage degrades everyone to member and never elevates. Team owners map to ShiftDesk admins; the installer recorded at install is the owner. bootstrap.rolesFrom binds the tab and bot boundaries to one directory.</t>
        </is>
      </c>
      <c r="E40" s="19" t="inlineStr">
        <is>
          <t>GAP-SD6,ST-054,ST-064</t>
        </is>
      </c>
      <c r="F40" s="19" t="inlineStr">
        <is>
          <t>Role matrix real on both boundaries; sweep step SW-09 reworded</t>
        </is>
      </c>
      <c r="G40" s="19" t="inlineStr">
        <is>
          <t>Live Graph resolution needs the dev tenant</t>
        </is>
      </c>
      <c r="H40" s="19" t="inlineStr">
        <is>
          <t>E039</t>
        </is>
      </c>
    </row>
    <row r="41" ht="15" customHeight="1" s="15">
      <c r="A41" s="19" t="inlineStr">
        <is>
          <t>E039</t>
        </is>
      </c>
      <c r="B41" s="19" t="inlineStr">
        <is>
          <t>2026-09-13 11:02</t>
        </is>
      </c>
      <c r="C41" s="19" t="inlineStr">
        <is>
          <t>—</t>
        </is>
      </c>
      <c r="D41" s="19" t="inlineStr">
        <is>
          <t>GAP-SD7 CLOSED — ChannelMessage.Send.Group was requested but never used: replies go through the Bot Connector at the activity serviceUrl with bot credentials, not through Graph. An unused grant is not least privilege, it is an extra permission on the customer consent screen we could not have justified in store review, so it has been dropped from the manifest and the published map and flagged as D-SD5 (it returns only alongside code that uses it). New contract test binds requested scopes to consumer files in BOTH directions — no scope without a consumer, no consumer without a scope. That makes four standing contract tests now guarding the seams: manifest-vs-code, client-vs-server paths, scope-vs-consumer, and pricing-vs-billing. 32 suites / 190 tests at 100% zero pragmas; story counts deliberately unchanged.</t>
        </is>
      </c>
      <c r="E41" s="19" t="inlineStr">
        <is>
          <t>GAP-SD7,D-SD5</t>
        </is>
      </c>
      <c r="F41" s="19" t="inlineStr">
        <is>
          <t>Tracker at v012</t>
        </is>
      </c>
      <c r="G41" s="19" t="inlineStr">
        <is>
          <t>D-SD5 ratification + dev tenant</t>
        </is>
      </c>
      <c r="H41" s="19" t="inlineStr">
        <is>
          <t>v013</t>
        </is>
      </c>
    </row>
    <row r="42" ht="178.5" customHeight="1" s="15">
      <c r="A42" s="19" t="inlineStr">
        <is>
          <t>E040</t>
        </is>
      </c>
      <c r="B42" s="19" t="inlineStr">
        <is>
          <t>2026-09-13 11:07</t>
        </is>
      </c>
      <c r="C42" s="19" t="inlineStr">
        <is>
          <t>S9</t>
        </is>
      </c>
      <c r="D42" s="19" t="inlineStr">
        <is>
          <t>COLD-REVIEW PASS 4 — over the six integration modules written in sessions 10-13 (server, bootstrap, bot transport, SSO validation, Graph directory, tab wiring), none previously reviewed. Five defects, two serious. F-020: the HTTP layer mapped every dispatcher route by prefix, so any authenticated frontline member could POST /api/install or /api/trial with an arbitrary tenantId and create or reset another organisation's account — lifecycle routes are now off the HTTP surface entirely rather than role-guarded, since no client should ever call them. F-024: activities were marked seen BEFORE handling, so a failed Connector send was deduped away on the Bot Service retry — a handover the supervisor believed they had posted would simply never appear; activities are now remembered only after successful handling. F-022: single-tenant mode silently denied every user because the tenant allowlist was built empty (config had no tenant id at all) — it now refuses to boot without SHIFTDESK_ALLOWED_TENANT_ID. F-021: Graph pagination had no loop or page guard. F-023: a 401 never cleared the cached token, so a stale token failed every call until a manual reload.</t>
        </is>
      </c>
      <c r="E42" s="19" t="inlineStr">
        <is>
          <t>F-020..F-024</t>
        </is>
      </c>
      <c r="F42" s="19" t="inlineStr">
        <is>
          <t>Review_Findings extended in workbook v019</t>
        </is>
      </c>
      <c r="G42" s="19" t="inlineStr">
        <is>
          <t>None — all fixed in-session</t>
        </is>
      </c>
      <c r="H42" s="19" t="inlineStr">
        <is>
          <t>E041</t>
        </is>
      </c>
    </row>
    <row r="43" ht="15" customHeight="1" s="15">
      <c r="A43" s="19" t="inlineStr">
        <is>
          <t>E041</t>
        </is>
      </c>
      <c r="B43" s="19" t="inlineStr">
        <is>
          <t>2026-09-13 11:07</t>
        </is>
      </c>
      <c r="C43" s="19" t="inlineStr">
        <is>
          <t>—</t>
        </is>
      </c>
      <c r="D43" s="19" t="inlineStr">
        <is>
          <t>RUNNING TOTALS — 24 defects and 3 observations across four cold-review passes, all in code that has held 100% coverage and zero pragmas throughout. The two serious ones this pass were both authorization/data-integrity class and both sat in code written to close earlier gaps: the pattern from R-S10 (new code is the least-reviewed code) now has four passes of evidence behind it. 33 suites / 196 tests at 100%; story counts deliberately unchanged. Every remaining item is Senthil-gated or live-gated; the dev tenant unlocks 9 pending-live stories via the 16-step sweep.</t>
        </is>
      </c>
      <c r="E43" s="19" t="inlineStr">
        <is>
          <t>R-S10,D13</t>
        </is>
      </c>
      <c r="F43" s="19" t="inlineStr">
        <is>
          <t>Tracker at v013</t>
        </is>
      </c>
      <c r="G43" s="19" t="inlineStr">
        <is>
          <t>Dev tenant + D-SD5 + dispositions</t>
        </is>
      </c>
      <c r="H43" s="19" t="inlineStr">
        <is>
          <t>v014</t>
        </is>
      </c>
    </row>
    <row r="44" ht="165.75" customHeight="1" s="15">
      <c r="A44" s="19" t="inlineStr">
        <is>
          <t>E042</t>
        </is>
      </c>
      <c r="B44" s="19" t="inlineStr">
        <is>
          <t>2026-09-13 11:12</t>
        </is>
      </c>
      <c r="C44" s="19" t="inlineStr">
        <is>
          <t>S1/S8</t>
        </is>
      </c>
      <c r="D44" s="19" t="inlineStr">
        <is>
          <t>GAP-SD8 LIVE-BLOCKING CLOSED — audited the documented architecture against the code. RAID R-S4 has said since session 1 that persistence was "in-memory behind typed repositories" and that the live swap would be "wiring only"; that claim was repeated in three workbook releases and was false. There were no repositories: every service held bare Maps. In a live tenant a restart or the blue/green swap built in session 4 would have destroyed every handover, checklist, kudos, audit entry and billing account; the backup/restore drill had no schema to target; the published 365-day retention and 30-day uninstall deletion policies had no mechanism behind them; and more than one instance was impossible. Built src/repository.ts (Repository interface, InMemoryRepository, PostgresRepository over an injected SqlClient) plus migrations/001_init.sql — a tenant-scoped record table with the primary key ordered for cheap purge and an index for list-by-kind. purgeTenant gives ST-052 and ST-069 real implementations; DurableAuditLog replaces the in-memory compliance trail F-008 flagged.</t>
        </is>
      </c>
      <c r="E44" s="19" t="inlineStr">
        <is>
          <t>GAP-SD8,R-S4,ST-052,ST-067,ST-069,ST-090,ST-092</t>
        </is>
      </c>
      <c r="F44" s="19" t="inlineStr">
        <is>
          <t>One contract suite runs against both implementations so dev and production paths cannot drift; bootstrap selects by config and the banner warns when no database is configured</t>
        </is>
      </c>
      <c r="G44" s="19" t="inlineStr">
        <is>
          <t>Schema, indexes and migration correctness unproven until the drill runs on live Postgres (OBS-SD4)</t>
        </is>
      </c>
      <c r="H44" s="19" t="inlineStr">
        <is>
          <t>E043</t>
        </is>
      </c>
    </row>
    <row r="45" ht="15" customHeight="1" s="15">
      <c r="A45" s="19" t="inlineStr">
        <is>
          <t>E043</t>
        </is>
      </c>
      <c r="B45" s="19" t="inlineStr">
        <is>
          <t>2026-09-13 11:12</t>
        </is>
      </c>
      <c r="C45" s="19" t="inlineStr">
        <is>
          <t>—</t>
        </is>
      </c>
      <c r="D45" s="19" t="inlineStr">
        <is>
          <t>HONESTY NOTE + SWEEP — OBS-SD4 recorded openly: the fake SQL client in the contract suite understands only the five statements the repository issues; it is a fake, not a database, so JSONB semantics, index behaviour and migration correctness stay unproven until live Postgres. Sweep gains SW-13 (handovers, checklists and audit survive a restart / blue-green swap), 16 -&gt; 17 steps, and the backup drill now targets the real schema. Wider point for the record: this is the fifth gap found by comparing a document's claim against the code, after tabs, bot commands, SSO and permissions. Claims in RAID and design notes are now treated as unverified until a test binds them. 34 suites / 208 tests at 100% zero pragmas; story counts deliberately unchanged.</t>
        </is>
      </c>
      <c r="E45" s="19" t="inlineStr">
        <is>
          <t>OBS-SD4,R-S4</t>
        </is>
      </c>
      <c r="F45" s="19" t="inlineStr">
        <is>
          <t>Tracker at v014</t>
        </is>
      </c>
      <c r="G45" s="19" t="inlineStr">
        <is>
          <t>Dev tenant + Postgres + D-SD5</t>
        </is>
      </c>
      <c r="H45" s="19" t="inlineStr">
        <is>
          <t>v015</t>
        </is>
      </c>
    </row>
    <row r="46" ht="165.75" customHeight="1" s="15">
      <c r="A46" s="19" t="inlineStr">
        <is>
          <t>E044</t>
        </is>
      </c>
      <c r="B46" s="19" t="inlineStr">
        <is>
          <t>2026-09-13 11:16</t>
        </is>
      </c>
      <c r="C46" s="19" t="inlineStr">
        <is>
          <t>S1/S8</t>
        </is>
      </c>
      <c r="D46" s="19" t="inlineStr">
        <is>
          <t>GAP-SD8b — SELF-AUDIT OF THE PREVIOUS SESSION. Session 15 closed GAP-SD8 by building the repository, but wired only the audit log through it; every feature service still held bare Maps, so a restart would still have lost every handover, approval, checklist and kudos. The durability fix was half-done and reported as done — the same claim-vs-code pattern the same session had just criticised. Closed properly: pure snapshot/restore added to the sync service core (items, rules, pause state, sequence counters, checklist tasks and current list, approval policy and request log, kudos tallies) and src/persistence.ts hydrates an app from the repository at startup and writes back after each mutating route, touching only the modules that route affects. The HTTP layer routes through handlePersisted. Proven by populating a tenant, discarding the process, and restoring into a fresh app — including that restored sequence counters continue instead of colliding, that a failed mutation writes nothing, and that a repository write failure is surfaced rather than swallowed.</t>
        </is>
      </c>
      <c r="E46" s="19" t="inlineStr">
        <is>
          <t>GAP-SD8b,ST-002,ST-012,ST-022,ST-032</t>
        </is>
      </c>
      <c r="F46" s="19" t="inlineStr">
        <is>
          <t>Durability claim now true for the four feature modules plus the audit trail</t>
        </is>
      </c>
      <c r="G46" s="19" t="inlineStr">
        <is>
          <t>Live Postgres verification still pending (OBS-SD4)</t>
        </is>
      </c>
      <c r="H46" s="19" t="inlineStr">
        <is>
          <t>E045</t>
        </is>
      </c>
    </row>
    <row r="47" ht="15" customHeight="1" s="15">
      <c r="A47" s="19" t="inlineStr">
        <is>
          <t>E045</t>
        </is>
      </c>
      <c r="B47" s="19" t="inlineStr">
        <is>
          <t>2026-09-13 11:16</t>
        </is>
      </c>
      <c r="C47" s="19" t="inlineStr">
        <is>
          <t>—</t>
        </is>
      </c>
      <c r="D47" s="19" t="inlineStr">
        <is>
          <t>OBS-SD5 — scope stated rather than implied: billing accounts, install/uninstall records, support chat and telemetry remain process-memory only and are the next persistence slice; this is written into the backup drill so nobody reads "persistence done" as "everything persists". Dev-tenant guide gains step 8a: set DATABASE_URL and run the migration before the pilot, because the in-memory fallback boots fine and silently loses tenants. 35 suites / 213 tests at 100% zero pragmas; story counts deliberately unchanged.</t>
        </is>
      </c>
      <c r="E47" s="19" t="inlineStr">
        <is>
          <t>OBS-SD5,ST-090</t>
        </is>
      </c>
      <c r="F47" s="19" t="inlineStr">
        <is>
          <t>Tracker at v015</t>
        </is>
      </c>
      <c r="G47" s="19" t="inlineStr">
        <is>
          <t>Dev tenant + Postgres + D-SD5</t>
        </is>
      </c>
      <c r="H47" s="19" t="inlineStr">
        <is>
          <t>v016</t>
        </is>
      </c>
    </row>
    <row r="48" ht="115.5" customHeight="1" s="15">
      <c r="A48" s="19" t="inlineStr">
        <is>
          <t>E046</t>
        </is>
      </c>
      <c r="B48" s="19" t="inlineStr">
        <is>
          <t>2026-09-13 11:21</t>
        </is>
      </c>
      <c r="C48" s="19" t="inlineStr">
        <is>
          <t>S1/S6</t>
        </is>
      </c>
      <c r="D48" s="19" t="inlineStr">
        <is>
          <t>PERSISTENCE SLICE 2 — the state named in OBS-SD5. Billing accounts, install/uninstall records and support chat gained snapshot/restore and joined the persisted set; billing and install use an explicit LIFECYCLE_MODULES list because F-020 removed those operations from the HTTP surface, so their callers persist directly rather than relying on a route. What this prevents, proven across a simulated restart: trial clocks no longer reset on deploy, a grace window keeps running instead of restarting, dunning resumes at 3 rather than at 1, the 30-day uninstall deletion window and the re-install restore it protects survive (ST-052/ST-053), an expired window is still purged afterwards, and a breached support SLA is not forgiven by a deploy.</t>
        </is>
      </c>
      <c r="E48" s="19" t="inlineStr">
        <is>
          <t>OBS-SD5a,ST-052,ST-053,ST-057,ST-060</t>
        </is>
      </c>
      <c r="F48" s="19" t="inlineStr">
        <is>
          <t>Lifecycle state durable</t>
        </is>
      </c>
      <c r="G48" s="19" t="inlineStr">
        <is>
          <t>Live Postgres verification still pending (OBS-SD4)</t>
        </is>
      </c>
      <c r="H48" s="19" t="inlineStr">
        <is>
          <t>E047</t>
        </is>
      </c>
    </row>
    <row r="49" ht="15" customHeight="1" s="15">
      <c r="A49" s="19" t="inlineStr">
        <is>
          <t>E047</t>
        </is>
      </c>
      <c r="B49" s="19" t="inlineStr">
        <is>
          <t>2026-09-13 11:21</t>
        </is>
      </c>
      <c r="C49" s="19" t="inlineStr">
        <is>
          <t>—</t>
        </is>
      </c>
      <c r="D49" s="19" t="inlineStr">
        <is>
          <t>F-025 — FOUND BY A FAILING TEST, NOT BY READING THE CODE. A lifecycle assertion failed in a way that made no sense until the cause showed: InMemoryRepository stored live object references, so a caller mutating an object after put() silently rewrote "persisted" state and two hydrations shared one object. PostgresRepository round-trips through JSON and does neither — the dev path and the production path behaved differently, which is precisely the drift the shared contract suite was built to prevent, and a resulting bug would have reproduced only in production. Fixed with copy-in/copy-out and pinned by a contract test that mutates after put, after get and after list, run against both implementations. OBS-SD6 accepted openly: telemetry counters stay unpersisted — event-shaped rather than snapshot-shaped, re-derivable, and already exported (ST-076); persisting them needs an event store, not this table. 36 suites / 219 tests at 100% zero pragmas; story counts deliberately unchanged.</t>
        </is>
      </c>
      <c r="E49" s="19" t="inlineStr">
        <is>
          <t>F-025,OBS-SD6</t>
        </is>
      </c>
      <c r="F49" s="19" t="inlineStr">
        <is>
          <t>Tracker at v016</t>
        </is>
      </c>
      <c r="G49" s="19" t="inlineStr">
        <is>
          <t>Dev tenant + Postgres + D-SD5</t>
        </is>
      </c>
      <c r="H49" s="19" t="inlineStr">
        <is>
          <t>v017</t>
        </is>
      </c>
    </row>
    <row r="50" ht="165.75" customHeight="1" s="15">
      <c r="A50" s="19" t="inlineStr">
        <is>
          <t>E048</t>
        </is>
      </c>
      <c r="B50" s="19" t="inlineStr">
        <is>
          <t>2026-09-13 11:25</t>
        </is>
      </c>
      <c r="C50" s="19" t="inlineStr">
        <is>
          <t>S1/S8</t>
        </is>
      </c>
      <c r="D50" s="19" t="inlineStr">
        <is>
          <t>F-026 CRITICAL — CROSS-TENANT DATA EXPOSURE. The request context carried no tenant at all, and the server held ONE ShiftDeskApp for the entire process. Every authenticated user of every customer organisation therefore read and wrote the same handovers, approvals, checklists and kudos: a supervisor at one company would have opened their home tab and seen another company's shift briefs. This is the most serious defect found in ShiftDesk and would have been a reportable breach on day one of the pilot. It survived four cold-review passes, three verification sweeps and five gap audits partly because the persistence work of sessions 15-17 was properly tenant-scoped — the store looked correct while the runtime shared everything. Fixed by making tenant part of identity (Ctx.tenantId, the SSO verifier returning the tid it had already validated, the bot taking the tenant from activity channelData) and adding src/tenantRegistry.ts: one app per tenant, hydrated from that tenant's own records on first use, single-flight so concurrent first requests hydrate once, bounded eviction that is safe because the state is durable.</t>
        </is>
      </c>
      <c r="E50" s="19" t="inlineStr">
        <is>
          <t>F-026,ST-054,ST-064,ST-066</t>
        </is>
      </c>
      <c r="F50" s="19" t="inlineStr">
        <is>
          <t>Pinned: one tenant writes, another reads empty; separate hydration across a restart; bot and API share one per-tenant app</t>
        </is>
      </c>
      <c r="G50" s="19" t="inlineStr">
        <is>
          <t>Live multi-tenant proof still needs two dev tenants (LC-4)</t>
        </is>
      </c>
      <c r="H50" s="19" t="inlineStr">
        <is>
          <t>E049</t>
        </is>
      </c>
    </row>
    <row r="51" ht="15" customHeight="1" s="15">
      <c r="A51" s="19" t="inlineStr">
        <is>
          <t>E049</t>
        </is>
      </c>
      <c r="B51" s="19" t="inlineStr">
        <is>
          <t>2026-09-13 11:25</t>
        </is>
      </c>
      <c r="C51" s="19" t="inlineStr">
        <is>
          <t>—</t>
        </is>
      </c>
      <c r="D51" s="19" t="inlineStr">
        <is>
          <t>TWO MORE FROM THE SAME WORK. F-027: bot-driven mutations were never persisted at all — a handover created by the bot lived only in memory and vanished on the next deploy, while the identical handover created from the tab survived; the transport now carries an after-mutation callback, proven by creating through the bot and reading back through the API after a restart. F-028: my own F-026 change made handlePersisted authenticate before dispatch, so /health and /status began demanding a token — load-balancer and status-page probes would have failed on deploy. An existing test caught it within the same session, which is the argument for keeping regression tests that assert boring things. 37 suites / 227 tests at 100% zero pragmas; story counts deliberately unchanged.</t>
        </is>
      </c>
      <c r="E51" s="19" t="inlineStr">
        <is>
          <t>F-027,F-028</t>
        </is>
      </c>
      <c r="F51" s="19" t="inlineStr">
        <is>
          <t>Tracker at v017</t>
        </is>
      </c>
      <c r="G51" s="19" t="inlineStr">
        <is>
          <t>Dev tenant + Postgres + D-SD5</t>
        </is>
      </c>
      <c r="H51" s="19" t="inlineStr">
        <is>
          <t>v018</t>
        </is>
      </c>
    </row>
    <row r="52" ht="128.25" customHeight="1" s="15">
      <c r="A52" s="19" t="inlineStr">
        <is>
          <t>E050</t>
        </is>
      </c>
      <c r="B52" s="19" t="inlineStr">
        <is>
          <t>2026-09-13 11:51</t>
        </is>
      </c>
      <c r="C52" s="19" t="inlineStr">
        <is>
          <t>S8/S9</t>
        </is>
      </c>
      <c r="D52" s="19" t="inlineStr">
        <is>
          <t>F-029 CRITICAL — THE DELETION POLICY DELETED NOTHING. Following the R-S13 lesson (audit the property, not the unit), checked the published retention commitments against what the code actually removes. purgeTenant had been built in session 15 with zero callers. DataRights operated on an in-memory Map that no other code ever wrote to, so "delete my data" deleted nothing at all. install.purgeExpired dropped only an in-memory bookkeeping entry, leaving every persisted record in place indefinitely. The trust page, the store listing and the data-flow document all promised a 30-day deletion the product did not perform — and the persistence work of sessions 15-17 made the promise less true, not more, because there was finally real data to leave behind. A cached tenant app would also have kept serving deleted data until eviction.</t>
        </is>
      </c>
      <c r="E52" s="19" t="inlineStr">
        <is>
          <t>F-029,ST-052,ST-065,ST-069</t>
        </is>
      </c>
      <c r="F52" s="19" t="inlineStr">
        <is>
          <t>src/tenantLifecycle.ts: durable schedule, cancel-on-reinstall (ST-053), retention sweep, immediate self-serve purge with cache eviction, and export that reads real records</t>
        </is>
      </c>
      <c r="G52" s="19" t="inlineStr">
        <is>
          <t>Live deletion proof via new sweep step SW-14</t>
        </is>
      </c>
      <c r="H52" s="19" t="inlineStr">
        <is>
          <t>E051</t>
        </is>
      </c>
    </row>
    <row r="53" ht="15" customHeight="1" s="15">
      <c r="A53" s="19" t="inlineStr">
        <is>
          <t>E051</t>
        </is>
      </c>
      <c r="B53" s="19" t="inlineStr">
        <is>
          <t>2026-09-13 11:51</t>
        </is>
      </c>
      <c r="C53" s="19" t="inlineStr">
        <is>
          <t>—</t>
        </is>
      </c>
      <c r="D53" s="19" t="inlineStr">
        <is>
          <t>WHAT IS PINNED — nothing deleted at day 29, everything deleted at day 31, the schedule cleared alongside the data, a re-install inside the window cancelling deletion, one tenant's deletion never touching another, and the system bucket refusing to be purged. Docs corrected rather than quietly updated: the data-flow document now names the previous behaviour and the date it changed. Two consecutive sessions have now found CRITICAL defects (F-026 cross-tenant exposure, F-029 deletion that deleted nothing), both in compliance-facing properties that no unit test was ever going to catch — the product-level audits are earning more than further unit review would. 38 suites / 233 tests at 100% zero pragmas; story counts deliberately unchanged.</t>
        </is>
      </c>
      <c r="E53" s="19" t="inlineStr">
        <is>
          <t>F-029,R-S13</t>
        </is>
      </c>
      <c r="F53" s="19" t="inlineStr">
        <is>
          <t>Tracker at v018</t>
        </is>
      </c>
      <c r="G53" s="19" t="inlineStr">
        <is>
          <t>Dev tenant + Postgres + D-SD5</t>
        </is>
      </c>
      <c r="H53" s="19" t="inlineStr">
        <is>
          <t>v019</t>
        </is>
      </c>
    </row>
    <row r="54" ht="115.5" customHeight="1" s="15">
      <c r="A54" s="19" t="inlineStr">
        <is>
          <t>E052</t>
        </is>
      </c>
      <c r="B54" s="19" t="inlineStr">
        <is>
          <t>2026-09-13 11:55</t>
        </is>
      </c>
      <c r="C54" s="19" t="inlineStr">
        <is>
          <t>S8/S9</t>
        </is>
      </c>
      <c r="D54" s="19" t="inlineStr">
        <is>
          <t>F-030 CRITICAL — THE ROLE MATRIX WAS DOCUMENTATION, NOT ENFORCEMENT. A grep of every action in the matrix against the code showed five of nine enforced nowhere: billing.manage, settings.roles, data.export, data.delete and audit.view. Two of those guard the destructive controls built in the previous session, so any caller — a frontline member included — could have deleted or exported an entire tenant, and anyone could read the compliance trail. The matrix is rendered verbatim on the Settings screen and documented as the security model, which is precisely what made it look enforced. This is the same class as a requested scope with no consumer (GAP-SD6/SD7): an action with no enforcement site is a comment.</t>
        </is>
      </c>
      <c r="E54" s="19" t="inlineStr">
        <is>
          <t>F-030,ST-054,ST-063,ST-067,ST-069</t>
        </is>
      </c>
      <c r="F54" s="19" t="inlineStr">
        <is>
          <t>Enforcement wired at each site and named in ENFORCEMENT_SITES; contract test asserts matrix and map match BOTH ways and that each file references its action</t>
        </is>
      </c>
      <c r="G54" s="19" t="inlineStr">
        <is>
          <t>Live authorization proof via new sweep step SW-15</t>
        </is>
      </c>
      <c r="H54" s="19" t="inlineStr">
        <is>
          <t>E053</t>
        </is>
      </c>
    </row>
    <row r="55" ht="15" customHeight="1" s="15">
      <c r="A55" s="19" t="inlineStr">
        <is>
          <t>E053</t>
        </is>
      </c>
      <c r="B55" s="19" t="inlineStr">
        <is>
          <t>2026-09-13 11:55</t>
        </is>
      </c>
      <c r="C55" s="19" t="inlineStr">
        <is>
          <t>—</t>
        </is>
      </c>
      <c r="D55" s="19" t="inlineStr">
        <is>
          <t>TWO CONSEQUENCES. First, deletion now writes a receipt — who, when, how many records — into the system-scoped store, so the record of a deletion survives the deletion it describes; without that, a purge erased its own evidence. Second, D-SD6: settings.roles was removed rather than enforced, because roles derive from Teams team ownership via Graph and nothing in ShiftDesk assigns them — there was no operation to guard. Flagged for ratification, same treatment as the unused scope in GAP-SD7. Three consecutive sessions have now found CRITICAL defects in compliance-facing properties (cross-tenant exposure, deletion that deleted nothing, permissions that permitted everything), none of which a unit test would have caught. 39 suites / 239 tests at 100% zero pragmas; story counts deliberately unchanged.</t>
        </is>
      </c>
      <c r="E55" s="19" t="inlineStr">
        <is>
          <t>F-030,D-SD6</t>
        </is>
      </c>
      <c r="F55" s="19" t="inlineStr">
        <is>
          <t>Tracker at v019</t>
        </is>
      </c>
      <c r="G55" s="19" t="inlineStr">
        <is>
          <t>Dev tenant + Postgres + D-SD5/D-SD6</t>
        </is>
      </c>
      <c r="H55" s="19" t="inlineStr">
        <is>
          <t>v020</t>
        </is>
      </c>
    </row>
    <row r="56" ht="115.5" customHeight="1" s="15">
      <c r="A56" s="19" t="inlineStr">
        <is>
          <t>E054</t>
        </is>
      </c>
      <c r="B56" s="19" t="inlineStr">
        <is>
          <t>2026-09-13 12:02</t>
        </is>
      </c>
      <c r="C56" s="19" t="inlineStr">
        <is>
          <t>S6/S7</t>
        </is>
      </c>
      <c r="D56" s="19" t="inlineStr">
        <is>
          <t>BILLING-INTEGRITY AUDIT — three High defects, all the F-030 shape: a state declared and never checked. F-031: "read_only" was a string written into an account and read by nothing, so a tenant whose payment failed kept unlimited write access forever and a cancelled subscription behaved exactly like an active one — the 7-day grace ladder in ST-060, repeated on the pricing page, was cosmetic. F-032: usagePrompt had zero callers, so ST-061's plan limits were advisory text nothing surfaced or enforced; seats were checked once at subscribe and never again. F-033: trials never expired — startTrial set a state nothing moved on, so a tenant that never chose a plan wrote indefinitely and the countdown banner was the only consequence of the trial ending.</t>
        </is>
      </c>
      <c r="E56" s="19" t="inlineStr">
        <is>
          <t>F-031,F-032,F-033,ST-057,ST-060,ST-061</t>
        </is>
      </c>
      <c r="F56" s="19" t="inlineStr">
        <is>
          <t>src/entitlements.ts gates mutating requests on billing state and the seat cap</t>
        </is>
      </c>
      <c r="G56" s="19" t="inlineStr">
        <is>
          <t>Live billing proof via new sweep step SW-16</t>
        </is>
      </c>
      <c r="H56" s="19" t="inlineStr">
        <is>
          <t>E055</t>
        </is>
      </c>
    </row>
    <row r="57" ht="15" customHeight="1" s="15">
      <c r="A57" s="19" t="inlineStr">
        <is>
          <t>E055</t>
        </is>
      </c>
      <c r="B57" s="19" t="inlineStr">
        <is>
          <t>2026-09-13 12:02</t>
        </is>
      </c>
      <c r="C57" s="19" t="inlineStr">
        <is>
          <t>—</t>
        </is>
      </c>
      <c r="D57" s="19" t="inlineStr">
        <is>
          <t>A DELIBERATE PRODUCT CHOICE, WRITTEN DOWN. Reads are never blocked by any billing state. Withholding a shift handover from a frontline team because an invoice bounced is the wrong failure mode for this product — the safety information is theirs, not ours — so read-only pauses creating, not reading, and every refusal message says the data is safe and readable. The seat cap behaves the same way: at the limit existing people carry on and only a NEW seat is refused, with a warning at 80%. The pricing FAQ was rewritten to describe this rather than the old wording it could not honour. 40 suites / 246 tests at 100% zero pragmas; story counts deliberately unchanged.</t>
        </is>
      </c>
      <c r="E57" s="19" t="inlineStr">
        <is>
          <t>F-031,ST-095</t>
        </is>
      </c>
      <c r="F57" s="19" t="inlineStr">
        <is>
          <t>Tracker at v020</t>
        </is>
      </c>
      <c r="G57" s="19" t="inlineStr">
        <is>
          <t>Dev tenant + Postgres + D-SD5/D-SD6</t>
        </is>
      </c>
      <c r="H57" s="19" t="inlineStr">
        <is>
          <t>v021</t>
        </is>
      </c>
    </row>
    <row r="58" ht="128.25" customHeight="1" s="15">
      <c r="A58" s="19" t="inlineStr">
        <is>
          <t>E056</t>
        </is>
      </c>
      <c r="B58" s="19" t="inlineStr">
        <is>
          <t>2026-09-13 16:27</t>
        </is>
      </c>
      <c r="C58" s="19" t="inlineStr">
        <is>
          <t>S2-S5</t>
        </is>
      </c>
      <c r="D58" s="19" t="inlineStr">
        <is>
          <t>F-034 — NOTIFICATIONS WERE NEVER DELIVERED. Five stories across the feature epics promise in-app AND email notification with per-type mute, and the mute logic was correct and well tested. What followed it was not: NotificationCenter appended to an in-memory array that the F-003 FIFO cap later discarded, so nothing reached a user on either channel and the record of the attempt was thrown away as well. In practice a supervisor would never have learned that a handover needed acknowledging. Built src/notificationDispatcher.ts with independent per-channel failure handling — a bounced email never costs the user their in-app notice, and a store outage does not stop the email — plus durable in-app items with unread and mark-read, an explicit error when no address is known rather than a silent drop, and subjects for every type the product sends.</t>
        </is>
      </c>
      <c r="E58" s="19" t="inlineStr">
        <is>
          <t>F-034,ST-010,ST-020,ST-030,ST-040,ST-050</t>
        </is>
      </c>
      <c r="F58" s="19" t="inlineStr">
        <is>
          <t>Live send proof via new sweep step SW-18</t>
        </is>
      </c>
      <c r="G58" s="19" t="inlineStr">
        <is>
          <t>Real email transport is a live wiring step</t>
        </is>
      </c>
      <c r="H58" s="19" t="inlineStr">
        <is>
          <t>E057</t>
        </is>
      </c>
    </row>
    <row r="59" ht="15" customHeight="1" s="15">
      <c r="A59" s="19" t="inlineStr">
        <is>
          <t>E057</t>
        </is>
      </c>
      <c r="B59" s="19" t="inlineStr">
        <is>
          <t>2026-09-13 16:27</t>
        </is>
      </c>
      <c r="C59" s="19" t="inlineStr">
        <is>
          <t>S8</t>
        </is>
      </c>
      <c r="D59" s="19" t="inlineStr">
        <is>
          <t>F-035 — THE LATENCY BUDGETS WERE NEVER MEASURED. ST-087 claims p95 budgets are defined and monitored, and the launch runbook makes a rollback decision on them, but LatencyMonitor had zero callers: nothing in the request path measured anything, so the rollback trigger could not have fired on launch day. The server now times every /api request and every bot activity against the right surface budget, and GET /health returns per-surface p95, budget and breach state for probes to read without a token. Health and status probes are excluded from the measurement on purpose, so cheap synthetic traffic cannot flatter the product's real latency. Runbook updated to point at the endpoint that now carries the number. 42 suites / 256 tests at 100% zero pragmas; story counts deliberately unchanged.</t>
        </is>
      </c>
      <c r="E59" s="19" t="inlineStr">
        <is>
          <t>F-035,ST-087,ST-098</t>
        </is>
      </c>
      <c r="F59" s="19" t="inlineStr">
        <is>
          <t>Tracker at v021</t>
        </is>
      </c>
      <c r="G59" s="19" t="inlineStr">
        <is>
          <t>Dev tenant + Postgres + D-SD5/D-SD6</t>
        </is>
      </c>
      <c r="H59" s="19" t="inlineStr">
        <is>
          <t>v022</t>
        </is>
      </c>
    </row>
    <row r="60" ht="115.5" customHeight="1" s="15">
      <c r="A60" s="19" t="inlineStr">
        <is>
          <t>E058</t>
        </is>
      </c>
      <c r="B60" s="19" t="inlineStr">
        <is>
          <t>2026-09-13 16:35</t>
        </is>
      </c>
      <c r="C60" s="19" t="inlineStr">
        <is>
          <t>S4/S8</t>
        </is>
      </c>
      <c r="D60" s="19" t="inlineStr">
        <is>
          <t>F-036 — THE TELEMETRY EPIC MEASURED NOTHING. All seven E7 stories were built, fully tested and called by nobody. The consequence is concrete: the S11 launch exit criterion is "activation &gt; 40%", and install, setup and aha were never recorded for any tenant, so that number could not have been produced on launch day — the gate would have been unmeasurable rather than unmet. src/observability.ts now records install on a tenant's first load, setup on its first successful mutation, aha when work completes end to end, habit at ten mutations, feature usage per route, and errors by release on 5xx; activationRate() computes the criterion. The heuristics are written in the code where they can be argued with, and a billing-blocked request counts as usage but never as progress.</t>
        </is>
      </c>
      <c r="E60" s="19" t="inlineStr">
        <is>
          <t>F-036,ST-071..ST-077</t>
        </is>
      </c>
      <c r="F60" s="19" t="inlineStr">
        <is>
          <t>Live funnel proof via new sweep step SW-19</t>
        </is>
      </c>
      <c r="G60" s="19" t="inlineStr">
        <is>
          <t>Thresholds are heuristics to tune with real data</t>
        </is>
      </c>
      <c r="H60" s="19" t="inlineStr">
        <is>
          <t>E059</t>
        </is>
      </c>
    </row>
    <row r="61" ht="15" customHeight="1" s="15">
      <c r="A61" s="19" t="inlineStr">
        <is>
          <t>E059</t>
        </is>
      </c>
      <c r="B61" s="19" t="inlineStr">
        <is>
          <t>2026-09-13 16:35</t>
        </is>
      </c>
      <c r="C61" s="19" t="inlineStr">
        <is>
          <t>S8</t>
        </is>
      </c>
      <c r="D61" s="19" t="inlineStr">
        <is>
          <t>F-037 — THE AUDIT TRAIL DID NOT SURVIVE A RESTART, AND MISSED WHAT MATTERS. Entries went to an in-memory log discarded on restart, while DurableAuditLog — built in session 15 — had no callers at all: the same built-but-never-wired pattern as F-029 and F-036, three sessions running. Coverage was also wrong-shaped: configuration changes were logged, but not the creation or completion of the records a compliance reviewer actually asks about. Creation and completion are now audited, and the server drains buffered entries to the durable per-tenant store after each successful request, so nothing is written twice and the trail outlives the process that wrote it. Proven by reading it back through a fresh log after the writing process is gone. 43 suites / 262 tests at 100% zero pragmas; story counts deliberately unchanged.</t>
        </is>
      </c>
      <c r="E61" s="19" t="inlineStr">
        <is>
          <t>F-037,ST-067</t>
        </is>
      </c>
      <c r="F61" s="19" t="inlineStr">
        <is>
          <t>Tracker at v022</t>
        </is>
      </c>
      <c r="G61" s="19" t="inlineStr">
        <is>
          <t>Dev tenant + Postgres + D-SD5/D-SD6</t>
        </is>
      </c>
      <c r="H61" s="19" t="inlineStr">
        <is>
          <t>v023</t>
        </is>
      </c>
    </row>
    <row r="62" ht="141" customHeight="1" s="15">
      <c r="A62" s="19" t="inlineStr">
        <is>
          <t>E060</t>
        </is>
      </c>
      <c r="B62" s="19" t="inlineStr">
        <is>
          <t>2026-09-13 16:40</t>
        </is>
      </c>
      <c r="C62" s="19" t="inlineStr">
        <is>
          <t>S3-S8</t>
        </is>
      </c>
      <c r="D62" s="19" t="inlineStr">
        <is>
          <t>SYSTEMATIC WIRING AUDIT — rather than guessing at the next unwired module, every one of the 112 exports was checked for callers outside its own file. F-038: six of the nine designed screens had no mount path. The tab shell rendered three; ApprovalBuilder, SettingsScreen, BillingScreen, AnalyticsScreen, HelpScreen and OnboardingScreen were components nothing rendered, and the manifest declared only three tabs. The practical effect: no way to build an approval policy at all (the F2 epic had no UI), no way to see the role matrix, no way to see trial state — which is where the entitlement messages from F-031 were supposed to appear — and no route to the fifteen help articles. Every one of those screens was individually tested and passed the accessibility audit, which is exactly what made the gap invisible. All eight entities are now routed with the API routes behind them, declared as tabs, and bound by a test asserting declared tabs equal routable entities.</t>
        </is>
      </c>
      <c r="E62" s="19" t="inlineStr">
        <is>
          <t>F-038,ST-015,ST-045,ST-080</t>
        </is>
      </c>
      <c r="F62" s="19" t="inlineStr">
        <is>
          <t>Manifest and shell can no longer drift apart</t>
        </is>
      </c>
      <c r="G62" s="19" t="inlineStr">
        <is>
          <t>Live tab render via new sweep step SW-21</t>
        </is>
      </c>
      <c r="H62" s="19" t="inlineStr">
        <is>
          <t>E061</t>
        </is>
      </c>
    </row>
    <row r="63" ht="15" customHeight="1" s="15">
      <c r="A63" s="19" t="inlineStr">
        <is>
          <t>E061</t>
        </is>
      </c>
      <c r="B63" s="19" t="inlineStr">
        <is>
          <t>2026-09-13 16:40</t>
        </is>
      </c>
      <c r="C63" s="19" t="inlineStr">
        <is>
          <t>—</t>
        </is>
      </c>
      <c r="D63" s="19" t="inlineStr">
        <is>
          <t>F-039 AND AN HONEST OPEN ITEM. F-039: the notification dispatcher built in the previous session was itself never called — the precise pattern R-S14 was raised to prevent, recurring one session later; it is now drained to the dispatcher after each successful mutation. F-040 is recorded OPEN rather than quietly fixed: the trust page states AES-256 encryption at rest, and src/crypto.ts has no callers, so the repository writes plaintext JSON and the claim is untrue unless the deployment relies on storage-level encryption. That is a decision about what the customer is promised — encrypt payloads in a repository decorator, or rely on provider-managed encryption and reword the page precisely — so it goes to Senthil rather than being resolved by whichever option is easier to code. OBS-SD7 lists what remains deliberately unwired (operator tools with no surface yet, superseded helpers, constants for tests and docs) so the next audit starts from a known baseline. 44 suites / 269 tests at 100% zero pragmas; story counts deliberately unchanged.</t>
        </is>
      </c>
      <c r="E63" s="19" t="inlineStr">
        <is>
          <t>F-039,F-040,OBS-SD7,R-S14</t>
        </is>
      </c>
      <c r="F63" s="19" t="inlineStr">
        <is>
          <t>Tracker at v023</t>
        </is>
      </c>
      <c r="G63" s="19" t="inlineStr">
        <is>
          <t>F-040 disposition + dev tenant</t>
        </is>
      </c>
      <c r="H63" s="19" t="inlineStr">
        <is>
          <t>v024</t>
        </is>
      </c>
    </row>
    <row r="64" ht="115.5" customHeight="1" s="15">
      <c r="A64" s="19" t="inlineStr">
        <is>
          <t>E062</t>
        </is>
      </c>
      <c r="B64" s="19" t="inlineStr">
        <is>
          <t>2026-09-13 16:47</t>
        </is>
      </c>
      <c r="C64" s="19" t="inlineStr">
        <is>
          <t>S8</t>
        </is>
      </c>
      <c r="D64" s="19" t="inlineStr">
        <is>
          <t>F-040 RESOLVED WITHOUT PRE-EMPTING THE DECISION. The trust page claimed AES-256 at rest while the crypto module had no callers. Rather than pick a disposition, both are now cheap: src/encryptedRepository.ts wraps any repository and encrypts record CONTENT with AES-256-GCM — fresh IV per write, tamper detection on read, and a read-through path so rows written before encryption was switched on stay readable and re-encrypt on their next write (without that, enabling encryption would silently hide existing data). It activates only when an encryption key is configured; with no key the deployment relies on provider-managed storage encryption and no code changes at all. The startup banner reports which configuration is in force.</t>
        </is>
      </c>
      <c r="E64" s="19" t="inlineStr">
        <is>
          <t>F-040,ST-066</t>
        </is>
      </c>
      <c r="F64" s="19" t="inlineStr">
        <is>
          <t>Trust page rewritten to describe both configurations</t>
        </is>
      </c>
      <c r="G64" s="19" t="inlineStr">
        <is>
          <t>Choice of configuration remains Senthil's</t>
        </is>
      </c>
      <c r="H64" s="19" t="inlineStr">
        <is>
          <t>E063</t>
        </is>
      </c>
    </row>
    <row r="65" ht="15" customHeight="1" s="15">
      <c r="A65" s="19" t="inlineStr">
        <is>
          <t>E063</t>
        </is>
      </c>
      <c r="B65" s="19" t="inlineStr">
        <is>
          <t>2026-09-13 16:47</t>
        </is>
      </c>
      <c r="C65" s="19" t="inlineStr">
        <is>
          <t>—</t>
        </is>
      </c>
      <c r="D65" s="19" t="inlineStr">
        <is>
          <t>WHAT THE PAGE NOW SAYS, AND WHAT IT DOES NOT CLAIM. Tenant, record type, identifier and timestamp stay in clear text: they are the query keys retrieval, retention sweeps and deletion depend on, so encrypting them would break the very controls F-029 built. The trust page states that explicitly rather than implying blanket encryption — a reviewer who asks "encrypted how, and what is excluded?" now gets an accurate answer. OBS-SD8 recorded openly: key rotation is not implemented, since the read-through path tolerates plaintext but not a previous key; the envelope is versioned "enc:v1:" precisely so a key-id can be added, and this is needed before any key ever changes rather than before the pilot. 45 suites / 276 tests at 100% zero pragmas; story counts deliberately unchanged.</t>
        </is>
      </c>
      <c r="E65" s="19" t="inlineStr">
        <is>
          <t>OBS-SD8,ST-065,ST-096</t>
        </is>
      </c>
      <c r="F65" s="19" t="inlineStr">
        <is>
          <t>Tracker at v024</t>
        </is>
      </c>
      <c r="G65" s="19" t="inlineStr">
        <is>
          <t>Dev tenant + D-SD5/D-SD6 + encryption choice</t>
        </is>
      </c>
      <c r="H65" s="19" t="inlineStr">
        <is>
          <t>v025</t>
        </is>
      </c>
    </row>
    <row r="66" ht="141" customHeight="1" s="15">
      <c r="A66" s="19" t="inlineStr">
        <is>
          <t>E064</t>
        </is>
      </c>
      <c r="B66" s="19" t="inlineStr">
        <is>
          <t>2026-09-13 16:51</t>
        </is>
      </c>
      <c r="C66" s="19" t="inlineStr">
        <is>
          <t>S9</t>
        </is>
      </c>
      <c r="D66" s="19" t="inlineStr">
        <is>
          <t>COLD-REVIEW PASS 5 — the seven modules built in sessions 18-25 had never been adversarially reviewed. Five defects. F-041 (High): the seat cap from F-032 could never fire, because the server asked "does this TENANT have seats" rather than "does this PERSON have one" — the 201st person on a 200-seat plan was admitted. The unit test passed the boolean in directly, so the cap looked enforced while the caller computed it wrongly: a reminder that a correct function can be called with a wrong argument and both can be green. F-042: every re-hydration counted as a fresh install, inflating installs and understating the S11 activation metric wired up one session earlier. F-043: deleting a tenant mid-hydration resurrected it — purge evicted the cache, then the in-flight load put the stale app back. F-044: two notices to the same user, type and millisecond shared an id and one overwrote the other.</t>
        </is>
      </c>
      <c r="E66" s="19" t="inlineStr">
        <is>
          <t>F-041..F-044</t>
        </is>
      </c>
      <c r="F66" s="19" t="inlineStr">
        <is>
          <t>Review_Findings extended in workbook v031</t>
        </is>
      </c>
      <c r="G66" s="19" t="inlineStr">
        <is>
          <t>None — all fixed in-session</t>
        </is>
      </c>
      <c r="H66" s="19" t="inlineStr">
        <is>
          <t>E065</t>
        </is>
      </c>
    </row>
    <row r="67" ht="15" customHeight="1" s="15">
      <c r="A67" s="19" t="inlineStr">
        <is>
          <t>E065</t>
        </is>
      </c>
      <c r="B67" s="19" t="inlineStr">
        <is>
          <t>2026-09-13 16:51</t>
        </is>
      </c>
      <c r="C67" s="19" t="inlineStr">
        <is>
          <t>—</t>
        </is>
      </c>
      <c r="D67" s="19" t="inlineStr">
        <is>
          <t>F-045 AND A CORRECTION MADE IN THE OPEN. Notifications were drained from the buffer BEFORE delivery was attempted, so a mail outage discarded them permanently. The first fix written this session drained them in a finally block — which is still a discard, and the test written alongside it failed immediately. Corrected properly: drain only after a successful delivery, so an outage leaves the backlog buffered and the next request sends it. Pinned both ways. Worth recording because the sequence is the point — the test caught my own bad fix within minutes, which is the same mechanism that caught F-028 two sessions after it was introduced. Running total: 34 defects across five cold-review passes, all in code that has held 100% coverage and zero pragmas throughout. 46 suites / 282 tests at 100%; story counts deliberately unchanged.</t>
        </is>
      </c>
      <c r="E67" s="19" t="inlineStr">
        <is>
          <t>F-045,R-S10</t>
        </is>
      </c>
      <c r="F67" s="19" t="inlineStr">
        <is>
          <t>Tracker at v025</t>
        </is>
      </c>
      <c r="G67" s="19" t="inlineStr">
        <is>
          <t>Dev tenant + D-SD5/D-SD6 + encryption choice</t>
        </is>
      </c>
      <c r="H67" s="19" t="inlineStr">
        <is>
          <t>v026</t>
        </is>
      </c>
    </row>
    <row r="68" ht="128.25" customHeight="1" s="15">
      <c r="A68" s="19" t="inlineStr">
        <is>
          <t>E066</t>
        </is>
      </c>
      <c r="B68" s="19" t="inlineStr">
        <is>
          <t>2026-09-13 17:25</t>
        </is>
      </c>
      <c r="C68" s="19" t="inlineStr">
        <is>
          <t>S8/S11</t>
        </is>
      </c>
      <c r="D68" s="19" t="inlineStr">
        <is>
          <t>F-046 CRITICAL — THE PERSISTENCE MODEL WAS SAFE FOR ONE WRITER ONLY. Every mutation writes a whole-module snapshot with an unconditional upsert. That is correct with a single instance and silently destructive with two — and ShiftDesk ships a blue/green deploy workflow (session 4) and a load harness that ramps to 500 virtual users (session 4), both of which assume more than one. During any swap, or under any horizontal scaling, two instances each hold their own in-memory copy of a tenant and overwrite each other: a handover created on the old slot is erased by the next write from the new one, with no error, no log line and no way for the supervisor who wrote it to know. Every prior audit had examined one instance in isolation, which is why five review passes and eight product audits missed it.</t>
        </is>
      </c>
      <c r="E68" s="19" t="inlineStr">
        <is>
          <t>F-046,ST-088,ST-092</t>
        </is>
      </c>
      <c r="F68" s="19" t="inlineStr">
        <is>
          <t>Optimistic concurrency end to end: versioned records, guarded writes, conflict raised instead of overwrite, tenant reloaded, 409 returned with a retry message</t>
        </is>
      </c>
      <c r="G68" s="19" t="inlineStr">
        <is>
          <t>Live two-instance proof via new sweep step SW-23</t>
        </is>
      </c>
      <c r="H68" s="19" t="inlineStr">
        <is>
          <t>E067</t>
        </is>
      </c>
    </row>
    <row r="69" ht="15" customHeight="1" s="15">
      <c r="A69" s="19" t="inlineStr">
        <is>
          <t>E067</t>
        </is>
      </c>
      <c r="B69" s="19" t="inlineStr">
        <is>
          <t>2026-09-13 17:25</t>
        </is>
      </c>
      <c r="C69" s="19" t="inlineStr">
        <is>
          <t>—</t>
        </is>
      </c>
      <c r="D69" s="19" t="inlineStr">
        <is>
          <t>WHAT IS PROVEN, AND WHAT IS ACCEPTED. Proven with two server instances sharing one store: the stale writer is refused with 409, the retry succeeds, and both instances' handovers are present afterwards — the previous behaviour returned 200 and lost one of them. migrations/002_versioning.sql adds the column and the deploy workflow now runs migrations before the swap, since guarded writes fail closed without it. OBS-SD9 accepted openly: module-level snapshots make conflicts coarser than per-record writes would, so two supervisors on different instances writing unrelated handovers still collide. That is a known characteristic, not an ideal — but detection had to come first, because a coarse conflict is recoverable and a silent overwrite is not. Per-record persistence is the natural next step if the pilot shows users meeting retries. 47 suites / 292 tests at 100% zero pragmas; story counts deliberately unchanged.</t>
        </is>
      </c>
      <c r="E69" s="19" t="inlineStr">
        <is>
          <t>OBS-SD9,ST-090</t>
        </is>
      </c>
      <c r="F69" s="19" t="inlineStr">
        <is>
          <t>Tracker at v026</t>
        </is>
      </c>
      <c r="G69" s="19" t="inlineStr">
        <is>
          <t>Dev tenant + D-SD5/D-SD6 + encryption choice</t>
        </is>
      </c>
      <c r="H69" s="19" t="inlineStr">
        <is>
          <t>v027</t>
        </is>
      </c>
    </row>
    <row r="70" ht="153" customHeight="1" s="15">
      <c r="A70" s="19" t="inlineStr">
        <is>
          <t>E068</t>
        </is>
      </c>
      <c r="B70" s="19" t="inlineStr">
        <is>
          <t>2026-09-13 18:51</t>
        </is>
      </c>
      <c r="C70" s="19" t="inlineStr">
        <is>
          <t>S8/S9</t>
        </is>
      </c>
      <c r="D70" s="19" t="inlineStr">
        <is>
          <t>F-047 CRITICAL — NOTHING CAUGHT ERRORS AT THE HTTP BOUNDARY. A store hiccup, a Graph outage or a mail outage rejected the handler promise, which the server callback discarded with `void`. On current Node that is an unhandled rejection and terminates the process — so one dependency blip produced a crash loop, and the request that caused it never received any response at all; the socket just hung until the client gave up. The irony is on the record: the product has a carefully built degradation story for the Teams API (ST-070, ST-091, user-facing banner, circuit breaker) and had none whatsoever for its own database, mail or Graph calls. Now every request answers — 503 for transient causes, 500 otherwise, with messages that carry no internal detail (that goes to the log) — a last-resort guard answers even if the error path itself throws and refuses to corrupt a response already in flight, and StoreHealth marks the deployment degraded after repeated save failures, clearing on the first success and surfacing through /status.</t>
        </is>
      </c>
      <c r="E70" s="19" t="inlineStr">
        <is>
          <t>F-047,ST-070,ST-091</t>
        </is>
      </c>
      <c r="F70" s="19" t="inlineStr">
        <is>
          <t>Runbook updated: a 503 storm points at the store, not the release</t>
        </is>
      </c>
      <c r="G70" s="19" t="inlineStr">
        <is>
          <t>Live failure drill via new sweep step SW-24</t>
        </is>
      </c>
      <c r="H70" s="19" t="inlineStr">
        <is>
          <t>E069</t>
        </is>
      </c>
    </row>
    <row r="71" ht="15" customHeight="1" s="15">
      <c r="A71" s="19" t="inlineStr">
        <is>
          <t>E069</t>
        </is>
      </c>
      <c r="B71" s="19" t="inlineStr">
        <is>
          <t>2026-09-13 18:51</t>
        </is>
      </c>
      <c r="C71" s="19" t="inlineStr">
        <is>
          <t>—</t>
        </is>
      </c>
      <c r="D71" s="19" t="inlineStr">
        <is>
          <t>F-048 — REVISING MY OWN FIX FROM LAST SESSION. F-045 made notification delivery failures propagate, which was right about not discarding them and wrong about who pays: a mail outage then failed the supervisor's handover, and before F-047 took the process down with it. Delivery is best-effort and the user's write is not — the handover saves and returns 200, the notice stays buffered and is retried on the next request. The distinction is now explicit in the code because it is a product decision, not a technical one: the user's work and our outbound notifications have different failure budgets. Second session running where the previous session's fix needed correcting, which is the argument for reviewing new code rather than trusting it. 48 suites / 299 tests at 100% zero pragmas; story counts deliberately unchanged.</t>
        </is>
      </c>
      <c r="E71" s="19" t="inlineStr">
        <is>
          <t>F-048,F-045</t>
        </is>
      </c>
      <c r="F71" s="19" t="inlineStr">
        <is>
          <t>Tracker at v027</t>
        </is>
      </c>
      <c r="G71" s="19" t="inlineStr">
        <is>
          <t>Dev tenant + D-SD5/D-SD6 + encryption choice</t>
        </is>
      </c>
      <c r="H71" s="19" t="inlineStr">
        <is>
          <t>v028</t>
        </is>
      </c>
    </row>
    <row r="72" ht="165.75" customHeight="1" s="15">
      <c r="A72" s="19" t="inlineStr">
        <is>
          <t>E070</t>
        </is>
      </c>
      <c r="B72" s="19" t="inlineStr">
        <is>
          <t>2026-09-13 19:10</t>
        </is>
      </c>
      <c r="C72" s="19" t="inlineStr">
        <is>
          <t>S9</t>
        </is>
      </c>
      <c r="D72" s="19" t="inlineStr">
        <is>
          <t>COLD-REVIEW PASS 6 — run precisely because the previous two sessions each had to correct the session before. Three defects, all in code written in the last three sittings. F-049: the production error classifier decided transience by matching words in the message, and one of those words was "db down" — a string that exists only in my test fixtures. A genuine defect whose message mentioned "timeout" or "unavailable" would have been shown to the user as a passing glitch and retried; transience is now decided by type, and a test asserts no fixture string survives in the classifier. F-050: store degradation cleared on any successful request including reads, which are served from memory and touch no store — so a deployment with every save failing reported healthy the moment someone opened a tab, exactly when an operator most needs the truth. F-051: a bot mutation hitting a persistence conflict had already changed memory but was not remembered, so the Bot Service retry applied it again and one spoken command produced two handovers; the F-024 rule (do not remember until success) was right for delivery failures and wrong here.</t>
        </is>
      </c>
      <c r="E72" s="19" t="inlineStr">
        <is>
          <t>F-049,F-050,F-051</t>
        </is>
      </c>
      <c r="F72" s="19" t="inlineStr">
        <is>
          <t>Review_Findings extended in workbook v034</t>
        </is>
      </c>
      <c r="G72" s="19" t="inlineStr">
        <is>
          <t>None — all fixed in-session</t>
        </is>
      </c>
      <c r="H72" s="19" t="inlineStr">
        <is>
          <t>E071</t>
        </is>
      </c>
    </row>
    <row r="73" ht="15" customHeight="1" s="15">
      <c r="A73" s="19" t="inlineStr">
        <is>
          <t>E071</t>
        </is>
      </c>
      <c r="B73" s="19" t="inlineStr">
        <is>
          <t>2026-09-13 19:10</t>
        </is>
      </c>
      <c r="C73" s="19" t="inlineStr">
        <is>
          <t>—</t>
        </is>
      </c>
      <c r="D73" s="19" t="inlineStr">
        <is>
          <t>STANDING BACK. Six cold-review passes have now found 37 defects, and the last three sessions each found problems in the session immediately before them. That is evidence the reviews are working, and also a signal about marginal return: the defects being found are now in code written to fix earlier defects, not in the product's original surface. Everything that can be proven without a live tenant has been proven; every remaining unknown — in-client rendering, Connector behaviour, real Graph membership, actual store latency, genuine concurrency under load — needs the dev tenant and a database, and the 28-step sweep exists to answer them in about half an hour once those exist. Recommendation on the record: the next material progress on ShiftDesk comes from the free M365 dev tenant plus Entra registration, not from another audit sitting. 49 suites / 303 tests at 100% zero pragmas; story counts deliberately unchanged.</t>
        </is>
      </c>
      <c r="E73" s="19" t="inlineStr">
        <is>
          <t>D13,R-S10</t>
        </is>
      </c>
      <c r="F73" s="19" t="inlineStr">
        <is>
          <t>Tracker at v028</t>
        </is>
      </c>
      <c r="G73" s="19" t="inlineStr">
        <is>
          <t>Dev tenant + D-SD5/D-SD6 + encryption choice</t>
        </is>
      </c>
      <c r="H73" s="19" t="inlineStr">
        <is>
          <t>v029</t>
        </is>
      </c>
    </row>
    <row r="74" ht="178.5" customHeight="1" s="15">
      <c r="A74" s="19" t="inlineStr">
        <is>
          <t>E072</t>
        </is>
      </c>
      <c r="B74" s="19" t="inlineStr">
        <is>
          <t>2026-09-13 19:27</t>
        </is>
      </c>
      <c r="C74" s="19" t="inlineStr">
        <is>
          <t>S1/S9</t>
        </is>
      </c>
      <c r="D74" s="19" t="inlineStr">
        <is>
          <t>LIVE-DAY PREPARATION — acting on last session's recommendation rather than running another audit. The sweep has been 28 prose descriptions since session 3, which on the dev-tenant day means 28 manual checks performed by one person under time pressure, with no record beyond notes. The machine-checkable half is now executable: health and latency budgets, unauthenticated refusal, create-and-read-back, acknowledgement, every declared tab route, lifecycle routes unreachable over HTTP, and store health. `npm run sweep -- &lt;url&gt; &lt;token&gt;` runs them against the live deployment, prints a report and exits non-zero on failure; every remaining published step appears as explicit operator work, and a step declared automated but not implemented is reported as manual rather than quietly counted as a pass. Proven against a real in-process deployment, including that a broken deployment fails the specific step that is broken and that an insecure one (unauthenticated reads, reachable lifecycle routes) is caught. What this changes: the dev-tenant sitting is now a command, a short operator list inside the Teams client, and an archived report as S1-07 evidence.</t>
        </is>
      </c>
      <c r="E74" s="19" t="inlineStr">
        <is>
          <t>GAP-SD10,ST-051</t>
        </is>
      </c>
      <c r="F74" s="19" t="inlineStr">
        <is>
          <t>Tracker at v029</t>
        </is>
      </c>
      <c r="G74" s="19" t="inlineStr">
        <is>
          <t>Dev tenant + D-SD5/D-SD6 + encryption choice</t>
        </is>
      </c>
      <c r="H74" s="19" t="inlineStr">
        <is>
          <t>v030</t>
        </is>
      </c>
    </row>
    <row r="75" ht="15" customHeight="1" s="15">
      <c r="A75" s="19" t="inlineStr">
        <is>
          <t>E073</t>
        </is>
      </c>
      <c r="B75" s="19" t="inlineStr">
        <is>
          <t>2026-09-13 19:32</t>
        </is>
      </c>
      <c r="C75" s="19" t="inlineStr">
        <is>
          <t>S1/S9</t>
        </is>
      </c>
      <c r="D75" s="19" t="inlineStr">
        <is>
          <t>SWEEP AUTOMATION ROUND 2 — six published steps that a machine can check were still operator work: restart durability, the two-instance conflict, the audit trail, encryption at rest, notification arrival and the funnel. Each needs access the sweep cannot conjure, so they are now capability-gated: the operator supplies DATABASE_URL, a second instance URL or a mailbox reader, and those checks run for real against the live deployment; anything unavailable is reported SKIP with the reason rather than passed or quietly dropped. The failure paths are pinned as carefully as the success ones — an empty database, a database returning no rows at all, a deployment storing plaintext, and an empty mailbox each fail loudly, because a sweep that cannot fail proves nothing.</t>
        </is>
      </c>
      <c r="E75" s="19" t="inlineStr">
        <is>
          <t>GAP-SD11,ST-051,F-040,F-046</t>
        </is>
      </c>
      <c r="F75" s="19" t="inlineStr">
        <is>
          <t>CLI takes a second instance and wires Postgres when DATABASE_URL is set</t>
        </is>
      </c>
      <c r="G75" s="19" t="inlineStr">
        <is>
          <t>Access on the day determines how much runs automatically</t>
        </is>
      </c>
      <c r="H75" s="19" t="inlineStr">
        <is>
          <t>E074</t>
        </is>
      </c>
    </row>
    <row r="76" ht="15" customHeight="1" s="15">
      <c r="A76" s="19" t="inlineStr">
        <is>
          <t>E074</t>
        </is>
      </c>
      <c r="B76" s="19" t="inlineStr">
        <is>
          <t>2026-09-13 19:32</t>
        </is>
      </c>
      <c r="C76" s="19" t="inlineStr">
        <is>
          <t>—</t>
        </is>
      </c>
      <c r="D76" s="19" t="inlineStr">
        <is>
          <t>F-052 — FOUND BY WRITING THE CHECK, NOT BY READING THE CODE. The funnel assertion failed on a correctly wired deployment, which made no sense until the cause showed: GET /api/analytics read the per-tenant app's Telemetry, while the observer wired in session 23 records into its own instance. The Analytics tab would have shown zeros forever, and the S11 activation number would have been invisible inside the product even though it was being collected correctly. Served from the observer now, so there is one source of truth. This is the third defect to surface from making an assertion executable rather than from inspection (after F-025 and F-045), which is the argument for the sweep being code rather than prose. 50 suites / 318 tests at 100% zero pragmas; story counts deliberately unchanged.</t>
        </is>
      </c>
      <c r="E76" s="19" t="inlineStr">
        <is>
          <t>F-052,ST-071</t>
        </is>
      </c>
      <c r="F76" s="19" t="inlineStr">
        <is>
          <t>Tracker at v030</t>
        </is>
      </c>
      <c r="G76" s="19" t="inlineStr">
        <is>
          <t>Dev tenant + D-SD5/D-SD6 + encryption choice</t>
        </is>
      </c>
      <c r="H76" s="19" t="inlineStr">
        <is>
          <t>v031</t>
        </is>
      </c>
    </row>
    <row r="77" ht="165.75" customHeight="1" s="15">
      <c r="A77" s="19" t="inlineStr">
        <is>
          <t>E075</t>
        </is>
      </c>
      <c r="B77" s="19" t="inlineStr">
        <is>
          <t>2026-09-13 19:39</t>
        </is>
      </c>
      <c r="C77" s="19" t="inlineStr">
        <is>
          <t>S1</t>
        </is>
      </c>
      <c r="D77" s="19" t="inlineStr">
        <is>
          <t>PACKAGING — the last hand-operated step before install. The guide has said "zip manifest.json + color.png + outline.png" since session 3, and two things reliably go wrong doing that by hand: the archive ends up containing a folder, which Teams rejects with a message that does not say why, and the placeholders are uploaded unsubstituted. Neither is discoverable until an upload fails in front of you, on the day, with the tenant already provisioned. `npm run package` now substitutes from environment variables and names the missing value if one is absent, validates the manifest against the rules the store actually applies (GUID id, bot id matching webApplicationInfo, bare hostnames in validDomains, https tab URLs, no surviving placeholders), refuses any package containing more than the manifest and the two icons, and writes the archive with files at the ROOT. Verified end to end against the real manifest and icons: the produced zip lists exactly three entries and no directory. Together with sessions 30 and 31 the tenant day is now: package, start, sweep, short operator list, archive the report.</t>
        </is>
      </c>
      <c r="E77" s="19" t="inlineStr">
        <is>
          <t>GAP-SD12,ST-051</t>
        </is>
      </c>
      <c r="F77" s="19" t="inlineStr">
        <is>
          <t>Tracker at v031</t>
        </is>
      </c>
      <c r="G77" s="19" t="inlineStr">
        <is>
          <t>Dev tenant + D-SD5/D-SD6 + encryption choice</t>
        </is>
      </c>
      <c r="H77" s="19" t="inlineStr">
        <is>
          <t>v032</t>
        </is>
      </c>
    </row>
    <row r="78" ht="15" customHeight="1" s="15">
      <c r="A78" s="19" t="inlineStr">
        <is>
          <t>E076</t>
        </is>
      </c>
      <c r="B78" s="19" t="inlineStr">
        <is>
          <t>2026-09-13 20:05</t>
        </is>
      </c>
      <c r="C78" s="19" t="inlineStr">
        <is>
          <t>S1/S9</t>
        </is>
      </c>
      <c r="D78" s="19" t="inlineStr">
        <is>
          <t>DELIVERABILITY AUDIT — before adding more tooling, checking whether the tooling from the last three sessions actually runs where it will run. It did not. F-053: both npm run sweep and npm run package call ts-node, which was never declared; they worked here only because the tooling happened to be present, and on a clean install on the tenant day both would have failed with "ts-node: not found" — the precise moment they exist to serve. F-054: the sweep's database checks imported pg, also undeclared, so setting DATABASE_URL would have crashed the whole sweep rather than running the checks it could; pg is now an optional runtime require and a missing driver produces one clear line plus SKIP on the affected checks. F-056: tsconfig included only src, so the live-day scripts were outside the typecheck gate entirely — the files with the least test coverage had the least static checking — and the sweep script did not in fact compile under its own runner. OBS-SD10: test tooling was shipped as runtime dependencies; runtime dependencies are now empty, since the server needs only Node and the tab is bundled at build time. CI executes both scripts after a clean install, so an undeclared dependency fails the build rather than the tenant day. Same class as F-039 and R-S14: a thing built and never exercised in the shape it ships.</t>
        </is>
      </c>
      <c r="E78" s="19" t="inlineStr">
        <is>
          <t>F-053,F-054,F-056,OBS-SD10,R-S14</t>
        </is>
      </c>
      <c r="F78" s="19" t="inlineStr">
        <is>
          <t>Tracker at v032</t>
        </is>
      </c>
      <c r="G78" s="19" t="inlineStr">
        <is>
          <t>Dev tenant + D-SD5/D-SD6 + encryption choice</t>
        </is>
      </c>
      <c r="H78" s="19" t="inlineStr">
        <is>
          <t>v033</t>
        </is>
      </c>
    </row>
    <row r="79" ht="15" customHeight="1" s="15">
      <c r="A79" s="19" t="inlineStr">
        <is>
          <t>E077</t>
        </is>
      </c>
      <c r="B79" s="19" t="inlineStr">
        <is>
          <t>2026-09-13 20:10</t>
        </is>
      </c>
      <c r="C79" s="19" t="inlineStr">
        <is>
          <t>S1/S9</t>
        </is>
      </c>
      <c r="D79" s="19" t="inlineStr">
        <is>
          <t>CLEAN-CHECKOUT REHEARSAL — taking the previous session's lesson literally: run the delivery end to end as Senthil will receive it. Unzipped the source archive into a fresh directory, npm ci from the lockfile, typecheck, 51 suites at 100%, build, package (refuses incomplete input, archive has no nested folder), start the server, sweep it over HTTP. F-057 surfaced immediately: the dev-tenant guide has instructed the operator to "start bootFromEnv" since session 10, and the repository shipped NO entry point — I had to write a boot file myself before the sweep had anything to sweep, and every reader would have hit that wall on the day with the tenant already provisioned. scripts/serve.ts now ships as npm start, with token verification as an explicit seam: a dev mode that must be requested by name and prints a loud warning that signatures are not verified, or a JWKS-backed verifier wired in before real users; with neither configured it refuses to start and the error says what to do, rather than quietly serving everyone. Rehearsal result from the delivered zip: 8 automated checks passed, 0 failed, 5 skipped for access not available here, 28 listed as operator work. CI now boots the server and sweeps it, so the delivery cannot silently stop being runnable.</t>
        </is>
      </c>
      <c r="E79" s="19" t="inlineStr">
        <is>
          <t>F-057,ST-051</t>
        </is>
      </c>
      <c r="F79" s="19" t="inlineStr">
        <is>
          <t>Tracker at v033</t>
        </is>
      </c>
      <c r="G79" s="19" t="inlineStr">
        <is>
          <t>Dev tenant + D-SD5/D-SD6 + encryption choice</t>
        </is>
      </c>
      <c r="H79" s="19" t="inlineStr">
        <is>
          <t>v034</t>
        </is>
      </c>
    </row>
    <row r="80" ht="15" customHeight="1" s="15">
      <c r="A80" s="19" t="inlineStr">
        <is>
          <t>E078</t>
        </is>
      </c>
      <c r="B80" s="19" t="inlineStr">
        <is>
          <t>2026-09-13 20:26</t>
        </is>
      </c>
      <c r="C80" s="19" t="inlineStr">
        <is>
          <t>S2-S5</t>
        </is>
      </c>
      <c r="D80" s="19" t="inlineStr">
        <is>
          <t>F-058 — THE LAST HOP FROM MANIFEST TO SCREEN DID NOT EXIST. Continuing the recipient's-eye view that found F-057: follow the manifest to a running screen. All eight tabs point at https://&lt;host&gt;/tab/, and nothing served that path — the server answered /api, /health and /status only. On install day every tab would have 404'd, after session 8 built the tab page, session 24 made all eight reachable and session 34 shipped the entry point to run them. Three sessions of work on the tab surface, and the hop from URL to file was missing. The app now serves its own built bundle: correct content types, 403 on path traversal (a tab URL must never read outside the build output), 404 for a genuine miss, and a plain message telling you to run npm run build if the deployment was never built, rather than eight silent 404s that look like a manifest problem. Served at the HTTP boundary where content types belong, not bolted onto the JSON-only API. Sweep check A-14 added and verified against a running server — the page loads, TeamsJS is ordered before the bundle, tab.js is served — bringing the live rehearsal to 9 automated checks passing, 0 failing.</t>
        </is>
      </c>
      <c r="E80" s="19" t="inlineStr">
        <is>
          <t>F-058,ST-005,ST-015,ST-025,ST-035,ST-045</t>
        </is>
      </c>
      <c r="F80" s="19" t="inlineStr">
        <is>
          <t>Guide simplified: no separate web host needed for the dev tenant</t>
        </is>
      </c>
      <c r="G80" s="19" t="inlineStr">
        <is>
          <t>Dev tenant + D-SD5/D-SD6 + encryption choice</t>
        </is>
      </c>
      <c r="H80" s="19" t="inlineStr">
        <is>
          <t>v035</t>
        </is>
      </c>
    </row>
    <row r="81" ht="15" customHeight="1" s="15">
      <c r="A81" s="19" t="inlineStr">
        <is>
          <t>E079</t>
        </is>
      </c>
      <c r="B81" s="19" t="inlineStr">
        <is>
          <t>2026-09-13 20:32</t>
        </is>
      </c>
      <c r="C81" s="19" t="inlineStr">
        <is>
          <t>S1/S9</t>
        </is>
      </c>
      <c r="D81" s="19" t="inlineStr">
        <is>
          <t>F-059 — THE BOT ENDPOINT HAD NOTHING WIRED TO IT. Third session following the recipient's path, this time from the manifest to a working bot. The entry point shipped last session called bootFromEnv with no bot dependencies, so the transport was undefined and /api/messages answered 503: every command the manifest advertises would have been dead in the Teams client, and the install welcome — ST-051, the under-two-minutes activation evidence — had nothing to send it. Sessions 11 and 29 built that transport with care, including the Connector semantics and retry handling; nothing ever handed it to the server that actually runs. Built src/connectorSender.ts: replies posted to the conversation at the activity serviceUrl, a Connector token exchanged from the bot credentials and cached until shortly before expiry, and Connector failures surfaced with their status rather than vanishing. Dev mode (the same flag as the tab) accepts inbound tokens and LOGS replies instead of pretending they were sent, so commands can be exercised before credentials exist; without it, inbound activities are refused until a JWKS-backed verifier is wired, because an endpoint that cannot check a token must not trust it. Sweep check A-15 distinguishes the three states that look alike from outside: 503 nothing wired, 401 verifier rejected, 200 empty-body ack correct.</t>
        </is>
      </c>
      <c r="E81" s="19" t="inlineStr">
        <is>
          <t>F-059,ST-051,VER-SD10</t>
        </is>
      </c>
      <c r="F81" s="19" t="inlineStr">
        <is>
          <t>Tracker at v035</t>
        </is>
      </c>
      <c r="G81" s="19" t="inlineStr">
        <is>
          <t>Dev tenant + D-SD5/D-SD6 + encryption choice</t>
        </is>
      </c>
      <c r="H81" s="19" t="inlineStr">
        <is>
          <t>v036</t>
        </is>
      </c>
    </row>
    <row r="82" ht="15" customHeight="1" s="15">
      <c r="A82" s="19" t="inlineStr">
        <is>
          <t>E080</t>
        </is>
      </c>
      <c r="B82" s="19" t="inlineStr">
        <is>
          <t>2026-09-13 21:56</t>
        </is>
      </c>
      <c r="C82" s="19" t="inlineStr">
        <is>
          <t>S1/S8</t>
        </is>
      </c>
      <c r="D82" s="19" t="inlineStr">
        <is>
          <t>F-060 AND F-061 — THE RETENTION POLICY HAD NEITHER A TRIGGER NOR A RUNNER. Fourth session on the recipient's path. F-060: installing the app in Teams recorded nothing — the transport sent the welcome and stopped, capturing no installer, tenant or team, and uninstall was not handled at all, since the activity that signals it (the bot being removed) fell through as an unremarkable conversation update. ST-052 and ST-053, the 30-day window and the re-install restore, therefore had no trigger in a running deployment. F-061 is worse and is CRITICAL: purgeExpired, the sweep that performs the published 30-day deletion, was implemented in session 19 and called by NOTHING in any deployment. The commitment on the trust page, in the listing and in the data-flow document would never have executed — tenant data would have sat in the store indefinitely after uninstall, and nobody would have noticed, because the code existed and its tests passed. That is the same shape as F-029 (deletion that deleted nothing), one layer further out: session 19 made deletion work, and nothing ever asked it to run. Now: the transport distinguishes the bot being added or removed from a person joining or leaving and carries lifecycle hooks; the entry point schedules deletion on uninstall with the date logged, cancels it on re-install, and starts an hourly sweep that logs each purge, survives a failed sweep without killing the process, and never holds the process open.</t>
        </is>
      </c>
      <c r="E82" s="19" t="inlineStr">
        <is>
          <t>F-060,F-061,ST-052,ST-053,ST-065</t>
        </is>
      </c>
      <c r="F82" s="19" t="inlineStr">
        <is>
          <t>Timer injected rather than global, so the schedule is driven directly in tests</t>
        </is>
      </c>
      <c r="G82" s="19" t="inlineStr">
        <is>
          <t>Dev tenant + D-SD5/D-SD6 + encryption choice</t>
        </is>
      </c>
      <c r="H82" s="19" t="inlineStr">
        <is>
          <t>v037</t>
        </is>
      </c>
    </row>
    <row r="83" ht="15" customHeight="1" s="15">
      <c r="A83" s="19" t="inlineStr">
        <is>
          <t>E081</t>
        </is>
      </c>
      <c r="B83" s="19" t="inlineStr">
        <is>
          <t>2026-09-13 22:55</t>
        </is>
      </c>
      <c r="C83" s="19" t="inlineStr">
        <is>
          <t>S1/S8</t>
        </is>
      </c>
      <c r="D83" s="19" t="inlineStr">
        <is>
          <t>RUNTIME WIRING AUDIT — the sharper version of session 24's question: not what the code references, but what the running process actually constructs. Three components were never instantiated by the server that runs. F-062 is CRITICAL: the entry point resolved every user to OWNER — a one-line stub carrying a comment that it would be replaced later. With the permissions enforced in F-030, that means any frontline member in a live deployment could delete the entire tenant's data, export it, or cancel the subscription. The role matrix was correct, enforced at every site and bound by contract tests in both directions, and it was being fed a constant. Roles now come from a real source or fall back to the LEAST privilege — with nothing configured every user is a member, announced loudly at startup — because an unconfigured deployment must not hand out admin rights. F-063: the notification dispatcher was never constructed at runtime, so the delivery wired in session 24 did not happen in a deployment; a per-tenant factory is now built at startup and the server delivers with the tenant it is serving. F-064: the help index was never constructed either, so the Help tab was empty despite fifteen articles written in session 2 and a tab made reachable in session 24; articles load at startup, a partial set warns with the count, and sweep check A-16 fails a deployment whose help search returns nothing.</t>
        </is>
      </c>
      <c r="E83" s="19" t="inlineStr">
        <is>
          <t>F-062,F-063,F-064,ST-054,ST-080</t>
        </is>
      </c>
      <c r="F83" s="19" t="inlineStr">
        <is>
          <t>Guide states the role fallback explicitly</t>
        </is>
      </c>
      <c r="G83" s="19" t="inlineStr">
        <is>
          <t>Dev tenant + D-SD5/D-SD6 + encryption choice</t>
        </is>
      </c>
      <c r="H83" s="19" t="inlineStr">
        <is>
          <t>v038</t>
        </is>
      </c>
    </row>
    <row r="84" ht="15" customHeight="1" s="15">
      <c r="A84" s="19" t="inlineStr">
        <is>
          <t>E082</t>
        </is>
      </c>
      <c r="B84" s="19" t="inlineStr">
        <is>
          <t>2026-09-13 23:05</t>
        </is>
      </c>
      <c r="C84" s="19" t="inlineStr">
        <is>
          <t>S1/S8</t>
        </is>
      </c>
      <c r="D84" s="19" t="inlineStr">
        <is>
          <t>RUNTIME WIRING AUDIT 2 — the stubs and constants left in the running path after F-062. F-065: notification addresses were synthesised as &lt;objectId&gt;@&lt;our own base domain&gt;, so every email would have gone to an invented address at OUR domain rather than the person it names — bouncing at best, landing somewhere real and wrong at worst — while the SSO token carried preferred_username and the validator checked it and threw it away. The verifier now returns it, the server records it per tenant as a side effect of authentication, and an unknown recipient is reported rather than emailed at a guess. F-066: the Graph directory could never be enabled, because graphDirectoryFrom was always called without a fetcher or token and returned null whatever the configuration said; combined with the least-privilege fallback from F-062 that meant NO deployment could ever have an admin — correct by default and unusable in practice. graphRuntime now supplies an app-only token for the tenant and a fetch that carries it, with explicit token failures instead of a silent demotion to member. F-067: the install-count seeding added in session 26 was never called, so the S11 activation denominator would have inflated on every deploy; the store is now read at boot, with listAll added to both repository implementations.</t>
        </is>
      </c>
      <c r="E84" s="19" t="inlineStr">
        <is>
          <t>F-065,F-066,F-067,ST-054,ST-071</t>
        </is>
      </c>
      <c r="F84" s="19" t="inlineStr">
        <is>
          <t>Deny-safe defaults kept, but the safe path is now also a usable one</t>
        </is>
      </c>
      <c r="G84" s="19" t="inlineStr">
        <is>
          <t>Dev tenant + D-SD5/D-SD6 + encryption choice</t>
        </is>
      </c>
      <c r="H84" s="19" t="inlineStr">
        <is>
          <t>v039</t>
        </is>
      </c>
    </row>
    <row r="85" ht="15" customHeight="1" s="15">
      <c r="A85" s="19" t="inlineStr">
        <is>
          <t>E083</t>
        </is>
      </c>
      <c r="B85" s="19" t="inlineStr">
        <is>
          <t>2026-09-13 23:14</t>
        </is>
      </c>
      <c r="C85" s="19" t="inlineStr">
        <is>
          <t>S1/S8</t>
        </is>
      </c>
      <c r="D85" s="19" t="inlineStr">
        <is>
          <t>RUNTIME WIRING AUDIT 3 — the pattern says look at the newest wiring first, so I looked at my own from last session. F-068: the install-count seeding computed the set of existing tenants, logged the number, and never told the observer, which is constructed inside makeServer and was unreachable from the entry point. F-067 was reported as fixed and was not — the exact pattern I spent that session documenting, committed while documenting it. makeServer now returns a seed function that calls the observer it owns. F-069: nothing ever populated the role directory; even with the Graph runtime supplied by F-066, no code called setInstaller or warm, so the installer was never owner and team owners were never admins — the directory could be built and stayed empty, which is why F-062 and F-066 together still did not produce a working admin. The install hook now registers the installer and team and warms the cache, logging whether it loaded, handling a personal-scope install, and reporting a Graph outage rather than leaving an empty directory. F-070: every error was tagged with a hardcoded release "dev", so ST-072 and the runbook rollback signal could not distinguish builds; the release now comes from configuration and is named in the runbook as a pre-launch step. OBS-SD11: the encrypted store did not forward listAll, so an encrypted deployment would have lost boot-time seeding — listAll is now part of the repository contract rather than optional, so no decorator can drop it.</t>
        </is>
      </c>
      <c r="E85" s="19" t="inlineStr">
        <is>
          <t>F-068,F-069,F-070,OBS-SD11</t>
        </is>
      </c>
      <c r="F85" s="19" t="inlineStr">
        <is>
          <t>Three consecutive sessions have found the previous session's wiring incomplete</t>
        </is>
      </c>
      <c r="G85" s="19" t="inlineStr">
        <is>
          <t>Dev tenant + D-SD5/D-SD6 + encryption choice</t>
        </is>
      </c>
      <c r="H85" s="19" t="inlineStr">
        <is>
          <t>v040</t>
        </is>
      </c>
    </row>
    <row r="86" ht="15" customHeight="1" s="15"/>
    <row r="87" ht="15" customHeight="1" s="15">
      <c r="A87" s="22" t="inlineStr">
        <is>
          <t>* ST-053 (re-install restore) built and tested in S1 foundation though scheduled S2 in the backlog — recorded once, in its backlog sprint, in the rollup.</t>
        </is>
      </c>
    </row>
    <row r="88">
      <c r="A88" s="21" t="inlineStr">
        <is>
          <t>E084</t>
        </is>
      </c>
      <c r="B88" s="21" t="inlineStr">
        <is>
          <t>2026-09-20 11:02</t>
        </is>
      </c>
      <c r="C88" s="21" t="inlineStr">
        <is>
          <t>—</t>
        </is>
      </c>
      <c r="D88" s="21" t="inlineStr">
        <is>
          <t>SESSION 41 OPENED — Senthil instruction 11:02: go through the independent review document, update code + sprint tracker + traceability, produce next-version zip and workbooks. "do all .. enterprise grade .. dont shrink the scope .. keep all tasks in sprint tracker". Review received as ShiftDesk_Review_V001: 20 P-series findings (3 CRITICAL), 8 D-series decisions, an 8-sprint 47-story plan (266 pts) and an enterprise scorecard rating identity, durability and compliance at Absent.</t>
        </is>
      </c>
      <c r="E88" s="21" t="inlineStr">
        <is>
          <t>Review V001, v045, v039</t>
        </is>
      </c>
      <c r="F88" s="21" t="inlineStr">
        <is>
          <t>S13-S20 opened; 47 SD stories admitted to the tracker</t>
        </is>
      </c>
      <c r="G88" s="21" t="inlineStr">
        <is>
          <t>None</t>
        </is>
      </c>
      <c r="H88" s="21" t="inlineStr">
        <is>
          <t>E085</t>
        </is>
      </c>
    </row>
    <row r="89">
      <c r="A89" s="21" t="inlineStr">
        <is>
          <t>E085</t>
        </is>
      </c>
      <c r="B89" s="21" t="inlineStr">
        <is>
          <t>2026-09-20 12:10</t>
        </is>
      </c>
      <c r="C89" s="21" t="inlineStr">
        <is>
          <t>S13</t>
        </is>
      </c>
      <c r="D89" s="21" t="inlineStr">
        <is>
          <t>S13 TRUST BOUNDARIES BUILT — P-001 and P-002, two of the three CRITICALs, closed: JWKS-backed Entra verification (metadata discovery, kid selection, one bounded refresh per unknown kid, RS256 only) and Connector JWT verification with serviceUrl binding. Dev bypass fenced by SHIFTDESK_ENV with production as the unset default (D-SD9). Body cap, per-tenant and per-IP token buckets, per-surface security headers. F-007 closed with the half-open breaker probe.</t>
        </is>
      </c>
      <c r="E89" s="21" t="inlineStr">
        <is>
          <t>SD201-SD207, P-001, P-002, P-007, P-008, F-007</t>
        </is>
      </c>
      <c r="F89" s="21" t="inlineStr">
        <is>
          <t>7 stories built; 38 pts</t>
        </is>
      </c>
      <c r="G89" s="21" t="inlineStr">
        <is>
          <t>None</t>
        </is>
      </c>
      <c r="H89" s="21" t="inlineStr">
        <is>
          <t>E086</t>
        </is>
      </c>
    </row>
    <row r="90">
      <c r="A90" s="21" t="inlineStr">
        <is>
          <t>E086</t>
        </is>
      </c>
      <c r="B90" s="21" t="inlineStr">
        <is>
          <t>2026-09-20 13:05</t>
        </is>
      </c>
      <c r="C90" s="21" t="inlineStr">
        <is>
          <t>S14</t>
        </is>
      </c>
      <c r="D90" s="21" t="inlineStr">
        <is>
          <t>S14 DURABILITY BUILT — P-003, the third CRITICAL, closed. pg moved into dependencies and wired in the entry point; production refuses an in-memory store and refuses a DATABASE_URL with no client; migration runner under an advisory lock with checksum refusal. A real Postgres 16 was provisioned in-session (port 55432), so the integration tier and the backup/restore drill are results: 9/9 integration tests green, drill PASS at RPO 0s / RTO 0s against the 15 min / 60 min bar. OBS-SD4 closed — the SQL fake is no longer the only store under test.</t>
        </is>
      </c>
      <c r="E90" s="21" t="inlineStr">
        <is>
          <t>SD208-SD215, P-003, P-004, P-005, P-020, OBS-SD4</t>
        </is>
      </c>
      <c r="F90" s="21" t="inlineStr">
        <is>
          <t>8 stories built; 36 pts</t>
        </is>
      </c>
      <c r="G90" s="21" t="inlineStr">
        <is>
          <t>None</t>
        </is>
      </c>
      <c r="H90" s="21" t="inlineStr">
        <is>
          <t>E087</t>
        </is>
      </c>
    </row>
    <row r="91">
      <c r="A91" s="21" t="inlineStr">
        <is>
          <t>E087</t>
        </is>
      </c>
      <c r="B91" s="21" t="inlineStr">
        <is>
          <t>2026-09-20 13:50</t>
        </is>
      </c>
      <c r="C91" s="21" t="inlineStr">
        <is>
          <t>S15</t>
        </is>
      </c>
      <c r="D91" s="21" t="inlineStr">
        <is>
          <t>S15 SCALE BUILT — whole-module snapshots replaced by per-record persistence with node-scoped ids and a one-time migration from legacy snapshot rows; windowed hydration proven at 100k records inside the 500ms API p95 budget on real Postgres; audit trail paginated by cursor and streamed; F-008 closed by an enforcer that sweeps the published retention numbers by kind and age; key rotation with an enc:v2:&lt;keyId&gt; envelope and a re-seal sweep, closing OBS-SD8. OBS-SD9 closes with the snapshots. SD219/SD220 remain owed: no staging, no number.</t>
        </is>
      </c>
      <c r="E91" s="21" t="inlineStr">
        <is>
          <t>SD216-SD221, P-006, F-008, OBS-SD8, OBS-SD9</t>
        </is>
      </c>
      <c r="F91" s="21" t="inlineStr">
        <is>
          <t>5 built, 2 owed to Senthil; 34 pts</t>
        </is>
      </c>
      <c r="G91" s="21" t="inlineStr">
        <is>
          <t>Staging infrastructure for the k6 sweep (LC-8)</t>
        </is>
      </c>
      <c r="H91" s="21" t="inlineStr">
        <is>
          <t>E088</t>
        </is>
      </c>
    </row>
    <row r="92">
      <c r="A92" s="21" t="inlineStr">
        <is>
          <t>E088</t>
        </is>
      </c>
      <c r="B92" s="21" t="inlineStr">
        <is>
          <t>2026-09-20 14:25</t>
        </is>
      </c>
      <c r="C92" s="21" t="inlineStr">
        <is>
          <t>S16</t>
        </is>
      </c>
      <c r="D92" s="21" t="inlineStr">
        <is>
          <t>S16 TEAMS-NATIVE BUILT — Adaptive Cards 1.5 for handover, acknowledgement, approval decision and checklist tick with Action.Execute and invoke handling; conversation references persisted so the product can speak first (the central promise the review found unimplemented), with 403-uninstalled forgetting the conversation and 429/5xx retrying; configurable channel tab with a config page; manifest-to-router command parity in both directions; en-GB and es-ES catalogues with a missing key throwing rather than rendering blank. F-072 found here: two strings were frozen at import so setLocale had no effect.</t>
        </is>
      </c>
      <c r="E92" s="21" t="inlineStr">
        <is>
          <t>SD222-SD227, P-009, P-010, P-011, P-012, F-072</t>
        </is>
      </c>
      <c r="F92" s="21" t="inlineStr">
        <is>
          <t>3 done, 3 pending live, 1 owed (mobile pass)</t>
        </is>
      </c>
      <c r="G92" s="21" t="inlineStr">
        <is>
          <t>Live Teams clients for card rendering and the mobile screenshot (VER-SD01)</t>
        </is>
      </c>
      <c r="H92" s="21" t="inlineStr">
        <is>
          <t>E089</t>
        </is>
      </c>
    </row>
    <row r="93">
      <c r="A93" s="21" t="inlineStr">
        <is>
          <t>E089</t>
        </is>
      </c>
      <c r="B93" s="21" t="inlineStr">
        <is>
          <t>2026-09-20 15:00</t>
        </is>
      </c>
      <c r="C93" s="21" t="inlineStr">
        <is>
          <t>S17</t>
        </is>
      </c>
      <c r="D93" s="21" t="inlineStr">
        <is>
          <t>S17 GOVERNANCE BUILT — P-013 closed as far as code can: four customer regions with a boot-time residency assertion that throws RESIDENCY_MISMATCH before serving; DPA, subprocessor register, retention schedule and residency statement generated from the same constants the product enforces, bound by test so page and code cannot drift; KMS key custody via Key Vault and managed identity with production refusing a plain-env key; incident response runbook with the severity ladder bound to the alert rules. Export and delete surfaced in Settings, audited, streamed.</t>
        </is>
      </c>
      <c r="E93" s="21" t="inlineStr">
        <is>
          <t>SD228-SD233, P-013, P-014, F-029</t>
        </is>
      </c>
      <c r="F93" s="21" t="inlineStr">
        <is>
          <t>3 done, 2 pending live, 1 drafted, 1 owed</t>
        </is>
      </c>
      <c r="G93" s="21" t="inlineStr">
        <is>
          <t>Two live tenants for consent; a real vault; the tabletop</t>
        </is>
      </c>
      <c r="H93" s="21" t="inlineStr">
        <is>
          <t>E090</t>
        </is>
      </c>
    </row>
    <row r="94">
      <c r="A94" s="21" t="inlineStr">
        <is>
          <t>E090</t>
        </is>
      </c>
      <c r="B94" s="21" t="inlineStr">
        <is>
          <t>2026-09-20 15:20</t>
        </is>
      </c>
      <c r="C94" s="21" t="inlineStr">
        <is>
          <t>S18</t>
        </is>
      </c>
      <c r="D94" s="21" t="inlineStr">
        <is>
          <t>S18 ASSURANCE — the evidence half only, honestly. M365 certification control map and SOC 2 readiness map in code, each control naming an evidence path that a test proves exists — which is how three SOC 2 process controls with no executable evidence were caught and bound to real suites rather than waved through. Per-screen manual accessibility script written so the audit is a checklist, not an exploration. Pen test, Publisher Attestation, SOC 2 engagement and the manual a11y pass stay at "To do — Senthil" per D-SD8: four of five items in this sprint cannot be done from a sandbox.</t>
        </is>
      </c>
      <c r="E94" s="21" t="inlineStr">
        <is>
          <t>SD234-SD238, LC-3, LC-7, R-S6, D-05</t>
        </is>
      </c>
      <c r="F94" s="21" t="inlineStr">
        <is>
          <t>1 done, 4 owed to Senthil</t>
        </is>
      </c>
      <c r="G94" s="21" t="inlineStr">
        <is>
          <t>Vendor engagement, Partner Center, audit budget, a screen reader</t>
        </is>
      </c>
      <c r="H94" s="21" t="inlineStr">
        <is>
          <t>E091</t>
        </is>
      </c>
    </row>
    <row r="95">
      <c r="A95" s="21" t="inlineStr">
        <is>
          <t>E091</t>
        </is>
      </c>
      <c r="B95" s="21" t="inlineStr">
        <is>
          <t>2026-09-20 15:45</t>
        </is>
      </c>
      <c r="C95" s="21" t="inlineStr">
        <is>
          <t>S19</t>
        </is>
      </c>
      <c r="D95" s="21" t="inlineStr">
        <is>
          <t>S19 COMMERCIAL AND OBSERVABILITY BUILT — Marketplace SaaS Fulfillment API v2: token resolution, activate, the five webhook actions idempotent on activityId, seat reconciliation with a drift alert, Entra and shared-secret webhook authentication. Sentry-envelope and PostHog-capture sinks with a pinned PII scrubber and tenant hashing. 99.5% SLO stated as 216 minutes a month with eleven alert rules, each carrying the finding that justifies it. Deploy workflow: real provider CLI calls, migrations before the swap, green smoke, rollback job — the echo placeholders P-020 named are gone.</t>
        </is>
      </c>
      <c r="E95" s="21" t="inlineStr">
        <is>
          <t>SD239-SD243, P-019, P-020, F-070, D-05, LC-6</t>
        </is>
      </c>
      <c r="F95" s="21" t="inlineStr">
        <is>
          <t>2 done, 2 pending live, 1 owed</t>
        </is>
      </c>
      <c r="G95" s="21" t="inlineStr">
        <is>
          <t>A live transactable offer; a real sink DSN; the subscription for one rollback</t>
        </is>
      </c>
      <c r="H95" s="21" t="inlineStr">
        <is>
          <t>E092</t>
        </is>
      </c>
    </row>
    <row r="96">
      <c r="A96" s="21" t="inlineStr">
        <is>
          <t>E092</t>
        </is>
      </c>
      <c r="B96" s="21" t="inlineStr">
        <is>
          <t>2026-09-20 16:05</t>
        </is>
      </c>
      <c r="C96" s="21" t="inlineStr">
        <is>
          <t>S20</t>
        </is>
      </c>
      <c r="D96" s="21" t="inlineStr">
        <is>
          <t>S20 DEMAND — the modelling and the copy, not the answer. Financial model repaired: cash in, cash out, runway, per-site pricing beside per-seat, and either a breakeven month or the funding requirement stated outright (P-018/D-01). Positioning rewritten explicitly against free first-party Approvals and Planner rather than around them (D-04), and R-S2 in the RAID rewritten to say the overlap is the commercial risk. The 15 discovery interviews and the 5 paid pilots stay owed: they are the programme gate, and D13 parked interviews portfolio-wide.</t>
        </is>
      </c>
      <c r="E96" s="21" t="inlineStr">
        <is>
          <t>SD244-SD247, P-018, D-01, D-04, R4, G-02</t>
        </is>
      </c>
      <c r="F96" s="21" t="inlineStr">
        <is>
          <t>2 done/drafted, 2 owed to Senthil</t>
        </is>
      </c>
      <c r="G96" s="21" t="inlineStr">
        <is>
          <t>Senthil: 15 interviews, 5 signed pilots</t>
        </is>
      </c>
      <c r="H96" s="21" t="inlineStr">
        <is>
          <t>E093</t>
        </is>
      </c>
    </row>
    <row r="97">
      <c r="A97" s="21" t="inlineStr">
        <is>
          <t>E093</t>
        </is>
      </c>
      <c r="B97" s="21" t="inlineStr">
        <is>
          <t>2026-09-20 16:40</t>
        </is>
      </c>
      <c r="C97" s="21" t="inlineStr">
        <is>
          <t>—</t>
        </is>
      </c>
      <c r="D97" s="21" t="inlineStr">
        <is>
          <t>D-SD7 THREE-TIER GATE MET AND RELEASE CLOSED — tier 1: 68 unit suites / 555 tests, 100% statements, branches, functions and lines with zero pragmas; tier 2: 9/9 real-Postgres integration tests; tier 3: the production-seam assertion passes and the same check refuses to boot a mis-wired deployment. tsc --noEmit clean, bundles build. Four own goals recorded rather than hidden: F-071 (the pg driver parses JSONB while the repository parsed text), F-072 (frozen i18n strings), and — found by rerunning the whole suite on a cleaned tree at release time — F-073 (the build never copied the tab page into the build directory, so a clean checkout serves 404 at /tab/, and CI hid it by testing without building) and F-074 (the tier-3 wiring job named a test file that has never existed, so the gate D-SD7 rests on was exiting "no tests found"). Source zip v046 (227 files), tracker v040, workbook v046.</t>
        </is>
      </c>
      <c r="E97" s="21" t="inlineStr">
        <is>
          <t>D13, D-SD7, F-071..F-074, v046, v040</t>
        </is>
      </c>
      <c r="F97" s="21" t="inlineStr">
        <is>
          <t>Session 41 closed; 47 SD stories on the tracker, 36 built, 11 owed</t>
        </is>
      </c>
      <c r="G97" s="21" t="inlineStr">
        <is>
          <t>The 11 D-SD8 items are Senthil-gated</t>
        </is>
      </c>
      <c r="H97" s="21" t="inlineStr">
        <is>
          <t>—</t>
        </is>
      </c>
    </row>
  </sheetData>
  <mergeCells count="1">
    <mergeCell ref="A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4" min="1" max="1"/>
    <col width="70" customWidth="1" style="14" min="2" max="2"/>
    <col width="55" customWidth="1" style="14" min="3" max="3"/>
    <col width="24" customWidth="1" style="14" min="4" max="4"/>
    <col width="26" customWidth="1" style="14" min="5" max="5"/>
  </cols>
  <sheetData>
    <row r="1" ht="15" customHeight="1" s="15">
      <c r="A1" s="16" t="inlineStr">
        <is>
          <t>DECISIONS (tracker scope)</t>
        </is>
      </c>
    </row>
    <row r="2" ht="15" customHeight="1" s="15">
      <c r="A2" s="18" t="inlineStr">
        <is>
          <t>ID</t>
        </is>
      </c>
      <c r="B2" s="18" t="inlineStr">
        <is>
          <t>Decision</t>
        </is>
      </c>
      <c r="C2" s="18" t="inlineStr">
        <is>
          <t>Rationale</t>
        </is>
      </c>
      <c r="D2" s="18" t="inlineStr">
        <is>
          <t>Decided by</t>
        </is>
      </c>
      <c r="E2" s="18" t="inlineStr">
        <is>
          <t>Status</t>
        </is>
      </c>
    </row>
    <row r="3" ht="39" customHeight="1" s="15">
      <c r="A3" s="19" t="inlineStr">
        <is>
          <t>D13</t>
        </is>
      </c>
      <c r="B3" s="19" t="inlineStr">
        <is>
          <t>(Portfolio-wide) Discovery interviews parked; development proceeds with 100% automation test coverage on all code (supersedes &gt;=70% gate in ST-085 wording).</t>
        </is>
      </c>
      <c r="C3" s="19" t="inlineStr">
        <is>
          <t>Senthil 10 Sep 20:45; applied to ShiftDesk per 22:26 continue instruction.</t>
        </is>
      </c>
      <c r="D3" s="19" t="inlineStr">
        <is>
          <t>Senthil</t>
        </is>
      </c>
      <c r="E3" s="19" t="inlineStr">
        <is>
          <t>LOCKED</t>
        </is>
      </c>
    </row>
    <row r="4" ht="39" customHeight="1" s="15">
      <c r="A4" s="19" t="inlineStr">
        <is>
          <t>D15</t>
        </is>
      </c>
      <c r="B4" s="19" t="inlineStr">
        <is>
          <t>ShiftDesk build opened 10 Sep 22:26 as the eighth concurrent build while RevRescue rank-1 gate unmet. Sequencing mode — hold-serial vs formal-parallel — pending.</t>
        </is>
      </c>
      <c r="C4" s="19" t="inlineStr">
        <is>
          <t>Consolidated in portfolio action board (23:03 file); every build carries the same flag.</t>
        </is>
      </c>
      <c r="D4" s="19" t="inlineStr">
        <is>
          <t>Senthil (mode ratification pending)</t>
        </is>
      </c>
      <c r="E4" s="19" t="inlineStr">
        <is>
          <t>OPEN — pick (a) or (b)</t>
        </is>
      </c>
    </row>
    <row r="5" ht="39" customHeight="1" s="15">
      <c r="A5" s="19" t="inlineStr">
        <is>
          <t>D-SD1</t>
        </is>
      </c>
      <c r="B5" s="19" t="inlineStr">
        <is>
          <t>Stack = TypeScript/Node + React per v005 ReadMe stack assumption; platform transport (Bot Framework/Graph, marketplace billing API) mocked at the PlatformGateway seam.</t>
        </is>
      </c>
      <c r="C5" s="19" t="inlineStr">
        <is>
          <t>Sandbox has no Microsoft credentials; seam keeps live swap wiring-only. Matches accepted precedent on the other seven builds.</t>
        </is>
      </c>
      <c r="D5" s="19" t="inlineStr">
        <is>
          <t>Claude — flagged</t>
        </is>
      </c>
      <c r="E5" s="19" t="inlineStr">
        <is>
          <t>OPEN for ratification</t>
        </is>
      </c>
    </row>
    <row r="6" ht="39" customHeight="1" s="15">
      <c r="A6" s="19" t="inlineStr">
        <is>
          <t>D-SD2</t>
        </is>
      </c>
      <c r="B6" s="19" t="inlineStr">
        <is>
          <t>Status vocabulary: Done / Code-complete pending live / In progress / Drafted / Backlog. Rollup "Done" counts Done only — pending-live is never claimed as Done.</t>
        </is>
      </c>
      <c r="C6" s="19" t="inlineStr">
        <is>
          <t>Honesty bar carried from FlowCast/TeleField trackers.</t>
        </is>
      </c>
      <c r="D6" s="19" t="inlineStr">
        <is>
          <t>Claude — flagged</t>
        </is>
      </c>
      <c r="E6" s="19" t="inlineStr">
        <is>
          <t>OPEN for ratification</t>
        </is>
      </c>
    </row>
    <row r="7" ht="26.25" customHeight="1" s="15">
      <c r="A7" s="19" t="inlineStr">
        <is>
          <t>D-SD3</t>
        </is>
      </c>
      <c r="B7" s="19" t="inlineStr">
        <is>
          <t>Checklist creation set to admin-level permission (module.configure), not member.</t>
        </is>
      </c>
      <c r="C7" s="19" t="inlineStr">
        <is>
          <t>Surfaced by E2E permission test during S5; consistent with ops-director/IT-admin personas in Product_Spec.</t>
        </is>
      </c>
      <c r="D7" s="19" t="inlineStr">
        <is>
          <t>Claude — flagged</t>
        </is>
      </c>
      <c r="E7" s="19" t="inlineStr">
        <is>
          <t>OPEN for ratification</t>
        </is>
      </c>
    </row>
    <row r="8" ht="39" customHeight="1" s="15">
      <c r="A8" s="19" t="inlineStr">
        <is>
          <t>D-SD4</t>
        </is>
      </c>
      <c r="B8" s="19" t="inlineStr">
        <is>
          <t>Built-in chat + 4-business-hour SLA engine satisfies ST-081 as shipped; third-party chat vendor becomes OPTIONAL (adopt only if preferred at launch).</t>
        </is>
      </c>
      <c r="C8" s="19" t="inlineStr">
        <is>
          <t>Matches OnCall/FlowCast precedent; removes a vendor decision from the critical path.</t>
        </is>
      </c>
      <c r="D8" s="19" t="inlineStr">
        <is>
          <t>Claude — flagged</t>
        </is>
      </c>
      <c r="E8" s="19" t="inlineStr">
        <is>
          <t>OPEN for ratification</t>
        </is>
      </c>
    </row>
    <row r="9" ht="39" customHeight="1" s="15">
      <c r="A9" s="19" t="inlineStr">
        <is>
          <t>D-SD5</t>
        </is>
      </c>
      <c r="B9" s="19" t="inlineStr">
        <is>
          <t>ChannelMessage.Send.Group dropped from the requested RSC scopes: bot replies use the Bot Connector, not Graph, so the scope had no consumer.</t>
        </is>
      </c>
      <c r="C9" s="19" t="inlineStr">
        <is>
          <t>Fewer permissions on the consent screen, cleaner store review, and the scope can return with any future proactive-Graph feature that actually needs it.</t>
        </is>
      </c>
      <c r="D9" s="19" t="inlineStr">
        <is>
          <t>Claude — flagged</t>
        </is>
      </c>
      <c r="E9" s="19" t="inlineStr">
        <is>
          <t>OPEN for ratification</t>
        </is>
      </c>
    </row>
    <row r="10" ht="39" customHeight="1" s="15">
      <c r="A10" s="19" t="inlineStr">
        <is>
          <t>D-SD6</t>
        </is>
      </c>
      <c r="B10" s="19" t="inlineStr">
        <is>
          <t>settings.roles removed from the permission matrix: roles are derived from Teams team ownership (src/graphMembers.ts) and ShiftDesk assigns none, so the permission guarded no operation.</t>
        </is>
      </c>
      <c r="C10" s="19" t="inlineStr">
        <is>
          <t>An unenforced permission misleads anyone reading the Settings screen or the security documentation. It returns if in-product role assignment is ever built.</t>
        </is>
      </c>
      <c r="D10" s="19" t="inlineStr">
        <is>
          <t>Claude — flagged</t>
        </is>
      </c>
      <c r="E10" s="19" t="inlineStr">
        <is>
          <t>OPEN for ratification</t>
        </is>
      </c>
    </row>
    <row r="11">
      <c r="A11" s="21" t="inlineStr">
        <is>
          <t>D-SD7</t>
        </is>
      </c>
      <c r="B11" s="21" t="inlineStr">
        <is>
          <t>Quality is gated in three tiers, not one: (1) 100% unit coverage on the domain, (2) a real-Postgres integration tier, (3) a production-seam wiring assertion that also runs at boot. A release is not green until all three are.</t>
        </is>
      </c>
      <c r="C11" s="21" t="inlineStr">
        <is>
          <t>The review's P-017 said it plainly: 371 tests at 100% coverage coexisted with no identity verification, no durability and no wiring — coverage measured execution of the code that existed, not the existence of the code that mattered. Tier 2 catches what a fake store cannot (F-071 was found the hour it was added); tier 3 catches a module that is built, tested and never constructed (the F-036/F-062 class, five times over).</t>
        </is>
      </c>
      <c r="D11" s="21" t="inlineStr">
        <is>
          <t>Claude — flagged</t>
        </is>
      </c>
      <c r="E11" s="21" t="inlineStr">
        <is>
          <t>OPEN for ratification</t>
        </is>
      </c>
    </row>
    <row r="12">
      <c r="A12" s="21" t="inlineStr">
        <is>
          <t>D-SD8</t>
        </is>
      </c>
      <c r="B12" s="21" t="inlineStr">
        <is>
          <t>Eleven of the 47 review stories are irreducibly human or live-gated (SD219, SD220, SD226, SD228, SD234, SD235, SD237, SD238, SD240, SD244, SD247). They stay on the tracker at "To do — Senthil" with their artefacts prepared, and are never restated as Done, Drafted or pending-live.</t>
        </is>
      </c>
      <c r="C12" s="21" t="inlineStr">
        <is>
          <t>Scope was not shrunk: every one keeps its points, its acceptance criterion and its row in the rollup, so the denominator tells the truth. What Claude can do for them — harness, script, scope pack, interview instrument, evidence map — is built; what needs a Partner Center account, a phone, a vendor, a budget or a customer is named as owed rather than absorbed.</t>
        </is>
      </c>
      <c r="D12" s="21" t="inlineStr">
        <is>
          <t>Claude — flagged</t>
        </is>
      </c>
      <c r="E12" s="21" t="inlineStr">
        <is>
          <t>OPEN for ratification</t>
        </is>
      </c>
    </row>
    <row r="13">
      <c r="A13" s="21" t="inlineStr">
        <is>
          <t>D-SD9</t>
        </is>
      </c>
      <c r="B13" s="21" t="inlineStr">
        <is>
          <t>SHIFTDESK_ENV unset now means production, not dev. Any non-production implementation constructed outside dev makes the process refuse to serve.</t>
        </is>
      </c>
      <c r="C13" s="21" t="inlineStr">
        <is>
          <t>The old default failed open: a deployment that forgot one environment variable ran with the dev token bypass, the in-memory store and a plain-env key, and looked healthy doing it. Nine test suites had to be corrected to the new default, which is itself the evidence that the old one was load-bearing.</t>
        </is>
      </c>
      <c r="D13" s="21" t="inlineStr">
        <is>
          <t>Claude — flagged</t>
        </is>
      </c>
      <c r="E13" s="21" t="inlineStr">
        <is>
          <t>OPEN for ratification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70" customWidth="1" style="14" min="2" max="2"/>
    <col width="12" customWidth="1" style="14" min="3" max="3"/>
    <col width="8" customWidth="1" style="14" min="4" max="4"/>
    <col width="18" customWidth="1" style="14" min="5" max="5"/>
    <col width="26" customWidth="1" style="14" min="6" max="6"/>
    <col width="70" customWidth="1" style="14" min="7" max="7"/>
  </cols>
  <sheetData>
    <row r="1" ht="15" customHeight="1" s="15">
      <c r="A1" s="16" t="inlineStr">
        <is>
          <t>S1 BUILD BOARD — Foundation (2 wks) — exit: app installs cleanly in dev store/org; telemetry firing</t>
        </is>
      </c>
    </row>
    <row r="2" ht="15" customHeight="1" s="15">
      <c r="A2" s="22" t="inlineStr">
        <is>
          <t>Foundation infra + E1 stories. Executed 10 Sep 2026 22:26 (session 1, workbook v006).</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6.25" customHeight="1" s="15">
      <c r="A4" s="19" t="inlineStr">
        <is>
          <t>S1-01</t>
        </is>
      </c>
      <c r="B4" s="19" t="inlineStr">
        <is>
          <t>Repo scaffold + CI with 100% coverage gate (D13)</t>
        </is>
      </c>
      <c r="C4" s="19" t="inlineStr">
        <is>
          <t>—</t>
        </is>
      </c>
      <c r="D4" s="19" t="n">
        <v>2</v>
      </c>
      <c r="E4" s="19" t="inlineStr">
        <is>
          <t>Claude</t>
        </is>
      </c>
      <c r="F4" s="23" t="inlineStr">
        <is>
          <t>Done</t>
        </is>
      </c>
      <c r="G4" s="19" t="inlineStr">
        <is>
          <t>jest coverageThreshold 100x4; .github/workflows/ci.yml; tsc strict. E002/E010</t>
        </is>
      </c>
    </row>
    <row r="5" ht="26.25" customHeight="1" s="15">
      <c r="A5" s="19" t="inlineStr">
        <is>
          <t>S1-02</t>
        </is>
      </c>
      <c r="B5" s="19" t="inlineStr">
        <is>
          <t>Install -&gt; welcome state logic + timing telemetry</t>
        </is>
      </c>
      <c r="C5" s="19" t="inlineStr">
        <is>
          <t>ST-051</t>
        </is>
      </c>
      <c r="D5" s="19" t="n">
        <v>5</v>
      </c>
      <c r="E5" s="19" t="inlineStr">
        <is>
          <t>Claude</t>
        </is>
      </c>
      <c r="F5" s="24" t="inlineStr">
        <is>
          <t>Code-complete pending live</t>
        </is>
      </c>
      <c r="G5" s="19" t="inlineStr">
        <is>
          <t>src/install.ts; live dev-store install needed for &lt;2 min evidence. E002</t>
        </is>
      </c>
    </row>
    <row r="6" ht="26.25" customHeight="1" s="15">
      <c r="A6" s="19" t="inlineStr">
        <is>
          <t>S1-03</t>
        </is>
      </c>
      <c r="B6" s="19" t="inlineStr">
        <is>
          <t>Uninstall webhook: token wipe + 30-day deletion schedule + purge sweep</t>
        </is>
      </c>
      <c r="C6" s="19" t="inlineStr">
        <is>
          <t>ST-052</t>
        </is>
      </c>
      <c r="D6" s="19" t="n">
        <v>3</v>
      </c>
      <c r="E6" s="19" t="inlineStr">
        <is>
          <t>Claude</t>
        </is>
      </c>
      <c r="F6" s="23" t="inlineStr">
        <is>
          <t>Done</t>
        </is>
      </c>
      <c r="G6" s="19" t="inlineStr">
        <is>
          <t>src/install.ts uninstallWebhook/purgeExpired — tests incl. expiry edges. E002</t>
        </is>
      </c>
    </row>
    <row r="7" ht="15" customHeight="1" s="15">
      <c r="A7" s="19" t="inlineStr">
        <is>
          <t>S1-04</t>
        </is>
      </c>
      <c r="B7" s="19" t="inlineStr">
        <is>
          <t>Rotation-safe token refresh</t>
        </is>
      </c>
      <c r="C7" s="19" t="inlineStr">
        <is>
          <t>ST-055</t>
        </is>
      </c>
      <c r="D7" s="19" t="n">
        <v>3</v>
      </c>
      <c r="E7" s="19" t="inlineStr">
        <is>
          <t>Claude</t>
        </is>
      </c>
      <c r="F7" s="23" t="inlineStr">
        <is>
          <t>Done</t>
        </is>
      </c>
      <c r="G7" s="19" t="inlineStr">
        <is>
          <t>src/platformGateway.ts TokenStore — stale/current paths tested. E002</t>
        </is>
      </c>
    </row>
    <row r="8" ht="15" customHeight="1" s="15">
      <c r="A8" s="19" t="inlineStr">
        <is>
          <t>S1-05</t>
        </is>
      </c>
      <c r="B8" s="19" t="inlineStr">
        <is>
          <t>Install telemetry source attribution (listing/search/referral)</t>
        </is>
      </c>
      <c r="C8" s="19" t="inlineStr">
        <is>
          <t>ST-056</t>
        </is>
      </c>
      <c r="D8" s="19" t="n">
        <v>2</v>
      </c>
      <c r="E8" s="19" t="inlineStr">
        <is>
          <t>Claude</t>
        </is>
      </c>
      <c r="F8" s="23" t="inlineStr">
        <is>
          <t>Done</t>
        </is>
      </c>
      <c r="G8" s="19" t="inlineStr">
        <is>
          <t>src/install.ts telemetry events. E002</t>
        </is>
      </c>
    </row>
    <row r="9" ht="26.25" customHeight="1" s="15">
      <c r="A9" s="19" t="inlineStr">
        <is>
          <t>S1-06</t>
        </is>
      </c>
      <c r="B9" s="19" t="inlineStr">
        <is>
          <t>Rate-limit backoff + circuit breaker seam (mock/live boundary)</t>
        </is>
      </c>
      <c r="C9" s="19" t="inlineStr">
        <is>
          <t>ST-070 base</t>
        </is>
      </c>
      <c r="D9" s="19" t="n">
        <v>2</v>
      </c>
      <c r="E9" s="19" t="inlineStr">
        <is>
          <t>Claude</t>
        </is>
      </c>
      <c r="F9" s="23" t="inlineStr">
        <is>
          <t>Done</t>
        </is>
      </c>
      <c r="G9" s="19" t="inlineStr">
        <is>
          <t>src/platformGateway.ts — retry, exhaustion, breaker, reset all tested. E002</t>
        </is>
      </c>
    </row>
    <row r="10" ht="26.25" customHeight="1" s="15">
      <c r="A10" s="19" t="inlineStr">
        <is>
          <t>S1-07</t>
        </is>
      </c>
      <c r="B10" s="19" t="inlineStr">
        <is>
          <t>Install cleanly in REAL Teams dev tenant (Partner Center + manifest upload)</t>
        </is>
      </c>
      <c r="C10" s="19" t="inlineStr">
        <is>
          <t>ST-051 live</t>
        </is>
      </c>
      <c r="D10" s="19" t="n">
        <v>3</v>
      </c>
      <c r="E10" s="19" t="inlineStr">
        <is>
          <t>Senthil + Claude</t>
        </is>
      </c>
      <c r="F10" s="19" t="inlineStr">
        <is>
          <t>To do</t>
        </is>
      </c>
      <c r="G10" s="19" t="inlineStr">
        <is>
          <t>Needs Partner Center enrollment + dev tenant; evidence: install screenshot + telemetry row.</t>
        </is>
      </c>
    </row>
    <row r="11" ht="15" customHeight="1" s="15">
      <c r="A11" s="19" t="inlineStr">
        <is>
          <t>S1-08</t>
        </is>
      </c>
      <c r="B11" s="19" t="inlineStr">
        <is>
          <t>Staging env + secrets vault; Postgres adapter behind repositories</t>
        </is>
      </c>
      <c r="C11" s="19" t="inlineStr">
        <is>
          <t>—</t>
        </is>
      </c>
      <c r="D11" s="19" t="n">
        <v>2</v>
      </c>
      <c r="E11" s="19" t="inlineStr">
        <is>
          <t>Senthil + Claude</t>
        </is>
      </c>
      <c r="F11" s="19" t="inlineStr">
        <is>
          <t>To do</t>
        </is>
      </c>
      <c r="G11" s="19" t="inlineStr">
        <is>
          <t>Provision after S1-07; domain code untouched (R-S4).</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S2 BUILD BOARD — Core feature Shift handover threads pt 1 — exit: happy path demoable</t>
        </is>
      </c>
    </row>
    <row r="2" ht="15" customHeight="1" s="15">
      <c r="A2" s="22" t="inlineStr">
        <is>
          <t>Backlog stories scheduled S2.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S2-01</t>
        </is>
      </c>
      <c r="B4" s="19" t="inlineStr">
        <is>
          <t>As a Ops director, I can set up Shift handover threads with sensible defaults in one screen</t>
        </is>
      </c>
      <c r="C4" s="19" t="inlineStr">
        <is>
          <t>ST-001</t>
        </is>
      </c>
      <c r="D4" s="19" t="n">
        <v>5</v>
      </c>
      <c r="E4" s="19" t="inlineStr">
        <is>
          <t>Claude</t>
        </is>
      </c>
      <c r="F4" s="23" t="inlineStr">
        <is>
          <t>Done</t>
        </is>
      </c>
      <c r="G4" s="19" t="inlineStr">
        <is>
          <t>Built + covered at 100% this session</t>
        </is>
      </c>
    </row>
    <row r="5" ht="15" customHeight="1" s="15">
      <c r="A5" s="19" t="inlineStr">
        <is>
          <t>S2-02</t>
        </is>
      </c>
      <c r="B5" s="19" t="inlineStr">
        <is>
          <t>As a Ops director, the Shift handover threads happy path completes without documentation</t>
        </is>
      </c>
      <c r="C5" s="19" t="inlineStr">
        <is>
          <t>ST-002</t>
        </is>
      </c>
      <c r="D5" s="19" t="n">
        <v>8</v>
      </c>
      <c r="E5" s="19" t="inlineStr">
        <is>
          <t>Claude</t>
        </is>
      </c>
      <c r="F5" s="23" t="inlineStr">
        <is>
          <t>Done</t>
        </is>
      </c>
      <c r="G5" s="19" t="inlineStr">
        <is>
          <t>Built + covered at 100% this session</t>
        </is>
      </c>
    </row>
    <row r="6" ht="15" customHeight="1" s="15">
      <c r="A6" s="19" t="inlineStr">
        <is>
          <t>S2-03</t>
        </is>
      </c>
      <c r="B6" s="19" t="inlineStr">
        <is>
          <t>As a IT admin, I can customise Shift handover threads rules/conditions for my workflow</t>
        </is>
      </c>
      <c r="C6" s="19" t="inlineStr">
        <is>
          <t>ST-003</t>
        </is>
      </c>
      <c r="D6" s="19" t="n">
        <v>5</v>
      </c>
      <c r="E6" s="19" t="inlineStr">
        <is>
          <t>Claude</t>
        </is>
      </c>
      <c r="F6" s="23" t="inlineStr">
        <is>
          <t>Done</t>
        </is>
      </c>
      <c r="G6" s="19" t="inlineStr">
        <is>
          <t>Built + covered at 100% this session</t>
        </is>
      </c>
    </row>
    <row r="7" ht="15" customHeight="1" s="15">
      <c r="A7" s="19" t="inlineStr">
        <is>
          <t>S2-04</t>
        </is>
      </c>
      <c r="B7" s="19" t="inlineStr">
        <is>
          <t>As a user, Shift handover threads shows clear errors and retry paths on platform API failures</t>
        </is>
      </c>
      <c r="C7" s="19" t="inlineStr">
        <is>
          <t>ST-004</t>
        </is>
      </c>
      <c r="D7" s="19" t="n">
        <v>3</v>
      </c>
      <c r="E7" s="19" t="inlineStr">
        <is>
          <t>Claude</t>
        </is>
      </c>
      <c r="F7" s="23" t="inlineStr">
        <is>
          <t>Done</t>
        </is>
      </c>
      <c r="G7" s="19" t="inlineStr">
        <is>
          <t>Built + covered at 100% this session</t>
        </is>
      </c>
    </row>
    <row r="8" ht="15" customHeight="1" s="15">
      <c r="A8" s="19" t="inlineStr">
        <is>
          <t>S2-05</t>
        </is>
      </c>
      <c r="B8" s="19" t="inlineStr">
        <is>
          <t>Re-install restores account within retention window</t>
        </is>
      </c>
      <c r="C8" s="19" t="inlineStr">
        <is>
          <t>ST-053</t>
        </is>
      </c>
      <c r="D8" s="19" t="n">
        <v>3</v>
      </c>
      <c r="E8" s="19" t="inlineStr">
        <is>
          <t>Claude</t>
        </is>
      </c>
      <c r="F8" s="23" t="inlineStr">
        <is>
          <t>Done</t>
        </is>
      </c>
      <c r="G8" s="19" t="inlineStr">
        <is>
          <t>Built + covered at 100% this session</t>
        </is>
      </c>
    </row>
    <row r="9" ht="15" customHeight="1" s="15">
      <c r="A9" s="19" t="inlineStr">
        <is>
          <t>S2-06</t>
        </is>
      </c>
      <c r="B9" s="19" t="inlineStr">
        <is>
          <t>Multi-user roles: owner/admin/member permission matrix enforced</t>
        </is>
      </c>
      <c r="C9" s="19" t="inlineStr">
        <is>
          <t>ST-054</t>
        </is>
      </c>
      <c r="D9" s="19" t="n">
        <v>5</v>
      </c>
      <c r="E9" s="19" t="inlineStr">
        <is>
          <t>Claude</t>
        </is>
      </c>
      <c r="F9" s="23" t="inlineStr">
        <is>
          <t>Done</t>
        </is>
      </c>
      <c r="G9" s="19" t="inlineStr">
        <is>
          <t>Built + covered at 100% this session</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S3 BUILD BOARD — Handover pt 2 + Approvals start — exit: handover complete with tests; approvals skeleton</t>
        </is>
      </c>
    </row>
    <row r="2" ht="15" customHeight="1" s="15">
      <c r="A2" s="22" t="inlineStr">
        <is>
          <t>Backlog stories scheduled S3.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6.25" customHeight="1" s="15">
      <c r="A4" s="19" t="inlineStr">
        <is>
          <t>S3-01</t>
        </is>
      </c>
      <c r="B4" s="19" t="inlineStr">
        <is>
          <t>As a Frontline supervisor, Shift handover threads works on the Teams tab + bot surface end-to-end</t>
        </is>
      </c>
      <c r="C4" s="19" t="inlineStr">
        <is>
          <t>ST-005</t>
        </is>
      </c>
      <c r="D4" s="19" t="n">
        <v>5</v>
      </c>
      <c r="E4" s="19" t="inlineStr">
        <is>
          <t>Claude</t>
        </is>
      </c>
      <c r="F4" s="24" t="inlineStr">
        <is>
          <t>Code-complete pending live</t>
        </is>
      </c>
      <c r="G4" s="19" t="inlineStr">
        <is>
          <t>UI + logic done; live Teams tab/bot surface validation pending</t>
        </is>
      </c>
    </row>
    <row r="5" ht="15" customHeight="1" s="15">
      <c r="A5" s="19" t="inlineStr">
        <is>
          <t>S3-02</t>
        </is>
      </c>
      <c r="B5" s="19" t="inlineStr">
        <is>
          <t>As a IT admin, I can see Shift handover threads performance metrics and trends</t>
        </is>
      </c>
      <c r="C5" s="19" t="inlineStr">
        <is>
          <t>ST-006</t>
        </is>
      </c>
      <c r="D5" s="19" t="n">
        <v>3</v>
      </c>
      <c r="E5" s="19" t="inlineStr">
        <is>
          <t>Claude</t>
        </is>
      </c>
      <c r="F5" s="23" t="inlineStr">
        <is>
          <t>Done</t>
        </is>
      </c>
      <c r="G5" s="19" t="inlineStr">
        <is>
          <t>Built + covered at 100% this session</t>
        </is>
      </c>
    </row>
    <row r="6" ht="15" customHeight="1" s="15">
      <c r="A6" s="19" t="inlineStr">
        <is>
          <t>S3-03</t>
        </is>
      </c>
      <c r="B6" s="19" t="inlineStr">
        <is>
          <t>As a user, Shift handover threads respects role permissions and audit logging</t>
        </is>
      </c>
      <c r="C6" s="19" t="inlineStr">
        <is>
          <t>ST-007</t>
        </is>
      </c>
      <c r="D6" s="19" t="n">
        <v>3</v>
      </c>
      <c r="E6" s="19" t="inlineStr">
        <is>
          <t>Claude</t>
        </is>
      </c>
      <c r="F6" s="23" t="inlineStr">
        <is>
          <t>Done</t>
        </is>
      </c>
      <c r="G6" s="19" t="inlineStr">
        <is>
          <t>Built + covered at 100% this session</t>
        </is>
      </c>
    </row>
    <row r="7" ht="15" customHeight="1" s="15">
      <c r="A7" s="19" t="inlineStr">
        <is>
          <t>S3-04</t>
        </is>
      </c>
      <c r="B7" s="19" t="inlineStr">
        <is>
          <t>As a Ops director, I can pause/disable Shift handover threads without data loss</t>
        </is>
      </c>
      <c r="C7" s="19" t="inlineStr">
        <is>
          <t>ST-008</t>
        </is>
      </c>
      <c r="D7" s="19" t="n">
        <v>2</v>
      </c>
      <c r="E7" s="19" t="inlineStr">
        <is>
          <t>Claude</t>
        </is>
      </c>
      <c r="F7" s="23" t="inlineStr">
        <is>
          <t>Done</t>
        </is>
      </c>
      <c r="G7" s="19" t="inlineStr">
        <is>
          <t>Built + covered at 100% this session</t>
        </is>
      </c>
    </row>
    <row r="8" ht="15" customHeight="1" s="15">
      <c r="A8" s="19" t="inlineStr">
        <is>
          <t>S3-05</t>
        </is>
      </c>
      <c r="B8" s="19" t="inlineStr">
        <is>
          <t>As a IT admin, I can import/migrate existing data into Shift handover threads (CSV + competitor importer)</t>
        </is>
      </c>
      <c r="C8" s="19" t="inlineStr">
        <is>
          <t>ST-009</t>
        </is>
      </c>
      <c r="D8" s="19" t="n">
        <v>5</v>
      </c>
      <c r="E8" s="19" t="inlineStr">
        <is>
          <t>Claude</t>
        </is>
      </c>
      <c r="F8" s="23" t="inlineStr">
        <is>
          <t>Done</t>
        </is>
      </c>
      <c r="G8" s="19" t="inlineStr">
        <is>
          <t>Built + covered at 100% this session</t>
        </is>
      </c>
    </row>
    <row r="9" ht="15" customHeight="1" s="15">
      <c r="A9" s="19" t="inlineStr">
        <is>
          <t>S3-06</t>
        </is>
      </c>
      <c r="B9" s="19" t="inlineStr">
        <is>
          <t>As a user, I get notifications (in-app + email) for key Shift handover threads events with per-type mute</t>
        </is>
      </c>
      <c r="C9" s="19" t="inlineStr">
        <is>
          <t>ST-010</t>
        </is>
      </c>
      <c r="D9" s="19" t="n">
        <v>3</v>
      </c>
      <c r="E9" s="19" t="inlineStr">
        <is>
          <t>Claude</t>
        </is>
      </c>
      <c r="F9" s="23" t="inlineStr">
        <is>
          <t>Done</t>
        </is>
      </c>
      <c r="G9" s="19" t="inlineStr">
        <is>
          <t>Built + covered at 100% this session</t>
        </is>
      </c>
    </row>
    <row r="10" ht="15" customHeight="1" s="15">
      <c r="A10" s="19" t="inlineStr">
        <is>
          <t>S3-07</t>
        </is>
      </c>
      <c r="B10" s="19" t="inlineStr">
        <is>
          <t>As a Ops director, I can set up Approval workflows with sensible defaults in one screen</t>
        </is>
      </c>
      <c r="C10" s="19" t="inlineStr">
        <is>
          <t>ST-011</t>
        </is>
      </c>
      <c r="D10" s="19" t="n">
        <v>5</v>
      </c>
      <c r="E10" s="19" t="inlineStr">
        <is>
          <t>Claude</t>
        </is>
      </c>
      <c r="F10" s="23" t="inlineStr">
        <is>
          <t>Done</t>
        </is>
      </c>
      <c r="G10" s="19" t="inlineStr">
        <is>
          <t>Built + covered at 100% this session</t>
        </is>
      </c>
    </row>
    <row r="11" ht="15" customHeight="1" s="15">
      <c r="A11" s="19" t="inlineStr">
        <is>
          <t>S3-08</t>
        </is>
      </c>
      <c r="B11" s="19" t="inlineStr">
        <is>
          <t>As a Ops director, the Approval workflows happy path completes without documentation</t>
        </is>
      </c>
      <c r="C11" s="19" t="inlineStr">
        <is>
          <t>ST-012</t>
        </is>
      </c>
      <c r="D11" s="19" t="n">
        <v>8</v>
      </c>
      <c r="E11" s="19" t="inlineStr">
        <is>
          <t>Claude</t>
        </is>
      </c>
      <c r="F11" s="23" t="inlineStr">
        <is>
          <t>Done</t>
        </is>
      </c>
      <c r="G11" s="19" t="inlineStr">
        <is>
          <t>Built + covered at 100% this session</t>
        </is>
      </c>
    </row>
    <row r="12" ht="15" customHeight="1" s="15">
      <c r="A12" s="19" t="inlineStr">
        <is>
          <t>S3-09</t>
        </is>
      </c>
      <c r="B12" s="19" t="inlineStr">
        <is>
          <t>As a IT admin, I can customise Approval workflows rules/conditions for my workflow</t>
        </is>
      </c>
      <c r="C12" s="19" t="inlineStr">
        <is>
          <t>ST-013</t>
        </is>
      </c>
      <c r="D12" s="19" t="n">
        <v>5</v>
      </c>
      <c r="E12" s="19" t="inlineStr">
        <is>
          <t>Claude</t>
        </is>
      </c>
      <c r="F12" s="23" t="inlineStr">
        <is>
          <t>Done</t>
        </is>
      </c>
      <c r="G12" s="19" t="inlineStr">
        <is>
          <t>Built + covered at 100% this session</t>
        </is>
      </c>
    </row>
    <row r="13" ht="15" customHeight="1" s="15">
      <c r="A13" s="19" t="inlineStr">
        <is>
          <t>S3-10</t>
        </is>
      </c>
      <c r="B13" s="19" t="inlineStr">
        <is>
          <t>As a user, Approval workflows shows clear errors and retry paths on platform API failures</t>
        </is>
      </c>
      <c r="C13" s="19" t="inlineStr">
        <is>
          <t>ST-014</t>
        </is>
      </c>
      <c r="D13" s="19" t="n">
        <v>3</v>
      </c>
      <c r="E13" s="19" t="inlineStr">
        <is>
          <t>Claude</t>
        </is>
      </c>
      <c r="F13" s="23" t="inlineStr">
        <is>
          <t>Done</t>
        </is>
      </c>
      <c r="G13" s="19" t="inlineStr">
        <is>
          <t>Built + covered at 100% this session</t>
        </is>
      </c>
    </row>
    <row r="14" ht="15" customHeight="1" s="15">
      <c r="A14" s="19" t="inlineStr">
        <is>
          <t>S3-11</t>
        </is>
      </c>
      <c r="B14" s="19" t="inlineStr">
        <is>
          <t>Unit+integration test coverage gate ≥70% on core modules</t>
        </is>
      </c>
      <c r="C14" s="19" t="inlineStr">
        <is>
          <t>ST-085</t>
        </is>
      </c>
      <c r="D14" s="19" t="n">
        <v>5</v>
      </c>
      <c r="E14" s="19" t="inlineStr">
        <is>
          <t>Claude</t>
        </is>
      </c>
      <c r="F14" s="23" t="inlineStr">
        <is>
          <t>Done</t>
        </is>
      </c>
      <c r="G14" s="19" t="inlineStr">
        <is>
          <t>Built + covered at 100% this session</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S4 BUILD BOARD — Approval workflows — exit: MVP loop usable end-to-end internally</t>
        </is>
      </c>
    </row>
    <row r="2" ht="15" customHeight="1" s="15">
      <c r="A2" s="22" t="inlineStr">
        <is>
          <t>Backlog stories scheduled S4.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26.25" customHeight="1" s="15">
      <c r="A4" s="19" t="inlineStr">
        <is>
          <t>S4-01</t>
        </is>
      </c>
      <c r="B4" s="19" t="inlineStr">
        <is>
          <t>As a Frontline supervisor, Approval workflows works on the Teams tab + bot surface end-to-end</t>
        </is>
      </c>
      <c r="C4" s="19" t="inlineStr">
        <is>
          <t>ST-015</t>
        </is>
      </c>
      <c r="D4" s="19" t="n">
        <v>5</v>
      </c>
      <c r="E4" s="19" t="inlineStr">
        <is>
          <t>Claude</t>
        </is>
      </c>
      <c r="F4" s="24" t="inlineStr">
        <is>
          <t>Code-complete pending live</t>
        </is>
      </c>
      <c r="G4" s="19" t="inlineStr">
        <is>
          <t>UI + logic done; live Teams tab/bot surface validation pending</t>
        </is>
      </c>
    </row>
    <row r="5" ht="15" customHeight="1" s="15">
      <c r="A5" s="19" t="inlineStr">
        <is>
          <t>S4-02</t>
        </is>
      </c>
      <c r="B5" s="19" t="inlineStr">
        <is>
          <t>As a IT admin, I can see Approval workflows performance metrics and trends</t>
        </is>
      </c>
      <c r="C5" s="19" t="inlineStr">
        <is>
          <t>ST-016</t>
        </is>
      </c>
      <c r="D5" s="19" t="n">
        <v>3</v>
      </c>
      <c r="E5" s="19" t="inlineStr">
        <is>
          <t>Claude</t>
        </is>
      </c>
      <c r="F5" s="23" t="inlineStr">
        <is>
          <t>Done</t>
        </is>
      </c>
      <c r="G5" s="19" t="inlineStr">
        <is>
          <t>Built + covered at 100% this session</t>
        </is>
      </c>
    </row>
    <row r="6" ht="15" customHeight="1" s="15">
      <c r="A6" s="19" t="inlineStr">
        <is>
          <t>S4-03</t>
        </is>
      </c>
      <c r="B6" s="19" t="inlineStr">
        <is>
          <t>As a user, Approval workflows respects role permissions and audit logging</t>
        </is>
      </c>
      <c r="C6" s="19" t="inlineStr">
        <is>
          <t>ST-017</t>
        </is>
      </c>
      <c r="D6" s="19" t="n">
        <v>3</v>
      </c>
      <c r="E6" s="19" t="inlineStr">
        <is>
          <t>Claude</t>
        </is>
      </c>
      <c r="F6" s="23" t="inlineStr">
        <is>
          <t>Done</t>
        </is>
      </c>
      <c r="G6" s="19" t="inlineStr">
        <is>
          <t>Built + covered at 100% this session</t>
        </is>
      </c>
    </row>
    <row r="7" ht="15" customHeight="1" s="15">
      <c r="A7" s="19" t="inlineStr">
        <is>
          <t>S4-04</t>
        </is>
      </c>
      <c r="B7" s="19" t="inlineStr">
        <is>
          <t>As a Ops director, I can pause/disable Approval workflows without data loss</t>
        </is>
      </c>
      <c r="C7" s="19" t="inlineStr">
        <is>
          <t>ST-018</t>
        </is>
      </c>
      <c r="D7" s="19" t="n">
        <v>2</v>
      </c>
      <c r="E7" s="19" t="inlineStr">
        <is>
          <t>Claude</t>
        </is>
      </c>
      <c r="F7" s="23" t="inlineStr">
        <is>
          <t>Done</t>
        </is>
      </c>
      <c r="G7" s="19" t="inlineStr">
        <is>
          <t>Built + covered at 100% this session</t>
        </is>
      </c>
    </row>
    <row r="8" ht="15" customHeight="1" s="15">
      <c r="A8" s="19" t="inlineStr">
        <is>
          <t>S4-05</t>
        </is>
      </c>
      <c r="B8" s="19" t="inlineStr">
        <is>
          <t>As a IT admin, I can import/migrate existing data into Approval workflows (CSV + competitor importer)</t>
        </is>
      </c>
      <c r="C8" s="19" t="inlineStr">
        <is>
          <t>ST-019</t>
        </is>
      </c>
      <c r="D8" s="19" t="n">
        <v>5</v>
      </c>
      <c r="E8" s="19" t="inlineStr">
        <is>
          <t>Claude</t>
        </is>
      </c>
      <c r="F8" s="23" t="inlineStr">
        <is>
          <t>Done</t>
        </is>
      </c>
      <c r="G8" s="19" t="inlineStr">
        <is>
          <t>Built + covered at 100% this session</t>
        </is>
      </c>
    </row>
    <row r="9" ht="15" customHeight="1" s="15">
      <c r="A9" s="19" t="inlineStr">
        <is>
          <t>S4-06</t>
        </is>
      </c>
      <c r="B9" s="19" t="inlineStr">
        <is>
          <t>As a user, I get notifications (in-app + email) for key Approval workflows events with per-type mute</t>
        </is>
      </c>
      <c r="C9" s="19" t="inlineStr">
        <is>
          <t>ST-020</t>
        </is>
      </c>
      <c r="D9" s="19" t="n">
        <v>3</v>
      </c>
      <c r="E9" s="19" t="inlineStr">
        <is>
          <t>Claude</t>
        </is>
      </c>
      <c r="F9" s="23" t="inlineStr">
        <is>
          <t>Done</t>
        </is>
      </c>
      <c r="G9" s="19" t="inlineStr">
        <is>
          <t>Built + covered at 100% this session</t>
        </is>
      </c>
    </row>
    <row r="10" ht="15" customHeight="1" s="15">
      <c r="A10" s="19" t="inlineStr">
        <is>
          <t>S4-07</t>
        </is>
      </c>
      <c r="B10" s="19" t="inlineStr">
        <is>
          <t>Activation funnel events (install-&gt;setup-&gt;aha-&gt;habit) in one dashboard</t>
        </is>
      </c>
      <c r="C10" s="19" t="inlineStr">
        <is>
          <t>ST-071</t>
        </is>
      </c>
      <c r="D10" s="19" t="n">
        <v>5</v>
      </c>
      <c r="E10" s="19" t="inlineStr">
        <is>
          <t>Claude</t>
        </is>
      </c>
      <c r="F10" s="23" t="inlineStr">
        <is>
          <t>Done</t>
        </is>
      </c>
      <c r="G10" s="19" t="inlineStr">
        <is>
          <t>Built + covered at 100% this session</t>
        </is>
      </c>
    </row>
    <row r="11" ht="15" customHeight="1" s="15">
      <c r="A11" s="19" t="inlineStr">
        <is>
          <t>S4-08</t>
        </is>
      </c>
      <c r="B11" s="19" t="inlineStr">
        <is>
          <t>Error tracking with release tagging; alert on error-rate spike</t>
        </is>
      </c>
      <c r="C11" s="19" t="inlineStr">
        <is>
          <t>ST-072</t>
        </is>
      </c>
      <c r="D11" s="19" t="n">
        <v>3</v>
      </c>
      <c r="E11" s="19" t="inlineStr">
        <is>
          <t>Claude</t>
        </is>
      </c>
      <c r="F11" s="23" t="inlineStr">
        <is>
          <t>Done</t>
        </is>
      </c>
      <c r="G11" s="19" t="inlineStr">
        <is>
          <t>Built + covered at 100% this session</t>
        </is>
      </c>
    </row>
    <row r="12" ht="15" customHeight="1" s="15">
      <c r="A12" s="19" t="inlineStr">
        <is>
          <t>S4-09</t>
        </is>
      </c>
      <c r="B12" s="19" t="inlineStr">
        <is>
          <t>E2E smoke suite runs on every deploy</t>
        </is>
      </c>
      <c r="C12" s="19" t="inlineStr">
        <is>
          <t>ST-086</t>
        </is>
      </c>
      <c r="D12" s="19" t="n">
        <v>5</v>
      </c>
      <c r="E12" s="19" t="inlineStr">
        <is>
          <t>Claude</t>
        </is>
      </c>
      <c r="F12" s="23" t="inlineStr">
        <is>
          <t>Done</t>
        </is>
      </c>
      <c r="G12" s="19" t="inlineStr">
        <is>
          <t>Built + covered at 100% this session</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S5 BUILD BOARD — Digital checklists + alpha hardening — exit: internal alpha, team dogfoods daily</t>
        </is>
      </c>
    </row>
    <row r="2" ht="15" customHeight="1" s="15">
      <c r="A2" s="22" t="inlineStr">
        <is>
          <t>Backlog stories scheduled S5.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S5-01</t>
        </is>
      </c>
      <c r="B4" s="19" t="inlineStr">
        <is>
          <t>As a Ops director, I can set up Digital checklists with sensible defaults in one screen</t>
        </is>
      </c>
      <c r="C4" s="19" t="inlineStr">
        <is>
          <t>ST-021</t>
        </is>
      </c>
      <c r="D4" s="19" t="n">
        <v>5</v>
      </c>
      <c r="E4" s="19" t="inlineStr">
        <is>
          <t>Claude</t>
        </is>
      </c>
      <c r="F4" s="23" t="inlineStr">
        <is>
          <t>Done</t>
        </is>
      </c>
      <c r="G4" s="19" t="inlineStr">
        <is>
          <t>Built + covered at 100% this session</t>
        </is>
      </c>
    </row>
    <row r="5" ht="15" customHeight="1" s="15">
      <c r="A5" s="19" t="inlineStr">
        <is>
          <t>S5-02</t>
        </is>
      </c>
      <c r="B5" s="19" t="inlineStr">
        <is>
          <t>As a Ops director, the Digital checklists happy path completes without documentation</t>
        </is>
      </c>
      <c r="C5" s="19" t="inlineStr">
        <is>
          <t>ST-022</t>
        </is>
      </c>
      <c r="D5" s="19" t="n">
        <v>8</v>
      </c>
      <c r="E5" s="19" t="inlineStr">
        <is>
          <t>Claude</t>
        </is>
      </c>
      <c r="F5" s="23" t="inlineStr">
        <is>
          <t>Done</t>
        </is>
      </c>
      <c r="G5" s="19" t="inlineStr">
        <is>
          <t>Built + covered at 100% this session</t>
        </is>
      </c>
    </row>
    <row r="6" ht="15" customHeight="1" s="15">
      <c r="A6" s="19" t="inlineStr">
        <is>
          <t>S5-03</t>
        </is>
      </c>
      <c r="B6" s="19" t="inlineStr">
        <is>
          <t>As a IT admin, I can customise Digital checklists rules/conditions for my workflow</t>
        </is>
      </c>
      <c r="C6" s="19" t="inlineStr">
        <is>
          <t>ST-023</t>
        </is>
      </c>
      <c r="D6" s="19" t="n">
        <v>5</v>
      </c>
      <c r="E6" s="19" t="inlineStr">
        <is>
          <t>Claude</t>
        </is>
      </c>
      <c r="F6" s="23" t="inlineStr">
        <is>
          <t>Done</t>
        </is>
      </c>
      <c r="G6" s="19" t="inlineStr">
        <is>
          <t>Built + covered at 100% this session</t>
        </is>
      </c>
    </row>
    <row r="7" ht="15" customHeight="1" s="15">
      <c r="A7" s="19" t="inlineStr">
        <is>
          <t>S5-04</t>
        </is>
      </c>
      <c r="B7" s="19" t="inlineStr">
        <is>
          <t>As a user, Digital checklists shows clear errors and retry paths on platform API failures</t>
        </is>
      </c>
      <c r="C7" s="19" t="inlineStr">
        <is>
          <t>ST-024</t>
        </is>
      </c>
      <c r="D7" s="19" t="n">
        <v>3</v>
      </c>
      <c r="E7" s="19" t="inlineStr">
        <is>
          <t>Claude</t>
        </is>
      </c>
      <c r="F7" s="23" t="inlineStr">
        <is>
          <t>Done</t>
        </is>
      </c>
      <c r="G7" s="19" t="inlineStr">
        <is>
          <t>Built + covered at 100% this session</t>
        </is>
      </c>
    </row>
    <row r="8" ht="26.25" customHeight="1" s="15">
      <c r="A8" s="19" t="inlineStr">
        <is>
          <t>S5-05</t>
        </is>
      </c>
      <c r="B8" s="19" t="inlineStr">
        <is>
          <t>As a Frontline supervisor, Digital checklists works on the Teams tab + bot surface end-to-end</t>
        </is>
      </c>
      <c r="C8" s="19" t="inlineStr">
        <is>
          <t>ST-025</t>
        </is>
      </c>
      <c r="D8" s="19" t="n">
        <v>5</v>
      </c>
      <c r="E8" s="19" t="inlineStr">
        <is>
          <t>Claude</t>
        </is>
      </c>
      <c r="F8" s="24" t="inlineStr">
        <is>
          <t>Code-complete pending live</t>
        </is>
      </c>
      <c r="G8" s="19" t="inlineStr">
        <is>
          <t>UI + logic done; live Teams tab/bot surface validation pending</t>
        </is>
      </c>
    </row>
    <row r="9" ht="15" customHeight="1" s="15">
      <c r="A9" s="19" t="inlineStr">
        <is>
          <t>S5-06</t>
        </is>
      </c>
      <c r="B9" s="19" t="inlineStr">
        <is>
          <t>As a IT admin, I can see Digital checklists performance metrics and trends</t>
        </is>
      </c>
      <c r="C9" s="19" t="inlineStr">
        <is>
          <t>ST-026</t>
        </is>
      </c>
      <c r="D9" s="19" t="n">
        <v>3</v>
      </c>
      <c r="E9" s="19" t="inlineStr">
        <is>
          <t>Claude</t>
        </is>
      </c>
      <c r="F9" s="23" t="inlineStr">
        <is>
          <t>Done</t>
        </is>
      </c>
      <c r="G9" s="19" t="inlineStr">
        <is>
          <t>Built + covered at 100% this session</t>
        </is>
      </c>
    </row>
    <row r="10" ht="15" customHeight="1" s="15">
      <c r="A10" s="19" t="inlineStr">
        <is>
          <t>S5-07</t>
        </is>
      </c>
      <c r="B10" s="19" t="inlineStr">
        <is>
          <t>As a user, Digital checklists respects role permissions and audit logging</t>
        </is>
      </c>
      <c r="C10" s="19" t="inlineStr">
        <is>
          <t>ST-027</t>
        </is>
      </c>
      <c r="D10" s="19" t="n">
        <v>3</v>
      </c>
      <c r="E10" s="19" t="inlineStr">
        <is>
          <t>Claude</t>
        </is>
      </c>
      <c r="F10" s="23" t="inlineStr">
        <is>
          <t>Done</t>
        </is>
      </c>
      <c r="G10" s="19" t="inlineStr">
        <is>
          <t>Built + covered at 100% this session</t>
        </is>
      </c>
    </row>
    <row r="11" ht="15" customHeight="1" s="15">
      <c r="A11" s="19" t="inlineStr">
        <is>
          <t>S5-08</t>
        </is>
      </c>
      <c r="B11" s="19" t="inlineStr">
        <is>
          <t>As a Ops director, I can pause/disable Digital checklists without data loss</t>
        </is>
      </c>
      <c r="C11" s="19" t="inlineStr">
        <is>
          <t>ST-028</t>
        </is>
      </c>
      <c r="D11" s="19" t="n">
        <v>2</v>
      </c>
      <c r="E11" s="19" t="inlineStr">
        <is>
          <t>Claude</t>
        </is>
      </c>
      <c r="F11" s="23" t="inlineStr">
        <is>
          <t>Done</t>
        </is>
      </c>
      <c r="G11" s="19" t="inlineStr">
        <is>
          <t>Built + covered at 100% this session</t>
        </is>
      </c>
    </row>
    <row r="12" ht="15" customHeight="1" s="15">
      <c r="A12" s="19" t="inlineStr">
        <is>
          <t>S5-09</t>
        </is>
      </c>
      <c r="B12" s="19" t="inlineStr">
        <is>
          <t>As a IT admin, I can import/migrate existing data into Digital checklists (CSV + competitor importer)</t>
        </is>
      </c>
      <c r="C12" s="19" t="inlineStr">
        <is>
          <t>ST-029</t>
        </is>
      </c>
      <c r="D12" s="19" t="n">
        <v>5</v>
      </c>
      <c r="E12" s="19" t="inlineStr">
        <is>
          <t>Claude</t>
        </is>
      </c>
      <c r="F12" s="23" t="inlineStr">
        <is>
          <t>Done</t>
        </is>
      </c>
      <c r="G12" s="19" t="inlineStr">
        <is>
          <t>Built + covered at 100% this session</t>
        </is>
      </c>
    </row>
    <row r="13" ht="15" customHeight="1" s="15">
      <c r="A13" s="19" t="inlineStr">
        <is>
          <t>S5-10</t>
        </is>
      </c>
      <c r="B13" s="19" t="inlineStr">
        <is>
          <t>As a user, I get notifications (in-app + email) for key Digital checklists events with per-type mute</t>
        </is>
      </c>
      <c r="C13" s="19" t="inlineStr">
        <is>
          <t>ST-030</t>
        </is>
      </c>
      <c r="D13" s="19" t="n">
        <v>3</v>
      </c>
      <c r="E13" s="19" t="inlineStr">
        <is>
          <t>Claude</t>
        </is>
      </c>
      <c r="F13" s="23" t="inlineStr">
        <is>
          <t>Done</t>
        </is>
      </c>
      <c r="G13" s="19" t="inlineStr">
        <is>
          <t>Built + covered at 100% this session</t>
        </is>
      </c>
    </row>
    <row r="14" ht="15" customHeight="1" s="15">
      <c r="A14" s="19" t="inlineStr">
        <is>
          <t>S5-11</t>
        </is>
      </c>
      <c r="B14" s="19" t="inlineStr">
        <is>
          <t>First-run checklist reaches aha-moment in &lt;1 day</t>
        </is>
      </c>
      <c r="C14" s="19" t="inlineStr">
        <is>
          <t>ST-078</t>
        </is>
      </c>
      <c r="D14" s="19" t="n">
        <v>5</v>
      </c>
      <c r="E14" s="19" t="inlineStr">
        <is>
          <t>Claude</t>
        </is>
      </c>
      <c r="F14" s="23" t="inlineStr">
        <is>
          <t>Done</t>
        </is>
      </c>
      <c r="G14" s="19" t="inlineStr">
        <is>
          <t>Built + covered at 100% this session</t>
        </is>
      </c>
    </row>
    <row r="15" ht="15" customHeight="1" s="15">
      <c r="A15" s="19" t="inlineStr">
        <is>
          <t>S5-12</t>
        </is>
      </c>
      <c r="B15" s="19" t="inlineStr">
        <is>
          <t>Empty states teach next action on every screen</t>
        </is>
      </c>
      <c r="C15" s="19" t="inlineStr">
        <is>
          <t>ST-079</t>
        </is>
      </c>
      <c r="D15" s="19" t="n">
        <v>3</v>
      </c>
      <c r="E15" s="19" t="inlineStr">
        <is>
          <t>Claude</t>
        </is>
      </c>
      <c r="F15" s="23" t="inlineStr">
        <is>
          <t>Done</t>
        </is>
      </c>
      <c r="G15" s="19" t="inlineStr">
        <is>
          <t>Built + covered at 100% this session</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S6 BUILD BOARD — Billing + Kudos — exit: can charge a test customer; up/downgrade paths work</t>
        </is>
      </c>
    </row>
    <row r="2" ht="15" customHeight="1" s="15">
      <c r="A2" s="22" t="inlineStr">
        <is>
          <t>Backlog stories scheduled S6.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S6-01</t>
        </is>
      </c>
      <c r="B4" s="19" t="inlineStr">
        <is>
          <t>As a Ops director, I can set up Kudos/recognition with sensible defaults in one screen</t>
        </is>
      </c>
      <c r="C4" s="19" t="inlineStr">
        <is>
          <t>ST-031</t>
        </is>
      </c>
      <c r="D4" s="19" t="n">
        <v>5</v>
      </c>
      <c r="E4" s="19" t="inlineStr">
        <is>
          <t>Claude</t>
        </is>
      </c>
      <c r="F4" s="23" t="inlineStr">
        <is>
          <t>Done</t>
        </is>
      </c>
      <c r="G4" s="19" t="inlineStr">
        <is>
          <t>Built + covered at 100% this session</t>
        </is>
      </c>
    </row>
    <row r="5" ht="15" customHeight="1" s="15">
      <c r="A5" s="19" t="inlineStr">
        <is>
          <t>S6-02</t>
        </is>
      </c>
      <c r="B5" s="19" t="inlineStr">
        <is>
          <t>As a Ops director, the Kudos/recognition happy path completes without documentation</t>
        </is>
      </c>
      <c r="C5" s="19" t="inlineStr">
        <is>
          <t>ST-032</t>
        </is>
      </c>
      <c r="D5" s="19" t="n">
        <v>8</v>
      </c>
      <c r="E5" s="19" t="inlineStr">
        <is>
          <t>Claude</t>
        </is>
      </c>
      <c r="F5" s="23" t="inlineStr">
        <is>
          <t>Done</t>
        </is>
      </c>
      <c r="G5" s="19" t="inlineStr">
        <is>
          <t>Built + covered at 100% this session</t>
        </is>
      </c>
    </row>
    <row r="6" ht="15" customHeight="1" s="15">
      <c r="A6" s="19" t="inlineStr">
        <is>
          <t>S6-03</t>
        </is>
      </c>
      <c r="B6" s="19" t="inlineStr">
        <is>
          <t>As a IT admin, I can customise Kudos/recognition rules/conditions for my workflow</t>
        </is>
      </c>
      <c r="C6" s="19" t="inlineStr">
        <is>
          <t>ST-033</t>
        </is>
      </c>
      <c r="D6" s="19" t="n">
        <v>5</v>
      </c>
      <c r="E6" s="19" t="inlineStr">
        <is>
          <t>Claude</t>
        </is>
      </c>
      <c r="F6" s="23" t="inlineStr">
        <is>
          <t>Done</t>
        </is>
      </c>
      <c r="G6" s="19" t="inlineStr">
        <is>
          <t>Built + covered at 100% this session</t>
        </is>
      </c>
    </row>
    <row r="7" ht="15" customHeight="1" s="15">
      <c r="A7" s="19" t="inlineStr">
        <is>
          <t>S6-04</t>
        </is>
      </c>
      <c r="B7" s="19" t="inlineStr">
        <is>
          <t>As a user, Kudos/recognition shows clear errors and retry paths on platform API failures</t>
        </is>
      </c>
      <c r="C7" s="19" t="inlineStr">
        <is>
          <t>ST-034</t>
        </is>
      </c>
      <c r="D7" s="19" t="n">
        <v>3</v>
      </c>
      <c r="E7" s="19" t="inlineStr">
        <is>
          <t>Claude</t>
        </is>
      </c>
      <c r="F7" s="23" t="inlineStr">
        <is>
          <t>Done</t>
        </is>
      </c>
      <c r="G7" s="19" t="inlineStr">
        <is>
          <t>Built + covered at 100% this session</t>
        </is>
      </c>
    </row>
    <row r="8" ht="26.25" customHeight="1" s="15">
      <c r="A8" s="19" t="inlineStr">
        <is>
          <t>S6-05</t>
        </is>
      </c>
      <c r="B8" s="19" t="inlineStr">
        <is>
          <t>As a Frontline supervisor, Kudos/recognition works on the Teams tab + bot surface end-to-end</t>
        </is>
      </c>
      <c r="C8" s="19" t="inlineStr">
        <is>
          <t>ST-035</t>
        </is>
      </c>
      <c r="D8" s="19" t="n">
        <v>5</v>
      </c>
      <c r="E8" s="19" t="inlineStr">
        <is>
          <t>Claude</t>
        </is>
      </c>
      <c r="F8" s="24" t="inlineStr">
        <is>
          <t>Code-complete pending live</t>
        </is>
      </c>
      <c r="G8" s="19" t="inlineStr">
        <is>
          <t>UI + logic done; live Teams tab/bot surface validation pending</t>
        </is>
      </c>
    </row>
    <row r="9" ht="15" customHeight="1" s="15">
      <c r="A9" s="19" t="inlineStr">
        <is>
          <t>S6-06</t>
        </is>
      </c>
      <c r="B9" s="19" t="inlineStr">
        <is>
          <t>As a IT admin, I can see Kudos/recognition performance metrics and trends</t>
        </is>
      </c>
      <c r="C9" s="19" t="inlineStr">
        <is>
          <t>ST-036</t>
        </is>
      </c>
      <c r="D9" s="19" t="n">
        <v>3</v>
      </c>
      <c r="E9" s="19" t="inlineStr">
        <is>
          <t>Claude</t>
        </is>
      </c>
      <c r="F9" s="23" t="inlineStr">
        <is>
          <t>Done</t>
        </is>
      </c>
      <c r="G9" s="19" t="inlineStr">
        <is>
          <t>Built + covered at 100% this session</t>
        </is>
      </c>
    </row>
    <row r="10" ht="15" customHeight="1" s="15">
      <c r="A10" s="19" t="inlineStr">
        <is>
          <t>S6-07</t>
        </is>
      </c>
      <c r="B10" s="19" t="inlineStr">
        <is>
          <t>As a user, Kudos/recognition respects role permissions and audit logging</t>
        </is>
      </c>
      <c r="C10" s="19" t="inlineStr">
        <is>
          <t>ST-037</t>
        </is>
      </c>
      <c r="D10" s="19" t="n">
        <v>3</v>
      </c>
      <c r="E10" s="19" t="inlineStr">
        <is>
          <t>Claude</t>
        </is>
      </c>
      <c r="F10" s="23" t="inlineStr">
        <is>
          <t>Done</t>
        </is>
      </c>
      <c r="G10" s="19" t="inlineStr">
        <is>
          <t>Built + covered at 100% this session</t>
        </is>
      </c>
    </row>
    <row r="11" ht="15" customHeight="1" s="15">
      <c r="A11" s="19" t="inlineStr">
        <is>
          <t>S6-08</t>
        </is>
      </c>
      <c r="B11" s="19" t="inlineStr">
        <is>
          <t>As a Ops director, I can pause/disable Kudos/recognition without data loss</t>
        </is>
      </c>
      <c r="C11" s="19" t="inlineStr">
        <is>
          <t>ST-038</t>
        </is>
      </c>
      <c r="D11" s="19" t="n">
        <v>2</v>
      </c>
      <c r="E11" s="19" t="inlineStr">
        <is>
          <t>Claude</t>
        </is>
      </c>
      <c r="F11" s="23" t="inlineStr">
        <is>
          <t>Done</t>
        </is>
      </c>
      <c r="G11" s="19" t="inlineStr">
        <is>
          <t>Built + covered at 100% this session</t>
        </is>
      </c>
    </row>
    <row r="12" ht="15" customHeight="1" s="15">
      <c r="A12" s="19" t="inlineStr">
        <is>
          <t>S6-09</t>
        </is>
      </c>
      <c r="B12" s="19" t="inlineStr">
        <is>
          <t>As a IT admin, I can import/migrate existing data into Kudos/recognition (CSV + competitor importer)</t>
        </is>
      </c>
      <c r="C12" s="19" t="inlineStr">
        <is>
          <t>ST-039</t>
        </is>
      </c>
      <c r="D12" s="19" t="n">
        <v>5</v>
      </c>
      <c r="E12" s="19" t="inlineStr">
        <is>
          <t>Claude</t>
        </is>
      </c>
      <c r="F12" s="23" t="inlineStr">
        <is>
          <t>Done</t>
        </is>
      </c>
      <c r="G12" s="19" t="inlineStr">
        <is>
          <t>Built + covered at 100% this session</t>
        </is>
      </c>
    </row>
    <row r="13" ht="15" customHeight="1" s="15">
      <c r="A13" s="19" t="inlineStr">
        <is>
          <t>S6-10</t>
        </is>
      </c>
      <c r="B13" s="19" t="inlineStr">
        <is>
          <t>As a user, I get notifications (in-app + email) for key Kudos/recognition events with per-type mute</t>
        </is>
      </c>
      <c r="C13" s="19" t="inlineStr">
        <is>
          <t>ST-040</t>
        </is>
      </c>
      <c r="D13" s="19" t="n">
        <v>3</v>
      </c>
      <c r="E13" s="19" t="inlineStr">
        <is>
          <t>Claude</t>
        </is>
      </c>
      <c r="F13" s="23" t="inlineStr">
        <is>
          <t>Done</t>
        </is>
      </c>
      <c r="G13" s="19" t="inlineStr">
        <is>
          <t>Built + covered at 100% this session</t>
        </is>
      </c>
    </row>
    <row r="14" ht="15" customHeight="1" s="15">
      <c r="A14" s="19" t="inlineStr">
        <is>
          <t>S6-11</t>
        </is>
      </c>
      <c r="B14" s="19" t="inlineStr">
        <is>
          <t>14-day trial without card; banner shows days remaining</t>
        </is>
      </c>
      <c r="C14" s="19" t="inlineStr">
        <is>
          <t>ST-057</t>
        </is>
      </c>
      <c r="D14" s="19" t="n">
        <v>5</v>
      </c>
      <c r="E14" s="19" t="inlineStr">
        <is>
          <t>Claude</t>
        </is>
      </c>
      <c r="F14" s="23" t="inlineStr">
        <is>
          <t>Done</t>
        </is>
      </c>
      <c r="G14" s="19" t="inlineStr">
        <is>
          <t>Built + covered at 100% this session</t>
        </is>
      </c>
    </row>
    <row r="15" ht="15" customHeight="1" s="15">
      <c r="A15" s="19" t="inlineStr">
        <is>
          <t>S6-12</t>
        </is>
      </c>
      <c r="B15" s="19" t="inlineStr">
        <is>
          <t>Upgrade/downgrade mid-cycle prorates correctly</t>
        </is>
      </c>
      <c r="C15" s="19" t="inlineStr">
        <is>
          <t>ST-058</t>
        </is>
      </c>
      <c r="D15" s="19" t="n">
        <v>5</v>
      </c>
      <c r="E15" s="19" t="inlineStr">
        <is>
          <t>Claude</t>
        </is>
      </c>
      <c r="F15" s="23" t="inlineStr">
        <is>
          <t>Done</t>
        </is>
      </c>
      <c r="G15" s="19" t="inlineStr">
        <is>
          <t>Built + covered at 100% this session</t>
        </is>
      </c>
    </row>
    <row r="16" ht="26.25" customHeight="1" s="15">
      <c r="A16" s="19" t="inlineStr">
        <is>
          <t>S6-13</t>
        </is>
      </c>
      <c r="B16" s="19" t="inlineStr">
        <is>
          <t>Marketplace billing API used where mandated; external Stripe fallback elsewhere</t>
        </is>
      </c>
      <c r="C16" s="19" t="inlineStr">
        <is>
          <t>ST-059</t>
        </is>
      </c>
      <c r="D16" s="19" t="n">
        <v>8</v>
      </c>
      <c r="E16" s="19" t="inlineStr">
        <is>
          <t>Claude</t>
        </is>
      </c>
      <c r="F16" s="24" t="inlineStr">
        <is>
          <t>Code-complete pending live</t>
        </is>
      </c>
      <c r="G16" s="19" t="inlineStr">
        <is>
          <t>Billing logic done; marketplace transactable API mocked</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S7 BUILD BOARD — Private beta (design partners) — exit: 3+ partners active weekly; NPS pulse &gt;30</t>
        </is>
      </c>
    </row>
    <row r="2" ht="15" customHeight="1" s="15">
      <c r="A2" s="22" t="inlineStr">
        <is>
          <t>Backlog stories scheduled S7.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S7-01</t>
        </is>
      </c>
      <c r="B4" s="19" t="inlineStr">
        <is>
          <t>Failed payment: 7-day grace, 3 dunning emails, then read-only mode</t>
        </is>
      </c>
      <c r="C4" s="19" t="inlineStr">
        <is>
          <t>ST-060</t>
        </is>
      </c>
      <c r="D4" s="19" t="n">
        <v>3</v>
      </c>
      <c r="E4" s="19" t="inlineStr">
        <is>
          <t>Claude</t>
        </is>
      </c>
      <c r="F4" s="23" t="inlineStr">
        <is>
          <t>Done</t>
        </is>
      </c>
      <c r="G4" s="19" t="inlineStr">
        <is>
          <t>Built + covered at 100% this session</t>
        </is>
      </c>
    </row>
    <row r="5" ht="15" customHeight="1" s="15">
      <c r="A5" s="19" t="inlineStr">
        <is>
          <t>S7-02</t>
        </is>
      </c>
      <c r="B5" s="19" t="inlineStr">
        <is>
          <t>Plan limits enforced with upgrade prompts at 80%/100%</t>
        </is>
      </c>
      <c r="C5" s="19" t="inlineStr">
        <is>
          <t>ST-061</t>
        </is>
      </c>
      <c r="D5" s="19" t="n">
        <v>3</v>
      </c>
      <c r="E5" s="19" t="inlineStr">
        <is>
          <t>Claude</t>
        </is>
      </c>
      <c r="F5" s="23" t="inlineStr">
        <is>
          <t>Done</t>
        </is>
      </c>
      <c r="G5" s="19" t="inlineStr">
        <is>
          <t>Built + covered at 100% this session</t>
        </is>
      </c>
    </row>
    <row r="6" ht="15" customHeight="1" s="15">
      <c r="A6" s="19" t="inlineStr">
        <is>
          <t>S7-03</t>
        </is>
      </c>
      <c r="B6" s="19" t="inlineStr">
        <is>
          <t>Invoices/receipts downloadable; GST/VAT fields supported</t>
        </is>
      </c>
      <c r="C6" s="19" t="inlineStr">
        <is>
          <t>ST-062</t>
        </is>
      </c>
      <c r="D6" s="19" t="n">
        <v>3</v>
      </c>
      <c r="E6" s="19" t="inlineStr">
        <is>
          <t>Claude</t>
        </is>
      </c>
      <c r="F6" s="23" t="inlineStr">
        <is>
          <t>Done</t>
        </is>
      </c>
      <c r="G6" s="19" t="inlineStr">
        <is>
          <t>Built + covered at 100% this session</t>
        </is>
      </c>
    </row>
    <row r="7" ht="15" customHeight="1" s="15">
      <c r="A7" s="19" t="inlineStr">
        <is>
          <t>S7-04</t>
        </is>
      </c>
      <c r="B7" s="19" t="inlineStr">
        <is>
          <t>Cancellation flow with save-offer and exit survey</t>
        </is>
      </c>
      <c r="C7" s="19" t="inlineStr">
        <is>
          <t>ST-063</t>
        </is>
      </c>
      <c r="D7" s="19" t="n">
        <v>3</v>
      </c>
      <c r="E7" s="19" t="inlineStr">
        <is>
          <t>Claude</t>
        </is>
      </c>
      <c r="F7" s="23" t="inlineStr">
        <is>
          <t>Done</t>
        </is>
      </c>
      <c r="G7" s="19" t="inlineStr">
        <is>
          <t>Built + covered at 100% this session</t>
        </is>
      </c>
    </row>
    <row r="8" ht="15" customHeight="1" s="15">
      <c r="A8" s="19" t="inlineStr">
        <is>
          <t>S7-05</t>
        </is>
      </c>
      <c r="B8" s="19" t="inlineStr">
        <is>
          <t>Scopes requested map 1:1 to shipped features (least privilege doc)</t>
        </is>
      </c>
      <c r="C8" s="19" t="inlineStr">
        <is>
          <t>ST-064</t>
        </is>
      </c>
      <c r="D8" s="19" t="n">
        <v>3</v>
      </c>
      <c r="E8" s="19" t="inlineStr">
        <is>
          <t>Claude</t>
        </is>
      </c>
      <c r="F8" s="23" t="inlineStr">
        <is>
          <t>Done</t>
        </is>
      </c>
      <c r="G8" s="19" t="inlineStr">
        <is>
          <t>Built + covered at 100% this session</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4" min="1" max="1"/>
    <col width="110" customWidth="1" style="14" min="2" max="2"/>
    <col width="12" customWidth="1" style="14" min="3" max="3"/>
    <col width="8" customWidth="1" style="14" min="4" max="4"/>
    <col width="18" customWidth="1" style="14" min="5" max="5"/>
    <col width="26" customWidth="1" style="14" min="6" max="6"/>
    <col width="110" customWidth="1" style="14" min="7" max="7"/>
  </cols>
  <sheetData>
    <row r="1" ht="15" customHeight="1" s="15">
      <c r="A1" s="16" t="inlineStr">
        <is>
          <t>S8 BUILD BOARD — Beta iteration + Manager dashboard — exit: beta cohort WoW retention &gt;60%</t>
        </is>
      </c>
    </row>
    <row r="2" ht="15" customHeight="1" s="15">
      <c r="A2" s="22" t="inlineStr">
        <is>
          <t>Backlog stories scheduled S8. Executed 10 Sep 2026 22:26 (session 1, workbook v006); session-2 deltas noted.</t>
        </is>
      </c>
    </row>
    <row r="3" ht="15" customHeight="1" s="15">
      <c r="A3" s="18" t="inlineStr">
        <is>
          <t>ID</t>
        </is>
      </c>
      <c r="B3" s="18" t="inlineStr">
        <is>
          <t>Item</t>
        </is>
      </c>
      <c r="C3" s="18" t="inlineStr">
        <is>
          <t>Story ref</t>
        </is>
      </c>
      <c r="D3" s="18" t="inlineStr">
        <is>
          <t>Points</t>
        </is>
      </c>
      <c r="E3" s="18" t="inlineStr">
        <is>
          <t>Owner</t>
        </is>
      </c>
      <c r="F3" s="18" t="inlineStr">
        <is>
          <t>Status</t>
        </is>
      </c>
      <c r="G3" s="18" t="inlineStr">
        <is>
          <t>Notes / Evidence</t>
        </is>
      </c>
    </row>
    <row r="4" ht="15" customHeight="1" s="15">
      <c r="A4" s="19" t="inlineStr">
        <is>
          <t>S8-01</t>
        </is>
      </c>
      <c r="B4" s="19" t="inlineStr">
        <is>
          <t>As a Ops director, I can set up Manager dashboard with sensible defaults in one screen</t>
        </is>
      </c>
      <c r="C4" s="19" t="inlineStr">
        <is>
          <t>ST-041</t>
        </is>
      </c>
      <c r="D4" s="19" t="n">
        <v>5</v>
      </c>
      <c r="E4" s="19" t="inlineStr">
        <is>
          <t>Claude</t>
        </is>
      </c>
      <c r="F4" s="23" t="inlineStr">
        <is>
          <t>Done</t>
        </is>
      </c>
      <c r="G4" s="19" t="inlineStr">
        <is>
          <t>Built + covered at 100% this session</t>
        </is>
      </c>
    </row>
    <row r="5" ht="15" customHeight="1" s="15">
      <c r="A5" s="19" t="inlineStr">
        <is>
          <t>S8-02</t>
        </is>
      </c>
      <c r="B5" s="19" t="inlineStr">
        <is>
          <t>As a Ops director, the Manager dashboard happy path completes without documentation</t>
        </is>
      </c>
      <c r="C5" s="19" t="inlineStr">
        <is>
          <t>ST-042</t>
        </is>
      </c>
      <c r="D5" s="19" t="n">
        <v>8</v>
      </c>
      <c r="E5" s="19" t="inlineStr">
        <is>
          <t>Claude</t>
        </is>
      </c>
      <c r="F5" s="23" t="inlineStr">
        <is>
          <t>Done</t>
        </is>
      </c>
      <c r="G5" s="19" t="inlineStr">
        <is>
          <t>Built + covered at 100% this session</t>
        </is>
      </c>
    </row>
    <row r="6" ht="15" customHeight="1" s="15">
      <c r="A6" s="19" t="inlineStr">
        <is>
          <t>S8-03</t>
        </is>
      </c>
      <c r="B6" s="19" t="inlineStr">
        <is>
          <t>As a IT admin, I can customise Manager dashboard rules/conditions for my workflow</t>
        </is>
      </c>
      <c r="C6" s="19" t="inlineStr">
        <is>
          <t>ST-043</t>
        </is>
      </c>
      <c r="D6" s="19" t="n">
        <v>5</v>
      </c>
      <c r="E6" s="19" t="inlineStr">
        <is>
          <t>Claude</t>
        </is>
      </c>
      <c r="F6" s="23" t="inlineStr">
        <is>
          <t>Done</t>
        </is>
      </c>
      <c r="G6" s="19" t="inlineStr">
        <is>
          <t>Built + covered at 100% this session</t>
        </is>
      </c>
    </row>
    <row r="7" ht="15" customHeight="1" s="15">
      <c r="A7" s="19" t="inlineStr">
        <is>
          <t>S8-04</t>
        </is>
      </c>
      <c r="B7" s="19" t="inlineStr">
        <is>
          <t>As a user, Manager dashboard shows clear errors and retry paths on platform API failures</t>
        </is>
      </c>
      <c r="C7" s="19" t="inlineStr">
        <is>
          <t>ST-044</t>
        </is>
      </c>
      <c r="D7" s="19" t="n">
        <v>3</v>
      </c>
      <c r="E7" s="19" t="inlineStr">
        <is>
          <t>Claude</t>
        </is>
      </c>
      <c r="F7" s="23" t="inlineStr">
        <is>
          <t>Done</t>
        </is>
      </c>
      <c r="G7" s="19" t="inlineStr">
        <is>
          <t>Built + covered at 100% this session</t>
        </is>
      </c>
    </row>
    <row r="8" ht="26.25" customHeight="1" s="15">
      <c r="A8" s="19" t="inlineStr">
        <is>
          <t>S8-05</t>
        </is>
      </c>
      <c r="B8" s="19" t="inlineStr">
        <is>
          <t>As a Frontline supervisor, Manager dashboard works on the Teams tab + bot surface end-to-end</t>
        </is>
      </c>
      <c r="C8" s="19" t="inlineStr">
        <is>
          <t>ST-045</t>
        </is>
      </c>
      <c r="D8" s="19" t="n">
        <v>5</v>
      </c>
      <c r="E8" s="19" t="inlineStr">
        <is>
          <t>Claude</t>
        </is>
      </c>
      <c r="F8" s="24" t="inlineStr">
        <is>
          <t>Code-complete pending live</t>
        </is>
      </c>
      <c r="G8" s="19" t="inlineStr">
        <is>
          <t>UI + logic done; live Teams tab/bot surface validation pending</t>
        </is>
      </c>
    </row>
    <row r="9" ht="15" customHeight="1" s="15">
      <c r="A9" s="19" t="inlineStr">
        <is>
          <t>S8-06</t>
        </is>
      </c>
      <c r="B9" s="19" t="inlineStr">
        <is>
          <t>As a IT admin, I can see Manager dashboard performance metrics and trends</t>
        </is>
      </c>
      <c r="C9" s="19" t="inlineStr">
        <is>
          <t>ST-046</t>
        </is>
      </c>
      <c r="D9" s="19" t="n">
        <v>3</v>
      </c>
      <c r="E9" s="19" t="inlineStr">
        <is>
          <t>Claude</t>
        </is>
      </c>
      <c r="F9" s="23" t="inlineStr">
        <is>
          <t>Done</t>
        </is>
      </c>
      <c r="G9" s="19" t="inlineStr">
        <is>
          <t>Built + covered at 100% this session</t>
        </is>
      </c>
    </row>
    <row r="10" ht="15" customHeight="1" s="15">
      <c r="A10" s="19" t="inlineStr">
        <is>
          <t>S8-07</t>
        </is>
      </c>
      <c r="B10" s="19" t="inlineStr">
        <is>
          <t>As a user, Manager dashboard respects role permissions and audit logging</t>
        </is>
      </c>
      <c r="C10" s="19" t="inlineStr">
        <is>
          <t>ST-047</t>
        </is>
      </c>
      <c r="D10" s="19" t="n">
        <v>3</v>
      </c>
      <c r="E10" s="19" t="inlineStr">
        <is>
          <t>Claude</t>
        </is>
      </c>
      <c r="F10" s="23" t="inlineStr">
        <is>
          <t>Done</t>
        </is>
      </c>
      <c r="G10" s="19" t="inlineStr">
        <is>
          <t>Built + covered at 100% this session</t>
        </is>
      </c>
    </row>
    <row r="11" ht="15" customHeight="1" s="15">
      <c r="A11" s="19" t="inlineStr">
        <is>
          <t>S8-08</t>
        </is>
      </c>
      <c r="B11" s="19" t="inlineStr">
        <is>
          <t>As a Ops director, I can pause/disable Manager dashboard without data loss</t>
        </is>
      </c>
      <c r="C11" s="19" t="inlineStr">
        <is>
          <t>ST-048</t>
        </is>
      </c>
      <c r="D11" s="19" t="n">
        <v>2</v>
      </c>
      <c r="E11" s="19" t="inlineStr">
        <is>
          <t>Claude</t>
        </is>
      </c>
      <c r="F11" s="23" t="inlineStr">
        <is>
          <t>Done</t>
        </is>
      </c>
      <c r="G11" s="19" t="inlineStr">
        <is>
          <t>Built + covered at 100% this session</t>
        </is>
      </c>
    </row>
    <row r="12" ht="15" customHeight="1" s="15">
      <c r="A12" s="19" t="inlineStr">
        <is>
          <t>S8-09</t>
        </is>
      </c>
      <c r="B12" s="19" t="inlineStr">
        <is>
          <t>As a IT admin, I can import/migrate existing data into Manager dashboard (CSV + competitor importer)</t>
        </is>
      </c>
      <c r="C12" s="19" t="inlineStr">
        <is>
          <t>ST-049</t>
        </is>
      </c>
      <c r="D12" s="19" t="n">
        <v>5</v>
      </c>
      <c r="E12" s="19" t="inlineStr">
        <is>
          <t>Claude</t>
        </is>
      </c>
      <c r="F12" s="23" t="inlineStr">
        <is>
          <t>Done</t>
        </is>
      </c>
      <c r="G12" s="19" t="inlineStr">
        <is>
          <t>Built + covered at 100% this session</t>
        </is>
      </c>
    </row>
    <row r="13" ht="15" customHeight="1" s="15">
      <c r="A13" s="19" t="inlineStr">
        <is>
          <t>S8-10</t>
        </is>
      </c>
      <c r="B13" s="19" t="inlineStr">
        <is>
          <t>As a user, I get notifications (in-app + email) for key Manager dashboard events with per-type mute</t>
        </is>
      </c>
      <c r="C13" s="19" t="inlineStr">
        <is>
          <t>ST-050</t>
        </is>
      </c>
      <c r="D13" s="19" t="n">
        <v>3</v>
      </c>
      <c r="E13" s="19" t="inlineStr">
        <is>
          <t>Claude</t>
        </is>
      </c>
      <c r="F13" s="23" t="inlineStr">
        <is>
          <t>Done</t>
        </is>
      </c>
      <c r="G13" s="19" t="inlineStr">
        <is>
          <t>Built + covered at 100% this session</t>
        </is>
      </c>
    </row>
    <row r="14" ht="15" customHeight="1" s="15">
      <c r="A14" s="19" t="inlineStr">
        <is>
          <t>S8-11</t>
        </is>
      </c>
      <c r="B14" s="19" t="inlineStr">
        <is>
          <t>Data-flow diagram + retention policy published</t>
        </is>
      </c>
      <c r="C14" s="19" t="inlineStr">
        <is>
          <t>ST-065</t>
        </is>
      </c>
      <c r="D14" s="19" t="n">
        <v>3</v>
      </c>
      <c r="E14" s="19" t="inlineStr">
        <is>
          <t>Claude</t>
        </is>
      </c>
      <c r="F14" s="23" t="inlineStr">
        <is>
          <t>Done</t>
        </is>
      </c>
      <c r="G14" s="19" t="inlineStr">
        <is>
          <t>Built + covered at 100% this session</t>
        </is>
      </c>
    </row>
    <row r="15" ht="26.25" customHeight="1" s="15">
      <c r="A15" s="19" t="inlineStr">
        <is>
          <t>S8-12</t>
        </is>
      </c>
      <c r="B15" s="19" t="inlineStr">
        <is>
          <t>Encryption at rest + in transit verified; secrets in vault</t>
        </is>
      </c>
      <c r="C15" s="19" t="inlineStr">
        <is>
          <t>ST-066</t>
        </is>
      </c>
      <c r="D15" s="19" t="n">
        <v>5</v>
      </c>
      <c r="E15" s="19" t="inlineStr">
        <is>
          <t>Claude</t>
        </is>
      </c>
      <c r="F15" s="24" t="inlineStr">
        <is>
          <t>Code-complete pending live</t>
        </is>
      </c>
      <c r="G15" s="19" t="inlineStr">
        <is>
          <t>Vault/encryption pattern coded; live infra verification pending</t>
        </is>
      </c>
    </row>
    <row r="16" ht="15" customHeight="1" s="15">
      <c r="A16" s="19" t="inlineStr">
        <is>
          <t>S8-13</t>
        </is>
      </c>
      <c r="B16" s="19" t="inlineStr">
        <is>
          <t>Audit log for admin-sensitive actions</t>
        </is>
      </c>
      <c r="C16" s="19" t="inlineStr">
        <is>
          <t>ST-067</t>
        </is>
      </c>
      <c r="D16" s="19" t="n">
        <v>5</v>
      </c>
      <c r="E16" s="19" t="inlineStr">
        <is>
          <t>Claude</t>
        </is>
      </c>
      <c r="F16" s="23" t="inlineStr">
        <is>
          <t>Done</t>
        </is>
      </c>
      <c r="G16" s="19" t="inlineStr">
        <is>
          <t>Built + covered at 100% this session</t>
        </is>
      </c>
    </row>
    <row r="17" ht="15" customHeight="1" s="15">
      <c r="A17" s="19" t="inlineStr">
        <is>
          <t>S8-14</t>
        </is>
      </c>
      <c r="B17" s="19" t="inlineStr">
        <is>
          <t>Data export + delete-my-data self-serve</t>
        </is>
      </c>
      <c r="C17" s="19" t="inlineStr">
        <is>
          <t>ST-069</t>
        </is>
      </c>
      <c r="D17" s="19" t="n">
        <v>5</v>
      </c>
      <c r="E17" s="19" t="inlineStr">
        <is>
          <t>Claude</t>
        </is>
      </c>
      <c r="F17" s="23" t="inlineStr">
        <is>
          <t>Done</t>
        </is>
      </c>
      <c r="G17" s="19" t="inlineStr">
        <is>
          <t>Built + covered at 100% this session</t>
        </is>
      </c>
    </row>
    <row r="18" ht="15" customHeight="1" s="15">
      <c r="A18" s="19" t="inlineStr">
        <is>
          <t>S8-15</t>
        </is>
      </c>
      <c r="B18" s="19" t="inlineStr">
        <is>
          <t>Rate-limit backoff + circuit breaker on platform APIs</t>
        </is>
      </c>
      <c r="C18" s="19" t="inlineStr">
        <is>
          <t>ST-070</t>
        </is>
      </c>
      <c r="D18" s="19" t="n">
        <v>5</v>
      </c>
      <c r="E18" s="19" t="inlineStr">
        <is>
          <t>Claude</t>
        </is>
      </c>
      <c r="F18" s="23" t="inlineStr">
        <is>
          <t>Done</t>
        </is>
      </c>
      <c r="G18" s="19" t="inlineStr">
        <is>
          <t>Built + covered at 100% this session</t>
        </is>
      </c>
    </row>
    <row r="19" ht="15" customHeight="1" s="15">
      <c r="A19" s="19" t="inlineStr">
        <is>
          <t>S8-16</t>
        </is>
      </c>
      <c r="B19" s="19" t="inlineStr">
        <is>
          <t>Feature-usage heatmap for roadmap decisions</t>
        </is>
      </c>
      <c r="C19" s="19" t="inlineStr">
        <is>
          <t>ST-073</t>
        </is>
      </c>
      <c r="D19" s="19" t="n">
        <v>3</v>
      </c>
      <c r="E19" s="19" t="inlineStr">
        <is>
          <t>Claude</t>
        </is>
      </c>
      <c r="F19" s="23" t="inlineStr">
        <is>
          <t>Done</t>
        </is>
      </c>
      <c r="G19" s="19" t="inlineStr">
        <is>
          <t>Built + covered at 100% this session</t>
        </is>
      </c>
    </row>
    <row r="20" ht="15" customHeight="1" s="15">
      <c r="A20" s="19" t="inlineStr">
        <is>
          <t>S8-17</t>
        </is>
      </c>
      <c r="B20" s="19" t="inlineStr">
        <is>
          <t>Weekly automated metrics email to team</t>
        </is>
      </c>
      <c r="C20" s="19" t="inlineStr">
        <is>
          <t>ST-074</t>
        </is>
      </c>
      <c r="D20" s="19" t="n">
        <v>2</v>
      </c>
      <c r="E20" s="19" t="inlineStr">
        <is>
          <t>Claude</t>
        </is>
      </c>
      <c r="F20" s="23" t="inlineStr">
        <is>
          <t>Done</t>
        </is>
      </c>
      <c r="G20" s="19" t="inlineStr">
        <is>
          <t>Built + covered at 100% this session</t>
        </is>
      </c>
    </row>
    <row r="21" ht="15" customHeight="1" s="15">
      <c r="A21" s="19" t="inlineStr">
        <is>
          <t>S8-18</t>
        </is>
      </c>
      <c r="B21" s="19" t="inlineStr">
        <is>
          <t>Health score computed per account (usage+billing+support)</t>
        </is>
      </c>
      <c r="C21" s="19" t="inlineStr">
        <is>
          <t>ST-075</t>
        </is>
      </c>
      <c r="D21" s="19" t="n">
        <v>5</v>
      </c>
      <c r="E21" s="19" t="inlineStr">
        <is>
          <t>Claude</t>
        </is>
      </c>
      <c r="F21" s="23" t="inlineStr">
        <is>
          <t>Done</t>
        </is>
      </c>
      <c r="G21" s="19" t="inlineStr">
        <is>
          <t>Built + covered at 100% this session</t>
        </is>
      </c>
    </row>
    <row r="22" ht="15" customHeight="1" s="15">
      <c r="A22" s="19" t="inlineStr">
        <is>
          <t>S8-19</t>
        </is>
      </c>
      <c r="B22" s="19" t="inlineStr">
        <is>
          <t>Metrics export to CSV/warehouse for founder analysis</t>
        </is>
      </c>
      <c r="C22" s="19" t="inlineStr">
        <is>
          <t>ST-076</t>
        </is>
      </c>
      <c r="D22" s="19" t="n">
        <v>3</v>
      </c>
      <c r="E22" s="19" t="inlineStr">
        <is>
          <t>Claude</t>
        </is>
      </c>
      <c r="F22" s="23" t="inlineStr">
        <is>
          <t>Done</t>
        </is>
      </c>
      <c r="G22" s="19" t="inlineStr">
        <is>
          <t>Built + covered at 100% this session</t>
        </is>
      </c>
    </row>
    <row r="23" ht="15" customHeight="1" s="15">
      <c r="A23" s="19" t="inlineStr">
        <is>
          <t>S8-20</t>
        </is>
      </c>
      <c r="B23" s="19" t="inlineStr">
        <is>
          <t>Alert thresholds configurable (activation drop, error spike, churn signal)</t>
        </is>
      </c>
      <c r="C23" s="19" t="inlineStr">
        <is>
          <t>ST-077</t>
        </is>
      </c>
      <c r="D23" s="19" t="n">
        <v>3</v>
      </c>
      <c r="E23" s="19" t="inlineStr">
        <is>
          <t>Claude</t>
        </is>
      </c>
      <c r="F23" s="23" t="inlineStr">
        <is>
          <t>Done</t>
        </is>
      </c>
      <c r="G23" s="19" t="inlineStr">
        <is>
          <t>Built + covered at 100% this session</t>
        </is>
      </c>
    </row>
    <row r="24" ht="15" customHeight="1" s="15">
      <c r="A24" s="19" t="inlineStr">
        <is>
          <t>S8-21</t>
        </is>
      </c>
      <c r="B24" s="19" t="inlineStr">
        <is>
          <t>p95 latency budgets defined and monitored per surface</t>
        </is>
      </c>
      <c r="C24" s="19" t="inlineStr">
        <is>
          <t>ST-087</t>
        </is>
      </c>
      <c r="D24" s="19" t="n">
        <v>3</v>
      </c>
      <c r="E24" s="19" t="inlineStr">
        <is>
          <t>Claude</t>
        </is>
      </c>
      <c r="F24" s="23" t="inlineStr">
        <is>
          <t>Done</t>
        </is>
      </c>
      <c r="G24" s="19" t="inlineStr">
        <is>
          <t>Built + covered at 100% this session</t>
        </is>
      </c>
    </row>
    <row r="25" ht="15" customHeight="1" s="15">
      <c r="A25" s="19" t="inlineStr">
        <is>
          <t>S8-22</t>
        </is>
      </c>
      <c r="B25" s="19" t="inlineStr">
        <is>
          <t>Zero-downtime deploy verified (blue/green or rolling)</t>
        </is>
      </c>
      <c r="C25" s="19" t="inlineStr">
        <is>
          <t>ST-092</t>
        </is>
      </c>
      <c r="D25" s="19" t="n">
        <v>3</v>
      </c>
      <c r="E25" s="19" t="inlineStr">
        <is>
          <t>Claude</t>
        </is>
      </c>
      <c r="F25" s="19" t="inlineStr">
        <is>
          <t>To do</t>
        </is>
      </c>
      <c r="G25" s="19" t="inlineStr">
        <is>
          <t>Blue-green verify on live infra</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S13 BUILD BOARD — Trust boundaries for real (7 stories, 38 pts) — exit: a Teams dev tenant loads the tab with a real Entra token and the bot answers a real message, with the dev bypass disabled</t>
        </is>
      </c>
      <c r="B1" s="26" t="n"/>
      <c r="C1" s="26" t="n"/>
      <c r="D1" s="26" t="n"/>
      <c r="E1" s="26" t="n"/>
      <c r="F1" s="26" t="n"/>
      <c r="G1" s="26" t="n"/>
      <c r="H1" s="26" t="n"/>
    </row>
    <row r="2">
      <c r="A2" s="21" t="inlineStr">
        <is>
          <t>Mandatory — blocks all live work. Executed 20 Sep 2026 (session 41, codebase v0.14.0). Every story in this board was built this session; the three CRITICALs from the review (P-001, P-002, P-003) close here and in S14.</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S13-01</t>
        </is>
      </c>
      <c r="B4" s="21" t="inlineStr">
        <is>
          <t>JWKS-backed Entra signature verification for tab SSO</t>
        </is>
      </c>
      <c r="C4" s="21" t="inlineStr">
        <is>
          <t>SD201</t>
        </is>
      </c>
      <c r="D4" s="21" t="n">
        <v>8</v>
      </c>
      <c r="E4" s="21" t="inlineStr">
        <is>
          <t>Claude</t>
        </is>
      </c>
      <c r="F4" s="28" t="inlineStr">
        <is>
          <t>Done</t>
        </is>
      </c>
      <c r="G4" s="21" t="inlineStr">
        <is>
          <t>Real verifier fetches/caches Entra OpenID metadata, selects by kid, rejects wrong-kid, expired, alg=none and tampered tokens; wired from scripts/serve.ts</t>
        </is>
      </c>
      <c r="H4" s="21" t="inlineStr">
        <is>
          <t>Closes P-001. Code: src/jwt.ts + src/jwks.ts + src/entraVerifier.ts. Tests: tests/trustBoundaries.test.ts. RS256 only; unknown kid triggers at most one metadata refresh per minRefreshGapMs with a single in-flight fetch. Rejection reasons counted, not swallowed. Constructed by name in compose().</t>
        </is>
      </c>
    </row>
    <row r="5">
      <c r="A5" s="21" t="inlineStr">
        <is>
          <t>S13-02</t>
        </is>
      </c>
      <c r="B5" s="21" t="inlineStr">
        <is>
          <t>Bot Connector JWT verification</t>
        </is>
      </c>
      <c r="C5" s="21" t="inlineStr">
        <is>
          <t>SD202</t>
        </is>
      </c>
      <c r="D5" s="21" t="n">
        <v>8</v>
      </c>
      <c r="E5" s="21" t="inlineStr">
        <is>
          <t>Claude</t>
        </is>
      </c>
      <c r="F5" s="28" t="inlineStr">
        <is>
          <t>Done</t>
        </is>
      </c>
      <c r="G5" s="21" t="inlineStr">
        <is>
          <t>Activity accepted only when issuer, audience (bot app id), serviceUrl binding and signature validate; valid-signature/wrong-serviceUrl rejected</t>
        </is>
      </c>
      <c r="H5" s="21" t="inlineStr">
        <is>
          <t>Closes P-002. Code: src/connectorAuth.ts. Tests: tests/trustBoundaries.test.ts. Issuer pinned to https://api.botframework.com, audience = bot app id, serviceUrl bound to the activity and re-checked against the host allowlist, 300s skew.</t>
        </is>
      </c>
    </row>
    <row r="6">
      <c r="A6" s="21" t="inlineStr">
        <is>
          <t>S13-03</t>
        </is>
      </c>
      <c r="B6" s="21" t="inlineStr">
        <is>
          <t>Dev bypass fenced by environment</t>
        </is>
      </c>
      <c r="C6" s="21" t="inlineStr">
        <is>
          <t>SD203</t>
        </is>
      </c>
      <c r="D6" s="21" t="n">
        <v>3</v>
      </c>
      <c r="E6" s="21" t="inlineStr">
        <is>
          <t>Claude</t>
        </is>
      </c>
      <c r="F6" s="28" t="inlineStr">
        <is>
          <t>Done</t>
        </is>
      </c>
      <c r="G6" s="21" t="inlineStr">
        <is>
          <t>Dev token only honoured when SHIFTDESK_ENV=dev; boot throws if set in production</t>
        </is>
      </c>
      <c r="H6" s="21" t="inlineStr">
        <is>
          <t>Closes P-001. Code: src/config.ts + scripts/serve.ts NON_PRODUCTION_IMPLEMENTATIONS. Tests: tests/trustBoundaries.test.ts + tests/config.test.ts. environment unset now means production, not dev — the safe default. compose() refuses to serve when any dev-only implementation appears outside dev.</t>
        </is>
      </c>
    </row>
    <row r="7">
      <c r="A7" s="21" t="inlineStr">
        <is>
          <t>S13-04</t>
        </is>
      </c>
      <c r="B7" s="21" t="inlineStr">
        <is>
          <t>Production-seam wiring assertion</t>
        </is>
      </c>
      <c r="C7" s="21" t="inlineStr">
        <is>
          <t>SD204</t>
        </is>
      </c>
      <c r="D7" s="21" t="n">
        <v>5</v>
      </c>
      <c r="E7" s="21" t="inlineStr">
        <is>
          <t>Claude</t>
        </is>
      </c>
      <c r="F7" s="28" t="inlineStr">
        <is>
          <t>Done</t>
        </is>
      </c>
      <c r="G7" s="21" t="inlineStr">
        <is>
          <t>Test walks the entry point and fails if any production seam has no non-test implementation constructed</t>
        </is>
      </c>
      <c r="H7" s="21" t="inlineStr">
        <is>
          <t>Closes P-017 / P-016. Code: scripts/serve.ts compose() returns a named seams record. Tests: tests/serve.test.ts + tests/v046Closeout.test.ts. Third tier of D-SD7. The same check runs at boot, so a mis-wired deployment refuses to serve rather than serving insecurely.</t>
        </is>
      </c>
    </row>
    <row r="8">
      <c r="A8" s="21" t="inlineStr">
        <is>
          <t>S13-05</t>
        </is>
      </c>
      <c r="B8" s="21" t="inlineStr">
        <is>
          <t>Request hardening: body cap + rate limits</t>
        </is>
      </c>
      <c r="C8" s="21" t="inlineStr">
        <is>
          <t>SD205</t>
        </is>
      </c>
      <c r="D8" s="21" t="n">
        <v>8</v>
      </c>
      <c r="E8" s="21" t="inlineStr">
        <is>
          <t>Claude</t>
        </is>
      </c>
      <c r="F8" s="28" t="inlineStr">
        <is>
          <t>Done</t>
        </is>
      </c>
      <c r="G8" s="21" t="inlineStr">
        <is>
          <t>413 over cap; per-tenant and per-IP token bucket returning 429 with Retry-After</t>
        </is>
      </c>
      <c r="H8" s="21" t="inlineStr">
        <is>
          <t>Closes P-007. Code: src/requestGuard.ts + src/server.ts. Tests: tests/requestHardening.test.ts. readBodyCapped throws mid-stream rather than buffering to the cap. clientAddress honours X-Forwarded-For only when trustProxy is set.</t>
        </is>
      </c>
    </row>
    <row r="9">
      <c r="A9" s="21" t="inlineStr">
        <is>
          <t>S13-06</t>
        </is>
      </c>
      <c r="B9" s="21" t="inlineStr">
        <is>
          <t>Security headers on every surface</t>
        </is>
      </c>
      <c r="C9" s="21" t="inlineStr">
        <is>
          <t>SD206</t>
        </is>
      </c>
      <c r="D9" s="21" t="n">
        <v>3</v>
      </c>
      <c r="E9" s="21" t="inlineStr">
        <is>
          <t>Claude</t>
        </is>
      </c>
      <c r="F9" s="28" t="inlineStr">
        <is>
          <t>Done</t>
        </is>
      </c>
      <c r="G9" s="21" t="inlineStr">
        <is>
          <t>CSP frame-ancestors for Teams hosts, HSTS, nosniff, Referrer-Policy asserted per surface</t>
        </is>
      </c>
      <c r="H9" s="21" t="inlineStr">
        <is>
          <t>Closes P-008. Code: src/securityHeaders.ts. Tests: tests/requestHardening.test.ts. securityHeaders('tab') allows the Teams frame ancestors and the TeamsJS CDN origin; securityHeaders('api') allows neither.</t>
        </is>
      </c>
    </row>
    <row r="10">
      <c r="A10" s="21" t="inlineStr">
        <is>
          <t>S13-07</t>
        </is>
      </c>
      <c r="B10" s="21" t="inlineStr">
        <is>
          <t>Circuit breaker half-open probe</t>
        </is>
      </c>
      <c r="C10" s="21" t="inlineStr">
        <is>
          <t>SD207</t>
        </is>
      </c>
      <c r="D10" s="21" t="n">
        <v>3</v>
      </c>
      <c r="E10" s="21" t="inlineStr">
        <is>
          <t>Claude</t>
        </is>
      </c>
      <c r="F10" s="28" t="inlineStr">
        <is>
          <t>Done</t>
        </is>
      </c>
      <c r="G10" s="21" t="inlineStr">
        <is>
          <t>Cooldown probe closes on success, re-opens on failure, no operator action; ops alert on open</t>
        </is>
      </c>
      <c r="H10" s="21" t="inlineStr">
        <is>
          <t>Closes F-007. Code: src/platformGateway.ts. Tests: tests/platformGateway.test.ts + src/slo.ts ALERT_RULES. Closes F-007, open since the first cold review. Breaker-open is one of the eleven alert rules, each carrying the finding that justifies 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S14 BUILD BOARD — Durability for real (8 stories, 36 pts) — exit: restart, two-instance and restore drills run green in CI against real Postgres, unattended</t>
        </is>
      </c>
      <c r="B1" s="26" t="n"/>
      <c r="C1" s="26" t="n"/>
      <c r="D1" s="26" t="n"/>
      <c r="E1" s="26" t="n"/>
      <c r="F1" s="26" t="n"/>
      <c r="G1" s="26" t="n"/>
      <c r="H1" s="26" t="n"/>
    </row>
    <row r="2">
      <c r="A2" s="21" t="inlineStr">
        <is>
          <t>Mandatory — blocks store submission. Executed 20 Sep 2026 (session 41). A real Postgres 16 instance was provisioned in-session, so the integration tier and the backup drill are results rather than plans.</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S14-01</t>
        </is>
      </c>
      <c r="B4" s="21" t="inlineStr">
        <is>
          <t>Postgres client wired in the entry point</t>
        </is>
      </c>
      <c r="C4" s="21" t="inlineStr">
        <is>
          <t>SD208</t>
        </is>
      </c>
      <c r="D4" s="21" t="n">
        <v>5</v>
      </c>
      <c r="E4" s="21" t="inlineStr">
        <is>
          <t>Claude</t>
        </is>
      </c>
      <c r="F4" s="28" t="inlineStr">
        <is>
          <t>Done</t>
        </is>
      </c>
      <c r="G4" s="21" t="inlineStr">
        <is>
          <t>pg in dependencies, pool from DATABASE_URL, banner reports durable=true</t>
        </is>
      </c>
      <c r="H4" s="21" t="inlineStr">
        <is>
          <t>Closes P-003. Code: src/pgClient.ts + package.json dependencies. Tests: tests/v046Branches.test.ts + tests/integration/postgres.integration.test.ts. pg moved from optional to dependencies. poolOptionsFor() is pure and decides TLS by host, so it is testable without a database. F-071 found here.</t>
        </is>
      </c>
    </row>
    <row r="5">
      <c r="A5" s="21" t="inlineStr">
        <is>
          <t>S14-02</t>
        </is>
      </c>
      <c r="B5" s="21" t="inlineStr">
        <is>
          <t>Refuse to serve non-durably in production</t>
        </is>
      </c>
      <c r="C5" s="21" t="inlineStr">
        <is>
          <t>SD209</t>
        </is>
      </c>
      <c r="D5" s="21" t="n">
        <v>3</v>
      </c>
      <c r="E5" s="21" t="inlineStr">
        <is>
          <t>Claude</t>
        </is>
      </c>
      <c r="F5" s="28" t="inlineStr">
        <is>
          <t>Done</t>
        </is>
      </c>
      <c r="G5" s="21" t="inlineStr">
        <is>
          <t>Boot fails when production and store is in-memory</t>
        </is>
      </c>
      <c r="H5" s="21" t="inlineStr">
        <is>
          <t>Closes P-003. Code: src/bootstrap.ts repositoryFor + src/config.ts. Tests: tests/trustBoundaries.test.ts + tests/bootstrap.test.ts. Also refuses the inverse mistake: a DATABASE_URL with no client supplied is an error, not a silent fall back to memory.</t>
        </is>
      </c>
    </row>
    <row r="6">
      <c r="A6" s="21" t="inlineStr">
        <is>
          <t>S14-03</t>
        </is>
      </c>
      <c r="B6" s="21" t="inlineStr">
        <is>
          <t>Migration runner</t>
        </is>
      </c>
      <c r="C6" s="21" t="inlineStr">
        <is>
          <t>SD210</t>
        </is>
      </c>
      <c r="D6" s="21" t="n">
        <v>5</v>
      </c>
      <c r="E6" s="21" t="inlineStr">
        <is>
          <t>Claude</t>
        </is>
      </c>
      <c r="F6" s="28" t="inlineStr">
        <is>
          <t>Done</t>
        </is>
      </c>
      <c r="G6" s="21" t="inlineStr">
        <is>
          <t>Idempotent ordered migrations recorded in schema_migrations, run on boot and in deploy</t>
        </is>
      </c>
      <c r="H6" s="21" t="inlineStr">
        <is>
          <t>Closes P-003. Code: src/migrations.ts + scripts/migrate.ts + migrations/003_record_indexes.sql. Tests: tests/v046Edges.test.ts + integration test 1. Advisory lock 0x53444d47 serialises concurrent boots; a checksum mismatch on an applied file refuses to run rather than diverging. Verified against real Postgres 16.</t>
        </is>
      </c>
    </row>
    <row r="7">
      <c r="A7" s="21" t="inlineStr">
        <is>
          <t>S14-04</t>
        </is>
      </c>
      <c r="B7" s="21" t="inlineStr">
        <is>
          <t>Real-Postgres integration tier in CI</t>
        </is>
      </c>
      <c r="C7" s="21" t="inlineStr">
        <is>
          <t>SD211</t>
        </is>
      </c>
      <c r="D7" s="21" t="n">
        <v>8</v>
      </c>
      <c r="E7" s="21" t="inlineStr">
        <is>
          <t>Claude</t>
        </is>
      </c>
      <c r="F7" s="28" t="inlineStr">
        <is>
          <t>Done</t>
        </is>
      </c>
      <c r="G7" s="21" t="inlineStr">
        <is>
          <t>Contract and lifecycle suites run against a Postgres service container; JSONB and index behaviour proven</t>
        </is>
      </c>
      <c r="H7" s="21" t="inlineStr">
        <is>
          <t>Closes OBS-SD4 / P-017. Code: jest.integration.config.js + .github/workflows/ci.yml job 2. Tests: tests/integration/postgres.integration.test.ts (9 tests). Closes OBS-SD4 ("the SQL fake is not a database"). Ran for real this session against Postgres 16 on port 55432: 9/9 green.</t>
        </is>
      </c>
    </row>
    <row r="8">
      <c r="A8" s="21" t="inlineStr">
        <is>
          <t>S14-05</t>
        </is>
      </c>
      <c r="B8" s="21" t="inlineStr">
        <is>
          <t>Fix list() version projection</t>
        </is>
      </c>
      <c r="C8" s="21" t="inlineStr">
        <is>
          <t>SD212</t>
        </is>
      </c>
      <c r="D8" s="21" t="n">
        <v>2</v>
      </c>
      <c r="E8" s="21" t="inlineStr">
        <is>
          <t>Claude</t>
        </is>
      </c>
      <c r="F8" s="28" t="inlineStr">
        <is>
          <t>Done</t>
        </is>
      </c>
      <c r="G8" s="21" t="inlineStr">
        <is>
          <t>version selected and returned; guarded write from a listed row succeeds</t>
        </is>
      </c>
      <c r="H8" s="21" t="inlineStr">
        <is>
          <t>Closes P-005. Code: src/repository.ts. Tests: integration test 2. Proven on a real store, where the defect lived: the SQL fake could not have shown it.</t>
        </is>
      </c>
    </row>
    <row r="9">
      <c r="A9" s="21" t="inlineStr">
        <is>
          <t>S14-06</t>
        </is>
      </c>
      <c r="B9" s="21" t="inlineStr">
        <is>
          <t>One repository, one registry</t>
        </is>
      </c>
      <c r="C9" s="21" t="inlineStr">
        <is>
          <t>SD213</t>
        </is>
      </c>
      <c r="D9" s="21" t="n">
        <v>5</v>
      </c>
      <c r="E9" s="21" t="inlineStr">
        <is>
          <t>Claude</t>
        </is>
      </c>
      <c r="F9" s="28" t="inlineStr">
        <is>
          <t>Done</t>
        </is>
      </c>
      <c r="G9" s="21" t="inlineStr">
        <is>
          <t>Scheduled purge removes data the server was serving and evicts its cache</t>
        </is>
      </c>
      <c r="H9" s="21" t="inlineStr">
        <is>
          <t>Closes P-004 / P-015. Code: src/bootstrap.ts sharedStateFor/lifecycleFor. Tests: tests/bootstrap.test.ts + integration test 9. One repository, one registry, one persister per process — the split instances behind P-004 cannot be constructed any more.</t>
        </is>
      </c>
    </row>
    <row r="10">
      <c r="A10" s="21" t="inlineStr">
        <is>
          <t>S14-07</t>
        </is>
      </c>
      <c r="B10" s="21" t="inlineStr">
        <is>
          <t>Restart and blue/green durability tests in CI</t>
        </is>
      </c>
      <c r="C10" s="21" t="inlineStr">
        <is>
          <t>SD214</t>
        </is>
      </c>
      <c r="D10" s="21" t="n">
        <v>5</v>
      </c>
      <c r="E10" s="21" t="inlineStr">
        <is>
          <t>Claude</t>
        </is>
      </c>
      <c r="F10" s="28" t="inlineStr">
        <is>
          <t>Done</t>
        </is>
      </c>
      <c r="G10" s="21" t="inlineStr">
        <is>
          <t>Write, kill, restart, read back; two instances, conflicting writes converge via 409</t>
        </is>
      </c>
      <c r="H10" s="21" t="inlineStr">
        <is>
          <t>Closes P-003. Code: src/persistence.ts refresh/loadWindow. Tests: integration tests 3 and 4. The restart drill discards the process, not just the cache. Two-instance convergence needed staleAfterMs refresh in TenantRegistry.ensure to be true.</t>
        </is>
      </c>
    </row>
    <row r="11">
      <c r="A11" s="21" t="inlineStr">
        <is>
          <t>S14-08</t>
        </is>
      </c>
      <c r="B11" s="21" t="inlineStr">
        <is>
          <t>Backup/restore automation with numbers</t>
        </is>
      </c>
      <c r="C11" s="21" t="inlineStr">
        <is>
          <t>SD215</t>
        </is>
      </c>
      <c r="D11" s="21" t="n">
        <v>3</v>
      </c>
      <c r="E11" s="21" t="inlineStr">
        <is>
          <t>Claude</t>
        </is>
      </c>
      <c r="F11" s="28" t="inlineStr">
        <is>
          <t>Done</t>
        </is>
      </c>
      <c r="G11" s="21" t="inlineStr">
        <is>
          <t>Scripted dump/restore in CI; RPO &lt;= 15 min, RTO &lt;= 60 min asserted and published</t>
        </is>
      </c>
      <c r="H11" s="21" t="inlineStr">
        <is>
          <t>Closes P-020. Code: ops/backup-restore-drill.sh + npm run backup:drill. Tests: ops/backup-drill-report.json. Ran for real this session: pg_dump/pg_restore into shiftdesk_restore, row counts compared. PASS with RPO 0s and RTO 0s against the 15 min / 60 min bar.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S15 BUILD BOARD — Scale and data model (6 stories, 34 pts) — exit: 5x load sweep passes on staging with per-record persistence and published numbers</t>
        </is>
      </c>
      <c r="B1" s="26" t="n"/>
      <c r="C1" s="26" t="n"/>
      <c r="D1" s="26" t="n"/>
      <c r="E1" s="26" t="n"/>
      <c r="F1" s="26" t="n"/>
      <c r="G1" s="26" t="n"/>
      <c r="H1" s="26" t="n"/>
    </row>
    <row r="2">
      <c r="A2" s="21" t="inlineStr">
        <is>
          <t>Mandatory — closes LC-8 once SD219 runs. Executed 20 Sep 2026 (session 41). Whole-module snapshots are gone; OBS-SD9 closes with them.</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S15-01</t>
        </is>
      </c>
      <c r="B4" s="21" t="inlineStr">
        <is>
          <t>Per-record persistence replacing module snapshots</t>
        </is>
      </c>
      <c r="C4" s="21" t="inlineStr">
        <is>
          <t>SD216</t>
        </is>
      </c>
      <c r="D4" s="21" t="n">
        <v>13</v>
      </c>
      <c r="E4" s="21" t="inlineStr">
        <is>
          <t>Claude</t>
        </is>
      </c>
      <c r="F4" s="28" t="inlineStr">
        <is>
          <t>Done</t>
        </is>
      </c>
      <c r="G4" s="21" t="inlineStr">
        <is>
          <t>One record per item; concurrent writes on different instances both succeed; migration from snapshot rows tested</t>
        </is>
      </c>
      <c r="H4" s="21" t="inlineStr">
        <is>
          <t>Closes P-006. Code: src/persistence.ts + src/moduleBase.ts dirty set. Tests: integration tests 4 and 5. Closes OBS-SD9 as well. Legacy whole-module snapshot rows convert to per-record rows on first hydrate, exactly once; node-scoped ids keep two instances from colliding.</t>
        </is>
      </c>
    </row>
    <row r="5">
      <c r="A5" s="21" t="inlineStr">
        <is>
          <t>S15-02</t>
        </is>
      </c>
      <c r="B5" s="21" t="inlineStr">
        <is>
          <t>Bounded working set and windowed hydration</t>
        </is>
      </c>
      <c r="C5" s="21" t="inlineStr">
        <is>
          <t>SD217</t>
        </is>
      </c>
      <c r="D5" s="21" t="n">
        <v>5</v>
      </c>
      <c r="E5" s="21" t="inlineStr">
        <is>
          <t>Claude</t>
        </is>
      </c>
      <c r="F5" s="28" t="inlineStr">
        <is>
          <t>Done</t>
        </is>
      </c>
      <c r="G5" s="21" t="inlineStr">
        <is>
          <t>Tenant with 100k records hydrates within the p95 budget</t>
        </is>
      </c>
      <c r="H5" s="21" t="inlineStr">
        <is>
          <t>Closes P-006. Code: src/persistence.ts loadWindow + migrations/003_record_indexes.sql. Tests: integration test 6. Run at 100k records on real Postgres inside the 500ms API p95 budget. Expression indexes make the window a keyset read, not a table scan.</t>
        </is>
      </c>
    </row>
    <row r="6">
      <c r="A6" s="21" t="inlineStr">
        <is>
          <t>S15-03</t>
        </is>
      </c>
      <c r="B6" s="21" t="inlineStr">
        <is>
          <t>Audit pagination and retention enforcement</t>
        </is>
      </c>
      <c r="C6" s="21" t="inlineStr">
        <is>
          <t>SD218</t>
        </is>
      </c>
      <c r="D6" s="21" t="n">
        <v>5</v>
      </c>
      <c r="E6" s="21" t="inlineStr">
        <is>
          <t>Claude</t>
        </is>
      </c>
      <c r="F6" s="28" t="inlineStr">
        <is>
          <t>Done</t>
        </is>
      </c>
      <c r="G6" s="21" t="inlineStr">
        <is>
          <t>Cursor-paginated audit query; retention classes enforced by the sweep; streamed export</t>
        </is>
      </c>
      <c r="H6" s="21" t="inlineStr">
        <is>
          <t>Closes F-008. Code: src/repository.ts DurableAuditLog.page/stream + src/retentionEnforcer.ts. Tests: integration test 7 + tests/governance.test.ts. Closes F-008, open since the first cold review. The published retention numbers are now the numbers the sweep enforces, by kind and age, from the same hourly scheduler.</t>
        </is>
      </c>
    </row>
    <row r="7">
      <c r="A7" s="21" t="inlineStr">
        <is>
          <t>S15-04</t>
        </is>
      </c>
      <c r="B7" s="21" t="inlineStr">
        <is>
          <t>Run the k6 5x load sweep on staging</t>
        </is>
      </c>
      <c r="C7" s="21" t="inlineStr">
        <is>
          <t>SD219</t>
        </is>
      </c>
      <c r="D7" s="21" t="n">
        <v>5</v>
      </c>
      <c r="E7" s="21" t="inlineStr">
        <is>
          <t>Senthil + Claude</t>
        </is>
      </c>
      <c r="F7" s="29" t="inlineStr">
        <is>
          <t>To do — Senthil</t>
        </is>
      </c>
      <c r="G7" s="21" t="inlineStr">
        <is>
          <t>api p95 &lt;500ms, bot p95 &lt;800ms, failures &lt;1%; report committed as LC-8 evidence</t>
        </is>
      </c>
      <c r="H7" s="21" t="inlineStr">
        <is>
          <t>Closes P-006. Code: load/k6-load-sweep.js (harness ready). Tests: load/EVIDENCE.md (awaiting a real run). Needs staging infrastructure. The harness and the pass bar are scripted; nobody can claim the number until the sweep runs. LC-8 stays open.</t>
        </is>
      </c>
    </row>
    <row r="8">
      <c r="A8" s="21" t="inlineStr">
        <is>
          <t>S15-05</t>
        </is>
      </c>
      <c r="B8" s="21" t="inlineStr">
        <is>
          <t>Latency and conflict SLO evidence</t>
        </is>
      </c>
      <c r="C8" s="21" t="inlineStr">
        <is>
          <t>SD220</t>
        </is>
      </c>
      <c r="D8" s="21" t="n">
        <v>3</v>
      </c>
      <c r="E8" s="21" t="inlineStr">
        <is>
          <t>Senthil + Claude</t>
        </is>
      </c>
      <c r="F8" s="29" t="inlineStr">
        <is>
          <t>To do — Senthil</t>
        </is>
      </c>
      <c r="G8" s="21" t="inlineStr">
        <is>
          <t>Latency report and 409 rate captured during the sweep, both under budget</t>
        </is>
      </c>
      <c r="H8" s="21" t="inlineStr">
        <is>
          <t>Closes P-006. Code: src/perf.ts + src/slo.ts sloReport. Tests: load/EVIDENCE.md. Instrumentation is in place and the report renders; the evidence is a by-product of SD219 and arrives with it.</t>
        </is>
      </c>
    </row>
    <row r="9">
      <c r="A9" s="21" t="inlineStr">
        <is>
          <t>S15-06</t>
        </is>
      </c>
      <c r="B9" s="21" t="inlineStr">
        <is>
          <t>Key rotation with key-id envelope</t>
        </is>
      </c>
      <c r="C9" s="21" t="inlineStr">
        <is>
          <t>SD221</t>
        </is>
      </c>
      <c r="D9" s="21" t="n">
        <v>3</v>
      </c>
      <c r="E9" s="21" t="inlineStr">
        <is>
          <t>Claude</t>
        </is>
      </c>
      <c r="F9" s="28" t="inlineStr">
        <is>
          <t>Done</t>
        </is>
      </c>
      <c r="G9" s="21" t="inlineStr">
        <is>
          <t>enc:v2:&lt;keyId&gt; envelope, read-through for previous keys, re-encrypt sweep</t>
        </is>
      </c>
      <c r="H9" s="21" t="inlineStr">
        <is>
          <t>Closes OBS-SD8 / P-014. Code: src/encryptedRepository.ts KeyRing + reencrypt(). Tests: tests/encryptedRepository.test.ts + integration test 8. Closes OBS-SD8. Old enc:v1 rows still read; the sweep re-seals them under the current key id. Round-tripped through real JSONB.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S16 BUILD BOARD — Teams-native experience (6 stories, 40 pts) — exit: end-to-end handover completed on Teams mobile using cards, with the acknowledgement nudge arriving proactively</t>
        </is>
      </c>
      <c r="B1" s="26" t="n"/>
      <c r="C1" s="26" t="n"/>
      <c r="D1" s="26" t="n"/>
      <c r="E1" s="26" t="n"/>
      <c r="F1" s="26" t="n"/>
      <c r="G1" s="26" t="n"/>
      <c r="H1" s="26" t="n"/>
    </row>
    <row r="2">
      <c r="A2" s="21" t="inlineStr">
        <is>
          <t>Parallel with S17. Executed 20 Sep 2026 (session 41). Card rendering and proactive delivery are live-client facts, so they stay pending-live however good the tests are.</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S16-01</t>
        </is>
      </c>
      <c r="B4" s="21" t="inlineStr">
        <is>
          <t>Adaptive Cards for the four core flows</t>
        </is>
      </c>
      <c r="C4" s="21" t="inlineStr">
        <is>
          <t>SD222</t>
        </is>
      </c>
      <c r="D4" s="21" t="n">
        <v>13</v>
      </c>
      <c r="E4" s="21" t="inlineStr">
        <is>
          <t>Claude</t>
        </is>
      </c>
      <c r="F4" s="30" t="inlineStr">
        <is>
          <t>Code-complete pending live</t>
        </is>
      </c>
      <c r="G4" s="21" t="inlineStr">
        <is>
          <t>Cards with action buttons for handover, acknowledge, approval decision, checklist tick; invoke handled and acked; schema-validated</t>
        </is>
      </c>
      <c r="H4" s="21" t="inlineStr">
        <is>
          <t>Closes P-009. Code: src/adaptiveCards.ts + src/botTransport.ts invoke handling. Tests: tests/teamsNative.test.ts. Cards are schema-validated and the invoke path is acked, but how a card renders is only knowable in a live client. Text stays as the fallback every card carries.</t>
        </is>
      </c>
    </row>
    <row r="5">
      <c r="A5" s="21" t="inlineStr">
        <is>
          <t>S16-02</t>
        </is>
      </c>
      <c r="B5" s="21" t="inlineStr">
        <is>
          <t>Proactive messaging and activity feed</t>
        </is>
      </c>
      <c r="C5" s="21" t="inlineStr">
        <is>
          <t>SD223</t>
        </is>
      </c>
      <c r="D5" s="21" t="n">
        <v>8</v>
      </c>
      <c r="E5" s="21" t="inlineStr">
        <is>
          <t>Claude</t>
        </is>
      </c>
      <c r="F5" s="30" t="inlineStr">
        <is>
          <t>Code-complete pending live</t>
        </is>
      </c>
      <c r="G5" s="21" t="inlineStr">
        <is>
          <t>Conversation references persisted; unacknowledged handover pushes a channel card and a feed notification; 403-uninstalled handled</t>
        </is>
      </c>
      <c r="H5" s="21" t="inlineStr">
        <is>
          <t>Closes P-009 / P-015. Code: src/proactive.ts ConversationStore + ProactiveMessenger. Tests: tests/teamsNative.test.ts. The product promise the review found unimplemented. 403 forgets the conversation; 429/5xx retry with backoff. A real push needs a real tenant.</t>
        </is>
      </c>
    </row>
    <row r="6">
      <c r="A6" s="21" t="inlineStr">
        <is>
          <t>S16-03</t>
        </is>
      </c>
      <c r="B6" s="21" t="inlineStr">
        <is>
          <t>Team/channel configurable tab</t>
        </is>
      </c>
      <c r="C6" s="21" t="inlineStr">
        <is>
          <t>SD224</t>
        </is>
      </c>
      <c r="D6" s="21" t="n">
        <v>8</v>
      </c>
      <c r="E6" s="21" t="inlineStr">
        <is>
          <t>Claude</t>
        </is>
      </c>
      <c r="F6" s="30" t="inlineStr">
        <is>
          <t>Code-complete pending live</t>
        </is>
      </c>
      <c r="G6" s="21" t="inlineStr">
        <is>
          <t>Configurable tab in team scope with config page; shared handover board renders in-channel</t>
        </is>
      </c>
      <c r="H6" s="21" t="inlineStr">
        <is>
          <t>Closes P-010. Code: teams-app/manifest.json configurableTabs + web/configEntry.tsx + web/config.html. Tests: tests/manifest.test.ts + tests/teamsNative.test.ts. Manifest, config page and save handshake all ship; in-channel rendering is a live-client fact.</t>
        </is>
      </c>
    </row>
    <row r="7">
      <c r="A7" s="21" t="inlineStr">
        <is>
          <t>S16-04</t>
        </is>
      </c>
      <c r="B7" s="21" t="inlineStr">
        <is>
          <t>Command list parity</t>
        </is>
      </c>
      <c r="C7" s="21" t="inlineStr">
        <is>
          <t>SD225</t>
        </is>
      </c>
      <c r="D7" s="21" t="n">
        <v>2</v>
      </c>
      <c r="E7" s="21" t="inlineStr">
        <is>
          <t>Claude</t>
        </is>
      </c>
      <c r="F7" s="28" t="inlineStr">
        <is>
          <t>Done</t>
        </is>
      </c>
      <c r="G7" s="21" t="inlineStr">
        <is>
          <t>Manifest advertises exactly what botRouter handles; parity test fails on drift</t>
        </is>
      </c>
      <c r="H7" s="21" t="inlineStr">
        <is>
          <t>Closes P-011. Code: teams-app/manifest.json (8 commands). Tests: tests/manifest.test.ts. Two-way: a command in the manifest with no handler fails, and a handler missing from the manifest fails.</t>
        </is>
      </c>
    </row>
    <row r="8">
      <c r="A8" s="21" t="inlineStr">
        <is>
          <t>S16-05</t>
        </is>
      </c>
      <c r="B8" s="21" t="inlineStr">
        <is>
          <t>Mobile pass on live Teams clients</t>
        </is>
      </c>
      <c r="C8" s="21" t="inlineStr">
        <is>
          <t>SD226</t>
        </is>
      </c>
      <c r="D8" s="21" t="n">
        <v>5</v>
      </c>
      <c r="E8" s="21" t="inlineStr">
        <is>
          <t>Senthil</t>
        </is>
      </c>
      <c r="F8" s="29" t="inlineStr">
        <is>
          <t>To do — Senthil</t>
        </is>
      </c>
      <c r="G8" s="21" t="inlineStr">
        <is>
          <t>iOS and Android walkthrough of the five store-screenshot flows; required mobile screenshot captured live</t>
        </is>
      </c>
      <c r="H8" s="21" t="inlineStr">
        <is>
          <t>Closes VER-SD01. Code: ASSET_PLAN.md flow list + web/demo.tsx capture surface. Tests: ops/accessibility-audit-script.md. Store-blocking (VER-SD01). The walkthrough script and the five flows are prepared; only a person with the app sideloaded on a phone can do it.</t>
        </is>
      </c>
    </row>
    <row r="9">
      <c r="A9" s="21" t="inlineStr">
        <is>
          <t>S16-06</t>
        </is>
      </c>
      <c r="B9" s="21" t="inlineStr">
        <is>
          <t>i18n scaffold and first launch locale</t>
        </is>
      </c>
      <c r="C9" s="21" t="inlineStr">
        <is>
          <t>SD227</t>
        </is>
      </c>
      <c r="D9" s="21" t="n">
        <v>4</v>
      </c>
      <c r="E9" s="21" t="inlineStr">
        <is>
          <t>Claude</t>
        </is>
      </c>
      <c r="F9" s="28" t="inlineStr">
        <is>
          <t>Done</t>
        </is>
      </c>
      <c r="G9" s="21" t="inlineStr">
        <is>
          <t>All user-facing strings in a catalogue; test bans hard-coded user-facing strings</t>
        </is>
      </c>
      <c r="H9" s="21" t="inlineStr">
        <is>
          <t>Closes P-012. Code: src/i18n.ts (en-GB, es-ES) + teams-app/es-ES.json + localizationInfo. Tests: tests/teamsNative.test.ts. A missing key throws I18N_KEY_MISSING rather than rendering blank. F-072 found here: two strings were frozen at import so setLocale had no effect.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S17 BUILD BOARD — Enterprise admin and governance (6 stories, 32 pts) — exit: an IT-admin dry run (install, consent, rollout, export, delete) completed by someone who did not build it</t>
        </is>
      </c>
      <c r="B1" s="26" t="n"/>
      <c r="C1" s="26" t="n"/>
      <c r="D1" s="26" t="n"/>
      <c r="E1" s="26" t="n"/>
      <c r="F1" s="26" t="n"/>
      <c r="G1" s="26" t="n"/>
      <c r="H1" s="26" t="n"/>
    </row>
    <row r="2">
      <c r="A2" s="21" t="inlineStr">
        <is>
          <t>Parallel with S16. Executed 20 Sep 2026 (session 41). The legal documents are generated from code constants and bound by test, so page and product cannot drift.</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S17-01</t>
        </is>
      </c>
      <c r="B4" s="21" t="inlineStr">
        <is>
          <t>Admin consent and tenant-wide rollout in 2 tenants</t>
        </is>
      </c>
      <c r="C4" s="21" t="inlineStr">
        <is>
          <t>SD228</t>
        </is>
      </c>
      <c r="D4" s="21" t="n">
        <v>8</v>
      </c>
      <c r="E4" s="21" t="inlineStr">
        <is>
          <t>Senthil</t>
        </is>
      </c>
      <c r="F4" s="29" t="inlineStr">
        <is>
          <t>To do — Senthil</t>
        </is>
      </c>
      <c r="G4" s="21" t="inlineStr">
        <is>
          <t>Recorded consent and rollout walkthrough; consent screen matches the least-privilege doc exactly</t>
        </is>
      </c>
      <c r="H4" s="21" t="inlineStr">
        <is>
          <t>Closes LC-4 / LC-5. Code: content/admin-deployment-guide.md + SCOPE_MAP. Tests: tests/manifest.test.ts + tests/privacy.test.ts. Needs two live tenants. The scope map is pinned to its consumer files by test, so the doc cannot drift from what consent will show.</t>
        </is>
      </c>
    </row>
    <row r="5">
      <c r="A5" s="21" t="inlineStr">
        <is>
          <t>S17-02</t>
        </is>
      </c>
      <c r="B5" s="21" t="inlineStr">
        <is>
          <t>Data residency configuration</t>
        </is>
      </c>
      <c r="C5" s="21" t="inlineStr">
        <is>
          <t>SD229</t>
        </is>
      </c>
      <c r="D5" s="21" t="n">
        <v>5</v>
      </c>
      <c r="E5" s="21" t="inlineStr">
        <is>
          <t>Claude</t>
        </is>
      </c>
      <c r="F5" s="28" t="inlineStr">
        <is>
          <t>Done</t>
        </is>
      </c>
      <c r="G5" s="21" t="inlineStr">
        <is>
          <t>Region-scoped config and store URL; boot asserts region/store agreement</t>
        </is>
      </c>
      <c r="H5" s="21" t="inlineStr">
        <is>
          <t>Closes P-013. Code: src/residency.ts assertResidency + src/config.ts region. Tests: tests/governance.test.ts. Four customer regions plus a CI region. A store host outside the declared region throws RESIDENCY_MISMATCH at boot, before serving a request.</t>
        </is>
      </c>
    </row>
    <row r="6">
      <c r="A6" s="21" t="inlineStr">
        <is>
          <t>S17-03</t>
        </is>
      </c>
      <c r="B6" s="21" t="inlineStr">
        <is>
          <t>DPA, subprocessor register, retention schedule published</t>
        </is>
      </c>
      <c r="C6" s="21" t="inlineStr">
        <is>
          <t>SD230</t>
        </is>
      </c>
      <c r="D6" s="21" t="n">
        <v>5</v>
      </c>
      <c r="E6" s="21" t="inlineStr">
        <is>
          <t>Claude</t>
        </is>
      </c>
      <c r="F6" s="28" t="inlineStr">
        <is>
          <t>Done</t>
        </is>
      </c>
      <c r="G6" s="21" t="inlineStr">
        <is>
          <t>Documents published and a test asserts they match privacy.retentionPolicy()</t>
        </is>
      </c>
      <c r="H6" s="21" t="inlineStr">
        <is>
          <t>Closes P-013. Code: src/residency.ts generators + content/legal/*.md (4 documents). Tests: tests/governance.test.ts. The documents are generated from the constants, so a retention class added in code cannot go missing from the customer-facing schedule.</t>
        </is>
      </c>
    </row>
    <row r="7">
      <c r="A7" s="21" t="inlineStr">
        <is>
          <t>S17-04</t>
        </is>
      </c>
      <c r="B7" s="21" t="inlineStr">
        <is>
          <t>Self-serve export and delete, admin-visible</t>
        </is>
      </c>
      <c r="C7" s="21" t="inlineStr">
        <is>
          <t>SD231</t>
        </is>
      </c>
      <c r="D7" s="21" t="n">
        <v>5</v>
      </c>
      <c r="E7" s="21" t="inlineStr">
        <is>
          <t>Claude</t>
        </is>
      </c>
      <c r="F7" s="30" t="inlineStr">
        <is>
          <t>Code-complete pending live</t>
        </is>
      </c>
      <c r="G7" s="21" t="inlineStr">
        <is>
          <t>Owner-only streamed export and delete with receipt, surfaced in Settings, audited, tested over HTTP with a real store</t>
        </is>
      </c>
      <c r="H7" s="21" t="inlineStr">
        <is>
          <t>Closes F-029. Code: src/bootstrap.ts dataRightsFor + src/server.ts dataRightsRoute + src/ui/screens.tsx. Tests: tests/privacy.test.ts + tests/server.test.ts. Streamed NDJSON export and delete-with-receipt are wired and audited over HTTP; the AC asks for that over a real store, which arrives with the staging environment.</t>
        </is>
      </c>
    </row>
    <row r="8">
      <c r="A8" s="21" t="inlineStr">
        <is>
          <t>S17-05</t>
        </is>
      </c>
      <c r="B8" s="21" t="inlineStr">
        <is>
          <t>KMS-backed key custody</t>
        </is>
      </c>
      <c r="C8" s="21" t="inlineStr">
        <is>
          <t>SD232</t>
        </is>
      </c>
      <c r="D8" s="21" t="n">
        <v>5</v>
      </c>
      <c r="E8" s="21" t="inlineStr">
        <is>
          <t>Claude</t>
        </is>
      </c>
      <c r="F8" s="30" t="inlineStr">
        <is>
          <t>Code-complete pending live</t>
        </is>
      </c>
      <c r="G8" s="21" t="inlineStr">
        <is>
          <t>Keys from managed KMS at boot; production refuses plain-env keys</t>
        </is>
      </c>
      <c r="H8" s="21" t="inlineStr">
        <is>
          <t>Closes P-014. Code: src/keySource.ts AzureKeyVaultKeyProvider + managedIdentityToken. Tests: tests/governance.test.ts + tests/config.test.ts. Production already refuses a plain env key. The Key Vault path is coded against the documented API but has never spoken to a real vault.</t>
        </is>
      </c>
    </row>
    <row r="9">
      <c r="A9" s="21" t="inlineStr">
        <is>
          <t>S17-06</t>
        </is>
      </c>
      <c r="B9" s="21" t="inlineStr">
        <is>
          <t>Incident response and breach notification runbook</t>
        </is>
      </c>
      <c r="C9" s="21" t="inlineStr">
        <is>
          <t>SD233</t>
        </is>
      </c>
      <c r="D9" s="21" t="n">
        <v>4</v>
      </c>
      <c r="E9" s="21" t="inlineStr">
        <is>
          <t>Senthil + Claude</t>
        </is>
      </c>
      <c r="F9" s="31" t="inlineStr">
        <is>
          <t>Drafted</t>
        </is>
      </c>
      <c r="G9" s="21" t="inlineStr">
        <is>
          <t>Roles, severity ladder, 72-hour notification path, comms templates; tabletop recorded</t>
        </is>
      </c>
      <c r="H9" s="21" t="inlineStr">
        <is>
          <t>Closes P-013. Code: ops/incident-response-runbook.md. Tests: tests/governance.test.ts (severity ladder bound to ALERT_RULES). Runbook written and bound to the alert rules by test. The tabletop exercise is a human activity and is not claimed.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S18 BUILD BOARD — Assurance and certification (5 stories, 30 pts) — exit: attestation submitted, pen-test Highs closed, accessibility audit signed</t>
        </is>
      </c>
      <c r="B1" s="26" t="n"/>
      <c r="C1" s="26" t="n"/>
      <c r="D1" s="26" t="n"/>
      <c r="E1" s="26" t="n"/>
      <c r="F1" s="26" t="n"/>
      <c r="G1" s="26" t="n"/>
      <c r="H1" s="26" t="n"/>
    </row>
    <row r="2">
      <c r="A2" s="21" t="inlineStr">
        <is>
          <t>Procurement starts in S13 — long lead. Executed 20 Sep 2026 (session 41) for the evidence half only: four of five items here are irreducibly human and are not claimed.</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S18-01</t>
        </is>
      </c>
      <c r="B4" s="21" t="inlineStr">
        <is>
          <t>Third-party penetration test and remediation</t>
        </is>
      </c>
      <c r="C4" s="21" t="inlineStr">
        <is>
          <t>SD234</t>
        </is>
      </c>
      <c r="D4" s="21" t="n">
        <v>8</v>
      </c>
      <c r="E4" s="21" t="inlineStr">
        <is>
          <t>Senthil</t>
        </is>
      </c>
      <c r="F4" s="29" t="inlineStr">
        <is>
          <t>To do — Senthil</t>
        </is>
      </c>
      <c r="G4" s="21" t="inlineStr">
        <is>
          <t>External test on staging; all High/Critical closed and retested</t>
        </is>
      </c>
      <c r="H4" s="21" t="inlineStr">
        <is>
          <t>Closes LC-3. Code: SECURITY_EVIDENCE.md scope pack. Tests: —. Needs a staging environment and a vendor engagement. The scope pack and the surface inventory are prepared so the engagement can start without a discovery phase.</t>
        </is>
      </c>
    </row>
    <row r="5">
      <c r="A5" s="21" t="inlineStr">
        <is>
          <t>S18-02</t>
        </is>
      </c>
      <c r="B5" s="21" t="inlineStr">
        <is>
          <t>Microsoft 365 Publisher Attestation submitted</t>
        </is>
      </c>
      <c r="C5" s="21" t="inlineStr">
        <is>
          <t>SD235</t>
        </is>
      </c>
      <c r="D5" s="21" t="n">
        <v>5</v>
      </c>
      <c r="E5" s="21" t="inlineStr">
        <is>
          <t>Senthil</t>
        </is>
      </c>
      <c r="F5" s="29" t="inlineStr">
        <is>
          <t>To do — Senthil</t>
        </is>
      </c>
      <c r="G5" s="21" t="inlineStr">
        <is>
          <t>Submitted and accepted in Partner Center</t>
        </is>
      </c>
      <c r="H5" s="21" t="inlineStr">
        <is>
          <t>Closes LC-3. Code: ops/m365-certification-pack.md. Tests: tests/governance.test.ts (evidence paths exist). Partner Center account required. Every answer the attestation asks for is drafted in the pack.</t>
        </is>
      </c>
    </row>
    <row r="6">
      <c r="A6" s="21" t="inlineStr">
        <is>
          <t>S18-03</t>
        </is>
      </c>
      <c r="B6" s="21" t="inlineStr">
        <is>
          <t>M365 Certification evidence pack assembled</t>
        </is>
      </c>
      <c r="C6" s="21" t="inlineStr">
        <is>
          <t>SD236</t>
        </is>
      </c>
      <c r="D6" s="21" t="n">
        <v>8</v>
      </c>
      <c r="E6" s="21" t="inlineStr">
        <is>
          <t>Claude</t>
        </is>
      </c>
      <c r="F6" s="28" t="inlineStr">
        <is>
          <t>Done</t>
        </is>
      </c>
      <c r="G6" s="21" t="inlineStr">
        <is>
          <t>Data handling, security, account management and compliance evidence mapped to the certification framework</t>
        </is>
      </c>
      <c r="H6" s="21" t="inlineStr">
        <is>
          <t>Closes LC-3. Code: src/compliance.ts M365_CONTROLS + ops/m365-certification-pack.md. Tests: tests/governance.test.ts. Each control names an evidence path, and the test fails if the path does not exist — the discipline that caught three controls with no executable evidence behind them.</t>
        </is>
      </c>
    </row>
    <row r="7">
      <c r="A7" s="21" t="inlineStr">
        <is>
          <t>S18-04</t>
        </is>
      </c>
      <c r="B7" s="21" t="inlineStr">
        <is>
          <t>SOC 2 Type I readiness</t>
        </is>
      </c>
      <c r="C7" s="21" t="inlineStr">
        <is>
          <t>SD237</t>
        </is>
      </c>
      <c r="D7" s="21" t="n">
        <v>5</v>
      </c>
      <c r="E7" s="21" t="inlineStr">
        <is>
          <t>Senthil</t>
        </is>
      </c>
      <c r="F7" s="29" t="inlineStr">
        <is>
          <t>To do — Senthil</t>
        </is>
      </c>
      <c r="G7" s="21" t="inlineStr">
        <is>
          <t>Controls mapped, compliance automation live, audit firm engaged; budget $15k-$50k audit fee and ~6 months observation for Type II</t>
        </is>
      </c>
      <c r="H7" s="21" t="inlineStr">
        <is>
          <t>Closes D-05. Code: src/compliance.ts SOC2_CONTROLS + ops/soc2-readiness-map.md. Tests: tests/governance.test.ts. The mapping and the automation are in code; engaging a firm and paying the fee are Senthil decisions with a real budget attached.</t>
        </is>
      </c>
    </row>
    <row r="8">
      <c r="A8" s="21" t="inlineStr">
        <is>
          <t>S18-05</t>
        </is>
      </c>
      <c r="B8" s="21" t="inlineStr">
        <is>
          <t>Manual WCAG AA and screen-reader audit on live tabs</t>
        </is>
      </c>
      <c r="C8" s="21" t="inlineStr">
        <is>
          <t>SD238</t>
        </is>
      </c>
      <c r="D8" s="21" t="n">
        <v>4</v>
      </c>
      <c r="E8" s="21" t="inlineStr">
        <is>
          <t>Senthil</t>
        </is>
      </c>
      <c r="F8" s="29" t="inlineStr">
        <is>
          <t>To do — Senthil</t>
        </is>
      </c>
      <c r="G8" s="21" t="inlineStr">
        <is>
          <t>Keyboard-only and NVDA/VoiceOver pass on all nine screens in the live client</t>
        </is>
      </c>
      <c r="H8" s="21" t="inlineStr">
        <is>
          <t>Closes LC-7 / R-S6. Code: ops/accessibility-audit-script.md (per-screen script). Tests: tests/a11y.test.tsx (automated net stays). Closes R-S6, open since session 1. jest-axe cannot hear a screen reader; the script makes the manual pass a checklist rather than an exploration.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S19 BUILD BOARD — Commercial machinery and observability (5 stories, 32 pts) — exit: a test customer transacts through the marketplace and the entitlement is enforced end to end</t>
        </is>
      </c>
      <c r="B1" s="26" t="n"/>
      <c r="C1" s="26" t="n"/>
      <c r="D1" s="26" t="n"/>
      <c r="E1" s="26" t="n"/>
      <c r="F1" s="26" t="n"/>
      <c r="G1" s="26" t="n"/>
      <c r="H1" s="26" t="n"/>
    </row>
    <row r="2">
      <c r="A2" s="21" t="inlineStr">
        <is>
          <t>Precedes launch. Executed 20 Sep 2026 (session 41). Fulfillment API v2 is built against the documented contract; a real transaction needs a live offer.</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S19-01</t>
        </is>
      </c>
      <c r="B4" s="21" t="inlineStr">
        <is>
          <t>Marketplace SaaS Fulfillment integration</t>
        </is>
      </c>
      <c r="C4" s="21" t="inlineStr">
        <is>
          <t>SD239</t>
        </is>
      </c>
      <c r="D4" s="21" t="n">
        <v>13</v>
      </c>
      <c r="E4" s="21" t="inlineStr">
        <is>
          <t>Claude</t>
        </is>
      </c>
      <c r="F4" s="30" t="inlineStr">
        <is>
          <t>Code-complete pending live</t>
        </is>
      </c>
      <c r="G4" s="21" t="inlineStr">
        <is>
          <t>Token resolution plus idempotent activate/change/suspend/reinstate/unsubscribe webhooks; seat reconciliation with drift alert</t>
        </is>
      </c>
      <c r="H4" s="21" t="inlineStr">
        <is>
          <t>Closes P-019 / LC-6. Code: src/fulfillment.ts + src/server.ts handleMarketplaceWebhook. Tests: tests/commercial.test.ts. Fulfillment API v2 against the documented contract, idempotent on activityId, with Entra and shared-secret webhook authentication. A real transaction needs a live offer.</t>
        </is>
      </c>
    </row>
    <row r="5">
      <c r="A5" s="21" t="inlineStr">
        <is>
          <t>S19-02</t>
        </is>
      </c>
      <c r="B5" s="21" t="inlineStr">
        <is>
          <t>Transactable offer with private offers configured</t>
        </is>
      </c>
      <c r="C5" s="21" t="inlineStr">
        <is>
          <t>SD240</t>
        </is>
      </c>
      <c r="D5" s="21" t="n">
        <v>5</v>
      </c>
      <c r="E5" s="21" t="inlineStr">
        <is>
          <t>Senthil</t>
        </is>
      </c>
      <c r="F5" s="29" t="inlineStr">
        <is>
          <t>To do — Senthil</t>
        </is>
      </c>
      <c r="G5" s="21" t="inlineStr">
        <is>
          <t>Offer live in Partner Center; private-offer path tested with a pilot customer</t>
        </is>
      </c>
      <c r="H5" s="21" t="inlineStr">
        <is>
          <t>Closes LC-6. Code: content/pricing-faq.md + fulfillment plan mapping. Tests: tests/commercial.test.ts (plan ids bound to entitlements). Partner Center work. Plan identifiers are bound to the entitlement table by test, so the offer and the code cannot disagree once it exists.</t>
        </is>
      </c>
    </row>
    <row r="6">
      <c r="A6" s="21" t="inlineStr">
        <is>
          <t>S19-03</t>
        </is>
      </c>
      <c r="B6" s="21" t="inlineStr">
        <is>
          <t>Real error and product analytics wiring</t>
        </is>
      </c>
      <c r="C6" s="21" t="inlineStr">
        <is>
          <t>SD241</t>
        </is>
      </c>
      <c r="D6" s="21" t="n">
        <v>5</v>
      </c>
      <c r="E6" s="21" t="inlineStr">
        <is>
          <t>Claude</t>
        </is>
      </c>
      <c r="F6" s="30" t="inlineStr">
        <is>
          <t>Code-complete pending live</t>
        </is>
      </c>
      <c r="G6" s="21" t="inlineStr">
        <is>
          <t>Release-tagged Sentry and PostHog receiving scrubbed events; deliberate error visible in dashboard</t>
        </is>
      </c>
      <c r="H6" s="21" t="inlineStr">
        <is>
          <t>Closes F-070. Code: src/telemetrySink.ts HttpTelemetrySink + scrub/tenantHash. Tests: tests/observability.test.ts. Sentry-envelope and PostHog-capture shapes are built and the scrubber is pinned by test; no sink URL is configured, so nothing has been seen in a dashboard.</t>
        </is>
      </c>
    </row>
    <row r="7">
      <c r="A7" s="21" t="inlineStr">
        <is>
          <t>S19-04</t>
        </is>
      </c>
      <c r="B7" s="21" t="inlineStr">
        <is>
          <t>SLO, error budget and alerting</t>
        </is>
      </c>
      <c r="C7" s="21" t="inlineStr">
        <is>
          <t>SD242</t>
        </is>
      </c>
      <c r="D7" s="21" t="n">
        <v>5</v>
      </c>
      <c r="E7" s="21" t="inlineStr">
        <is>
          <t>Claude</t>
        </is>
      </c>
      <c r="F7" s="28" t="inlineStr">
        <is>
          <t>Done</t>
        </is>
      </c>
      <c r="G7" s="21" t="inlineStr">
        <is>
          <t>99.5% SLO with error budget; alerts on breaker-open, 409 rate, store failure, dunning failure, retention failure; on-call runbook</t>
        </is>
      </c>
      <c r="H7" s="21" t="inlineStr">
        <is>
          <t>Closes D-05. Code: src/slo.ts (11 ALERT_RULES) + ops/incident-response-runbook.md. Tests: tests/observability.test.ts + tests/governance.test.ts. 99.5% is 216 minutes a month, stated as a number rather than a nine. Every rule carries a because field naming the finding that justifies it.</t>
        </is>
      </c>
    </row>
    <row r="8">
      <c r="A8" s="21" t="inlineStr">
        <is>
          <t>S19-05</t>
        </is>
      </c>
      <c r="B8" s="21" t="inlineStr">
        <is>
          <t>Deploy pipeline made real</t>
        </is>
      </c>
      <c r="C8" s="21" t="inlineStr">
        <is>
          <t>SD243</t>
        </is>
      </c>
      <c r="D8" s="21" t="n">
        <v>4</v>
      </c>
      <c r="E8" s="21" t="inlineStr">
        <is>
          <t>Senthil + Claude</t>
        </is>
      </c>
      <c r="F8" s="30" t="inlineStr">
        <is>
          <t>Code-complete pending live</t>
        </is>
      </c>
      <c r="G8" s="21" t="inlineStr">
        <is>
          <t>Provider CLI replaces echo steps; migrations before swap; automated green smoke; one rollback executed</t>
        </is>
      </c>
      <c r="H8" s="21" t="inlineStr">
        <is>
          <t>Closes P-020. Code: .github/workflows/deploy.yml (az commands, migrate-before-swap, smoke, rollback job). Tests: tests/reviewPack.test.ts (no echo placeholders remain). The echo placeholders are gone and the ordering is right. Executing one rollback needs the subscription.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8" customWidth="1" style="15" min="1" max="1"/>
    <col width="72" customWidth="1" style="15" min="2" max="2"/>
    <col width="10" customWidth="1" style="15" min="3" max="3"/>
    <col width="8" customWidth="1" style="15" min="4" max="4"/>
    <col width="16" customWidth="1" style="15" min="5" max="5"/>
    <col width="26" customWidth="1" style="15" min="6" max="6"/>
    <col width="74" customWidth="1" style="15" min="7" max="7"/>
    <col width="110" customWidth="1" style="15" min="8" max="8"/>
  </cols>
  <sheetData>
    <row r="1">
      <c r="A1" s="25" t="inlineStr">
        <is>
          <t>S20 BUILD BOARD — Demand validation and go/no-go (4 stories, 24 pts) — exit: G-01/G-02 become achievable on evidence, or kill criteria fire</t>
        </is>
      </c>
      <c r="B1" s="26" t="n"/>
      <c r="C1" s="26" t="n"/>
      <c r="D1" s="26" t="n"/>
      <c r="E1" s="26" t="n"/>
      <c r="F1" s="26" t="n"/>
      <c r="G1" s="26" t="n"/>
      <c r="H1" s="26" t="n"/>
    </row>
    <row r="2">
      <c r="A2" s="21" t="inlineStr">
        <is>
          <t>Programme gate. Executed 20 Sep 2026 (session 41) for the model repair and the repositioning copy. The interviews and the five paid pilots are the gate, and no code substitutes for them.</t>
        </is>
      </c>
    </row>
    <row r="3">
      <c r="A3" s="27" t="inlineStr">
        <is>
          <t>ID</t>
        </is>
      </c>
      <c r="B3" s="27" t="inlineStr">
        <is>
          <t>Item</t>
        </is>
      </c>
      <c r="C3" s="27" t="inlineStr">
        <is>
          <t>Story ref</t>
        </is>
      </c>
      <c r="D3" s="27" t="inlineStr">
        <is>
          <t>Points</t>
        </is>
      </c>
      <c r="E3" s="27" t="inlineStr">
        <is>
          <t>Owner</t>
        </is>
      </c>
      <c r="F3" s="27" t="inlineStr">
        <is>
          <t>Status</t>
        </is>
      </c>
      <c r="G3" s="27" t="inlineStr">
        <is>
          <t>Acceptance criterion (machine-checkable)</t>
        </is>
      </c>
      <c r="H3" s="27" t="inlineStr">
        <is>
          <t>Notes / Evidence</t>
        </is>
      </c>
    </row>
    <row r="4">
      <c r="A4" s="21" t="inlineStr">
        <is>
          <t>S20-01</t>
        </is>
      </c>
      <c r="B4" s="21" t="inlineStr">
        <is>
          <t>15 discovery interviews in regulated frontline sectors</t>
        </is>
      </c>
      <c r="C4" s="21" t="inlineStr">
        <is>
          <t>SD244</t>
        </is>
      </c>
      <c r="D4" s="21" t="n">
        <v>8</v>
      </c>
      <c r="E4" s="21" t="inlineStr">
        <is>
          <t>Senthil</t>
        </is>
      </c>
      <c r="F4" s="29" t="inlineStr">
        <is>
          <t>To do — Senthil</t>
        </is>
      </c>
      <c r="G4" s="21" t="inlineStr">
        <is>
          <t>Transcripts plus synthesis on how handover evidence is produced today and what audit failure costs; unparks D13</t>
        </is>
      </c>
      <c r="H4" s="21" t="inlineStr">
        <is>
          <t>Closes R4. Code: —. Tests: —. The one item no amount of code can substitute for. D13 parked interviews portfolio-wide; this is where that decision comes back.</t>
        </is>
      </c>
    </row>
    <row r="5">
      <c r="A5" s="21" t="inlineStr">
        <is>
          <t>S20-02</t>
        </is>
      </c>
      <c r="B5" s="21" t="inlineStr">
        <is>
          <t>Reposition to the auditable-evidence wedge</t>
        </is>
      </c>
      <c r="C5" s="21" t="inlineStr">
        <is>
          <t>SD245</t>
        </is>
      </c>
      <c r="D5" s="21" t="n">
        <v>5</v>
      </c>
      <c r="E5" s="21" t="inlineStr">
        <is>
          <t>Senthil + Claude</t>
        </is>
      </c>
      <c r="F5" s="31" t="inlineStr">
        <is>
          <t>Drafted</t>
        </is>
      </c>
      <c r="G5" s="21" t="inlineStr">
        <is>
          <t>Listing copy, one-pager and comparison pages rewritten explicitly against free Approvals and Planner; tested in 10 of 15 calls</t>
        </is>
      </c>
      <c r="H5" s="21" t="inlineStr">
        <is>
          <t>Closes D-04. Code: content/listing-copy-A.md + content/listing-copy-B.md + content/positioning-onepager.md. Tests: tests/completionWave.test.ts + tests/reviewPack.test.ts. Copy rewritten against the free first-party overlap rather than around it. Whether the wedge lands is answered in the SD244 calls, not by the copy.</t>
        </is>
      </c>
    </row>
    <row r="6">
      <c r="A6" s="21" t="inlineStr">
        <is>
          <t>S20-03</t>
        </is>
      </c>
      <c r="B6" s="21" t="inlineStr">
        <is>
          <t>Pricing re-test and model repair</t>
        </is>
      </c>
      <c r="C6" s="21" t="inlineStr">
        <is>
          <t>SD246</t>
        </is>
      </c>
      <c r="D6" s="21" t="n">
        <v>5</v>
      </c>
      <c r="E6" s="21" t="inlineStr">
        <is>
          <t>Claude</t>
        </is>
      </c>
      <c r="F6" s="28" t="inlineStr">
        <is>
          <t>Done</t>
        </is>
      </c>
      <c r="G6" s="21" t="inlineStr">
        <is>
          <t>Per-site pricing modelled; cash-in/runway row added; real breakeven month or explicit funding requirement</t>
        </is>
      </c>
      <c r="H6" s="21" t="inlineStr">
        <is>
          <t>Closes P-018 / D-01. Code: product workbook v046 Financial_Model. Tests: workbook recalculation, 0 errors. The model now shows cash in, cash out, runway and either a breakeven month or the funding requirement stated outright. Per-site pricing modelled beside per-seat.</t>
        </is>
      </c>
    </row>
    <row r="7">
      <c r="A7" s="21" t="inlineStr">
        <is>
          <t>S20-04</t>
        </is>
      </c>
      <c r="B7" s="21" t="inlineStr">
        <is>
          <t>5 paid pilots with signed order forms</t>
        </is>
      </c>
      <c r="C7" s="21" t="inlineStr">
        <is>
          <t>SD247</t>
        </is>
      </c>
      <c r="D7" s="21" t="n">
        <v>6</v>
      </c>
      <c r="E7" s="21" t="inlineStr">
        <is>
          <t>Senthil</t>
        </is>
      </c>
      <c r="F7" s="29" t="inlineStr">
        <is>
          <t>To do — Senthil</t>
        </is>
      </c>
      <c r="G7" s="21" t="inlineStr">
        <is>
          <t>Five paying tenants; activation and week-4 retention measured through the wired funnel</t>
        </is>
      </c>
      <c r="H7" s="21" t="inlineStr">
        <is>
          <t>Closes G-02. Code: src/telemetry.ts funnel (wired at the boundary since session 24). Tests: tests/observability.test.ts. The funnel that would measure this is real and wired. The five customers are not, and G-02 counts only paying strangers.</t>
        </is>
      </c>
    </row>
  </sheetData>
  <pageMargins left="0.75" right="0.75" top="1" bottom="1" header="0.5" footer="0.5"/>
</worksheet>
</file>

<file path=xl/worksheets/sheet20.xml><?xml version="1.0" encoding="utf-8"?>
<worksheet xmlns="http://schemas.openxmlformats.org/spreadsheetml/2006/main">
  <sheetPr filterMode="0">
    <outlinePr summaryBelow="1" summaryRight="1"/>
    <pageSetUpPr fitToPage="0"/>
  </sheetPr>
  <dimension ref="A1:K15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4" min="1" max="1"/>
    <col width="7" customWidth="1" style="14" min="2" max="2"/>
    <col width="26" customWidth="1" style="14" min="3" max="3"/>
    <col width="80" customWidth="1" style="14" min="4" max="4"/>
    <col width="8" customWidth="1" style="14" min="5" max="5"/>
    <col width="9" customWidth="1" style="14" min="6" max="6"/>
    <col width="8" customWidth="1" style="14" min="7" max="7"/>
    <col width="24" customWidth="1" style="14" min="8" max="8"/>
    <col width="30" customWidth="1" style="14" min="9" max="9"/>
    <col width="26" customWidth="1" style="14" min="10" max="10"/>
    <col width="80" customWidth="1" style="14" min="11" max="11"/>
  </cols>
  <sheetData>
    <row r="1" ht="15" customHeight="1" s="15">
      <c r="A1" s="16" t="inlineStr">
        <is>
          <t>TRACEABILITY MATRIX — 147 stories: module -&gt; epic -&gt; story -&gt; code -&gt; test -&gt; evidence</t>
        </is>
      </c>
    </row>
    <row r="2" ht="15" customHeight="1" s="15">
      <c r="A2" s="22" t="inlineStr">
        <is>
          <t>Rows 4-103: the original 100 ST stories (workbook v005 Full_Backlog). Rows 104-150: the 47 SD stories from the independent review sprint plan S13-S20, every one carried here whether built, drafted or owed to Senthil (D-SD8) — none dropped. Rollup formulas read cols E/G/J over rows 4-150.</t>
        </is>
      </c>
    </row>
    <row r="3" ht="15" customHeight="1" s="15">
      <c r="A3" s="18" t="inlineStr">
        <is>
          <t>Story ID</t>
        </is>
      </c>
      <c r="B3" s="18" t="inlineStr">
        <is>
          <t>Epic</t>
        </is>
      </c>
      <c r="C3" s="18" t="inlineStr">
        <is>
          <t>Module / feature</t>
        </is>
      </c>
      <c r="D3" s="18" t="inlineStr">
        <is>
          <t>Story</t>
        </is>
      </c>
      <c r="E3" s="18" t="inlineStr">
        <is>
          <t>Points</t>
        </is>
      </c>
      <c r="F3" s="18" t="inlineStr">
        <is>
          <t>Priority</t>
        </is>
      </c>
      <c r="G3" s="18" t="inlineStr">
        <is>
          <t>Sprint</t>
        </is>
      </c>
      <c r="H3" s="18" t="inlineStr">
        <is>
          <t>Primary screen</t>
        </is>
      </c>
      <c r="I3" s="18" t="inlineStr">
        <is>
          <t>Verification</t>
        </is>
      </c>
      <c r="J3" s="18" t="inlineStr">
        <is>
          <t>Status</t>
        </is>
      </c>
      <c r="K3" s="18" t="inlineStr">
        <is>
          <t>Evidence</t>
        </is>
      </c>
    </row>
    <row r="4" ht="26.25" customHeight="1" s="15">
      <c r="A4" s="19" t="inlineStr">
        <is>
          <t>ST-001</t>
        </is>
      </c>
      <c r="B4" s="19" t="inlineStr">
        <is>
          <t>F1</t>
        </is>
      </c>
      <c r="C4" s="19" t="inlineStr">
        <is>
          <t>Shift handover threads</t>
        </is>
      </c>
      <c r="D4" s="19" t="inlineStr">
        <is>
          <t>As a Ops director, I can set up Shift handover threads with sensible defaults in one screen</t>
        </is>
      </c>
      <c r="E4" s="19" t="n">
        <v>5</v>
      </c>
      <c r="F4" s="19" t="inlineStr">
        <is>
          <t>P0</t>
        </is>
      </c>
      <c r="G4" s="19" t="inlineStr">
        <is>
          <t>S2</t>
        </is>
      </c>
      <c r="H4" s="19" t="inlineStr">
        <is>
          <t>SCR-3 Handover workspace</t>
        </is>
      </c>
      <c r="I4" s="19" t="inlineStr">
        <is>
          <t>Jest 100% cov + E2E smoke</t>
        </is>
      </c>
      <c r="J4" s="23" t="inlineStr">
        <is>
          <t>Done</t>
        </is>
      </c>
      <c r="K4" s="19" t="inlineStr">
        <is>
          <t>src/handover.ts + src/moduleBase.ts | tests/features.test.ts + tests/moduleBase.test.ts | Built + covered at 100% this session</t>
        </is>
      </c>
    </row>
    <row r="5" ht="26.25" customHeight="1" s="15">
      <c r="A5" s="19" t="inlineStr">
        <is>
          <t>ST-002</t>
        </is>
      </c>
      <c r="B5" s="19" t="inlineStr">
        <is>
          <t>F1</t>
        </is>
      </c>
      <c r="C5" s="19" t="inlineStr">
        <is>
          <t>Shift handover threads</t>
        </is>
      </c>
      <c r="D5" s="19" t="inlineStr">
        <is>
          <t>As a Ops director, the Shift handover threads happy path completes without documentation</t>
        </is>
      </c>
      <c r="E5" s="19" t="n">
        <v>8</v>
      </c>
      <c r="F5" s="19" t="inlineStr">
        <is>
          <t>P0</t>
        </is>
      </c>
      <c r="G5" s="19" t="inlineStr">
        <is>
          <t>S2</t>
        </is>
      </c>
      <c r="H5" s="19" t="inlineStr">
        <is>
          <t>SCR-3 Handover workspace</t>
        </is>
      </c>
      <c r="I5" s="19" t="inlineStr">
        <is>
          <t>Jest 100% cov + E2E smoke</t>
        </is>
      </c>
      <c r="J5" s="23" t="inlineStr">
        <is>
          <t>Done</t>
        </is>
      </c>
      <c r="K5" s="19" t="inlineStr">
        <is>
          <t>src/handover.ts + src/moduleBase.ts | tests/features.test.ts + tests/moduleBase.test.ts | Built + covered at 100% this session</t>
        </is>
      </c>
    </row>
    <row r="6" ht="26.25" customHeight="1" s="15">
      <c r="A6" s="19" t="inlineStr">
        <is>
          <t>ST-003</t>
        </is>
      </c>
      <c r="B6" s="19" t="inlineStr">
        <is>
          <t>F1</t>
        </is>
      </c>
      <c r="C6" s="19" t="inlineStr">
        <is>
          <t>Shift handover threads</t>
        </is>
      </c>
      <c r="D6" s="19" t="inlineStr">
        <is>
          <t>As a IT admin, I can customise Shift handover threads rules/conditions for my workflow</t>
        </is>
      </c>
      <c r="E6" s="19" t="n">
        <v>5</v>
      </c>
      <c r="F6" s="19" t="inlineStr">
        <is>
          <t>P1</t>
        </is>
      </c>
      <c r="G6" s="19" t="inlineStr">
        <is>
          <t>S2</t>
        </is>
      </c>
      <c r="H6" s="19" t="inlineStr">
        <is>
          <t>SCR-3 Handover workspace</t>
        </is>
      </c>
      <c r="I6" s="19" t="inlineStr">
        <is>
          <t>Jest 100% cov + E2E smoke</t>
        </is>
      </c>
      <c r="J6" s="23" t="inlineStr">
        <is>
          <t>Done</t>
        </is>
      </c>
      <c r="K6" s="19" t="inlineStr">
        <is>
          <t>src/handover.ts + src/moduleBase.ts | tests/features.test.ts + tests/moduleBase.test.ts | Built + covered at 100% this session</t>
        </is>
      </c>
    </row>
    <row r="7" ht="26.25" customHeight="1" s="15">
      <c r="A7" s="19" t="inlineStr">
        <is>
          <t>ST-004</t>
        </is>
      </c>
      <c r="B7" s="19" t="inlineStr">
        <is>
          <t>F1</t>
        </is>
      </c>
      <c r="C7" s="19" t="inlineStr">
        <is>
          <t>Shift handover threads</t>
        </is>
      </c>
      <c r="D7" s="19" t="inlineStr">
        <is>
          <t>As a user, Shift handover threads shows clear errors and retry paths on platform API failures</t>
        </is>
      </c>
      <c r="E7" s="19" t="n">
        <v>3</v>
      </c>
      <c r="F7" s="19" t="inlineStr">
        <is>
          <t>P0</t>
        </is>
      </c>
      <c r="G7" s="19" t="inlineStr">
        <is>
          <t>S2</t>
        </is>
      </c>
      <c r="H7" s="19" t="inlineStr">
        <is>
          <t>SCR-3 Handover workspace</t>
        </is>
      </c>
      <c r="I7" s="19" t="inlineStr">
        <is>
          <t>Jest 100% cov + E2E smoke</t>
        </is>
      </c>
      <c r="J7" s="23" t="inlineStr">
        <is>
          <t>Done</t>
        </is>
      </c>
      <c r="K7" s="19" t="inlineStr">
        <is>
          <t>src/handover.ts + src/moduleBase.ts | tests/features.test.ts + tests/moduleBase.test.ts | Built + covered at 100% this session</t>
        </is>
      </c>
    </row>
    <row r="8" ht="26.25" customHeight="1" s="15">
      <c r="A8" s="19" t="inlineStr">
        <is>
          <t>ST-005</t>
        </is>
      </c>
      <c r="B8" s="19" t="inlineStr">
        <is>
          <t>F1</t>
        </is>
      </c>
      <c r="C8" s="19" t="inlineStr">
        <is>
          <t>Shift handover threads</t>
        </is>
      </c>
      <c r="D8" s="19" t="inlineStr">
        <is>
          <t>As a Frontline supervisor, Shift handover threads works on the Teams tab + bot surface end-to-end</t>
        </is>
      </c>
      <c r="E8" s="19" t="n">
        <v>5</v>
      </c>
      <c r="F8" s="19" t="inlineStr">
        <is>
          <t>P0</t>
        </is>
      </c>
      <c r="G8" s="19" t="inlineStr">
        <is>
          <t>S3</t>
        </is>
      </c>
      <c r="H8" s="19" t="inlineStr">
        <is>
          <t>SCR-3 Handover workspace</t>
        </is>
      </c>
      <c r="I8" s="19" t="inlineStr">
        <is>
          <t>Tests pass; live verification pending</t>
        </is>
      </c>
      <c r="J8" s="24" t="inlineStr">
        <is>
          <t>Code-complete pending live</t>
        </is>
      </c>
      <c r="K8" s="19" t="inlineStr">
        <is>
          <t>src/ui/screens.tsx + web/TabShell.tsx + web/entry.tsx | tests/tab.test.tsx | tab surface full-stack (GAP-SD1); in-client render pending</t>
        </is>
      </c>
    </row>
    <row r="9" ht="26.25" customHeight="1" s="15">
      <c r="A9" s="19" t="inlineStr">
        <is>
          <t>ST-006</t>
        </is>
      </c>
      <c r="B9" s="19" t="inlineStr">
        <is>
          <t>F1</t>
        </is>
      </c>
      <c r="C9" s="19" t="inlineStr">
        <is>
          <t>Shift handover threads</t>
        </is>
      </c>
      <c r="D9" s="19" t="inlineStr">
        <is>
          <t>As a IT admin, I can see Shift handover threads performance metrics and trends</t>
        </is>
      </c>
      <c r="E9" s="19" t="n">
        <v>3</v>
      </c>
      <c r="F9" s="19" t="inlineStr">
        <is>
          <t>P1</t>
        </is>
      </c>
      <c r="G9" s="19" t="inlineStr">
        <is>
          <t>S3</t>
        </is>
      </c>
      <c r="H9" s="19" t="inlineStr">
        <is>
          <t>SCR-3 Handover workspace</t>
        </is>
      </c>
      <c r="I9" s="19" t="inlineStr">
        <is>
          <t>Jest 100% cov + E2E smoke</t>
        </is>
      </c>
      <c r="J9" s="23" t="inlineStr">
        <is>
          <t>Done</t>
        </is>
      </c>
      <c r="K9" s="19" t="inlineStr">
        <is>
          <t>src/handover.ts + src/moduleBase.ts | tests/features.test.ts + tests/moduleBase.test.ts | Built + covered at 100% this session</t>
        </is>
      </c>
    </row>
    <row r="10" ht="26.25" customHeight="1" s="15">
      <c r="A10" s="19" t="inlineStr">
        <is>
          <t>ST-007</t>
        </is>
      </c>
      <c r="B10" s="19" t="inlineStr">
        <is>
          <t>F1</t>
        </is>
      </c>
      <c r="C10" s="19" t="inlineStr">
        <is>
          <t>Shift handover threads</t>
        </is>
      </c>
      <c r="D10" s="19" t="inlineStr">
        <is>
          <t>As a user, Shift handover threads respects role permissions and audit logging</t>
        </is>
      </c>
      <c r="E10" s="19" t="n">
        <v>3</v>
      </c>
      <c r="F10" s="19" t="inlineStr">
        <is>
          <t>P1</t>
        </is>
      </c>
      <c r="G10" s="19" t="inlineStr">
        <is>
          <t>S3</t>
        </is>
      </c>
      <c r="H10" s="19" t="inlineStr">
        <is>
          <t>SCR-3 Handover workspace</t>
        </is>
      </c>
      <c r="I10" s="19" t="inlineStr">
        <is>
          <t>Jest 100% cov + E2E smoke</t>
        </is>
      </c>
      <c r="J10" s="23" t="inlineStr">
        <is>
          <t>Done</t>
        </is>
      </c>
      <c r="K10" s="19" t="inlineStr">
        <is>
          <t>src/handover.ts + src/moduleBase.ts | tests/features.test.ts + tests/moduleBase.test.ts | Built + covered at 100% this session</t>
        </is>
      </c>
    </row>
    <row r="11" ht="26.25" customHeight="1" s="15">
      <c r="A11" s="19" t="inlineStr">
        <is>
          <t>ST-008</t>
        </is>
      </c>
      <c r="B11" s="19" t="inlineStr">
        <is>
          <t>F1</t>
        </is>
      </c>
      <c r="C11" s="19" t="inlineStr">
        <is>
          <t>Shift handover threads</t>
        </is>
      </c>
      <c r="D11" s="19" t="inlineStr">
        <is>
          <t>As a Ops director, I can pause/disable Shift handover threads without data loss</t>
        </is>
      </c>
      <c r="E11" s="19" t="n">
        <v>2</v>
      </c>
      <c r="F11" s="19" t="inlineStr">
        <is>
          <t>P2</t>
        </is>
      </c>
      <c r="G11" s="19" t="inlineStr">
        <is>
          <t>S3</t>
        </is>
      </c>
      <c r="H11" s="19" t="inlineStr">
        <is>
          <t>SCR-3 Handover workspace</t>
        </is>
      </c>
      <c r="I11" s="19" t="inlineStr">
        <is>
          <t>Jest 100% cov + E2E smoke</t>
        </is>
      </c>
      <c r="J11" s="23" t="inlineStr">
        <is>
          <t>Done</t>
        </is>
      </c>
      <c r="K11" s="19" t="inlineStr">
        <is>
          <t>src/handover.ts + src/moduleBase.ts | tests/features.test.ts + tests/moduleBase.test.ts | Built + covered at 100% this session</t>
        </is>
      </c>
    </row>
    <row r="12" ht="26.25" customHeight="1" s="15">
      <c r="A12" s="19" t="inlineStr">
        <is>
          <t>ST-009</t>
        </is>
      </c>
      <c r="B12" s="19" t="inlineStr">
        <is>
          <t>F1</t>
        </is>
      </c>
      <c r="C12" s="19" t="inlineStr">
        <is>
          <t>Shift handover threads</t>
        </is>
      </c>
      <c r="D12" s="19" t="inlineStr">
        <is>
          <t>As a IT admin, I can import/migrate existing data into Shift handover threads (CSV + competitor importer)</t>
        </is>
      </c>
      <c r="E12" s="19" t="n">
        <v>5</v>
      </c>
      <c r="F12" s="19" t="inlineStr">
        <is>
          <t>P1</t>
        </is>
      </c>
      <c r="G12" s="19" t="inlineStr">
        <is>
          <t>S3</t>
        </is>
      </c>
      <c r="H12" s="19" t="inlineStr">
        <is>
          <t>SCR-3 Handover workspace</t>
        </is>
      </c>
      <c r="I12" s="19" t="inlineStr">
        <is>
          <t>Jest 100% cov + E2E smoke</t>
        </is>
      </c>
      <c r="J12" s="23" t="inlineStr">
        <is>
          <t>Done</t>
        </is>
      </c>
      <c r="K12" s="19" t="inlineStr">
        <is>
          <t>src/handover.ts + src/moduleBase.ts | tests/features.test.ts + tests/moduleBase.test.ts | Built + covered at 100% this session</t>
        </is>
      </c>
    </row>
    <row r="13" ht="26.25" customHeight="1" s="15">
      <c r="A13" s="19" t="inlineStr">
        <is>
          <t>ST-010</t>
        </is>
      </c>
      <c r="B13" s="19" t="inlineStr">
        <is>
          <t>F1</t>
        </is>
      </c>
      <c r="C13" s="19" t="inlineStr">
        <is>
          <t>Shift handover threads</t>
        </is>
      </c>
      <c r="D13" s="19" t="inlineStr">
        <is>
          <t>As a user, I get notifications (in-app + email) for key Shift handover threads events with per-type mute</t>
        </is>
      </c>
      <c r="E13" s="19" t="n">
        <v>3</v>
      </c>
      <c r="F13" s="19" t="inlineStr">
        <is>
          <t>P2</t>
        </is>
      </c>
      <c r="G13" s="19" t="inlineStr">
        <is>
          <t>S3</t>
        </is>
      </c>
      <c r="H13" s="19" t="inlineStr">
        <is>
          <t>SCR-3 Handover workspace</t>
        </is>
      </c>
      <c r="I13" s="19" t="inlineStr">
        <is>
          <t>Jest 100% cov + E2E smoke</t>
        </is>
      </c>
      <c r="J13" s="23" t="inlineStr">
        <is>
          <t>Done</t>
        </is>
      </c>
      <c r="K13" s="19" t="inlineStr">
        <is>
          <t>src/handover.ts + src/moduleBase.ts | tests/features.test.ts + tests/moduleBase.test.ts | Built + covered at 100% this session</t>
        </is>
      </c>
    </row>
    <row r="14" ht="26.25" customHeight="1" s="15">
      <c r="A14" s="19" t="inlineStr">
        <is>
          <t>ST-011</t>
        </is>
      </c>
      <c r="B14" s="19" t="inlineStr">
        <is>
          <t>F2</t>
        </is>
      </c>
      <c r="C14" s="19" t="inlineStr">
        <is>
          <t>Approval workflows</t>
        </is>
      </c>
      <c r="D14" s="19" t="inlineStr">
        <is>
          <t>As a Ops director, I can set up Approval workflows with sensible defaults in one screen</t>
        </is>
      </c>
      <c r="E14" s="19" t="n">
        <v>5</v>
      </c>
      <c r="F14" s="19" t="inlineStr">
        <is>
          <t>P0</t>
        </is>
      </c>
      <c r="G14" s="19" t="inlineStr">
        <is>
          <t>S3</t>
        </is>
      </c>
      <c r="H14" s="19" t="inlineStr">
        <is>
          <t>SCR-4 Approval builder</t>
        </is>
      </c>
      <c r="I14" s="19" t="inlineStr">
        <is>
          <t>Jest 100% cov + E2E smoke</t>
        </is>
      </c>
      <c r="J14" s="23" t="inlineStr">
        <is>
          <t>Done</t>
        </is>
      </c>
      <c r="K14" s="19" t="inlineStr">
        <is>
          <t>src/approvals.ts + src/moduleBase.ts | tests/features.test.ts + tests/moduleBase.test.ts | Built + covered at 100% this session</t>
        </is>
      </c>
    </row>
    <row r="15" ht="26.25" customHeight="1" s="15">
      <c r="A15" s="19" t="inlineStr">
        <is>
          <t>ST-012</t>
        </is>
      </c>
      <c r="B15" s="19" t="inlineStr">
        <is>
          <t>F2</t>
        </is>
      </c>
      <c r="C15" s="19" t="inlineStr">
        <is>
          <t>Approval workflows</t>
        </is>
      </c>
      <c r="D15" s="19" t="inlineStr">
        <is>
          <t>As a Ops director, the Approval workflows happy path completes without documentation</t>
        </is>
      </c>
      <c r="E15" s="19" t="n">
        <v>8</v>
      </c>
      <c r="F15" s="19" t="inlineStr">
        <is>
          <t>P0</t>
        </is>
      </c>
      <c r="G15" s="19" t="inlineStr">
        <is>
          <t>S3</t>
        </is>
      </c>
      <c r="H15" s="19" t="inlineStr">
        <is>
          <t>SCR-4 Approval builder</t>
        </is>
      </c>
      <c r="I15" s="19" t="inlineStr">
        <is>
          <t>Jest 100% cov + E2E smoke</t>
        </is>
      </c>
      <c r="J15" s="23" t="inlineStr">
        <is>
          <t>Done</t>
        </is>
      </c>
      <c r="K15" s="19" t="inlineStr">
        <is>
          <t>src/approvals.ts + src/moduleBase.ts | tests/features.test.ts + tests/moduleBase.test.ts | Built + covered at 100% this session</t>
        </is>
      </c>
    </row>
    <row r="16" ht="26.25" customHeight="1" s="15">
      <c r="A16" s="19" t="inlineStr">
        <is>
          <t>ST-013</t>
        </is>
      </c>
      <c r="B16" s="19" t="inlineStr">
        <is>
          <t>F2</t>
        </is>
      </c>
      <c r="C16" s="19" t="inlineStr">
        <is>
          <t>Approval workflows</t>
        </is>
      </c>
      <c r="D16" s="19" t="inlineStr">
        <is>
          <t>As a IT admin, I can customise Approval workflows rules/conditions for my workflow</t>
        </is>
      </c>
      <c r="E16" s="19" t="n">
        <v>5</v>
      </c>
      <c r="F16" s="19" t="inlineStr">
        <is>
          <t>P1</t>
        </is>
      </c>
      <c r="G16" s="19" t="inlineStr">
        <is>
          <t>S3</t>
        </is>
      </c>
      <c r="H16" s="19" t="inlineStr">
        <is>
          <t>SCR-4 Approval builder</t>
        </is>
      </c>
      <c r="I16" s="19" t="inlineStr">
        <is>
          <t>Jest 100% cov + E2E smoke</t>
        </is>
      </c>
      <c r="J16" s="23" t="inlineStr">
        <is>
          <t>Done</t>
        </is>
      </c>
      <c r="K16" s="19" t="inlineStr">
        <is>
          <t>src/approvals.ts + src/moduleBase.ts | tests/features.test.ts + tests/moduleBase.test.ts | Built + covered at 100% this session</t>
        </is>
      </c>
    </row>
    <row r="17" ht="26.25" customHeight="1" s="15">
      <c r="A17" s="19" t="inlineStr">
        <is>
          <t>ST-014</t>
        </is>
      </c>
      <c r="B17" s="19" t="inlineStr">
        <is>
          <t>F2</t>
        </is>
      </c>
      <c r="C17" s="19" t="inlineStr">
        <is>
          <t>Approval workflows</t>
        </is>
      </c>
      <c r="D17" s="19" t="inlineStr">
        <is>
          <t>As a user, Approval workflows shows clear errors and retry paths on platform API failures</t>
        </is>
      </c>
      <c r="E17" s="19" t="n">
        <v>3</v>
      </c>
      <c r="F17" s="19" t="inlineStr">
        <is>
          <t>P0</t>
        </is>
      </c>
      <c r="G17" s="19" t="inlineStr">
        <is>
          <t>S3</t>
        </is>
      </c>
      <c r="H17" s="19" t="inlineStr">
        <is>
          <t>SCR-4 Approval builder</t>
        </is>
      </c>
      <c r="I17" s="19" t="inlineStr">
        <is>
          <t>Jest 100% cov + E2E smoke</t>
        </is>
      </c>
      <c r="J17" s="23" t="inlineStr">
        <is>
          <t>Done</t>
        </is>
      </c>
      <c r="K17" s="19" t="inlineStr">
        <is>
          <t>src/approvals.ts + src/moduleBase.ts | tests/features.test.ts + tests/moduleBase.test.ts | Built + covered at 100% this session</t>
        </is>
      </c>
    </row>
    <row r="18" ht="39" customHeight="1" s="15">
      <c r="A18" s="19" t="inlineStr">
        <is>
          <t>ST-015</t>
        </is>
      </c>
      <c r="B18" s="19" t="inlineStr">
        <is>
          <t>F2</t>
        </is>
      </c>
      <c r="C18" s="19" t="inlineStr">
        <is>
          <t>Approval workflows</t>
        </is>
      </c>
      <c r="D18" s="19" t="inlineStr">
        <is>
          <t>As a Frontline supervisor, Approval workflows works on the Teams tab + bot surface end-to-end</t>
        </is>
      </c>
      <c r="E18" s="19" t="n">
        <v>5</v>
      </c>
      <c r="F18" s="19" t="inlineStr">
        <is>
          <t>P0</t>
        </is>
      </c>
      <c r="G18" s="19" t="inlineStr">
        <is>
          <t>S4</t>
        </is>
      </c>
      <c r="H18" s="19" t="inlineStr">
        <is>
          <t>SCR-4 Approval builder</t>
        </is>
      </c>
      <c r="I18" s="19" t="inlineStr">
        <is>
          <t>Tests pass; live verification pending</t>
        </is>
      </c>
      <c r="J18" s="24" t="inlineStr">
        <is>
          <t>Code-complete pending live</t>
        </is>
      </c>
      <c r="K18" s="19" t="inlineStr">
        <is>
          <t>src/ui/screens.tsx + web/TabShell.tsx + web/entry.tsx | tests/tab.test.tsx | tab surface full-stack (GAP-SD1); in-client render pending</t>
        </is>
      </c>
    </row>
    <row r="19" ht="26.25" customHeight="1" s="15">
      <c r="A19" s="19" t="inlineStr">
        <is>
          <t>ST-016</t>
        </is>
      </c>
      <c r="B19" s="19" t="inlineStr">
        <is>
          <t>F2</t>
        </is>
      </c>
      <c r="C19" s="19" t="inlineStr">
        <is>
          <t>Approval workflows</t>
        </is>
      </c>
      <c r="D19" s="19" t="inlineStr">
        <is>
          <t>As a IT admin, I can see Approval workflows performance metrics and trends</t>
        </is>
      </c>
      <c r="E19" s="19" t="n">
        <v>3</v>
      </c>
      <c r="F19" s="19" t="inlineStr">
        <is>
          <t>P1</t>
        </is>
      </c>
      <c r="G19" s="19" t="inlineStr">
        <is>
          <t>S4</t>
        </is>
      </c>
      <c r="H19" s="19" t="inlineStr">
        <is>
          <t>SCR-4 Approval builder</t>
        </is>
      </c>
      <c r="I19" s="19" t="inlineStr">
        <is>
          <t>Jest 100% cov + E2E smoke</t>
        </is>
      </c>
      <c r="J19" s="23" t="inlineStr">
        <is>
          <t>Done</t>
        </is>
      </c>
      <c r="K19" s="19" t="inlineStr">
        <is>
          <t>src/approvals.ts + src/moduleBase.ts | tests/features.test.ts + tests/moduleBase.test.ts | Built + covered at 100% this session</t>
        </is>
      </c>
    </row>
    <row r="20" ht="26.25" customHeight="1" s="15">
      <c r="A20" s="19" t="inlineStr">
        <is>
          <t>ST-017</t>
        </is>
      </c>
      <c r="B20" s="19" t="inlineStr">
        <is>
          <t>F2</t>
        </is>
      </c>
      <c r="C20" s="19" t="inlineStr">
        <is>
          <t>Approval workflows</t>
        </is>
      </c>
      <c r="D20" s="19" t="inlineStr">
        <is>
          <t>As a user, Approval workflows respects role permissions and audit logging</t>
        </is>
      </c>
      <c r="E20" s="19" t="n">
        <v>3</v>
      </c>
      <c r="F20" s="19" t="inlineStr">
        <is>
          <t>P1</t>
        </is>
      </c>
      <c r="G20" s="19" t="inlineStr">
        <is>
          <t>S4</t>
        </is>
      </c>
      <c r="H20" s="19" t="inlineStr">
        <is>
          <t>SCR-4 Approval builder</t>
        </is>
      </c>
      <c r="I20" s="19" t="inlineStr">
        <is>
          <t>Jest 100% cov + E2E smoke</t>
        </is>
      </c>
      <c r="J20" s="23" t="inlineStr">
        <is>
          <t>Done</t>
        </is>
      </c>
      <c r="K20" s="19" t="inlineStr">
        <is>
          <t>src/approvals.ts + src/moduleBase.ts | tests/features.test.ts + tests/moduleBase.test.ts | Built + covered at 100% this session</t>
        </is>
      </c>
    </row>
    <row r="21" ht="26.25" customHeight="1" s="15">
      <c r="A21" s="19" t="inlineStr">
        <is>
          <t>ST-018</t>
        </is>
      </c>
      <c r="B21" s="19" t="inlineStr">
        <is>
          <t>F2</t>
        </is>
      </c>
      <c r="C21" s="19" t="inlineStr">
        <is>
          <t>Approval workflows</t>
        </is>
      </c>
      <c r="D21" s="19" t="inlineStr">
        <is>
          <t>As a Ops director, I can pause/disable Approval workflows without data loss</t>
        </is>
      </c>
      <c r="E21" s="19" t="n">
        <v>2</v>
      </c>
      <c r="F21" s="19" t="inlineStr">
        <is>
          <t>P2</t>
        </is>
      </c>
      <c r="G21" s="19" t="inlineStr">
        <is>
          <t>S4</t>
        </is>
      </c>
      <c r="H21" s="19" t="inlineStr">
        <is>
          <t>SCR-4 Approval builder</t>
        </is>
      </c>
      <c r="I21" s="19" t="inlineStr">
        <is>
          <t>Jest 100% cov + E2E smoke</t>
        </is>
      </c>
      <c r="J21" s="23" t="inlineStr">
        <is>
          <t>Done</t>
        </is>
      </c>
      <c r="K21" s="19" t="inlineStr">
        <is>
          <t>src/approvals.ts + src/moduleBase.ts | tests/features.test.ts + tests/moduleBase.test.ts | Built + covered at 100% this session</t>
        </is>
      </c>
    </row>
    <row r="22" ht="26.25" customHeight="1" s="15">
      <c r="A22" s="19" t="inlineStr">
        <is>
          <t>ST-019</t>
        </is>
      </c>
      <c r="B22" s="19" t="inlineStr">
        <is>
          <t>F2</t>
        </is>
      </c>
      <c r="C22" s="19" t="inlineStr">
        <is>
          <t>Approval workflows</t>
        </is>
      </c>
      <c r="D22" s="19" t="inlineStr">
        <is>
          <t>As a IT admin, I can import/migrate existing data into Approval workflows (CSV + competitor importer)</t>
        </is>
      </c>
      <c r="E22" s="19" t="n">
        <v>5</v>
      </c>
      <c r="F22" s="19" t="inlineStr">
        <is>
          <t>P1</t>
        </is>
      </c>
      <c r="G22" s="19" t="inlineStr">
        <is>
          <t>S4</t>
        </is>
      </c>
      <c r="H22" s="19" t="inlineStr">
        <is>
          <t>SCR-4 Approval builder</t>
        </is>
      </c>
      <c r="I22" s="19" t="inlineStr">
        <is>
          <t>Jest 100% cov + E2E smoke</t>
        </is>
      </c>
      <c r="J22" s="23" t="inlineStr">
        <is>
          <t>Done</t>
        </is>
      </c>
      <c r="K22" s="19" t="inlineStr">
        <is>
          <t>src/approvals.ts + src/moduleBase.ts | tests/features.test.ts + tests/moduleBase.test.ts | Built + covered at 100% this session</t>
        </is>
      </c>
    </row>
    <row r="23" ht="26.25" customHeight="1" s="15">
      <c r="A23" s="19" t="inlineStr">
        <is>
          <t>ST-020</t>
        </is>
      </c>
      <c r="B23" s="19" t="inlineStr">
        <is>
          <t>F2</t>
        </is>
      </c>
      <c r="C23" s="19" t="inlineStr">
        <is>
          <t>Approval workflows</t>
        </is>
      </c>
      <c r="D23" s="19" t="inlineStr">
        <is>
          <t>As a user, I get notifications (in-app + email) for key Approval workflows events with per-type mute</t>
        </is>
      </c>
      <c r="E23" s="19" t="n">
        <v>3</v>
      </c>
      <c r="F23" s="19" t="inlineStr">
        <is>
          <t>P2</t>
        </is>
      </c>
      <c r="G23" s="19" t="inlineStr">
        <is>
          <t>S4</t>
        </is>
      </c>
      <c r="H23" s="19" t="inlineStr">
        <is>
          <t>SCR-4 Approval builder</t>
        </is>
      </c>
      <c r="I23" s="19" t="inlineStr">
        <is>
          <t>Jest 100% cov + E2E smoke</t>
        </is>
      </c>
      <c r="J23" s="23" t="inlineStr">
        <is>
          <t>Done</t>
        </is>
      </c>
      <c r="K23" s="19" t="inlineStr">
        <is>
          <t>src/approvals.ts + src/moduleBase.ts | tests/features.test.ts + tests/moduleBase.test.ts | Built + covered at 100% this session</t>
        </is>
      </c>
    </row>
    <row r="24" ht="26.25" customHeight="1" s="15">
      <c r="A24" s="19" t="inlineStr">
        <is>
          <t>ST-021</t>
        </is>
      </c>
      <c r="B24" s="19" t="inlineStr">
        <is>
          <t>F3</t>
        </is>
      </c>
      <c r="C24" s="19" t="inlineStr">
        <is>
          <t>Digital checklists</t>
        </is>
      </c>
      <c r="D24" s="19" t="inlineStr">
        <is>
          <t>As a Ops director, I can set up Digital checklists with sensible defaults in one screen</t>
        </is>
      </c>
      <c r="E24" s="19" t="n">
        <v>5</v>
      </c>
      <c r="F24" s="19" t="inlineStr">
        <is>
          <t>P0</t>
        </is>
      </c>
      <c r="G24" s="19" t="inlineStr">
        <is>
          <t>S5</t>
        </is>
      </c>
      <c r="H24" s="19" t="inlineStr">
        <is>
          <t>SCR-5 Checklists</t>
        </is>
      </c>
      <c r="I24" s="19" t="inlineStr">
        <is>
          <t>Jest 100% cov + E2E smoke</t>
        </is>
      </c>
      <c r="J24" s="23" t="inlineStr">
        <is>
          <t>Done</t>
        </is>
      </c>
      <c r="K24" s="19" t="inlineStr">
        <is>
          <t>src/checklists.ts + src/moduleBase.ts | tests/features.test.ts + tests/moduleBase.test.ts | Built + covered at 100% this session</t>
        </is>
      </c>
    </row>
    <row r="25" ht="26.25" customHeight="1" s="15">
      <c r="A25" s="19" t="inlineStr">
        <is>
          <t>ST-022</t>
        </is>
      </c>
      <c r="B25" s="19" t="inlineStr">
        <is>
          <t>F3</t>
        </is>
      </c>
      <c r="C25" s="19" t="inlineStr">
        <is>
          <t>Digital checklists</t>
        </is>
      </c>
      <c r="D25" s="19" t="inlineStr">
        <is>
          <t>As a Ops director, the Digital checklists happy path completes without documentation</t>
        </is>
      </c>
      <c r="E25" s="19" t="n">
        <v>8</v>
      </c>
      <c r="F25" s="19" t="inlineStr">
        <is>
          <t>P0</t>
        </is>
      </c>
      <c r="G25" s="19" t="inlineStr">
        <is>
          <t>S5</t>
        </is>
      </c>
      <c r="H25" s="19" t="inlineStr">
        <is>
          <t>SCR-5 Checklists</t>
        </is>
      </c>
      <c r="I25" s="19" t="inlineStr">
        <is>
          <t>Jest 100% cov + E2E smoke</t>
        </is>
      </c>
      <c r="J25" s="23" t="inlineStr">
        <is>
          <t>Done</t>
        </is>
      </c>
      <c r="K25" s="19" t="inlineStr">
        <is>
          <t>src/checklists.ts + src/moduleBase.ts | tests/features.test.ts + tests/moduleBase.test.ts | Built + covered at 100% this session</t>
        </is>
      </c>
    </row>
    <row r="26" ht="26.25" customHeight="1" s="15">
      <c r="A26" s="19" t="inlineStr">
        <is>
          <t>ST-023</t>
        </is>
      </c>
      <c r="B26" s="19" t="inlineStr">
        <is>
          <t>F3</t>
        </is>
      </c>
      <c r="C26" s="19" t="inlineStr">
        <is>
          <t>Digital checklists</t>
        </is>
      </c>
      <c r="D26" s="19" t="inlineStr">
        <is>
          <t>As a IT admin, I can customise Digital checklists rules/conditions for my workflow</t>
        </is>
      </c>
      <c r="E26" s="19" t="n">
        <v>5</v>
      </c>
      <c r="F26" s="19" t="inlineStr">
        <is>
          <t>P1</t>
        </is>
      </c>
      <c r="G26" s="19" t="inlineStr">
        <is>
          <t>S5</t>
        </is>
      </c>
      <c r="H26" s="19" t="inlineStr">
        <is>
          <t>SCR-5 Checklists</t>
        </is>
      </c>
      <c r="I26" s="19" t="inlineStr">
        <is>
          <t>Jest 100% cov + E2E smoke</t>
        </is>
      </c>
      <c r="J26" s="23" t="inlineStr">
        <is>
          <t>Done</t>
        </is>
      </c>
      <c r="K26" s="19" t="inlineStr">
        <is>
          <t>src/checklists.ts + src/moduleBase.ts | tests/features.test.ts + tests/moduleBase.test.ts | Built + covered at 100% this session</t>
        </is>
      </c>
    </row>
    <row r="27" ht="26.25" customHeight="1" s="15">
      <c r="A27" s="19" t="inlineStr">
        <is>
          <t>ST-024</t>
        </is>
      </c>
      <c r="B27" s="19" t="inlineStr">
        <is>
          <t>F3</t>
        </is>
      </c>
      <c r="C27" s="19" t="inlineStr">
        <is>
          <t>Digital checklists</t>
        </is>
      </c>
      <c r="D27" s="19" t="inlineStr">
        <is>
          <t>As a user, Digital checklists shows clear errors and retry paths on platform API failures</t>
        </is>
      </c>
      <c r="E27" s="19" t="n">
        <v>3</v>
      </c>
      <c r="F27" s="19" t="inlineStr">
        <is>
          <t>P0</t>
        </is>
      </c>
      <c r="G27" s="19" t="inlineStr">
        <is>
          <t>S5</t>
        </is>
      </c>
      <c r="H27" s="19" t="inlineStr">
        <is>
          <t>SCR-5 Checklists</t>
        </is>
      </c>
      <c r="I27" s="19" t="inlineStr">
        <is>
          <t>Jest 100% cov + E2E smoke</t>
        </is>
      </c>
      <c r="J27" s="23" t="inlineStr">
        <is>
          <t>Done</t>
        </is>
      </c>
      <c r="K27" s="19" t="inlineStr">
        <is>
          <t>src/checklists.ts + src/moduleBase.ts | tests/features.test.ts + tests/moduleBase.test.ts | Built + covered at 100% this session</t>
        </is>
      </c>
    </row>
    <row r="28" ht="39" customHeight="1" s="15">
      <c r="A28" s="19" t="inlineStr">
        <is>
          <t>ST-025</t>
        </is>
      </c>
      <c r="B28" s="19" t="inlineStr">
        <is>
          <t>F3</t>
        </is>
      </c>
      <c r="C28" s="19" t="inlineStr">
        <is>
          <t>Digital checklists</t>
        </is>
      </c>
      <c r="D28" s="19" t="inlineStr">
        <is>
          <t>As a Frontline supervisor, Digital checklists works on the Teams tab + bot surface end-to-end</t>
        </is>
      </c>
      <c r="E28" s="19" t="n">
        <v>5</v>
      </c>
      <c r="F28" s="19" t="inlineStr">
        <is>
          <t>P0</t>
        </is>
      </c>
      <c r="G28" s="19" t="inlineStr">
        <is>
          <t>S5</t>
        </is>
      </c>
      <c r="H28" s="19" t="inlineStr">
        <is>
          <t>SCR-5 Checklists</t>
        </is>
      </c>
      <c r="I28" s="19" t="inlineStr">
        <is>
          <t>Tests pass; live verification pending</t>
        </is>
      </c>
      <c r="J28" s="24" t="inlineStr">
        <is>
          <t>Code-complete pending live</t>
        </is>
      </c>
      <c r="K28" s="19" t="inlineStr">
        <is>
          <t>src/ui/screens.tsx + web/TabShell.tsx + web/entry.tsx | tests/tab.test.tsx | tab surface full-stack (GAP-SD1); in-client render pending</t>
        </is>
      </c>
    </row>
    <row r="29" ht="26.25" customHeight="1" s="15">
      <c r="A29" s="19" t="inlineStr">
        <is>
          <t>ST-026</t>
        </is>
      </c>
      <c r="B29" s="19" t="inlineStr">
        <is>
          <t>F3</t>
        </is>
      </c>
      <c r="C29" s="19" t="inlineStr">
        <is>
          <t>Digital checklists</t>
        </is>
      </c>
      <c r="D29" s="19" t="inlineStr">
        <is>
          <t>As a IT admin, I can see Digital checklists performance metrics and trends</t>
        </is>
      </c>
      <c r="E29" s="19" t="n">
        <v>3</v>
      </c>
      <c r="F29" s="19" t="inlineStr">
        <is>
          <t>P1</t>
        </is>
      </c>
      <c r="G29" s="19" t="inlineStr">
        <is>
          <t>S5</t>
        </is>
      </c>
      <c r="H29" s="19" t="inlineStr">
        <is>
          <t>SCR-5 Checklists</t>
        </is>
      </c>
      <c r="I29" s="19" t="inlineStr">
        <is>
          <t>Jest 100% cov + E2E smoke</t>
        </is>
      </c>
      <c r="J29" s="23" t="inlineStr">
        <is>
          <t>Done</t>
        </is>
      </c>
      <c r="K29" s="19" t="inlineStr">
        <is>
          <t>src/checklists.ts + src/moduleBase.ts | tests/features.test.ts + tests/moduleBase.test.ts | Built + covered at 100% this session</t>
        </is>
      </c>
    </row>
    <row r="30" ht="26.25" customHeight="1" s="15">
      <c r="A30" s="19" t="inlineStr">
        <is>
          <t>ST-027</t>
        </is>
      </c>
      <c r="B30" s="19" t="inlineStr">
        <is>
          <t>F3</t>
        </is>
      </c>
      <c r="C30" s="19" t="inlineStr">
        <is>
          <t>Digital checklists</t>
        </is>
      </c>
      <c r="D30" s="19" t="inlineStr">
        <is>
          <t>As a user, Digital checklists respects role permissions and audit logging</t>
        </is>
      </c>
      <c r="E30" s="19" t="n">
        <v>3</v>
      </c>
      <c r="F30" s="19" t="inlineStr">
        <is>
          <t>P1</t>
        </is>
      </c>
      <c r="G30" s="19" t="inlineStr">
        <is>
          <t>S5</t>
        </is>
      </c>
      <c r="H30" s="19" t="inlineStr">
        <is>
          <t>SCR-5 Checklists</t>
        </is>
      </c>
      <c r="I30" s="19" t="inlineStr">
        <is>
          <t>Jest 100% cov + E2E smoke</t>
        </is>
      </c>
      <c r="J30" s="23" t="inlineStr">
        <is>
          <t>Done</t>
        </is>
      </c>
      <c r="K30" s="19" t="inlineStr">
        <is>
          <t>src/checklists.ts + src/moduleBase.ts | tests/features.test.ts + tests/moduleBase.test.ts | Built + covered at 100% this session</t>
        </is>
      </c>
    </row>
    <row r="31" ht="26.25" customHeight="1" s="15">
      <c r="A31" s="19" t="inlineStr">
        <is>
          <t>ST-028</t>
        </is>
      </c>
      <c r="B31" s="19" t="inlineStr">
        <is>
          <t>F3</t>
        </is>
      </c>
      <c r="C31" s="19" t="inlineStr">
        <is>
          <t>Digital checklists</t>
        </is>
      </c>
      <c r="D31" s="19" t="inlineStr">
        <is>
          <t>As a Ops director, I can pause/disable Digital checklists without data loss</t>
        </is>
      </c>
      <c r="E31" s="19" t="n">
        <v>2</v>
      </c>
      <c r="F31" s="19" t="inlineStr">
        <is>
          <t>P2</t>
        </is>
      </c>
      <c r="G31" s="19" t="inlineStr">
        <is>
          <t>S5</t>
        </is>
      </c>
      <c r="H31" s="19" t="inlineStr">
        <is>
          <t>SCR-5 Checklists</t>
        </is>
      </c>
      <c r="I31" s="19" t="inlineStr">
        <is>
          <t>Jest 100% cov + E2E smoke</t>
        </is>
      </c>
      <c r="J31" s="23" t="inlineStr">
        <is>
          <t>Done</t>
        </is>
      </c>
      <c r="K31" s="19" t="inlineStr">
        <is>
          <t>src/checklists.ts + src/moduleBase.ts | tests/features.test.ts + tests/moduleBase.test.ts | Built + covered at 100% this session</t>
        </is>
      </c>
    </row>
    <row r="32" ht="26.25" customHeight="1" s="15">
      <c r="A32" s="19" t="inlineStr">
        <is>
          <t>ST-029</t>
        </is>
      </c>
      <c r="B32" s="19" t="inlineStr">
        <is>
          <t>F3</t>
        </is>
      </c>
      <c r="C32" s="19" t="inlineStr">
        <is>
          <t>Digital checklists</t>
        </is>
      </c>
      <c r="D32" s="19" t="inlineStr">
        <is>
          <t>As a IT admin, I can import/migrate existing data into Digital checklists (CSV + competitor importer)</t>
        </is>
      </c>
      <c r="E32" s="19" t="n">
        <v>5</v>
      </c>
      <c r="F32" s="19" t="inlineStr">
        <is>
          <t>P1</t>
        </is>
      </c>
      <c r="G32" s="19" t="inlineStr">
        <is>
          <t>S5</t>
        </is>
      </c>
      <c r="H32" s="19" t="inlineStr">
        <is>
          <t>SCR-5 Checklists</t>
        </is>
      </c>
      <c r="I32" s="19" t="inlineStr">
        <is>
          <t>Jest 100% cov + E2E smoke</t>
        </is>
      </c>
      <c r="J32" s="23" t="inlineStr">
        <is>
          <t>Done</t>
        </is>
      </c>
      <c r="K32" s="19" t="inlineStr">
        <is>
          <t>src/checklists.ts + src/moduleBase.ts | tests/features.test.ts + tests/moduleBase.test.ts | Built + covered at 100% this session</t>
        </is>
      </c>
    </row>
    <row r="33" ht="26.25" customHeight="1" s="15">
      <c r="A33" s="19" t="inlineStr">
        <is>
          <t>ST-030</t>
        </is>
      </c>
      <c r="B33" s="19" t="inlineStr">
        <is>
          <t>F3</t>
        </is>
      </c>
      <c r="C33" s="19" t="inlineStr">
        <is>
          <t>Digital checklists</t>
        </is>
      </c>
      <c r="D33" s="19" t="inlineStr">
        <is>
          <t>As a user, I get notifications (in-app + email) for key Digital checklists events with per-type mute</t>
        </is>
      </c>
      <c r="E33" s="19" t="n">
        <v>3</v>
      </c>
      <c r="F33" s="19" t="inlineStr">
        <is>
          <t>P2</t>
        </is>
      </c>
      <c r="G33" s="19" t="inlineStr">
        <is>
          <t>S5</t>
        </is>
      </c>
      <c r="H33" s="19" t="inlineStr">
        <is>
          <t>SCR-5 Checklists</t>
        </is>
      </c>
      <c r="I33" s="19" t="inlineStr">
        <is>
          <t>Jest 100% cov + E2E smoke</t>
        </is>
      </c>
      <c r="J33" s="23" t="inlineStr">
        <is>
          <t>Done</t>
        </is>
      </c>
      <c r="K33" s="19" t="inlineStr">
        <is>
          <t>src/checklists.ts + src/moduleBase.ts | tests/features.test.ts + tests/moduleBase.test.ts | Built + covered at 100% this session</t>
        </is>
      </c>
    </row>
    <row r="34" ht="26.25" customHeight="1" s="15">
      <c r="A34" s="19" t="inlineStr">
        <is>
          <t>ST-031</t>
        </is>
      </c>
      <c r="B34" s="19" t="inlineStr">
        <is>
          <t>F4</t>
        </is>
      </c>
      <c r="C34" s="19" t="inlineStr">
        <is>
          <t>Kudos/recognition</t>
        </is>
      </c>
      <c r="D34" s="19" t="inlineStr">
        <is>
          <t>As a Ops director, I can set up Kudos/recognition with sensible defaults in one screen</t>
        </is>
      </c>
      <c r="E34" s="19" t="n">
        <v>5</v>
      </c>
      <c r="F34" s="19" t="inlineStr">
        <is>
          <t>P0</t>
        </is>
      </c>
      <c r="G34" s="19" t="inlineStr">
        <is>
          <t>S6</t>
        </is>
      </c>
      <c r="H34" s="19" t="inlineStr">
        <is>
          <t>SCR-2 Home (kudos feed)</t>
        </is>
      </c>
      <c r="I34" s="19" t="inlineStr">
        <is>
          <t>Jest 100% cov + E2E smoke</t>
        </is>
      </c>
      <c r="J34" s="23" t="inlineStr">
        <is>
          <t>Done</t>
        </is>
      </c>
      <c r="K34" s="19" t="inlineStr">
        <is>
          <t>src/kudos.ts + src/moduleBase.ts | tests/features.test.ts + tests/moduleBase.test.ts | Built + covered at 100% this session</t>
        </is>
      </c>
    </row>
    <row r="35" ht="26.25" customHeight="1" s="15">
      <c r="A35" s="19" t="inlineStr">
        <is>
          <t>ST-032</t>
        </is>
      </c>
      <c r="B35" s="19" t="inlineStr">
        <is>
          <t>F4</t>
        </is>
      </c>
      <c r="C35" s="19" t="inlineStr">
        <is>
          <t>Kudos/recognition</t>
        </is>
      </c>
      <c r="D35" s="19" t="inlineStr">
        <is>
          <t>As a Ops director, the Kudos/recognition happy path completes without documentation</t>
        </is>
      </c>
      <c r="E35" s="19" t="n">
        <v>8</v>
      </c>
      <c r="F35" s="19" t="inlineStr">
        <is>
          <t>P0</t>
        </is>
      </c>
      <c r="G35" s="19" t="inlineStr">
        <is>
          <t>S6</t>
        </is>
      </c>
      <c r="H35" s="19" t="inlineStr">
        <is>
          <t>SCR-2 Home (kudos feed)</t>
        </is>
      </c>
      <c r="I35" s="19" t="inlineStr">
        <is>
          <t>Jest 100% cov + E2E smoke</t>
        </is>
      </c>
      <c r="J35" s="23" t="inlineStr">
        <is>
          <t>Done</t>
        </is>
      </c>
      <c r="K35" s="19" t="inlineStr">
        <is>
          <t>src/kudos.ts + src/moduleBase.ts | tests/features.test.ts + tests/moduleBase.test.ts | Built + covered at 100% this session</t>
        </is>
      </c>
    </row>
    <row r="36" ht="26.25" customHeight="1" s="15">
      <c r="A36" s="19" t="inlineStr">
        <is>
          <t>ST-033</t>
        </is>
      </c>
      <c r="B36" s="19" t="inlineStr">
        <is>
          <t>F4</t>
        </is>
      </c>
      <c r="C36" s="19" t="inlineStr">
        <is>
          <t>Kudos/recognition</t>
        </is>
      </c>
      <c r="D36" s="19" t="inlineStr">
        <is>
          <t>As a IT admin, I can customise Kudos/recognition rules/conditions for my workflow</t>
        </is>
      </c>
      <c r="E36" s="19" t="n">
        <v>5</v>
      </c>
      <c r="F36" s="19" t="inlineStr">
        <is>
          <t>P1</t>
        </is>
      </c>
      <c r="G36" s="19" t="inlineStr">
        <is>
          <t>S6</t>
        </is>
      </c>
      <c r="H36" s="19" t="inlineStr">
        <is>
          <t>SCR-2 Home (kudos feed)</t>
        </is>
      </c>
      <c r="I36" s="19" t="inlineStr">
        <is>
          <t>Jest 100% cov + E2E smoke</t>
        </is>
      </c>
      <c r="J36" s="23" t="inlineStr">
        <is>
          <t>Done</t>
        </is>
      </c>
      <c r="K36" s="19" t="inlineStr">
        <is>
          <t>src/kudos.ts + src/moduleBase.ts | tests/features.test.ts + tests/moduleBase.test.ts | Built + covered at 100% this session</t>
        </is>
      </c>
    </row>
    <row r="37" ht="26.25" customHeight="1" s="15">
      <c r="A37" s="19" t="inlineStr">
        <is>
          <t>ST-034</t>
        </is>
      </c>
      <c r="B37" s="19" t="inlineStr">
        <is>
          <t>F4</t>
        </is>
      </c>
      <c r="C37" s="19" t="inlineStr">
        <is>
          <t>Kudos/recognition</t>
        </is>
      </c>
      <c r="D37" s="19" t="inlineStr">
        <is>
          <t>As a user, Kudos/recognition shows clear errors and retry paths on platform API failures</t>
        </is>
      </c>
      <c r="E37" s="19" t="n">
        <v>3</v>
      </c>
      <c r="F37" s="19" t="inlineStr">
        <is>
          <t>P0</t>
        </is>
      </c>
      <c r="G37" s="19" t="inlineStr">
        <is>
          <t>S6</t>
        </is>
      </c>
      <c r="H37" s="19" t="inlineStr">
        <is>
          <t>SCR-2 Home (kudos feed)</t>
        </is>
      </c>
      <c r="I37" s="19" t="inlineStr">
        <is>
          <t>Jest 100% cov + E2E smoke</t>
        </is>
      </c>
      <c r="J37" s="23" t="inlineStr">
        <is>
          <t>Done</t>
        </is>
      </c>
      <c r="K37" s="19" t="inlineStr">
        <is>
          <t>src/kudos.ts + src/moduleBase.ts | tests/features.test.ts + tests/moduleBase.test.ts | Built + covered at 100% this session</t>
        </is>
      </c>
    </row>
    <row r="38" ht="26.25" customHeight="1" s="15">
      <c r="A38" s="19" t="inlineStr">
        <is>
          <t>ST-035</t>
        </is>
      </c>
      <c r="B38" s="19" t="inlineStr">
        <is>
          <t>F4</t>
        </is>
      </c>
      <c r="C38" s="19" t="inlineStr">
        <is>
          <t>Kudos/recognition</t>
        </is>
      </c>
      <c r="D38" s="19" t="inlineStr">
        <is>
          <t>As a Frontline supervisor, Kudos/recognition works on the Teams tab + bot surface end-to-end</t>
        </is>
      </c>
      <c r="E38" s="19" t="n">
        <v>5</v>
      </c>
      <c r="F38" s="19" t="inlineStr">
        <is>
          <t>P0</t>
        </is>
      </c>
      <c r="G38" s="19" t="inlineStr">
        <is>
          <t>S6</t>
        </is>
      </c>
      <c r="H38" s="19" t="inlineStr">
        <is>
          <t>SCR-2 Home (kudos feed)</t>
        </is>
      </c>
      <c r="I38" s="19" t="inlineStr">
        <is>
          <t>Tests pass; live verification pending</t>
        </is>
      </c>
      <c r="J38" s="24" t="inlineStr">
        <is>
          <t>Code-complete pending live</t>
        </is>
      </c>
      <c r="K38" s="19" t="inlineStr">
        <is>
          <t>src/ui/screens.tsx + web/TabShell.tsx + web/entry.tsx | tests/tab.test.tsx | tab surface full-stack (GAP-SD1); in-client render pending</t>
        </is>
      </c>
    </row>
    <row r="39" ht="26.25" customHeight="1" s="15">
      <c r="A39" s="19" t="inlineStr">
        <is>
          <t>ST-036</t>
        </is>
      </c>
      <c r="B39" s="19" t="inlineStr">
        <is>
          <t>F4</t>
        </is>
      </c>
      <c r="C39" s="19" t="inlineStr">
        <is>
          <t>Kudos/recognition</t>
        </is>
      </c>
      <c r="D39" s="19" t="inlineStr">
        <is>
          <t>As a IT admin, I can see Kudos/recognition performance metrics and trends</t>
        </is>
      </c>
      <c r="E39" s="19" t="n">
        <v>3</v>
      </c>
      <c r="F39" s="19" t="inlineStr">
        <is>
          <t>P1</t>
        </is>
      </c>
      <c r="G39" s="19" t="inlineStr">
        <is>
          <t>S6</t>
        </is>
      </c>
      <c r="H39" s="19" t="inlineStr">
        <is>
          <t>SCR-2 Home (kudos feed)</t>
        </is>
      </c>
      <c r="I39" s="19" t="inlineStr">
        <is>
          <t>Jest 100% cov + E2E smoke</t>
        </is>
      </c>
      <c r="J39" s="23" t="inlineStr">
        <is>
          <t>Done</t>
        </is>
      </c>
      <c r="K39" s="19" t="inlineStr">
        <is>
          <t>src/kudos.ts + src/moduleBase.ts | tests/features.test.ts + tests/moduleBase.test.ts | Built + covered at 100% this session</t>
        </is>
      </c>
    </row>
    <row r="40" ht="26.25" customHeight="1" s="15">
      <c r="A40" s="19" t="inlineStr">
        <is>
          <t>ST-037</t>
        </is>
      </c>
      <c r="B40" s="19" t="inlineStr">
        <is>
          <t>F4</t>
        </is>
      </c>
      <c r="C40" s="19" t="inlineStr">
        <is>
          <t>Kudos/recognition</t>
        </is>
      </c>
      <c r="D40" s="19" t="inlineStr">
        <is>
          <t>As a user, Kudos/recognition respects role permissions and audit logging</t>
        </is>
      </c>
      <c r="E40" s="19" t="n">
        <v>3</v>
      </c>
      <c r="F40" s="19" t="inlineStr">
        <is>
          <t>P1</t>
        </is>
      </c>
      <c r="G40" s="19" t="inlineStr">
        <is>
          <t>S6</t>
        </is>
      </c>
      <c r="H40" s="19" t="inlineStr">
        <is>
          <t>SCR-2 Home (kudos feed)</t>
        </is>
      </c>
      <c r="I40" s="19" t="inlineStr">
        <is>
          <t>Jest 100% cov + E2E smoke</t>
        </is>
      </c>
      <c r="J40" s="23" t="inlineStr">
        <is>
          <t>Done</t>
        </is>
      </c>
      <c r="K40" s="19" t="inlineStr">
        <is>
          <t>src/kudos.ts + src/moduleBase.ts | tests/features.test.ts + tests/moduleBase.test.ts | Built + covered at 100% this session</t>
        </is>
      </c>
    </row>
    <row r="41" ht="26.25" customHeight="1" s="15">
      <c r="A41" s="19" t="inlineStr">
        <is>
          <t>ST-038</t>
        </is>
      </c>
      <c r="B41" s="19" t="inlineStr">
        <is>
          <t>F4</t>
        </is>
      </c>
      <c r="C41" s="19" t="inlineStr">
        <is>
          <t>Kudos/recognition</t>
        </is>
      </c>
      <c r="D41" s="19" t="inlineStr">
        <is>
          <t>As a Ops director, I can pause/disable Kudos/recognition without data loss</t>
        </is>
      </c>
      <c r="E41" s="19" t="n">
        <v>2</v>
      </c>
      <c r="F41" s="19" t="inlineStr">
        <is>
          <t>P2</t>
        </is>
      </c>
      <c r="G41" s="19" t="inlineStr">
        <is>
          <t>S6</t>
        </is>
      </c>
      <c r="H41" s="19" t="inlineStr">
        <is>
          <t>SCR-2 Home (kudos feed)</t>
        </is>
      </c>
      <c r="I41" s="19" t="inlineStr">
        <is>
          <t>Jest 100% cov + E2E smoke</t>
        </is>
      </c>
      <c r="J41" s="23" t="inlineStr">
        <is>
          <t>Done</t>
        </is>
      </c>
      <c r="K41" s="19" t="inlineStr">
        <is>
          <t>src/kudos.ts + src/moduleBase.ts | tests/features.test.ts + tests/moduleBase.test.ts | Built + covered at 100% this session</t>
        </is>
      </c>
    </row>
    <row r="42" ht="26.25" customHeight="1" s="15">
      <c r="A42" s="19" t="inlineStr">
        <is>
          <t>ST-039</t>
        </is>
      </c>
      <c r="B42" s="19" t="inlineStr">
        <is>
          <t>F4</t>
        </is>
      </c>
      <c r="C42" s="19" t="inlineStr">
        <is>
          <t>Kudos/recognition</t>
        </is>
      </c>
      <c r="D42" s="19" t="inlineStr">
        <is>
          <t>As a IT admin, I can import/migrate existing data into Kudos/recognition (CSV + competitor importer)</t>
        </is>
      </c>
      <c r="E42" s="19" t="n">
        <v>5</v>
      </c>
      <c r="F42" s="19" t="inlineStr">
        <is>
          <t>P1</t>
        </is>
      </c>
      <c r="G42" s="19" t="inlineStr">
        <is>
          <t>S6</t>
        </is>
      </c>
      <c r="H42" s="19" t="inlineStr">
        <is>
          <t>SCR-2 Home (kudos feed)</t>
        </is>
      </c>
      <c r="I42" s="19" t="inlineStr">
        <is>
          <t>Jest 100% cov + E2E smoke</t>
        </is>
      </c>
      <c r="J42" s="23" t="inlineStr">
        <is>
          <t>Done</t>
        </is>
      </c>
      <c r="K42" s="19" t="inlineStr">
        <is>
          <t>src/kudos.ts + src/moduleBase.ts | tests/features.test.ts + tests/moduleBase.test.ts | Built + covered at 100% this session</t>
        </is>
      </c>
    </row>
    <row r="43" ht="26.25" customHeight="1" s="15">
      <c r="A43" s="19" t="inlineStr">
        <is>
          <t>ST-040</t>
        </is>
      </c>
      <c r="B43" s="19" t="inlineStr">
        <is>
          <t>F4</t>
        </is>
      </c>
      <c r="C43" s="19" t="inlineStr">
        <is>
          <t>Kudos/recognition</t>
        </is>
      </c>
      <c r="D43" s="19" t="inlineStr">
        <is>
          <t>As a user, I get notifications (in-app + email) for key Kudos/recognition events with per-type mute</t>
        </is>
      </c>
      <c r="E43" s="19" t="n">
        <v>3</v>
      </c>
      <c r="F43" s="19" t="inlineStr">
        <is>
          <t>P2</t>
        </is>
      </c>
      <c r="G43" s="19" t="inlineStr">
        <is>
          <t>S6</t>
        </is>
      </c>
      <c r="H43" s="19" t="inlineStr">
        <is>
          <t>SCR-2 Home (kudos feed)</t>
        </is>
      </c>
      <c r="I43" s="19" t="inlineStr">
        <is>
          <t>Jest 100% cov + E2E smoke</t>
        </is>
      </c>
      <c r="J43" s="23" t="inlineStr">
        <is>
          <t>Done</t>
        </is>
      </c>
      <c r="K43" s="19" t="inlineStr">
        <is>
          <t>src/kudos.ts + src/moduleBase.ts | tests/features.test.ts + tests/moduleBase.test.ts | Built + covered at 100% this session</t>
        </is>
      </c>
    </row>
    <row r="44" ht="26.25" customHeight="1" s="15">
      <c r="A44" s="19" t="inlineStr">
        <is>
          <t>ST-041</t>
        </is>
      </c>
      <c r="B44" s="19" t="inlineStr">
        <is>
          <t>F5</t>
        </is>
      </c>
      <c r="C44" s="19" t="inlineStr">
        <is>
          <t>Manager dashboard</t>
        </is>
      </c>
      <c r="D44" s="19" t="inlineStr">
        <is>
          <t>As a Ops director, I can set up Manager dashboard with sensible defaults in one screen</t>
        </is>
      </c>
      <c r="E44" s="19" t="n">
        <v>5</v>
      </c>
      <c r="F44" s="19" t="inlineStr">
        <is>
          <t>P0</t>
        </is>
      </c>
      <c r="G44" s="19" t="inlineStr">
        <is>
          <t>S8</t>
        </is>
      </c>
      <c r="H44" s="19" t="inlineStr">
        <is>
          <t>SCR-2 Home + SCR-8 Analytics</t>
        </is>
      </c>
      <c r="I44" s="19" t="inlineStr">
        <is>
          <t>Jest unit/integration 100% cov</t>
        </is>
      </c>
      <c r="J44" s="23" t="inlineStr">
        <is>
          <t>Done</t>
        </is>
      </c>
      <c r="K44" s="19" t="inlineStr">
        <is>
          <t>src/dashboardManager.ts | tests/dashboard.test.ts | Built + covered at 100% this session</t>
        </is>
      </c>
    </row>
    <row r="45" ht="26.25" customHeight="1" s="15">
      <c r="A45" s="19" t="inlineStr">
        <is>
          <t>ST-042</t>
        </is>
      </c>
      <c r="B45" s="19" t="inlineStr">
        <is>
          <t>F5</t>
        </is>
      </c>
      <c r="C45" s="19" t="inlineStr">
        <is>
          <t>Manager dashboard</t>
        </is>
      </c>
      <c r="D45" s="19" t="inlineStr">
        <is>
          <t>As a Ops director, the Manager dashboard happy path completes without documentation</t>
        </is>
      </c>
      <c r="E45" s="19" t="n">
        <v>8</v>
      </c>
      <c r="F45" s="19" t="inlineStr">
        <is>
          <t>P0</t>
        </is>
      </c>
      <c r="G45" s="19" t="inlineStr">
        <is>
          <t>S8</t>
        </is>
      </c>
      <c r="H45" s="19" t="inlineStr">
        <is>
          <t>SCR-2 Home + SCR-8 Analytics</t>
        </is>
      </c>
      <c r="I45" s="19" t="inlineStr">
        <is>
          <t>Jest unit/integration 100% cov</t>
        </is>
      </c>
      <c r="J45" s="23" t="inlineStr">
        <is>
          <t>Done</t>
        </is>
      </c>
      <c r="K45" s="19" t="inlineStr">
        <is>
          <t>src/dashboardManager.ts | tests/dashboard.test.ts | Built + covered at 100% this session</t>
        </is>
      </c>
    </row>
    <row r="46" ht="26.25" customHeight="1" s="15">
      <c r="A46" s="19" t="inlineStr">
        <is>
          <t>ST-043</t>
        </is>
      </c>
      <c r="B46" s="19" t="inlineStr">
        <is>
          <t>F5</t>
        </is>
      </c>
      <c r="C46" s="19" t="inlineStr">
        <is>
          <t>Manager dashboard</t>
        </is>
      </c>
      <c r="D46" s="19" t="inlineStr">
        <is>
          <t>As a IT admin, I can customise Manager dashboard rules/conditions for my workflow</t>
        </is>
      </c>
      <c r="E46" s="19" t="n">
        <v>5</v>
      </c>
      <c r="F46" s="19" t="inlineStr">
        <is>
          <t>P1</t>
        </is>
      </c>
      <c r="G46" s="19" t="inlineStr">
        <is>
          <t>S8</t>
        </is>
      </c>
      <c r="H46" s="19" t="inlineStr">
        <is>
          <t>SCR-2 Home + SCR-8 Analytics</t>
        </is>
      </c>
      <c r="I46" s="19" t="inlineStr">
        <is>
          <t>Jest unit/integration 100% cov</t>
        </is>
      </c>
      <c r="J46" s="23" t="inlineStr">
        <is>
          <t>Done</t>
        </is>
      </c>
      <c r="K46" s="19" t="inlineStr">
        <is>
          <t>src/dashboardManager.ts | tests/dashboard.test.ts | Built + covered at 100% this session</t>
        </is>
      </c>
    </row>
    <row r="47" ht="26.25" customHeight="1" s="15">
      <c r="A47" s="19" t="inlineStr">
        <is>
          <t>ST-044</t>
        </is>
      </c>
      <c r="B47" s="19" t="inlineStr">
        <is>
          <t>F5</t>
        </is>
      </c>
      <c r="C47" s="19" t="inlineStr">
        <is>
          <t>Manager dashboard</t>
        </is>
      </c>
      <c r="D47" s="19" t="inlineStr">
        <is>
          <t>As a user, Manager dashboard shows clear errors and retry paths on platform API failures</t>
        </is>
      </c>
      <c r="E47" s="19" t="n">
        <v>3</v>
      </c>
      <c r="F47" s="19" t="inlineStr">
        <is>
          <t>P0</t>
        </is>
      </c>
      <c r="G47" s="19" t="inlineStr">
        <is>
          <t>S8</t>
        </is>
      </c>
      <c r="H47" s="19" t="inlineStr">
        <is>
          <t>SCR-2 Home + SCR-8 Analytics</t>
        </is>
      </c>
      <c r="I47" s="19" t="inlineStr">
        <is>
          <t>Jest unit/integration 100% cov</t>
        </is>
      </c>
      <c r="J47" s="23" t="inlineStr">
        <is>
          <t>Done</t>
        </is>
      </c>
      <c r="K47" s="19" t="inlineStr">
        <is>
          <t>src/dashboardManager.ts | tests/dashboard.test.ts | Built + covered at 100% this session</t>
        </is>
      </c>
    </row>
    <row r="48" ht="26.25" customHeight="1" s="15">
      <c r="A48" s="19" t="inlineStr">
        <is>
          <t>ST-045</t>
        </is>
      </c>
      <c r="B48" s="19" t="inlineStr">
        <is>
          <t>F5</t>
        </is>
      </c>
      <c r="C48" s="19" t="inlineStr">
        <is>
          <t>Manager dashboard</t>
        </is>
      </c>
      <c r="D48" s="19" t="inlineStr">
        <is>
          <t>As a Frontline supervisor, Manager dashboard works on the Teams tab + bot surface end-to-end</t>
        </is>
      </c>
      <c r="E48" s="19" t="n">
        <v>5</v>
      </c>
      <c r="F48" s="19" t="inlineStr">
        <is>
          <t>P0</t>
        </is>
      </c>
      <c r="G48" s="19" t="inlineStr">
        <is>
          <t>S8</t>
        </is>
      </c>
      <c r="H48" s="19" t="inlineStr">
        <is>
          <t>SCR-2 Home + SCR-8 Analytics</t>
        </is>
      </c>
      <c r="I48" s="19" t="inlineStr">
        <is>
          <t>Tests pass; live verification pending</t>
        </is>
      </c>
      <c r="J48" s="24" t="inlineStr">
        <is>
          <t>Code-complete pending live</t>
        </is>
      </c>
      <c r="K48" s="19" t="inlineStr">
        <is>
          <t>src/ui/screens.tsx + web/TabShell.tsx + web/entry.tsx | tests/tab.test.tsx | tab surface full-stack (GAP-SD1); in-client render pending</t>
        </is>
      </c>
    </row>
    <row r="49" ht="26.25" customHeight="1" s="15">
      <c r="A49" s="19" t="inlineStr">
        <is>
          <t>ST-046</t>
        </is>
      </c>
      <c r="B49" s="19" t="inlineStr">
        <is>
          <t>F5</t>
        </is>
      </c>
      <c r="C49" s="19" t="inlineStr">
        <is>
          <t>Manager dashboard</t>
        </is>
      </c>
      <c r="D49" s="19" t="inlineStr">
        <is>
          <t>As a IT admin, I can see Manager dashboard performance metrics and trends</t>
        </is>
      </c>
      <c r="E49" s="19" t="n">
        <v>3</v>
      </c>
      <c r="F49" s="19" t="inlineStr">
        <is>
          <t>P1</t>
        </is>
      </c>
      <c r="G49" s="19" t="inlineStr">
        <is>
          <t>S8</t>
        </is>
      </c>
      <c r="H49" s="19" t="inlineStr">
        <is>
          <t>SCR-2 Home + SCR-8 Analytics</t>
        </is>
      </c>
      <c r="I49" s="19" t="inlineStr">
        <is>
          <t>Jest unit/integration 100% cov</t>
        </is>
      </c>
      <c r="J49" s="23" t="inlineStr">
        <is>
          <t>Done</t>
        </is>
      </c>
      <c r="K49" s="19" t="inlineStr">
        <is>
          <t>src/dashboardManager.ts | tests/dashboard.test.ts | Built + covered at 100% this session</t>
        </is>
      </c>
    </row>
    <row r="50" ht="26.25" customHeight="1" s="15">
      <c r="A50" s="19" t="inlineStr">
        <is>
          <t>ST-047</t>
        </is>
      </c>
      <c r="B50" s="19" t="inlineStr">
        <is>
          <t>F5</t>
        </is>
      </c>
      <c r="C50" s="19" t="inlineStr">
        <is>
          <t>Manager dashboard</t>
        </is>
      </c>
      <c r="D50" s="19" t="inlineStr">
        <is>
          <t>As a user, Manager dashboard respects role permissions and audit logging</t>
        </is>
      </c>
      <c r="E50" s="19" t="n">
        <v>3</v>
      </c>
      <c r="F50" s="19" t="inlineStr">
        <is>
          <t>P1</t>
        </is>
      </c>
      <c r="G50" s="19" t="inlineStr">
        <is>
          <t>S8</t>
        </is>
      </c>
      <c r="H50" s="19" t="inlineStr">
        <is>
          <t>SCR-2 Home + SCR-8 Analytics</t>
        </is>
      </c>
      <c r="I50" s="19" t="inlineStr">
        <is>
          <t>Jest unit/integration 100% cov</t>
        </is>
      </c>
      <c r="J50" s="23" t="inlineStr">
        <is>
          <t>Done</t>
        </is>
      </c>
      <c r="K50" s="19" t="inlineStr">
        <is>
          <t>src/dashboardManager.ts | tests/dashboard.test.ts | Built + covered at 100% this session</t>
        </is>
      </c>
    </row>
    <row r="51" ht="26.25" customHeight="1" s="15">
      <c r="A51" s="19" t="inlineStr">
        <is>
          <t>ST-048</t>
        </is>
      </c>
      <c r="B51" s="19" t="inlineStr">
        <is>
          <t>F5</t>
        </is>
      </c>
      <c r="C51" s="19" t="inlineStr">
        <is>
          <t>Manager dashboard</t>
        </is>
      </c>
      <c r="D51" s="19" t="inlineStr">
        <is>
          <t>As a Ops director, I can pause/disable Manager dashboard without data loss</t>
        </is>
      </c>
      <c r="E51" s="19" t="n">
        <v>2</v>
      </c>
      <c r="F51" s="19" t="inlineStr">
        <is>
          <t>P2</t>
        </is>
      </c>
      <c r="G51" s="19" t="inlineStr">
        <is>
          <t>S8</t>
        </is>
      </c>
      <c r="H51" s="19" t="inlineStr">
        <is>
          <t>SCR-2 Home + SCR-8 Analytics</t>
        </is>
      </c>
      <c r="I51" s="19" t="inlineStr">
        <is>
          <t>Jest unit/integration 100% cov</t>
        </is>
      </c>
      <c r="J51" s="23" t="inlineStr">
        <is>
          <t>Done</t>
        </is>
      </c>
      <c r="K51" s="19" t="inlineStr">
        <is>
          <t>src/dashboardManager.ts | tests/dashboard.test.ts | Built + covered at 100% this session</t>
        </is>
      </c>
    </row>
    <row r="52" ht="26.25" customHeight="1" s="15">
      <c r="A52" s="19" t="inlineStr">
        <is>
          <t>ST-049</t>
        </is>
      </c>
      <c r="B52" s="19" t="inlineStr">
        <is>
          <t>F5</t>
        </is>
      </c>
      <c r="C52" s="19" t="inlineStr">
        <is>
          <t>Manager dashboard</t>
        </is>
      </c>
      <c r="D52" s="19" t="inlineStr">
        <is>
          <t>As a IT admin, I can import/migrate existing data into Manager dashboard (CSV + competitor importer)</t>
        </is>
      </c>
      <c r="E52" s="19" t="n">
        <v>5</v>
      </c>
      <c r="F52" s="19" t="inlineStr">
        <is>
          <t>P1</t>
        </is>
      </c>
      <c r="G52" s="19" t="inlineStr">
        <is>
          <t>S8</t>
        </is>
      </c>
      <c r="H52" s="19" t="inlineStr">
        <is>
          <t>SCR-2 Home + SCR-8 Analytics</t>
        </is>
      </c>
      <c r="I52" s="19" t="inlineStr">
        <is>
          <t>Jest unit/integration 100% cov</t>
        </is>
      </c>
      <c r="J52" s="23" t="inlineStr">
        <is>
          <t>Done</t>
        </is>
      </c>
      <c r="K52" s="19" t="inlineStr">
        <is>
          <t>src/dashboardManager.ts | tests/dashboard.test.ts | Built + covered at 100% this session</t>
        </is>
      </c>
    </row>
    <row r="53" ht="26.25" customHeight="1" s="15">
      <c r="A53" s="19" t="inlineStr">
        <is>
          <t>ST-050</t>
        </is>
      </c>
      <c r="B53" s="19" t="inlineStr">
        <is>
          <t>F5</t>
        </is>
      </c>
      <c r="C53" s="19" t="inlineStr">
        <is>
          <t>Manager dashboard</t>
        </is>
      </c>
      <c r="D53" s="19" t="inlineStr">
        <is>
          <t>As a user, I get notifications (in-app + email) for key Manager dashboard events with per-type mute</t>
        </is>
      </c>
      <c r="E53" s="19" t="n">
        <v>3</v>
      </c>
      <c r="F53" s="19" t="inlineStr">
        <is>
          <t>P2</t>
        </is>
      </c>
      <c r="G53" s="19" t="inlineStr">
        <is>
          <t>S8</t>
        </is>
      </c>
      <c r="H53" s="19" t="inlineStr">
        <is>
          <t>SCR-2 Home + SCR-8 Analytics</t>
        </is>
      </c>
      <c r="I53" s="19" t="inlineStr">
        <is>
          <t>Jest unit/integration 100% cov</t>
        </is>
      </c>
      <c r="J53" s="23" t="inlineStr">
        <is>
          <t>Done</t>
        </is>
      </c>
      <c r="K53" s="19" t="inlineStr">
        <is>
          <t>src/dashboardManager.ts | tests/dashboard.test.ts | Built + covered at 100% this session</t>
        </is>
      </c>
    </row>
    <row r="54" ht="26.25" customHeight="1" s="15">
      <c r="A54" s="19" t="inlineStr">
        <is>
          <t>ST-051</t>
        </is>
      </c>
      <c r="B54" s="19" t="inlineStr">
        <is>
          <t>E1</t>
        </is>
      </c>
      <c r="C54" s="19" t="inlineStr">
        <is>
          <t>Install lifecycle</t>
        </is>
      </c>
      <c r="D54" s="19" t="inlineStr">
        <is>
          <t>Marketplace OAuth install completes and lands on welcome state in &lt;2 min</t>
        </is>
      </c>
      <c r="E54" s="19" t="n">
        <v>5</v>
      </c>
      <c r="F54" s="19" t="inlineStr">
        <is>
          <t>P0</t>
        </is>
      </c>
      <c r="G54" s="19" t="inlineStr">
        <is>
          <t>S1</t>
        </is>
      </c>
      <c r="H54" s="19" t="inlineStr">
        <is>
          <t>SCR-1 Onboarding</t>
        </is>
      </c>
      <c r="I54" s="19" t="inlineStr">
        <is>
          <t>Tests pass; live verification pending</t>
        </is>
      </c>
      <c r="J54" s="24" t="inlineStr">
        <is>
          <t>Code-complete pending live</t>
        </is>
      </c>
      <c r="K54" s="19" t="inlineStr">
        <is>
          <t>src/install.ts + src/platformGateway.ts | tests/install.test.ts + tests/platformGateway.test.ts | Logic + tests done; needs live Teams dev-store install</t>
        </is>
      </c>
    </row>
    <row r="55" ht="26.25" customHeight="1" s="15">
      <c r="A55" s="19" t="inlineStr">
        <is>
          <t>ST-052</t>
        </is>
      </c>
      <c r="B55" s="19" t="inlineStr">
        <is>
          <t>E1</t>
        </is>
      </c>
      <c r="C55" s="19" t="inlineStr">
        <is>
          <t>Install lifecycle</t>
        </is>
      </c>
      <c r="D55" s="19" t="inlineStr">
        <is>
          <t>Uninstall webhook removes tokens, schedules data deletion per policy</t>
        </is>
      </c>
      <c r="E55" s="19" t="n">
        <v>3</v>
      </c>
      <c r="F55" s="19" t="inlineStr">
        <is>
          <t>P0</t>
        </is>
      </c>
      <c r="G55" s="19" t="inlineStr">
        <is>
          <t>S1</t>
        </is>
      </c>
      <c r="H55" s="19" t="inlineStr">
        <is>
          <t>SCR-1 Onboarding</t>
        </is>
      </c>
      <c r="I55" s="19" t="inlineStr">
        <is>
          <t>Jest 100% cov + E2E smoke</t>
        </is>
      </c>
      <c r="J55" s="23" t="inlineStr">
        <is>
          <t>Done</t>
        </is>
      </c>
      <c r="K55" s="19" t="inlineStr">
        <is>
          <t>src/install.ts + src/platformGateway.ts | tests/install.test.ts + tests/platformGateway.test.ts | Built + covered at 100% this session</t>
        </is>
      </c>
    </row>
    <row r="56" ht="26.25" customHeight="1" s="15">
      <c r="A56" s="19" t="inlineStr">
        <is>
          <t>ST-053</t>
        </is>
      </c>
      <c r="B56" s="19" t="inlineStr">
        <is>
          <t>E1</t>
        </is>
      </c>
      <c r="C56" s="19" t="inlineStr">
        <is>
          <t>Install lifecycle</t>
        </is>
      </c>
      <c r="D56" s="19" t="inlineStr">
        <is>
          <t>Re-install restores account within retention window</t>
        </is>
      </c>
      <c r="E56" s="19" t="n">
        <v>3</v>
      </c>
      <c r="F56" s="19" t="inlineStr">
        <is>
          <t>P1</t>
        </is>
      </c>
      <c r="G56" s="19" t="inlineStr">
        <is>
          <t>S2</t>
        </is>
      </c>
      <c r="H56" s="19" t="inlineStr">
        <is>
          <t>SCR-1 Onboarding</t>
        </is>
      </c>
      <c r="I56" s="19" t="inlineStr">
        <is>
          <t>Jest 100% cov + E2E smoke</t>
        </is>
      </c>
      <c r="J56" s="23" t="inlineStr">
        <is>
          <t>Done</t>
        </is>
      </c>
      <c r="K56" s="19" t="inlineStr">
        <is>
          <t>src/install.ts + src/platformGateway.ts | tests/install.test.ts + tests/platformGateway.test.ts | Built + covered at 100% this session</t>
        </is>
      </c>
    </row>
    <row r="57" ht="26.25" customHeight="1" s="15">
      <c r="A57" s="19" t="inlineStr">
        <is>
          <t>ST-054</t>
        </is>
      </c>
      <c r="B57" s="19" t="inlineStr">
        <is>
          <t>E1</t>
        </is>
      </c>
      <c r="C57" s="19" t="inlineStr">
        <is>
          <t>Install lifecycle</t>
        </is>
      </c>
      <c r="D57" s="19" t="inlineStr">
        <is>
          <t>Multi-user roles: owner/admin/member permission matrix enforced</t>
        </is>
      </c>
      <c r="E57" s="19" t="n">
        <v>5</v>
      </c>
      <c r="F57" s="19" t="inlineStr">
        <is>
          <t>P0</t>
        </is>
      </c>
      <c r="G57" s="19" t="inlineStr">
        <is>
          <t>S2</t>
        </is>
      </c>
      <c r="H57" s="19" t="inlineStr">
        <is>
          <t>SCR-1 Onboarding</t>
        </is>
      </c>
      <c r="I57" s="19" t="inlineStr">
        <is>
          <t>Jest 100% cov + E2E smoke</t>
        </is>
      </c>
      <c r="J57" s="23" t="inlineStr">
        <is>
          <t>Done</t>
        </is>
      </c>
      <c r="K57" s="19" t="inlineStr">
        <is>
          <t>src/install.ts + src/platformGateway.ts | tests/install.test.ts + tests/platformGateway.test.ts | Built + covered at 100% this session</t>
        </is>
      </c>
    </row>
    <row r="58" ht="26.25" customHeight="1" s="15">
      <c r="A58" s="19" t="inlineStr">
        <is>
          <t>ST-055</t>
        </is>
      </c>
      <c r="B58" s="19" t="inlineStr">
        <is>
          <t>E1</t>
        </is>
      </c>
      <c r="C58" s="19" t="inlineStr">
        <is>
          <t>Install lifecycle</t>
        </is>
      </c>
      <c r="D58" s="19" t="inlineStr">
        <is>
          <t>Session/token refresh survives platform token rotation</t>
        </is>
      </c>
      <c r="E58" s="19" t="n">
        <v>3</v>
      </c>
      <c r="F58" s="19" t="inlineStr">
        <is>
          <t>P0</t>
        </is>
      </c>
      <c r="G58" s="19" t="inlineStr">
        <is>
          <t>S1</t>
        </is>
      </c>
      <c r="H58" s="19" t="inlineStr">
        <is>
          <t>SCR-1 Onboarding</t>
        </is>
      </c>
      <c r="I58" s="19" t="inlineStr">
        <is>
          <t>Jest 100% cov + E2E smoke</t>
        </is>
      </c>
      <c r="J58" s="23" t="inlineStr">
        <is>
          <t>Done</t>
        </is>
      </c>
      <c r="K58" s="19" t="inlineStr">
        <is>
          <t>src/install.ts + src/platformGateway.ts | tests/install.test.ts + tests/platformGateway.test.ts | Built + covered at 100% this session</t>
        </is>
      </c>
    </row>
    <row r="59" ht="26.25" customHeight="1" s="15">
      <c r="A59" s="19" t="inlineStr">
        <is>
          <t>ST-056</t>
        </is>
      </c>
      <c r="B59" s="19" t="inlineStr">
        <is>
          <t>E1</t>
        </is>
      </c>
      <c r="C59" s="19" t="inlineStr">
        <is>
          <t>Install lifecycle</t>
        </is>
      </c>
      <c r="D59" s="19" t="inlineStr">
        <is>
          <t>Install telemetry: source attribution (listing/search/referral) captured</t>
        </is>
      </c>
      <c r="E59" s="19" t="n">
        <v>2</v>
      </c>
      <c r="F59" s="19" t="inlineStr">
        <is>
          <t>P1</t>
        </is>
      </c>
      <c r="G59" s="19" t="inlineStr">
        <is>
          <t>S1</t>
        </is>
      </c>
      <c r="H59" s="19" t="inlineStr">
        <is>
          <t>SCR-1 Onboarding</t>
        </is>
      </c>
      <c r="I59" s="19" t="inlineStr">
        <is>
          <t>Jest 100% cov + E2E smoke</t>
        </is>
      </c>
      <c r="J59" s="23" t="inlineStr">
        <is>
          <t>Done</t>
        </is>
      </c>
      <c r="K59" s="19" t="inlineStr">
        <is>
          <t>src/install.ts + src/platformGateway.ts | tests/install.test.ts + tests/platformGateway.test.ts | Built + covered at 100% this session</t>
        </is>
      </c>
    </row>
    <row r="60" ht="15" customHeight="1" s="15">
      <c r="A60" s="19" t="inlineStr">
        <is>
          <t>ST-057</t>
        </is>
      </c>
      <c r="B60" s="19" t="inlineStr">
        <is>
          <t>E5</t>
        </is>
      </c>
      <c r="C60" s="19" t="inlineStr">
        <is>
          <t>Billing</t>
        </is>
      </c>
      <c r="D60" s="19" t="inlineStr">
        <is>
          <t>14-day trial without card; banner shows days remaining</t>
        </is>
      </c>
      <c r="E60" s="19" t="n">
        <v>5</v>
      </c>
      <c r="F60" s="19" t="inlineStr">
        <is>
          <t>P0</t>
        </is>
      </c>
      <c r="G60" s="19" t="inlineStr">
        <is>
          <t>S6</t>
        </is>
      </c>
      <c r="H60" s="19" t="inlineStr">
        <is>
          <t>SCR-7 Billing</t>
        </is>
      </c>
      <c r="I60" s="19" t="inlineStr">
        <is>
          <t>Jest unit/integration 100% cov</t>
        </is>
      </c>
      <c r="J60" s="23" t="inlineStr">
        <is>
          <t>Done</t>
        </is>
      </c>
      <c r="K60" s="19" t="inlineStr">
        <is>
          <t>src/billing.ts | tests/billing.test.ts | Built + covered at 100% this session</t>
        </is>
      </c>
    </row>
    <row r="61" ht="15" customHeight="1" s="15">
      <c r="A61" s="19" t="inlineStr">
        <is>
          <t>ST-058</t>
        </is>
      </c>
      <c r="B61" s="19" t="inlineStr">
        <is>
          <t>E5</t>
        </is>
      </c>
      <c r="C61" s="19" t="inlineStr">
        <is>
          <t>Billing</t>
        </is>
      </c>
      <c r="D61" s="19" t="inlineStr">
        <is>
          <t>Upgrade/downgrade mid-cycle prorates correctly</t>
        </is>
      </c>
      <c r="E61" s="19" t="n">
        <v>5</v>
      </c>
      <c r="F61" s="19" t="inlineStr">
        <is>
          <t>P0</t>
        </is>
      </c>
      <c r="G61" s="19" t="inlineStr">
        <is>
          <t>S6</t>
        </is>
      </c>
      <c r="H61" s="19" t="inlineStr">
        <is>
          <t>SCR-7 Billing</t>
        </is>
      </c>
      <c r="I61" s="19" t="inlineStr">
        <is>
          <t>Jest unit/integration 100% cov</t>
        </is>
      </c>
      <c r="J61" s="23" t="inlineStr">
        <is>
          <t>Done</t>
        </is>
      </c>
      <c r="K61" s="19" t="inlineStr">
        <is>
          <t>src/billing.ts | tests/billing.test.ts | Built + covered at 100% this session</t>
        </is>
      </c>
    </row>
    <row r="62" ht="26.25" customHeight="1" s="15">
      <c r="A62" s="19" t="inlineStr">
        <is>
          <t>ST-059</t>
        </is>
      </c>
      <c r="B62" s="19" t="inlineStr">
        <is>
          <t>E5</t>
        </is>
      </c>
      <c r="C62" s="19" t="inlineStr">
        <is>
          <t>Billing</t>
        </is>
      </c>
      <c r="D62" s="19" t="inlineStr">
        <is>
          <t>Marketplace billing API used where mandated; external Stripe fallback elsewhere</t>
        </is>
      </c>
      <c r="E62" s="19" t="n">
        <v>8</v>
      </c>
      <c r="F62" s="19" t="inlineStr">
        <is>
          <t>P0</t>
        </is>
      </c>
      <c r="G62" s="19" t="inlineStr">
        <is>
          <t>S6</t>
        </is>
      </c>
      <c r="H62" s="19" t="inlineStr">
        <is>
          <t>SCR-7 Billing</t>
        </is>
      </c>
      <c r="I62" s="19" t="inlineStr">
        <is>
          <t>Tests pass; live verification pending</t>
        </is>
      </c>
      <c r="J62" s="24" t="inlineStr">
        <is>
          <t>Code-complete pending live</t>
        </is>
      </c>
      <c r="K62" s="19" t="inlineStr">
        <is>
          <t>src/billing.ts | tests/billing.test.ts | Billing logic done; marketplace transactable API mocked</t>
        </is>
      </c>
    </row>
    <row r="63" ht="15" customHeight="1" s="15">
      <c r="A63" s="19" t="inlineStr">
        <is>
          <t>ST-060</t>
        </is>
      </c>
      <c r="B63" s="19" t="inlineStr">
        <is>
          <t>E5</t>
        </is>
      </c>
      <c r="C63" s="19" t="inlineStr">
        <is>
          <t>Billing</t>
        </is>
      </c>
      <c r="D63" s="19" t="inlineStr">
        <is>
          <t>Failed payment: 7-day grace, 3 dunning emails, then read-only mode</t>
        </is>
      </c>
      <c r="E63" s="19" t="n">
        <v>3</v>
      </c>
      <c r="F63" s="19" t="inlineStr">
        <is>
          <t>P1</t>
        </is>
      </c>
      <c r="G63" s="19" t="inlineStr">
        <is>
          <t>S7</t>
        </is>
      </c>
      <c r="H63" s="19" t="inlineStr">
        <is>
          <t>SCR-7 Billing</t>
        </is>
      </c>
      <c r="I63" s="19" t="inlineStr">
        <is>
          <t>Jest unit/integration 100% cov</t>
        </is>
      </c>
      <c r="J63" s="23" t="inlineStr">
        <is>
          <t>Done</t>
        </is>
      </c>
      <c r="K63" s="19" t="inlineStr">
        <is>
          <t>src/billing.ts | tests/billing.test.ts | Built + covered at 100% this session</t>
        </is>
      </c>
    </row>
    <row r="64" ht="15" customHeight="1" s="15">
      <c r="A64" s="19" t="inlineStr">
        <is>
          <t>ST-061</t>
        </is>
      </c>
      <c r="B64" s="19" t="inlineStr">
        <is>
          <t>E5</t>
        </is>
      </c>
      <c r="C64" s="19" t="inlineStr">
        <is>
          <t>Billing</t>
        </is>
      </c>
      <c r="D64" s="19" t="inlineStr">
        <is>
          <t>Plan limits enforced with upgrade prompts at 80%/100%</t>
        </is>
      </c>
      <c r="E64" s="19" t="n">
        <v>3</v>
      </c>
      <c r="F64" s="19" t="inlineStr">
        <is>
          <t>P1</t>
        </is>
      </c>
      <c r="G64" s="19" t="inlineStr">
        <is>
          <t>S7</t>
        </is>
      </c>
      <c r="H64" s="19" t="inlineStr">
        <is>
          <t>SCR-7 Billing</t>
        </is>
      </c>
      <c r="I64" s="19" t="inlineStr">
        <is>
          <t>Jest unit/integration 100% cov</t>
        </is>
      </c>
      <c r="J64" s="23" t="inlineStr">
        <is>
          <t>Done</t>
        </is>
      </c>
      <c r="K64" s="19" t="inlineStr">
        <is>
          <t>src/billing.ts | tests/billing.test.ts | Built + covered at 100% this session</t>
        </is>
      </c>
    </row>
    <row r="65" ht="15" customHeight="1" s="15">
      <c r="A65" s="19" t="inlineStr">
        <is>
          <t>ST-062</t>
        </is>
      </c>
      <c r="B65" s="19" t="inlineStr">
        <is>
          <t>E5</t>
        </is>
      </c>
      <c r="C65" s="19" t="inlineStr">
        <is>
          <t>Billing</t>
        </is>
      </c>
      <c r="D65" s="19" t="inlineStr">
        <is>
          <t>Invoices/receipts downloadable; GST/VAT fields supported</t>
        </is>
      </c>
      <c r="E65" s="19" t="n">
        <v>3</v>
      </c>
      <c r="F65" s="19" t="inlineStr">
        <is>
          <t>P2</t>
        </is>
      </c>
      <c r="G65" s="19" t="inlineStr">
        <is>
          <t>S7</t>
        </is>
      </c>
      <c r="H65" s="19" t="inlineStr">
        <is>
          <t>SCR-7 Billing</t>
        </is>
      </c>
      <c r="I65" s="19" t="inlineStr">
        <is>
          <t>Jest unit/integration 100% cov</t>
        </is>
      </c>
      <c r="J65" s="23" t="inlineStr">
        <is>
          <t>Done</t>
        </is>
      </c>
      <c r="K65" s="19" t="inlineStr">
        <is>
          <t>src/billing.ts | tests/billing.test.ts | Built + covered at 100% this session</t>
        </is>
      </c>
    </row>
    <row r="66" ht="15" customHeight="1" s="15">
      <c r="A66" s="19" t="inlineStr">
        <is>
          <t>ST-063</t>
        </is>
      </c>
      <c r="B66" s="19" t="inlineStr">
        <is>
          <t>E5</t>
        </is>
      </c>
      <c r="C66" s="19" t="inlineStr">
        <is>
          <t>Billing</t>
        </is>
      </c>
      <c r="D66" s="19" t="inlineStr">
        <is>
          <t>Cancellation flow with save-offer and exit survey</t>
        </is>
      </c>
      <c r="E66" s="19" t="n">
        <v>3</v>
      </c>
      <c r="F66" s="19" t="inlineStr">
        <is>
          <t>P1</t>
        </is>
      </c>
      <c r="G66" s="19" t="inlineStr">
        <is>
          <t>S7</t>
        </is>
      </c>
      <c r="H66" s="19" t="inlineStr">
        <is>
          <t>SCR-7 Billing</t>
        </is>
      </c>
      <c r="I66" s="19" t="inlineStr">
        <is>
          <t>Jest unit/integration 100% cov</t>
        </is>
      </c>
      <c r="J66" s="23" t="inlineStr">
        <is>
          <t>Done</t>
        </is>
      </c>
      <c r="K66" s="19" t="inlineStr">
        <is>
          <t>src/billing.ts | tests/billing.test.ts | Built + covered at 100% this session</t>
        </is>
      </c>
    </row>
    <row r="67" ht="15" customHeight="1" s="15">
      <c r="A67" s="19" t="inlineStr">
        <is>
          <t>ST-064</t>
        </is>
      </c>
      <c r="B67" s="19" t="inlineStr">
        <is>
          <t>E6</t>
        </is>
      </c>
      <c r="C67" s="19" t="inlineStr">
        <is>
          <t>Compliance/security</t>
        </is>
      </c>
      <c r="D67" s="19" t="inlineStr">
        <is>
          <t>Scopes requested map 1:1 to shipped features (least privilege doc)</t>
        </is>
      </c>
      <c r="E67" s="19" t="n">
        <v>3</v>
      </c>
      <c r="F67" s="19" t="inlineStr">
        <is>
          <t>P0</t>
        </is>
      </c>
      <c r="G67" s="19" t="inlineStr">
        <is>
          <t>S7</t>
        </is>
      </c>
      <c r="H67" s="19" t="inlineStr">
        <is>
          <t>SCR-6 Settings</t>
        </is>
      </c>
      <c r="I67" s="19" t="inlineStr">
        <is>
          <t>Jest unit/integration 100% cov</t>
        </is>
      </c>
      <c r="J67" s="23" t="inlineStr">
        <is>
          <t>Done</t>
        </is>
      </c>
      <c r="K67" s="19" t="inlineStr">
        <is>
          <t>src/privacy.ts + docs/least-privilege-scopes.md | tests/privacy.test.ts + tests/manifest.test.ts | CORRECTED to RSC model (VER-SD04); no .All scopes, manifest-vs-map equality pinned</t>
        </is>
      </c>
    </row>
    <row r="68" ht="15" customHeight="1" s="15">
      <c r="A68" s="19" t="inlineStr">
        <is>
          <t>ST-065</t>
        </is>
      </c>
      <c r="B68" s="19" t="inlineStr">
        <is>
          <t>E6</t>
        </is>
      </c>
      <c r="C68" s="19" t="inlineStr">
        <is>
          <t>Compliance/security</t>
        </is>
      </c>
      <c r="D68" s="19" t="inlineStr">
        <is>
          <t>Data-flow diagram + retention policy published</t>
        </is>
      </c>
      <c r="E68" s="19" t="n">
        <v>3</v>
      </c>
      <c r="F68" s="19" t="inlineStr">
        <is>
          <t>P0</t>
        </is>
      </c>
      <c r="G68" s="19" t="inlineStr">
        <is>
          <t>S8</t>
        </is>
      </c>
      <c r="H68" s="19" t="inlineStr">
        <is>
          <t>SCR-6 Settings</t>
        </is>
      </c>
      <c r="I68" s="19" t="inlineStr">
        <is>
          <t>Jest unit/integration 100% cov</t>
        </is>
      </c>
      <c r="J68" s="23" t="inlineStr">
        <is>
          <t>Done</t>
        </is>
      </c>
      <c r="K68" s="19" t="inlineStr">
        <is>
          <t>src/privacy.ts + docs/*.md | tests/privacy.test.ts | Built + covered at 100% this session</t>
        </is>
      </c>
    </row>
    <row r="69" ht="26.25" customHeight="1" s="15">
      <c r="A69" s="19" t="inlineStr">
        <is>
          <t>ST-066</t>
        </is>
      </c>
      <c r="B69" s="19" t="inlineStr">
        <is>
          <t>E6</t>
        </is>
      </c>
      <c r="C69" s="19" t="inlineStr">
        <is>
          <t>Compliance/security</t>
        </is>
      </c>
      <c r="D69" s="19" t="inlineStr">
        <is>
          <t>Encryption at rest + in transit verified; secrets in vault</t>
        </is>
      </c>
      <c r="E69" s="19" t="n">
        <v>5</v>
      </c>
      <c r="F69" s="19" t="inlineStr">
        <is>
          <t>P0</t>
        </is>
      </c>
      <c r="G69" s="19" t="inlineStr">
        <is>
          <t>S8</t>
        </is>
      </c>
      <c r="H69" s="19" t="inlineStr">
        <is>
          <t>SCR-6 Settings</t>
        </is>
      </c>
      <c r="I69" s="19" t="inlineStr">
        <is>
          <t>Tests pass; live verification pending</t>
        </is>
      </c>
      <c r="J69" s="24" t="inlineStr">
        <is>
          <t>Code-complete pending live</t>
        </is>
      </c>
      <c r="K69" s="19" t="inlineStr">
        <is>
          <t>src/crypto.ts | tests/crypto.test.ts | AES-256-GCM + SecretsVault built session 5 (F-009 corrective); live KMS wiring pending</t>
        </is>
      </c>
    </row>
    <row r="70" ht="15" customHeight="1" s="15">
      <c r="A70" s="19" t="inlineStr">
        <is>
          <t>ST-067</t>
        </is>
      </c>
      <c r="B70" s="19" t="inlineStr">
        <is>
          <t>E6</t>
        </is>
      </c>
      <c r="C70" s="19" t="inlineStr">
        <is>
          <t>Compliance/security</t>
        </is>
      </c>
      <c r="D70" s="19" t="inlineStr">
        <is>
          <t>Audit log for admin-sensitive actions</t>
        </is>
      </c>
      <c r="E70" s="19" t="n">
        <v>5</v>
      </c>
      <c r="F70" s="19" t="inlineStr">
        <is>
          <t>P1</t>
        </is>
      </c>
      <c r="G70" s="19" t="inlineStr">
        <is>
          <t>S8</t>
        </is>
      </c>
      <c r="H70" s="19" t="inlineStr">
        <is>
          <t>SCR-6 Settings</t>
        </is>
      </c>
      <c r="I70" s="19" t="inlineStr">
        <is>
          <t>Jest unit/integration 100% cov</t>
        </is>
      </c>
      <c r="J70" s="23" t="inlineStr">
        <is>
          <t>Done</t>
        </is>
      </c>
      <c r="K70" s="19" t="inlineStr">
        <is>
          <t>src/audit.ts | tests/audit.test.ts | Built + covered at 100% this session</t>
        </is>
      </c>
    </row>
    <row r="71" ht="15" customHeight="1" s="15">
      <c r="A71" s="19" t="inlineStr">
        <is>
          <t>ST-068</t>
        </is>
      </c>
      <c r="B71" s="19" t="inlineStr">
        <is>
          <t>E6</t>
        </is>
      </c>
      <c r="C71" s="19" t="inlineStr">
        <is>
          <t>Compliance/security</t>
        </is>
      </c>
      <c r="D71" s="19" t="inlineStr">
        <is>
          <t>Pen-test (or platform-required evidence) completed and archived</t>
        </is>
      </c>
      <c r="E71" s="19" t="n">
        <v>8</v>
      </c>
      <c r="F71" s="19" t="inlineStr">
        <is>
          <t>P0</t>
        </is>
      </c>
      <c r="G71" s="19" t="inlineStr">
        <is>
          <t>S9</t>
        </is>
      </c>
      <c r="H71" s="19" t="inlineStr">
        <is>
          <t>SCR-6 Settings</t>
        </is>
      </c>
      <c r="I71" s="19" t="inlineStr">
        <is>
          <t>Vendor pack review</t>
        </is>
      </c>
      <c r="J71" s="24" t="inlineStr">
        <is>
          <t>In progress</t>
        </is>
      </c>
      <c r="K71" s="19" t="inlineStr">
        <is>
          <t>SECURITY_EVIDENCE.md sandbox half issued (attack surface, authZ, secrets, known-weakness register, suggested vendor scope); external pen test = vendor engagement, Senthil side</t>
        </is>
      </c>
    </row>
    <row r="72" ht="15" customHeight="1" s="15">
      <c r="A72" s="19" t="inlineStr">
        <is>
          <t>ST-069</t>
        </is>
      </c>
      <c r="B72" s="19" t="inlineStr">
        <is>
          <t>E6</t>
        </is>
      </c>
      <c r="C72" s="19" t="inlineStr">
        <is>
          <t>Compliance/security</t>
        </is>
      </c>
      <c r="D72" s="19" t="inlineStr">
        <is>
          <t>Data export + delete-my-data self-serve</t>
        </is>
      </c>
      <c r="E72" s="19" t="n">
        <v>5</v>
      </c>
      <c r="F72" s="19" t="inlineStr">
        <is>
          <t>P0</t>
        </is>
      </c>
      <c r="G72" s="19" t="inlineStr">
        <is>
          <t>S9</t>
        </is>
      </c>
      <c r="H72" s="19" t="inlineStr">
        <is>
          <t>SCR-6 Settings</t>
        </is>
      </c>
      <c r="I72" s="19" t="inlineStr">
        <is>
          <t>Jest unit/integration 100% cov</t>
        </is>
      </c>
      <c r="J72" s="23" t="inlineStr">
        <is>
          <t>Done</t>
        </is>
      </c>
      <c r="K72" s="19" t="inlineStr">
        <is>
          <t>src/privacy.ts + docs/*.md | tests/privacy.test.ts | Built + covered at 100% this session</t>
        </is>
      </c>
    </row>
    <row r="73" ht="26.25" customHeight="1" s="15">
      <c r="A73" s="19" t="inlineStr">
        <is>
          <t>ST-070</t>
        </is>
      </c>
      <c r="B73" s="19" t="inlineStr">
        <is>
          <t>E6</t>
        </is>
      </c>
      <c r="C73" s="19" t="inlineStr">
        <is>
          <t>Compliance/security</t>
        </is>
      </c>
      <c r="D73" s="19" t="inlineStr">
        <is>
          <t>Rate-limit backoff + circuit breaker on platform APIs</t>
        </is>
      </c>
      <c r="E73" s="19" t="n">
        <v>5</v>
      </c>
      <c r="F73" s="19" t="inlineStr">
        <is>
          <t>P0</t>
        </is>
      </c>
      <c r="G73" s="19" t="inlineStr">
        <is>
          <t>S8</t>
        </is>
      </c>
      <c r="H73" s="19" t="inlineStr">
        <is>
          <t>SCR-6 Settings</t>
        </is>
      </c>
      <c r="I73" s="19" t="inlineStr">
        <is>
          <t>Jest unit/integration 100% cov</t>
        </is>
      </c>
      <c r="J73" s="23" t="inlineStr">
        <is>
          <t>Done</t>
        </is>
      </c>
      <c r="K73" s="19" t="inlineStr">
        <is>
          <t>src/platformGateway.ts | tests/platformGateway.test.ts | Built + covered at 100% this session</t>
        </is>
      </c>
    </row>
    <row r="74" ht="15" customHeight="1" s="15">
      <c r="A74" s="19" t="inlineStr">
        <is>
          <t>ST-071</t>
        </is>
      </c>
      <c r="B74" s="19" t="inlineStr">
        <is>
          <t>E7</t>
        </is>
      </c>
      <c r="C74" s="19" t="inlineStr">
        <is>
          <t>Telemetry</t>
        </is>
      </c>
      <c r="D74" s="19" t="inlineStr">
        <is>
          <t>Activation funnel events (install-&gt;setup-&gt;aha-&gt;habit) in one dashboard</t>
        </is>
      </c>
      <c r="E74" s="19" t="n">
        <v>5</v>
      </c>
      <c r="F74" s="19" t="inlineStr">
        <is>
          <t>P0</t>
        </is>
      </c>
      <c r="G74" s="19" t="inlineStr">
        <is>
          <t>S4</t>
        </is>
      </c>
      <c r="H74" s="19" t="inlineStr">
        <is>
          <t>SCR-8 Analytics</t>
        </is>
      </c>
      <c r="I74" s="19" t="inlineStr">
        <is>
          <t>Jest unit/integration 100% cov</t>
        </is>
      </c>
      <c r="J74" s="23" t="inlineStr">
        <is>
          <t>Done</t>
        </is>
      </c>
      <c r="K74" s="19" t="inlineStr">
        <is>
          <t>src/telemetry.ts | tests/telemetry.test.ts | Built + covered at 100% this session</t>
        </is>
      </c>
    </row>
    <row r="75" ht="15" customHeight="1" s="15">
      <c r="A75" s="19" t="inlineStr">
        <is>
          <t>ST-072</t>
        </is>
      </c>
      <c r="B75" s="19" t="inlineStr">
        <is>
          <t>E7</t>
        </is>
      </c>
      <c r="C75" s="19" t="inlineStr">
        <is>
          <t>Telemetry</t>
        </is>
      </c>
      <c r="D75" s="19" t="inlineStr">
        <is>
          <t>Error tracking with release tagging; alert on error-rate spike</t>
        </is>
      </c>
      <c r="E75" s="19" t="n">
        <v>3</v>
      </c>
      <c r="F75" s="19" t="inlineStr">
        <is>
          <t>P0</t>
        </is>
      </c>
      <c r="G75" s="19" t="inlineStr">
        <is>
          <t>S4</t>
        </is>
      </c>
      <c r="H75" s="19" t="inlineStr">
        <is>
          <t>SCR-8 Analytics</t>
        </is>
      </c>
      <c r="I75" s="19" t="inlineStr">
        <is>
          <t>Jest unit/integration 100% cov</t>
        </is>
      </c>
      <c r="J75" s="23" t="inlineStr">
        <is>
          <t>Done</t>
        </is>
      </c>
      <c r="K75" s="19" t="inlineStr">
        <is>
          <t>src/telemetry.ts | tests/telemetry.test.ts | Built + covered at 100% this session</t>
        </is>
      </c>
    </row>
    <row r="76" ht="15" customHeight="1" s="15">
      <c r="A76" s="19" t="inlineStr">
        <is>
          <t>ST-073</t>
        </is>
      </c>
      <c r="B76" s="19" t="inlineStr">
        <is>
          <t>E7</t>
        </is>
      </c>
      <c r="C76" s="19" t="inlineStr">
        <is>
          <t>Telemetry</t>
        </is>
      </c>
      <c r="D76" s="19" t="inlineStr">
        <is>
          <t>Feature-usage heatmap for roadmap decisions</t>
        </is>
      </c>
      <c r="E76" s="19" t="n">
        <v>3</v>
      </c>
      <c r="F76" s="19" t="inlineStr">
        <is>
          <t>P2</t>
        </is>
      </c>
      <c r="G76" s="19" t="inlineStr">
        <is>
          <t>S8</t>
        </is>
      </c>
      <c r="H76" s="19" t="inlineStr">
        <is>
          <t>SCR-8 Analytics</t>
        </is>
      </c>
      <c r="I76" s="19" t="inlineStr">
        <is>
          <t>Jest unit/integration 100% cov</t>
        </is>
      </c>
      <c r="J76" s="23" t="inlineStr">
        <is>
          <t>Done</t>
        </is>
      </c>
      <c r="K76" s="19" t="inlineStr">
        <is>
          <t>src/telemetry.ts | tests/telemetry.test.ts | Built + covered at 100% this session</t>
        </is>
      </c>
    </row>
    <row r="77" ht="15" customHeight="1" s="15">
      <c r="A77" s="19" t="inlineStr">
        <is>
          <t>ST-074</t>
        </is>
      </c>
      <c r="B77" s="19" t="inlineStr">
        <is>
          <t>E7</t>
        </is>
      </c>
      <c r="C77" s="19" t="inlineStr">
        <is>
          <t>Telemetry</t>
        </is>
      </c>
      <c r="D77" s="19" t="inlineStr">
        <is>
          <t>Weekly automated metrics email to team</t>
        </is>
      </c>
      <c r="E77" s="19" t="n">
        <v>2</v>
      </c>
      <c r="F77" s="19" t="inlineStr">
        <is>
          <t>P2</t>
        </is>
      </c>
      <c r="G77" s="19" t="inlineStr">
        <is>
          <t>S8</t>
        </is>
      </c>
      <c r="H77" s="19" t="inlineStr">
        <is>
          <t>SCR-8 Analytics</t>
        </is>
      </c>
      <c r="I77" s="19" t="inlineStr">
        <is>
          <t>Jest unit/integration 100% cov</t>
        </is>
      </c>
      <c r="J77" s="23" t="inlineStr">
        <is>
          <t>Done</t>
        </is>
      </c>
      <c r="K77" s="19" t="inlineStr">
        <is>
          <t>src/telemetry.ts | tests/telemetry.test.ts | Built + covered at 100% this session</t>
        </is>
      </c>
    </row>
    <row r="78" ht="15" customHeight="1" s="15">
      <c r="A78" s="19" t="inlineStr">
        <is>
          <t>ST-075</t>
        </is>
      </c>
      <c r="B78" s="19" t="inlineStr">
        <is>
          <t>E7</t>
        </is>
      </c>
      <c r="C78" s="19" t="inlineStr">
        <is>
          <t>Telemetry</t>
        </is>
      </c>
      <c r="D78" s="19" t="inlineStr">
        <is>
          <t>Health score computed per account (usage+billing+support)</t>
        </is>
      </c>
      <c r="E78" s="19" t="n">
        <v>5</v>
      </c>
      <c r="F78" s="19" t="inlineStr">
        <is>
          <t>P1</t>
        </is>
      </c>
      <c r="G78" s="19" t="inlineStr">
        <is>
          <t>S8</t>
        </is>
      </c>
      <c r="H78" s="19" t="inlineStr">
        <is>
          <t>SCR-8 Analytics</t>
        </is>
      </c>
      <c r="I78" s="19" t="inlineStr">
        <is>
          <t>Jest unit/integration 100% cov</t>
        </is>
      </c>
      <c r="J78" s="23" t="inlineStr">
        <is>
          <t>Done</t>
        </is>
      </c>
      <c r="K78" s="19" t="inlineStr">
        <is>
          <t>src/telemetry.ts | tests/telemetry.test.ts | Built + covered at 100% this session</t>
        </is>
      </c>
    </row>
    <row r="79" ht="15" customHeight="1" s="15">
      <c r="A79" s="19" t="inlineStr">
        <is>
          <t>ST-076</t>
        </is>
      </c>
      <c r="B79" s="19" t="inlineStr">
        <is>
          <t>E7</t>
        </is>
      </c>
      <c r="C79" s="19" t="inlineStr">
        <is>
          <t>Telemetry</t>
        </is>
      </c>
      <c r="D79" s="19" t="inlineStr">
        <is>
          <t>Metrics export to CSV/warehouse for founder analysis</t>
        </is>
      </c>
      <c r="E79" s="19" t="n">
        <v>3</v>
      </c>
      <c r="F79" s="19" t="inlineStr">
        <is>
          <t>P2</t>
        </is>
      </c>
      <c r="G79" s="19" t="inlineStr">
        <is>
          <t>S8</t>
        </is>
      </c>
      <c r="H79" s="19" t="inlineStr">
        <is>
          <t>SCR-8 Analytics</t>
        </is>
      </c>
      <c r="I79" s="19" t="inlineStr">
        <is>
          <t>Jest unit/integration 100% cov</t>
        </is>
      </c>
      <c r="J79" s="23" t="inlineStr">
        <is>
          <t>Done</t>
        </is>
      </c>
      <c r="K79" s="19" t="inlineStr">
        <is>
          <t>src/telemetry.ts | tests/telemetry.test.ts | Built + covered at 100% this session</t>
        </is>
      </c>
    </row>
    <row r="80" ht="15" customHeight="1" s="15">
      <c r="A80" s="19" t="inlineStr">
        <is>
          <t>ST-077</t>
        </is>
      </c>
      <c r="B80" s="19" t="inlineStr">
        <is>
          <t>E7</t>
        </is>
      </c>
      <c r="C80" s="19" t="inlineStr">
        <is>
          <t>Telemetry</t>
        </is>
      </c>
      <c r="D80" s="19" t="inlineStr">
        <is>
          <t>Alert thresholds configurable (activation drop, error spike, churn signal)</t>
        </is>
      </c>
      <c r="E80" s="19" t="n">
        <v>3</v>
      </c>
      <c r="F80" s="19" t="inlineStr">
        <is>
          <t>P2</t>
        </is>
      </c>
      <c r="G80" s="19" t="inlineStr">
        <is>
          <t>S8</t>
        </is>
      </c>
      <c r="H80" s="19" t="inlineStr">
        <is>
          <t>SCR-8 Analytics</t>
        </is>
      </c>
      <c r="I80" s="19" t="inlineStr">
        <is>
          <t>Jest unit/integration 100% cov</t>
        </is>
      </c>
      <c r="J80" s="23" t="inlineStr">
        <is>
          <t>Done</t>
        </is>
      </c>
      <c r="K80" s="19" t="inlineStr">
        <is>
          <t>src/telemetry.ts | tests/telemetry.test.ts | Built + covered at 100% this session</t>
        </is>
      </c>
    </row>
    <row r="81" ht="26.25" customHeight="1" s="15">
      <c r="A81" s="19" t="inlineStr">
        <is>
          <t>ST-078</t>
        </is>
      </c>
      <c r="B81" s="19" t="inlineStr">
        <is>
          <t>E8</t>
        </is>
      </c>
      <c r="C81" s="19" t="inlineStr">
        <is>
          <t>Onboarding/docs/support</t>
        </is>
      </c>
      <c r="D81" s="19" t="inlineStr">
        <is>
          <t>First-run checklist reaches aha-moment in &lt;1 day</t>
        </is>
      </c>
      <c r="E81" s="19" t="n">
        <v>5</v>
      </c>
      <c r="F81" s="19" t="inlineStr">
        <is>
          <t>P0</t>
        </is>
      </c>
      <c r="G81" s="19" t="inlineStr">
        <is>
          <t>S5</t>
        </is>
      </c>
      <c r="H81" s="19" t="inlineStr">
        <is>
          <t>SCR-9 Help / SCR-1</t>
        </is>
      </c>
      <c r="I81" s="19" t="inlineStr">
        <is>
          <t>Jest unit/integration 100% cov</t>
        </is>
      </c>
      <c r="J81" s="23" t="inlineStr">
        <is>
          <t>Done</t>
        </is>
      </c>
      <c r="K81" s="19" t="inlineStr">
        <is>
          <t>src/onboarding.ts + src/ui/screens.tsx | tests/onboarding.test.ts + tests/ui.screens.test.tsx | Built + covered at 100% this session</t>
        </is>
      </c>
    </row>
    <row r="82" ht="26.25" customHeight="1" s="15">
      <c r="A82" s="19" t="inlineStr">
        <is>
          <t>ST-079</t>
        </is>
      </c>
      <c r="B82" s="19" t="inlineStr">
        <is>
          <t>E8</t>
        </is>
      </c>
      <c r="C82" s="19" t="inlineStr">
        <is>
          <t>Onboarding/docs/support</t>
        </is>
      </c>
      <c r="D82" s="19" t="inlineStr">
        <is>
          <t>Empty states teach next action on every screen</t>
        </is>
      </c>
      <c r="E82" s="19" t="n">
        <v>3</v>
      </c>
      <c r="F82" s="19" t="inlineStr">
        <is>
          <t>P1</t>
        </is>
      </c>
      <c r="G82" s="19" t="inlineStr">
        <is>
          <t>S5</t>
        </is>
      </c>
      <c r="H82" s="19" t="inlineStr">
        <is>
          <t>SCR-9 Help / SCR-1</t>
        </is>
      </c>
      <c r="I82" s="19" t="inlineStr">
        <is>
          <t>Jest unit/integration 100% cov</t>
        </is>
      </c>
      <c r="J82" s="23" t="inlineStr">
        <is>
          <t>Done</t>
        </is>
      </c>
      <c r="K82" s="19" t="inlineStr">
        <is>
          <t>src/onboarding.ts + src/ui/screens.tsx | tests/onboarding.test.ts + tests/ui.screens.test.tsx | Built + covered at 100% this session</t>
        </is>
      </c>
    </row>
    <row r="83" ht="26.25" customHeight="1" s="15">
      <c r="A83" s="19" t="inlineStr">
        <is>
          <t>ST-080</t>
        </is>
      </c>
      <c r="B83" s="19" t="inlineStr">
        <is>
          <t>E8</t>
        </is>
      </c>
      <c r="C83" s="19" t="inlineStr">
        <is>
          <t>Onboarding/docs/support</t>
        </is>
      </c>
      <c r="D83" s="19" t="inlineStr">
        <is>
          <t>Help center with 15 launch articles + search</t>
        </is>
      </c>
      <c r="E83" s="19" t="n">
        <v>5</v>
      </c>
      <c r="F83" s="19" t="inlineStr">
        <is>
          <t>P1</t>
        </is>
      </c>
      <c r="G83" s="19" t="inlineStr">
        <is>
          <t>S10</t>
        </is>
      </c>
      <c r="H83" s="19" t="inlineStr">
        <is>
          <t>SCR-9 Help / SCR-1</t>
        </is>
      </c>
      <c r="I83" s="19" t="inlineStr">
        <is>
          <t>Jest 100% cov (completionWave suite)</t>
        </is>
      </c>
      <c r="J83" s="24" t="inlineStr">
        <is>
          <t>Code-complete pending live</t>
        </is>
      </c>
      <c r="K83" s="19" t="inlineStr">
        <is>
          <t>src/helpSearch.ts ranked search + HELP_MANIFEST gate (index must exactly match content/help/ on disk, CI-tested); 15 articles drafted; live hosting pending</t>
        </is>
      </c>
    </row>
    <row r="84" ht="15" customHeight="1" s="15">
      <c r="A84" s="19" t="inlineStr">
        <is>
          <t>ST-081</t>
        </is>
      </c>
      <c r="B84" s="19" t="inlineStr">
        <is>
          <t>E8</t>
        </is>
      </c>
      <c r="C84" s="19" t="inlineStr">
        <is>
          <t>Onboarding/docs/support</t>
        </is>
      </c>
      <c r="D84" s="19" t="inlineStr">
        <is>
          <t>In-app chat with &lt;4 business-hr first response</t>
        </is>
      </c>
      <c r="E84" s="19" t="n">
        <v>3</v>
      </c>
      <c r="F84" s="19" t="inlineStr">
        <is>
          <t>P0</t>
        </is>
      </c>
      <c r="G84" s="19" t="inlineStr">
        <is>
          <t>S10</t>
        </is>
      </c>
      <c r="H84" s="19" t="inlineStr">
        <is>
          <t>SCR-9 Help / SCR-1</t>
        </is>
      </c>
      <c r="I84" s="19" t="inlineStr">
        <is>
          <t>Jest 100% cov (completionWave suite)</t>
        </is>
      </c>
      <c r="J84" s="24" t="inlineStr">
        <is>
          <t>Code-complete pending live</t>
        </is>
      </c>
      <c r="K84" s="19" t="inlineStr">
        <is>
          <t>src/chat.ts built-in chat + 4-BUSINESS-HOUR SLA engine (business-minutes clock skips nights/weekends, breach detection, ranked unanswered queue); vendor decision now OPTIONAL — D-SD4</t>
        </is>
      </c>
    </row>
    <row r="85" ht="26.25" customHeight="1" s="15">
      <c r="A85" s="19" t="inlineStr">
        <is>
          <t>ST-082</t>
        </is>
      </c>
      <c r="B85" s="19" t="inlineStr">
        <is>
          <t>E8</t>
        </is>
      </c>
      <c r="C85" s="19" t="inlineStr">
        <is>
          <t>Onboarding/docs/support</t>
        </is>
      </c>
      <c r="D85" s="19" t="inlineStr">
        <is>
          <t>In-app review ask after aha-moment (marketplace rating engine)</t>
        </is>
      </c>
      <c r="E85" s="19" t="n">
        <v>3</v>
      </c>
      <c r="F85" s="19" t="inlineStr">
        <is>
          <t>P1</t>
        </is>
      </c>
      <c r="G85" s="19" t="inlineStr">
        <is>
          <t>S11</t>
        </is>
      </c>
      <c r="H85" s="19" t="inlineStr">
        <is>
          <t>SCR-9 Help / SCR-1</t>
        </is>
      </c>
      <c r="I85" s="19" t="inlineStr">
        <is>
          <t>Jest unit/integration 100% cov</t>
        </is>
      </c>
      <c r="J85" s="23" t="inlineStr">
        <is>
          <t>Done</t>
        </is>
      </c>
      <c r="K85" s="19" t="inlineStr">
        <is>
          <t>src/onboarding.ts + src/ui/screens.tsx | tests/onboarding.test.ts + tests/ui.screens.test.tsx | Built + covered at 100% this session</t>
        </is>
      </c>
    </row>
    <row r="86" ht="39" customHeight="1" s="15">
      <c r="A86" s="19" t="inlineStr">
        <is>
          <t>ST-083</t>
        </is>
      </c>
      <c r="B86" s="19" t="inlineStr">
        <is>
          <t>E8</t>
        </is>
      </c>
      <c r="C86" s="19" t="inlineStr">
        <is>
          <t>Onboarding/docs/support</t>
        </is>
      </c>
      <c r="D86" s="19" t="inlineStr">
        <is>
          <t>Demo video (2 min) + interactive sandbox/demo data mode</t>
        </is>
      </c>
      <c r="E86" s="19" t="n">
        <v>5</v>
      </c>
      <c r="F86" s="19" t="inlineStr">
        <is>
          <t>P1</t>
        </is>
      </c>
      <c r="G86" s="19" t="inlineStr">
        <is>
          <t>S10</t>
        </is>
      </c>
      <c r="H86" s="19" t="inlineStr">
        <is>
          <t>SCR-9 Help / SCR-1</t>
        </is>
      </c>
      <c r="I86" s="19" t="inlineStr">
        <is>
          <t>Partial evidence in col K</t>
        </is>
      </c>
      <c r="J86" s="24" t="inlineStr">
        <is>
          <t>In progress</t>
        </is>
      </c>
      <c r="K86" s="19" t="inlineStr">
        <is>
          <t>src/onboarding.ts + src/ui/screens.tsx | tests/onboarding.test.ts + tests/ui.screens.test.tsx | Sandbox shipped + tested; 2-min video SCRIPT drafted (content/demo-video-script.md); recording pending</t>
        </is>
      </c>
    </row>
    <row r="87" ht="26.25" customHeight="1" s="15">
      <c r="A87" s="19" t="inlineStr">
        <is>
          <t>ST-084</t>
        </is>
      </c>
      <c r="B87" s="19" t="inlineStr">
        <is>
          <t>E8</t>
        </is>
      </c>
      <c r="C87" s="19" t="inlineStr">
        <is>
          <t>Onboarding/docs/support</t>
        </is>
      </c>
      <c r="D87" s="19" t="inlineStr">
        <is>
          <t>Status page + incident comms template</t>
        </is>
      </c>
      <c r="E87" s="19" t="n">
        <v>2</v>
      </c>
      <c r="F87" s="19" t="inlineStr">
        <is>
          <t>P2</t>
        </is>
      </c>
      <c r="G87" s="19" t="inlineStr">
        <is>
          <t>S10</t>
        </is>
      </c>
      <c r="H87" s="19" t="inlineStr">
        <is>
          <t>SCR-9 Help / SCR-1</t>
        </is>
      </c>
      <c r="I87" s="19" t="inlineStr">
        <is>
          <t>Draft review (Senthil)</t>
        </is>
      </c>
      <c r="J87" s="24" t="inlineStr">
        <is>
          <t>Drafted</t>
        </is>
      </c>
      <c r="K87" s="19" t="inlineStr">
        <is>
          <t>content/ (drafts) | — | Incident comms template drafted (content/); hosted status page pending</t>
        </is>
      </c>
    </row>
    <row r="88" ht="26.25" customHeight="1" s="15">
      <c r="A88" s="19" t="inlineStr">
        <is>
          <t>ST-085</t>
        </is>
      </c>
      <c r="B88" s="19" t="inlineStr">
        <is>
          <t>EQ</t>
        </is>
      </c>
      <c r="C88" s="19" t="inlineStr">
        <is>
          <t>Quality engineering</t>
        </is>
      </c>
      <c r="D88" s="19" t="inlineStr">
        <is>
          <t>Unit+integration test coverage gate ≥70% on core modules</t>
        </is>
      </c>
      <c r="E88" s="19" t="n">
        <v>5</v>
      </c>
      <c r="F88" s="19" t="inlineStr">
        <is>
          <t>P0</t>
        </is>
      </c>
      <c r="G88" s="19" t="inlineStr">
        <is>
          <t>S3</t>
        </is>
      </c>
      <c r="H88" s="19" t="inlineStr">
        <is>
          <t>(cross-cutting)</t>
        </is>
      </c>
      <c r="I88" s="19" t="inlineStr">
        <is>
          <t>Jest unit/integration 100% cov</t>
        </is>
      </c>
      <c r="J88" s="23" t="inlineStr">
        <is>
          <t>Done</t>
        </is>
      </c>
      <c r="K88" s="19" t="inlineStr">
        <is>
          <t>jest.config.js coverageThreshold 100 | all 15 suites | Built + covered at 100% this session</t>
        </is>
      </c>
    </row>
    <row r="89" ht="26.25" customHeight="1" s="15">
      <c r="A89" s="19" t="inlineStr">
        <is>
          <t>ST-086</t>
        </is>
      </c>
      <c r="B89" s="19" t="inlineStr">
        <is>
          <t>EQ</t>
        </is>
      </c>
      <c r="C89" s="19" t="inlineStr">
        <is>
          <t>Quality engineering</t>
        </is>
      </c>
      <c r="D89" s="19" t="inlineStr">
        <is>
          <t>E2E smoke suite runs on every deploy</t>
        </is>
      </c>
      <c r="E89" s="19" t="n">
        <v>5</v>
      </c>
      <c r="F89" s="19" t="inlineStr">
        <is>
          <t>P0</t>
        </is>
      </c>
      <c r="G89" s="19" t="inlineStr">
        <is>
          <t>S4</t>
        </is>
      </c>
      <c r="H89" s="19" t="inlineStr">
        <is>
          <t>(cross-cutting)</t>
        </is>
      </c>
      <c r="I89" s="19" t="inlineStr">
        <is>
          <t>Jest unit/integration 100% cov</t>
        </is>
      </c>
      <c r="J89" s="23" t="inlineStr">
        <is>
          <t>Done</t>
        </is>
      </c>
      <c r="K89" s="19" t="inlineStr">
        <is>
          <t>src/api.ts + .github/workflows/ci.yml | tests/api.e2e.test.ts | Built + covered at 100% this session</t>
        </is>
      </c>
    </row>
    <row r="90" ht="15" customHeight="1" s="15">
      <c r="A90" s="19" t="inlineStr">
        <is>
          <t>ST-087</t>
        </is>
      </c>
      <c r="B90" s="19" t="inlineStr">
        <is>
          <t>EQ</t>
        </is>
      </c>
      <c r="C90" s="19" t="inlineStr">
        <is>
          <t>Quality engineering</t>
        </is>
      </c>
      <c r="D90" s="19" t="inlineStr">
        <is>
          <t>p95 latency budgets defined and monitored per surface</t>
        </is>
      </c>
      <c r="E90" s="19" t="n">
        <v>3</v>
      </c>
      <c r="F90" s="19" t="inlineStr">
        <is>
          <t>P0</t>
        </is>
      </c>
      <c r="G90" s="19" t="inlineStr">
        <is>
          <t>S8</t>
        </is>
      </c>
      <c r="H90" s="19" t="inlineStr">
        <is>
          <t>(cross-cutting)</t>
        </is>
      </c>
      <c r="I90" s="19" t="inlineStr">
        <is>
          <t>Jest unit/integration 100% cov</t>
        </is>
      </c>
      <c r="J90" s="23" t="inlineStr">
        <is>
          <t>Done</t>
        </is>
      </c>
      <c r="K90" s="19" t="inlineStr">
        <is>
          <t>src/perf.ts | tests/perf.test.ts | Built + covered at 100% this session</t>
        </is>
      </c>
    </row>
    <row r="91" ht="15" customHeight="1" s="15">
      <c r="A91" s="19" t="inlineStr">
        <is>
          <t>ST-088</t>
        </is>
      </c>
      <c r="B91" s="19" t="inlineStr">
        <is>
          <t>EQ</t>
        </is>
      </c>
      <c r="C91" s="19" t="inlineStr">
        <is>
          <t>Quality engineering</t>
        </is>
      </c>
      <c r="D91" s="19" t="inlineStr">
        <is>
          <t>Load test at 5x expected launch traffic</t>
        </is>
      </c>
      <c r="E91" s="19" t="n">
        <v>5</v>
      </c>
      <c r="F91" s="19" t="inlineStr">
        <is>
          <t>P1</t>
        </is>
      </c>
      <c r="G91" s="19" t="inlineStr">
        <is>
          <t>S8</t>
        </is>
      </c>
      <c r="H91" s="19" t="inlineStr">
        <is>
          <t>(cross-cutting)</t>
        </is>
      </c>
      <c r="I91" s="19" t="inlineStr">
        <is>
          <t>Draft review (Senthil); execution live-gated</t>
        </is>
      </c>
      <c r="J91" s="24" t="inlineStr">
        <is>
          <t>Drafted</t>
        </is>
      </c>
      <c r="K91" s="19" t="inlineStr">
        <is>
          <t>k6 harness scripted: load/k6-load-sweep.js — ramp to 500 VUs (5x expected 100 concurrent), thresholds mirror perf budgets (api p95&lt;500ms, bot p95&lt;800ms, err&lt;1%); execution needs live/staging infra</t>
        </is>
      </c>
    </row>
    <row r="92" ht="26.25" customHeight="1" s="15">
      <c r="A92" s="19" t="inlineStr">
        <is>
          <t>ST-089</t>
        </is>
      </c>
      <c r="B92" s="19" t="inlineStr">
        <is>
          <t>EQ</t>
        </is>
      </c>
      <c r="C92" s="19" t="inlineStr">
        <is>
          <t>Quality engineering</t>
        </is>
      </c>
      <c r="D92" s="19" t="inlineStr">
        <is>
          <t>Accessibility WCAG AA pass on primary flows</t>
        </is>
      </c>
      <c r="E92" s="19" t="n">
        <v>3</v>
      </c>
      <c r="F92" s="19" t="inlineStr">
        <is>
          <t>P1</t>
        </is>
      </c>
      <c r="G92" s="19" t="inlineStr">
        <is>
          <t>S9</t>
        </is>
      </c>
      <c r="H92" s="19" t="inlineStr">
        <is>
          <t>(cross-cutting)</t>
        </is>
      </c>
      <c r="I92" s="19" t="inlineStr">
        <is>
          <t>Tests pass; live verification pending</t>
        </is>
      </c>
      <c r="J92" s="24" t="inlineStr">
        <is>
          <t>Code-complete pending live</t>
        </is>
      </c>
      <c r="K92" s="19" t="inlineStr">
        <is>
          <t>— | tests/a11y.test.tsx (jest-axe, 9 screens) | Automated WCAG pass: jest-axe on all 9 screens in CI; manual audit on live UI pending</t>
        </is>
      </c>
    </row>
    <row r="93" ht="15" customHeight="1" s="15">
      <c r="A93" s="19" t="inlineStr">
        <is>
          <t>ST-090</t>
        </is>
      </c>
      <c r="B93" s="19" t="inlineStr">
        <is>
          <t>EQ</t>
        </is>
      </c>
      <c r="C93" s="19" t="inlineStr">
        <is>
          <t>Quality engineering</t>
        </is>
      </c>
      <c r="D93" s="19" t="inlineStr">
        <is>
          <t>Backup + restore drill executed</t>
        </is>
      </c>
      <c r="E93" s="19" t="n">
        <v>3</v>
      </c>
      <c r="F93" s="19" t="inlineStr">
        <is>
          <t>P1</t>
        </is>
      </c>
      <c r="G93" s="19" t="inlineStr">
        <is>
          <t>S9</t>
        </is>
      </c>
      <c r="H93" s="19" t="inlineStr">
        <is>
          <t>(cross-cutting)</t>
        </is>
      </c>
      <c r="I93" s="19" t="inlineStr">
        <is>
          <t>Draft review (Senthil); execution live-gated</t>
        </is>
      </c>
      <c r="J93" s="24" t="inlineStr">
        <is>
          <t>Drafted</t>
        </is>
      </c>
      <c r="K93" s="19" t="inlineStr">
        <is>
          <t>Backup/restore drill scripted: ops/backup-restore-drill.md — sentinel-row method, RTO&lt;60min/RPO&lt;15min pass bar, sweep 12/12; execution needs live Postgres</t>
        </is>
      </c>
    </row>
    <row r="94" ht="26.25" customHeight="1" s="15">
      <c r="A94" s="19" t="inlineStr">
        <is>
          <t>ST-091</t>
        </is>
      </c>
      <c r="B94" s="19" t="inlineStr">
        <is>
          <t>EQ</t>
        </is>
      </c>
      <c r="C94" s="19" t="inlineStr">
        <is>
          <t>Quality engineering</t>
        </is>
      </c>
      <c r="D94" s="19" t="inlineStr">
        <is>
          <t>Chaos test: platform API outage degrades gracefully with user comms</t>
        </is>
      </c>
      <c r="E94" s="19" t="n">
        <v>3</v>
      </c>
      <c r="F94" s="19" t="inlineStr">
        <is>
          <t>P2</t>
        </is>
      </c>
      <c r="G94" s="19" t="inlineStr">
        <is>
          <t>S9</t>
        </is>
      </c>
      <c r="H94" s="19" t="inlineStr">
        <is>
          <t>(cross-cutting)</t>
        </is>
      </c>
      <c r="I94" s="19" t="inlineStr">
        <is>
          <t>Jest unit/integration 100% cov</t>
        </is>
      </c>
      <c r="J94" s="23" t="inlineStr">
        <is>
          <t>Done</t>
        </is>
      </c>
      <c r="K94" s="19" t="inlineStr">
        <is>
          <t>src/platformGateway.ts (degradedMessage) | tests/platformGateway.test.ts | Built + covered at 100% this session</t>
        </is>
      </c>
    </row>
    <row r="95" ht="15" customHeight="1" s="15">
      <c r="A95" s="19" t="inlineStr">
        <is>
          <t>ST-092</t>
        </is>
      </c>
      <c r="B95" s="19" t="inlineStr">
        <is>
          <t>EQ</t>
        </is>
      </c>
      <c r="C95" s="19" t="inlineStr">
        <is>
          <t>Quality engineering</t>
        </is>
      </c>
      <c r="D95" s="19" t="inlineStr">
        <is>
          <t>Zero-downtime deploy verified (blue/green or rolling)</t>
        </is>
      </c>
      <c r="E95" s="19" t="n">
        <v>3</v>
      </c>
      <c r="F95" s="19" t="inlineStr">
        <is>
          <t>P2</t>
        </is>
      </c>
      <c r="G95" s="19" t="inlineStr">
        <is>
          <t>S8</t>
        </is>
      </c>
      <c r="H95" s="19" t="inlineStr">
        <is>
          <t>(cross-cutting)</t>
        </is>
      </c>
      <c r="I95" s="19" t="inlineStr">
        <is>
          <t>Draft review (Senthil); execution live-gated</t>
        </is>
      </c>
      <c r="J95" s="24" t="inlineStr">
        <is>
          <t>Drafted</t>
        </is>
      </c>
      <c r="K95" s="19" t="inlineStr">
        <is>
          <t>Blue/green workflow committed: .github/workflows/deploy.yml — gate (100% tests) -&gt; green deploy -&gt; E2E smoke -&gt; manual-approved traffic switch, blue kept 24h; verify on live infra</t>
        </is>
      </c>
    </row>
    <row r="96" ht="26.25" customHeight="1" s="15">
      <c r="A96" s="19" t="inlineStr">
        <is>
          <t>ST-093</t>
        </is>
      </c>
      <c r="B96" s="19" t="inlineStr">
        <is>
          <t>EL</t>
        </is>
      </c>
      <c r="C96" s="19" t="inlineStr">
        <is>
          <t>Listing/launch</t>
        </is>
      </c>
      <c r="D96" s="19" t="inlineStr">
        <is>
          <t>Marketplace listing copy A + B variants drafted and reviewed</t>
        </is>
      </c>
      <c r="E96" s="19" t="n">
        <v>3</v>
      </c>
      <c r="F96" s="19" t="inlineStr">
        <is>
          <t>P0</t>
        </is>
      </c>
      <c r="G96" s="19" t="inlineStr">
        <is>
          <t>S9</t>
        </is>
      </c>
      <c r="H96" s="19" t="inlineStr">
        <is>
          <t>(marketplace listing)</t>
        </is>
      </c>
      <c r="I96" s="19" t="inlineStr">
        <is>
          <t>Draft review (Senthil)</t>
        </is>
      </c>
      <c r="J96" s="24" t="inlineStr">
        <is>
          <t>Drafted</t>
        </is>
      </c>
      <c r="K96" s="19" t="inlineStr">
        <is>
          <t>content/ (drafts) | — | Listing copy A (benefit-led) + B (problem-led) drafted (content/); review = Senthil</t>
        </is>
      </c>
    </row>
    <row r="97" ht="15" customHeight="1" s="15">
      <c r="A97" s="19" t="inlineStr">
        <is>
          <t>ST-094</t>
        </is>
      </c>
      <c r="B97" s="19" t="inlineStr">
        <is>
          <t>EL</t>
        </is>
      </c>
      <c r="C97" s="19" t="inlineStr">
        <is>
          <t>Listing/launch</t>
        </is>
      </c>
      <c r="D97" s="19" t="inlineStr">
        <is>
          <t>5 screenshots + 2-min demo video meet platform asset specs</t>
        </is>
      </c>
      <c r="E97" s="19" t="n">
        <v>5</v>
      </c>
      <c r="F97" s="19" t="inlineStr">
        <is>
          <t>P0</t>
        </is>
      </c>
      <c r="G97" s="19" t="inlineStr">
        <is>
          <t>S9</t>
        </is>
      </c>
      <c r="H97" s="19" t="inlineStr">
        <is>
          <t>(marketplace listing)</t>
        </is>
      </c>
      <c r="I97" s="19" t="inlineStr">
        <is>
          <t>Plan review (Senthil)</t>
        </is>
      </c>
      <c r="J97" s="24" t="inlineStr">
        <is>
          <t>In progress</t>
        </is>
      </c>
      <c r="K97" s="19" t="inlineStr">
        <is>
          <t>ASSET_PLAN.md + web-dist/demo.html | tests/manifest.test.ts | draft captures possible pre-tenant at verified 1366x768; finals need live client</t>
        </is>
      </c>
    </row>
    <row r="98" ht="26.25" customHeight="1" s="15">
      <c r="A98" s="19" t="inlineStr">
        <is>
          <t>ST-095</t>
        </is>
      </c>
      <c r="B98" s="19" t="inlineStr">
        <is>
          <t>EL</t>
        </is>
      </c>
      <c r="C98" s="19" t="inlineStr">
        <is>
          <t>Listing/launch</t>
        </is>
      </c>
      <c r="D98" s="19" t="inlineStr">
        <is>
          <t>Pricing page/plan matrix published with FAQ</t>
        </is>
      </c>
      <c r="E98" s="19" t="n">
        <v>3</v>
      </c>
      <c r="F98" s="19" t="inlineStr">
        <is>
          <t>P0</t>
        </is>
      </c>
      <c r="G98" s="19" t="inlineStr">
        <is>
          <t>S10</t>
        </is>
      </c>
      <c r="H98" s="19" t="inlineStr">
        <is>
          <t>(marketplace listing)</t>
        </is>
      </c>
      <c r="I98" s="19" t="inlineStr">
        <is>
          <t>Draft review (Senthil)</t>
        </is>
      </c>
      <c r="J98" s="24" t="inlineStr">
        <is>
          <t>Drafted</t>
        </is>
      </c>
      <c r="K98" s="19" t="inlineStr">
        <is>
          <t>content/ (drafts) | — | Plan matrix + 6-question FAQ drafted (content/pricing-faq.md); publish pending</t>
        </is>
      </c>
    </row>
    <row r="99" ht="26.25" customHeight="1" s="15">
      <c r="A99" s="19" t="inlineStr">
        <is>
          <t>ST-096</t>
        </is>
      </c>
      <c r="B99" s="19" t="inlineStr">
        <is>
          <t>EL</t>
        </is>
      </c>
      <c r="C99" s="19" t="inlineStr">
        <is>
          <t>Listing/launch</t>
        </is>
      </c>
      <c r="D99" s="19" t="inlineStr">
        <is>
          <t>Security/trust page (data handling, subprocessors) live</t>
        </is>
      </c>
      <c r="E99" s="19" t="n">
        <v>3</v>
      </c>
      <c r="F99" s="19" t="inlineStr">
        <is>
          <t>P0</t>
        </is>
      </c>
      <c r="G99" s="19" t="inlineStr">
        <is>
          <t>S10</t>
        </is>
      </c>
      <c r="H99" s="19" t="inlineStr">
        <is>
          <t>(marketplace listing)</t>
        </is>
      </c>
      <c r="I99" s="19" t="inlineStr">
        <is>
          <t>Draft review (Senthil)</t>
        </is>
      </c>
      <c r="J99" s="24" t="inlineStr">
        <is>
          <t>Drafted</t>
        </is>
      </c>
      <c r="K99" s="19" t="inlineStr">
        <is>
          <t>content/ (drafts) | — | Security &amp; trust page drafted (content/security-trust-page.md); publish pending</t>
        </is>
      </c>
    </row>
    <row r="100" ht="26.25" customHeight="1" s="15">
      <c r="A100" s="19" t="inlineStr">
        <is>
          <t>ST-097</t>
        </is>
      </c>
      <c r="B100" s="19" t="inlineStr">
        <is>
          <t>EL</t>
        </is>
      </c>
      <c r="C100" s="19" t="inlineStr">
        <is>
          <t>Listing/launch</t>
        </is>
      </c>
      <c r="D100" s="19" t="inlineStr">
        <is>
          <t>Submission dry-run against platform checklist by second reviewer</t>
        </is>
      </c>
      <c r="E100" s="19" t="n">
        <v>3</v>
      </c>
      <c r="F100" s="19" t="inlineStr">
        <is>
          <t>P0</t>
        </is>
      </c>
      <c r="G100" s="19" t="inlineStr">
        <is>
          <t>S10</t>
        </is>
      </c>
      <c r="H100" s="19" t="inlineStr">
        <is>
          <t>(marketplace listing)</t>
        </is>
      </c>
      <c r="I100" s="19" t="inlineStr">
        <is>
          <t>Partial evidence in col K</t>
        </is>
      </c>
      <c r="J100" s="24" t="inlineStr">
        <is>
          <t>In progress</t>
        </is>
      </c>
      <c r="K100" s="19" t="inlineStr">
        <is>
          <t>REVIEW_PACK.md | Review_Findings (workbook v010) | cold self-review pass 1 done; external pass owed for independence</t>
        </is>
      </c>
    </row>
    <row r="101" ht="26.25" customHeight="1" s="15">
      <c r="A101" s="19" t="inlineStr">
        <is>
          <t>ST-098</t>
        </is>
      </c>
      <c r="B101" s="19" t="inlineStr">
        <is>
          <t>EL</t>
        </is>
      </c>
      <c r="C101" s="19" t="inlineStr">
        <is>
          <t>Listing/launch</t>
        </is>
      </c>
      <c r="D101" s="19" t="inlineStr">
        <is>
          <t>Launch-day runbook: monitoring, rollback, comms tree</t>
        </is>
      </c>
      <c r="E101" s="19" t="n">
        <v>3</v>
      </c>
      <c r="F101" s="19" t="inlineStr">
        <is>
          <t>P1</t>
        </is>
      </c>
      <c r="G101" s="19" t="inlineStr">
        <is>
          <t>S11</t>
        </is>
      </c>
      <c r="H101" s="19" t="inlineStr">
        <is>
          <t>(marketplace listing)</t>
        </is>
      </c>
      <c r="I101" s="19" t="inlineStr">
        <is>
          <t>Draft review (Senthil)</t>
        </is>
      </c>
      <c r="J101" s="24" t="inlineStr">
        <is>
          <t>Drafted</t>
        </is>
      </c>
      <c r="K101" s="19" t="inlineStr">
        <is>
          <t>content/ (drafts) | — | Launch-day runbook drafted (content/launch-runbook.md) incl. rollback triggers + comms tree</t>
        </is>
      </c>
    </row>
    <row r="102" ht="15" customHeight="1" s="15">
      <c r="A102" s="19" t="inlineStr">
        <is>
          <t>ST-099</t>
        </is>
      </c>
      <c r="B102" s="19" t="inlineStr">
        <is>
          <t>EL</t>
        </is>
      </c>
      <c r="C102" s="19" t="inlineStr">
        <is>
          <t>Listing/launch</t>
        </is>
      </c>
      <c r="D102" s="19" t="inlineStr">
        <is>
          <t>Post-launch listing SEO iteration 1 from search-term data</t>
        </is>
      </c>
      <c r="E102" s="19" t="n">
        <v>2</v>
      </c>
      <c r="F102" s="19" t="inlineStr">
        <is>
          <t>P2</t>
        </is>
      </c>
      <c r="G102" s="19" t="inlineStr">
        <is>
          <t>S12</t>
        </is>
      </c>
      <c r="H102" s="19" t="inlineStr">
        <is>
          <t>(marketplace listing)</t>
        </is>
      </c>
      <c r="I102" s="19" t="inlineStr">
        <is>
          <t>Jest 100% cov (completionWave suite)</t>
        </is>
      </c>
      <c r="J102" s="24" t="inlineStr">
        <is>
          <t>Code-complete pending live</t>
        </is>
      </c>
      <c r="K102" s="19" t="inlineStr">
        <is>
          <t>src/seo.ts SEO iteration engine sandbox half (CTR, A/B winner pick, keyword drop/investigate, 100-impression thin-data floor); live half needs post-launch search-term data</t>
        </is>
      </c>
    </row>
    <row r="103" ht="15" customHeight="1" s="15">
      <c r="A103" s="19" t="inlineStr">
        <is>
          <t>ST-100</t>
        </is>
      </c>
      <c r="B103" s="19" t="inlineStr">
        <is>
          <t>EL</t>
        </is>
      </c>
      <c r="C103" s="19" t="inlineStr">
        <is>
          <t>Listing/launch</t>
        </is>
      </c>
      <c r="D103" s="19" t="inlineStr">
        <is>
          <t>First 10 design-partner reviews scheduled</t>
        </is>
      </c>
      <c r="E103" s="19" t="n">
        <v>2</v>
      </c>
      <c r="F103" s="19" t="inlineStr">
        <is>
          <t>P1</t>
        </is>
      </c>
      <c r="G103" s="19" t="inlineStr">
        <is>
          <t>S11</t>
        </is>
      </c>
      <c r="H103" s="19" t="inlineStr">
        <is>
          <t>(marketplace listing)</t>
        </is>
      </c>
      <c r="I103" s="19" t="inlineStr">
        <is>
          <t>Jest 100% cov (completionWave suite)</t>
        </is>
      </c>
      <c r="J103" s="24" t="inlineStr">
        <is>
          <t>Code-complete pending live</t>
        </is>
      </c>
      <c r="K103" s="19" t="inlineStr">
        <is>
          <t>src/partners.ts 10-slot tracker with stale-nudge + honest exit math (S7 exit = 3+ weekly-active; G-02 counts ONLY paying strangers, partner reviews never inflate the gate); outreach = Senthil</t>
        </is>
      </c>
    </row>
    <row r="104">
      <c r="A104" s="21" t="inlineStr">
        <is>
          <t>SD201</t>
        </is>
      </c>
      <c r="B104" s="21" t="inlineStr">
        <is>
          <t>E13</t>
        </is>
      </c>
      <c r="C104" s="21" t="inlineStr">
        <is>
          <t>Trust boundaries for real</t>
        </is>
      </c>
      <c r="D104" s="21" t="inlineStr">
        <is>
          <t>JWKS-backed Entra signature verification for tab SSO</t>
        </is>
      </c>
      <c r="E104" s="21" t="n">
        <v>8</v>
      </c>
      <c r="F104" s="21" t="inlineStr">
        <is>
          <t>P0</t>
        </is>
      </c>
      <c r="G104" s="21" t="inlineStr">
        <is>
          <t>S13</t>
        </is>
      </c>
      <c r="H104" s="21" t="inlineStr">
        <is>
          <t>(request boundary — no screen)</t>
        </is>
      </c>
      <c r="I104" s="21" t="inlineStr">
        <is>
          <t>Jest 100% unit</t>
        </is>
      </c>
      <c r="J104" s="28" t="inlineStr">
        <is>
          <t>Done</t>
        </is>
      </c>
      <c r="K104" s="21" t="inlineStr">
        <is>
          <t>Closes P-001. Code: src/jwt.ts + src/jwks.ts + src/entraVerifier.ts | Tests: tests/trustBoundaries.test.ts | RS256 only; unknown kid triggers at most one metadata refresh per minRefreshGapMs with a single in-flight fetch. Rejection reasons counted, not swallowed. Constructed by name in compose().</t>
        </is>
      </c>
    </row>
    <row r="105">
      <c r="A105" s="21" t="inlineStr">
        <is>
          <t>SD202</t>
        </is>
      </c>
      <c r="B105" s="21" t="inlineStr">
        <is>
          <t>E13</t>
        </is>
      </c>
      <c r="C105" s="21" t="inlineStr">
        <is>
          <t>Trust boundaries for real</t>
        </is>
      </c>
      <c r="D105" s="21" t="inlineStr">
        <is>
          <t>Bot Connector JWT verification</t>
        </is>
      </c>
      <c r="E105" s="21" t="n">
        <v>8</v>
      </c>
      <c r="F105" s="21" t="inlineStr">
        <is>
          <t>P0</t>
        </is>
      </c>
      <c r="G105" s="21" t="inlineStr">
        <is>
          <t>S13</t>
        </is>
      </c>
      <c r="H105" s="21" t="inlineStr">
        <is>
          <t>(request boundary — no screen)</t>
        </is>
      </c>
      <c r="I105" s="21" t="inlineStr">
        <is>
          <t>Jest 100% unit</t>
        </is>
      </c>
      <c r="J105" s="28" t="inlineStr">
        <is>
          <t>Done</t>
        </is>
      </c>
      <c r="K105" s="21" t="inlineStr">
        <is>
          <t>Closes P-002. Code: src/connectorAuth.ts | Tests: tests/trustBoundaries.test.ts | Issuer pinned to https://api.botframework.com, audience = bot app id, serviceUrl bound to the activity and re-checked against the host allowlist, 300s skew.</t>
        </is>
      </c>
    </row>
    <row r="106">
      <c r="A106" s="21" t="inlineStr">
        <is>
          <t>SD203</t>
        </is>
      </c>
      <c r="B106" s="21" t="inlineStr">
        <is>
          <t>E13</t>
        </is>
      </c>
      <c r="C106" s="21" t="inlineStr">
        <is>
          <t>Trust boundaries for real</t>
        </is>
      </c>
      <c r="D106" s="21" t="inlineStr">
        <is>
          <t>Dev bypass fenced by environment</t>
        </is>
      </c>
      <c r="E106" s="21" t="n">
        <v>3</v>
      </c>
      <c r="F106" s="21" t="inlineStr">
        <is>
          <t>P0</t>
        </is>
      </c>
      <c r="G106" s="21" t="inlineStr">
        <is>
          <t>S13</t>
        </is>
      </c>
      <c r="H106" s="21" t="inlineStr">
        <is>
          <t>(request boundary — no screen)</t>
        </is>
      </c>
      <c r="I106" s="21" t="inlineStr">
        <is>
          <t>Jest 100% unit</t>
        </is>
      </c>
      <c r="J106" s="28" t="inlineStr">
        <is>
          <t>Done</t>
        </is>
      </c>
      <c r="K106" s="21" t="inlineStr">
        <is>
          <t>Closes P-001. Code: src/config.ts + scripts/serve.ts NON_PRODUCTION_IMPLEMENTATIONS | Tests: tests/trustBoundaries.test.ts + tests/config.test.ts | environment unset now means production, not dev — the safe default. compose() refuses to serve when any dev-only implementation appears outside dev.</t>
        </is>
      </c>
    </row>
    <row r="107">
      <c r="A107" s="21" t="inlineStr">
        <is>
          <t>SD204</t>
        </is>
      </c>
      <c r="B107" s="21" t="inlineStr">
        <is>
          <t>E13</t>
        </is>
      </c>
      <c r="C107" s="21" t="inlineStr">
        <is>
          <t>Trust boundaries for real</t>
        </is>
      </c>
      <c r="D107" s="21" t="inlineStr">
        <is>
          <t>Production-seam wiring assertion</t>
        </is>
      </c>
      <c r="E107" s="21" t="n">
        <v>5</v>
      </c>
      <c r="F107" s="21" t="inlineStr">
        <is>
          <t>P0</t>
        </is>
      </c>
      <c r="G107" s="21" t="inlineStr">
        <is>
          <t>S13</t>
        </is>
      </c>
      <c r="H107" s="21" t="inlineStr">
        <is>
          <t>(request boundary — no screen)</t>
        </is>
      </c>
      <c r="I107" s="21" t="inlineStr">
        <is>
          <t>Jest 100% unit</t>
        </is>
      </c>
      <c r="J107" s="28" t="inlineStr">
        <is>
          <t>Done</t>
        </is>
      </c>
      <c r="K107" s="21" t="inlineStr">
        <is>
          <t>Closes P-017 / P-016. Code: scripts/serve.ts compose() returns a named seams record | Tests: tests/serve.test.ts + tests/v046Closeout.test.ts | Third tier of D-SD7. The same check runs at boot, so a mis-wired deployment refuses to serve rather than serving insecurely.</t>
        </is>
      </c>
    </row>
    <row r="108">
      <c r="A108" s="21" t="inlineStr">
        <is>
          <t>SD205</t>
        </is>
      </c>
      <c r="B108" s="21" t="inlineStr">
        <is>
          <t>E13</t>
        </is>
      </c>
      <c r="C108" s="21" t="inlineStr">
        <is>
          <t>Trust boundaries for real</t>
        </is>
      </c>
      <c r="D108" s="21" t="inlineStr">
        <is>
          <t>Request hardening: body cap + rate limits</t>
        </is>
      </c>
      <c r="E108" s="21" t="n">
        <v>8</v>
      </c>
      <c r="F108" s="21" t="inlineStr">
        <is>
          <t>P0</t>
        </is>
      </c>
      <c r="G108" s="21" t="inlineStr">
        <is>
          <t>S13</t>
        </is>
      </c>
      <c r="H108" s="21" t="inlineStr">
        <is>
          <t>(request boundary — no screen)</t>
        </is>
      </c>
      <c r="I108" s="21" t="inlineStr">
        <is>
          <t>Jest 100% unit</t>
        </is>
      </c>
      <c r="J108" s="28" t="inlineStr">
        <is>
          <t>Done</t>
        </is>
      </c>
      <c r="K108" s="21" t="inlineStr">
        <is>
          <t>Closes P-007. Code: src/requestGuard.ts + src/server.ts | Tests: tests/requestHardening.test.ts | readBodyCapped throws mid-stream rather than buffering to the cap. clientAddress honours X-Forwarded-For only when trustProxy is set.</t>
        </is>
      </c>
    </row>
    <row r="109">
      <c r="A109" s="21" t="inlineStr">
        <is>
          <t>SD206</t>
        </is>
      </c>
      <c r="B109" s="21" t="inlineStr">
        <is>
          <t>E13</t>
        </is>
      </c>
      <c r="C109" s="21" t="inlineStr">
        <is>
          <t>Trust boundaries for real</t>
        </is>
      </c>
      <c r="D109" s="21" t="inlineStr">
        <is>
          <t>Security headers on every surface</t>
        </is>
      </c>
      <c r="E109" s="21" t="n">
        <v>3</v>
      </c>
      <c r="F109" s="21" t="inlineStr">
        <is>
          <t>P0</t>
        </is>
      </c>
      <c r="G109" s="21" t="inlineStr">
        <is>
          <t>S13</t>
        </is>
      </c>
      <c r="H109" s="21" t="inlineStr">
        <is>
          <t>(request boundary — no screen)</t>
        </is>
      </c>
      <c r="I109" s="21" t="inlineStr">
        <is>
          <t>Jest 100% unit</t>
        </is>
      </c>
      <c r="J109" s="28" t="inlineStr">
        <is>
          <t>Done</t>
        </is>
      </c>
      <c r="K109" s="21" t="inlineStr">
        <is>
          <t>Closes P-008. Code: src/securityHeaders.ts | Tests: tests/requestHardening.test.ts | securityHeaders('tab') allows the Teams frame ancestors and the TeamsJS CDN origin; securityHeaders('api') allows neither.</t>
        </is>
      </c>
    </row>
    <row r="110">
      <c r="A110" s="21" t="inlineStr">
        <is>
          <t>SD207</t>
        </is>
      </c>
      <c r="B110" s="21" t="inlineStr">
        <is>
          <t>E13</t>
        </is>
      </c>
      <c r="C110" s="21" t="inlineStr">
        <is>
          <t>Trust boundaries for real</t>
        </is>
      </c>
      <c r="D110" s="21" t="inlineStr">
        <is>
          <t>Circuit breaker half-open probe</t>
        </is>
      </c>
      <c r="E110" s="21" t="n">
        <v>3</v>
      </c>
      <c r="F110" s="21" t="inlineStr">
        <is>
          <t>P1</t>
        </is>
      </c>
      <c r="G110" s="21" t="inlineStr">
        <is>
          <t>S13</t>
        </is>
      </c>
      <c r="H110" s="21" t="inlineStr">
        <is>
          <t>(request boundary — no screen)</t>
        </is>
      </c>
      <c r="I110" s="21" t="inlineStr">
        <is>
          <t>Jest 100% unit</t>
        </is>
      </c>
      <c r="J110" s="28" t="inlineStr">
        <is>
          <t>Done</t>
        </is>
      </c>
      <c r="K110" s="21" t="inlineStr">
        <is>
          <t>Closes F-007. Code: src/platformGateway.ts | Tests: tests/platformGateway.test.ts + src/slo.ts ALERT_RULES | Closes F-007, open since the first cold review. Breaker-open is one of the eleven alert rules, each carrying the finding that justifies it.</t>
        </is>
      </c>
    </row>
    <row r="111">
      <c r="A111" s="21" t="inlineStr">
        <is>
          <t>SD208</t>
        </is>
      </c>
      <c r="B111" s="21" t="inlineStr">
        <is>
          <t>E14</t>
        </is>
      </c>
      <c r="C111" s="21" t="inlineStr">
        <is>
          <t>Durability for real</t>
        </is>
      </c>
      <c r="D111" s="21" t="inlineStr">
        <is>
          <t>Postgres client wired in the entry point</t>
        </is>
      </c>
      <c r="E111" s="21" t="n">
        <v>5</v>
      </c>
      <c r="F111" s="21" t="inlineStr">
        <is>
          <t>P0</t>
        </is>
      </c>
      <c r="G111" s="21" t="inlineStr">
        <is>
          <t>S14</t>
        </is>
      </c>
      <c r="H111" s="21" t="inlineStr">
        <is>
          <t>(store layer — no screen)</t>
        </is>
      </c>
      <c r="I111" s="21" t="inlineStr">
        <is>
          <t>Jest 100% unit + real-Postgres integration</t>
        </is>
      </c>
      <c r="J111" s="28" t="inlineStr">
        <is>
          <t>Done</t>
        </is>
      </c>
      <c r="K111" s="21" t="inlineStr">
        <is>
          <t>Closes P-003. Code: src/pgClient.ts + package.json dependencies | Tests: tests/v046Branches.test.ts + tests/integration/postgres.integration.test.ts | pg moved from optional to dependencies. poolOptionsFor() is pure and decides TLS by host, so it is testable without a database. F-071 found here.</t>
        </is>
      </c>
    </row>
    <row r="112">
      <c r="A112" s="21" t="inlineStr">
        <is>
          <t>SD209</t>
        </is>
      </c>
      <c r="B112" s="21" t="inlineStr">
        <is>
          <t>E14</t>
        </is>
      </c>
      <c r="C112" s="21" t="inlineStr">
        <is>
          <t>Durability for real</t>
        </is>
      </c>
      <c r="D112" s="21" t="inlineStr">
        <is>
          <t>Refuse to serve non-durably in production</t>
        </is>
      </c>
      <c r="E112" s="21" t="n">
        <v>3</v>
      </c>
      <c r="F112" s="21" t="inlineStr">
        <is>
          <t>P0</t>
        </is>
      </c>
      <c r="G112" s="21" t="inlineStr">
        <is>
          <t>S14</t>
        </is>
      </c>
      <c r="H112" s="21" t="inlineStr">
        <is>
          <t>(store layer — no screen)</t>
        </is>
      </c>
      <c r="I112" s="21" t="inlineStr">
        <is>
          <t>Jest 100% unit</t>
        </is>
      </c>
      <c r="J112" s="28" t="inlineStr">
        <is>
          <t>Done</t>
        </is>
      </c>
      <c r="K112" s="21" t="inlineStr">
        <is>
          <t>Closes P-003. Code: src/bootstrap.ts repositoryFor + src/config.ts | Tests: tests/trustBoundaries.test.ts + tests/bootstrap.test.ts | Also refuses the inverse mistake: a DATABASE_URL with no client supplied is an error, not a silent fall back to memory.</t>
        </is>
      </c>
    </row>
    <row r="113">
      <c r="A113" s="21" t="inlineStr">
        <is>
          <t>SD210</t>
        </is>
      </c>
      <c r="B113" s="21" t="inlineStr">
        <is>
          <t>E14</t>
        </is>
      </c>
      <c r="C113" s="21" t="inlineStr">
        <is>
          <t>Durability for real</t>
        </is>
      </c>
      <c r="D113" s="21" t="inlineStr">
        <is>
          <t>Migration runner</t>
        </is>
      </c>
      <c r="E113" s="21" t="n">
        <v>5</v>
      </c>
      <c r="F113" s="21" t="inlineStr">
        <is>
          <t>P0</t>
        </is>
      </c>
      <c r="G113" s="21" t="inlineStr">
        <is>
          <t>S14</t>
        </is>
      </c>
      <c r="H113" s="21" t="inlineStr">
        <is>
          <t>(store layer — no screen)</t>
        </is>
      </c>
      <c r="I113" s="21" t="inlineStr">
        <is>
          <t>Jest 100% unit + real-Postgres integration</t>
        </is>
      </c>
      <c r="J113" s="28" t="inlineStr">
        <is>
          <t>Done</t>
        </is>
      </c>
      <c r="K113" s="21" t="inlineStr">
        <is>
          <t>Closes P-003. Code: src/migrations.ts + scripts/migrate.ts + migrations/003_record_indexes.sql | Tests: tests/v046Edges.test.ts + integration test 1 | Advisory lock 0x53444d47 serialises concurrent boots; a checksum mismatch on an applied file refuses to run rather than diverging. Verified against real Postgres 16.</t>
        </is>
      </c>
    </row>
    <row r="114">
      <c r="A114" s="21" t="inlineStr">
        <is>
          <t>SD211</t>
        </is>
      </c>
      <c r="B114" s="21" t="inlineStr">
        <is>
          <t>E14</t>
        </is>
      </c>
      <c r="C114" s="21" t="inlineStr">
        <is>
          <t>Durability for real</t>
        </is>
      </c>
      <c r="D114" s="21" t="inlineStr">
        <is>
          <t>Real-Postgres integration tier in CI</t>
        </is>
      </c>
      <c r="E114" s="21" t="n">
        <v>8</v>
      </c>
      <c r="F114" s="21" t="inlineStr">
        <is>
          <t>P0</t>
        </is>
      </c>
      <c r="G114" s="21" t="inlineStr">
        <is>
          <t>S14</t>
        </is>
      </c>
      <c r="H114" s="21" t="inlineStr">
        <is>
          <t>(store layer — no screen)</t>
        </is>
      </c>
      <c r="I114" s="21" t="inlineStr">
        <is>
          <t>Jest 100% unit + real-Postgres integration</t>
        </is>
      </c>
      <c r="J114" s="28" t="inlineStr">
        <is>
          <t>Done</t>
        </is>
      </c>
      <c r="K114" s="21" t="inlineStr">
        <is>
          <t>Closes OBS-SD4 / P-017. Code: jest.integration.config.js + .github/workflows/ci.yml job 2 | Tests: tests/integration/postgres.integration.test.ts (9 tests) | Closes OBS-SD4 ("the SQL fake is not a database"). Ran for real this session against Postgres 16 on port 55432: 9/9 green.</t>
        </is>
      </c>
    </row>
    <row r="115">
      <c r="A115" s="21" t="inlineStr">
        <is>
          <t>SD212</t>
        </is>
      </c>
      <c r="B115" s="21" t="inlineStr">
        <is>
          <t>E14</t>
        </is>
      </c>
      <c r="C115" s="21" t="inlineStr">
        <is>
          <t>Durability for real</t>
        </is>
      </c>
      <c r="D115" s="21" t="inlineStr">
        <is>
          <t>Fix list() version projection</t>
        </is>
      </c>
      <c r="E115" s="21" t="n">
        <v>2</v>
      </c>
      <c r="F115" s="21" t="inlineStr">
        <is>
          <t>P0</t>
        </is>
      </c>
      <c r="G115" s="21" t="inlineStr">
        <is>
          <t>S14</t>
        </is>
      </c>
      <c r="H115" s="21" t="inlineStr">
        <is>
          <t>(store layer — no screen)</t>
        </is>
      </c>
      <c r="I115" s="21" t="inlineStr">
        <is>
          <t>Jest 100% unit + real-Postgres integration</t>
        </is>
      </c>
      <c r="J115" s="28" t="inlineStr">
        <is>
          <t>Done</t>
        </is>
      </c>
      <c r="K115" s="21" t="inlineStr">
        <is>
          <t>Closes P-005. Code: src/repository.ts | Tests: integration test 2 | Proven on a real store, where the defect lived: the SQL fake could not have shown it.</t>
        </is>
      </c>
    </row>
    <row r="116">
      <c r="A116" s="21" t="inlineStr">
        <is>
          <t>SD213</t>
        </is>
      </c>
      <c r="B116" s="21" t="inlineStr">
        <is>
          <t>E14</t>
        </is>
      </c>
      <c r="C116" s="21" t="inlineStr">
        <is>
          <t>Durability for real</t>
        </is>
      </c>
      <c r="D116" s="21" t="inlineStr">
        <is>
          <t>One repository, one registry</t>
        </is>
      </c>
      <c r="E116" s="21" t="n">
        <v>5</v>
      </c>
      <c r="F116" s="21" t="inlineStr">
        <is>
          <t>P0</t>
        </is>
      </c>
      <c r="G116" s="21" t="inlineStr">
        <is>
          <t>S14</t>
        </is>
      </c>
      <c r="H116" s="21" t="inlineStr">
        <is>
          <t>(store layer — no screen)</t>
        </is>
      </c>
      <c r="I116" s="21" t="inlineStr">
        <is>
          <t>Jest 100% unit + real-Postgres integration</t>
        </is>
      </c>
      <c r="J116" s="28" t="inlineStr">
        <is>
          <t>Done</t>
        </is>
      </c>
      <c r="K116" s="21" t="inlineStr">
        <is>
          <t>Closes P-004 / P-015. Code: src/bootstrap.ts sharedStateFor/lifecycleFor | Tests: tests/bootstrap.test.ts + integration test 9 | One repository, one registry, one persister per process — the split instances behind P-004 cannot be constructed any more.</t>
        </is>
      </c>
    </row>
    <row r="117">
      <c r="A117" s="21" t="inlineStr">
        <is>
          <t>SD214</t>
        </is>
      </c>
      <c r="B117" s="21" t="inlineStr">
        <is>
          <t>E14</t>
        </is>
      </c>
      <c r="C117" s="21" t="inlineStr">
        <is>
          <t>Durability for real</t>
        </is>
      </c>
      <c r="D117" s="21" t="inlineStr">
        <is>
          <t>Restart and blue/green durability tests in CI</t>
        </is>
      </c>
      <c r="E117" s="21" t="n">
        <v>5</v>
      </c>
      <c r="F117" s="21" t="inlineStr">
        <is>
          <t>P0</t>
        </is>
      </c>
      <c r="G117" s="21" t="inlineStr">
        <is>
          <t>S14</t>
        </is>
      </c>
      <c r="H117" s="21" t="inlineStr">
        <is>
          <t>(store layer — no screen)</t>
        </is>
      </c>
      <c r="I117" s="21" t="inlineStr">
        <is>
          <t>Jest 100% unit + real-Postgres integration</t>
        </is>
      </c>
      <c r="J117" s="28" t="inlineStr">
        <is>
          <t>Done</t>
        </is>
      </c>
      <c r="K117" s="21" t="inlineStr">
        <is>
          <t>Closes P-003. Code: src/persistence.ts refresh/loadWindow | Tests: integration tests 3 and 4 | The restart drill discards the process, not just the cache. Two-instance convergence needed staleAfterMs refresh in TenantRegistry.ensure to be true.</t>
        </is>
      </c>
    </row>
    <row r="118">
      <c r="A118" s="21" t="inlineStr">
        <is>
          <t>SD215</t>
        </is>
      </c>
      <c r="B118" s="21" t="inlineStr">
        <is>
          <t>E14</t>
        </is>
      </c>
      <c r="C118" s="21" t="inlineStr">
        <is>
          <t>Durability for real</t>
        </is>
      </c>
      <c r="D118" s="21" t="inlineStr">
        <is>
          <t>Backup/restore automation with numbers</t>
        </is>
      </c>
      <c r="E118" s="21" t="n">
        <v>3</v>
      </c>
      <c r="F118" s="21" t="inlineStr">
        <is>
          <t>P1</t>
        </is>
      </c>
      <c r="G118" s="21" t="inlineStr">
        <is>
          <t>S14</t>
        </is>
      </c>
      <c r="H118" s="21" t="inlineStr">
        <is>
          <t>(store layer — no screen)</t>
        </is>
      </c>
      <c r="I118" s="21" t="inlineStr">
        <is>
          <t>Jest 100% unit</t>
        </is>
      </c>
      <c r="J118" s="28" t="inlineStr">
        <is>
          <t>Done</t>
        </is>
      </c>
      <c r="K118" s="21" t="inlineStr">
        <is>
          <t>Closes P-020. Code: ops/backup-restore-drill.sh + npm run backup:drill | Tests: ops/backup-drill-report.json | Ran for real this session: pg_dump/pg_restore into shiftdesk_restore, row counts compared. PASS with RPO 0s and RTO 0s against the 15 min / 60 min bar.</t>
        </is>
      </c>
    </row>
    <row r="119">
      <c r="A119" s="21" t="inlineStr">
        <is>
          <t>SD216</t>
        </is>
      </c>
      <c r="B119" s="21" t="inlineStr">
        <is>
          <t>E15</t>
        </is>
      </c>
      <c r="C119" s="21" t="inlineStr">
        <is>
          <t>Scale and data model</t>
        </is>
      </c>
      <c r="D119" s="21" t="inlineStr">
        <is>
          <t>Per-record persistence replacing module snapshots</t>
        </is>
      </c>
      <c r="E119" s="21" t="n">
        <v>13</v>
      </c>
      <c r="F119" s="21" t="inlineStr">
        <is>
          <t>P0</t>
        </is>
      </c>
      <c r="G119" s="21" t="inlineStr">
        <is>
          <t>S15</t>
        </is>
      </c>
      <c r="H119" s="21" t="inlineStr">
        <is>
          <t>(store layer — no screen)</t>
        </is>
      </c>
      <c r="I119" s="21" t="inlineStr">
        <is>
          <t>Jest 100% unit + real-Postgres integration</t>
        </is>
      </c>
      <c r="J119" s="28" t="inlineStr">
        <is>
          <t>Done</t>
        </is>
      </c>
      <c r="K119" s="21" t="inlineStr">
        <is>
          <t>Closes P-006. Code: src/persistence.ts + src/moduleBase.ts dirty set | Tests: integration tests 4 and 5 | Closes OBS-SD9 as well. Legacy whole-module snapshot rows convert to per-record rows on first hydrate, exactly once; node-scoped ids keep two instances from colliding.</t>
        </is>
      </c>
    </row>
    <row r="120">
      <c r="A120" s="21" t="inlineStr">
        <is>
          <t>SD217</t>
        </is>
      </c>
      <c r="B120" s="21" t="inlineStr">
        <is>
          <t>E15</t>
        </is>
      </c>
      <c r="C120" s="21" t="inlineStr">
        <is>
          <t>Scale and data model</t>
        </is>
      </c>
      <c r="D120" s="21" t="inlineStr">
        <is>
          <t>Bounded working set and windowed hydration</t>
        </is>
      </c>
      <c r="E120" s="21" t="n">
        <v>5</v>
      </c>
      <c r="F120" s="21" t="inlineStr">
        <is>
          <t>P0</t>
        </is>
      </c>
      <c r="G120" s="21" t="inlineStr">
        <is>
          <t>S15</t>
        </is>
      </c>
      <c r="H120" s="21" t="inlineStr">
        <is>
          <t>(store layer — no screen)</t>
        </is>
      </c>
      <c r="I120" s="21" t="inlineStr">
        <is>
          <t>Jest 100% unit + real-Postgres integration</t>
        </is>
      </c>
      <c r="J120" s="28" t="inlineStr">
        <is>
          <t>Done</t>
        </is>
      </c>
      <c r="K120" s="21" t="inlineStr">
        <is>
          <t>Closes P-006. Code: src/persistence.ts loadWindow + migrations/003_record_indexes.sql | Tests: integration test 6 | Run at 100k records on real Postgres inside the 500ms API p95 budget. Expression indexes make the window a keyset read, not a table scan.</t>
        </is>
      </c>
    </row>
    <row r="121">
      <c r="A121" s="21" t="inlineStr">
        <is>
          <t>SD218</t>
        </is>
      </c>
      <c r="B121" s="21" t="inlineStr">
        <is>
          <t>E15</t>
        </is>
      </c>
      <c r="C121" s="21" t="inlineStr">
        <is>
          <t>Scale and data model</t>
        </is>
      </c>
      <c r="D121" s="21" t="inlineStr">
        <is>
          <t>Audit pagination and retention enforcement</t>
        </is>
      </c>
      <c r="E121" s="21" t="n">
        <v>5</v>
      </c>
      <c r="F121" s="21" t="inlineStr">
        <is>
          <t>P1</t>
        </is>
      </c>
      <c r="G121" s="21" t="inlineStr">
        <is>
          <t>S15</t>
        </is>
      </c>
      <c r="H121" s="21" t="inlineStr">
        <is>
          <t>(store layer — no screen)</t>
        </is>
      </c>
      <c r="I121" s="21" t="inlineStr">
        <is>
          <t>Jest 100% unit + real-Postgres integration</t>
        </is>
      </c>
      <c r="J121" s="28" t="inlineStr">
        <is>
          <t>Done</t>
        </is>
      </c>
      <c r="K121" s="21" t="inlineStr">
        <is>
          <t>Closes F-008. Code: src/repository.ts DurableAuditLog.page/stream + src/retentionEnforcer.ts | Tests: integration test 7 + tests/governance.test.ts | Closes F-008, open since the first cold review. The published retention numbers are now the numbers the sweep enforces, by kind and age, from the same hourly scheduler.</t>
        </is>
      </c>
    </row>
    <row r="122">
      <c r="A122" s="21" t="inlineStr">
        <is>
          <t>SD219</t>
        </is>
      </c>
      <c r="B122" s="21" t="inlineStr">
        <is>
          <t>E15</t>
        </is>
      </c>
      <c r="C122" s="21" t="inlineStr">
        <is>
          <t>Scale and data model</t>
        </is>
      </c>
      <c r="D122" s="21" t="inlineStr">
        <is>
          <t>Run the k6 5x load sweep on staging</t>
        </is>
      </c>
      <c r="E122" s="21" t="n">
        <v>5</v>
      </c>
      <c r="F122" s="21" t="inlineStr">
        <is>
          <t>P1</t>
        </is>
      </c>
      <c r="G122" s="21" t="inlineStr">
        <is>
          <t>S15</t>
        </is>
      </c>
      <c r="H122" s="21" t="inlineStr">
        <is>
          <t>(store layer — no screen)</t>
        </is>
      </c>
      <c r="I122" s="21" t="inlineStr">
        <is>
          <t>Live evidence required (D-SD8)</t>
        </is>
      </c>
      <c r="J122" s="29" t="inlineStr">
        <is>
          <t>To do — Senthil</t>
        </is>
      </c>
      <c r="K122" s="21" t="inlineStr">
        <is>
          <t>Closes P-006. Code: load/k6-load-sweep.js (harness ready) | Tests: load/EVIDENCE.md (awaiting a real run) | Needs staging infrastructure. The harness and the pass bar are scripted; nobody can claim the number until the sweep runs. LC-8 stays open.</t>
        </is>
      </c>
    </row>
    <row r="123">
      <c r="A123" s="21" t="inlineStr">
        <is>
          <t>SD220</t>
        </is>
      </c>
      <c r="B123" s="21" t="inlineStr">
        <is>
          <t>E15</t>
        </is>
      </c>
      <c r="C123" s="21" t="inlineStr">
        <is>
          <t>Scale and data model</t>
        </is>
      </c>
      <c r="D123" s="21" t="inlineStr">
        <is>
          <t>Latency and conflict SLO evidence</t>
        </is>
      </c>
      <c r="E123" s="21" t="n">
        <v>3</v>
      </c>
      <c r="F123" s="21" t="inlineStr">
        <is>
          <t>P1</t>
        </is>
      </c>
      <c r="G123" s="21" t="inlineStr">
        <is>
          <t>S15</t>
        </is>
      </c>
      <c r="H123" s="21" t="inlineStr">
        <is>
          <t>(store layer — no screen)</t>
        </is>
      </c>
      <c r="I123" s="21" t="inlineStr">
        <is>
          <t>Live evidence required (D-SD8)</t>
        </is>
      </c>
      <c r="J123" s="29" t="inlineStr">
        <is>
          <t>To do — Senthil</t>
        </is>
      </c>
      <c r="K123" s="21" t="inlineStr">
        <is>
          <t>Closes P-006. Code: src/perf.ts + src/slo.ts sloReport | Tests: load/EVIDENCE.md | Instrumentation is in place and the report renders; the evidence is a by-product of SD219 and arrives with it.</t>
        </is>
      </c>
    </row>
    <row r="124">
      <c r="A124" s="21" t="inlineStr">
        <is>
          <t>SD221</t>
        </is>
      </c>
      <c r="B124" s="21" t="inlineStr">
        <is>
          <t>E15</t>
        </is>
      </c>
      <c r="C124" s="21" t="inlineStr">
        <is>
          <t>Scale and data model</t>
        </is>
      </c>
      <c r="D124" s="21" t="inlineStr">
        <is>
          <t>Key rotation with key-id envelope</t>
        </is>
      </c>
      <c r="E124" s="21" t="n">
        <v>3</v>
      </c>
      <c r="F124" s="21" t="inlineStr">
        <is>
          <t>P1</t>
        </is>
      </c>
      <c r="G124" s="21" t="inlineStr">
        <is>
          <t>S15</t>
        </is>
      </c>
      <c r="H124" s="21" t="inlineStr">
        <is>
          <t>(store layer — no screen)</t>
        </is>
      </c>
      <c r="I124" s="21" t="inlineStr">
        <is>
          <t>Jest 100% unit + real-Postgres integration</t>
        </is>
      </c>
      <c r="J124" s="28" t="inlineStr">
        <is>
          <t>Done</t>
        </is>
      </c>
      <c r="K124" s="21" t="inlineStr">
        <is>
          <t>Closes OBS-SD8 / P-014. Code: src/encryptedRepository.ts KeyRing + reencrypt() | Tests: tests/encryptedRepository.test.ts + integration test 8 | Closes OBS-SD8. Old enc:v1 rows still read; the sweep re-seals them under the current key id. Round-tripped through real JSONB.</t>
        </is>
      </c>
    </row>
    <row r="125">
      <c r="A125" s="21" t="inlineStr">
        <is>
          <t>SD222</t>
        </is>
      </c>
      <c r="B125" s="21" t="inlineStr">
        <is>
          <t>E16</t>
        </is>
      </c>
      <c r="C125" s="21" t="inlineStr">
        <is>
          <t>Teams-native experience</t>
        </is>
      </c>
      <c r="D125" s="21" t="inlineStr">
        <is>
          <t>Adaptive Cards for the four core flows</t>
        </is>
      </c>
      <c r="E125" s="21" t="n">
        <v>13</v>
      </c>
      <c r="F125" s="21" t="inlineStr">
        <is>
          <t>P0</t>
        </is>
      </c>
      <c r="G125" s="21" t="inlineStr">
        <is>
          <t>S16</t>
        </is>
      </c>
      <c r="H125" s="21" t="inlineStr">
        <is>
          <t>SCR-3 Handover workspace + channel tab</t>
        </is>
      </c>
      <c r="I125" s="21" t="inlineStr">
        <is>
          <t>Jest 100% unit</t>
        </is>
      </c>
      <c r="J125" s="30" t="inlineStr">
        <is>
          <t>Code-complete pending live</t>
        </is>
      </c>
      <c r="K125" s="21" t="inlineStr">
        <is>
          <t>Closes P-009. Code: src/adaptiveCards.ts + src/botTransport.ts invoke handling | Tests: tests/teamsNative.test.ts | Cards are schema-validated and the invoke path is acked, but how a card renders is only knowable in a live client. Text stays as the fallback every card carries.</t>
        </is>
      </c>
    </row>
    <row r="126">
      <c r="A126" s="21" t="inlineStr">
        <is>
          <t>SD223</t>
        </is>
      </c>
      <c r="B126" s="21" t="inlineStr">
        <is>
          <t>E16</t>
        </is>
      </c>
      <c r="C126" s="21" t="inlineStr">
        <is>
          <t>Teams-native experience</t>
        </is>
      </c>
      <c r="D126" s="21" t="inlineStr">
        <is>
          <t>Proactive messaging and activity feed</t>
        </is>
      </c>
      <c r="E126" s="21" t="n">
        <v>8</v>
      </c>
      <c r="F126" s="21" t="inlineStr">
        <is>
          <t>P0</t>
        </is>
      </c>
      <c r="G126" s="21" t="inlineStr">
        <is>
          <t>S16</t>
        </is>
      </c>
      <c r="H126" s="21" t="inlineStr">
        <is>
          <t>SCR-3 Handover workspace + channel tab</t>
        </is>
      </c>
      <c r="I126" s="21" t="inlineStr">
        <is>
          <t>Jest 100% unit</t>
        </is>
      </c>
      <c r="J126" s="30" t="inlineStr">
        <is>
          <t>Code-complete pending live</t>
        </is>
      </c>
      <c r="K126" s="21" t="inlineStr">
        <is>
          <t>Closes P-009 / P-015. Code: src/proactive.ts ConversationStore + ProactiveMessenger | Tests: tests/teamsNative.test.ts | The product promise the review found unimplemented. 403 forgets the conversation; 429/5xx retry with backoff. A real push needs a real tenant.</t>
        </is>
      </c>
    </row>
    <row r="127">
      <c r="A127" s="21" t="inlineStr">
        <is>
          <t>SD224</t>
        </is>
      </c>
      <c r="B127" s="21" t="inlineStr">
        <is>
          <t>E16</t>
        </is>
      </c>
      <c r="C127" s="21" t="inlineStr">
        <is>
          <t>Teams-native experience</t>
        </is>
      </c>
      <c r="D127" s="21" t="inlineStr">
        <is>
          <t>Team/channel configurable tab</t>
        </is>
      </c>
      <c r="E127" s="21" t="n">
        <v>8</v>
      </c>
      <c r="F127" s="21" t="inlineStr">
        <is>
          <t>P0</t>
        </is>
      </c>
      <c r="G127" s="21" t="inlineStr">
        <is>
          <t>S16</t>
        </is>
      </c>
      <c r="H127" s="21" t="inlineStr">
        <is>
          <t>SCR-3 Handover workspace + channel tab</t>
        </is>
      </c>
      <c r="I127" s="21" t="inlineStr">
        <is>
          <t>Jest 100% unit</t>
        </is>
      </c>
      <c r="J127" s="30" t="inlineStr">
        <is>
          <t>Code-complete pending live</t>
        </is>
      </c>
      <c r="K127" s="21" t="inlineStr">
        <is>
          <t>Closes P-010. Code: teams-app/manifest.json configurableTabs + web/configEntry.tsx + web/config.html | Tests: tests/manifest.test.ts + tests/teamsNative.test.ts | Manifest, config page and save handshake all ship; in-channel rendering is a live-client fact.</t>
        </is>
      </c>
    </row>
    <row r="128">
      <c r="A128" s="21" t="inlineStr">
        <is>
          <t>SD225</t>
        </is>
      </c>
      <c r="B128" s="21" t="inlineStr">
        <is>
          <t>E16</t>
        </is>
      </c>
      <c r="C128" s="21" t="inlineStr">
        <is>
          <t>Teams-native experience</t>
        </is>
      </c>
      <c r="D128" s="21" t="inlineStr">
        <is>
          <t>Command list parity</t>
        </is>
      </c>
      <c r="E128" s="21" t="n">
        <v>2</v>
      </c>
      <c r="F128" s="21" t="inlineStr">
        <is>
          <t>P1</t>
        </is>
      </c>
      <c r="G128" s="21" t="inlineStr">
        <is>
          <t>S16</t>
        </is>
      </c>
      <c r="H128" s="21" t="inlineStr">
        <is>
          <t>SCR-3 Handover workspace + channel tab</t>
        </is>
      </c>
      <c r="I128" s="21" t="inlineStr">
        <is>
          <t>Jest 100% unit</t>
        </is>
      </c>
      <c r="J128" s="28" t="inlineStr">
        <is>
          <t>Done</t>
        </is>
      </c>
      <c r="K128" s="21" t="inlineStr">
        <is>
          <t>Closes P-011. Code: teams-app/manifest.json (8 commands) | Tests: tests/manifest.test.ts | Two-way: a command in the manifest with no handler fails, and a handler missing from the manifest fails.</t>
        </is>
      </c>
    </row>
    <row r="129">
      <c r="A129" s="21" t="inlineStr">
        <is>
          <t>SD226</t>
        </is>
      </c>
      <c r="B129" s="21" t="inlineStr">
        <is>
          <t>E16</t>
        </is>
      </c>
      <c r="C129" s="21" t="inlineStr">
        <is>
          <t>Teams-native experience</t>
        </is>
      </c>
      <c r="D129" s="21" t="inlineStr">
        <is>
          <t>Mobile pass on live Teams clients</t>
        </is>
      </c>
      <c r="E129" s="21" t="n">
        <v>5</v>
      </c>
      <c r="F129" s="21" t="inlineStr">
        <is>
          <t>P0</t>
        </is>
      </c>
      <c r="G129" s="21" t="inlineStr">
        <is>
          <t>S16</t>
        </is>
      </c>
      <c r="H129" s="21" t="inlineStr">
        <is>
          <t>SCR-3 Handover workspace + channel tab</t>
        </is>
      </c>
      <c r="I129" s="21" t="inlineStr">
        <is>
          <t>Live evidence required (D-SD8)</t>
        </is>
      </c>
      <c r="J129" s="29" t="inlineStr">
        <is>
          <t>To do — Senthil</t>
        </is>
      </c>
      <c r="K129" s="21" t="inlineStr">
        <is>
          <t>Closes VER-SD01. Code: ASSET_PLAN.md flow list + web/demo.tsx capture surface | Tests: ops/accessibility-audit-script.md | Store-blocking (VER-SD01). The walkthrough script and the five flows are prepared; only a person with the app sideloaded on a phone can do it.</t>
        </is>
      </c>
    </row>
    <row r="130">
      <c r="A130" s="21" t="inlineStr">
        <is>
          <t>SD227</t>
        </is>
      </c>
      <c r="B130" s="21" t="inlineStr">
        <is>
          <t>E16</t>
        </is>
      </c>
      <c r="C130" s="21" t="inlineStr">
        <is>
          <t>Teams-native experience</t>
        </is>
      </c>
      <c r="D130" s="21" t="inlineStr">
        <is>
          <t>i18n scaffold and first launch locale</t>
        </is>
      </c>
      <c r="E130" s="21" t="n">
        <v>4</v>
      </c>
      <c r="F130" s="21" t="inlineStr">
        <is>
          <t>P1</t>
        </is>
      </c>
      <c r="G130" s="21" t="inlineStr">
        <is>
          <t>S16</t>
        </is>
      </c>
      <c r="H130" s="21" t="inlineStr">
        <is>
          <t>SCR-3 Handover workspace + channel tab</t>
        </is>
      </c>
      <c r="I130" s="21" t="inlineStr">
        <is>
          <t>Jest 100% unit</t>
        </is>
      </c>
      <c r="J130" s="28" t="inlineStr">
        <is>
          <t>Done</t>
        </is>
      </c>
      <c r="K130" s="21" t="inlineStr">
        <is>
          <t>Closes P-012. Code: src/i18n.ts (en-GB, es-ES) + teams-app/es-ES.json + localizationInfo | Tests: tests/teamsNative.test.ts | A missing key throws I18N_KEY_MISSING rather than rendering blank. F-072 found here: two strings were frozen at import so setLocale had no effect.</t>
        </is>
      </c>
    </row>
    <row r="131">
      <c r="A131" s="21" t="inlineStr">
        <is>
          <t>SD228</t>
        </is>
      </c>
      <c r="B131" s="21" t="inlineStr">
        <is>
          <t>E17</t>
        </is>
      </c>
      <c r="C131" s="21" t="inlineStr">
        <is>
          <t>Enterprise admin and governance</t>
        </is>
      </c>
      <c r="D131" s="21" t="inlineStr">
        <is>
          <t>Admin consent and tenant-wide rollout in 2 tenants</t>
        </is>
      </c>
      <c r="E131" s="21" t="n">
        <v>8</v>
      </c>
      <c r="F131" s="21" t="inlineStr">
        <is>
          <t>P0</t>
        </is>
      </c>
      <c r="G131" s="21" t="inlineStr">
        <is>
          <t>S17</t>
        </is>
      </c>
      <c r="H131" s="21" t="inlineStr">
        <is>
          <t>SCR-8 Settings / admin</t>
        </is>
      </c>
      <c r="I131" s="21" t="inlineStr">
        <is>
          <t>Live evidence required (D-SD8)</t>
        </is>
      </c>
      <c r="J131" s="29" t="inlineStr">
        <is>
          <t>To do — Senthil</t>
        </is>
      </c>
      <c r="K131" s="21" t="inlineStr">
        <is>
          <t>Closes LC-4 / LC-5. Code: content/admin-deployment-guide.md + SCOPE_MAP | Tests: tests/manifest.test.ts + tests/privacy.test.ts | Needs two live tenants. The scope map is pinned to its consumer files by test, so the doc cannot drift from what consent will show.</t>
        </is>
      </c>
    </row>
    <row r="132">
      <c r="A132" s="21" t="inlineStr">
        <is>
          <t>SD229</t>
        </is>
      </c>
      <c r="B132" s="21" t="inlineStr">
        <is>
          <t>E17</t>
        </is>
      </c>
      <c r="C132" s="21" t="inlineStr">
        <is>
          <t>Enterprise admin and governance</t>
        </is>
      </c>
      <c r="D132" s="21" t="inlineStr">
        <is>
          <t>Data residency configuration</t>
        </is>
      </c>
      <c r="E132" s="21" t="n">
        <v>5</v>
      </c>
      <c r="F132" s="21" t="inlineStr">
        <is>
          <t>P0</t>
        </is>
      </c>
      <c r="G132" s="21" t="inlineStr">
        <is>
          <t>S17</t>
        </is>
      </c>
      <c r="H132" s="21" t="inlineStr">
        <is>
          <t>SCR-8 Settings / admin</t>
        </is>
      </c>
      <c r="I132" s="21" t="inlineStr">
        <is>
          <t>Jest 100% unit</t>
        </is>
      </c>
      <c r="J132" s="28" t="inlineStr">
        <is>
          <t>Done</t>
        </is>
      </c>
      <c r="K132" s="21" t="inlineStr">
        <is>
          <t>Closes P-013. Code: src/residency.ts assertResidency + src/config.ts region | Tests: tests/governance.test.ts | Four customer regions plus a CI region. A store host outside the declared region throws RESIDENCY_MISMATCH at boot, before serving a request.</t>
        </is>
      </c>
    </row>
    <row r="133">
      <c r="A133" s="21" t="inlineStr">
        <is>
          <t>SD230</t>
        </is>
      </c>
      <c r="B133" s="21" t="inlineStr">
        <is>
          <t>E17</t>
        </is>
      </c>
      <c r="C133" s="21" t="inlineStr">
        <is>
          <t>Enterprise admin and governance</t>
        </is>
      </c>
      <c r="D133" s="21" t="inlineStr">
        <is>
          <t>DPA, subprocessor register, retention schedule published</t>
        </is>
      </c>
      <c r="E133" s="21" t="n">
        <v>5</v>
      </c>
      <c r="F133" s="21" t="inlineStr">
        <is>
          <t>P0</t>
        </is>
      </c>
      <c r="G133" s="21" t="inlineStr">
        <is>
          <t>S17</t>
        </is>
      </c>
      <c r="H133" s="21" t="inlineStr">
        <is>
          <t>SCR-8 Settings / admin</t>
        </is>
      </c>
      <c r="I133" s="21" t="inlineStr">
        <is>
          <t>Jest 100% unit</t>
        </is>
      </c>
      <c r="J133" s="28" t="inlineStr">
        <is>
          <t>Done</t>
        </is>
      </c>
      <c r="K133" s="21" t="inlineStr">
        <is>
          <t>Closes P-013. Code: src/residency.ts generators + content/legal/*.md (4 documents) | Tests: tests/governance.test.ts | The documents are generated from the constants, so a retention class added in code cannot go missing from the customer-facing schedule.</t>
        </is>
      </c>
    </row>
    <row r="134">
      <c r="A134" s="21" t="inlineStr">
        <is>
          <t>SD231</t>
        </is>
      </c>
      <c r="B134" s="21" t="inlineStr">
        <is>
          <t>E17</t>
        </is>
      </c>
      <c r="C134" s="21" t="inlineStr">
        <is>
          <t>Enterprise admin and governance</t>
        </is>
      </c>
      <c r="D134" s="21" t="inlineStr">
        <is>
          <t>Self-serve export and delete, admin-visible</t>
        </is>
      </c>
      <c r="E134" s="21" t="n">
        <v>5</v>
      </c>
      <c r="F134" s="21" t="inlineStr">
        <is>
          <t>P0</t>
        </is>
      </c>
      <c r="G134" s="21" t="inlineStr">
        <is>
          <t>S17</t>
        </is>
      </c>
      <c r="H134" s="21" t="inlineStr">
        <is>
          <t>SCR-8 Settings / admin</t>
        </is>
      </c>
      <c r="I134" s="21" t="inlineStr">
        <is>
          <t>Jest 100% unit</t>
        </is>
      </c>
      <c r="J134" s="30" t="inlineStr">
        <is>
          <t>Code-complete pending live</t>
        </is>
      </c>
      <c r="K134" s="21" t="inlineStr">
        <is>
          <t>Closes F-029. Code: src/bootstrap.ts dataRightsFor + src/server.ts dataRightsRoute + src/ui/screens.tsx | Tests: tests/privacy.test.ts + tests/server.test.ts | Streamed NDJSON export and delete-with-receipt are wired and audited over HTTP; the AC asks for that over a real store, which arrives with the staging environment.</t>
        </is>
      </c>
    </row>
    <row r="135">
      <c r="A135" s="21" t="inlineStr">
        <is>
          <t>SD232</t>
        </is>
      </c>
      <c r="B135" s="21" t="inlineStr">
        <is>
          <t>E17</t>
        </is>
      </c>
      <c r="C135" s="21" t="inlineStr">
        <is>
          <t>Enterprise admin and governance</t>
        </is>
      </c>
      <c r="D135" s="21" t="inlineStr">
        <is>
          <t>KMS-backed key custody</t>
        </is>
      </c>
      <c r="E135" s="21" t="n">
        <v>5</v>
      </c>
      <c r="F135" s="21" t="inlineStr">
        <is>
          <t>P1</t>
        </is>
      </c>
      <c r="G135" s="21" t="inlineStr">
        <is>
          <t>S17</t>
        </is>
      </c>
      <c r="H135" s="21" t="inlineStr">
        <is>
          <t>SCR-8 Settings / admin</t>
        </is>
      </c>
      <c r="I135" s="21" t="inlineStr">
        <is>
          <t>Jest 100% unit</t>
        </is>
      </c>
      <c r="J135" s="30" t="inlineStr">
        <is>
          <t>Code-complete pending live</t>
        </is>
      </c>
      <c r="K135" s="21" t="inlineStr">
        <is>
          <t>Closes P-014. Code: src/keySource.ts AzureKeyVaultKeyProvider + managedIdentityToken | Tests: tests/governance.test.ts + tests/config.test.ts | Production already refuses a plain env key. The Key Vault path is coded against the documented API but has never spoken to a real vault.</t>
        </is>
      </c>
    </row>
    <row r="136">
      <c r="A136" s="21" t="inlineStr">
        <is>
          <t>SD233</t>
        </is>
      </c>
      <c r="B136" s="21" t="inlineStr">
        <is>
          <t>E17</t>
        </is>
      </c>
      <c r="C136" s="21" t="inlineStr">
        <is>
          <t>Enterprise admin and governance</t>
        </is>
      </c>
      <c r="D136" s="21" t="inlineStr">
        <is>
          <t>Incident response and breach notification runbook</t>
        </is>
      </c>
      <c r="E136" s="21" t="n">
        <v>4</v>
      </c>
      <c r="F136" s="21" t="inlineStr">
        <is>
          <t>P1</t>
        </is>
      </c>
      <c r="G136" s="21" t="inlineStr">
        <is>
          <t>S17</t>
        </is>
      </c>
      <c r="H136" s="21" t="inlineStr">
        <is>
          <t>SCR-8 Settings / admin</t>
        </is>
      </c>
      <c r="I136" s="21" t="inlineStr">
        <is>
          <t>Live evidence required (D-SD8)</t>
        </is>
      </c>
      <c r="J136" s="31" t="inlineStr">
        <is>
          <t>Drafted</t>
        </is>
      </c>
      <c r="K136" s="21" t="inlineStr">
        <is>
          <t>Closes P-013. Code: ops/incident-response-runbook.md | Tests: tests/governance.test.ts (severity ladder bound to ALERT_RULES) | Runbook written and bound to the alert rules by test. The tabletop exercise is a human activity and is not claimed.</t>
        </is>
      </c>
    </row>
    <row r="137">
      <c r="A137" s="21" t="inlineStr">
        <is>
          <t>SD234</t>
        </is>
      </c>
      <c r="B137" s="21" t="inlineStr">
        <is>
          <t>E18</t>
        </is>
      </c>
      <c r="C137" s="21" t="inlineStr">
        <is>
          <t>Assurance and certification</t>
        </is>
      </c>
      <c r="D137" s="21" t="inlineStr">
        <is>
          <t>Third-party penetration test and remediation</t>
        </is>
      </c>
      <c r="E137" s="21" t="n">
        <v>8</v>
      </c>
      <c r="F137" s="21" t="inlineStr">
        <is>
          <t>P0</t>
        </is>
      </c>
      <c r="G137" s="21" t="inlineStr">
        <is>
          <t>S18</t>
        </is>
      </c>
      <c r="H137" s="21" t="inlineStr">
        <is>
          <t>(assurance — no screen)</t>
        </is>
      </c>
      <c r="I137" s="21" t="inlineStr">
        <is>
          <t>Live evidence required (D-SD8)</t>
        </is>
      </c>
      <c r="J137" s="29" t="inlineStr">
        <is>
          <t>To do — Senthil</t>
        </is>
      </c>
      <c r="K137" s="21" t="inlineStr">
        <is>
          <t>Closes LC-3. Code: SECURITY_EVIDENCE.md scope pack | Tests: — | Needs a staging environment and a vendor engagement. The scope pack and the surface inventory are prepared so the engagement can start without a discovery phase.</t>
        </is>
      </c>
    </row>
    <row r="138">
      <c r="A138" s="21" t="inlineStr">
        <is>
          <t>SD235</t>
        </is>
      </c>
      <c r="B138" s="21" t="inlineStr">
        <is>
          <t>E18</t>
        </is>
      </c>
      <c r="C138" s="21" t="inlineStr">
        <is>
          <t>Assurance and certification</t>
        </is>
      </c>
      <c r="D138" s="21" t="inlineStr">
        <is>
          <t>Microsoft 365 Publisher Attestation submitted</t>
        </is>
      </c>
      <c r="E138" s="21" t="n">
        <v>5</v>
      </c>
      <c r="F138" s="21" t="inlineStr">
        <is>
          <t>P0</t>
        </is>
      </c>
      <c r="G138" s="21" t="inlineStr">
        <is>
          <t>S18</t>
        </is>
      </c>
      <c r="H138" s="21" t="inlineStr">
        <is>
          <t>(assurance — no screen)</t>
        </is>
      </c>
      <c r="I138" s="21" t="inlineStr">
        <is>
          <t>Live evidence required (D-SD8)</t>
        </is>
      </c>
      <c r="J138" s="29" t="inlineStr">
        <is>
          <t>To do — Senthil</t>
        </is>
      </c>
      <c r="K138" s="21" t="inlineStr">
        <is>
          <t>Closes LC-3. Code: ops/m365-certification-pack.md | Tests: tests/governance.test.ts (evidence paths exist) | Partner Center account required. Every answer the attestation asks for is drafted in the pack.</t>
        </is>
      </c>
    </row>
    <row r="139">
      <c r="A139" s="21" t="inlineStr">
        <is>
          <t>SD236</t>
        </is>
      </c>
      <c r="B139" s="21" t="inlineStr">
        <is>
          <t>E18</t>
        </is>
      </c>
      <c r="C139" s="21" t="inlineStr">
        <is>
          <t>Assurance and certification</t>
        </is>
      </c>
      <c r="D139" s="21" t="inlineStr">
        <is>
          <t>M365 Certification evidence pack assembled</t>
        </is>
      </c>
      <c r="E139" s="21" t="n">
        <v>8</v>
      </c>
      <c r="F139" s="21" t="inlineStr">
        <is>
          <t>P0</t>
        </is>
      </c>
      <c r="G139" s="21" t="inlineStr">
        <is>
          <t>S18</t>
        </is>
      </c>
      <c r="H139" s="21" t="inlineStr">
        <is>
          <t>(assurance — no screen)</t>
        </is>
      </c>
      <c r="I139" s="21" t="inlineStr">
        <is>
          <t>Jest 100% unit</t>
        </is>
      </c>
      <c r="J139" s="28" t="inlineStr">
        <is>
          <t>Done</t>
        </is>
      </c>
      <c r="K139" s="21" t="inlineStr">
        <is>
          <t>Closes LC-3. Code: src/compliance.ts M365_CONTROLS + ops/m365-certification-pack.md | Tests: tests/governance.test.ts | Each control names an evidence path, and the test fails if the path does not exist — the discipline that caught three controls with no executable evidence behind them.</t>
        </is>
      </c>
    </row>
    <row r="140">
      <c r="A140" s="21" t="inlineStr">
        <is>
          <t>SD237</t>
        </is>
      </c>
      <c r="B140" s="21" t="inlineStr">
        <is>
          <t>E18</t>
        </is>
      </c>
      <c r="C140" s="21" t="inlineStr">
        <is>
          <t>Assurance and certification</t>
        </is>
      </c>
      <c r="D140" s="21" t="inlineStr">
        <is>
          <t>SOC 2 Type I readiness</t>
        </is>
      </c>
      <c r="E140" s="21" t="n">
        <v>5</v>
      </c>
      <c r="F140" s="21" t="inlineStr">
        <is>
          <t>P1</t>
        </is>
      </c>
      <c r="G140" s="21" t="inlineStr">
        <is>
          <t>S18</t>
        </is>
      </c>
      <c r="H140" s="21" t="inlineStr">
        <is>
          <t>(assurance — no screen)</t>
        </is>
      </c>
      <c r="I140" s="21" t="inlineStr">
        <is>
          <t>Live evidence required (D-SD8)</t>
        </is>
      </c>
      <c r="J140" s="29" t="inlineStr">
        <is>
          <t>To do — Senthil</t>
        </is>
      </c>
      <c r="K140" s="21" t="inlineStr">
        <is>
          <t>Closes D-05. Code: src/compliance.ts SOC2_CONTROLS + ops/soc2-readiness-map.md | Tests: tests/governance.test.ts | The mapping and the automation are in code; engaging a firm and paying the fee are Senthil decisions with a real budget attached.</t>
        </is>
      </c>
    </row>
    <row r="141">
      <c r="A141" s="21" t="inlineStr">
        <is>
          <t>SD238</t>
        </is>
      </c>
      <c r="B141" s="21" t="inlineStr">
        <is>
          <t>E18</t>
        </is>
      </c>
      <c r="C141" s="21" t="inlineStr">
        <is>
          <t>Assurance and certification</t>
        </is>
      </c>
      <c r="D141" s="21" t="inlineStr">
        <is>
          <t>Manual WCAG AA and screen-reader audit on live tabs</t>
        </is>
      </c>
      <c r="E141" s="21" t="n">
        <v>4</v>
      </c>
      <c r="F141" s="21" t="inlineStr">
        <is>
          <t>P0</t>
        </is>
      </c>
      <c r="G141" s="21" t="inlineStr">
        <is>
          <t>S18</t>
        </is>
      </c>
      <c r="H141" s="21" t="inlineStr">
        <is>
          <t>(assurance — no screen)</t>
        </is>
      </c>
      <c r="I141" s="21" t="inlineStr">
        <is>
          <t>Live evidence required (D-SD8)</t>
        </is>
      </c>
      <c r="J141" s="29" t="inlineStr">
        <is>
          <t>To do — Senthil</t>
        </is>
      </c>
      <c r="K141" s="21" t="inlineStr">
        <is>
          <t>Closes LC-7 / R-S6. Code: ops/accessibility-audit-script.md (per-screen script) | Tests: tests/a11y.test.tsx (automated net stays) | Closes R-S6, open since session 1. jest-axe cannot hear a screen reader; the script makes the manual pass a checklist rather than an exploration.</t>
        </is>
      </c>
    </row>
    <row r="142">
      <c r="A142" s="21" t="inlineStr">
        <is>
          <t>SD239</t>
        </is>
      </c>
      <c r="B142" s="21" t="inlineStr">
        <is>
          <t>E19</t>
        </is>
      </c>
      <c r="C142" s="21" t="inlineStr">
        <is>
          <t>Commercial machinery and observability</t>
        </is>
      </c>
      <c r="D142" s="21" t="inlineStr">
        <is>
          <t>Marketplace SaaS Fulfillment integration</t>
        </is>
      </c>
      <c r="E142" s="21" t="n">
        <v>13</v>
      </c>
      <c r="F142" s="21" t="inlineStr">
        <is>
          <t>P0</t>
        </is>
      </c>
      <c r="G142" s="21" t="inlineStr">
        <is>
          <t>S19</t>
        </is>
      </c>
      <c r="H142" s="21" t="inlineStr">
        <is>
          <t>SCR-6 Billing</t>
        </is>
      </c>
      <c r="I142" s="21" t="inlineStr">
        <is>
          <t>Jest 100% unit</t>
        </is>
      </c>
      <c r="J142" s="30" t="inlineStr">
        <is>
          <t>Code-complete pending live</t>
        </is>
      </c>
      <c r="K142" s="21" t="inlineStr">
        <is>
          <t>Closes P-019 / LC-6. Code: src/fulfillment.ts + src/server.ts handleMarketplaceWebhook | Tests: tests/commercial.test.ts | Fulfillment API v2 against the documented contract, idempotent on activityId, with Entra and shared-secret webhook authentication. A real transaction needs a live offer.</t>
        </is>
      </c>
    </row>
    <row r="143">
      <c r="A143" s="21" t="inlineStr">
        <is>
          <t>SD240</t>
        </is>
      </c>
      <c r="B143" s="21" t="inlineStr">
        <is>
          <t>E19</t>
        </is>
      </c>
      <c r="C143" s="21" t="inlineStr">
        <is>
          <t>Commercial machinery and observability</t>
        </is>
      </c>
      <c r="D143" s="21" t="inlineStr">
        <is>
          <t>Transactable offer with private offers configured</t>
        </is>
      </c>
      <c r="E143" s="21" t="n">
        <v>5</v>
      </c>
      <c r="F143" s="21" t="inlineStr">
        <is>
          <t>P0</t>
        </is>
      </c>
      <c r="G143" s="21" t="inlineStr">
        <is>
          <t>S19</t>
        </is>
      </c>
      <c r="H143" s="21" t="inlineStr">
        <is>
          <t>SCR-6 Billing</t>
        </is>
      </c>
      <c r="I143" s="21" t="inlineStr">
        <is>
          <t>Live evidence required (D-SD8)</t>
        </is>
      </c>
      <c r="J143" s="29" t="inlineStr">
        <is>
          <t>To do — Senthil</t>
        </is>
      </c>
      <c r="K143" s="21" t="inlineStr">
        <is>
          <t>Closes LC-6. Code: content/pricing-faq.md + fulfillment plan mapping | Tests: tests/commercial.test.ts (plan ids bound to entitlements) | Partner Center work. Plan identifiers are bound to the entitlement table by test, so the offer and the code cannot disagree once it exists.</t>
        </is>
      </c>
    </row>
    <row r="144">
      <c r="A144" s="21" t="inlineStr">
        <is>
          <t>SD241</t>
        </is>
      </c>
      <c r="B144" s="21" t="inlineStr">
        <is>
          <t>E19</t>
        </is>
      </c>
      <c r="C144" s="21" t="inlineStr">
        <is>
          <t>Commercial machinery and observability</t>
        </is>
      </c>
      <c r="D144" s="21" t="inlineStr">
        <is>
          <t>Real error and product analytics wiring</t>
        </is>
      </c>
      <c r="E144" s="21" t="n">
        <v>5</v>
      </c>
      <c r="F144" s="21" t="inlineStr">
        <is>
          <t>P1</t>
        </is>
      </c>
      <c r="G144" s="21" t="inlineStr">
        <is>
          <t>S19</t>
        </is>
      </c>
      <c r="H144" s="21" t="inlineStr">
        <is>
          <t>SCR-6 Billing</t>
        </is>
      </c>
      <c r="I144" s="21" t="inlineStr">
        <is>
          <t>Jest 100% unit</t>
        </is>
      </c>
      <c r="J144" s="30" t="inlineStr">
        <is>
          <t>Code-complete pending live</t>
        </is>
      </c>
      <c r="K144" s="21" t="inlineStr">
        <is>
          <t>Closes F-070. Code: src/telemetrySink.ts HttpTelemetrySink + scrub/tenantHash | Tests: tests/observability.test.ts | Sentry-envelope and PostHog-capture shapes are built and the scrubber is pinned by test; no sink URL is configured, so nothing has been seen in a dashboard.</t>
        </is>
      </c>
    </row>
    <row r="145">
      <c r="A145" s="21" t="inlineStr">
        <is>
          <t>SD242</t>
        </is>
      </c>
      <c r="B145" s="21" t="inlineStr">
        <is>
          <t>E19</t>
        </is>
      </c>
      <c r="C145" s="21" t="inlineStr">
        <is>
          <t>Commercial machinery and observability</t>
        </is>
      </c>
      <c r="D145" s="21" t="inlineStr">
        <is>
          <t>SLO, error budget and alerting</t>
        </is>
      </c>
      <c r="E145" s="21" t="n">
        <v>5</v>
      </c>
      <c r="F145" s="21" t="inlineStr">
        <is>
          <t>P0</t>
        </is>
      </c>
      <c r="G145" s="21" t="inlineStr">
        <is>
          <t>S19</t>
        </is>
      </c>
      <c r="H145" s="21" t="inlineStr">
        <is>
          <t>SCR-6 Billing</t>
        </is>
      </c>
      <c r="I145" s="21" t="inlineStr">
        <is>
          <t>Jest 100% unit</t>
        </is>
      </c>
      <c r="J145" s="28" t="inlineStr">
        <is>
          <t>Done</t>
        </is>
      </c>
      <c r="K145" s="21" t="inlineStr">
        <is>
          <t>Closes D-05. Code: src/slo.ts (11 ALERT_RULES) + ops/incident-response-runbook.md | Tests: tests/observability.test.ts + tests/governance.test.ts | 99.5% is 216 minutes a month, stated as a number rather than a nine. Every rule carries a because field naming the finding that justifies it.</t>
        </is>
      </c>
    </row>
    <row r="146">
      <c r="A146" s="21" t="inlineStr">
        <is>
          <t>SD243</t>
        </is>
      </c>
      <c r="B146" s="21" t="inlineStr">
        <is>
          <t>E19</t>
        </is>
      </c>
      <c r="C146" s="21" t="inlineStr">
        <is>
          <t>Commercial machinery and observability</t>
        </is>
      </c>
      <c r="D146" s="21" t="inlineStr">
        <is>
          <t>Deploy pipeline made real</t>
        </is>
      </c>
      <c r="E146" s="21" t="n">
        <v>4</v>
      </c>
      <c r="F146" s="21" t="inlineStr">
        <is>
          <t>P1</t>
        </is>
      </c>
      <c r="G146" s="21" t="inlineStr">
        <is>
          <t>S19</t>
        </is>
      </c>
      <c r="H146" s="21" t="inlineStr">
        <is>
          <t>SCR-6 Billing</t>
        </is>
      </c>
      <c r="I146" s="21" t="inlineStr">
        <is>
          <t>Live evidence required (D-SD8)</t>
        </is>
      </c>
      <c r="J146" s="30" t="inlineStr">
        <is>
          <t>Code-complete pending live</t>
        </is>
      </c>
      <c r="K146" s="21" t="inlineStr">
        <is>
          <t>Closes P-020. Code: .github/workflows/deploy.yml (az commands, migrate-before-swap, smoke, rollback job) | Tests: tests/reviewPack.test.ts (no echo placeholders remain) | The echo placeholders are gone and the ordering is right. Executing one rollback needs the subscription.</t>
        </is>
      </c>
    </row>
    <row r="147">
      <c r="A147" s="21" t="inlineStr">
        <is>
          <t>SD244</t>
        </is>
      </c>
      <c r="B147" s="21" t="inlineStr">
        <is>
          <t>E20</t>
        </is>
      </c>
      <c r="C147" s="21" t="inlineStr">
        <is>
          <t>Demand validation and go/no-go</t>
        </is>
      </c>
      <c r="D147" s="21" t="inlineStr">
        <is>
          <t>15 discovery interviews in regulated frontline sectors</t>
        </is>
      </c>
      <c r="E147" s="21" t="n">
        <v>8</v>
      </c>
      <c r="F147" s="21" t="inlineStr">
        <is>
          <t>P0</t>
        </is>
      </c>
      <c r="G147" s="21" t="inlineStr">
        <is>
          <t>S20</t>
        </is>
      </c>
      <c r="H147" s="21" t="inlineStr">
        <is>
          <t>(marketplace listing)</t>
        </is>
      </c>
      <c r="I147" s="21" t="inlineStr">
        <is>
          <t>Live evidence required (D-SD8)</t>
        </is>
      </c>
      <c r="J147" s="29" t="inlineStr">
        <is>
          <t>To do — Senthil</t>
        </is>
      </c>
      <c r="K147" s="21" t="inlineStr">
        <is>
          <t>Closes R4. Code: — | Tests: — | The one item no amount of code can substitute for. D13 parked interviews portfolio-wide; this is where that decision comes back.</t>
        </is>
      </c>
    </row>
    <row r="148">
      <c r="A148" s="21" t="inlineStr">
        <is>
          <t>SD245</t>
        </is>
      </c>
      <c r="B148" s="21" t="inlineStr">
        <is>
          <t>E20</t>
        </is>
      </c>
      <c r="C148" s="21" t="inlineStr">
        <is>
          <t>Demand validation and go/no-go</t>
        </is>
      </c>
      <c r="D148" s="21" t="inlineStr">
        <is>
          <t>Reposition to the auditable-evidence wedge</t>
        </is>
      </c>
      <c r="E148" s="21" t="n">
        <v>5</v>
      </c>
      <c r="F148" s="21" t="inlineStr">
        <is>
          <t>P1</t>
        </is>
      </c>
      <c r="G148" s="21" t="inlineStr">
        <is>
          <t>S20</t>
        </is>
      </c>
      <c r="H148" s="21" t="inlineStr">
        <is>
          <t>(marketplace listing)</t>
        </is>
      </c>
      <c r="I148" s="21" t="inlineStr">
        <is>
          <t>Live evidence required (D-SD8)</t>
        </is>
      </c>
      <c r="J148" s="31" t="inlineStr">
        <is>
          <t>Drafted</t>
        </is>
      </c>
      <c r="K148" s="21" t="inlineStr">
        <is>
          <t>Closes D-04. Code: content/listing-copy-A.md + content/listing-copy-B.md + content/positioning-onepager.md | Tests: tests/completionWave.test.ts + tests/reviewPack.test.ts | Copy rewritten against the free first-party overlap rather than around it. Whether the wedge lands is answered in the SD244 calls, not by the copy.</t>
        </is>
      </c>
    </row>
    <row r="149">
      <c r="A149" s="21" t="inlineStr">
        <is>
          <t>SD246</t>
        </is>
      </c>
      <c r="B149" s="21" t="inlineStr">
        <is>
          <t>E20</t>
        </is>
      </c>
      <c r="C149" s="21" t="inlineStr">
        <is>
          <t>Demand validation and go/no-go</t>
        </is>
      </c>
      <c r="D149" s="21" t="inlineStr">
        <is>
          <t>Pricing re-test and model repair</t>
        </is>
      </c>
      <c r="E149" s="21" t="n">
        <v>5</v>
      </c>
      <c r="F149" s="21" t="inlineStr">
        <is>
          <t>P1</t>
        </is>
      </c>
      <c r="G149" s="21" t="inlineStr">
        <is>
          <t>S20</t>
        </is>
      </c>
      <c r="H149" s="21" t="inlineStr">
        <is>
          <t>(marketplace listing)</t>
        </is>
      </c>
      <c r="I149" s="21" t="inlineStr">
        <is>
          <t>Jest 100% unit</t>
        </is>
      </c>
      <c r="J149" s="28" t="inlineStr">
        <is>
          <t>Done</t>
        </is>
      </c>
      <c r="K149" s="21" t="inlineStr">
        <is>
          <t>Closes P-018 / D-01. Code: product workbook v046 Financial_Model | Tests: workbook recalculation, 0 errors | The model now shows cash in, cash out, runway and either a breakeven month or the funding requirement stated outright. Per-site pricing modelled beside per-seat.</t>
        </is>
      </c>
    </row>
    <row r="150">
      <c r="A150" s="21" t="inlineStr">
        <is>
          <t>SD247</t>
        </is>
      </c>
      <c r="B150" s="21" t="inlineStr">
        <is>
          <t>E20</t>
        </is>
      </c>
      <c r="C150" s="21" t="inlineStr">
        <is>
          <t>Demand validation and go/no-go</t>
        </is>
      </c>
      <c r="D150" s="21" t="inlineStr">
        <is>
          <t>5 paid pilots with signed order forms</t>
        </is>
      </c>
      <c r="E150" s="21" t="n">
        <v>6</v>
      </c>
      <c r="F150" s="21" t="inlineStr">
        <is>
          <t>P0</t>
        </is>
      </c>
      <c r="G150" s="21" t="inlineStr">
        <is>
          <t>S20</t>
        </is>
      </c>
      <c r="H150" s="21" t="inlineStr">
        <is>
          <t>(marketplace listing)</t>
        </is>
      </c>
      <c r="I150" s="21" t="inlineStr">
        <is>
          <t>Live evidence required (D-SD8)</t>
        </is>
      </c>
      <c r="J150" s="29" t="inlineStr">
        <is>
          <t>To do — Senthil</t>
        </is>
      </c>
      <c r="K150" s="21" t="inlineStr">
        <is>
          <t>Closes G-02. Code: src/telemetry.ts funnel (wired at the boundary since session 24) | Tests: tests/observability.test.ts | The funnel that would measure this is real and wired. The five customers are not, and G-02 counts only paying strangers.</t>
        </is>
      </c>
    </row>
  </sheetData>
  <mergeCells count="1">
    <mergeCell ref="A2: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42" customWidth="1" style="14" min="2" max="2"/>
    <col width="10" customWidth="1" style="14" min="3" max="5"/>
    <col width="12" customWidth="1" style="14" min="6" max="6"/>
    <col width="14" customWidth="1" style="14" min="7" max="7"/>
    <col width="52" customWidth="1" style="14" min="8" max="9"/>
  </cols>
  <sheetData>
    <row r="1" ht="15" customHeight="1" s="15">
      <c r="A1" s="16" t="inlineStr">
        <is>
          <t>SPRINT STATUS ROLLUP — live formulas over Traceability_Matrix</t>
        </is>
      </c>
    </row>
    <row r="2" ht="15" customHeight="1" s="15">
      <c r="A2" s="22" t="inlineStr">
        <is>
          <t>Do not edit computed cells. 'Done' counts status = Done only (D-SD2): code-complete-pending-live, drafted, to-do and backlog are deliberately excluded. Ranges cover Traceability_Matrix rows 4-150 (147 stories: 100 ST + 47 SD).</t>
        </is>
      </c>
    </row>
    <row r="3" ht="15" customHeight="1" s="15">
      <c r="A3" s="18" t="inlineStr">
        <is>
          <t>Sprint</t>
        </is>
      </c>
      <c r="B3" s="18" t="inlineStr">
        <is>
          <t>Focus</t>
        </is>
      </c>
      <c r="C3" s="18" t="inlineStr">
        <is>
          <t>Stories</t>
        </is>
      </c>
      <c r="D3" s="18" t="inlineStr">
        <is>
          <t>Points</t>
        </is>
      </c>
      <c r="E3" s="18" t="inlineStr">
        <is>
          <t>Done</t>
        </is>
      </c>
      <c r="F3" s="18" t="inlineStr">
        <is>
          <t>Done points</t>
        </is>
      </c>
      <c r="G3" s="18" t="inlineStr">
        <is>
          <t>% points done</t>
        </is>
      </c>
      <c r="H3" s="18" t="inlineStr">
        <is>
          <t>RAG (manual)</t>
        </is>
      </c>
      <c r="I3" s="18" t="inlineStr">
        <is>
          <t>Exit criteria</t>
        </is>
      </c>
    </row>
    <row r="4" ht="26.25" customHeight="1" s="15">
      <c r="A4" s="19" t="inlineStr">
        <is>
          <t>S1</t>
        </is>
      </c>
      <c r="B4" s="19" t="inlineStr">
        <is>
          <t>Foundation (2 wks)</t>
        </is>
      </c>
      <c r="C4" s="19">
        <f>COUNTIF(Traceability_Matrix!$G$4:$G$150,"S1")</f>
        <v/>
      </c>
      <c r="D4" s="19">
        <f>SUMIF(Traceability_Matrix!$G$4:$G$150,"S1",Traceability_Matrix!$E$4:$E$150)</f>
        <v/>
      </c>
      <c r="E4" s="19">
        <f>COUNTIFS(Traceability_Matrix!$G$4:$G$150,"S1",Traceability_Matrix!$J$4:$J$150,"Done")</f>
        <v/>
      </c>
      <c r="F4" s="19">
        <f>SUMIFS(Traceability_Matrix!$E$4:$E$150,Traceability_Matrix!$G$4:$G$150,"S1",Traceability_Matrix!$J$4:$J$150,"Done")</f>
        <v/>
      </c>
      <c r="G4" s="32">
        <f>IFERROR(F4/D4,0)</f>
        <v/>
      </c>
      <c r="H4" s="19" t="inlineStr">
        <is>
          <t>AMBER — 3/4 stories done-in-code + infra; live install pending (Senthil)</t>
        </is>
      </c>
      <c r="I4" s="19" t="inlineStr">
        <is>
          <t>App installs cleanly in dev store/org; telemetry firing</t>
        </is>
      </c>
    </row>
    <row r="5" ht="15" customHeight="1" s="15">
      <c r="A5" s="19" t="inlineStr">
        <is>
          <t>S2</t>
        </is>
      </c>
      <c r="B5" s="19" t="inlineStr">
        <is>
          <t>Handover threads pt 1</t>
        </is>
      </c>
      <c r="C5" s="19">
        <f>COUNTIF(Traceability_Matrix!$G$4:$G$150,"S2")</f>
        <v/>
      </c>
      <c r="D5" s="19">
        <f>SUMIF(Traceability_Matrix!$G$4:$G$150,"S2",Traceability_Matrix!$E$4:$E$150)</f>
        <v/>
      </c>
      <c r="E5" s="19">
        <f>COUNTIFS(Traceability_Matrix!$G$4:$G$150,"S2",Traceability_Matrix!$J$4:$J$150,"Done")</f>
        <v/>
      </c>
      <c r="F5" s="19">
        <f>SUMIFS(Traceability_Matrix!$E$4:$E$150,Traceability_Matrix!$G$4:$G$150,"S2",Traceability_Matrix!$J$4:$J$150,"Done")</f>
        <v/>
      </c>
      <c r="G5" s="32">
        <f>IFERROR(F5/D5,0)</f>
        <v/>
      </c>
      <c r="H5" s="19" t="inlineStr">
        <is>
          <t>GREEN — all 6 done</t>
        </is>
      </c>
      <c r="I5" s="19" t="inlineStr">
        <is>
          <t>Handover happy path demoable</t>
        </is>
      </c>
    </row>
    <row r="6" ht="15" customHeight="1" s="15">
      <c r="A6" s="19" t="inlineStr">
        <is>
          <t>S3</t>
        </is>
      </c>
      <c r="B6" s="19" t="inlineStr">
        <is>
          <t>Handover pt 2 + Approvals start</t>
        </is>
      </c>
      <c r="C6" s="19">
        <f>COUNTIF(Traceability_Matrix!$G$4:$G$150,"S3")</f>
        <v/>
      </c>
      <c r="D6" s="19">
        <f>SUMIF(Traceability_Matrix!$G$4:$G$150,"S3",Traceability_Matrix!$E$4:$E$150)</f>
        <v/>
      </c>
      <c r="E6" s="19">
        <f>COUNTIFS(Traceability_Matrix!$G$4:$G$150,"S3",Traceability_Matrix!$J$4:$J$150,"Done")</f>
        <v/>
      </c>
      <c r="F6" s="19">
        <f>SUMIFS(Traceability_Matrix!$E$4:$E$150,Traceability_Matrix!$G$4:$G$150,"S3",Traceability_Matrix!$J$4:$J$150,"Done")</f>
        <v/>
      </c>
      <c r="G6" s="32">
        <f>IFERROR(F6/D6,0)</f>
        <v/>
      </c>
      <c r="H6" s="19" t="inlineStr">
        <is>
          <t>GREEN — 10/11; live surface story pending</t>
        </is>
      </c>
      <c r="I6" s="19" t="inlineStr">
        <is>
          <t>Handover complete with tests; approvals skeleton</t>
        </is>
      </c>
    </row>
    <row r="7" ht="15" customHeight="1" s="15">
      <c r="A7" s="19" t="inlineStr">
        <is>
          <t>S4</t>
        </is>
      </c>
      <c r="B7" s="19" t="inlineStr">
        <is>
          <t>Approval workflows</t>
        </is>
      </c>
      <c r="C7" s="19">
        <f>COUNTIF(Traceability_Matrix!$G$4:$G$150,"S4")</f>
        <v/>
      </c>
      <c r="D7" s="19">
        <f>SUMIF(Traceability_Matrix!$G$4:$G$150,"S4",Traceability_Matrix!$E$4:$E$150)</f>
        <v/>
      </c>
      <c r="E7" s="19">
        <f>COUNTIFS(Traceability_Matrix!$G$4:$G$150,"S4",Traceability_Matrix!$J$4:$J$150,"Done")</f>
        <v/>
      </c>
      <c r="F7" s="19">
        <f>SUMIFS(Traceability_Matrix!$E$4:$E$150,Traceability_Matrix!$G$4:$G$150,"S4",Traceability_Matrix!$J$4:$J$150,"Done")</f>
        <v/>
      </c>
      <c r="G7" s="32">
        <f>IFERROR(F7/D7,0)</f>
        <v/>
      </c>
      <c r="H7" s="19" t="inlineStr">
        <is>
          <t>GREEN — 8/9; live surface story pending</t>
        </is>
      </c>
      <c r="I7" s="19" t="inlineStr">
        <is>
          <t>MVP loop usable end-to-end internally</t>
        </is>
      </c>
    </row>
    <row r="8" ht="15" customHeight="1" s="15">
      <c r="A8" s="19" t="inlineStr">
        <is>
          <t>S5</t>
        </is>
      </c>
      <c r="B8" s="19" t="inlineStr">
        <is>
          <t>Checklists + alpha hardening</t>
        </is>
      </c>
      <c r="C8" s="19">
        <f>COUNTIF(Traceability_Matrix!$G$4:$G$150,"S5")</f>
        <v/>
      </c>
      <c r="D8" s="19">
        <f>SUMIF(Traceability_Matrix!$G$4:$G$150,"S5",Traceability_Matrix!$E$4:$E$150)</f>
        <v/>
      </c>
      <c r="E8" s="19">
        <f>COUNTIFS(Traceability_Matrix!$G$4:$G$150,"S5",Traceability_Matrix!$J$4:$J$150,"Done")</f>
        <v/>
      </c>
      <c r="F8" s="19">
        <f>SUMIFS(Traceability_Matrix!$E$4:$E$150,Traceability_Matrix!$G$4:$G$150,"S5",Traceability_Matrix!$J$4:$J$150,"Done")</f>
        <v/>
      </c>
      <c r="G8" s="32">
        <f>IFERROR(F8/D8,0)</f>
        <v/>
      </c>
      <c r="H8" s="19" t="inlineStr">
        <is>
          <t>AMBER — code done; live dogfooding pending</t>
        </is>
      </c>
      <c r="I8" s="19" t="inlineStr">
        <is>
          <t>Internal alpha: team dogfoods daily</t>
        </is>
      </c>
    </row>
    <row r="9" ht="26.25" customHeight="1" s="15">
      <c r="A9" s="19" t="inlineStr">
        <is>
          <t>S6</t>
        </is>
      </c>
      <c r="B9" s="19" t="inlineStr">
        <is>
          <t>Billing + Kudos</t>
        </is>
      </c>
      <c r="C9" s="19">
        <f>COUNTIF(Traceability_Matrix!$G$4:$G$150,"S6")</f>
        <v/>
      </c>
      <c r="D9" s="19">
        <f>SUMIF(Traceability_Matrix!$G$4:$G$150,"S6",Traceability_Matrix!$E$4:$E$150)</f>
        <v/>
      </c>
      <c r="E9" s="19">
        <f>COUNTIFS(Traceability_Matrix!$G$4:$G$150,"S6",Traceability_Matrix!$J$4:$J$150,"Done")</f>
        <v/>
      </c>
      <c r="F9" s="19">
        <f>SUMIFS(Traceability_Matrix!$E$4:$E$150,Traceability_Matrix!$G$4:$G$150,"S6",Traceability_Matrix!$J$4:$J$150,"Done")</f>
        <v/>
      </c>
      <c r="G9" s="32">
        <f>IFERROR(F9/D9,0)</f>
        <v/>
      </c>
      <c r="H9" s="19" t="inlineStr">
        <is>
          <t>AMBER — billing logic done; marketplace rail live pending</t>
        </is>
      </c>
      <c r="I9" s="19" t="inlineStr">
        <is>
          <t>Can charge a test customer; up/downgrade paths work</t>
        </is>
      </c>
    </row>
    <row r="10" ht="15" customHeight="1" s="15">
      <c r="A10" s="19" t="inlineStr">
        <is>
          <t>S7</t>
        </is>
      </c>
      <c r="B10" s="19" t="inlineStr">
        <is>
          <t>Private beta (design partners)</t>
        </is>
      </c>
      <c r="C10" s="19">
        <f>COUNTIF(Traceability_Matrix!$G$4:$G$150,"S7")</f>
        <v/>
      </c>
      <c r="D10" s="19">
        <f>SUMIF(Traceability_Matrix!$G$4:$G$150,"S7",Traceability_Matrix!$E$4:$E$150)</f>
        <v/>
      </c>
      <c r="E10" s="19">
        <f>COUNTIFS(Traceability_Matrix!$G$4:$G$150,"S7",Traceability_Matrix!$J$4:$J$150,"Done")</f>
        <v/>
      </c>
      <c r="F10" s="19">
        <f>SUMIFS(Traceability_Matrix!$E$4:$E$150,Traceability_Matrix!$G$4:$G$150,"S7",Traceability_Matrix!$J$4:$J$150,"Done")</f>
        <v/>
      </c>
      <c r="G10" s="32">
        <f>IFERROR(F10/D10,0)</f>
        <v/>
      </c>
      <c r="H10" s="19" t="inlineStr">
        <is>
          <t>AMBER — all code done; partners = human-dependent</t>
        </is>
      </c>
      <c r="I10" s="19" t="inlineStr">
        <is>
          <t>3+ partners active weekly; NPS pulse &gt;30</t>
        </is>
      </c>
    </row>
    <row r="11" ht="15" customHeight="1" s="15">
      <c r="A11" s="19" t="inlineStr">
        <is>
          <t>S8</t>
        </is>
      </c>
      <c r="B11" s="19" t="inlineStr">
        <is>
          <t>Beta iteration + Manager dashboard</t>
        </is>
      </c>
      <c r="C11" s="19">
        <f>COUNTIF(Traceability_Matrix!$G$4:$G$150,"S8")</f>
        <v/>
      </c>
      <c r="D11" s="19">
        <f>SUMIF(Traceability_Matrix!$G$4:$G$150,"S8",Traceability_Matrix!$E$4:$E$150)</f>
        <v/>
      </c>
      <c r="E11" s="19">
        <f>COUNTIFS(Traceability_Matrix!$G$4:$G$150,"S8",Traceability_Matrix!$J$4:$J$150,"Done")</f>
        <v/>
      </c>
      <c r="F11" s="19">
        <f>SUMIFS(Traceability_Matrix!$E$4:$E$150,Traceability_Matrix!$G$4:$G$150,"S8",Traceability_Matrix!$J$4:$J$150,"Done")</f>
        <v/>
      </c>
      <c r="G11" s="32">
        <f>IFERROR(F11/D11,0)</f>
        <v/>
      </c>
      <c r="H11" s="19" t="inlineStr">
        <is>
          <t>AMBER — 18/22; live infra items remain</t>
        </is>
      </c>
      <c r="I11" s="19" t="inlineStr">
        <is>
          <t>Beta cohort WoW retention &gt;60%</t>
        </is>
      </c>
    </row>
    <row r="12" ht="26.25" customHeight="1" s="15">
      <c r="A12" s="19" t="inlineStr">
        <is>
          <t>S9</t>
        </is>
      </c>
      <c r="B12" s="19" t="inlineStr">
        <is>
          <t>Marketplace review prep</t>
        </is>
      </c>
      <c r="C12" s="19">
        <f>COUNTIF(Traceability_Matrix!$G$4:$G$150,"S9")</f>
        <v/>
      </c>
      <c r="D12" s="19">
        <f>SUMIF(Traceability_Matrix!$G$4:$G$150,"S9",Traceability_Matrix!$E$4:$E$150)</f>
        <v/>
      </c>
      <c r="E12" s="19">
        <f>COUNTIFS(Traceability_Matrix!$G$4:$G$150,"S9",Traceability_Matrix!$J$4:$J$150,"Done")</f>
        <v/>
      </c>
      <c r="F12" s="19">
        <f>SUMIFS(Traceability_Matrix!$E$4:$E$150,Traceability_Matrix!$G$4:$G$150,"S9",Traceability_Matrix!$J$4:$J$150,"Done")</f>
        <v/>
      </c>
      <c r="G12" s="32">
        <f>IFERROR(F12/D12,0)</f>
        <v/>
      </c>
      <c r="H12" s="19" t="inlineStr">
        <is>
          <t>AMBER — a11y automated + dry-run done; pen test + assets open</t>
        </is>
      </c>
      <c r="I12" s="19" t="inlineStr">
        <is>
          <t>Review submission accepted into queue</t>
        </is>
      </c>
    </row>
    <row r="13" ht="15" customHeight="1" s="15">
      <c r="A13" s="19" t="inlineStr">
        <is>
          <t>S10</t>
        </is>
      </c>
      <c r="B13" s="19" t="inlineStr">
        <is>
          <t>Review remediation + docs</t>
        </is>
      </c>
      <c r="C13" s="19">
        <f>COUNTIF(Traceability_Matrix!$G$4:$G$150,"S10")</f>
        <v/>
      </c>
      <c r="D13" s="19">
        <f>SUMIF(Traceability_Matrix!$G$4:$G$150,"S10",Traceability_Matrix!$E$4:$E$150)</f>
        <v/>
      </c>
      <c r="E13" s="19">
        <f>COUNTIFS(Traceability_Matrix!$G$4:$G$150,"S10",Traceability_Matrix!$J$4:$J$150,"Done")</f>
        <v/>
      </c>
      <c r="F13" s="19">
        <f>SUMIFS(Traceability_Matrix!$E$4:$E$150,Traceability_Matrix!$G$4:$G$150,"S10",Traceability_Matrix!$J$4:$J$150,"Done")</f>
        <v/>
      </c>
      <c r="G13" s="32">
        <f>IFERROR(F13/D13,0)</f>
        <v/>
      </c>
      <c r="H13" s="19" t="inlineStr">
        <is>
          <t>AMBER — content drafted, publishing pending</t>
        </is>
      </c>
      <c r="I13" s="19" t="inlineStr">
        <is>
          <t>Marketplace approval obtained</t>
        </is>
      </c>
    </row>
    <row r="14" ht="15" customHeight="1" s="15">
      <c r="A14" s="19" t="inlineStr">
        <is>
          <t>S11</t>
        </is>
      </c>
      <c r="B14" s="19" t="inlineStr">
        <is>
          <t>Launch</t>
        </is>
      </c>
      <c r="C14" s="19">
        <f>COUNTIF(Traceability_Matrix!$G$4:$G$150,"S11")</f>
        <v/>
      </c>
      <c r="D14" s="19">
        <f>SUMIF(Traceability_Matrix!$G$4:$G$150,"S11",Traceability_Matrix!$E$4:$E$150)</f>
        <v/>
      </c>
      <c r="E14" s="19">
        <f>COUNTIFS(Traceability_Matrix!$G$4:$G$150,"S11",Traceability_Matrix!$J$4:$J$150,"Done")</f>
        <v/>
      </c>
      <c r="F14" s="19">
        <f>SUMIFS(Traceability_Matrix!$E$4:$E$150,Traceability_Matrix!$G$4:$G$150,"S11",Traceability_Matrix!$J$4:$J$150,"Done")</f>
        <v/>
      </c>
      <c r="G14" s="32">
        <f>IFERROR(F14/D14,0)</f>
        <v/>
      </c>
      <c r="H14" s="19" t="inlineStr">
        <is>
          <t>RED — listing + installs gate everything</t>
        </is>
      </c>
      <c r="I14" s="19" t="inlineStr">
        <is>
          <t>First 10 installs; first 3 reviews; activation &gt;40%</t>
        </is>
      </c>
    </row>
    <row r="15" ht="15" customHeight="1" s="15">
      <c r="A15" s="19" t="inlineStr">
        <is>
          <t>S12</t>
        </is>
      </c>
      <c r="B15" s="19" t="inlineStr">
        <is>
          <t>Iterate &amp; scale decision</t>
        </is>
      </c>
      <c r="C15" s="19">
        <f>COUNTIF(Traceability_Matrix!$G$4:$G$150,"S12")</f>
        <v/>
      </c>
      <c r="D15" s="19">
        <f>SUMIF(Traceability_Matrix!$G$4:$G$150,"S12",Traceability_Matrix!$E$4:$E$150)</f>
        <v/>
      </c>
      <c r="E15" s="19">
        <f>COUNTIFS(Traceability_Matrix!$G$4:$G$150,"S12",Traceability_Matrix!$J$4:$J$150,"Done")</f>
        <v/>
      </c>
      <c r="F15" s="19">
        <f>SUMIFS(Traceability_Matrix!$E$4:$E$150,Traceability_Matrix!$G$4:$G$150,"S12",Traceability_Matrix!$J$4:$J$150,"Done")</f>
        <v/>
      </c>
      <c r="G15" s="32">
        <f>IFERROR(F15/D15,0)</f>
        <v/>
      </c>
      <c r="H15" s="19" t="inlineStr">
        <is>
          <t>RED — not started</t>
        </is>
      </c>
      <c r="I15" s="19" t="inlineStr">
        <is>
          <t>Growth model doc with CAC/LTV first estimates</t>
        </is>
      </c>
    </row>
    <row r="16" ht="15" customHeight="1" s="15">
      <c r="A16" s="21" t="inlineStr">
        <is>
          <t>S13</t>
        </is>
      </c>
      <c r="B16" s="21" t="inlineStr">
        <is>
          <t>Trust boundaries for real</t>
        </is>
      </c>
      <c r="C16" s="21">
        <f>COUNTIF(Traceability_Matrix!$G$4:$G$150,"S13")</f>
        <v/>
      </c>
      <c r="D16" s="21">
        <f>SUMIF(Traceability_Matrix!$G$4:$G$150,"S13",Traceability_Matrix!$E$4:$E$150)</f>
        <v/>
      </c>
      <c r="E16" s="21">
        <f>COUNTIFS(Traceability_Matrix!$G$4:$G$150,"S13",Traceability_Matrix!$J$4:$J$150,"Done")</f>
        <v/>
      </c>
      <c r="F16" s="21">
        <f>SUMIFS(Traceability_Matrix!$E$4:$E$150,Traceability_Matrix!$G$4:$G$150,"S13",Traceability_Matrix!$J$4:$J$150,"Done")</f>
        <v/>
      </c>
      <c r="G16" s="33">
        <f>IFERROR(F16/D16,0)</f>
        <v/>
      </c>
      <c r="H16" s="21" t="inlineStr">
        <is>
          <t>GREEN — 7/7 Done; the three trust CRITICALs are closed in code and asserted at boot</t>
        </is>
      </c>
      <c r="I16" s="21" t="inlineStr">
        <is>
          <t>A teams dev tenant loads the tab with a real entra token and the bot answers a real message, with the dev bypass disabled</t>
        </is>
      </c>
    </row>
    <row r="17">
      <c r="A17" s="21" t="inlineStr">
        <is>
          <t>S14</t>
        </is>
      </c>
      <c r="B17" s="21" t="inlineStr">
        <is>
          <t>Durability for real</t>
        </is>
      </c>
      <c r="C17" s="21">
        <f>COUNTIF(Traceability_Matrix!$G$4:$G$150,"S14")</f>
        <v/>
      </c>
      <c r="D17" s="21">
        <f>SUMIF(Traceability_Matrix!$G$4:$G$150,"S14",Traceability_Matrix!$E$4:$E$150)</f>
        <v/>
      </c>
      <c r="E17" s="21">
        <f>COUNTIFS(Traceability_Matrix!$G$4:$G$150,"S14",Traceability_Matrix!$J$4:$J$150,"Done")</f>
        <v/>
      </c>
      <c r="F17" s="21">
        <f>SUMIFS(Traceability_Matrix!$E$4:$E$150,Traceability_Matrix!$G$4:$G$150,"S14",Traceability_Matrix!$J$4:$J$150,"Done")</f>
        <v/>
      </c>
      <c r="G17" s="33">
        <f>IFERROR(F17/D17,0)</f>
        <v/>
      </c>
      <c r="H17" s="21" t="inlineStr">
        <is>
          <t>GREEN — 8/8 Done; proven against a real Postgres 16, not a fake; drill PASS at RPO 0s / RTO 0s</t>
        </is>
      </c>
      <c r="I17" s="21" t="inlineStr">
        <is>
          <t>Restart, two-instance and restore drills run green in ci against real postgres, unattended</t>
        </is>
      </c>
    </row>
    <row r="18">
      <c r="A18" s="21" t="inlineStr">
        <is>
          <t>S15</t>
        </is>
      </c>
      <c r="B18" s="21" t="inlineStr">
        <is>
          <t>Scale and data model</t>
        </is>
      </c>
      <c r="C18" s="21">
        <f>COUNTIF(Traceability_Matrix!$G$4:$G$150,"S15")</f>
        <v/>
      </c>
      <c r="D18" s="21">
        <f>SUMIF(Traceability_Matrix!$G$4:$G$150,"S15",Traceability_Matrix!$E$4:$E$150)</f>
        <v/>
      </c>
      <c r="E18" s="21">
        <f>COUNTIFS(Traceability_Matrix!$G$4:$G$150,"S15",Traceability_Matrix!$J$4:$J$150,"Done")</f>
        <v/>
      </c>
      <c r="F18" s="21">
        <f>SUMIFS(Traceability_Matrix!$E$4:$E$150,Traceability_Matrix!$G$4:$G$150,"S15",Traceability_Matrix!$J$4:$J$150,"Done")</f>
        <v/>
      </c>
      <c r="G18" s="33">
        <f>IFERROR(F18/D18,0)</f>
        <v/>
      </c>
      <c r="H18" s="21" t="inlineStr">
        <is>
          <t>AMBER — 4/6 Done; SD219/SD220 need staging infrastructure before any number can be claimed (LC-8)</t>
        </is>
      </c>
      <c r="I18" s="21" t="inlineStr">
        <is>
          <t>5x load sweep passes on staging with per-record persistence and published numbers</t>
        </is>
      </c>
    </row>
    <row r="19">
      <c r="A19" s="21" t="inlineStr">
        <is>
          <t>S16</t>
        </is>
      </c>
      <c r="B19" s="21" t="inlineStr">
        <is>
          <t>Teams-native experience</t>
        </is>
      </c>
      <c r="C19" s="21">
        <f>COUNTIF(Traceability_Matrix!$G$4:$G$150,"S16")</f>
        <v/>
      </c>
      <c r="D19" s="21">
        <f>SUMIF(Traceability_Matrix!$G$4:$G$150,"S16",Traceability_Matrix!$E$4:$E$150)</f>
        <v/>
      </c>
      <c r="E19" s="21">
        <f>COUNTIFS(Traceability_Matrix!$G$4:$G$150,"S16",Traceability_Matrix!$J$4:$J$150,"Done")</f>
        <v/>
      </c>
      <c r="F19" s="21">
        <f>SUMIFS(Traceability_Matrix!$E$4:$E$150,Traceability_Matrix!$G$4:$G$150,"S16",Traceability_Matrix!$J$4:$J$150,"Done")</f>
        <v/>
      </c>
      <c r="G19" s="33">
        <f>IFERROR(F19/D19,0)</f>
        <v/>
      </c>
      <c r="H19" s="21" t="inlineStr">
        <is>
          <t>AMBER — 2/6 Done; cards, proactive push and the channel tab are live-client facts; the mobile pass is Senthil (VER-SD01)</t>
        </is>
      </c>
      <c r="I19" s="21" t="inlineStr">
        <is>
          <t>End-to-end handover completed on teams mobile using cards, with the acknowledgement nudge arriving proactively</t>
        </is>
      </c>
    </row>
    <row r="20">
      <c r="A20" s="21" t="inlineStr">
        <is>
          <t>S17</t>
        </is>
      </c>
      <c r="B20" s="21" t="inlineStr">
        <is>
          <t>Enterprise admin and governance</t>
        </is>
      </c>
      <c r="C20" s="21">
        <f>COUNTIF(Traceability_Matrix!$G$4:$G$150,"S17")</f>
        <v/>
      </c>
      <c r="D20" s="21">
        <f>SUMIF(Traceability_Matrix!$G$4:$G$150,"S17",Traceability_Matrix!$E$4:$E$150)</f>
        <v/>
      </c>
      <c r="E20" s="21">
        <f>COUNTIFS(Traceability_Matrix!$G$4:$G$150,"S17",Traceability_Matrix!$J$4:$J$150,"Done")</f>
        <v/>
      </c>
      <c r="F20" s="21">
        <f>SUMIFS(Traceability_Matrix!$E$4:$E$150,Traceability_Matrix!$G$4:$G$150,"S17",Traceability_Matrix!$J$4:$J$150,"Done")</f>
        <v/>
      </c>
      <c r="G20" s="33">
        <f>IFERROR(F20/D20,0)</f>
        <v/>
      </c>
      <c r="H20" s="21" t="inlineStr">
        <is>
          <t>AMBER — 2/6 Done; consent in two tenants, a real vault and the tabletop remain</t>
        </is>
      </c>
      <c r="I20" s="21" t="inlineStr">
        <is>
          <t>An it-admin dry run (install, consent, rollout, export, delete) completed by someone who did not build it</t>
        </is>
      </c>
    </row>
    <row r="21">
      <c r="A21" s="21" t="inlineStr">
        <is>
          <t>S18</t>
        </is>
      </c>
      <c r="B21" s="21" t="inlineStr">
        <is>
          <t>Assurance and certification</t>
        </is>
      </c>
      <c r="C21" s="21">
        <f>COUNTIF(Traceability_Matrix!$G$4:$G$150,"S18")</f>
        <v/>
      </c>
      <c r="D21" s="21">
        <f>SUMIF(Traceability_Matrix!$G$4:$G$150,"S18",Traceability_Matrix!$E$4:$E$150)</f>
        <v/>
      </c>
      <c r="E21" s="21">
        <f>COUNTIFS(Traceability_Matrix!$G$4:$G$150,"S18",Traceability_Matrix!$J$4:$J$150,"Done")</f>
        <v/>
      </c>
      <c r="F21" s="21">
        <f>SUMIFS(Traceability_Matrix!$E$4:$E$150,Traceability_Matrix!$G$4:$G$150,"S18",Traceability_Matrix!$J$4:$J$150,"Done")</f>
        <v/>
      </c>
      <c r="G21" s="33">
        <f>IFERROR(F21/D21,0)</f>
        <v/>
      </c>
      <c r="H21" s="21" t="inlineStr">
        <is>
          <t>RED — 1/5 Done; four of five items are irreducibly human: pen test, attestation, SOC 2 engagement, manual a11y</t>
        </is>
      </c>
      <c r="I21" s="21" t="inlineStr">
        <is>
          <t>Attestation submitted, pen-test highs closed, accessibility audit signed</t>
        </is>
      </c>
    </row>
    <row r="22">
      <c r="A22" s="21" t="inlineStr">
        <is>
          <t>S19</t>
        </is>
      </c>
      <c r="B22" s="21" t="inlineStr">
        <is>
          <t>Commercial machinery and observability</t>
        </is>
      </c>
      <c r="C22" s="21">
        <f>COUNTIF(Traceability_Matrix!$G$4:$G$150,"S19")</f>
        <v/>
      </c>
      <c r="D22" s="21">
        <f>SUMIF(Traceability_Matrix!$G$4:$G$150,"S19",Traceability_Matrix!$E$4:$E$150)</f>
        <v/>
      </c>
      <c r="E22" s="21">
        <f>COUNTIFS(Traceability_Matrix!$G$4:$G$150,"S19",Traceability_Matrix!$J$4:$J$150,"Done")</f>
        <v/>
      </c>
      <c r="F22" s="21">
        <f>SUMIFS(Traceability_Matrix!$E$4:$E$150,Traceability_Matrix!$G$4:$G$150,"S19",Traceability_Matrix!$J$4:$J$150,"Done")</f>
        <v/>
      </c>
      <c r="G22" s="33">
        <f>IFERROR(F22/D22,0)</f>
        <v/>
      </c>
      <c r="H22" s="21" t="inlineStr">
        <is>
          <t>RED — 1/5 Done; fulfillment and the sinks are built; a real transaction and a real DSN are not</t>
        </is>
      </c>
      <c r="I22" s="21" t="inlineStr">
        <is>
          <t>A test customer transacts through the marketplace and the entitlement is enforced end to end</t>
        </is>
      </c>
    </row>
    <row r="23">
      <c r="A23" s="21" t="inlineStr">
        <is>
          <t>S20</t>
        </is>
      </c>
      <c r="B23" s="21" t="inlineStr">
        <is>
          <t>Demand validation and go/no-go</t>
        </is>
      </c>
      <c r="C23" s="21">
        <f>COUNTIF(Traceability_Matrix!$G$4:$G$150,"S20")</f>
        <v/>
      </c>
      <c r="D23" s="21">
        <f>SUMIF(Traceability_Matrix!$G$4:$G$150,"S20",Traceability_Matrix!$E$4:$E$150)</f>
        <v/>
      </c>
      <c r="E23" s="21">
        <f>COUNTIFS(Traceability_Matrix!$G$4:$G$150,"S20",Traceability_Matrix!$J$4:$J$150,"Done")</f>
        <v/>
      </c>
      <c r="F23" s="21">
        <f>SUMIFS(Traceability_Matrix!$E$4:$E$150,Traceability_Matrix!$G$4:$G$150,"S20",Traceability_Matrix!$J$4:$J$150,"Done")</f>
        <v/>
      </c>
      <c r="G23" s="33">
        <f>IFERROR(F23/D23,0)</f>
        <v/>
      </c>
      <c r="H23" s="21" t="inlineStr">
        <is>
          <t>RED — 1/4 Done; the interviews and the five paid pilots are the programme gate and no code substitutes</t>
        </is>
      </c>
      <c r="I23" s="21" t="inlineStr">
        <is>
          <t>G-01/g-02 become achievable on evidence, or kill criteria fire</t>
        </is>
      </c>
    </row>
    <row r="24">
      <c r="A24" s="34" t="inlineStr">
        <is>
          <t>TOTAL</t>
        </is>
      </c>
      <c r="B24" s="34" t="inlineStr">
        <is>
          <t>(S1-S20)</t>
        </is>
      </c>
      <c r="C24" s="34">
        <f>SUM(C4:C23)</f>
        <v/>
      </c>
      <c r="D24" s="34">
        <f>SUM(D4:D23)</f>
        <v/>
      </c>
      <c r="E24" s="34">
        <f>SUM(E4:E23)</f>
        <v/>
      </c>
      <c r="F24" s="34">
        <f>SUM(F4:F23)</f>
        <v/>
      </c>
      <c r="G24" s="35">
        <f>IFERROR(F24/D24,0)</f>
        <v/>
      </c>
      <c r="H24" s="19" t="n"/>
      <c r="I24" s="19" t="n"/>
    </row>
    <row r="26">
      <c r="A26" s="36" t="inlineStr">
        <is>
          <t>BY STATUS (all 147 stories)</t>
        </is>
      </c>
    </row>
    <row r="27">
      <c r="A27" t="inlineStr">
        <is>
          <t>Done</t>
        </is>
      </c>
      <c r="B27" t="inlineStr">
        <is>
          <t>stories / points</t>
        </is>
      </c>
      <c r="C27">
        <f>COUNTIF(Traceability_Matrix!$J$4:$J$150,"Done")</f>
        <v/>
      </c>
      <c r="D27">
        <f>SUMIF(Traceability_Matrix!$J$4:$J$150,"Done",Traceability_Matrix!$E$4:$E$150)</f>
        <v/>
      </c>
    </row>
    <row r="28">
      <c r="A28" t="inlineStr">
        <is>
          <t>Code-complete pending live</t>
        </is>
      </c>
      <c r="B28" t="inlineStr">
        <is>
          <t>stories / points</t>
        </is>
      </c>
      <c r="C28">
        <f>COUNTIF(Traceability_Matrix!$J$4:$J$150,"Code-complete pending live")</f>
        <v/>
      </c>
      <c r="D28">
        <f>SUMIF(Traceability_Matrix!$J$4:$J$150,"Code-complete pending live",Traceability_Matrix!$E$4:$E$150)</f>
        <v/>
      </c>
    </row>
    <row r="29">
      <c r="A29" t="inlineStr">
        <is>
          <t>In progress</t>
        </is>
      </c>
      <c r="B29" t="inlineStr">
        <is>
          <t>stories / points</t>
        </is>
      </c>
      <c r="C29">
        <f>COUNTIF(Traceability_Matrix!$J$4:$J$150,"In progress")</f>
        <v/>
      </c>
      <c r="D29">
        <f>SUMIF(Traceability_Matrix!$J$4:$J$150,"In progress",Traceability_Matrix!$E$4:$E$150)</f>
        <v/>
      </c>
    </row>
    <row r="30">
      <c r="A30" t="inlineStr">
        <is>
          <t>Drafted</t>
        </is>
      </c>
      <c r="B30" t="inlineStr">
        <is>
          <t>stories / points</t>
        </is>
      </c>
      <c r="C30">
        <f>COUNTIF(Traceability_Matrix!$J$4:$J$150,"Drafted")</f>
        <v/>
      </c>
      <c r="D30">
        <f>SUMIF(Traceability_Matrix!$J$4:$J$150,"Drafted",Traceability_Matrix!$E$4:$E$150)</f>
        <v/>
      </c>
    </row>
    <row r="31">
      <c r="A31" t="inlineStr">
        <is>
          <t>To do — Senthil</t>
        </is>
      </c>
      <c r="B31" t="inlineStr">
        <is>
          <t>stories / points</t>
        </is>
      </c>
      <c r="C31">
        <f>COUNTIF(Traceability_Matrix!$J$4:$J$150,"To do — Senthil")</f>
        <v/>
      </c>
      <c r="D31">
        <f>SUMIF(Traceability_Matrix!$J$4:$J$150,"To do — Senthil",Traceability_Matrix!$E$4:$E$150)</f>
        <v/>
      </c>
    </row>
    <row r="32">
      <c r="A32" t="inlineStr">
        <is>
          <t>To do</t>
        </is>
      </c>
      <c r="B32" t="inlineStr">
        <is>
          <t>stories / points</t>
        </is>
      </c>
      <c r="C32">
        <f>COUNTIF(Traceability_Matrix!$J$4:$J$150,"To do")</f>
        <v/>
      </c>
      <c r="D32">
        <f>SUMIF(Traceability_Matrix!$J$4:$J$150,"To do",Traceability_Matrix!$E$4:$E$150)</f>
        <v/>
      </c>
    </row>
    <row r="33">
      <c r="A33" t="inlineStr">
        <is>
          <t>Backlog</t>
        </is>
      </c>
      <c r="B33" t="inlineStr">
        <is>
          <t>stories / points</t>
        </is>
      </c>
      <c r="C33">
        <f>COUNTIF(Traceability_Matrix!$J$4:$J$150,"Backlog")</f>
        <v/>
      </c>
      <c r="D33">
        <f>SUMIF(Traceability_Matrix!$J$4:$J$150,"Backlog",Traceability_Matrix!$E$4:$E$150)</f>
        <v/>
      </c>
    </row>
    <row r="35">
      <c r="A35" t="inlineStr">
        <is>
          <t>CHECK</t>
        </is>
      </c>
      <c r="B35" t="inlineStr">
        <is>
          <t>status rows must sum to the matrix row count, and points must sum to the sprint total</t>
        </is>
      </c>
      <c r="C35">
        <f>IF(AND(SUM(C27:C33)=COUNTA(Traceability_Matrix!$A$4:$A$150),SUM(D27:D33)=D24),"OK","MISMATCH")</f>
        <v/>
      </c>
    </row>
  </sheetData>
  <mergeCells count="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13" customWidth="1" style="14" min="2" max="2"/>
    <col width="10" customWidth="1" style="14" min="3" max="3"/>
    <col width="85" customWidth="1" style="14" min="4" max="4"/>
    <col width="12" customWidth="1" style="14" min="5" max="5"/>
    <col width="80" customWidth="1" style="14" min="6" max="6"/>
  </cols>
  <sheetData>
    <row r="1" ht="15" customHeight="1" s="15">
      <c r="A1" s="16" t="inlineStr">
        <is>
          <t>RAID — seeded from workbook v005 Risk_Register + build findings</t>
        </is>
      </c>
    </row>
    <row r="2" ht="15" customHeight="1" s="15">
      <c r="A2" s="18" t="inlineStr">
        <is>
          <t>ID</t>
        </is>
      </c>
      <c r="B2" s="18" t="inlineStr">
        <is>
          <t>Type</t>
        </is>
      </c>
      <c r="C2" s="18" t="inlineStr">
        <is>
          <t>Raised</t>
        </is>
      </c>
      <c r="D2" s="18" t="inlineStr">
        <is>
          <t>Item</t>
        </is>
      </c>
      <c r="E2" s="18" t="inlineStr">
        <is>
          <t>Status</t>
        </is>
      </c>
      <c r="F2" s="18" t="inlineStr">
        <is>
          <t>Notes / Mitigation</t>
        </is>
      </c>
    </row>
    <row r="3" ht="26.25" customHeight="1" s="15">
      <c r="A3" s="19" t="inlineStr">
        <is>
          <t>R-S1</t>
        </is>
      </c>
      <c r="B3" s="19" t="inlineStr">
        <is>
          <t>Risk</t>
        </is>
      </c>
      <c r="C3" s="19" t="inlineStr">
        <is>
          <t>v005</t>
        </is>
      </c>
      <c r="D3" s="19" t="inlineStr">
        <is>
          <t>Teams store certification loops exceed 2 cycles (Medium/High)</t>
        </is>
      </c>
      <c r="E3" s="19" t="inlineStr">
        <is>
          <t>Open</t>
        </is>
      </c>
      <c r="F3" s="19" t="inlineStr">
        <is>
          <t>Pre-submission consult; validation checklist owner in S8; dry-run already recorded in Launch_Checklist (ST-097).</t>
        </is>
      </c>
    </row>
    <row r="4" ht="26.25" customHeight="1" s="15">
      <c r="A4" s="19" t="inlineStr">
        <is>
          <t>R-S2</t>
        </is>
      </c>
      <c r="B4" s="19" t="inlineStr">
        <is>
          <t>Risk</t>
        </is>
      </c>
      <c r="C4" s="19" t="inlineStr">
        <is>
          <t>v005</t>
        </is>
      </c>
      <c r="D4" s="19" t="inlineStr">
        <is>
          <t>Microsoft ships native Shifts upgrades (High/Medium) — and, per review finding D-04, already ships Approvals and Planner free inside Microsoft 365, so the real competitor is zero marginal cost rather than a future release</t>
        </is>
      </c>
      <c r="E4" s="19" t="inlineStr">
        <is>
          <t>Open — repositioned</t>
        </is>
      </c>
      <c r="F4" s="19" t="inlineStr">
        <is>
          <t>Repositioned onto the auditable-evidence wedge: retained, queryable handover evidence with an audit trail, which the free first-party tools do not produce. Listing copy, one-pager and comparison pages rewritten explicitly against Approvals and Planner (SD245); per-site pricing modelled so the price is not a per-seat tax on top of a suite the customer already owns (SD246). The wedge is tested in the SD244 interviews before launch spend.</t>
        </is>
      </c>
    </row>
    <row r="5" ht="15" customHeight="1" s="15">
      <c r="A5" s="19" t="inlineStr">
        <is>
          <t>R-S3</t>
        </is>
      </c>
      <c r="B5" s="19" t="inlineStr">
        <is>
          <t>Risk</t>
        </is>
      </c>
      <c r="C5" s="19" t="inlineStr">
        <is>
          <t>v005</t>
        </is>
      </c>
      <c r="D5" s="19" t="inlineStr">
        <is>
          <t>Enterprise sales cycle starves cash before S12 (High/Medium)</t>
        </is>
      </c>
      <c r="E5" s="19" t="inlineStr">
        <is>
          <t>Open</t>
        </is>
      </c>
      <c r="F5" s="19" t="inlineStr">
        <is>
          <t>Pilot pricing; design-partner LOIs by S7; per-frontline-seat wedge under WFM suites.</t>
        </is>
      </c>
    </row>
    <row r="6" ht="39" customHeight="1" s="15">
      <c r="A6" s="19" t="inlineStr">
        <is>
          <t>R-S4</t>
        </is>
      </c>
      <c r="B6" s="19" t="inlineStr">
        <is>
          <t>Constraint</t>
        </is>
      </c>
      <c r="C6" s="19" t="inlineStr">
        <is>
          <t>22:26</t>
        </is>
      </c>
      <c r="D6" s="19" t="inlineStr">
        <is>
          <t>Sandbox has no Postgres/Microsoft credentials — persistence in-memory behind typed repositories; Bot Framework/Graph + marketplace billing mocked at PlatformGateway seam</t>
        </is>
      </c>
      <c r="E6" s="19" t="inlineStr">
        <is>
          <t>Corrected</t>
        </is>
      </c>
      <c r="F6" s="19" t="inlineStr">
        <is>
          <t>The "typed repositories" this entry claimed did not exist until session 15 (GAP-SD8). Seam now built with in-memory and Postgres implementations under one contract suite; the live swap really is wiring plus a migration run.</t>
        </is>
      </c>
    </row>
    <row r="7" ht="26.25" customHeight="1" s="15">
      <c r="A7" s="19" t="inlineStr">
        <is>
          <t>R-S5</t>
        </is>
      </c>
      <c r="B7" s="19" t="inlineStr">
        <is>
          <t>Risk</t>
        </is>
      </c>
      <c r="C7" s="19" t="inlineStr">
        <is>
          <t>22:26</t>
        </is>
      </c>
      <c r="D7" s="19" t="inlineStr">
        <is>
          <t>Teams manifest/SSO validation rules assumed from public guidelines; not yet validated against a live tenant</t>
        </is>
      </c>
      <c r="E7" s="19" t="inlineStr">
        <is>
          <t>Open</t>
        </is>
      </c>
      <c r="F7" s="19" t="inlineStr">
        <is>
          <t>Verify at S1-07 with Partner Center + dev tenant; self-check drafted in Launch_Checklist #2.</t>
        </is>
      </c>
    </row>
    <row r="8" ht="26.25" customHeight="1" s="15">
      <c r="A8" s="19" t="inlineStr">
        <is>
          <t>R-S6</t>
        </is>
      </c>
      <c r="B8" s="19" t="inlineStr">
        <is>
          <t>Risk</t>
        </is>
      </c>
      <c r="C8" s="19" t="inlineStr">
        <is>
          <t>22:54</t>
        </is>
      </c>
      <c r="D8" s="19" t="inlineStr">
        <is>
          <t>WCAG evidence is automated-only (jest-axe, 9 screens); Teams store requires accessibility on live tab surfaces</t>
        </is>
      </c>
      <c r="E8" s="19" t="inlineStr">
        <is>
          <t>Open</t>
        </is>
      </c>
      <c r="F8" s="19" t="inlineStr">
        <is>
          <t>Manual audit on live UI after S1-07; a11y suite stays as CI regression net.</t>
        </is>
      </c>
    </row>
    <row r="9" ht="26.25" customHeight="1" s="15">
      <c r="A9" s="19" t="inlineStr">
        <is>
          <t>A-S1</t>
        </is>
      </c>
      <c r="B9" s="19" t="inlineStr">
        <is>
          <t>Assumption</t>
        </is>
      </c>
      <c r="C9" s="19" t="inlineStr">
        <is>
          <t>22:26</t>
        </is>
      </c>
      <c r="D9" s="19" t="inlineStr">
        <is>
          <t>D13 (interviews parked, 100% coverage) applies to ShiftDesk as portfolio-wide</t>
        </is>
      </c>
      <c r="E9" s="19" t="inlineStr">
        <is>
          <t>Open</t>
        </is>
      </c>
      <c r="F9" s="19" t="inlineStr">
        <is>
          <t>Per Senthil 20:45/22:26 instructions; S0 activities re-enter at workbook v-next if interviews resume.</t>
        </is>
      </c>
    </row>
    <row r="10" ht="15" customHeight="1" s="15">
      <c r="A10" s="19" t="inlineStr">
        <is>
          <t>A-S2</t>
        </is>
      </c>
      <c r="B10" s="19" t="inlineStr">
        <is>
          <t>Assumption</t>
        </is>
      </c>
      <c r="C10" s="19" t="inlineStr">
        <is>
          <t>22:26</t>
        </is>
      </c>
      <c r="D10" s="19" t="inlineStr">
        <is>
          <t>D15 mode (hold-serial vs formal-parallel) pending across eight concurrent builds</t>
        </is>
      </c>
      <c r="E10" s="19" t="inlineStr">
        <is>
          <t>Open</t>
        </is>
      </c>
      <c r="F10" s="19" t="inlineStr">
        <is>
          <t>Senthil to ratify; consolidated in portfolio action board (23:03).</t>
        </is>
      </c>
    </row>
    <row r="11" ht="15" customHeight="1" s="15">
      <c r="A11" s="19" t="inlineStr">
        <is>
          <t>A-S3</t>
        </is>
      </c>
      <c r="B11" s="19" t="inlineStr">
        <is>
          <t>Assumption</t>
        </is>
      </c>
      <c r="C11" s="19" t="inlineStr">
        <is>
          <t>22:54</t>
        </is>
      </c>
      <c r="D11" s="19" t="inlineStr">
        <is>
          <t>3% Microsoft transactable fee + AppSource private offers per v005 financial model</t>
        </is>
      </c>
      <c r="E11" s="19" t="inlineStr">
        <is>
          <t>Open</t>
        </is>
      </c>
      <c r="F11" s="19" t="inlineStr">
        <is>
          <t>Verify fee terms during Partner Center offer setup (Launch_Checklist #6).</t>
        </is>
      </c>
    </row>
    <row r="12" ht="26.25" customHeight="1" s="15">
      <c r="A12" s="19" t="inlineStr">
        <is>
          <t>R-S7</t>
        </is>
      </c>
      <c r="B12" s="19" t="inlineStr">
        <is>
          <t>Risk</t>
        </is>
      </c>
      <c r="C12" s="19" t="inlineStr">
        <is>
          <t>12:51</t>
        </is>
      </c>
      <c r="D12" s="19" t="inlineStr">
        <is>
          <t>CSV importer (moduleBase.importCsv) is naive comma-split — quoted fields with commas would mis-parse on import; flagged as cold-review pass-2 candidate</t>
        </is>
      </c>
      <c r="E12" s="19" t="inlineStr">
        <is>
          <t>Closed</t>
        </is>
      </c>
      <c r="F12" s="19" t="inlineStr">
        <is>
          <t>F-010 pass-2 fix: RFC-4180 parser in importCsv, regression pinned (tests/reviewPass2.test.ts).</t>
        </is>
      </c>
    </row>
    <row r="13" ht="39" customHeight="1" s="15">
      <c r="A13" s="19" t="inlineStr">
        <is>
          <t>R-S8</t>
        </is>
      </c>
      <c r="B13" s="19" t="inlineStr">
        <is>
          <t>Risk</t>
        </is>
      </c>
      <c r="C13" s="19" t="inlineStr">
        <is>
          <t>13/09 09:52</t>
        </is>
      </c>
      <c r="D13" s="19" t="inlineStr">
        <is>
          <t>Sandbox cannot prove in-client behaviour: the TeamsJS handshake, RSC consent screen, and tab rendering are verifiable only inside a real Teams client (VER-SD08 was invisible to a 100%-covered suite)</t>
        </is>
      </c>
      <c r="E13" s="19" t="inlineStr">
        <is>
          <t>Open</t>
        </is>
      </c>
      <c r="F13" s="19" t="inlineStr">
        <is>
          <t>14-step live sweep on the dev tenant is the proving instrument; treat its report as the evidence of record for the 9 pending-live stories.</t>
        </is>
      </c>
    </row>
    <row r="14" ht="26.25" customHeight="1" s="15">
      <c r="A14" s="19" t="inlineStr">
        <is>
          <t>R-S9</t>
        </is>
      </c>
      <c r="B14" s="19" t="inlineStr">
        <is>
          <t>Risk</t>
        </is>
      </c>
      <c r="C14" s="19" t="inlineStr">
        <is>
          <t>13/09 10:01</t>
        </is>
      </c>
      <c r="D14" s="19" t="inlineStr">
        <is>
          <t>Two manifest-promise gaps (tabs, bot commands) survived eight sessions and two cold reviews because the manifest was never cross-checked against shipped code</t>
        </is>
      </c>
      <c r="E14" s="19" t="inlineStr">
        <is>
          <t>Closed</t>
        </is>
      </c>
      <c r="F14" s="19" t="inlineStr">
        <is>
          <t>Both closed this session; manifest-vs-code assertions now live in tests/manifest.test.ts so any future manifest promise without an implementation fails CI.</t>
        </is>
      </c>
    </row>
    <row r="15" ht="39" customHeight="1" s="15">
      <c r="A15" s="19" t="inlineStr">
        <is>
          <t>R-S10</t>
        </is>
      </c>
      <c r="B15" s="19" t="inlineStr">
        <is>
          <t>Risk</t>
        </is>
      </c>
      <c r="C15" s="19" t="inlineStr">
        <is>
          <t>13/09 10:24</t>
        </is>
      </c>
      <c r="D15" s="19" t="inlineStr">
        <is>
          <t>Newly written code is the least-reviewed code: sessions 5-8 shipped 12 modules that passed CI at 100% and still held 6 defects, one of them authentication-breaking</t>
        </is>
      </c>
      <c r="E15" s="19" t="inlineStr">
        <is>
          <t>Open</t>
        </is>
      </c>
      <c r="F15" s="19" t="inlineStr">
        <is>
          <t>Any future ShiftDesk session that writes new modules must schedule its own review pass before the work is called done; assertions on outbound headers/transport added as a standing habit (F-016 class).</t>
        </is>
      </c>
    </row>
    <row r="16" ht="26.25" customHeight="1" s="15">
      <c r="A16" s="19" t="inlineStr">
        <is>
          <t>R-S11</t>
        </is>
      </c>
      <c r="B16" s="19" t="inlineStr">
        <is>
          <t>Risk</t>
        </is>
      </c>
      <c r="C16" s="19" t="inlineStr">
        <is>
          <t>13/09 10:37</t>
        </is>
      </c>
      <c r="D16" s="19" t="inlineStr">
        <is>
          <t>Integration seams between layers are where the defects live: the unit suite held 100% while the client called a server that did not exist</t>
        </is>
      </c>
      <c r="E16" s="19" t="inlineStr">
        <is>
          <t>Mitigated</t>
        </is>
      </c>
      <c r="F16" s="19" t="inlineStr">
        <is>
          <t>Contract tests now bind the seams — manifest-vs-code (session 8), client-vs-server parity (session 10). Add one for any new seam introduced.</t>
        </is>
      </c>
    </row>
    <row r="17" ht="39" customHeight="1" s="15">
      <c r="A17" s="19" t="inlineStr">
        <is>
          <t>R-S12</t>
        </is>
      </c>
      <c r="B17" s="19" t="inlineStr">
        <is>
          <t>Risk</t>
        </is>
      </c>
      <c r="C17" s="19" t="inlineStr">
        <is>
          <t>13/09 10:42</t>
        </is>
      </c>
      <c r="D17" s="19" t="inlineStr">
        <is>
          <t>Transport code written from assumption rather than vendor documentation: session 10 built a bot endpoint that was wrong in authentication, payload shape and reply mechanism, and its own tests passed</t>
        </is>
      </c>
      <c r="E17" s="19" t="inlineStr">
        <is>
          <t>Mitigated</t>
        </is>
      </c>
      <c r="F17" s="19" t="inlineStr">
        <is>
          <t>Every new integration seam now gets a documentation sweep in the following session before it is called done; tab (session 10) and bot (session 11) seams both now verified against vendor docs.</t>
        </is>
      </c>
    </row>
    <row r="18" ht="39" customHeight="1" s="15">
      <c r="A18" s="19" t="inlineStr">
        <is>
          <t>R-S13</t>
        </is>
      </c>
      <c r="B18" s="19" t="inlineStr">
        <is>
          <t>Risk</t>
        </is>
      </c>
      <c r="C18" s="19" t="inlineStr">
        <is>
          <t>13/09 11:25</t>
        </is>
      </c>
      <c r="D18" s="19" t="inlineStr">
        <is>
          <t>Tenant isolation was never tested until session 18: every test used a single tenant, so the suite could sit at 100% while the product shared all customer data</t>
        </is>
      </c>
      <c r="E18" s="19" t="inlineStr">
        <is>
          <t>Mitigated</t>
        </is>
      </c>
      <c r="F18" s="19" t="inlineStr">
        <is>
          <t>Isolation now pinned by dedicated tests (two tenants, separate hydration, bot and API paths). Any future multi-tenant surface must ship with a two-tenant test, not a single-tenant one.</t>
        </is>
      </c>
    </row>
    <row r="19" ht="39" customHeight="1" s="15">
      <c r="A19" s="19" t="inlineStr">
        <is>
          <t>R-S14</t>
        </is>
      </c>
      <c r="B19" s="19" t="inlineStr">
        <is>
          <t>Risk</t>
        </is>
      </c>
      <c r="C19" s="19" t="inlineStr">
        <is>
          <t>13/09 16:35</t>
        </is>
      </c>
      <c r="D19" s="19" t="inlineStr">
        <is>
          <t>Recurring pattern across F-029, F-034, F-035, F-036 and F-037: a module is built correctly and fully tested, and nothing ever calls it. Unit coverage cannot detect an uncalled module</t>
        </is>
      </c>
      <c r="E19" s="19" t="inlineStr">
        <is>
          <t>Mitigated</t>
        </is>
      </c>
      <c r="F19" s="19" t="inlineStr">
        <is>
          <t>Wiring is now asserted at the boundary (server tests prove telemetry, audit, notification and latency are invoked by a real request). Any new module ships with a test that drives it through the request path, not only in isolation.</t>
        </is>
      </c>
    </row>
    <row r="20" ht="39" customHeight="1" s="15">
      <c r="A20" s="19" t="inlineStr">
        <is>
          <t>R-S15</t>
        </is>
      </c>
      <c r="B20" s="19" t="inlineStr">
        <is>
          <t>Risk</t>
        </is>
      </c>
      <c r="C20" s="19" t="inlineStr">
        <is>
          <t>13/09 16:51</t>
        </is>
      </c>
      <c r="D20" s="19" t="inlineStr">
        <is>
          <t>A correct function called with a wrong argument passes every unit test on both sides (F-041): the seat-cap logic and the caller were each green while the feature was inoperative</t>
        </is>
      </c>
      <c r="E20" s="19" t="inlineStr">
        <is>
          <t>Mitigated</t>
        </is>
      </c>
      <c r="F20" s="19" t="inlineStr">
        <is>
          <t>Boundary tests now exercise the decision through the request path with real actors rather than passing the decision input directly; applied to the entitlement gate and to be applied to any future policy check.</t>
        </is>
      </c>
    </row>
    <row r="21" ht="39" customHeight="1" s="15">
      <c r="A21" s="19" t="inlineStr">
        <is>
          <t>R-S16</t>
        </is>
      </c>
      <c r="B21" s="19" t="inlineStr">
        <is>
          <t>Risk</t>
        </is>
      </c>
      <c r="C21" s="19" t="inlineStr">
        <is>
          <t>13/09 17:25</t>
        </is>
      </c>
      <c r="D21" s="19" t="inlineStr">
        <is>
          <t>Every audit until session 27 examined a single running instance, so a model that is correct alone and destructive in pairs passed five review passes and eight product audits</t>
        </is>
      </c>
      <c r="E21" s="19" t="inlineStr">
        <is>
          <t>Mitigated</t>
        </is>
      </c>
      <c r="F21" s="19" t="inlineStr">
        <is>
          <t>Multi-instance behaviour is now part of the standing test set (two servers, one store). Any future state-holding component must be exercised with two instances before it is called done.</t>
        </is>
      </c>
    </row>
    <row r="22">
      <c r="A22" s="21" t="inlineStr">
        <is>
          <t>R-S17</t>
        </is>
      </c>
      <c r="B22" s="21" t="inlineStr">
        <is>
          <t>Risk</t>
        </is>
      </c>
      <c r="C22" s="21" t="inlineStr">
        <is>
          <t>20/09 11:02</t>
        </is>
      </c>
      <c r="D22" s="21" t="inlineStr">
        <is>
          <t>An independent reviewer rated identity, durability and compliance readiness as Absent while the tracker showed a code-complete product at 100% coverage and 371 passing tests. Coverage measured the code that existed, not the code that mattered.</t>
        </is>
      </c>
      <c r="E22" s="21" t="inlineStr">
        <is>
          <t>Mitigated</t>
        </is>
      </c>
      <c r="F22" s="21" t="inlineStr">
        <is>
          <t>D-SD7 replaces the single coverage gate with three tiers (unit, real store, wiring assertion at boot). The scorecard dimension names now map to specific stories in the Traceability_Matrix, so "Absent" has an address.</t>
        </is>
      </c>
    </row>
    <row r="23">
      <c r="A23" s="21" t="inlineStr">
        <is>
          <t>R-S18</t>
        </is>
      </c>
      <c r="B23" s="21" t="inlineStr">
        <is>
          <t>Risk</t>
        </is>
      </c>
      <c r="C23" s="21" t="inlineStr">
        <is>
          <t>20/09 13:05</t>
        </is>
      </c>
      <c r="D23" s="21" t="inlineStr">
        <is>
          <t>Every durability claim before this session was made against an in-memory fake. The first hour of real Postgres produced F-071 — the driver parses JSONB into objects while the repository parsed text — a defect no amount of unit coverage could have surfaced.</t>
        </is>
      </c>
      <c r="E23" s="21" t="inlineStr">
        <is>
          <t>Mitigated</t>
        </is>
      </c>
      <c r="F23" s="21" t="inlineStr">
        <is>
          <t>Real-Postgres integration tier is now tier 2 of the release gate and a CI job with a postgres:16 service container. Any future store-facing change must go through it before it is called done.</t>
        </is>
      </c>
    </row>
    <row r="24">
      <c r="A24" s="21" t="inlineStr">
        <is>
          <t>R-S19</t>
        </is>
      </c>
      <c r="B24" s="21" t="inlineStr">
        <is>
          <t>Risk</t>
        </is>
      </c>
      <c r="C24" s="21" t="inlineStr">
        <is>
          <t>20/09 14:25</t>
        </is>
      </c>
      <c r="D24" s="21" t="inlineStr">
        <is>
          <t>Eleven of the 47 review stories cannot be completed from a sandbox at all (pen test, attestation, mobile pass, two-tenant consent, staging load sweep, live offer, interviews, paid pilots). The temptation is to restate them as something greener.</t>
        </is>
      </c>
      <c r="E24" s="21" t="inlineStr">
        <is>
          <t>Open</t>
        </is>
      </c>
      <c r="F24" s="21" t="inlineStr">
        <is>
          <t>D-SD8: they keep their points and their rows, sit at "To do — Senthil", and carry the artefact Claude could prepare. The rollup denominator therefore tells the truth about what is left, and G-01/G-02 stay open.</t>
        </is>
      </c>
    </row>
    <row r="25">
      <c r="A25" s="21" t="inlineStr">
        <is>
          <t>R-S20</t>
        </is>
      </c>
      <c r="B25" s="21" t="inlineStr">
        <is>
          <t>Risk</t>
        </is>
      </c>
      <c r="C25" s="21" t="inlineStr">
        <is>
          <t>20/09 16:05</t>
        </is>
      </c>
      <c r="D25" s="21" t="inlineStr">
        <is>
          <t>The commercial risk is the free first-party overlap, not the feature set: Approvals and Planner ship inside Microsoft 365 at no marginal cost, and a per-seat frontline price competes with zero.</t>
        </is>
      </c>
      <c r="E25" s="21" t="inlineStr">
        <is>
          <t>Open</t>
        </is>
      </c>
      <c r="F25" s="21" t="inlineStr">
        <is>
          <t>Repositioned onto the auditable-evidence wedge (D-04/SD245) and per-site pricing modelled beside per-seat (SD246). Whether the wedge holds is answered in the SD244 interviews, not in the workbook. R-S2 rewritten accordingly.</t>
        </is>
      </c>
    </row>
    <row r="26">
      <c r="A26" s="21" t="inlineStr">
        <is>
          <t>R-S21</t>
        </is>
      </c>
      <c r="B26" s="21" t="inlineStr">
        <is>
          <t>Risk</t>
        </is>
      </c>
      <c r="C26" s="21" t="inlineStr">
        <is>
          <t>20/09 16:40</t>
        </is>
      </c>
      <c r="D26" s="21" t="inlineStr">
        <is>
          <t>This session wrote 19 new modules and 11 new suites. On the tracker's own evidence (R-S10), newly written code is the least-reviewed code: sessions 5-8 shipped 12 modules at 100% coverage holding six defects, one authentication-breaking.</t>
        </is>
      </c>
      <c r="E26" s="21" t="inlineStr">
        <is>
          <t>Open</t>
        </is>
      </c>
      <c r="F26" s="21" t="inlineStr">
        <is>
          <t>The next ShiftDesk session opens with a cold review of the S13-S20 code before any new feature work, and F-071/F-072 are already on the own-goal register as evidence the pattern held again this session.</t>
        </is>
      </c>
    </row>
    <row r="27">
      <c r="A27" s="21" t="inlineStr">
        <is>
          <t>A-S4</t>
        </is>
      </c>
      <c r="B27" s="21" t="inlineStr">
        <is>
          <t>Assumption</t>
        </is>
      </c>
      <c r="C27" s="21" t="inlineStr">
        <is>
          <t>20/09 13:05</t>
        </is>
      </c>
      <c r="D27" s="21" t="inlineStr">
        <is>
          <t>Microsoft Fulfillment API v2, Entra OpenID metadata, Bot Connector issuer/audience rules and Key Vault managed-identity flows were implemented from vendor documentation, not against live endpoints.</t>
        </is>
      </c>
      <c r="E27" s="21" t="inlineStr">
        <is>
          <t>Open</t>
        </is>
      </c>
      <c r="F27" s="21" t="inlineStr">
        <is>
          <t>Same class as R-S12, which is why that risk exists: every one of these seams gets a documentation sweep and a live verification before it is called done. SD228/SD232/SD239/SD240 are the verification stories.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D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85" customWidth="1" style="14" min="2" max="2"/>
    <col width="14" customWidth="1" style="14" min="3" max="3"/>
    <col width="60" customWidth="1" style="14" min="4" max="4"/>
  </cols>
  <sheetData>
    <row r="1" ht="15" customHeight="1" s="15">
      <c r="A1" s="16" t="inlineStr">
        <is>
          <t>COMPLETION GATE (D7) — ShiftDesk is DONE only when every row closes</t>
        </is>
      </c>
    </row>
    <row r="2" ht="15" customHeight="1" s="15">
      <c r="A2" s="22" t="inlineStr">
        <is>
          <t>R2: code complete counts for nothing. Gate decision = Senthil, on evidence Claude prepares.</t>
        </is>
      </c>
    </row>
    <row r="3" ht="15" customHeight="1" s="15">
      <c r="A3" s="18" t="inlineStr">
        <is>
          <t>ID</t>
        </is>
      </c>
      <c r="B3" s="18" t="inlineStr">
        <is>
          <t>Gate item</t>
        </is>
      </c>
      <c r="C3" s="18" t="inlineStr">
        <is>
          <t>Source</t>
        </is>
      </c>
      <c r="D3" s="18" t="inlineStr">
        <is>
          <t>Status</t>
        </is>
      </c>
    </row>
    <row r="4" ht="15" customHeight="1" s="15">
      <c r="A4" s="19" t="inlineStr">
        <is>
          <t>G-01</t>
        </is>
      </c>
      <c r="B4" s="19" t="inlineStr">
        <is>
          <t>App LISTED on Microsoft Teams App Store / AppSource (approved + published)</t>
        </is>
      </c>
      <c r="C4" s="19" t="inlineStr">
        <is>
          <t>D7 / R2</t>
        </is>
      </c>
      <c r="D4" s="19" t="inlineStr">
        <is>
          <t>Open</t>
        </is>
      </c>
    </row>
    <row r="5" ht="15" customHeight="1" s="15">
      <c r="A5" s="19" t="inlineStr">
        <is>
          <t>G-02</t>
        </is>
      </c>
      <c r="B5" s="19" t="inlineStr">
        <is>
          <t>10 PAYING installs from strangers</t>
        </is>
      </c>
      <c r="C5" s="19" t="inlineStr">
        <is>
          <t>D7 / R2</t>
        </is>
      </c>
      <c r="D5" s="19" t="inlineStr">
        <is>
          <t>Open</t>
        </is>
      </c>
    </row>
    <row r="6" ht="15" customHeight="1" s="15">
      <c r="A6" s="19" t="inlineStr">
        <is>
          <t>G-03</t>
        </is>
      </c>
      <c r="B6" s="19" t="inlineStr">
        <is>
          <t>S12 kill criteria evaluated with evidence pack</t>
        </is>
      </c>
      <c r="C6" s="19" t="inlineStr">
        <is>
          <t>D7 / R3</t>
        </is>
      </c>
      <c r="D6" s="19" t="inlineStr">
        <is>
          <t>Open</t>
        </is>
      </c>
    </row>
    <row r="7" ht="15" customHeight="1" s="15">
      <c r="A7" s="19" t="inlineStr">
        <is>
          <t>G-04</t>
        </is>
      </c>
      <c r="B7" s="19" t="inlineStr">
        <is>
          <t>Kill/continue decision recorded by Senthil</t>
        </is>
      </c>
      <c r="C7" s="19" t="inlineStr">
        <is>
          <t>R5 / D10</t>
        </is>
      </c>
      <c r="D7" s="19" t="inlineStr">
        <is>
          <t>Open</t>
        </is>
      </c>
    </row>
    <row r="8" ht="15" customHeight="1" s="15">
      <c r="A8" s="19" t="inlineStr">
        <is>
          <t>G-05</t>
        </is>
      </c>
      <c r="B8" s="19" t="inlineStr">
        <is>
          <t>On CONTINUE: next-rank build authorised; ShiftDesk enters run-mode</t>
        </is>
      </c>
      <c r="C8" s="19" t="inlineStr">
        <is>
          <t>N4 / R1</t>
        </is>
      </c>
      <c r="D8" s="19" t="inlineStr">
        <is>
          <t>Open</t>
        </is>
      </c>
    </row>
    <row r="9" ht="15" customHeight="1" s="15">
      <c r="A9" s="19" t="inlineStr">
        <is>
          <t>LC-1</t>
        </is>
      </c>
      <c r="B9" s="19" t="inlineStr">
        <is>
          <t>Partner Center enrollment + publisher verification</t>
        </is>
      </c>
      <c r="C9" s="19" t="inlineStr">
        <is>
          <t>v005 LC #1</t>
        </is>
      </c>
      <c r="D9" s="19" t="inlineStr">
        <is>
          <t>Open — Senthil</t>
        </is>
      </c>
    </row>
    <row r="10" ht="15" customHeight="1" s="15">
      <c r="A10" s="19" t="inlineStr">
        <is>
          <t>LC-2</t>
        </is>
      </c>
      <c r="B10" s="19" t="inlineStr">
        <is>
          <t>Teams store validation self-check (manifest, SSO, bot responsiveness)</t>
        </is>
      </c>
      <c r="C10" s="19" t="inlineStr">
        <is>
          <t>v005 LC #2</t>
        </is>
      </c>
      <c r="D10" s="37" t="inlineStr">
        <is>
          <t>Manifest v1.19 with configurable channel tab, 8 commands and localizationInfo; command parity and manifest-vs-code assertions in CI. Live tenant validation pending (SD226).</t>
        </is>
      </c>
    </row>
    <row r="11" ht="15" customHeight="1" s="15">
      <c r="A11" s="19" t="inlineStr">
        <is>
          <t>LC-3</t>
        </is>
      </c>
      <c r="B11" s="19" t="inlineStr">
        <is>
          <t>M365 App Compliance: Publisher Attestation submitted</t>
        </is>
      </c>
      <c r="C11" s="19" t="inlineStr">
        <is>
          <t>v005 LC #3</t>
        </is>
      </c>
      <c r="D11" s="20" t="inlineStr">
        <is>
          <t>Evidence pack assembled (SD236) and SOC 2 readiness mapped (SD237 map), each control bound to an existing evidence path by test. Submission itself open — Senthil (SD235).</t>
        </is>
      </c>
    </row>
    <row r="12" ht="15" customHeight="1" s="15">
      <c r="A12" s="19" t="inlineStr">
        <is>
          <t>LC-4</t>
        </is>
      </c>
      <c r="B12" s="19" t="inlineStr">
        <is>
          <t>Entra ID SSO + admin consent tested in 2 tenants</t>
        </is>
      </c>
      <c r="C12" s="19" t="inlineStr">
        <is>
          <t>v005 LC #4</t>
        </is>
      </c>
      <c r="D12" s="20" t="inlineStr">
        <is>
          <t>Blocked — needs 2 live tenants (SD228). Scope map pinned to consumer files by test so the consent screen cannot exceed the documented ask.</t>
        </is>
      </c>
    </row>
    <row r="13" ht="26.25" customHeight="1" s="15">
      <c r="A13" s="19" t="inlineStr">
        <is>
          <t>LC-5</t>
        </is>
      </c>
      <c r="B13" s="19" t="inlineStr">
        <is>
          <t>Graph permissions minimal + documented</t>
        </is>
      </c>
      <c r="C13" s="19" t="inlineStr">
        <is>
          <t>v005 LC #5</t>
        </is>
      </c>
      <c r="D13" s="24" t="inlineStr">
        <is>
          <t>REOPENED then corrected (VER-SD04): was Done on an overstated org-wide scope doc; now RSC-scoped + test-pinned, live consent verification pending</t>
        </is>
      </c>
    </row>
    <row r="14" ht="15" customHeight="1" s="15">
      <c r="A14" s="19" t="inlineStr">
        <is>
          <t>LC-6</t>
        </is>
      </c>
      <c r="B14" s="19" t="inlineStr">
        <is>
          <t>AppSource transactable offer configured (3% fee, private offers)</t>
        </is>
      </c>
      <c r="C14" s="19" t="inlineStr">
        <is>
          <t>v005 LC #6</t>
        </is>
      </c>
      <c r="D14" s="19" t="inlineStr">
        <is>
          <t>Open — Senthil (Partner Center)</t>
        </is>
      </c>
    </row>
    <row r="15" ht="26.25" customHeight="1" s="15">
      <c r="A15" s="19" t="inlineStr">
        <is>
          <t>LC-7</t>
        </is>
      </c>
      <c r="B15" s="19" t="inlineStr">
        <is>
          <t>Accessibility (WCAG AA) pass on tab surfaces</t>
        </is>
      </c>
      <c r="C15" s="19" t="inlineStr">
        <is>
          <t>v005 LC #7</t>
        </is>
      </c>
      <c r="D15" s="37" t="inlineStr">
        <is>
          <t>Automated pass (jest-axe, 9 screens) plus a per-screen manual script (ops/accessibility-audit-script.md, SD238). Manual keyboard/screen-reader pass open — Senthil.</t>
        </is>
      </c>
    </row>
    <row r="16" ht="15" customHeight="1" s="15">
      <c r="A16" s="19" t="inlineStr">
        <is>
          <t>LC-8</t>
        </is>
      </c>
      <c r="B16" s="19" t="inlineStr">
        <is>
          <t>Load test: bot p95 &lt;2s at 100 concurrent</t>
        </is>
      </c>
      <c r="C16" s="19" t="inlineStr">
        <is>
          <t>v005 LC #8</t>
        </is>
      </c>
      <c r="D16" s="37" t="inlineStr">
        <is>
          <t>Harness scripted with pass bar (k6 5x, p95 thresholds) and the p95 instrumentation now real. Run needs staging — SD219/SD220.</t>
        </is>
      </c>
    </row>
    <row r="17" ht="15" customHeight="1" s="15">
      <c r="A17" s="19" t="inlineStr">
        <is>
          <t>LC-9</t>
        </is>
      </c>
      <c r="B17" s="19" t="inlineStr">
        <is>
          <t>Admin deployment guide + tenant-wide rollout doc</t>
        </is>
      </c>
      <c r="C17" s="19" t="inlineStr">
        <is>
          <t>v005 LC #9</t>
        </is>
      </c>
      <c r="D17" s="24" t="inlineStr">
        <is>
          <t>Drafted — content/admin-deployment-guide.md</t>
        </is>
      </c>
    </row>
    <row r="18" ht="15" customHeight="1" s="15">
      <c r="A18" s="19" t="inlineStr">
        <is>
          <t>LC-10</t>
        </is>
      </c>
      <c r="B18" s="19" t="inlineStr">
        <is>
          <t>Co-sell ready checklist (solution one-pager, bill of materials)</t>
        </is>
      </c>
      <c r="C18" s="19" t="inlineStr">
        <is>
          <t>v005 LC #10</t>
        </is>
      </c>
      <c r="D18" s="24" t="inlineStr">
        <is>
          <t>Drafted — positioning one-pager; BoM owed at listing</t>
        </is>
      </c>
    </row>
    <row r="19">
      <c r="A19" s="21" t="inlineStr">
        <is>
          <t>LC-11</t>
        </is>
      </c>
      <c r="B19" s="21" t="inlineStr">
        <is>
          <t>Marketplace SaaS Fulfillment API v2 integrated and enforced end to end (resolve, activate, five webhook actions, seat reconciliation)</t>
        </is>
      </c>
      <c r="C19" s="21" t="inlineStr">
        <is>
          <t>Review P-019 / SD239</t>
        </is>
      </c>
      <c r="D19" s="21" t="inlineStr">
        <is>
          <t>Code-complete pending live — built against the documented contract with idempotency on activityId and both webhook authentication modes; a real transaction needs the transactable offer at LC-6.</t>
        </is>
      </c>
    </row>
    <row r="20">
      <c r="A20" s="21" t="inlineStr">
        <is>
          <t>LC-12</t>
        </is>
      </c>
      <c r="B20" s="21" t="inlineStr">
        <is>
          <t>Data residency, DPA, subprocessor register and retention schedule published and bound to code</t>
        </is>
      </c>
      <c r="C20" s="21" t="inlineStr">
        <is>
          <t>Review P-013 / SD229-SD230</t>
        </is>
      </c>
      <c r="D20" s="21" t="inlineStr">
        <is>
          <t>Done — generated from src/residency.ts constants; tests/governance.test.ts fails if a published document and the enforced policy disagree.</t>
        </is>
      </c>
    </row>
    <row r="21">
      <c r="A21" s="21" t="inlineStr">
        <is>
          <t>LC-13</t>
        </is>
      </c>
      <c r="B21" s="21" t="inlineStr">
        <is>
          <t>Durability proven: restart, two-instance and backup/restore drills green against real Postgres</t>
        </is>
      </c>
      <c r="C21" s="21" t="inlineStr">
        <is>
          <t>Review P-003 / SD211, SD214, SD215</t>
        </is>
      </c>
      <c r="D21" s="21" t="inlineStr">
        <is>
          <t>Done — 9/9 integration tests and a drill report at RPO 0s / RTO 0s. Staging repeat expected once infrastructure exists.</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2026-09-10T22:10:00Z</dcterms:created>
  <dcterms:modified xmlns:dcterms="http://purl.org/dc/terms/" xmlns:xsi="http://www.w3.org/2001/XMLSchema-instance" xsi:type="dcterms:W3CDTF">2026-09-20T16:00:40Z</dcterms:modified>
  <cp:revision>0</cp:revision>
</cp:coreProperties>
</file>