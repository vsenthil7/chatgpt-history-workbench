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sion_Control" sheetId="1" state="visible" r:id="rId3"/>
    <sheet name="ReadMe_Scope" sheetId="2" state="visible" r:id="rId4"/>
    <sheet name="Product_Spec" sheetId="3" state="visible" r:id="rId5"/>
    <sheet name="Screens_Wireframes" sheetId="4" state="visible" r:id="rId6"/>
    <sheet name="Full_Backlog" sheetId="5" state="visible" r:id="rId7"/>
    <sheet name="Sprint_Board" sheetId="6" state="visible" r:id="rId8"/>
    <sheet name="Financial_Model" sheetId="7" state="visible" r:id="rId9"/>
    <sheet name="GTM_Execution" sheetId="8" state="visible" r:id="rId10"/>
    <sheet name="Launch_Checklist" sheetId="9" state="visible" r:id="rId11"/>
    <sheet name="Metrics_Targets" sheetId="10" state="visible" r:id="rId12"/>
    <sheet name="Risk_Register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<sst xmlns="http://schemas.openxmlformats.org/spreadsheetml/2006/main" count="929" uniqueCount="483">
  <si>
    <t xml:space="preserve">VERSION CONTROL — VoiceBridge CTI</t>
  </si>
  <si>
    <t xml:space="preserve">Version</t>
  </si>
  <si>
    <t xml:space="preserve">Date</t>
  </si>
  <si>
    <t xml:space="preserve">Author</t>
  </si>
  <si>
    <t xml:space="preserve">Change</t>
  </si>
  <si>
    <t xml:space="preserve">Status</t>
  </si>
  <si>
    <t xml:space="preserve">v001-v004</t>
  </si>
  <si>
    <t xml:space="preserve">2026-09-05</t>
  </si>
  <si>
    <t xml:space="preserve">Claude for Senthil/KP</t>
  </si>
  <si>
    <t xml:space="preserve">Lineage: marketplace master (868 entries) -&gt; portfolio plan (12 products) -&gt; wave-1 (RetainKit/ShiftDesk/EngageOS, v005) -&gt; this product selected for wave-2</t>
  </si>
  <si>
    <t xml:space="preserve">Released</t>
  </si>
  <si>
    <t xml:space="preserve">v006</t>
  </si>
  <si>
    <t xml:space="preserve">2026-09-05 19:46</t>
  </si>
  <si>
    <t xml:space="preserve">Full product workbook for VoiceBridge CTI on Salesforce AppExchange: spec, screen inventory, 100+ story backlog, live sprint board, 18-month financial model (editable assumptions), GTM execution tasks, platform launch checklist, metric targets, risk register</t>
  </si>
  <si>
    <t xml:space="preserve">v007</t>
  </si>
  <si>
    <t xml:space="preserve">PLANNED: post-S0 re-baseline after discovery interviews; verified platform terms; wireframe links added to Screens sheet</t>
  </si>
  <si>
    <t xml:space="preserve">Planned</t>
  </si>
  <si>
    <t xml:space="preserve">VoiceBridge CTI — Omnichannel CTI: click-to-dial, call logging, WhatsApp/SMS threads native in Salesforce</t>
  </si>
  <si>
    <t xml:space="preserve">PLATFORM: Salesforce AppExchange | CATEGORY: Sales Engagement / Telephony</t>
  </si>
  <si>
    <t xml:space="preserve">PROBLEM: Mid-market telephony connectors are either enterprise-priced (NICE/Genesys) or shallow loggers</t>
  </si>
  <si>
    <t xml:space="preserve">DIFFERENTIATION: Deep Flow/Einstein integration, transparent per-seat pricing, India+global carrier coverage</t>
  </si>
  <si>
    <t xml:space="preserve">ICP: B2B sales orgs 50-500 seats on Sales/Service Cloud, existing telephony spend, RevOps function present</t>
  </si>
  <si>
    <t xml:space="preserve">HOW TO USE: Full_Backlog is the single source of truth (edit Status column during execution). Sprint_Board recalculates points per sprint automatically. Financial_Model assumptions (yellow) are editable — the 18-month build recalculates. Launch_Checklist is the platform-specific gate before submission. All costs/timelines are market-standard estimates; verify platform terms (fees/review rules) during S0.</t>
  </si>
  <si>
    <t xml:space="preserve">STACK ASSUMPTION (market standard): TypeScript/Node or platform-mandated runtime, React frontends, Postgres, hosted on AWS/GCP/platform FaaS as required, GitHub Actions CI, PostHog + Sentry telemetry, Intercom-class support.</t>
  </si>
  <si>
    <t xml:space="preserve">PRODUCT SPEC</t>
  </si>
  <si>
    <t xml:space="preserve">Module (feature)</t>
  </si>
  <si>
    <t xml:space="preserve">Scope in MVP</t>
  </si>
  <si>
    <t xml:space="preserve">Out of scope (v1)</t>
  </si>
  <si>
    <t xml:space="preserve">Non-functional requirements</t>
  </si>
  <si>
    <t xml:space="preserve">Click-to-dial + softphone</t>
  </si>
  <si>
    <t xml:space="preserve">Click-to-dial + softphone: end-to-end happy path + edge cases + permissions</t>
  </si>
  <si>
    <t xml:space="preserve">Advanced automation, AI beyond listed, multi-language beyond launch set</t>
  </si>
  <si>
    <t xml:space="preserve">p95 &lt;500ms API / &lt;2s UI loads</t>
  </si>
  <si>
    <t xml:space="preserve">Auto call/WhatsApp logging</t>
  </si>
  <si>
    <t xml:space="preserve">Auto call/WhatsApp logging: end-to-end happy path + edge cases + permissions</t>
  </si>
  <si>
    <t xml:space="preserve">99.5% monthly uptime</t>
  </si>
  <si>
    <t xml:space="preserve">Cadence/sequence lite</t>
  </si>
  <si>
    <t xml:space="preserve">Cadence/sequence lite: end-to-end happy path + edge cases + permissions</t>
  </si>
  <si>
    <t xml:space="preserve">WCAG AA</t>
  </si>
  <si>
    <t xml:space="preserve">Coaching analytics</t>
  </si>
  <si>
    <t xml:space="preserve">Coaching analytics: end-to-end happy path + edge cases + permissions</t>
  </si>
  <si>
    <t xml:space="preserve">SOC2-track controls</t>
  </si>
  <si>
    <t xml:space="preserve">Flow actions pack</t>
  </si>
  <si>
    <t xml:space="preserve">Flow actions pack: end-to-end happy path + edge cases + permissions</t>
  </si>
  <si>
    <t xml:space="preserve">Rate-limit safe (backoff+queue)</t>
  </si>
  <si>
    <t xml:space="preserve">Persona</t>
  </si>
  <si>
    <t xml:space="preserve">Jobs-to-be-done</t>
  </si>
  <si>
    <t xml:space="preserve">RevOps lead</t>
  </si>
  <si>
    <t xml:space="preserve">Evaluates on admin effort, Flow compatibility, reporting</t>
  </si>
  <si>
    <t xml:space="preserve">Sales leader (VP)</t>
  </si>
  <si>
    <t xml:space="preserve">Buys on rep productivity metrics; needs dashboards</t>
  </si>
  <si>
    <t xml:space="preserve">Salesforce admin</t>
  </si>
  <si>
    <t xml:space="preserve">Gatekeeper; security review status and permission sets decide the deal</t>
  </si>
  <si>
    <t xml:space="preserve">SCREEN INVENTORY (attach Figma links in col E during S0)</t>
  </si>
  <si>
    <t xml:space="preserve">#</t>
  </si>
  <si>
    <t xml:space="preserve">Screen</t>
  </si>
  <si>
    <t xml:space="preserve">Purpose</t>
  </si>
  <si>
    <t xml:space="preserve">Key elements</t>
  </si>
  <si>
    <t xml:space="preserve">Wireframe link</t>
  </si>
  <si>
    <t xml:space="preserve">Onboarding / first-run</t>
  </si>
  <si>
    <t xml:space="preserve">Reach aha in &lt;1 day</t>
  </si>
  <si>
    <t xml:space="preserve">Checklist, sample data toggle, connect steps</t>
  </si>
  <si>
    <t xml:space="preserve">Home dashboard</t>
  </si>
  <si>
    <t xml:space="preserve">Daily habit surface</t>
  </si>
  <si>
    <t xml:space="preserve">KPI cards, activity feed, alerts</t>
  </si>
  <si>
    <t xml:space="preserve">Click-to-dial + softphone workspace</t>
  </si>
  <si>
    <t xml:space="preserve">Core value surface</t>
  </si>
  <si>
    <t xml:space="preserve">List+detail, bulk actions, status chips</t>
  </si>
  <si>
    <t xml:space="preserve">Auto call/WhatsApp logging builder</t>
  </si>
  <si>
    <t xml:space="preserve">Configure second pillar</t>
  </si>
  <si>
    <t xml:space="preserve">Rule builder, preview, test mode</t>
  </si>
  <si>
    <t xml:space="preserve">Cadence/sequence lite view</t>
  </si>
  <si>
    <t xml:space="preserve">Differentiator surface</t>
  </si>
  <si>
    <t xml:space="preserve">Timeline/visual, export</t>
  </si>
  <si>
    <t xml:space="preserve">Settings &amp; team</t>
  </si>
  <si>
    <t xml:space="preserve">Roles, notifications, data</t>
  </si>
  <si>
    <t xml:space="preserve">Role matrix, API keys, danger zone</t>
  </si>
  <si>
    <t xml:space="preserve">Billing</t>
  </si>
  <si>
    <t xml:space="preserve">Plan/trial/invoices</t>
  </si>
  <si>
    <t xml:space="preserve">Plan cards, usage meter, invoices</t>
  </si>
  <si>
    <t xml:space="preserve">Analytics</t>
  </si>
  <si>
    <t xml:space="preserve">Prove ROI</t>
  </si>
  <si>
    <t xml:space="preserve">Funnel, cohort, export</t>
  </si>
  <si>
    <t xml:space="preserve">Help &amp; support</t>
  </si>
  <si>
    <t xml:space="preserve">Deflect + assist</t>
  </si>
  <si>
    <t xml:space="preserve">Search, chat, status</t>
  </si>
  <si>
    <t xml:space="preserve">FULL BACKLOG</t>
  </si>
  <si>
    <t xml:space="preserve">ID</t>
  </si>
  <si>
    <t xml:space="preserve">Epic</t>
  </si>
  <si>
    <t xml:space="preserve">Story</t>
  </si>
  <si>
    <t xml:space="preserve">Points</t>
  </si>
  <si>
    <t xml:space="preserve">Priority</t>
  </si>
  <si>
    <t xml:space="preserve">Sprint</t>
  </si>
  <si>
    <t xml:space="preserve">ST-001</t>
  </si>
  <si>
    <t xml:space="preserve">F1</t>
  </si>
  <si>
    <t xml:space="preserve">As a RevOps lead, I can set up Click-to-dial + softphone with sensible defaults in one screen</t>
  </si>
  <si>
    <t xml:space="preserve">P0</t>
  </si>
  <si>
    <t xml:space="preserve">S2</t>
  </si>
  <si>
    <t xml:space="preserve">Backlog</t>
  </si>
  <si>
    <t xml:space="preserve">ST-002</t>
  </si>
  <si>
    <t xml:space="preserve">As a RevOps lead, the Click-to-dial + softphone happy path completes without documentation</t>
  </si>
  <si>
    <t xml:space="preserve">ST-003</t>
  </si>
  <si>
    <t xml:space="preserve">As a Sales leader, I can customise Click-to-dial + softphone rules/conditions for my workflow</t>
  </si>
  <si>
    <t xml:space="preserve">P1</t>
  </si>
  <si>
    <t xml:space="preserve">ST-004</t>
  </si>
  <si>
    <t xml:space="preserve">As a user, Click-to-dial + softphone shows clear errors and retry paths on platform API failures</t>
  </si>
  <si>
    <t xml:space="preserve">ST-005</t>
  </si>
  <si>
    <t xml:space="preserve">As a Salesforce admin, Click-to-dial + softphone works on the Lightning utility-bar softphone + LWC surface end-to-end</t>
  </si>
  <si>
    <t xml:space="preserve">S3</t>
  </si>
  <si>
    <t xml:space="preserve">ST-006</t>
  </si>
  <si>
    <t xml:space="preserve">As a Sales leader, I can see Click-to-dial + softphone performance metrics and trends</t>
  </si>
  <si>
    <t xml:space="preserve">ST-007</t>
  </si>
  <si>
    <t xml:space="preserve">As a user, Click-to-dial + softphone respects role permissions and audit logging</t>
  </si>
  <si>
    <t xml:space="preserve">ST-008</t>
  </si>
  <si>
    <t xml:space="preserve">As a RevOps lead, I can pause/disable Click-to-dial + softphone without data loss</t>
  </si>
  <si>
    <t xml:space="preserve">P2</t>
  </si>
  <si>
    <t xml:space="preserve">ST-009</t>
  </si>
  <si>
    <t xml:space="preserve">As a Sales leader, I can import/migrate existing data into Click-to-dial + softphone (CSV + competitor importer)</t>
  </si>
  <si>
    <t xml:space="preserve">ST-010</t>
  </si>
  <si>
    <t xml:space="preserve">As a user, I get notifications (in-app + email) for key Click-to-dial + softphone events with per-type mute</t>
  </si>
  <si>
    <t xml:space="preserve">ST-011</t>
  </si>
  <si>
    <t xml:space="preserve">F2</t>
  </si>
  <si>
    <t xml:space="preserve">As a RevOps lead, I can set up Auto call/WhatsApp logging with sensible defaults in one screen</t>
  </si>
  <si>
    <t xml:space="preserve">ST-012</t>
  </si>
  <si>
    <t xml:space="preserve">As a RevOps lead, the Auto call/WhatsApp logging happy path completes without documentation</t>
  </si>
  <si>
    <t xml:space="preserve">ST-013</t>
  </si>
  <si>
    <t xml:space="preserve">As a Sales leader, I can customise Auto call/WhatsApp logging rules/conditions for my workflow</t>
  </si>
  <si>
    <t xml:space="preserve">ST-014</t>
  </si>
  <si>
    <t xml:space="preserve">As a user, Auto call/WhatsApp logging shows clear errors and retry paths on platform API failures</t>
  </si>
  <si>
    <t xml:space="preserve">ST-015</t>
  </si>
  <si>
    <t xml:space="preserve">As a Salesforce admin, Auto call/WhatsApp logging works on the Lightning utility-bar softphone + LWC surface end-to-end</t>
  </si>
  <si>
    <t xml:space="preserve">S4</t>
  </si>
  <si>
    <t xml:space="preserve">ST-016</t>
  </si>
  <si>
    <t xml:space="preserve">As a Sales leader, I can see Auto call/WhatsApp logging performance metrics and trends</t>
  </si>
  <si>
    <t xml:space="preserve">ST-017</t>
  </si>
  <si>
    <t xml:space="preserve">As a user, Auto call/WhatsApp logging respects role permissions and audit logging</t>
  </si>
  <si>
    <t xml:space="preserve">ST-018</t>
  </si>
  <si>
    <t xml:space="preserve">As a RevOps lead, I can pause/disable Auto call/WhatsApp logging without data loss</t>
  </si>
  <si>
    <t xml:space="preserve">ST-019</t>
  </si>
  <si>
    <t xml:space="preserve">As a Sales leader, I can import/migrate existing data into Auto call/WhatsApp logging (CSV + competitor importer)</t>
  </si>
  <si>
    <t xml:space="preserve">ST-020</t>
  </si>
  <si>
    <t xml:space="preserve">As a user, I get notifications (in-app + email) for key Auto call/WhatsApp logging events with per-type mute</t>
  </si>
  <si>
    <t xml:space="preserve">ST-021</t>
  </si>
  <si>
    <t xml:space="preserve">F3</t>
  </si>
  <si>
    <t xml:space="preserve">As a RevOps lead, I can set up Cadence/sequence lite with sensible defaults in one screen</t>
  </si>
  <si>
    <t xml:space="preserve">S5</t>
  </si>
  <si>
    <t xml:space="preserve">ST-022</t>
  </si>
  <si>
    <t xml:space="preserve">As a RevOps lead, the Cadence/sequence lite happy path completes without documentation</t>
  </si>
  <si>
    <t xml:space="preserve">ST-023</t>
  </si>
  <si>
    <t xml:space="preserve">As a Sales leader, I can customise Cadence/sequence lite rules/conditions for my workflow</t>
  </si>
  <si>
    <t xml:space="preserve">ST-024</t>
  </si>
  <si>
    <t xml:space="preserve">As a user, Cadence/sequence lite shows clear errors and retry paths on platform API failures</t>
  </si>
  <si>
    <t xml:space="preserve">ST-025</t>
  </si>
  <si>
    <t xml:space="preserve">As a Salesforce admin, Cadence/sequence lite works on the Lightning utility-bar softphone + LWC surface end-to-end</t>
  </si>
  <si>
    <t xml:space="preserve">ST-026</t>
  </si>
  <si>
    <t xml:space="preserve">As a Sales leader, I can see Cadence/sequence lite performance metrics and trends</t>
  </si>
  <si>
    <t xml:space="preserve">ST-027</t>
  </si>
  <si>
    <t xml:space="preserve">As a user, Cadence/sequence lite respects role permissions and audit logging</t>
  </si>
  <si>
    <t xml:space="preserve">ST-028</t>
  </si>
  <si>
    <t xml:space="preserve">As a RevOps lead, I can pause/disable Cadence/sequence lite without data loss</t>
  </si>
  <si>
    <t xml:space="preserve">ST-029</t>
  </si>
  <si>
    <t xml:space="preserve">As a Sales leader, I can import/migrate existing data into Cadence/sequence lite (CSV + competitor importer)</t>
  </si>
  <si>
    <t xml:space="preserve">ST-030</t>
  </si>
  <si>
    <t xml:space="preserve">As a user, I get notifications (in-app + email) for key Cadence/sequence lite events with per-type mute</t>
  </si>
  <si>
    <t xml:space="preserve">ST-031</t>
  </si>
  <si>
    <t xml:space="preserve">F4</t>
  </si>
  <si>
    <t xml:space="preserve">As a RevOps lead, I can set up Coaching analytics with sensible defaults in one screen</t>
  </si>
  <si>
    <t xml:space="preserve">S6</t>
  </si>
  <si>
    <t xml:space="preserve">ST-032</t>
  </si>
  <si>
    <t xml:space="preserve">As a RevOps lead, the Coaching analytics happy path completes without documentation</t>
  </si>
  <si>
    <t xml:space="preserve">ST-033</t>
  </si>
  <si>
    <t xml:space="preserve">As a Sales leader, I can customise Coaching analytics rules/conditions for my workflow</t>
  </si>
  <si>
    <t xml:space="preserve">ST-034</t>
  </si>
  <si>
    <t xml:space="preserve">As a user, Coaching analytics shows clear errors and retry paths on platform API failures</t>
  </si>
  <si>
    <t xml:space="preserve">ST-035</t>
  </si>
  <si>
    <t xml:space="preserve">As a Salesforce admin, Coaching analytics works on the Lightning utility-bar softphone + LWC surface end-to-end</t>
  </si>
  <si>
    <t xml:space="preserve">ST-036</t>
  </si>
  <si>
    <t xml:space="preserve">As a Sales leader, I can see Coaching analytics performance metrics and trends</t>
  </si>
  <si>
    <t xml:space="preserve">ST-037</t>
  </si>
  <si>
    <t xml:space="preserve">As a user, Coaching analytics respects role permissions and audit logging</t>
  </si>
  <si>
    <t xml:space="preserve">ST-038</t>
  </si>
  <si>
    <t xml:space="preserve">As a RevOps lead, I can pause/disable Coaching analytics without data loss</t>
  </si>
  <si>
    <t xml:space="preserve">ST-039</t>
  </si>
  <si>
    <t xml:space="preserve">As a Sales leader, I can import/migrate existing data into Coaching analytics (CSV + competitor importer)</t>
  </si>
  <si>
    <t xml:space="preserve">ST-040</t>
  </si>
  <si>
    <t xml:space="preserve">As a user, I get notifications (in-app + email) for key Coaching analytics events with per-type mute</t>
  </si>
  <si>
    <t xml:space="preserve">ST-041</t>
  </si>
  <si>
    <t xml:space="preserve">F5</t>
  </si>
  <si>
    <t xml:space="preserve">As a RevOps lead, I can set up Flow actions pack with sensible defaults in one screen</t>
  </si>
  <si>
    <t xml:space="preserve">S8</t>
  </si>
  <si>
    <t xml:space="preserve">ST-042</t>
  </si>
  <si>
    <t xml:space="preserve">As a RevOps lead, the Flow actions pack happy path completes without documentation</t>
  </si>
  <si>
    <t xml:space="preserve">ST-043</t>
  </si>
  <si>
    <t xml:space="preserve">As a Sales leader, I can customise Flow actions pack rules/conditions for my workflow</t>
  </si>
  <si>
    <t xml:space="preserve">ST-044</t>
  </si>
  <si>
    <t xml:space="preserve">As a user, Flow actions pack shows clear errors and retry paths on platform API failures</t>
  </si>
  <si>
    <t xml:space="preserve">ST-045</t>
  </si>
  <si>
    <t xml:space="preserve">As a Salesforce admin, Flow actions pack works on the Lightning utility-bar softphone + LWC surface end-to-end</t>
  </si>
  <si>
    <t xml:space="preserve">ST-046</t>
  </si>
  <si>
    <t xml:space="preserve">As a Sales leader, I can see Flow actions pack performance metrics and trends</t>
  </si>
  <si>
    <t xml:space="preserve">ST-047</t>
  </si>
  <si>
    <t xml:space="preserve">As a user, Flow actions pack respects role permissions and audit logging</t>
  </si>
  <si>
    <t xml:space="preserve">ST-048</t>
  </si>
  <si>
    <t xml:space="preserve">As a RevOps lead, I can pause/disable Flow actions pack without data loss</t>
  </si>
  <si>
    <t xml:space="preserve">ST-049</t>
  </si>
  <si>
    <t xml:space="preserve">As a Sales leader, I can import/migrate existing data into Flow actions pack (CSV + competitor importer)</t>
  </si>
  <si>
    <t xml:space="preserve">ST-050</t>
  </si>
  <si>
    <t xml:space="preserve">As a user, I get notifications (in-app + email) for key Flow actions pack events with per-type mute</t>
  </si>
  <si>
    <t xml:space="preserve">ST-051</t>
  </si>
  <si>
    <t xml:space="preserve">E1</t>
  </si>
  <si>
    <t xml:space="preserve">Marketplace OAuth install completes and lands on welcome state in &lt;2 min</t>
  </si>
  <si>
    <t xml:space="preserve">S1</t>
  </si>
  <si>
    <t xml:space="preserve">ST-052</t>
  </si>
  <si>
    <t xml:space="preserve">Uninstall webhook removes tokens, schedules data deletion per policy</t>
  </si>
  <si>
    <t xml:space="preserve">ST-053</t>
  </si>
  <si>
    <t xml:space="preserve">Re-install restores account within retention window</t>
  </si>
  <si>
    <t xml:space="preserve">ST-054</t>
  </si>
  <si>
    <t xml:space="preserve">Multi-user roles: owner/admin/member permission matrix enforced</t>
  </si>
  <si>
    <t xml:space="preserve">ST-055</t>
  </si>
  <si>
    <t xml:space="preserve">Session/token refresh survives platform token rotation</t>
  </si>
  <si>
    <t xml:space="preserve">ST-056</t>
  </si>
  <si>
    <t xml:space="preserve">Install telemetry: source attribution (listing/search/referral) captured</t>
  </si>
  <si>
    <t xml:space="preserve">ST-057</t>
  </si>
  <si>
    <t xml:space="preserve">E5</t>
  </si>
  <si>
    <t xml:space="preserve">14-day trial without card; banner shows days remaining</t>
  </si>
  <si>
    <t xml:space="preserve">ST-058</t>
  </si>
  <si>
    <t xml:space="preserve">Upgrade/downgrade mid-cycle prorates correctly</t>
  </si>
  <si>
    <t xml:space="preserve">ST-059</t>
  </si>
  <si>
    <t xml:space="preserve">Marketplace billing API used where mandated; external Stripe fallback elsewhere</t>
  </si>
  <si>
    <t xml:space="preserve">ST-060</t>
  </si>
  <si>
    <t xml:space="preserve">Failed payment: 7-day grace, 3 dunning emails, then read-only mode</t>
  </si>
  <si>
    <t xml:space="preserve">S7</t>
  </si>
  <si>
    <t xml:space="preserve">ST-061</t>
  </si>
  <si>
    <t xml:space="preserve">Plan limits enforced with upgrade prompts at 80%/100%</t>
  </si>
  <si>
    <t xml:space="preserve">ST-062</t>
  </si>
  <si>
    <t xml:space="preserve">Invoices/receipts downloadable; GST/VAT fields supported</t>
  </si>
  <si>
    <t xml:space="preserve">ST-063</t>
  </si>
  <si>
    <t xml:space="preserve">Cancellation flow with save-offer and exit survey</t>
  </si>
  <si>
    <t xml:space="preserve">ST-064</t>
  </si>
  <si>
    <t xml:space="preserve">E6</t>
  </si>
  <si>
    <t xml:space="preserve">Scopes requested map 1:1 to shipped features (least privilege doc)</t>
  </si>
  <si>
    <t xml:space="preserve">ST-065</t>
  </si>
  <si>
    <t xml:space="preserve">Data-flow diagram + retention policy published</t>
  </si>
  <si>
    <t xml:space="preserve">ST-066</t>
  </si>
  <si>
    <t xml:space="preserve">Encryption at rest + in transit verified; secrets in vault</t>
  </si>
  <si>
    <t xml:space="preserve">ST-067</t>
  </si>
  <si>
    <t xml:space="preserve">Audit log for admin-sensitive actions</t>
  </si>
  <si>
    <t xml:space="preserve">ST-068</t>
  </si>
  <si>
    <t xml:space="preserve">Pen-test (or platform-required evidence) completed and archived</t>
  </si>
  <si>
    <t xml:space="preserve">S9</t>
  </si>
  <si>
    <t xml:space="preserve">ST-069</t>
  </si>
  <si>
    <t xml:space="preserve">Data export + delete-my-data self-serve</t>
  </si>
  <si>
    <t xml:space="preserve">ST-070</t>
  </si>
  <si>
    <t xml:space="preserve">Rate-limit backoff + circuit breaker on platform APIs</t>
  </si>
  <si>
    <t xml:space="preserve">ST-071</t>
  </si>
  <si>
    <t xml:space="preserve">E7</t>
  </si>
  <si>
    <t xml:space="preserve">Activation funnel events (install-&gt;setup-&gt;aha-&gt;habit) in one dashboard</t>
  </si>
  <si>
    <t xml:space="preserve">ST-072</t>
  </si>
  <si>
    <t xml:space="preserve">Error tracking with release tagging; alert on error-rate spike</t>
  </si>
  <si>
    <t xml:space="preserve">ST-073</t>
  </si>
  <si>
    <t xml:space="preserve">Feature-usage heatmap for roadmap decisions</t>
  </si>
  <si>
    <t xml:space="preserve">ST-074</t>
  </si>
  <si>
    <t xml:space="preserve">Weekly automated metrics email to team</t>
  </si>
  <si>
    <t xml:space="preserve">ST-075</t>
  </si>
  <si>
    <t xml:space="preserve">Health score computed per account (usage+billing+support)</t>
  </si>
  <si>
    <t xml:space="preserve">ST-076</t>
  </si>
  <si>
    <t xml:space="preserve">Metrics export to CSV/warehouse for founder analysis</t>
  </si>
  <si>
    <t xml:space="preserve">ST-077</t>
  </si>
  <si>
    <t xml:space="preserve">Alert thresholds configurable (activation drop, error spike, churn signal)</t>
  </si>
  <si>
    <t xml:space="preserve">ST-078</t>
  </si>
  <si>
    <t xml:space="preserve">E8</t>
  </si>
  <si>
    <t xml:space="preserve">First-run checklist reaches aha-moment in &lt;1 day</t>
  </si>
  <si>
    <t xml:space="preserve">ST-079</t>
  </si>
  <si>
    <t xml:space="preserve">Empty states teach next action on every screen</t>
  </si>
  <si>
    <t xml:space="preserve">ST-080</t>
  </si>
  <si>
    <t xml:space="preserve">Help center with 15 launch articles + search</t>
  </si>
  <si>
    <t xml:space="preserve">S10</t>
  </si>
  <si>
    <t xml:space="preserve">ST-081</t>
  </si>
  <si>
    <t xml:space="preserve">In-app chat with &lt;4 business-hr first response</t>
  </si>
  <si>
    <t xml:space="preserve">ST-082</t>
  </si>
  <si>
    <t xml:space="preserve">In-app review ask after aha-moment (marketplace rating engine)</t>
  </si>
  <si>
    <t xml:space="preserve">S11</t>
  </si>
  <si>
    <t xml:space="preserve">ST-083</t>
  </si>
  <si>
    <t xml:space="preserve">Demo video (2 min) + interactive sandbox/demo data mode</t>
  </si>
  <si>
    <t xml:space="preserve">ST-084</t>
  </si>
  <si>
    <t xml:space="preserve">Status page + incident comms template</t>
  </si>
  <si>
    <t xml:space="preserve">ST-085</t>
  </si>
  <si>
    <t xml:space="preserve">EQ</t>
  </si>
  <si>
    <t xml:space="preserve">Unit+integration test coverage gate ≥70% on core modules</t>
  </si>
  <si>
    <t xml:space="preserve">ST-086</t>
  </si>
  <si>
    <t xml:space="preserve">E2E smoke suite runs on every deploy</t>
  </si>
  <si>
    <t xml:space="preserve">ST-087</t>
  </si>
  <si>
    <t xml:space="preserve">p95 latency budgets defined and monitored per surface</t>
  </si>
  <si>
    <t xml:space="preserve">ST-088</t>
  </si>
  <si>
    <t xml:space="preserve">Load test at 5x expected launch traffic</t>
  </si>
  <si>
    <t xml:space="preserve">ST-089</t>
  </si>
  <si>
    <t xml:space="preserve">Accessibility WCAG AA pass on primary flows</t>
  </si>
  <si>
    <t xml:space="preserve">ST-090</t>
  </si>
  <si>
    <t xml:space="preserve">Backup + restore drill executed</t>
  </si>
  <si>
    <t xml:space="preserve">ST-091</t>
  </si>
  <si>
    <t xml:space="preserve">Chaos test: platform API outage degrades gracefully with user comms</t>
  </si>
  <si>
    <t xml:space="preserve">ST-092</t>
  </si>
  <si>
    <t xml:space="preserve">Zero-downtime deploy verified (blue/green or rolling)</t>
  </si>
  <si>
    <t xml:space="preserve">ST-093</t>
  </si>
  <si>
    <t xml:space="preserve">EL</t>
  </si>
  <si>
    <t xml:space="preserve">Marketplace listing copy A + B variants drafted and reviewed</t>
  </si>
  <si>
    <t xml:space="preserve">ST-094</t>
  </si>
  <si>
    <t xml:space="preserve">5 screenshots + 2-min demo video meet platform asset specs</t>
  </si>
  <si>
    <t xml:space="preserve">ST-095</t>
  </si>
  <si>
    <t xml:space="preserve">Pricing page/plan matrix published with FAQ</t>
  </si>
  <si>
    <t xml:space="preserve">ST-096</t>
  </si>
  <si>
    <t xml:space="preserve">Security/trust page (data handling, subprocessors) live</t>
  </si>
  <si>
    <t xml:space="preserve">ST-097</t>
  </si>
  <si>
    <t xml:space="preserve">Submission dry-run against platform checklist by second reviewer</t>
  </si>
  <si>
    <t xml:space="preserve">ST-098</t>
  </si>
  <si>
    <t xml:space="preserve">Launch-day runbook: monitoring, rollback, comms tree</t>
  </si>
  <si>
    <t xml:space="preserve">ST-099</t>
  </si>
  <si>
    <t xml:space="preserve">Post-launch listing SEO iteration 1 from search-term data</t>
  </si>
  <si>
    <t xml:space="preserve">S12</t>
  </si>
  <si>
    <t xml:space="preserve">ST-100</t>
  </si>
  <si>
    <t xml:space="preserve">First 10 design-partner reviews scheduled</t>
  </si>
  <si>
    <t xml:space="preserve">Total stories: 100. Epics: F1-F5 = product features; E1 install, E5 billing, E6 compliance, E7 telemetry, E8 onboarding/docs/support, EQ quality. Edit Status (Backlog/In progress/Done) during execution.</t>
  </si>
  <si>
    <t xml:space="preserve">SPRINT BOARD — live counts from Full_Backlog</t>
  </si>
  <si>
    <t xml:space="preserve">Focus</t>
  </si>
  <si>
    <t xml:space="preserve">Stories</t>
  </si>
  <si>
    <t xml:space="preserve">Done</t>
  </si>
  <si>
    <t xml:space="preserve">Exit criteria</t>
  </si>
  <si>
    <t xml:space="preserve">S0</t>
  </si>
  <si>
    <t xml:space="preserve">Discovery &amp; Design (2 wks)</t>
  </si>
  <si>
    <t xml:space="preserve">PRD signed off; prototype tested with 5 target users</t>
  </si>
  <si>
    <t xml:space="preserve">Foundation (2 wks)</t>
  </si>
  <si>
    <t xml:space="preserve">App installs cleanly in dev store/org; telemetry firing</t>
  </si>
  <si>
    <t xml:space="preserve">Core feature Click-to-dial + softphone - part 1</t>
  </si>
  <si>
    <t xml:space="preserve">Click-to-dial + softphone happy path demoable</t>
  </si>
  <si>
    <t xml:space="preserve">Core feature Click-to-dial + softphone - part 2 + Auto call/WhatsApp logging start</t>
  </si>
  <si>
    <t xml:space="preserve">Click-to-dial + softphone complete with tests; Auto call/WhatsApp logging skeleton</t>
  </si>
  <si>
    <t xml:space="preserve">Core feature Auto call/WhatsApp logging</t>
  </si>
  <si>
    <t xml:space="preserve">MVP loop usable end-to-end internally</t>
  </si>
  <si>
    <t xml:space="preserve">Feature Cadence/sequence lite + alpha hardening</t>
  </si>
  <si>
    <t xml:space="preserve">Internal alpha: team dogfoods daily</t>
  </si>
  <si>
    <t xml:space="preserve">Billing + Coaching analytics</t>
  </si>
  <si>
    <t xml:space="preserve">Can charge a test customer; upgrade/downgrade paths work</t>
  </si>
  <si>
    <t xml:space="preserve">Private beta (design partners)</t>
  </si>
  <si>
    <t xml:space="preserve">3+ partners active weekly; NPS pulse &gt;30</t>
  </si>
  <si>
    <t xml:space="preserve">Beta iteration + Flow actions pack</t>
  </si>
  <si>
    <t xml:space="preserve">Retention of beta cohort week-over-week &gt;60%</t>
  </si>
  <si>
    <t xml:space="preserve">Marketplace review prep</t>
  </si>
  <si>
    <t xml:space="preserve">Review submission accepted into queue</t>
  </si>
  <si>
    <t xml:space="preserve">Review remediation + docs</t>
  </si>
  <si>
    <t xml:space="preserve">Marketplace approval obtained (or final remediation cycle)</t>
  </si>
  <si>
    <t xml:space="preserve">Launch</t>
  </si>
  <si>
    <t xml:space="preserve">First 10 installs; first 3 reviews; activation &gt;40%</t>
  </si>
  <si>
    <t xml:space="preserve">Iterate &amp; scale decision</t>
  </si>
  <si>
    <t xml:space="preserve">Growth model doc with CAC/LTV first estimates</t>
  </si>
  <si>
    <t xml:space="preserve">TOTAL</t>
  </si>
  <si>
    <t xml:space="preserve">Velocity check: points/sprint S2-S8 should sit within 30-45 for a 4-6 person team; rebalance Sprint column in backlog if a sprint exceeds capacity.</t>
  </si>
  <si>
    <t xml:space="preserve">18-MONTH FINANCIAL MODEL — Salesforce: enterprise pilot-led (edit yellow assumptions)</t>
  </si>
  <si>
    <t xml:space="preserve">Assumption</t>
  </si>
  <si>
    <t xml:space="preserve">Value</t>
  </si>
  <si>
    <t xml:space="preserve">Qualified pilots/mo (month 1)</t>
  </si>
  <si>
    <t xml:space="preserve">Monthly growth of that</t>
  </si>
  <si>
    <t xml:space="preserve">Pilot-&gt;paid %</t>
  </si>
  <si>
    <t xml:space="preserve">ARPU $/mo</t>
  </si>
  <si>
    <t xml:space="preserve">Monthly churn</t>
  </si>
  <si>
    <t xml:space="preserve">Marketplace fee</t>
  </si>
  <si>
    <t xml:space="preserve">Team cost month 1 (India-lean $)</t>
  </si>
  <si>
    <t xml:space="preserve">Cost growth/mo</t>
  </si>
  <si>
    <t xml:space="preserve">Fee note: 15% PNR to Salesforce on net revenue</t>
  </si>
  <si>
    <t xml:space="preserve">Line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</si>
  <si>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</si>
  <si>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</si>
  <si>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</si>
  <si>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</si>
  <si>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</si>
  <si>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</si>
  <si>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</si>
  <si>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</si>
  <si>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</si>
  <si>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</si>
  <si>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</si>
  <si>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</si>
  <si>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</si>
  <si>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</si>
  <si>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</si>
  <si>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</si>
  <si>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</si>
  <si>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</si>
  <si>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Leads/installs</t>
  </si>
  <si>
    <t xml:space="preserve">New paying</t>
  </si>
  <si>
    <t xml:space="preserve">Paying accounts</t>
  </si>
  <si>
    <t xml:space="preserve">MRR (net of fee)</t>
  </si>
  <si>
    <t xml:space="preserve">Team cost</t>
  </si>
  <si>
    <t xml:space="preserve">Net cash/mo</t>
  </si>
  <si>
    <t xml:space="preserve">Cumulative</t>
  </si>
  <si>
    <t xml:space="preserve">Reading: churn applies before adds; MRR nets the marketplace fee; costs use India-lean base from Team_Roles_Budget (v004). Breakeven = first month Net cash ≥ 0. This is a planning model, not a forecast — replace assumptions with S7-S8 beta actuals.</t>
  </si>
  <si>
    <t xml:space="preserve">GTM EXECUTION TASKS</t>
  </si>
  <si>
    <t xml:space="preserve">Phase</t>
  </si>
  <si>
    <t xml:space="preserve">Task</t>
  </si>
  <si>
    <t xml:space="preserve">Owner (role)</t>
  </si>
  <si>
    <t xml:space="preserve">Target sprint</t>
  </si>
  <si>
    <t xml:space="preserve">Pre-launch</t>
  </si>
  <si>
    <t xml:space="preserve">Positioning doc + message house (problem/promise/proof)</t>
  </si>
  <si>
    <t xml:space="preserve">Founder</t>
  </si>
  <si>
    <t xml:space="preserve">Listing SEO: keyword study in marketplace search + title/intro drafts</t>
  </si>
  <si>
    <t xml:space="preserve">Growth</t>
  </si>
  <si>
    <t xml:space="preserve">10 design-partner mini case snippets with metric proof</t>
  </si>
  <si>
    <t xml:space="preserve">5 comparison/alternative pages drafted</t>
  </si>
  <si>
    <t xml:space="preserve">Screenshots (5) + 2-min demo video produced</t>
  </si>
  <si>
    <t xml:space="preserve">Design</t>
  </si>
  <si>
    <t xml:space="preserve">Listing live + launch post + video published</t>
  </si>
  <si>
    <t xml:space="preserve">Founder outreach: 100 named ICP accounts, 3-touch sequence</t>
  </si>
  <si>
    <t xml:space="preserve">Community value-posts (3 relevant communities)</t>
  </si>
  <si>
    <t xml:space="preserve">Review-generation program on (in-app ask post-aha)</t>
  </si>
  <si>
    <t xml:space="preserve">Eng</t>
  </si>
  <si>
    <t xml:space="preserve">Post-launch</t>
  </si>
  <si>
    <t xml:space="preserve">Weekly SEO/how-to content cadence starts</t>
  </si>
  <si>
    <t xml:space="preserve">Marketplace paid placement pilot (where offered)</t>
  </si>
  <si>
    <t xml:space="preserve">2 integration co-marketing swaps</t>
  </si>
  <si>
    <t xml:space="preserve">S12+</t>
  </si>
  <si>
    <t xml:space="preserve">G2/Capterra profiles + first 10 reviews</t>
  </si>
  <si>
    <t xml:space="preserve">PLATFORM LAUNCH CHECKLIST — Salesforce AppExchange</t>
  </si>
  <si>
    <t xml:space="preserve">Item</t>
  </si>
  <si>
    <t xml:space="preserve">ISV Partner Program application + agreement executed</t>
  </si>
  <si>
    <t xml:space="preserve">Open</t>
  </si>
  <si>
    <t xml:space="preserve">Developer/scratch orgs + managed package namespace registered</t>
  </si>
  <si>
    <t xml:space="preserve">AppExchange Security Review: pen-test evidence, code scan clean, Trust questionnaire</t>
  </si>
  <si>
    <t xml:space="preserve">Open CTI / Service Cloud Voice compatibility decision documented</t>
  </si>
  <si>
    <t xml:space="preserve">Permission sets + profiles install experience tested in 3 org shapes</t>
  </si>
  <si>
    <t xml:space="preserve">Data residency: Hyperforce region support statement</t>
  </si>
  <si>
    <t xml:space="preserve">Managed package upgrade path tested (push upgrades)</t>
  </si>
  <si>
    <t xml:space="preserve">AppExchange listing: demo org, video, security tab complete</t>
  </si>
  <si>
    <t xml:space="preserve">Pricing: per-seat tiers + annual; PNR reporting process set up</t>
  </si>
  <si>
    <t xml:space="preserve">2 lighthouse customers referenced (logo permission) before listing</t>
  </si>
  <si>
    <t xml:space="preserve">METRIC TARGETS (first 12 months post-launch)</t>
  </si>
  <si>
    <t xml:space="preserve">Metric</t>
  </si>
  <si>
    <t xml:space="preserve">Notes</t>
  </si>
  <si>
    <t xml:space="preserve">Installs/signups cumulative</t>
  </si>
  <si>
    <t xml:space="preserve">varies</t>
  </si>
  <si>
    <t xml:space="preserve">3x M1</t>
  </si>
  <si>
    <t xml:space="preserve">8x M1</t>
  </si>
  <si>
    <t xml:space="preserve">20x M1</t>
  </si>
  <si>
    <t xml:space="preserve">Drive via listing SEO + outbound</t>
  </si>
  <si>
    <t xml:space="preserve">Activation % (24h)</t>
  </si>
  <si>
    <t xml:space="preserve">30%</t>
  </si>
  <si>
    <t xml:space="preserve">40%</t>
  </si>
  <si>
    <t xml:space="preserve">45%</t>
  </si>
  <si>
    <t xml:space="preserve">50%</t>
  </si>
  <si>
    <t xml:space="preserve">Onboarding iterations S12+</t>
  </si>
  <si>
    <t xml:space="preserve">Trial→paid %</t>
  </si>
  <si>
    <t xml:space="preserve">baseline</t>
  </si>
  <si>
    <t xml:space="preserve">+2pts</t>
  </si>
  <si>
    <t xml:space="preserve">+4pts</t>
  </si>
  <si>
    <t xml:space="preserve">+6pts</t>
  </si>
  <si>
    <t xml:space="preserve">Pricing test at S12</t>
  </si>
  <si>
    <t xml:space="preserve">Rating</t>
  </si>
  <si>
    <t xml:space="preserve">4.5+</t>
  </si>
  <si>
    <t xml:space="preserve">4.6+</t>
  </si>
  <si>
    <t xml:space="preserve">4.7+</t>
  </si>
  <si>
    <t xml:space="preserve">Review program + support speed</t>
  </si>
  <si>
    <t xml:space="preserve">MRR</t>
  </si>
  <si>
    <t xml:space="preserve">first $</t>
  </si>
  <si>
    <t xml:space="preserve">3x</t>
  </si>
  <si>
    <t xml:space="preserve">8x</t>
  </si>
  <si>
    <t xml:space="preserve">20x</t>
  </si>
  <si>
    <t xml:space="preserve">Model sheet has the math</t>
  </si>
  <si>
    <t xml:space="preserve">Logo churn/mo</t>
  </si>
  <si>
    <t xml:space="preserve">&lt;5%</t>
  </si>
  <si>
    <t xml:space="preserve">&lt;4%</t>
  </si>
  <si>
    <t xml:space="preserve">&lt;3%</t>
  </si>
  <si>
    <t xml:space="preserve">Health-score saves</t>
  </si>
  <si>
    <t xml:space="preserve">PRODUCT RISK REGISTER</t>
  </si>
  <si>
    <t xml:space="preserve">Risk</t>
  </si>
  <si>
    <t xml:space="preserve">Impact</t>
  </si>
  <si>
    <t xml:space="preserve">Likelihood</t>
  </si>
  <si>
    <t xml:space="preserve">Mitigation</t>
  </si>
  <si>
    <t xml:space="preserve">Security review cycles exceed 2 iterations (3+ months delay)</t>
  </si>
  <si>
    <t xml:space="preserve">High</t>
  </si>
  <si>
    <t xml:space="preserve">Specialist review consultant pre-submission; scopes austerity</t>
  </si>
  <si>
    <t xml:space="preserve">Service Cloud Voice bundling squeezes third-party CTI</t>
  </si>
  <si>
    <t xml:space="preserve">Medium</t>
  </si>
  <si>
    <t xml:space="preserve">Mid-market focus + WhatsApp/SMS omnichannel angle SCV lacks</t>
  </si>
  <si>
    <t xml:space="preserve">Enterprise sales cycle vs cash runway</t>
  </si>
  <si>
    <t xml:space="preserve">Paid pilots; annual prepay; partner-sourced deals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</si>
</sst>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80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23.85" hidden="false" customHeight="false" outlineLevel="0" collapsed="false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customFormat="false" ht="35.05" hidden="false" customHeight="false" outlineLevel="0" collapsed="false">
      <c r="A5" s="3" t="s">
        <v>11</v>
      </c>
      <c r="B5" s="3" t="s">
        <v>12</v>
      </c>
      <c r="C5" s="3" t="s">
        <v>8</v>
      </c>
      <c r="D5" s="3" t="s">
        <v>13</v>
      </c>
      <c r="E5" s="3" t="s">
        <v>10</v>
      </c>
    </row>
    <row r="6" customFormat="false" ht="23.85" hidden="false" customHeight="false" outlineLevel="0" collapsed="false">
      <c r="A6" s="4" t="s">
        <v>14</v>
      </c>
      <c r="B6" s="4"/>
      <c r="C6" s="4"/>
      <c r="D6" s="4" t="s">
        <v>15</v>
      </c>
      <c r="E6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17</v>
      </c>
    </row>
    <row r="3" customFormat="false" ht="27.75" hidden="false" customHeight="true" outlineLevel="0" collapsed="false">
      <c r="A3" s="5" t="s">
        <v>18</v>
      </c>
    </row>
    <row r="4" customFormat="false" ht="27.75" hidden="false" customHeight="true" outlineLevel="0" collapsed="false">
      <c r="A4" s="5" t="s">
        <v>19</v>
      </c>
    </row>
    <row r="5" customFormat="false" ht="27.75" hidden="false" customHeight="true" outlineLevel="0" collapsed="false">
      <c r="A5" s="5" t="s">
        <v>20</v>
      </c>
    </row>
    <row r="6" customFormat="false" ht="27.75" hidden="false" customHeight="true" outlineLevel="0" collapsed="false">
      <c r="A6" s="5" t="s">
        <v>21</v>
      </c>
    </row>
    <row r="7" customFormat="false" ht="27.75" hidden="false" customHeight="true" outlineLevel="0" collapsed="false">
      <c r="A7" s="5"/>
    </row>
    <row r="8" customFormat="false" ht="55.5" hidden="false" customHeight="true" outlineLevel="0" collapsed="false">
      <c r="A8" s="5" t="s">
        <v>22</v>
      </c>
    </row>
    <row r="9" customFormat="false" ht="27.75" hidden="false" customHeight="true" outlineLevel="0" collapsed="false">
      <c r="A9" s="5"/>
    </row>
    <row r="10" customFormat="false" ht="27.75" hidden="false" customHeight="true" outlineLevel="0" collapsed="false">
      <c r="A10" s="5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34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24</v>
      </c>
    </row>
    <row r="3" customFormat="false" ht="15" hidden="false" customHeight="false" outlineLevel="0" collapsed="false">
      <c r="A3" s="2" t="s">
        <v>25</v>
      </c>
      <c r="B3" s="2" t="s">
        <v>26</v>
      </c>
      <c r="C3" s="2" t="s">
        <v>27</v>
      </c>
      <c r="D3" s="2" t="s">
        <v>28</v>
      </c>
    </row>
    <row r="4" customFormat="false" ht="30" hidden="false" customHeight="true" outlineLevel="0" collapsed="false">
      <c r="A4" s="3" t="s">
        <v>29</v>
      </c>
      <c r="B4" s="3" t="s">
        <v>30</v>
      </c>
      <c r="C4" s="3" t="s">
        <v>31</v>
      </c>
      <c r="D4" s="3" t="s">
        <v>32</v>
      </c>
    </row>
    <row r="5" customFormat="false" ht="30" hidden="false" customHeight="true" outlineLevel="0" collapsed="false">
      <c r="A5" s="3" t="s">
        <v>33</v>
      </c>
      <c r="B5" s="3" t="s">
        <v>34</v>
      </c>
      <c r="C5" s="3" t="s">
        <v>31</v>
      </c>
      <c r="D5" s="3" t="s">
        <v>35</v>
      </c>
    </row>
    <row r="6" customFormat="false" ht="30" hidden="false" customHeight="true" outlineLevel="0" collapsed="false">
      <c r="A6" s="3" t="s">
        <v>36</v>
      </c>
      <c r="B6" s="3" t="s">
        <v>37</v>
      </c>
      <c r="C6" s="3" t="s">
        <v>31</v>
      </c>
      <c r="D6" s="3" t="s">
        <v>38</v>
      </c>
    </row>
    <row r="7" customFormat="false" ht="30" hidden="false" customHeight="true" outlineLevel="0" collapsed="false">
      <c r="A7" s="3" t="s">
        <v>39</v>
      </c>
      <c r="B7" s="3" t="s">
        <v>40</v>
      </c>
      <c r="C7" s="3" t="s">
        <v>31</v>
      </c>
      <c r="D7" s="3" t="s">
        <v>41</v>
      </c>
    </row>
    <row r="8" customFormat="false" ht="30" hidden="false" customHeight="true" outlineLevel="0" collapsed="false">
      <c r="A8" s="3" t="s">
        <v>42</v>
      </c>
      <c r="B8" s="3" t="s">
        <v>43</v>
      </c>
      <c r="C8" s="3" t="s">
        <v>31</v>
      </c>
      <c r="D8" s="3" t="s">
        <v>44</v>
      </c>
    </row>
    <row r="10" customFormat="false" ht="15" hidden="false" customHeight="false" outlineLevel="0" collapsed="false">
      <c r="A10" s="2" t="s">
        <v>45</v>
      </c>
      <c r="B10" s="2" t="s">
        <v>46</v>
      </c>
      <c r="C10" s="2"/>
      <c r="D10" s="2"/>
    </row>
    <row r="11" customFormat="false" ht="25.5" hidden="false" customHeight="true" outlineLevel="0" collapsed="false">
      <c r="A11" s="3" t="s">
        <v>47</v>
      </c>
      <c r="B11" s="3" t="s">
        <v>48</v>
      </c>
      <c r="C11" s="3"/>
      <c r="D11" s="3"/>
    </row>
    <row r="12" customFormat="false" ht="25.5" hidden="false" customHeight="true" outlineLevel="0" collapsed="false">
      <c r="A12" s="3" t="s">
        <v>49</v>
      </c>
      <c r="B12" s="3" t="s">
        <v>50</v>
      </c>
      <c r="C12" s="3"/>
      <c r="D12" s="3"/>
    </row>
    <row r="13" customFormat="false" ht="25.5" hidden="false" customHeight="true" outlineLevel="0" collapsed="false">
      <c r="A13" s="3" t="s">
        <v>51</v>
      </c>
      <c r="B13" s="3" t="s">
        <v>52</v>
      </c>
      <c r="C13" s="3"/>
      <c r="D13" s="3"/>
    </row>
  </sheetData>
  <mergeCells count="3">
    <mergeCell ref="B11:D11"/>
    <mergeCell ref="B12:D12"/>
    <mergeCell ref="B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4" min="4" style="0" width="44"/>
    <col collapsed="false" customWidth="true" hidden="false" outlineLevel="0" max="5" min="5" style="0" width="24"/>
  </cols>
  <sheetData>
    <row r="1" customFormat="false" ht="17.35" hidden="false" customHeight="false" outlineLevel="0" collapsed="false">
      <c r="A1" s="1" t="s">
        <v>53</v>
      </c>
    </row>
    <row r="3" customFormat="false" ht="15" hidden="false" customHeight="false" outlineLevel="0" collapsed="false">
      <c r="A3" s="2" t="s">
        <v>54</v>
      </c>
      <c r="B3" s="2" t="s">
        <v>55</v>
      </c>
      <c r="C3" s="2" t="s">
        <v>56</v>
      </c>
      <c r="D3" s="2" t="s">
        <v>57</v>
      </c>
      <c r="E3" s="2" t="s">
        <v>58</v>
      </c>
    </row>
    <row r="4" customFormat="false" ht="25.5" hidden="false" customHeight="true" outlineLevel="0" collapsed="false">
      <c r="A4" s="3" t="n">
        <v>1</v>
      </c>
      <c r="B4" s="3" t="s">
        <v>59</v>
      </c>
      <c r="C4" s="3" t="s">
        <v>60</v>
      </c>
      <c r="D4" s="3" t="s">
        <v>61</v>
      </c>
      <c r="E4" s="4"/>
    </row>
    <row r="5" customFormat="false" ht="25.5" hidden="false" customHeight="true" outlineLevel="0" collapsed="false">
      <c r="A5" s="3" t="n">
        <v>2</v>
      </c>
      <c r="B5" s="3" t="s">
        <v>62</v>
      </c>
      <c r="C5" s="3" t="s">
        <v>63</v>
      </c>
      <c r="D5" s="3" t="s">
        <v>64</v>
      </c>
      <c r="E5" s="4"/>
    </row>
    <row r="6" customFormat="false" ht="25.5" hidden="false" customHeight="true" outlineLevel="0" collapsed="false">
      <c r="A6" s="3" t="n">
        <v>3</v>
      </c>
      <c r="B6" s="3" t="s">
        <v>65</v>
      </c>
      <c r="C6" s="3" t="s">
        <v>66</v>
      </c>
      <c r="D6" s="3" t="s">
        <v>67</v>
      </c>
      <c r="E6" s="4"/>
    </row>
    <row r="7" customFormat="false" ht="25.5" hidden="false" customHeight="true" outlineLevel="0" collapsed="false">
      <c r="A7" s="3" t="n">
        <v>4</v>
      </c>
      <c r="B7" s="3" t="s">
        <v>68</v>
      </c>
      <c r="C7" s="3" t="s">
        <v>69</v>
      </c>
      <c r="D7" s="3" t="s">
        <v>70</v>
      </c>
      <c r="E7" s="4"/>
    </row>
    <row r="8" customFormat="false" ht="25.5" hidden="false" customHeight="true" outlineLevel="0" collapsed="false">
      <c r="A8" s="3" t="n">
        <v>5</v>
      </c>
      <c r="B8" s="3" t="s">
        <v>71</v>
      </c>
      <c r="C8" s="3" t="s">
        <v>72</v>
      </c>
      <c r="D8" s="3" t="s">
        <v>73</v>
      </c>
      <c r="E8" s="4"/>
    </row>
    <row r="9" customFormat="false" ht="25.5" hidden="false" customHeight="true" outlineLevel="0" collapsed="false">
      <c r="A9" s="3" t="n">
        <v>6</v>
      </c>
      <c r="B9" s="3" t="s">
        <v>74</v>
      </c>
      <c r="C9" s="3" t="s">
        <v>75</v>
      </c>
      <c r="D9" s="3" t="s">
        <v>76</v>
      </c>
      <c r="E9" s="4"/>
    </row>
    <row r="10" customFormat="false" ht="25.5" hidden="false" customHeight="true" outlineLevel="0" collapsed="false">
      <c r="A10" s="3" t="n">
        <v>7</v>
      </c>
      <c r="B10" s="3" t="s">
        <v>77</v>
      </c>
      <c r="C10" s="3" t="s">
        <v>78</v>
      </c>
      <c r="D10" s="3" t="s">
        <v>79</v>
      </c>
      <c r="E10" s="4"/>
    </row>
    <row r="11" customFormat="false" ht="25.5" hidden="false" customHeight="true" outlineLevel="0" collapsed="false">
      <c r="A11" s="3" t="n">
        <v>8</v>
      </c>
      <c r="B11" s="3" t="s">
        <v>80</v>
      </c>
      <c r="C11" s="3" t="s">
        <v>81</v>
      </c>
      <c r="D11" s="3" t="s">
        <v>82</v>
      </c>
      <c r="E11" s="4"/>
    </row>
    <row r="12" customFormat="false" ht="25.5" hidden="false" customHeight="true" outlineLevel="0" collapsed="false">
      <c r="A12" s="3" t="n">
        <v>9</v>
      </c>
      <c r="B12" s="3" t="s">
        <v>83</v>
      </c>
      <c r="C12" s="3" t="s">
        <v>84</v>
      </c>
      <c r="D12" s="3" t="s">
        <v>85</v>
      </c>
      <c r="E12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84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86</v>
      </c>
    </row>
    <row r="3" customFormat="false" ht="15" hidden="false" customHeight="false" outlineLevel="0" collapsed="false">
      <c r="A3" s="2" t="s">
        <v>87</v>
      </c>
      <c r="B3" s="2" t="s">
        <v>88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5</v>
      </c>
    </row>
    <row r="4" customFormat="false" ht="25.5" hidden="false" customHeight="true" outlineLevel="0" collapsed="false">
      <c r="A4" s="3" t="s">
        <v>93</v>
      </c>
      <c r="B4" s="3" t="s">
        <v>94</v>
      </c>
      <c r="C4" s="3" t="s">
        <v>95</v>
      </c>
      <c r="D4" s="3" t="n">
        <v>5</v>
      </c>
      <c r="E4" s="3" t="s">
        <v>96</v>
      </c>
      <c r="F4" s="3" t="s">
        <v>97</v>
      </c>
      <c r="G4" s="3" t="s">
        <v>98</v>
      </c>
    </row>
    <row r="5" customFormat="false" ht="25.5" hidden="false" customHeight="true" outlineLevel="0" collapsed="false">
      <c r="A5" s="3" t="s">
        <v>99</v>
      </c>
      <c r="B5" s="3" t="s">
        <v>94</v>
      </c>
      <c r="C5" s="3" t="s">
        <v>100</v>
      </c>
      <c r="D5" s="3" t="n">
        <v>8</v>
      </c>
      <c r="E5" s="3" t="s">
        <v>96</v>
      </c>
      <c r="F5" s="3" t="s">
        <v>97</v>
      </c>
      <c r="G5" s="3" t="s">
        <v>98</v>
      </c>
    </row>
    <row r="6" customFormat="false" ht="25.5" hidden="false" customHeight="true" outlineLevel="0" collapsed="false">
      <c r="A6" s="3" t="s">
        <v>101</v>
      </c>
      <c r="B6" s="3" t="s">
        <v>94</v>
      </c>
      <c r="C6" s="3" t="s">
        <v>102</v>
      </c>
      <c r="D6" s="3" t="n">
        <v>5</v>
      </c>
      <c r="E6" s="3" t="s">
        <v>103</v>
      </c>
      <c r="F6" s="3" t="s">
        <v>97</v>
      </c>
      <c r="G6" s="3" t="s">
        <v>98</v>
      </c>
    </row>
    <row r="7" customFormat="false" ht="25.5" hidden="false" customHeight="true" outlineLevel="0" collapsed="false">
      <c r="A7" s="3" t="s">
        <v>104</v>
      </c>
      <c r="B7" s="3" t="s">
        <v>94</v>
      </c>
      <c r="C7" s="3" t="s">
        <v>105</v>
      </c>
      <c r="D7" s="3" t="n">
        <v>3</v>
      </c>
      <c r="E7" s="3" t="s">
        <v>96</v>
      </c>
      <c r="F7" s="3" t="s">
        <v>97</v>
      </c>
      <c r="G7" s="3" t="s">
        <v>98</v>
      </c>
    </row>
    <row r="8" customFormat="false" ht="25.5" hidden="false" customHeight="true" outlineLevel="0" collapsed="false">
      <c r="A8" s="3" t="s">
        <v>106</v>
      </c>
      <c r="B8" s="3" t="s">
        <v>94</v>
      </c>
      <c r="C8" s="3" t="s">
        <v>107</v>
      </c>
      <c r="D8" s="3" t="n">
        <v>5</v>
      </c>
      <c r="E8" s="3" t="s">
        <v>96</v>
      </c>
      <c r="F8" s="3" t="s">
        <v>108</v>
      </c>
      <c r="G8" s="3" t="s">
        <v>98</v>
      </c>
    </row>
    <row r="9" customFormat="false" ht="25.5" hidden="false" customHeight="true" outlineLevel="0" collapsed="false">
      <c r="A9" s="3" t="s">
        <v>109</v>
      </c>
      <c r="B9" s="3" t="s">
        <v>94</v>
      </c>
      <c r="C9" s="3" t="s">
        <v>110</v>
      </c>
      <c r="D9" s="3" t="n">
        <v>3</v>
      </c>
      <c r="E9" s="3" t="s">
        <v>103</v>
      </c>
      <c r="F9" s="3" t="s">
        <v>108</v>
      </c>
      <c r="G9" s="3" t="s">
        <v>98</v>
      </c>
    </row>
    <row r="10" customFormat="false" ht="25.5" hidden="false" customHeight="true" outlineLevel="0" collapsed="false">
      <c r="A10" s="3" t="s">
        <v>111</v>
      </c>
      <c r="B10" s="3" t="s">
        <v>94</v>
      </c>
      <c r="C10" s="3" t="s">
        <v>112</v>
      </c>
      <c r="D10" s="3" t="n">
        <v>3</v>
      </c>
      <c r="E10" s="3" t="s">
        <v>103</v>
      </c>
      <c r="F10" s="3" t="s">
        <v>108</v>
      </c>
      <c r="G10" s="3" t="s">
        <v>98</v>
      </c>
    </row>
    <row r="11" customFormat="false" ht="25.5" hidden="false" customHeight="true" outlineLevel="0" collapsed="false">
      <c r="A11" s="3" t="s">
        <v>113</v>
      </c>
      <c r="B11" s="3" t="s">
        <v>94</v>
      </c>
      <c r="C11" s="3" t="s">
        <v>114</v>
      </c>
      <c r="D11" s="3" t="n">
        <v>2</v>
      </c>
      <c r="E11" s="3" t="s">
        <v>115</v>
      </c>
      <c r="F11" s="3" t="s">
        <v>108</v>
      </c>
      <c r="G11" s="3" t="s">
        <v>98</v>
      </c>
    </row>
    <row r="12" customFormat="false" ht="25.5" hidden="false" customHeight="true" outlineLevel="0" collapsed="false">
      <c r="A12" s="3" t="s">
        <v>116</v>
      </c>
      <c r="B12" s="3" t="s">
        <v>94</v>
      </c>
      <c r="C12" s="3" t="s">
        <v>117</v>
      </c>
      <c r="D12" s="3" t="n">
        <v>5</v>
      </c>
      <c r="E12" s="3" t="s">
        <v>103</v>
      </c>
      <c r="F12" s="3" t="s">
        <v>108</v>
      </c>
      <c r="G12" s="3" t="s">
        <v>98</v>
      </c>
    </row>
    <row r="13" customFormat="false" ht="25.5" hidden="false" customHeight="true" outlineLevel="0" collapsed="false">
      <c r="A13" s="3" t="s">
        <v>118</v>
      </c>
      <c r="B13" s="3" t="s">
        <v>94</v>
      </c>
      <c r="C13" s="3" t="s">
        <v>119</v>
      </c>
      <c r="D13" s="3" t="n">
        <v>3</v>
      </c>
      <c r="E13" s="3" t="s">
        <v>115</v>
      </c>
      <c r="F13" s="3" t="s">
        <v>108</v>
      </c>
      <c r="G13" s="3" t="s">
        <v>98</v>
      </c>
    </row>
    <row r="14" customFormat="false" ht="25.5" hidden="false" customHeight="true" outlineLevel="0" collapsed="false">
      <c r="A14" s="3" t="s">
        <v>120</v>
      </c>
      <c r="B14" s="3" t="s">
        <v>121</v>
      </c>
      <c r="C14" s="3" t="s">
        <v>122</v>
      </c>
      <c r="D14" s="3" t="n">
        <v>5</v>
      </c>
      <c r="E14" s="3" t="s">
        <v>96</v>
      </c>
      <c r="F14" s="3" t="s">
        <v>108</v>
      </c>
      <c r="G14" s="3" t="s">
        <v>98</v>
      </c>
    </row>
    <row r="15" customFormat="false" ht="25.5" hidden="false" customHeight="true" outlineLevel="0" collapsed="false">
      <c r="A15" s="3" t="s">
        <v>123</v>
      </c>
      <c r="B15" s="3" t="s">
        <v>121</v>
      </c>
      <c r="C15" s="3" t="s">
        <v>124</v>
      </c>
      <c r="D15" s="3" t="n">
        <v>8</v>
      </c>
      <c r="E15" s="3" t="s">
        <v>96</v>
      </c>
      <c r="F15" s="3" t="s">
        <v>108</v>
      </c>
      <c r="G15" s="3" t="s">
        <v>98</v>
      </c>
    </row>
    <row r="16" customFormat="false" ht="25.5" hidden="false" customHeight="true" outlineLevel="0" collapsed="false">
      <c r="A16" s="3" t="s">
        <v>125</v>
      </c>
      <c r="B16" s="3" t="s">
        <v>121</v>
      </c>
      <c r="C16" s="3" t="s">
        <v>126</v>
      </c>
      <c r="D16" s="3" t="n">
        <v>5</v>
      </c>
      <c r="E16" s="3" t="s">
        <v>103</v>
      </c>
      <c r="F16" s="3" t="s">
        <v>108</v>
      </c>
      <c r="G16" s="3" t="s">
        <v>98</v>
      </c>
    </row>
    <row r="17" customFormat="false" ht="25.5" hidden="false" customHeight="true" outlineLevel="0" collapsed="false">
      <c r="A17" s="3" t="s">
        <v>127</v>
      </c>
      <c r="B17" s="3" t="s">
        <v>121</v>
      </c>
      <c r="C17" s="3" t="s">
        <v>128</v>
      </c>
      <c r="D17" s="3" t="n">
        <v>3</v>
      </c>
      <c r="E17" s="3" t="s">
        <v>96</v>
      </c>
      <c r="F17" s="3" t="s">
        <v>108</v>
      </c>
      <c r="G17" s="3" t="s">
        <v>98</v>
      </c>
    </row>
    <row r="18" customFormat="false" ht="25.5" hidden="false" customHeight="true" outlineLevel="0" collapsed="false">
      <c r="A18" s="3" t="s">
        <v>129</v>
      </c>
      <c r="B18" s="3" t="s">
        <v>121</v>
      </c>
      <c r="C18" s="3" t="s">
        <v>130</v>
      </c>
      <c r="D18" s="3" t="n">
        <v>5</v>
      </c>
      <c r="E18" s="3" t="s">
        <v>96</v>
      </c>
      <c r="F18" s="3" t="s">
        <v>131</v>
      </c>
      <c r="G18" s="3" t="s">
        <v>98</v>
      </c>
    </row>
    <row r="19" customFormat="false" ht="25.5" hidden="false" customHeight="true" outlineLevel="0" collapsed="false">
      <c r="A19" s="3" t="s">
        <v>132</v>
      </c>
      <c r="B19" s="3" t="s">
        <v>121</v>
      </c>
      <c r="C19" s="3" t="s">
        <v>133</v>
      </c>
      <c r="D19" s="3" t="n">
        <v>3</v>
      </c>
      <c r="E19" s="3" t="s">
        <v>103</v>
      </c>
      <c r="F19" s="3" t="s">
        <v>131</v>
      </c>
      <c r="G19" s="3" t="s">
        <v>98</v>
      </c>
    </row>
    <row r="20" customFormat="false" ht="25.5" hidden="false" customHeight="true" outlineLevel="0" collapsed="false">
      <c r="A20" s="3" t="s">
        <v>134</v>
      </c>
      <c r="B20" s="3" t="s">
        <v>121</v>
      </c>
      <c r="C20" s="3" t="s">
        <v>135</v>
      </c>
      <c r="D20" s="3" t="n">
        <v>3</v>
      </c>
      <c r="E20" s="3" t="s">
        <v>103</v>
      </c>
      <c r="F20" s="3" t="s">
        <v>131</v>
      </c>
      <c r="G20" s="3" t="s">
        <v>98</v>
      </c>
    </row>
    <row r="21" customFormat="false" ht="25.5" hidden="false" customHeight="true" outlineLevel="0" collapsed="false">
      <c r="A21" s="3" t="s">
        <v>136</v>
      </c>
      <c r="B21" s="3" t="s">
        <v>121</v>
      </c>
      <c r="C21" s="3" t="s">
        <v>137</v>
      </c>
      <c r="D21" s="3" t="n">
        <v>2</v>
      </c>
      <c r="E21" s="3" t="s">
        <v>115</v>
      </c>
      <c r="F21" s="3" t="s">
        <v>131</v>
      </c>
      <c r="G21" s="3" t="s">
        <v>98</v>
      </c>
    </row>
    <row r="22" customFormat="false" ht="25.5" hidden="false" customHeight="true" outlineLevel="0" collapsed="false">
      <c r="A22" s="3" t="s">
        <v>138</v>
      </c>
      <c r="B22" s="3" t="s">
        <v>121</v>
      </c>
      <c r="C22" s="3" t="s">
        <v>139</v>
      </c>
      <c r="D22" s="3" t="n">
        <v>5</v>
      </c>
      <c r="E22" s="3" t="s">
        <v>103</v>
      </c>
      <c r="F22" s="3" t="s">
        <v>131</v>
      </c>
      <c r="G22" s="3" t="s">
        <v>98</v>
      </c>
    </row>
    <row r="23" customFormat="false" ht="25.5" hidden="false" customHeight="true" outlineLevel="0" collapsed="false">
      <c r="A23" s="3" t="s">
        <v>140</v>
      </c>
      <c r="B23" s="3" t="s">
        <v>121</v>
      </c>
      <c r="C23" s="3" t="s">
        <v>141</v>
      </c>
      <c r="D23" s="3" t="n">
        <v>3</v>
      </c>
      <c r="E23" s="3" t="s">
        <v>115</v>
      </c>
      <c r="F23" s="3" t="s">
        <v>131</v>
      </c>
      <c r="G23" s="3" t="s">
        <v>98</v>
      </c>
    </row>
    <row r="24" customFormat="false" ht="25.5" hidden="false" customHeight="true" outlineLevel="0" collapsed="false">
      <c r="A24" s="3" t="s">
        <v>142</v>
      </c>
      <c r="B24" s="3" t="s">
        <v>143</v>
      </c>
      <c r="C24" s="3" t="s">
        <v>144</v>
      </c>
      <c r="D24" s="3" t="n">
        <v>5</v>
      </c>
      <c r="E24" s="3" t="s">
        <v>96</v>
      </c>
      <c r="F24" s="3" t="s">
        <v>145</v>
      </c>
      <c r="G24" s="3" t="s">
        <v>98</v>
      </c>
    </row>
    <row r="25" customFormat="false" ht="25.5" hidden="false" customHeight="true" outlineLevel="0" collapsed="false">
      <c r="A25" s="3" t="s">
        <v>146</v>
      </c>
      <c r="B25" s="3" t="s">
        <v>143</v>
      </c>
      <c r="C25" s="3" t="s">
        <v>147</v>
      </c>
      <c r="D25" s="3" t="n">
        <v>8</v>
      </c>
      <c r="E25" s="3" t="s">
        <v>96</v>
      </c>
      <c r="F25" s="3" t="s">
        <v>145</v>
      </c>
      <c r="G25" s="3" t="s">
        <v>98</v>
      </c>
    </row>
    <row r="26" customFormat="false" ht="25.5" hidden="false" customHeight="true" outlineLevel="0" collapsed="false">
      <c r="A26" s="3" t="s">
        <v>148</v>
      </c>
      <c r="B26" s="3" t="s">
        <v>143</v>
      </c>
      <c r="C26" s="3" t="s">
        <v>149</v>
      </c>
      <c r="D26" s="3" t="n">
        <v>5</v>
      </c>
      <c r="E26" s="3" t="s">
        <v>103</v>
      </c>
      <c r="F26" s="3" t="s">
        <v>145</v>
      </c>
      <c r="G26" s="3" t="s">
        <v>98</v>
      </c>
    </row>
    <row r="27" customFormat="false" ht="25.5" hidden="false" customHeight="true" outlineLevel="0" collapsed="false">
      <c r="A27" s="3" t="s">
        <v>150</v>
      </c>
      <c r="B27" s="3" t="s">
        <v>143</v>
      </c>
      <c r="C27" s="3" t="s">
        <v>151</v>
      </c>
      <c r="D27" s="3" t="n">
        <v>3</v>
      </c>
      <c r="E27" s="3" t="s">
        <v>96</v>
      </c>
      <c r="F27" s="3" t="s">
        <v>145</v>
      </c>
      <c r="G27" s="3" t="s">
        <v>98</v>
      </c>
    </row>
    <row r="28" customFormat="false" ht="25.5" hidden="false" customHeight="true" outlineLevel="0" collapsed="false">
      <c r="A28" s="3" t="s">
        <v>152</v>
      </c>
      <c r="B28" s="3" t="s">
        <v>143</v>
      </c>
      <c r="C28" s="3" t="s">
        <v>153</v>
      </c>
      <c r="D28" s="3" t="n">
        <v>5</v>
      </c>
      <c r="E28" s="3" t="s">
        <v>96</v>
      </c>
      <c r="F28" s="3" t="s">
        <v>145</v>
      </c>
      <c r="G28" s="3" t="s">
        <v>98</v>
      </c>
    </row>
    <row r="29" customFormat="false" ht="25.5" hidden="false" customHeight="true" outlineLevel="0" collapsed="false">
      <c r="A29" s="3" t="s">
        <v>154</v>
      </c>
      <c r="B29" s="3" t="s">
        <v>143</v>
      </c>
      <c r="C29" s="3" t="s">
        <v>155</v>
      </c>
      <c r="D29" s="3" t="n">
        <v>3</v>
      </c>
      <c r="E29" s="3" t="s">
        <v>103</v>
      </c>
      <c r="F29" s="3" t="s">
        <v>145</v>
      </c>
      <c r="G29" s="3" t="s">
        <v>98</v>
      </c>
    </row>
    <row r="30" customFormat="false" ht="25.5" hidden="false" customHeight="true" outlineLevel="0" collapsed="false">
      <c r="A30" s="3" t="s">
        <v>156</v>
      </c>
      <c r="B30" s="3" t="s">
        <v>143</v>
      </c>
      <c r="C30" s="3" t="s">
        <v>157</v>
      </c>
      <c r="D30" s="3" t="n">
        <v>3</v>
      </c>
      <c r="E30" s="3" t="s">
        <v>103</v>
      </c>
      <c r="F30" s="3" t="s">
        <v>145</v>
      </c>
      <c r="G30" s="3" t="s">
        <v>98</v>
      </c>
    </row>
    <row r="31" customFormat="false" ht="25.5" hidden="false" customHeight="true" outlineLevel="0" collapsed="false">
      <c r="A31" s="3" t="s">
        <v>158</v>
      </c>
      <c r="B31" s="3" t="s">
        <v>143</v>
      </c>
      <c r="C31" s="3" t="s">
        <v>159</v>
      </c>
      <c r="D31" s="3" t="n">
        <v>2</v>
      </c>
      <c r="E31" s="3" t="s">
        <v>115</v>
      </c>
      <c r="F31" s="3" t="s">
        <v>145</v>
      </c>
      <c r="G31" s="3" t="s">
        <v>98</v>
      </c>
    </row>
    <row r="32" customFormat="false" ht="25.5" hidden="false" customHeight="true" outlineLevel="0" collapsed="false">
      <c r="A32" s="3" t="s">
        <v>160</v>
      </c>
      <c r="B32" s="3" t="s">
        <v>143</v>
      </c>
      <c r="C32" s="3" t="s">
        <v>161</v>
      </c>
      <c r="D32" s="3" t="n">
        <v>5</v>
      </c>
      <c r="E32" s="3" t="s">
        <v>103</v>
      </c>
      <c r="F32" s="3" t="s">
        <v>145</v>
      </c>
      <c r="G32" s="3" t="s">
        <v>98</v>
      </c>
    </row>
    <row r="33" customFormat="false" ht="25.5" hidden="false" customHeight="true" outlineLevel="0" collapsed="false">
      <c r="A33" s="3" t="s">
        <v>162</v>
      </c>
      <c r="B33" s="3" t="s">
        <v>143</v>
      </c>
      <c r="C33" s="3" t="s">
        <v>163</v>
      </c>
      <c r="D33" s="3" t="n">
        <v>3</v>
      </c>
      <c r="E33" s="3" t="s">
        <v>115</v>
      </c>
      <c r="F33" s="3" t="s">
        <v>145</v>
      </c>
      <c r="G33" s="3" t="s">
        <v>98</v>
      </c>
    </row>
    <row r="34" customFormat="false" ht="25.5" hidden="false" customHeight="true" outlineLevel="0" collapsed="false">
      <c r="A34" s="3" t="s">
        <v>164</v>
      </c>
      <c r="B34" s="3" t="s">
        <v>165</v>
      </c>
      <c r="C34" s="3" t="s">
        <v>166</v>
      </c>
      <c r="D34" s="3" t="n">
        <v>5</v>
      </c>
      <c r="E34" s="3" t="s">
        <v>96</v>
      </c>
      <c r="F34" s="3" t="s">
        <v>167</v>
      </c>
      <c r="G34" s="3" t="s">
        <v>98</v>
      </c>
    </row>
    <row r="35" customFormat="false" ht="25.5" hidden="false" customHeight="true" outlineLevel="0" collapsed="false">
      <c r="A35" s="3" t="s">
        <v>168</v>
      </c>
      <c r="B35" s="3" t="s">
        <v>165</v>
      </c>
      <c r="C35" s="3" t="s">
        <v>169</v>
      </c>
      <c r="D35" s="3" t="n">
        <v>8</v>
      </c>
      <c r="E35" s="3" t="s">
        <v>96</v>
      </c>
      <c r="F35" s="3" t="s">
        <v>167</v>
      </c>
      <c r="G35" s="3" t="s">
        <v>98</v>
      </c>
    </row>
    <row r="36" customFormat="false" ht="25.5" hidden="false" customHeight="true" outlineLevel="0" collapsed="false">
      <c r="A36" s="3" t="s">
        <v>170</v>
      </c>
      <c r="B36" s="3" t="s">
        <v>165</v>
      </c>
      <c r="C36" s="3" t="s">
        <v>171</v>
      </c>
      <c r="D36" s="3" t="n">
        <v>5</v>
      </c>
      <c r="E36" s="3" t="s">
        <v>103</v>
      </c>
      <c r="F36" s="3" t="s">
        <v>167</v>
      </c>
      <c r="G36" s="3" t="s">
        <v>98</v>
      </c>
    </row>
    <row r="37" customFormat="false" ht="25.5" hidden="false" customHeight="true" outlineLevel="0" collapsed="false">
      <c r="A37" s="3" t="s">
        <v>172</v>
      </c>
      <c r="B37" s="3" t="s">
        <v>165</v>
      </c>
      <c r="C37" s="3" t="s">
        <v>173</v>
      </c>
      <c r="D37" s="3" t="n">
        <v>3</v>
      </c>
      <c r="E37" s="3" t="s">
        <v>96</v>
      </c>
      <c r="F37" s="3" t="s">
        <v>167</v>
      </c>
      <c r="G37" s="3" t="s">
        <v>98</v>
      </c>
    </row>
    <row r="38" customFormat="false" ht="25.5" hidden="false" customHeight="true" outlineLevel="0" collapsed="false">
      <c r="A38" s="3" t="s">
        <v>174</v>
      </c>
      <c r="B38" s="3" t="s">
        <v>165</v>
      </c>
      <c r="C38" s="3" t="s">
        <v>175</v>
      </c>
      <c r="D38" s="3" t="n">
        <v>5</v>
      </c>
      <c r="E38" s="3" t="s">
        <v>96</v>
      </c>
      <c r="F38" s="3" t="s">
        <v>167</v>
      </c>
      <c r="G38" s="3" t="s">
        <v>98</v>
      </c>
    </row>
    <row r="39" customFormat="false" ht="25.5" hidden="false" customHeight="true" outlineLevel="0" collapsed="false">
      <c r="A39" s="3" t="s">
        <v>176</v>
      </c>
      <c r="B39" s="3" t="s">
        <v>165</v>
      </c>
      <c r="C39" s="3" t="s">
        <v>177</v>
      </c>
      <c r="D39" s="3" t="n">
        <v>3</v>
      </c>
      <c r="E39" s="3" t="s">
        <v>103</v>
      </c>
      <c r="F39" s="3" t="s">
        <v>167</v>
      </c>
      <c r="G39" s="3" t="s">
        <v>98</v>
      </c>
    </row>
    <row r="40" customFormat="false" ht="25.5" hidden="false" customHeight="true" outlineLevel="0" collapsed="false">
      <c r="A40" s="3" t="s">
        <v>178</v>
      </c>
      <c r="B40" s="3" t="s">
        <v>165</v>
      </c>
      <c r="C40" s="3" t="s">
        <v>179</v>
      </c>
      <c r="D40" s="3" t="n">
        <v>3</v>
      </c>
      <c r="E40" s="3" t="s">
        <v>103</v>
      </c>
      <c r="F40" s="3" t="s">
        <v>167</v>
      </c>
      <c r="G40" s="3" t="s">
        <v>98</v>
      </c>
    </row>
    <row r="41" customFormat="false" ht="25.5" hidden="false" customHeight="true" outlineLevel="0" collapsed="false">
      <c r="A41" s="3" t="s">
        <v>180</v>
      </c>
      <c r="B41" s="3" t="s">
        <v>165</v>
      </c>
      <c r="C41" s="3" t="s">
        <v>181</v>
      </c>
      <c r="D41" s="3" t="n">
        <v>2</v>
      </c>
      <c r="E41" s="3" t="s">
        <v>115</v>
      </c>
      <c r="F41" s="3" t="s">
        <v>167</v>
      </c>
      <c r="G41" s="3" t="s">
        <v>98</v>
      </c>
    </row>
    <row r="42" customFormat="false" ht="25.5" hidden="false" customHeight="true" outlineLevel="0" collapsed="false">
      <c r="A42" s="3" t="s">
        <v>182</v>
      </c>
      <c r="B42" s="3" t="s">
        <v>165</v>
      </c>
      <c r="C42" s="3" t="s">
        <v>183</v>
      </c>
      <c r="D42" s="3" t="n">
        <v>5</v>
      </c>
      <c r="E42" s="3" t="s">
        <v>103</v>
      </c>
      <c r="F42" s="3" t="s">
        <v>167</v>
      </c>
      <c r="G42" s="3" t="s">
        <v>98</v>
      </c>
    </row>
    <row r="43" customFormat="false" ht="25.5" hidden="false" customHeight="true" outlineLevel="0" collapsed="false">
      <c r="A43" s="3" t="s">
        <v>184</v>
      </c>
      <c r="B43" s="3" t="s">
        <v>165</v>
      </c>
      <c r="C43" s="3" t="s">
        <v>185</v>
      </c>
      <c r="D43" s="3" t="n">
        <v>3</v>
      </c>
      <c r="E43" s="3" t="s">
        <v>115</v>
      </c>
      <c r="F43" s="3" t="s">
        <v>167</v>
      </c>
      <c r="G43" s="3" t="s">
        <v>98</v>
      </c>
    </row>
    <row r="44" customFormat="false" ht="25.5" hidden="false" customHeight="true" outlineLevel="0" collapsed="false">
      <c r="A44" s="3" t="s">
        <v>186</v>
      </c>
      <c r="B44" s="3" t="s">
        <v>187</v>
      </c>
      <c r="C44" s="3" t="s">
        <v>188</v>
      </c>
      <c r="D44" s="3" t="n">
        <v>5</v>
      </c>
      <c r="E44" s="3" t="s">
        <v>96</v>
      </c>
      <c r="F44" s="3" t="s">
        <v>189</v>
      </c>
      <c r="G44" s="3" t="s">
        <v>98</v>
      </c>
    </row>
    <row r="45" customFormat="false" ht="25.5" hidden="false" customHeight="true" outlineLevel="0" collapsed="false">
      <c r="A45" s="3" t="s">
        <v>190</v>
      </c>
      <c r="B45" s="3" t="s">
        <v>187</v>
      </c>
      <c r="C45" s="3" t="s">
        <v>191</v>
      </c>
      <c r="D45" s="3" t="n">
        <v>8</v>
      </c>
      <c r="E45" s="3" t="s">
        <v>96</v>
      </c>
      <c r="F45" s="3" t="s">
        <v>189</v>
      </c>
      <c r="G45" s="3" t="s">
        <v>98</v>
      </c>
    </row>
    <row r="46" customFormat="false" ht="25.5" hidden="false" customHeight="true" outlineLevel="0" collapsed="false">
      <c r="A46" s="3" t="s">
        <v>192</v>
      </c>
      <c r="B46" s="3" t="s">
        <v>187</v>
      </c>
      <c r="C46" s="3" t="s">
        <v>193</v>
      </c>
      <c r="D46" s="3" t="n">
        <v>5</v>
      </c>
      <c r="E46" s="3" t="s">
        <v>103</v>
      </c>
      <c r="F46" s="3" t="s">
        <v>189</v>
      </c>
      <c r="G46" s="3" t="s">
        <v>98</v>
      </c>
    </row>
    <row r="47" customFormat="false" ht="25.5" hidden="false" customHeight="true" outlineLevel="0" collapsed="false">
      <c r="A47" s="3" t="s">
        <v>194</v>
      </c>
      <c r="B47" s="3" t="s">
        <v>187</v>
      </c>
      <c r="C47" s="3" t="s">
        <v>195</v>
      </c>
      <c r="D47" s="3" t="n">
        <v>3</v>
      </c>
      <c r="E47" s="3" t="s">
        <v>96</v>
      </c>
      <c r="F47" s="3" t="s">
        <v>189</v>
      </c>
      <c r="G47" s="3" t="s">
        <v>98</v>
      </c>
    </row>
    <row r="48" customFormat="false" ht="25.5" hidden="false" customHeight="true" outlineLevel="0" collapsed="false">
      <c r="A48" s="3" t="s">
        <v>196</v>
      </c>
      <c r="B48" s="3" t="s">
        <v>187</v>
      </c>
      <c r="C48" s="3" t="s">
        <v>197</v>
      </c>
      <c r="D48" s="3" t="n">
        <v>5</v>
      </c>
      <c r="E48" s="3" t="s">
        <v>96</v>
      </c>
      <c r="F48" s="3" t="s">
        <v>189</v>
      </c>
      <c r="G48" s="3" t="s">
        <v>98</v>
      </c>
    </row>
    <row r="49" customFormat="false" ht="25.5" hidden="false" customHeight="true" outlineLevel="0" collapsed="false">
      <c r="A49" s="3" t="s">
        <v>198</v>
      </c>
      <c r="B49" s="3" t="s">
        <v>187</v>
      </c>
      <c r="C49" s="3" t="s">
        <v>199</v>
      </c>
      <c r="D49" s="3" t="n">
        <v>3</v>
      </c>
      <c r="E49" s="3" t="s">
        <v>103</v>
      </c>
      <c r="F49" s="3" t="s">
        <v>189</v>
      </c>
      <c r="G49" s="3" t="s">
        <v>98</v>
      </c>
    </row>
    <row r="50" customFormat="false" ht="25.5" hidden="false" customHeight="true" outlineLevel="0" collapsed="false">
      <c r="A50" s="3" t="s">
        <v>200</v>
      </c>
      <c r="B50" s="3" t="s">
        <v>187</v>
      </c>
      <c r="C50" s="3" t="s">
        <v>201</v>
      </c>
      <c r="D50" s="3" t="n">
        <v>3</v>
      </c>
      <c r="E50" s="3" t="s">
        <v>103</v>
      </c>
      <c r="F50" s="3" t="s">
        <v>189</v>
      </c>
      <c r="G50" s="3" t="s">
        <v>98</v>
      </c>
    </row>
    <row r="51" customFormat="false" ht="25.5" hidden="false" customHeight="true" outlineLevel="0" collapsed="false">
      <c r="A51" s="3" t="s">
        <v>202</v>
      </c>
      <c r="B51" s="3" t="s">
        <v>187</v>
      </c>
      <c r="C51" s="3" t="s">
        <v>203</v>
      </c>
      <c r="D51" s="3" t="n">
        <v>2</v>
      </c>
      <c r="E51" s="3" t="s">
        <v>115</v>
      </c>
      <c r="F51" s="3" t="s">
        <v>189</v>
      </c>
      <c r="G51" s="3" t="s">
        <v>98</v>
      </c>
    </row>
    <row r="52" customFormat="false" ht="25.5" hidden="false" customHeight="true" outlineLevel="0" collapsed="false">
      <c r="A52" s="3" t="s">
        <v>204</v>
      </c>
      <c r="B52" s="3" t="s">
        <v>187</v>
      </c>
      <c r="C52" s="3" t="s">
        <v>205</v>
      </c>
      <c r="D52" s="3" t="n">
        <v>5</v>
      </c>
      <c r="E52" s="3" t="s">
        <v>103</v>
      </c>
      <c r="F52" s="3" t="s">
        <v>189</v>
      </c>
      <c r="G52" s="3" t="s">
        <v>98</v>
      </c>
    </row>
    <row r="53" customFormat="false" ht="25.5" hidden="false" customHeight="true" outlineLevel="0" collapsed="false">
      <c r="A53" s="3" t="s">
        <v>206</v>
      </c>
      <c r="B53" s="3" t="s">
        <v>187</v>
      </c>
      <c r="C53" s="3" t="s">
        <v>207</v>
      </c>
      <c r="D53" s="3" t="n">
        <v>3</v>
      </c>
      <c r="E53" s="3" t="s">
        <v>115</v>
      </c>
      <c r="F53" s="3" t="s">
        <v>189</v>
      </c>
      <c r="G53" s="3" t="s">
        <v>98</v>
      </c>
    </row>
    <row r="54" customFormat="false" ht="25.5" hidden="false" customHeight="true" outlineLevel="0" collapsed="false">
      <c r="A54" s="3" t="s">
        <v>208</v>
      </c>
      <c r="B54" s="3" t="s">
        <v>209</v>
      </c>
      <c r="C54" s="3" t="s">
        <v>210</v>
      </c>
      <c r="D54" s="3" t="n">
        <v>5</v>
      </c>
      <c r="E54" s="3" t="s">
        <v>96</v>
      </c>
      <c r="F54" s="3" t="s">
        <v>211</v>
      </c>
      <c r="G54" s="3" t="s">
        <v>98</v>
      </c>
    </row>
    <row r="55" customFormat="false" ht="25.5" hidden="false" customHeight="true" outlineLevel="0" collapsed="false">
      <c r="A55" s="3" t="s">
        <v>212</v>
      </c>
      <c r="B55" s="3" t="s">
        <v>209</v>
      </c>
      <c r="C55" s="3" t="s">
        <v>213</v>
      </c>
      <c r="D55" s="3" t="n">
        <v>3</v>
      </c>
      <c r="E55" s="3" t="s">
        <v>96</v>
      </c>
      <c r="F55" s="3" t="s">
        <v>211</v>
      </c>
      <c r="G55" s="3" t="s">
        <v>98</v>
      </c>
    </row>
    <row r="56" customFormat="false" ht="25.5" hidden="false" customHeight="true" outlineLevel="0" collapsed="false">
      <c r="A56" s="3" t="s">
        <v>214</v>
      </c>
      <c r="B56" s="3" t="s">
        <v>209</v>
      </c>
      <c r="C56" s="3" t="s">
        <v>215</v>
      </c>
      <c r="D56" s="3" t="n">
        <v>3</v>
      </c>
      <c r="E56" s="3" t="s">
        <v>103</v>
      </c>
      <c r="F56" s="3" t="s">
        <v>97</v>
      </c>
      <c r="G56" s="3" t="s">
        <v>98</v>
      </c>
    </row>
    <row r="57" customFormat="false" ht="25.5" hidden="false" customHeight="true" outlineLevel="0" collapsed="false">
      <c r="A57" s="3" t="s">
        <v>216</v>
      </c>
      <c r="B57" s="3" t="s">
        <v>209</v>
      </c>
      <c r="C57" s="3" t="s">
        <v>217</v>
      </c>
      <c r="D57" s="3" t="n">
        <v>5</v>
      </c>
      <c r="E57" s="3" t="s">
        <v>96</v>
      </c>
      <c r="F57" s="3" t="s">
        <v>97</v>
      </c>
      <c r="G57" s="3" t="s">
        <v>98</v>
      </c>
    </row>
    <row r="58" customFormat="false" ht="25.5" hidden="false" customHeight="true" outlineLevel="0" collapsed="false">
      <c r="A58" s="3" t="s">
        <v>218</v>
      </c>
      <c r="B58" s="3" t="s">
        <v>209</v>
      </c>
      <c r="C58" s="3" t="s">
        <v>219</v>
      </c>
      <c r="D58" s="3" t="n">
        <v>3</v>
      </c>
      <c r="E58" s="3" t="s">
        <v>96</v>
      </c>
      <c r="F58" s="3" t="s">
        <v>211</v>
      </c>
      <c r="G58" s="3" t="s">
        <v>98</v>
      </c>
    </row>
    <row r="59" customFormat="false" ht="25.5" hidden="false" customHeight="true" outlineLevel="0" collapsed="false">
      <c r="A59" s="3" t="s">
        <v>220</v>
      </c>
      <c r="B59" s="3" t="s">
        <v>209</v>
      </c>
      <c r="C59" s="3" t="s">
        <v>221</v>
      </c>
      <c r="D59" s="3" t="n">
        <v>2</v>
      </c>
      <c r="E59" s="3" t="s">
        <v>103</v>
      </c>
      <c r="F59" s="3" t="s">
        <v>211</v>
      </c>
      <c r="G59" s="3" t="s">
        <v>98</v>
      </c>
    </row>
    <row r="60" customFormat="false" ht="25.5" hidden="false" customHeight="true" outlineLevel="0" collapsed="false">
      <c r="A60" s="3" t="s">
        <v>222</v>
      </c>
      <c r="B60" s="3" t="s">
        <v>223</v>
      </c>
      <c r="C60" s="3" t="s">
        <v>224</v>
      </c>
      <c r="D60" s="3" t="n">
        <v>5</v>
      </c>
      <c r="E60" s="3" t="s">
        <v>96</v>
      </c>
      <c r="F60" s="3" t="s">
        <v>167</v>
      </c>
      <c r="G60" s="3" t="s">
        <v>98</v>
      </c>
    </row>
    <row r="61" customFormat="false" ht="25.5" hidden="false" customHeight="true" outlineLevel="0" collapsed="false">
      <c r="A61" s="3" t="s">
        <v>225</v>
      </c>
      <c r="B61" s="3" t="s">
        <v>223</v>
      </c>
      <c r="C61" s="3" t="s">
        <v>226</v>
      </c>
      <c r="D61" s="3" t="n">
        <v>5</v>
      </c>
      <c r="E61" s="3" t="s">
        <v>96</v>
      </c>
      <c r="F61" s="3" t="s">
        <v>167</v>
      </c>
      <c r="G61" s="3" t="s">
        <v>98</v>
      </c>
    </row>
    <row r="62" customFormat="false" ht="25.5" hidden="false" customHeight="true" outlineLevel="0" collapsed="false">
      <c r="A62" s="3" t="s">
        <v>227</v>
      </c>
      <c r="B62" s="3" t="s">
        <v>223</v>
      </c>
      <c r="C62" s="3" t="s">
        <v>228</v>
      </c>
      <c r="D62" s="3" t="n">
        <v>8</v>
      </c>
      <c r="E62" s="3" t="s">
        <v>96</v>
      </c>
      <c r="F62" s="3" t="s">
        <v>167</v>
      </c>
      <c r="G62" s="3" t="s">
        <v>98</v>
      </c>
    </row>
    <row r="63" customFormat="false" ht="25.5" hidden="false" customHeight="true" outlineLevel="0" collapsed="false">
      <c r="A63" s="3" t="s">
        <v>229</v>
      </c>
      <c r="B63" s="3" t="s">
        <v>223</v>
      </c>
      <c r="C63" s="3" t="s">
        <v>230</v>
      </c>
      <c r="D63" s="3" t="n">
        <v>3</v>
      </c>
      <c r="E63" s="3" t="s">
        <v>103</v>
      </c>
      <c r="F63" s="3" t="s">
        <v>231</v>
      </c>
      <c r="G63" s="3" t="s">
        <v>98</v>
      </c>
    </row>
    <row r="64" customFormat="false" ht="25.5" hidden="false" customHeight="true" outlineLevel="0" collapsed="false">
      <c r="A64" s="3" t="s">
        <v>232</v>
      </c>
      <c r="B64" s="3" t="s">
        <v>223</v>
      </c>
      <c r="C64" s="3" t="s">
        <v>233</v>
      </c>
      <c r="D64" s="3" t="n">
        <v>3</v>
      </c>
      <c r="E64" s="3" t="s">
        <v>103</v>
      </c>
      <c r="F64" s="3" t="s">
        <v>231</v>
      </c>
      <c r="G64" s="3" t="s">
        <v>98</v>
      </c>
    </row>
    <row r="65" customFormat="false" ht="25.5" hidden="false" customHeight="true" outlineLevel="0" collapsed="false">
      <c r="A65" s="3" t="s">
        <v>234</v>
      </c>
      <c r="B65" s="3" t="s">
        <v>223</v>
      </c>
      <c r="C65" s="3" t="s">
        <v>235</v>
      </c>
      <c r="D65" s="3" t="n">
        <v>3</v>
      </c>
      <c r="E65" s="3" t="s">
        <v>115</v>
      </c>
      <c r="F65" s="3" t="s">
        <v>231</v>
      </c>
      <c r="G65" s="3" t="s">
        <v>98</v>
      </c>
    </row>
    <row r="66" customFormat="false" ht="25.5" hidden="false" customHeight="true" outlineLevel="0" collapsed="false">
      <c r="A66" s="3" t="s">
        <v>236</v>
      </c>
      <c r="B66" s="3" t="s">
        <v>223</v>
      </c>
      <c r="C66" s="3" t="s">
        <v>237</v>
      </c>
      <c r="D66" s="3" t="n">
        <v>3</v>
      </c>
      <c r="E66" s="3" t="s">
        <v>103</v>
      </c>
      <c r="F66" s="3" t="s">
        <v>231</v>
      </c>
      <c r="G66" s="3" t="s">
        <v>98</v>
      </c>
    </row>
    <row r="67" customFormat="false" ht="25.5" hidden="false" customHeight="true" outlineLevel="0" collapsed="false">
      <c r="A67" s="3" t="s">
        <v>238</v>
      </c>
      <c r="B67" s="3" t="s">
        <v>239</v>
      </c>
      <c r="C67" s="3" t="s">
        <v>240</v>
      </c>
      <c r="D67" s="3" t="n">
        <v>3</v>
      </c>
      <c r="E67" s="3" t="s">
        <v>96</v>
      </c>
      <c r="F67" s="3" t="s">
        <v>231</v>
      </c>
      <c r="G67" s="3" t="s">
        <v>98</v>
      </c>
    </row>
    <row r="68" customFormat="false" ht="25.5" hidden="false" customHeight="true" outlineLevel="0" collapsed="false">
      <c r="A68" s="3" t="s">
        <v>241</v>
      </c>
      <c r="B68" s="3" t="s">
        <v>239</v>
      </c>
      <c r="C68" s="3" t="s">
        <v>242</v>
      </c>
      <c r="D68" s="3" t="n">
        <v>3</v>
      </c>
      <c r="E68" s="3" t="s">
        <v>96</v>
      </c>
      <c r="F68" s="3" t="s">
        <v>189</v>
      </c>
      <c r="G68" s="3" t="s">
        <v>98</v>
      </c>
    </row>
    <row r="69" customFormat="false" ht="25.5" hidden="false" customHeight="true" outlineLevel="0" collapsed="false">
      <c r="A69" s="3" t="s">
        <v>243</v>
      </c>
      <c r="B69" s="3" t="s">
        <v>239</v>
      </c>
      <c r="C69" s="3" t="s">
        <v>244</v>
      </c>
      <c r="D69" s="3" t="n">
        <v>5</v>
      </c>
      <c r="E69" s="3" t="s">
        <v>96</v>
      </c>
      <c r="F69" s="3" t="s">
        <v>189</v>
      </c>
      <c r="G69" s="3" t="s">
        <v>98</v>
      </c>
    </row>
    <row r="70" customFormat="false" ht="25.5" hidden="false" customHeight="true" outlineLevel="0" collapsed="false">
      <c r="A70" s="3" t="s">
        <v>245</v>
      </c>
      <c r="B70" s="3" t="s">
        <v>239</v>
      </c>
      <c r="C70" s="3" t="s">
        <v>246</v>
      </c>
      <c r="D70" s="3" t="n">
        <v>5</v>
      </c>
      <c r="E70" s="3" t="s">
        <v>103</v>
      </c>
      <c r="F70" s="3" t="s">
        <v>189</v>
      </c>
      <c r="G70" s="3" t="s">
        <v>98</v>
      </c>
    </row>
    <row r="71" customFormat="false" ht="25.5" hidden="false" customHeight="true" outlineLevel="0" collapsed="false">
      <c r="A71" s="3" t="s">
        <v>247</v>
      </c>
      <c r="B71" s="3" t="s">
        <v>239</v>
      </c>
      <c r="C71" s="3" t="s">
        <v>248</v>
      </c>
      <c r="D71" s="3" t="n">
        <v>8</v>
      </c>
      <c r="E71" s="3" t="s">
        <v>96</v>
      </c>
      <c r="F71" s="3" t="s">
        <v>249</v>
      </c>
      <c r="G71" s="3" t="s">
        <v>98</v>
      </c>
    </row>
    <row r="72" customFormat="false" ht="25.5" hidden="false" customHeight="true" outlineLevel="0" collapsed="false">
      <c r="A72" s="3" t="s">
        <v>250</v>
      </c>
      <c r="B72" s="3" t="s">
        <v>239</v>
      </c>
      <c r="C72" s="3" t="s">
        <v>251</v>
      </c>
      <c r="D72" s="3" t="n">
        <v>5</v>
      </c>
      <c r="E72" s="3" t="s">
        <v>96</v>
      </c>
      <c r="F72" s="3" t="s">
        <v>249</v>
      </c>
      <c r="G72" s="3" t="s">
        <v>98</v>
      </c>
    </row>
    <row r="73" customFormat="false" ht="25.5" hidden="false" customHeight="true" outlineLevel="0" collapsed="false">
      <c r="A73" s="3" t="s">
        <v>252</v>
      </c>
      <c r="B73" s="3" t="s">
        <v>239</v>
      </c>
      <c r="C73" s="3" t="s">
        <v>253</v>
      </c>
      <c r="D73" s="3" t="n">
        <v>5</v>
      </c>
      <c r="E73" s="3" t="s">
        <v>96</v>
      </c>
      <c r="F73" s="3" t="s">
        <v>189</v>
      </c>
      <c r="G73" s="3" t="s">
        <v>98</v>
      </c>
    </row>
    <row r="74" customFormat="false" ht="25.5" hidden="false" customHeight="true" outlineLevel="0" collapsed="false">
      <c r="A74" s="3" t="s">
        <v>254</v>
      </c>
      <c r="B74" s="3" t="s">
        <v>255</v>
      </c>
      <c r="C74" s="3" t="s">
        <v>256</v>
      </c>
      <c r="D74" s="3" t="n">
        <v>5</v>
      </c>
      <c r="E74" s="3" t="s">
        <v>96</v>
      </c>
      <c r="F74" s="3" t="s">
        <v>131</v>
      </c>
      <c r="G74" s="3" t="s">
        <v>98</v>
      </c>
    </row>
    <row r="75" customFormat="false" ht="25.5" hidden="false" customHeight="true" outlineLevel="0" collapsed="false">
      <c r="A75" s="3" t="s">
        <v>257</v>
      </c>
      <c r="B75" s="3" t="s">
        <v>255</v>
      </c>
      <c r="C75" s="3" t="s">
        <v>258</v>
      </c>
      <c r="D75" s="3" t="n">
        <v>3</v>
      </c>
      <c r="E75" s="3" t="s">
        <v>96</v>
      </c>
      <c r="F75" s="3" t="s">
        <v>131</v>
      </c>
      <c r="G75" s="3" t="s">
        <v>98</v>
      </c>
    </row>
    <row r="76" customFormat="false" ht="25.5" hidden="false" customHeight="true" outlineLevel="0" collapsed="false">
      <c r="A76" s="3" t="s">
        <v>259</v>
      </c>
      <c r="B76" s="3" t="s">
        <v>255</v>
      </c>
      <c r="C76" s="3" t="s">
        <v>260</v>
      </c>
      <c r="D76" s="3" t="n">
        <v>3</v>
      </c>
      <c r="E76" s="3" t="s">
        <v>115</v>
      </c>
      <c r="F76" s="3" t="s">
        <v>189</v>
      </c>
      <c r="G76" s="3" t="s">
        <v>98</v>
      </c>
    </row>
    <row r="77" customFormat="false" ht="25.5" hidden="false" customHeight="true" outlineLevel="0" collapsed="false">
      <c r="A77" s="3" t="s">
        <v>261</v>
      </c>
      <c r="B77" s="3" t="s">
        <v>255</v>
      </c>
      <c r="C77" s="3" t="s">
        <v>262</v>
      </c>
      <c r="D77" s="3" t="n">
        <v>2</v>
      </c>
      <c r="E77" s="3" t="s">
        <v>115</v>
      </c>
      <c r="F77" s="3" t="s">
        <v>189</v>
      </c>
      <c r="G77" s="3" t="s">
        <v>98</v>
      </c>
    </row>
    <row r="78" customFormat="false" ht="25.5" hidden="false" customHeight="true" outlineLevel="0" collapsed="false">
      <c r="A78" s="3" t="s">
        <v>263</v>
      </c>
      <c r="B78" s="3" t="s">
        <v>255</v>
      </c>
      <c r="C78" s="3" t="s">
        <v>264</v>
      </c>
      <c r="D78" s="3" t="n">
        <v>5</v>
      </c>
      <c r="E78" s="3" t="s">
        <v>103</v>
      </c>
      <c r="F78" s="3" t="s">
        <v>189</v>
      </c>
      <c r="G78" s="3" t="s">
        <v>98</v>
      </c>
    </row>
    <row r="79" customFormat="false" ht="25.5" hidden="false" customHeight="true" outlineLevel="0" collapsed="false">
      <c r="A79" s="3" t="s">
        <v>265</v>
      </c>
      <c r="B79" s="3" t="s">
        <v>255</v>
      </c>
      <c r="C79" s="3" t="s">
        <v>266</v>
      </c>
      <c r="D79" s="3" t="n">
        <v>3</v>
      </c>
      <c r="E79" s="3" t="s">
        <v>115</v>
      </c>
      <c r="F79" s="3" t="s">
        <v>189</v>
      </c>
      <c r="G79" s="3" t="s">
        <v>98</v>
      </c>
    </row>
    <row r="80" customFormat="false" ht="25.5" hidden="false" customHeight="true" outlineLevel="0" collapsed="false">
      <c r="A80" s="3" t="s">
        <v>267</v>
      </c>
      <c r="B80" s="3" t="s">
        <v>255</v>
      </c>
      <c r="C80" s="3" t="s">
        <v>268</v>
      </c>
      <c r="D80" s="3" t="n">
        <v>3</v>
      </c>
      <c r="E80" s="3" t="s">
        <v>115</v>
      </c>
      <c r="F80" s="3" t="s">
        <v>189</v>
      </c>
      <c r="G80" s="3" t="s">
        <v>98</v>
      </c>
    </row>
    <row r="81" customFormat="false" ht="25.5" hidden="false" customHeight="true" outlineLevel="0" collapsed="false">
      <c r="A81" s="3" t="s">
        <v>269</v>
      </c>
      <c r="B81" s="3" t="s">
        <v>270</v>
      </c>
      <c r="C81" s="3" t="s">
        <v>271</v>
      </c>
      <c r="D81" s="3" t="n">
        <v>5</v>
      </c>
      <c r="E81" s="3" t="s">
        <v>96</v>
      </c>
      <c r="F81" s="3" t="s">
        <v>145</v>
      </c>
      <c r="G81" s="3" t="s">
        <v>98</v>
      </c>
    </row>
    <row r="82" customFormat="false" ht="25.5" hidden="false" customHeight="true" outlineLevel="0" collapsed="false">
      <c r="A82" s="3" t="s">
        <v>272</v>
      </c>
      <c r="B82" s="3" t="s">
        <v>270</v>
      </c>
      <c r="C82" s="3" t="s">
        <v>273</v>
      </c>
      <c r="D82" s="3" t="n">
        <v>3</v>
      </c>
      <c r="E82" s="3" t="s">
        <v>103</v>
      </c>
      <c r="F82" s="3" t="s">
        <v>145</v>
      </c>
      <c r="G82" s="3" t="s">
        <v>98</v>
      </c>
    </row>
    <row r="83" customFormat="false" ht="25.5" hidden="false" customHeight="true" outlineLevel="0" collapsed="false">
      <c r="A83" s="3" t="s">
        <v>274</v>
      </c>
      <c r="B83" s="3" t="s">
        <v>270</v>
      </c>
      <c r="C83" s="3" t="s">
        <v>275</v>
      </c>
      <c r="D83" s="3" t="n">
        <v>5</v>
      </c>
      <c r="E83" s="3" t="s">
        <v>103</v>
      </c>
      <c r="F83" s="3" t="s">
        <v>276</v>
      </c>
      <c r="G83" s="3" t="s">
        <v>98</v>
      </c>
    </row>
    <row r="84" customFormat="false" ht="25.5" hidden="false" customHeight="true" outlineLevel="0" collapsed="false">
      <c r="A84" s="3" t="s">
        <v>277</v>
      </c>
      <c r="B84" s="3" t="s">
        <v>270</v>
      </c>
      <c r="C84" s="3" t="s">
        <v>278</v>
      </c>
      <c r="D84" s="3" t="n">
        <v>3</v>
      </c>
      <c r="E84" s="3" t="s">
        <v>96</v>
      </c>
      <c r="F84" s="3" t="s">
        <v>276</v>
      </c>
      <c r="G84" s="3" t="s">
        <v>98</v>
      </c>
    </row>
    <row r="85" customFormat="false" ht="25.5" hidden="false" customHeight="true" outlineLevel="0" collapsed="false">
      <c r="A85" s="3" t="s">
        <v>279</v>
      </c>
      <c r="B85" s="3" t="s">
        <v>270</v>
      </c>
      <c r="C85" s="3" t="s">
        <v>280</v>
      </c>
      <c r="D85" s="3" t="n">
        <v>3</v>
      </c>
      <c r="E85" s="3" t="s">
        <v>103</v>
      </c>
      <c r="F85" s="3" t="s">
        <v>281</v>
      </c>
      <c r="G85" s="3" t="s">
        <v>98</v>
      </c>
    </row>
    <row r="86" customFormat="false" ht="25.5" hidden="false" customHeight="true" outlineLevel="0" collapsed="false">
      <c r="A86" s="3" t="s">
        <v>282</v>
      </c>
      <c r="B86" s="3" t="s">
        <v>270</v>
      </c>
      <c r="C86" s="3" t="s">
        <v>283</v>
      </c>
      <c r="D86" s="3" t="n">
        <v>5</v>
      </c>
      <c r="E86" s="3" t="s">
        <v>103</v>
      </c>
      <c r="F86" s="3" t="s">
        <v>276</v>
      </c>
      <c r="G86" s="3" t="s">
        <v>98</v>
      </c>
    </row>
    <row r="87" customFormat="false" ht="25.5" hidden="false" customHeight="true" outlineLevel="0" collapsed="false">
      <c r="A87" s="3" t="s">
        <v>284</v>
      </c>
      <c r="B87" s="3" t="s">
        <v>270</v>
      </c>
      <c r="C87" s="3" t="s">
        <v>285</v>
      </c>
      <c r="D87" s="3" t="n">
        <v>2</v>
      </c>
      <c r="E87" s="3" t="s">
        <v>115</v>
      </c>
      <c r="F87" s="3" t="s">
        <v>276</v>
      </c>
      <c r="G87" s="3" t="s">
        <v>98</v>
      </c>
    </row>
    <row r="88" customFormat="false" ht="25.5" hidden="false" customHeight="true" outlineLevel="0" collapsed="false">
      <c r="A88" s="3" t="s">
        <v>286</v>
      </c>
      <c r="B88" s="3" t="s">
        <v>287</v>
      </c>
      <c r="C88" s="3" t="s">
        <v>288</v>
      </c>
      <c r="D88" s="3" t="n">
        <v>5</v>
      </c>
      <c r="E88" s="3" t="s">
        <v>96</v>
      </c>
      <c r="F88" s="3" t="s">
        <v>108</v>
      </c>
      <c r="G88" s="3" t="s">
        <v>98</v>
      </c>
    </row>
    <row r="89" customFormat="false" ht="25.5" hidden="false" customHeight="true" outlineLevel="0" collapsed="false">
      <c r="A89" s="3" t="s">
        <v>289</v>
      </c>
      <c r="B89" s="3" t="s">
        <v>287</v>
      </c>
      <c r="C89" s="3" t="s">
        <v>290</v>
      </c>
      <c r="D89" s="3" t="n">
        <v>5</v>
      </c>
      <c r="E89" s="3" t="s">
        <v>96</v>
      </c>
      <c r="F89" s="3" t="s">
        <v>131</v>
      </c>
      <c r="G89" s="3" t="s">
        <v>98</v>
      </c>
    </row>
    <row r="90" customFormat="false" ht="25.5" hidden="false" customHeight="true" outlineLevel="0" collapsed="false">
      <c r="A90" s="3" t="s">
        <v>291</v>
      </c>
      <c r="B90" s="3" t="s">
        <v>287</v>
      </c>
      <c r="C90" s="3" t="s">
        <v>292</v>
      </c>
      <c r="D90" s="3" t="n">
        <v>3</v>
      </c>
      <c r="E90" s="3" t="s">
        <v>96</v>
      </c>
      <c r="F90" s="3" t="s">
        <v>189</v>
      </c>
      <c r="G90" s="3" t="s">
        <v>98</v>
      </c>
    </row>
    <row r="91" customFormat="false" ht="25.5" hidden="false" customHeight="true" outlineLevel="0" collapsed="false">
      <c r="A91" s="3" t="s">
        <v>293</v>
      </c>
      <c r="B91" s="3" t="s">
        <v>287</v>
      </c>
      <c r="C91" s="3" t="s">
        <v>294</v>
      </c>
      <c r="D91" s="3" t="n">
        <v>5</v>
      </c>
      <c r="E91" s="3" t="s">
        <v>103</v>
      </c>
      <c r="F91" s="3" t="s">
        <v>189</v>
      </c>
      <c r="G91" s="3" t="s">
        <v>98</v>
      </c>
    </row>
    <row r="92" customFormat="false" ht="25.5" hidden="false" customHeight="true" outlineLevel="0" collapsed="false">
      <c r="A92" s="3" t="s">
        <v>295</v>
      </c>
      <c r="B92" s="3" t="s">
        <v>287</v>
      </c>
      <c r="C92" s="3" t="s">
        <v>296</v>
      </c>
      <c r="D92" s="3" t="n">
        <v>3</v>
      </c>
      <c r="E92" s="3" t="s">
        <v>103</v>
      </c>
      <c r="F92" s="3" t="s">
        <v>249</v>
      </c>
      <c r="G92" s="3" t="s">
        <v>98</v>
      </c>
    </row>
    <row r="93" customFormat="false" ht="25.5" hidden="false" customHeight="true" outlineLevel="0" collapsed="false">
      <c r="A93" s="3" t="s">
        <v>297</v>
      </c>
      <c r="B93" s="3" t="s">
        <v>287</v>
      </c>
      <c r="C93" s="3" t="s">
        <v>298</v>
      </c>
      <c r="D93" s="3" t="n">
        <v>3</v>
      </c>
      <c r="E93" s="3" t="s">
        <v>103</v>
      </c>
      <c r="F93" s="3" t="s">
        <v>249</v>
      </c>
      <c r="G93" s="3" t="s">
        <v>98</v>
      </c>
    </row>
    <row r="94" customFormat="false" ht="25.5" hidden="false" customHeight="true" outlineLevel="0" collapsed="false">
      <c r="A94" s="3" t="s">
        <v>299</v>
      </c>
      <c r="B94" s="3" t="s">
        <v>287</v>
      </c>
      <c r="C94" s="3" t="s">
        <v>300</v>
      </c>
      <c r="D94" s="3" t="n">
        <v>3</v>
      </c>
      <c r="E94" s="3" t="s">
        <v>115</v>
      </c>
      <c r="F94" s="3" t="s">
        <v>249</v>
      </c>
      <c r="G94" s="3" t="s">
        <v>98</v>
      </c>
    </row>
    <row r="95" customFormat="false" ht="25.5" hidden="false" customHeight="true" outlineLevel="0" collapsed="false">
      <c r="A95" s="3" t="s">
        <v>301</v>
      </c>
      <c r="B95" s="3" t="s">
        <v>287</v>
      </c>
      <c r="C95" s="3" t="s">
        <v>302</v>
      </c>
      <c r="D95" s="3" t="n">
        <v>3</v>
      </c>
      <c r="E95" s="3" t="s">
        <v>115</v>
      </c>
      <c r="F95" s="3" t="s">
        <v>189</v>
      </c>
      <c r="G95" s="3" t="s">
        <v>98</v>
      </c>
    </row>
    <row r="96" customFormat="false" ht="25.5" hidden="false" customHeight="true" outlineLevel="0" collapsed="false">
      <c r="A96" s="3" t="s">
        <v>303</v>
      </c>
      <c r="B96" s="3" t="s">
        <v>304</v>
      </c>
      <c r="C96" s="3" t="s">
        <v>305</v>
      </c>
      <c r="D96" s="3" t="n">
        <v>3</v>
      </c>
      <c r="E96" s="3" t="s">
        <v>96</v>
      </c>
      <c r="F96" s="3" t="s">
        <v>249</v>
      </c>
      <c r="G96" s="3" t="s">
        <v>98</v>
      </c>
    </row>
    <row r="97" customFormat="false" ht="25.5" hidden="false" customHeight="true" outlineLevel="0" collapsed="false">
      <c r="A97" s="3" t="s">
        <v>306</v>
      </c>
      <c r="B97" s="3" t="s">
        <v>304</v>
      </c>
      <c r="C97" s="3" t="s">
        <v>307</v>
      </c>
      <c r="D97" s="3" t="n">
        <v>5</v>
      </c>
      <c r="E97" s="3" t="s">
        <v>96</v>
      </c>
      <c r="F97" s="3" t="s">
        <v>249</v>
      </c>
      <c r="G97" s="3" t="s">
        <v>98</v>
      </c>
    </row>
    <row r="98" customFormat="false" ht="25.5" hidden="false" customHeight="true" outlineLevel="0" collapsed="false">
      <c r="A98" s="3" t="s">
        <v>308</v>
      </c>
      <c r="B98" s="3" t="s">
        <v>304</v>
      </c>
      <c r="C98" s="3" t="s">
        <v>309</v>
      </c>
      <c r="D98" s="3" t="n">
        <v>3</v>
      </c>
      <c r="E98" s="3" t="s">
        <v>96</v>
      </c>
      <c r="F98" s="3" t="s">
        <v>276</v>
      </c>
      <c r="G98" s="3" t="s">
        <v>98</v>
      </c>
    </row>
    <row r="99" customFormat="false" ht="25.5" hidden="false" customHeight="true" outlineLevel="0" collapsed="false">
      <c r="A99" s="3" t="s">
        <v>310</v>
      </c>
      <c r="B99" s="3" t="s">
        <v>304</v>
      </c>
      <c r="C99" s="3" t="s">
        <v>311</v>
      </c>
      <c r="D99" s="3" t="n">
        <v>3</v>
      </c>
      <c r="E99" s="3" t="s">
        <v>96</v>
      </c>
      <c r="F99" s="3" t="s">
        <v>276</v>
      </c>
      <c r="G99" s="3" t="s">
        <v>98</v>
      </c>
    </row>
    <row r="100" customFormat="false" ht="25.5" hidden="false" customHeight="true" outlineLevel="0" collapsed="false">
      <c r="A100" s="3" t="s">
        <v>312</v>
      </c>
      <c r="B100" s="3" t="s">
        <v>304</v>
      </c>
      <c r="C100" s="3" t="s">
        <v>313</v>
      </c>
      <c r="D100" s="3" t="n">
        <v>3</v>
      </c>
      <c r="E100" s="3" t="s">
        <v>96</v>
      </c>
      <c r="F100" s="3" t="s">
        <v>276</v>
      </c>
      <c r="G100" s="3" t="s">
        <v>98</v>
      </c>
    </row>
    <row r="101" customFormat="false" ht="25.5" hidden="false" customHeight="true" outlineLevel="0" collapsed="false">
      <c r="A101" s="3" t="s">
        <v>314</v>
      </c>
      <c r="B101" s="3" t="s">
        <v>304</v>
      </c>
      <c r="C101" s="3" t="s">
        <v>315</v>
      </c>
      <c r="D101" s="3" t="n">
        <v>3</v>
      </c>
      <c r="E101" s="3" t="s">
        <v>103</v>
      </c>
      <c r="F101" s="3" t="s">
        <v>281</v>
      </c>
      <c r="G101" s="3" t="s">
        <v>98</v>
      </c>
    </row>
    <row r="102" customFormat="false" ht="25.5" hidden="false" customHeight="true" outlineLevel="0" collapsed="false">
      <c r="A102" s="3" t="s">
        <v>316</v>
      </c>
      <c r="B102" s="3" t="s">
        <v>304</v>
      </c>
      <c r="C102" s="3" t="s">
        <v>317</v>
      </c>
      <c r="D102" s="3" t="n">
        <v>2</v>
      </c>
      <c r="E102" s="3" t="s">
        <v>115</v>
      </c>
      <c r="F102" s="3" t="s">
        <v>318</v>
      </c>
      <c r="G102" s="3" t="s">
        <v>98</v>
      </c>
    </row>
    <row r="103" customFormat="false" ht="25.5" hidden="false" customHeight="true" outlineLevel="0" collapsed="false">
      <c r="A103" s="3" t="s">
        <v>319</v>
      </c>
      <c r="B103" s="3" t="s">
        <v>304</v>
      </c>
      <c r="C103" s="3" t="s">
        <v>320</v>
      </c>
      <c r="D103" s="3" t="n">
        <v>2</v>
      </c>
      <c r="E103" s="3" t="s">
        <v>103</v>
      </c>
      <c r="F103" s="3" t="s">
        <v>281</v>
      </c>
      <c r="G103" s="3" t="s">
        <v>98</v>
      </c>
    </row>
    <row r="105" customFormat="false" ht="30" hidden="false" customHeight="true" outlineLevel="0" collapsed="false">
      <c r="A105" s="6" t="s">
        <v>321</v>
      </c>
      <c r="B105" s="6"/>
      <c r="C105" s="6"/>
      <c r="D105" s="6"/>
      <c r="E105" s="6"/>
      <c r="F105" s="6"/>
      <c r="G105" s="6"/>
    </row>
  </sheetData>
  <mergeCells count="1">
    <mergeCell ref="A105:G10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4" min="3" style="0" width="9"/>
    <col collapsed="false" customWidth="true" hidden="false" outlineLevel="0" max="5" min="5" style="0" width="8"/>
    <col collapsed="false" customWidth="true" hidden="false" outlineLevel="0" max="6" min="6" style="0" width="52"/>
  </cols>
  <sheetData>
    <row r="1" customFormat="false" ht="17.35" hidden="false" customHeight="false" outlineLevel="0" collapsed="false">
      <c r="A1" s="1" t="s">
        <v>322</v>
      </c>
    </row>
    <row r="3" customFormat="false" ht="15" hidden="false" customHeight="false" outlineLevel="0" collapsed="false">
      <c r="A3" s="2" t="s">
        <v>92</v>
      </c>
      <c r="B3" s="2" t="s">
        <v>323</v>
      </c>
      <c r="C3" s="2" t="s">
        <v>324</v>
      </c>
      <c r="D3" s="2" t="s">
        <v>90</v>
      </c>
      <c r="E3" s="2" t="s">
        <v>325</v>
      </c>
      <c r="F3" s="2" t="s">
        <v>326</v>
      </c>
    </row>
    <row r="4" customFormat="false" ht="31.5" hidden="false" customHeight="true" outlineLevel="0" collapsed="false">
      <c r="A4" s="3" t="s">
        <v>327</v>
      </c>
      <c r="B4" s="3" t="s">
        <v>328</v>
      </c>
      <c r="C4" s="3" t="n">
        <f aca="false">COUNTIF(Full_Backlog!F4:F103,"S0")</f>
        <v>0</v>
      </c>
      <c r="D4" s="3" t="n">
        <f aca="false">SUMIF(Full_Backlog!F4:F103,"S0",Full_Backlog!D4:D103)</f>
        <v>0</v>
      </c>
      <c r="E4" s="3" t="n">
        <f aca="false">COUNTIFS(Full_Backlog!F4:F103,"S0",Full_Backlog!G4:G103,"Done")</f>
        <v>0</v>
      </c>
      <c r="F4" s="3" t="s">
        <v>329</v>
      </c>
    </row>
    <row r="5" customFormat="false" ht="31.5" hidden="false" customHeight="true" outlineLevel="0" collapsed="false">
      <c r="A5" s="3" t="s">
        <v>211</v>
      </c>
      <c r="B5" s="3" t="s">
        <v>330</v>
      </c>
      <c r="C5" s="3" t="n">
        <f aca="false">COUNTIF(Full_Backlog!F4:F103,"S1")</f>
        <v>4</v>
      </c>
      <c r="D5" s="3" t="n">
        <f aca="false">SUMIF(Full_Backlog!F4:F103,"S1",Full_Backlog!D4:D103)</f>
        <v>13</v>
      </c>
      <c r="E5" s="3" t="n">
        <f aca="false">COUNTIFS(Full_Backlog!F4:F103,"S1",Full_Backlog!G4:G103,"Done")</f>
        <v>0</v>
      </c>
      <c r="F5" s="3" t="s">
        <v>331</v>
      </c>
    </row>
    <row r="6" customFormat="false" ht="31.5" hidden="false" customHeight="true" outlineLevel="0" collapsed="false">
      <c r="A6" s="3" t="s">
        <v>97</v>
      </c>
      <c r="B6" s="3" t="s">
        <v>332</v>
      </c>
      <c r="C6" s="3" t="n">
        <f aca="false">COUNTIF(Full_Backlog!F4:F103,"S2")</f>
        <v>6</v>
      </c>
      <c r="D6" s="3" t="n">
        <f aca="false">SUMIF(Full_Backlog!F4:F103,"S2",Full_Backlog!D4:D103)</f>
        <v>29</v>
      </c>
      <c r="E6" s="3" t="n">
        <f aca="false">COUNTIFS(Full_Backlog!F4:F103,"S2",Full_Backlog!G4:G103,"Done")</f>
        <v>0</v>
      </c>
      <c r="F6" s="3" t="s">
        <v>333</v>
      </c>
    </row>
    <row r="7" customFormat="false" ht="31.5" hidden="false" customHeight="true" outlineLevel="0" collapsed="false">
      <c r="A7" s="3" t="s">
        <v>108</v>
      </c>
      <c r="B7" s="3" t="s">
        <v>334</v>
      </c>
      <c r="C7" s="3" t="n">
        <f aca="false">COUNTIF(Full_Backlog!F4:F103,"S3")</f>
        <v>11</v>
      </c>
      <c r="D7" s="3" t="n">
        <f aca="false">SUMIF(Full_Backlog!F4:F103,"S3",Full_Backlog!D4:D103)</f>
        <v>47</v>
      </c>
      <c r="E7" s="3" t="n">
        <f aca="false">COUNTIFS(Full_Backlog!F4:F103,"S3",Full_Backlog!G4:G103,"Done")</f>
        <v>0</v>
      </c>
      <c r="F7" s="3" t="s">
        <v>335</v>
      </c>
    </row>
    <row r="8" customFormat="false" ht="31.5" hidden="false" customHeight="true" outlineLevel="0" collapsed="false">
      <c r="A8" s="3" t="s">
        <v>131</v>
      </c>
      <c r="B8" s="3" t="s">
        <v>336</v>
      </c>
      <c r="C8" s="3" t="n">
        <f aca="false">COUNTIF(Full_Backlog!F4:F103,"S4")</f>
        <v>9</v>
      </c>
      <c r="D8" s="3" t="n">
        <f aca="false">SUMIF(Full_Backlog!F4:F103,"S4",Full_Backlog!D4:D103)</f>
        <v>34</v>
      </c>
      <c r="E8" s="3" t="n">
        <f aca="false">COUNTIFS(Full_Backlog!F4:F103,"S4",Full_Backlog!G4:G103,"Done")</f>
        <v>0</v>
      </c>
      <c r="F8" s="3" t="s">
        <v>337</v>
      </c>
    </row>
    <row r="9" customFormat="false" ht="31.5" hidden="false" customHeight="true" outlineLevel="0" collapsed="false">
      <c r="A9" s="3" t="s">
        <v>145</v>
      </c>
      <c r="B9" s="3" t="s">
        <v>338</v>
      </c>
      <c r="C9" s="3" t="n">
        <f aca="false">COUNTIF(Full_Backlog!F4:F103,"S5")</f>
        <v>12</v>
      </c>
      <c r="D9" s="3" t="n">
        <f aca="false">SUMIF(Full_Backlog!F4:F103,"S5",Full_Backlog!D4:D103)</f>
        <v>50</v>
      </c>
      <c r="E9" s="3" t="n">
        <f aca="false">COUNTIFS(Full_Backlog!F4:F103,"S5",Full_Backlog!G4:G103,"Done")</f>
        <v>0</v>
      </c>
      <c r="F9" s="3" t="s">
        <v>339</v>
      </c>
    </row>
    <row r="10" customFormat="false" ht="31.5" hidden="false" customHeight="true" outlineLevel="0" collapsed="false">
      <c r="A10" s="3" t="s">
        <v>167</v>
      </c>
      <c r="B10" s="3" t="s">
        <v>340</v>
      </c>
      <c r="C10" s="3" t="n">
        <f aca="false">COUNTIF(Full_Backlog!F4:F103,"S6")</f>
        <v>13</v>
      </c>
      <c r="D10" s="3" t="n">
        <f aca="false">SUMIF(Full_Backlog!F4:F103,"S6",Full_Backlog!D4:D103)</f>
        <v>60</v>
      </c>
      <c r="E10" s="3" t="n">
        <f aca="false">COUNTIFS(Full_Backlog!F4:F103,"S6",Full_Backlog!G4:G103,"Done")</f>
        <v>0</v>
      </c>
      <c r="F10" s="3" t="s">
        <v>341</v>
      </c>
    </row>
    <row r="11" customFormat="false" ht="31.5" hidden="false" customHeight="true" outlineLevel="0" collapsed="false">
      <c r="A11" s="3" t="s">
        <v>231</v>
      </c>
      <c r="B11" s="3" t="s">
        <v>342</v>
      </c>
      <c r="C11" s="3" t="n">
        <f aca="false">COUNTIF(Full_Backlog!F4:F103,"S7")</f>
        <v>5</v>
      </c>
      <c r="D11" s="3" t="n">
        <f aca="false">SUMIF(Full_Backlog!F4:F103,"S7",Full_Backlog!D4:D103)</f>
        <v>15</v>
      </c>
      <c r="E11" s="3" t="n">
        <f aca="false">COUNTIFS(Full_Backlog!F4:F103,"S7",Full_Backlog!G4:G103,"Done")</f>
        <v>0</v>
      </c>
      <c r="F11" s="3" t="s">
        <v>343</v>
      </c>
    </row>
    <row r="12" customFormat="false" ht="31.5" hidden="false" customHeight="true" outlineLevel="0" collapsed="false">
      <c r="A12" s="3" t="s">
        <v>189</v>
      </c>
      <c r="B12" s="3" t="s">
        <v>344</v>
      </c>
      <c r="C12" s="3" t="n">
        <f aca="false">COUNTIF(Full_Backlog!F4:F103,"S8")</f>
        <v>22</v>
      </c>
      <c r="D12" s="3" t="n">
        <f aca="false">SUMIF(Full_Backlog!F4:F103,"S8",Full_Backlog!D4:D103)</f>
        <v>87</v>
      </c>
      <c r="E12" s="3" t="n">
        <f aca="false">COUNTIFS(Full_Backlog!F4:F103,"S8",Full_Backlog!G4:G103,"Done")</f>
        <v>0</v>
      </c>
      <c r="F12" s="3" t="s">
        <v>345</v>
      </c>
    </row>
    <row r="13" customFormat="false" ht="31.5" hidden="false" customHeight="true" outlineLevel="0" collapsed="false">
      <c r="A13" s="3" t="s">
        <v>249</v>
      </c>
      <c r="B13" s="3" t="s">
        <v>346</v>
      </c>
      <c r="C13" s="3" t="n">
        <f aca="false">COUNTIF(Full_Backlog!F4:F103,"S9")</f>
        <v>7</v>
      </c>
      <c r="D13" s="3" t="n">
        <f aca="false">SUMIF(Full_Backlog!F4:F103,"S9",Full_Backlog!D4:D103)</f>
        <v>30</v>
      </c>
      <c r="E13" s="3" t="n">
        <f aca="false">COUNTIFS(Full_Backlog!F4:F103,"S9",Full_Backlog!G4:G103,"Done")</f>
        <v>0</v>
      </c>
      <c r="F13" s="3" t="s">
        <v>347</v>
      </c>
    </row>
    <row r="14" customFormat="false" ht="31.5" hidden="false" customHeight="true" outlineLevel="0" collapsed="false">
      <c r="A14" s="3" t="s">
        <v>276</v>
      </c>
      <c r="B14" s="3" t="s">
        <v>348</v>
      </c>
      <c r="C14" s="3" t="n">
        <f aca="false">COUNTIF(Full_Backlog!F4:F103,"S10")</f>
        <v>7</v>
      </c>
      <c r="D14" s="3" t="n">
        <f aca="false">SUMIF(Full_Backlog!F4:F103,"S10",Full_Backlog!D4:D103)</f>
        <v>24</v>
      </c>
      <c r="E14" s="3" t="n">
        <f aca="false">COUNTIFS(Full_Backlog!F4:F103,"S10",Full_Backlog!G4:G103,"Done")</f>
        <v>0</v>
      </c>
      <c r="F14" s="3" t="s">
        <v>349</v>
      </c>
    </row>
    <row r="15" customFormat="false" ht="31.5" hidden="false" customHeight="true" outlineLevel="0" collapsed="false">
      <c r="A15" s="3" t="s">
        <v>281</v>
      </c>
      <c r="B15" s="3" t="s">
        <v>350</v>
      </c>
      <c r="C15" s="3" t="n">
        <f aca="false">COUNTIF(Full_Backlog!F4:F103,"S11")</f>
        <v>3</v>
      </c>
      <c r="D15" s="3" t="n">
        <f aca="false">SUMIF(Full_Backlog!F4:F103,"S11",Full_Backlog!D4:D103)</f>
        <v>8</v>
      </c>
      <c r="E15" s="3" t="n">
        <f aca="false">COUNTIFS(Full_Backlog!F4:F103,"S11",Full_Backlog!G4:G103,"Done")</f>
        <v>0</v>
      </c>
      <c r="F15" s="3" t="s">
        <v>351</v>
      </c>
    </row>
    <row r="16" customFormat="false" ht="31.5" hidden="false" customHeight="true" outlineLevel="0" collapsed="false">
      <c r="A16" s="3" t="s">
        <v>318</v>
      </c>
      <c r="B16" s="3" t="s">
        <v>352</v>
      </c>
      <c r="C16" s="3" t="n">
        <f aca="false">COUNTIF(Full_Backlog!F4:F103,"S12")</f>
        <v>1</v>
      </c>
      <c r="D16" s="3" t="n">
        <f aca="false">SUMIF(Full_Backlog!F4:F103,"S12",Full_Backlog!D4:D103)</f>
        <v>2</v>
      </c>
      <c r="E16" s="3" t="n">
        <f aca="false">COUNTIFS(Full_Backlog!F4:F103,"S12",Full_Backlog!G4:G103,"Done")</f>
        <v>0</v>
      </c>
      <c r="F16" s="3" t="s">
        <v>353</v>
      </c>
    </row>
    <row r="17" customFormat="false" ht="15" hidden="false" customHeight="false" outlineLevel="0" collapsed="false">
      <c r="B17" s="7" t="s">
        <v>354</v>
      </c>
      <c r="C17" s="7" t="n">
        <f aca="false">SUM(C4:C16)</f>
        <v>100</v>
      </c>
      <c r="D17" s="7" t="n">
        <f aca="false">SUM(D4:D16)</f>
        <v>399</v>
      </c>
    </row>
    <row r="18" customFormat="false" ht="27.75" hidden="false" customHeight="true" outlineLevel="0" collapsed="false">
      <c r="B18" s="6" t="s">
        <v>355</v>
      </c>
      <c r="C18" s="6"/>
      <c r="D18" s="6"/>
      <c r="E18" s="6"/>
      <c r="F18" s="6"/>
    </row>
  </sheetData>
  <mergeCells count="1">
    <mergeCell ref="B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9" min="2" style="0" width="11"/>
  </cols>
  <sheetData>
    <row r="1" customFormat="false" ht="17.35" hidden="false" customHeight="false" outlineLevel="0" collapsed="false">
      <c r="A1" s="1" t="s">
        <v>356</v>
      </c>
    </row>
    <row r="3" customFormat="false" ht="15" hidden="false" customHeight="false" outlineLevel="0" collapsed="false">
      <c r="A3" s="2" t="s">
        <v>357</v>
      </c>
      <c r="B3" s="2" t="s">
        <v>358</v>
      </c>
    </row>
    <row r="4" customFormat="false" ht="15" hidden="false" customHeight="false" outlineLevel="0" collapsed="false">
      <c r="A4" s="4" t="s">
        <v>359</v>
      </c>
      <c r="B4" s="4" t="n">
        <v>4</v>
      </c>
    </row>
    <row r="5" customFormat="false" ht="15" hidden="false" customHeight="false" outlineLevel="0" collapsed="false">
      <c r="A5" s="4" t="s">
        <v>360</v>
      </c>
      <c r="B5" s="4" t="n">
        <v>0.1</v>
      </c>
    </row>
    <row r="6" customFormat="false" ht="15" hidden="false" customHeight="false" outlineLevel="0" collapsed="false">
      <c r="A6" s="4" t="s">
        <v>361</v>
      </c>
      <c r="B6" s="4" t="n">
        <v>0.3</v>
      </c>
    </row>
    <row r="7" customFormat="false" ht="15" hidden="false" customHeight="false" outlineLevel="0" collapsed="false">
      <c r="A7" s="4" t="s">
        <v>362</v>
      </c>
      <c r="B7" s="4" t="n">
        <v>600</v>
      </c>
    </row>
    <row r="8" customFormat="false" ht="15" hidden="false" customHeight="false" outlineLevel="0" collapsed="false">
      <c r="A8" s="4" t="s">
        <v>363</v>
      </c>
      <c r="B8" s="4" t="n">
        <v>0.012</v>
      </c>
    </row>
    <row r="9" customFormat="false" ht="15" hidden="false" customHeight="false" outlineLevel="0" collapsed="false">
      <c r="A9" s="4" t="s">
        <v>364</v>
      </c>
      <c r="B9" s="4" t="n">
        <v>0.15</v>
      </c>
    </row>
    <row r="10" customFormat="false" ht="15" hidden="false" customHeight="false" outlineLevel="0" collapsed="false">
      <c r="A10" s="4" t="s">
        <v>365</v>
      </c>
      <c r="B10" s="4" t="n">
        <v>40000</v>
      </c>
    </row>
    <row r="11" customFormat="false" ht="15" hidden="false" customHeight="false" outlineLevel="0" collapsed="false">
      <c r="A11" s="4" t="s">
        <v>366</v>
      </c>
      <c r="B11" s="4" t="n">
        <v>0.03</v>
      </c>
    </row>
    <row r="12" customFormat="false" ht="15" hidden="false" customHeight="false" outlineLevel="0" collapsed="false">
      <c r="A12" s="8" t="s">
        <v>367</v>
      </c>
    </row>
    <row r="14" customFormat="false" ht="15" hidden="false" customHeight="false" outlineLevel="0" collapsed="false">
      <c r="A14" s="2" t="s">
        <v>368</v>
      </c>
      <c r="B14" s="2" t="s">
        <v>369</v>
      </c>
      <c r="C14" s="2" t="s">
        <v>370</v>
      </c>
      <c r="D14" s="2" t="s">
        <v>371</v>
      </c>
      <c r="E14" s="2" t="s">
        <v>372</v>
      </c>
      <c r="F14" s="2" t="s">
        <v>373</v>
      </c>
      <c r="G14" s="2" t="s">
        <v>374</v>
      </c>
      <c r="H14" s="2" t="s">
        <v>375</v>
      </c>
      <c r="I14" s="2" t="s">
        <v>376</v>
      </c>
      <c r="J14" s="2" t="s">
        <v>377</v>
      </c>
      <c r="K14" s="2" t="s">
        <v>378</v>
      </c>
      <c r="L14" s="2" t="s">
        <v>379</v>
      </c>
      <c r="M14" s="2" t="s">
        <v>380</v>
      </c>
      <c r="N14" s="2" t="s">
        <v>381</v>
      </c>
      <c r="O14" s="2" t="s">
        <v>382</v>
      </c>
      <c r="P14" s="2" t="s">
        <v>383</v>
      </c>
      <c r="Q14" s="2" t="s">
        <v>384</v>
      </c>
      <c r="R14" s="2" t="s">
        <v>385</v>
      </c>
      <c r="S14" s="2" t="s">
        <v>386</v>
      </c>
    </row>
    <row r="15" customFormat="false" ht="15" hidden="false" customHeight="false" outlineLevel="0" collapsed="false">
      <c r="A15" s="7" t="s">
        <v>387</v>
      </c>
      <c r="B15" s="8" t="n">
        <f aca="false">$B$4</f>
        <v>4</v>
      </c>
      <c r="C15" s="8" t="n">
        <f aca="false">B15*(1+$B$5)</f>
        <v>4.4</v>
      </c>
      <c r="D15" s="8" t="n">
        <f aca="false">C15*(1+$B$5)</f>
        <v>4.84</v>
      </c>
      <c r="E15" s="8" t="n">
        <f aca="false">D15*(1+$B$5)</f>
        <v>5.324</v>
      </c>
      <c r="F15" s="8" t="n">
        <f aca="false">E15*(1+$B$5)</f>
        <v>5.8564</v>
      </c>
      <c r="G15" s="8" t="n">
        <f aca="false">F15*(1+$B$5)</f>
        <v>6.44204</v>
      </c>
      <c r="H15" s="8" t="n">
        <f aca="false">G15*(1+$B$5)</f>
        <v>7.086244</v>
      </c>
      <c r="I15" s="8" t="n">
        <f aca="false">H15*(1+$B$5)</f>
        <v>7.79486840000001</v>
      </c>
      <c r="J15" s="8" t="n">
        <f aca="false">I15*(1+$B$5)</f>
        <v>8.57435524000001</v>
      </c>
      <c r="K15" s="8" t="n">
        <f aca="false">J15*(1+$B$5)</f>
        <v>9.43179076400001</v>
      </c>
      <c r="L15" s="8" t="n">
        <f aca="false">K15*(1+$B$5)</f>
        <v>10.3749698404</v>
      </c>
      <c r="M15" s="8" t="n">
        <f aca="false">L15*(1+$B$5)</f>
        <v>11.41246682444</v>
      </c>
      <c r="N15" s="8" t="n">
        <f aca="false">M15*(1+$B$5)</f>
        <v>12.553713506884</v>
      </c>
      <c r="O15" s="8" t="n">
        <f aca="false">N15*(1+$B$5)</f>
        <v>13.8090848575724</v>
      </c>
      <c r="P15" s="8" t="n">
        <f aca="false">O15*(1+$B$5)</f>
        <v>15.1899933433297</v>
      </c>
      <c r="Q15" s="8" t="n">
        <f aca="false">P15*(1+$B$5)</f>
        <v>16.7089926776626</v>
      </c>
      <c r="R15" s="8" t="n">
        <f aca="false">Q15*(1+$B$5)</f>
        <v>18.3798919454289</v>
      </c>
      <c r="S15" s="8" t="n">
        <f aca="false">R15*(1+$B$5)</f>
        <v>20.2178811399718</v>
      </c>
    </row>
    <row r="16" customFormat="false" ht="15" hidden="false" customHeight="false" outlineLevel="0" collapsed="false">
      <c r="A16" s="7" t="s">
        <v>388</v>
      </c>
      <c r="B16" s="8" t="n">
        <f aca="false">ROUND(B15*$B$6,1)</f>
        <v>1.2</v>
      </c>
      <c r="C16" s="8" t="n">
        <f aca="false">ROUND(C15*$B$6,1)</f>
        <v>1.3</v>
      </c>
      <c r="D16" s="8" t="n">
        <f aca="false">ROUND(D15*$B$6,1)</f>
        <v>1.5</v>
      </c>
      <c r="E16" s="8" t="n">
        <f aca="false">ROUND(E15*$B$6,1)</f>
        <v>1.6</v>
      </c>
      <c r="F16" s="8" t="n">
        <f aca="false">ROUND(F15*$B$6,1)</f>
        <v>1.8</v>
      </c>
      <c r="G16" s="8" t="n">
        <f aca="false">ROUND(G15*$B$6,1)</f>
        <v>1.9</v>
      </c>
      <c r="H16" s="8" t="n">
        <f aca="false">ROUND(H15*$B$6,1)</f>
        <v>2.1</v>
      </c>
      <c r="I16" s="8" t="n">
        <f aca="false">ROUND(I15*$B$6,1)</f>
        <v>2.3</v>
      </c>
      <c r="J16" s="8" t="n">
        <f aca="false">ROUND(J15*$B$6,1)</f>
        <v>2.6</v>
      </c>
      <c r="K16" s="8" t="n">
        <f aca="false">ROUND(K15*$B$6,1)</f>
        <v>2.8</v>
      </c>
      <c r="L16" s="8" t="n">
        <f aca="false">ROUND(L15*$B$6,1)</f>
        <v>3.1</v>
      </c>
      <c r="M16" s="8" t="n">
        <f aca="false">ROUND(M15*$B$6,1)</f>
        <v>3.4</v>
      </c>
      <c r="N16" s="8" t="n">
        <f aca="false">ROUND(N15*$B$6,1)</f>
        <v>3.8</v>
      </c>
      <c r="O16" s="8" t="n">
        <f aca="false">ROUND(O15*$B$6,1)</f>
        <v>4.1</v>
      </c>
      <c r="P16" s="8" t="n">
        <f aca="false">ROUND(P15*$B$6,1)</f>
        <v>4.6</v>
      </c>
      <c r="Q16" s="8" t="n">
        <f aca="false">ROUND(Q15*$B$6,1)</f>
        <v>5</v>
      </c>
      <c r="R16" s="8" t="n">
        <f aca="false">ROUND(R15*$B$6,1)</f>
        <v>5.5</v>
      </c>
      <c r="S16" s="8" t="n">
        <f aca="false">ROUND(S15*$B$6,1)</f>
        <v>6.1</v>
      </c>
    </row>
    <row r="17" customFormat="false" ht="15" hidden="false" customHeight="false" outlineLevel="0" collapsed="false">
      <c r="A17" s="7" t="s">
        <v>389</v>
      </c>
      <c r="B17" s="8" t="n">
        <f aca="false">B16</f>
        <v>1.2</v>
      </c>
      <c r="C17" s="8" t="n">
        <f aca="false">ROUND(B17*(1-$B$8)+C16,1)</f>
        <v>2.5</v>
      </c>
      <c r="D17" s="8" t="n">
        <f aca="false">ROUND(C17*(1-$B$8)+D16,1)</f>
        <v>4</v>
      </c>
      <c r="E17" s="8" t="n">
        <f aca="false">ROUND(D17*(1-$B$8)+E16,1)</f>
        <v>5.6</v>
      </c>
      <c r="F17" s="8" t="n">
        <f aca="false">ROUND(E17*(1-$B$8)+F16,1)</f>
        <v>7.3</v>
      </c>
      <c r="G17" s="8" t="n">
        <f aca="false">ROUND(F17*(1-$B$8)+G16,1)</f>
        <v>9.1</v>
      </c>
      <c r="H17" s="8" t="n">
        <f aca="false">ROUND(G17*(1-$B$8)+H16,1)</f>
        <v>11.1</v>
      </c>
      <c r="I17" s="8" t="n">
        <f aca="false">ROUND(H17*(1-$B$8)+I16,1)</f>
        <v>13.3</v>
      </c>
      <c r="J17" s="8" t="n">
        <f aca="false">ROUND(I17*(1-$B$8)+J16,1)</f>
        <v>15.7</v>
      </c>
      <c r="K17" s="8" t="n">
        <f aca="false">ROUND(J17*(1-$B$8)+K16,1)</f>
        <v>18.3</v>
      </c>
      <c r="L17" s="8" t="n">
        <f aca="false">ROUND(K17*(1-$B$8)+L16,1)</f>
        <v>21.2</v>
      </c>
      <c r="M17" s="8" t="n">
        <f aca="false">ROUND(L17*(1-$B$8)+M16,1)</f>
        <v>24.3</v>
      </c>
      <c r="N17" s="8" t="n">
        <f aca="false">ROUND(M17*(1-$B$8)+N16,1)</f>
        <v>27.8</v>
      </c>
      <c r="O17" s="8" t="n">
        <f aca="false">ROUND(N17*(1-$B$8)+O16,1)</f>
        <v>31.6</v>
      </c>
      <c r="P17" s="8" t="n">
        <f aca="false">ROUND(O17*(1-$B$8)+P16,1)</f>
        <v>35.8</v>
      </c>
      <c r="Q17" s="8" t="n">
        <f aca="false">ROUND(P17*(1-$B$8)+Q16,1)</f>
        <v>40.4</v>
      </c>
      <c r="R17" s="8" t="n">
        <f aca="false">ROUND(Q17*(1-$B$8)+R16,1)</f>
        <v>45.4</v>
      </c>
      <c r="S17" s="8" t="n">
        <f aca="false">ROUND(R17*(1-$B$8)+S16,1)</f>
        <v>51</v>
      </c>
    </row>
    <row r="18" customFormat="false" ht="15" hidden="false" customHeight="false" outlineLevel="0" collapsed="false">
      <c r="A18" s="7" t="s">
        <v>390</v>
      </c>
      <c r="B18" s="8" t="n">
        <f aca="false">ROUND(B17*$B$7*(1-$B$9),0)</f>
        <v>612</v>
      </c>
      <c r="C18" s="8" t="n">
        <f aca="false">ROUND(C17*$B$7*(1-$B$9),0)</f>
        <v>1275</v>
      </c>
      <c r="D18" s="8" t="n">
        <f aca="false">ROUND(D17*$B$7*(1-$B$9),0)</f>
        <v>2040</v>
      </c>
      <c r="E18" s="8" t="n">
        <f aca="false">ROUND(E17*$B$7*(1-$B$9),0)</f>
        <v>2856</v>
      </c>
      <c r="F18" s="8" t="n">
        <f aca="false">ROUND(F17*$B$7*(1-$B$9),0)</f>
        <v>3723</v>
      </c>
      <c r="G18" s="8" t="n">
        <f aca="false">ROUND(G17*$B$7*(1-$B$9),0)</f>
        <v>4641</v>
      </c>
      <c r="H18" s="8" t="n">
        <f aca="false">ROUND(H17*$B$7*(1-$B$9),0)</f>
        <v>5661</v>
      </c>
      <c r="I18" s="8" t="n">
        <f aca="false">ROUND(I17*$B$7*(1-$B$9),0)</f>
        <v>6783</v>
      </c>
      <c r="J18" s="8" t="n">
        <f aca="false">ROUND(J17*$B$7*(1-$B$9),0)</f>
        <v>8007</v>
      </c>
      <c r="K18" s="8" t="n">
        <f aca="false">ROUND(K17*$B$7*(1-$B$9),0)</f>
        <v>9333</v>
      </c>
      <c r="L18" s="8" t="n">
        <f aca="false">ROUND(L17*$B$7*(1-$B$9),0)</f>
        <v>10812</v>
      </c>
      <c r="M18" s="8" t="n">
        <f aca="false">ROUND(M17*$B$7*(1-$B$9),0)</f>
        <v>12393</v>
      </c>
      <c r="N18" s="8" t="n">
        <f aca="false">ROUND(N17*$B$7*(1-$B$9),0)</f>
        <v>14178</v>
      </c>
      <c r="O18" s="8" t="n">
        <f aca="false">ROUND(O17*$B$7*(1-$B$9),0)</f>
        <v>16116</v>
      </c>
      <c r="P18" s="8" t="n">
        <f aca="false">ROUND(P17*$B$7*(1-$B$9),0)</f>
        <v>18258</v>
      </c>
      <c r="Q18" s="8" t="n">
        <f aca="false">ROUND(Q17*$B$7*(1-$B$9),0)</f>
        <v>20604</v>
      </c>
      <c r="R18" s="8" t="n">
        <f aca="false">ROUND(R17*$B$7*(1-$B$9),0)</f>
        <v>23154</v>
      </c>
      <c r="S18" s="8" t="n">
        <f aca="false">ROUND(S17*$B$7*(1-$B$9),0)</f>
        <v>26010</v>
      </c>
    </row>
    <row r="19" customFormat="false" ht="15" hidden="false" customHeight="false" outlineLevel="0" collapsed="false">
      <c r="A19" s="7" t="s">
        <v>391</v>
      </c>
      <c r="B19" s="8" t="n">
        <f aca="false">$B$10</f>
        <v>40000</v>
      </c>
      <c r="C19" s="8" t="n">
        <f aca="false">ROUND(B19*(1+$B$11),0)</f>
        <v>41200</v>
      </c>
      <c r="D19" s="8" t="n">
        <f aca="false">ROUND(C19*(1+$B$11),0)</f>
        <v>42436</v>
      </c>
      <c r="E19" s="8" t="n">
        <f aca="false">ROUND(D19*(1+$B$11),0)</f>
        <v>43709</v>
      </c>
      <c r="F19" s="8" t="n">
        <f aca="false">ROUND(E19*(1+$B$11),0)</f>
        <v>45020</v>
      </c>
      <c r="G19" s="8" t="n">
        <f aca="false">ROUND(F19*(1+$B$11),0)</f>
        <v>46371</v>
      </c>
      <c r="H19" s="8" t="n">
        <f aca="false">ROUND(G19*(1+$B$11),0)</f>
        <v>47762</v>
      </c>
      <c r="I19" s="8" t="n">
        <f aca="false">ROUND(H19*(1+$B$11),0)</f>
        <v>49195</v>
      </c>
      <c r="J19" s="8" t="n">
        <f aca="false">ROUND(I19*(1+$B$11),0)</f>
        <v>50671</v>
      </c>
      <c r="K19" s="8" t="n">
        <f aca="false">ROUND(J19*(1+$B$11),0)</f>
        <v>52191</v>
      </c>
      <c r="L19" s="8" t="n">
        <f aca="false">ROUND(K19*(1+$B$11),0)</f>
        <v>53757</v>
      </c>
      <c r="M19" s="8" t="n">
        <f aca="false">ROUND(L19*(1+$B$11),0)</f>
        <v>55370</v>
      </c>
      <c r="N19" s="8" t="n">
        <f aca="false">ROUND(M19*(1+$B$11),0)</f>
        <v>57031</v>
      </c>
      <c r="O19" s="8" t="n">
        <f aca="false">ROUND(N19*(1+$B$11),0)</f>
        <v>58742</v>
      </c>
      <c r="P19" s="8" t="n">
        <f aca="false">ROUND(O19*(1+$B$11),0)</f>
        <v>60504</v>
      </c>
      <c r="Q19" s="8" t="n">
        <f aca="false">ROUND(P19*(1+$B$11),0)</f>
        <v>62319</v>
      </c>
      <c r="R19" s="8" t="n">
        <f aca="false">ROUND(Q19*(1+$B$11),0)</f>
        <v>64189</v>
      </c>
      <c r="S19" s="8" t="n">
        <f aca="false">ROUND(R19*(1+$B$11),0)</f>
        <v>66115</v>
      </c>
    </row>
    <row r="20" customFormat="false" ht="15" hidden="false" customHeight="false" outlineLevel="0" collapsed="false">
      <c r="A20" s="7" t="s">
        <v>392</v>
      </c>
      <c r="B20" s="8" t="n">
        <f aca="false">B18-B19</f>
        <v>-39388</v>
      </c>
      <c r="C20" s="8" t="n">
        <f aca="false">C18-C19</f>
        <v>-39925</v>
      </c>
      <c r="D20" s="8" t="n">
        <f aca="false">D18-D19</f>
        <v>-40396</v>
      </c>
      <c r="E20" s="8" t="n">
        <f aca="false">E18-E19</f>
        <v>-40853</v>
      </c>
      <c r="F20" s="8" t="n">
        <f aca="false">F18-F19</f>
        <v>-41297</v>
      </c>
      <c r="G20" s="8" t="n">
        <f aca="false">G18-G19</f>
        <v>-41730</v>
      </c>
      <c r="H20" s="8" t="n">
        <f aca="false">H18-H19</f>
        <v>-42101</v>
      </c>
      <c r="I20" s="8" t="n">
        <f aca="false">I18-I19</f>
        <v>-42412</v>
      </c>
      <c r="J20" s="8" t="n">
        <f aca="false">J18-J19</f>
        <v>-42664</v>
      </c>
      <c r="K20" s="8" t="n">
        <f aca="false">K18-K19</f>
        <v>-42858</v>
      </c>
      <c r="L20" s="8" t="n">
        <f aca="false">L18-L19</f>
        <v>-42945</v>
      </c>
      <c r="M20" s="8" t="n">
        <f aca="false">M18-M19</f>
        <v>-42977</v>
      </c>
      <c r="N20" s="8" t="n">
        <f aca="false">N18-N19</f>
        <v>-42853</v>
      </c>
      <c r="O20" s="8" t="n">
        <f aca="false">O18-O19</f>
        <v>-42626</v>
      </c>
      <c r="P20" s="8" t="n">
        <f aca="false">P18-P19</f>
        <v>-42246</v>
      </c>
      <c r="Q20" s="8" t="n">
        <f aca="false">Q18-Q19</f>
        <v>-41715</v>
      </c>
      <c r="R20" s="8" t="n">
        <f aca="false">R18-R19</f>
        <v>-41035</v>
      </c>
      <c r="S20" s="8" t="n">
        <f aca="false">S18-S19</f>
        <v>-40105</v>
      </c>
    </row>
    <row r="21" customFormat="false" ht="15" hidden="false" customHeight="false" outlineLevel="0" collapsed="false">
      <c r="A21" s="7" t="s">
        <v>393</v>
      </c>
      <c r="B21" s="8" t="n">
        <f aca="false">B20</f>
        <v>-39388</v>
      </c>
      <c r="C21" s="8" t="n">
        <f aca="false">B21+C20</f>
        <v>-79313</v>
      </c>
      <c r="D21" s="8" t="n">
        <f aca="false">C21+D20</f>
        <v>-119709</v>
      </c>
      <c r="E21" s="8" t="n">
        <f aca="false">D21+E20</f>
        <v>-160562</v>
      </c>
      <c r="F21" s="8" t="n">
        <f aca="false">E21+F20</f>
        <v>-201859</v>
      </c>
      <c r="G21" s="8" t="n">
        <f aca="false">F21+G20</f>
        <v>-243589</v>
      </c>
      <c r="H21" s="8" t="n">
        <f aca="false">G21+H20</f>
        <v>-285690</v>
      </c>
      <c r="I21" s="8" t="n">
        <f aca="false">H21+I20</f>
        <v>-328102</v>
      </c>
      <c r="J21" s="8" t="n">
        <f aca="false">I21+J20</f>
        <v>-370766</v>
      </c>
      <c r="K21" s="8" t="n">
        <f aca="false">J21+K20</f>
        <v>-413624</v>
      </c>
      <c r="L21" s="8" t="n">
        <f aca="false">K21+L20</f>
        <v>-456569</v>
      </c>
      <c r="M21" s="8" t="n">
        <f aca="false">L21+M20</f>
        <v>-499546</v>
      </c>
      <c r="N21" s="8" t="n">
        <f aca="false">M21+N20</f>
        <v>-542399</v>
      </c>
      <c r="O21" s="8" t="n">
        <f aca="false">N21+O20</f>
        <v>-585025</v>
      </c>
      <c r="P21" s="8" t="n">
        <f aca="false">O21+P20</f>
        <v>-627271</v>
      </c>
      <c r="Q21" s="8" t="n">
        <f aca="false">P21+Q20</f>
        <v>-668986</v>
      </c>
      <c r="R21" s="8" t="n">
        <f aca="false">Q21+R20</f>
        <v>-710021</v>
      </c>
      <c r="S21" s="8" t="n">
        <f aca="false">R21+S20</f>
        <v>-750126</v>
      </c>
    </row>
    <row r="23" customFormat="false" ht="42" hidden="false" customHeight="true" outlineLevel="0" collapsed="false">
      <c r="A23" s="6" t="s">
        <v>394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</sheetData>
  <mergeCells count="1">
    <mergeCell ref="A23:S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2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395</v>
      </c>
    </row>
    <row r="3" customFormat="false" ht="15" hidden="false" customHeight="false" outlineLevel="0" collapsed="false">
      <c r="A3" s="2" t="s">
        <v>396</v>
      </c>
      <c r="B3" s="2" t="s">
        <v>397</v>
      </c>
      <c r="C3" s="2" t="s">
        <v>398</v>
      </c>
      <c r="D3" s="2" t="s">
        <v>399</v>
      </c>
    </row>
    <row r="4" customFormat="false" ht="25.5" hidden="false" customHeight="true" outlineLevel="0" collapsed="false">
      <c r="A4" s="3" t="s">
        <v>400</v>
      </c>
      <c r="B4" s="3" t="s">
        <v>401</v>
      </c>
      <c r="C4" s="3" t="s">
        <v>402</v>
      </c>
      <c r="D4" s="3" t="s">
        <v>231</v>
      </c>
    </row>
    <row r="5" customFormat="false" ht="25.5" hidden="false" customHeight="true" outlineLevel="0" collapsed="false">
      <c r="A5" s="3" t="s">
        <v>400</v>
      </c>
      <c r="B5" s="3" t="s">
        <v>403</v>
      </c>
      <c r="C5" s="3" t="s">
        <v>404</v>
      </c>
      <c r="D5" s="3" t="s">
        <v>189</v>
      </c>
    </row>
    <row r="6" customFormat="false" ht="25.5" hidden="false" customHeight="true" outlineLevel="0" collapsed="false">
      <c r="A6" s="3" t="s">
        <v>400</v>
      </c>
      <c r="B6" s="3" t="s">
        <v>405</v>
      </c>
      <c r="C6" s="3" t="s">
        <v>402</v>
      </c>
      <c r="D6" s="3" t="s">
        <v>189</v>
      </c>
    </row>
    <row r="7" customFormat="false" ht="25.5" hidden="false" customHeight="true" outlineLevel="0" collapsed="false">
      <c r="A7" s="3" t="s">
        <v>400</v>
      </c>
      <c r="B7" s="3" t="s">
        <v>406</v>
      </c>
      <c r="C7" s="3" t="s">
        <v>404</v>
      </c>
      <c r="D7" s="3" t="s">
        <v>249</v>
      </c>
    </row>
    <row r="8" customFormat="false" ht="25.5" hidden="false" customHeight="true" outlineLevel="0" collapsed="false">
      <c r="A8" s="3" t="s">
        <v>400</v>
      </c>
      <c r="B8" s="3" t="s">
        <v>407</v>
      </c>
      <c r="C8" s="3" t="s">
        <v>408</v>
      </c>
      <c r="D8" s="3" t="s">
        <v>249</v>
      </c>
    </row>
    <row r="9" customFormat="false" ht="25.5" hidden="false" customHeight="true" outlineLevel="0" collapsed="false">
      <c r="A9" s="3" t="s">
        <v>350</v>
      </c>
      <c r="B9" s="3" t="s">
        <v>409</v>
      </c>
      <c r="C9" s="3" t="s">
        <v>404</v>
      </c>
      <c r="D9" s="3" t="s">
        <v>281</v>
      </c>
    </row>
    <row r="10" customFormat="false" ht="25.5" hidden="false" customHeight="true" outlineLevel="0" collapsed="false">
      <c r="A10" s="3" t="s">
        <v>350</v>
      </c>
      <c r="B10" s="3" t="s">
        <v>410</v>
      </c>
      <c r="C10" s="3" t="s">
        <v>402</v>
      </c>
      <c r="D10" s="3" t="s">
        <v>281</v>
      </c>
    </row>
    <row r="11" customFormat="false" ht="25.5" hidden="false" customHeight="true" outlineLevel="0" collapsed="false">
      <c r="A11" s="3" t="s">
        <v>350</v>
      </c>
      <c r="B11" s="3" t="s">
        <v>411</v>
      </c>
      <c r="C11" s="3" t="s">
        <v>402</v>
      </c>
      <c r="D11" s="3" t="s">
        <v>281</v>
      </c>
    </row>
    <row r="12" customFormat="false" ht="25.5" hidden="false" customHeight="true" outlineLevel="0" collapsed="false">
      <c r="A12" s="3" t="s">
        <v>350</v>
      </c>
      <c r="B12" s="3" t="s">
        <v>412</v>
      </c>
      <c r="C12" s="3" t="s">
        <v>413</v>
      </c>
      <c r="D12" s="3" t="s">
        <v>281</v>
      </c>
    </row>
    <row r="13" customFormat="false" ht="25.5" hidden="false" customHeight="true" outlineLevel="0" collapsed="false">
      <c r="A13" s="3" t="s">
        <v>414</v>
      </c>
      <c r="B13" s="3" t="s">
        <v>415</v>
      </c>
      <c r="C13" s="3" t="s">
        <v>404</v>
      </c>
      <c r="D13" s="3" t="s">
        <v>318</v>
      </c>
    </row>
    <row r="14" customFormat="false" ht="25.5" hidden="false" customHeight="true" outlineLevel="0" collapsed="false">
      <c r="A14" s="3" t="s">
        <v>414</v>
      </c>
      <c r="B14" s="3" t="s">
        <v>416</v>
      </c>
      <c r="C14" s="3" t="s">
        <v>404</v>
      </c>
      <c r="D14" s="3" t="s">
        <v>318</v>
      </c>
    </row>
    <row r="15" customFormat="false" ht="25.5" hidden="false" customHeight="true" outlineLevel="0" collapsed="false">
      <c r="A15" s="3" t="s">
        <v>414</v>
      </c>
      <c r="B15" s="3" t="s">
        <v>417</v>
      </c>
      <c r="C15" s="3" t="s">
        <v>402</v>
      </c>
      <c r="D15" s="3" t="s">
        <v>418</v>
      </c>
    </row>
    <row r="16" customFormat="false" ht="25.5" hidden="false" customHeight="true" outlineLevel="0" collapsed="false">
      <c r="A16" s="3" t="s">
        <v>414</v>
      </c>
      <c r="B16" s="3" t="s">
        <v>419</v>
      </c>
      <c r="C16" s="3" t="s">
        <v>404</v>
      </c>
      <c r="D16" s="3" t="s">
        <v>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6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420</v>
      </c>
    </row>
    <row r="3" customFormat="false" ht="15" hidden="false" customHeight="false" outlineLevel="0" collapsed="false">
      <c r="A3" s="2" t="s">
        <v>54</v>
      </c>
      <c r="B3" s="2" t="s">
        <v>421</v>
      </c>
      <c r="C3" s="2" t="s">
        <v>5</v>
      </c>
    </row>
    <row r="4" customFormat="false" ht="25.5" hidden="false" customHeight="true" outlineLevel="0" collapsed="false">
      <c r="A4" s="3" t="n">
        <v>1</v>
      </c>
      <c r="B4" s="3" t="s">
        <v>422</v>
      </c>
      <c r="C4" s="3" t="s">
        <v>423</v>
      </c>
    </row>
    <row r="5" customFormat="false" ht="25.5" hidden="false" customHeight="true" outlineLevel="0" collapsed="false">
      <c r="A5" s="3" t="n">
        <v>2</v>
      </c>
      <c r="B5" s="3" t="s">
        <v>424</v>
      </c>
      <c r="C5" s="3" t="s">
        <v>423</v>
      </c>
    </row>
    <row r="6" customFormat="false" ht="25.5" hidden="false" customHeight="true" outlineLevel="0" collapsed="false">
      <c r="A6" s="3" t="n">
        <v>3</v>
      </c>
      <c r="B6" s="3" t="s">
        <v>425</v>
      </c>
      <c r="C6" s="3" t="s">
        <v>423</v>
      </c>
    </row>
    <row r="7" customFormat="false" ht="25.5" hidden="false" customHeight="true" outlineLevel="0" collapsed="false">
      <c r="A7" s="3" t="n">
        <v>4</v>
      </c>
      <c r="B7" s="3" t="s">
        <v>426</v>
      </c>
      <c r="C7" s="3" t="s">
        <v>423</v>
      </c>
    </row>
    <row r="8" customFormat="false" ht="25.5" hidden="false" customHeight="true" outlineLevel="0" collapsed="false">
      <c r="A8" s="3" t="n">
        <v>5</v>
      </c>
      <c r="B8" s="3" t="s">
        <v>427</v>
      </c>
      <c r="C8" s="3" t="s">
        <v>423</v>
      </c>
    </row>
    <row r="9" customFormat="false" ht="25.5" hidden="false" customHeight="true" outlineLevel="0" collapsed="false">
      <c r="A9" s="3" t="n">
        <v>6</v>
      </c>
      <c r="B9" s="3" t="s">
        <v>428</v>
      </c>
      <c r="C9" s="3" t="s">
        <v>423</v>
      </c>
    </row>
    <row r="10" customFormat="false" ht="25.5" hidden="false" customHeight="true" outlineLevel="0" collapsed="false">
      <c r="A10" s="3" t="n">
        <v>7</v>
      </c>
      <c r="B10" s="3" t="s">
        <v>429</v>
      </c>
      <c r="C10" s="3" t="s">
        <v>423</v>
      </c>
    </row>
    <row r="11" customFormat="false" ht="25.5" hidden="false" customHeight="true" outlineLevel="0" collapsed="false">
      <c r="A11" s="3" t="n">
        <v>8</v>
      </c>
      <c r="B11" s="3" t="s">
        <v>430</v>
      </c>
      <c r="C11" s="3" t="s">
        <v>423</v>
      </c>
    </row>
    <row r="12" customFormat="false" ht="25.5" hidden="false" customHeight="true" outlineLevel="0" collapsed="false">
      <c r="A12" s="3" t="n">
        <v>9</v>
      </c>
      <c r="B12" s="3" t="s">
        <v>431</v>
      </c>
      <c r="C12" s="3" t="s">
        <v>423</v>
      </c>
    </row>
    <row r="13" customFormat="false" ht="25.5" hidden="false" customHeight="true" outlineLevel="0" collapsed="false">
      <c r="A13" s="3" t="n">
        <v>10</v>
      </c>
      <c r="B13" s="3" t="s">
        <v>432</v>
      </c>
      <c r="C13" s="3" t="s">
        <v>423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0"/>
    <col collapsed="false" customWidth="true" hidden="false" outlineLevel="0" max="6" min="6" style="0" width="44"/>
  </cols>
  <sheetData>
    <row r="1" customFormat="false" ht="17.35" hidden="false" customHeight="false" outlineLevel="0" collapsed="false">
      <c r="A1" s="1" t="s">
        <v>433</v>
      </c>
    </row>
    <row r="3" customFormat="false" ht="15" hidden="false" customHeight="false" outlineLevel="0" collapsed="false">
      <c r="A3" s="2" t="s">
        <v>434</v>
      </c>
      <c r="B3" s="2" t="s">
        <v>369</v>
      </c>
      <c r="C3" s="2" t="s">
        <v>371</v>
      </c>
      <c r="D3" s="2" t="s">
        <v>374</v>
      </c>
      <c r="E3" s="2" t="s">
        <v>380</v>
      </c>
      <c r="F3" s="2" t="s">
        <v>435</v>
      </c>
    </row>
    <row r="4" customFormat="false" ht="25.5" hidden="false" customHeight="true" outlineLevel="0" collapsed="false">
      <c r="A4" s="4" t="s">
        <v>436</v>
      </c>
      <c r="B4" s="4" t="s">
        <v>437</v>
      </c>
      <c r="C4" s="4" t="s">
        <v>438</v>
      </c>
      <c r="D4" s="4" t="s">
        <v>439</v>
      </c>
      <c r="E4" s="4" t="s">
        <v>440</v>
      </c>
      <c r="F4" s="4" t="s">
        <v>441</v>
      </c>
    </row>
    <row r="5" customFormat="false" ht="25.5" hidden="false" customHeight="true" outlineLevel="0" collapsed="false">
      <c r="A5" s="4" t="s">
        <v>442</v>
      </c>
      <c r="B5" s="4" t="s">
        <v>443</v>
      </c>
      <c r="C5" s="4" t="s">
        <v>444</v>
      </c>
      <c r="D5" s="4" t="s">
        <v>445</v>
      </c>
      <c r="E5" s="4" t="s">
        <v>446</v>
      </c>
      <c r="F5" s="4" t="s">
        <v>447</v>
      </c>
    </row>
    <row r="6" customFormat="false" ht="25.5" hidden="false" customHeight="true" outlineLevel="0" collapsed="false">
      <c r="A6" s="4" t="s">
        <v>448</v>
      </c>
      <c r="B6" s="4" t="s">
        <v>449</v>
      </c>
      <c r="C6" s="4" t="s">
        <v>450</v>
      </c>
      <c r="D6" s="4" t="s">
        <v>451</v>
      </c>
      <c r="E6" s="4" t="s">
        <v>452</v>
      </c>
      <c r="F6" s="4" t="s">
        <v>453</v>
      </c>
    </row>
    <row r="7" customFormat="false" ht="25.5" hidden="false" customHeight="true" outlineLevel="0" collapsed="false">
      <c r="A7" s="4" t="s">
        <v>454</v>
      </c>
      <c r="B7" s="4" t="s">
        <v>455</v>
      </c>
      <c r="C7" s="4" t="s">
        <v>456</v>
      </c>
      <c r="D7" s="4" t="s">
        <v>457</v>
      </c>
      <c r="E7" s="4" t="s">
        <v>457</v>
      </c>
      <c r="F7" s="4" t="s">
        <v>458</v>
      </c>
    </row>
    <row r="8" customFormat="false" ht="25.5" hidden="false" customHeight="true" outlineLevel="0" collapsed="false">
      <c r="A8" s="4" t="s">
        <v>459</v>
      </c>
      <c r="B8" s="4" t="s">
        <v>460</v>
      </c>
      <c r="C8" s="4" t="s">
        <v>461</v>
      </c>
      <c r="D8" s="4" t="s">
        <v>462</v>
      </c>
      <c r="E8" s="4" t="s">
        <v>463</v>
      </c>
      <c r="F8" s="4" t="s">
        <v>464</v>
      </c>
    </row>
    <row r="9" customFormat="false" ht="25.5" hidden="false" customHeight="true" outlineLevel="0" collapsed="false">
      <c r="A9" s="4" t="s">
        <v>465</v>
      </c>
      <c r="B9" s="4" t="s">
        <v>466</v>
      </c>
      <c r="C9" s="4" t="s">
        <v>467</v>
      </c>
      <c r="D9" s="4" t="s">
        <v>468</v>
      </c>
      <c r="E9" s="4" t="s">
        <v>468</v>
      </c>
      <c r="F9" s="4" t="s">
        <v>469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470</v>
      </c>
    </row>
    <row r="3" customFormat="false" ht="15" hidden="false" customHeight="false" outlineLevel="0" collapsed="false">
      <c r="A3" s="2" t="s">
        <v>471</v>
      </c>
      <c r="B3" s="2" t="s">
        <v>472</v>
      </c>
      <c r="C3" s="2" t="s">
        <v>473</v>
      </c>
      <c r="D3" s="2" t="s">
        <v>474</v>
      </c>
    </row>
    <row r="4" customFormat="false" ht="30" hidden="false" customHeight="true" outlineLevel="0" collapsed="false">
      <c r="A4" s="3" t="s">
        <v>475</v>
      </c>
      <c r="B4" s="3" t="s">
        <v>476</v>
      </c>
      <c r="C4" s="3" t="s">
        <v>476</v>
      </c>
      <c r="D4" s="3" t="s">
        <v>477</v>
      </c>
    </row>
    <row r="5" customFormat="false" ht="30" hidden="false" customHeight="true" outlineLevel="0" collapsed="false">
      <c r="A5" s="3" t="s">
        <v>478</v>
      </c>
      <c r="B5" s="3" t="s">
        <v>476</v>
      </c>
      <c r="C5" s="3" t="s">
        <v>479</v>
      </c>
      <c r="D5" s="3" t="s">
        <v>480</v>
      </c>
    </row>
    <row r="6" customFormat="false" ht="30" hidden="false" customHeight="true" outlineLevel="0" collapsed="false">
      <c r="A6" s="3" t="s">
        <v>481</v>
      </c>
      <c r="B6" s="3" t="s">
        <v>476</v>
      </c>
      <c r="C6" s="3" t="s">
        <v>479</v>
      </c>
      <c r="D6" s="3" t="s">
        <v>482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2026-09-05T18:47:12Z</dcterms:created>
  <dc:creator>openpyxl</dc:creator>
  <dc:description/>
  <dc:language>en-US</dc:language>
  <cp:lastModifiedBy/>
  <dcterms:modified xsi:type="dcterms:W3CDTF">2026-09-05T18:47:12Z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