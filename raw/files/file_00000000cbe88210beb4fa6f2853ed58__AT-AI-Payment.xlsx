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gitalOcean" sheetId="1" r:id="rId5"/>
    <sheet state="visible" name="Chatgpt" sheetId="2" r:id="rId6"/>
    <sheet state="visible" name="Perplexity" sheetId="3" r:id="rId7"/>
    <sheet state="visible" name="Sheet8" sheetId="4" r:id="rId8"/>
    <sheet state="visible" name="Claude" sheetId="5" r:id="rId9"/>
    <sheet state="visible" name="Vultr" sheetId="6" r:id="rId10"/>
    <sheet state="visible" name="AWS" sheetId="7" r:id="rId11"/>
    <sheet state="visible" name="Sarvam" sheetId="8" r:id="rId12"/>
  </sheets>
  <definedNames/>
  <calcPr/>
</workbook>
</file>

<file path=xl/sharedStrings.xml><?xml version="1.0" encoding="utf-8"?>
<sst xmlns="http://schemas.openxmlformats.org/spreadsheetml/2006/main" count="155" uniqueCount="96">
  <si>
    <t>Sarvam</t>
  </si>
  <si>
    <t>ChatGPT Plus</t>
  </si>
  <si>
    <t>sk_ei9ofxcj_wmvrO4LUdUzXzQYNwB6cmw5K</t>
  </si>
  <si>
    <t>Dollar</t>
  </si>
  <si>
    <t xml:space="preserve">PAYPAL *DIGITALOCEA </t>
  </si>
  <si>
    <t>VVCC</t>
  </si>
  <si>
    <t xml:space="preserve"> PAYPAL *DIGITALOCEA</t>
  </si>
  <si>
    <t>27 Sept–27 Oct 2026 Pro Sub</t>
  </si>
  <si>
    <t>PreplAISep26ProSub</t>
  </si>
  <si>
    <t>27 Aug–27 Sept 2026 Pro Sub</t>
  </si>
  <si>
    <t>7H2CSKMV-0014</t>
  </si>
  <si>
    <t>Perplexity AI, Inc</t>
  </si>
  <si>
    <t>PreplAIAug26ProSub</t>
  </si>
  <si>
    <t>16 Aug–16 Sept 2026 Max Sub</t>
  </si>
  <si>
    <t>7H2CSKMV-0012</t>
  </si>
  <si>
    <t>Paid</t>
  </si>
  <si>
    <t>16 Jul–16 Aug 2026 Max Sub</t>
  </si>
  <si>
    <t>7H2CSKMV-0010</t>
  </si>
  <si>
    <t>Extra Credit</t>
  </si>
  <si>
    <t>7H2CSKMV-0009</t>
  </si>
  <si>
    <t>PreplAIJul26MaxSub</t>
  </si>
  <si>
    <t>7H2CSKMV-0008</t>
  </si>
  <si>
    <t>16 Jun–16 Jul 2026</t>
  </si>
  <si>
    <t>7H2CSKMV-0006</t>
  </si>
  <si>
    <t>PreplAIJul26ExCredit20</t>
  </si>
  <si>
    <t>7H2CSKMV-0005</t>
  </si>
  <si>
    <t>16 May–16 Jun 2026 Max Sub</t>
  </si>
  <si>
    <t>7H2CSKMV-0002</t>
  </si>
  <si>
    <t>16 Apr 2026–16 Apr 2027 Perplexity Pro</t>
  </si>
  <si>
    <t>7H2CSKMV-0001</t>
  </si>
  <si>
    <t>ChatGPT Pro</t>
  </si>
  <si>
    <t>GBP</t>
  </si>
  <si>
    <t>Max plan - 5x</t>
  </si>
  <si>
    <t>Apr 8–May 8, 2026</t>
  </si>
  <si>
    <t>1 75.00 75.00</t>
  </si>
  <si>
    <t>Mar 12, 2026–Mar 12, 2027 Claude Pro</t>
  </si>
  <si>
    <t>7YVPVQAY-0001</t>
  </si>
  <si>
    <t>Unused time on Claude Pro after 08 Apr 2026</t>
  </si>
  <si>
    <t>Apr 8, 2026–Mar 12, 2027</t>
  </si>
  <si>
    <t>Prepaid extra usage,</t>
  </si>
  <si>
    <t>7YVPVQAY-0002</t>
  </si>
  <si>
    <t>Subtotal -64.10</t>
  </si>
  <si>
    <t>Apr 8–May 8, 2026 Max plan - 5x</t>
  </si>
  <si>
    <t>7YVPVQAY-0003</t>
  </si>
  <si>
    <t>Apr 21–May 21, 2026 Max plan - 20x</t>
  </si>
  <si>
    <t>7YVPVQAY-0004</t>
  </si>
  <si>
    <t>Max plan - 20x</t>
  </si>
  <si>
    <t>Apr 21–May 21, 2026</t>
  </si>
  <si>
    <t>1 150.00 150.00</t>
  </si>
  <si>
    <t>May 21–Jun 21, 2026 Max plan - 20x</t>
  </si>
  <si>
    <t>7YVPVQAY-0005</t>
  </si>
  <si>
    <t>Unused time on Max plan - 5x after 22 Apr 2026</t>
  </si>
  <si>
    <t>Apr 21–May 8, 2026</t>
  </si>
  <si>
    <t>1 -41.54</t>
  </si>
  <si>
    <t>Jun 21–Jul 21, 2026 Max plan - 20x</t>
  </si>
  <si>
    <t>7YVPVQAY-0006</t>
  </si>
  <si>
    <t>Subtotal 108.46</t>
  </si>
  <si>
    <t>Jul 21–Aug 21, 2026 Max plan - 20x</t>
  </si>
  <si>
    <t>7YVPVQAY-0007</t>
  </si>
  <si>
    <t>Not paid</t>
  </si>
  <si>
    <t>Applied balance -64.10</t>
  </si>
  <si>
    <t>Aug 4–Sep 4, 2026 Max plan - 20x</t>
  </si>
  <si>
    <t>7YVPVQAY-0008</t>
  </si>
  <si>
    <t>Amount due 44.36</t>
  </si>
  <si>
    <t>Sep 4–Oct 4, 2026 Max plan - 20x</t>
  </si>
  <si>
    <t>Stopped Max - 4th Oct 2026 - 15 change</t>
  </si>
  <si>
    <t xml:space="preserve">PAYPAL *VULTR </t>
  </si>
  <si>
    <t>VULTR May26</t>
  </si>
  <si>
    <t>VULTR Jun26</t>
  </si>
  <si>
    <t>VULTR Jul26</t>
  </si>
  <si>
    <t>VULTR Aug26</t>
  </si>
  <si>
    <t>VULTR Sep26</t>
  </si>
  <si>
    <t>Vultr</t>
  </si>
  <si>
    <t>Stopped</t>
  </si>
  <si>
    <t>Vat GBP</t>
  </si>
  <si>
    <t>BP</t>
  </si>
  <si>
    <t>SENTHIL VAIKUNDAM AWS july 2026</t>
  </si>
  <si>
    <t>AWS</t>
  </si>
  <si>
    <t>Paid/NotRefund</t>
  </si>
  <si>
    <t>Not billed</t>
  </si>
  <si>
    <t>SENTHIL VAIKUNDAM AWS August 2026</t>
  </si>
  <si>
    <t>Paid/Refund</t>
  </si>
  <si>
    <t>SENTHIL VAIKUNDAM AWS Sep 2026</t>
  </si>
  <si>
    <t>Refund</t>
  </si>
  <si>
    <t>AWS Aug 2026</t>
  </si>
  <si>
    <t>AWS Sep 2026</t>
  </si>
  <si>
    <t>Receipt Number</t>
  </si>
  <si>
    <t>Date &amp; Time</t>
  </si>
  <si>
    <t>Item Purchased</t>
  </si>
  <si>
    <t>Quantity</t>
  </si>
  <si>
    <t>Net Payable</t>
  </si>
  <si>
    <t>api-2627-022134</t>
  </si>
  <si>
    <t>API Credits (Sarvam credits for API usage)</t>
  </si>
  <si>
    <t>50,000 credits</t>
  </si>
  <si>
    <t>50,000.00 INR</t>
  </si>
  <si>
    <t>Vir 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</si>
</sst>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-mmmm-yyyy"/>
    <numFmt numFmtId="165" formatCode="d mmmm yyyy"/>
    <numFmt numFmtId="166" formatCode="m/d/yyyy"/>
    <numFmt numFmtId="167" formatCode="mmmm d, yyyy"/>
    <numFmt numFmtId="168" formatCode="d mmmm yy"/>
    <numFmt numFmtId="169" formatCode="d mmm yy"/>
    <numFmt numFmtId="170" formatCode="d-mmm-yyyy"/>
    <numFmt numFmtId="171" formatCode="d-mmm-yy"/>
    <numFmt numFmtId="172" formatCode="yyyy-mm-dd h:mm:ss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5D5D5D"/>
      <name val="-apple-system-body"/>
    </font>
    <font>
      <sz val="11.0"/>
      <color rgb="FF5D5D5D"/>
      <name val="Arial"/>
    </font>
    <font>
      <u/>
      <sz val="11.0"/>
      <color rgb="FF0000FF"/>
      <name val="-apple-system-body"/>
    </font>
    <font>
      <b/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b/>
      <color theme="1"/>
      <name val="Arial"/>
    </font>
    <font>
      <color theme="1"/>
      <name val="Arial"/>
    </font>
    <font>
      <sz val="12.0"/>
      <color theme="1"/>
      <name val="&quot;Adobe Clean&quot;"/>
    </font>
  </fonts>
  <fills count="7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2" fontId="2" numFmtId="0" xfId="0" applyAlignment="1" applyBorder="1" applyFill="1" applyFont="1">
      <alignment readingOrder="0" shrinkToFit="0" wrapText="1"/>
    </xf>
    <xf borderId="1" fillId="2" fontId="2" numFmtId="166" xfId="0" applyAlignment="1" applyBorder="1" applyFill="1" applyFont="1" applyNumberFormat="1">
      <alignment readingOrder="0" shrinkToFit="0" wrapText="0"/>
    </xf>
    <xf borderId="1" fillId="3" fontId="2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readingOrder="0" shrinkToFit="0" wrapText="0"/>
    </xf>
    <xf borderId="1" fillId="0" fontId="4" numFmtId="0" xfId="0" applyBorder="1" applyFont="1"/>
    <xf borderId="0" fillId="0" fontId="1" numFmtId="0" xfId="0" applyFont="1"/>
    <xf borderId="1" fillId="2" fontId="2" numFmtId="0" xfId="0" applyAlignment="1" applyBorder="1" applyFill="1" applyFont="1">
      <alignment readingOrder="0" shrinkToFit="0" wrapText="0"/>
    </xf>
    <xf borderId="0" fillId="0" fontId="1" numFmtId="167" xfId="0" applyAlignment="1" applyFont="1" applyNumberFormat="1">
      <alignment readingOrder="0"/>
    </xf>
    <xf borderId="0" fillId="4" fontId="5" numFmtId="0" xfId="0" applyAlignment="1" applyFill="1" applyFon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1" fillId="4" fontId="5" numFmtId="170" xfId="0" applyAlignment="1" applyBorder="1" applyFill="1" applyFont="1" applyNumberFormat="1">
      <alignment readingOrder="0"/>
    </xf>
    <xf borderId="1" fillId="4" fontId="5" numFmtId="0" xfId="0" applyAlignment="1" applyBorder="1" applyFill="1" applyFont="1">
      <alignment readingOrder="0"/>
    </xf>
    <xf borderId="1" fillId="0" fontId="6" numFmtId="171" xfId="0" applyAlignment="1" applyBorder="1" applyFont="1" applyNumberFormat="1">
      <alignment horizontal="right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7" numFmtId="171" xfId="0" applyAlignment="1" applyBorder="1" applyFont="1" applyNumberFormat="1">
      <alignment horizontal="right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0" fillId="4" fontId="5" numFmtId="170" xfId="0" applyAlignment="1" applyFill="1" applyFont="1" applyNumberFormat="1">
      <alignment readingOrder="0"/>
    </xf>
    <xf borderId="0" fillId="5" fontId="5" numFmtId="0" xfId="0" applyAlignment="1" applyFill="1" applyFont="1">
      <alignment readingOrder="0"/>
    </xf>
    <xf borderId="0" fillId="0" fontId="1" numFmtId="170" xfId="0" applyAlignment="1" applyFont="1" applyNumberFormat="1">
      <alignment readingOrder="0"/>
    </xf>
    <xf borderId="2" fillId="6" fontId="8" numFmtId="0" xfId="0" applyAlignment="1" applyBorder="1" applyFill="1" applyFont="1">
      <alignment horizontal="left" readingOrder="0"/>
    </xf>
    <xf borderId="2" fillId="0" fontId="9" numFmtId="0" xfId="0" applyAlignment="1" applyBorder="1" applyFont="1">
      <alignment horizontal="left" readingOrder="0"/>
    </xf>
    <xf borderId="2" fillId="0" fontId="9" numFmtId="172" xfId="0" applyAlignment="1" applyBorder="1" applyFont="1" applyNumberFormat="1">
      <alignment horizontal="left"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invoice.stripe.com/i/acct_1HOrSwC6h1nxGoI3/live_YWNjdF8xSE9yU3dDNmgxbnhHb0kzLF9UVFQyWTNMNUZybkRUQlNyekR6RzE5RDQ0QUtDUkR4LDE4MTE0OTM1Nw0200tfjbExQd?s=ap" TargetMode="External"/><Relationship Id="rId10" Type="http://schemas.openxmlformats.org/officeDocument/2006/relationships/hyperlink" Target="https://invoice.stripe.com/i/acct_1HOrSwC6h1nxGoI3/live_YWNjdF8xSE9yU3dDNmgxbnhHb0kzLF9UZWhvYXFnRExjRHh4VmkxWVN3a01yNXZjRkh5M3RlLDE4MTE0OTMzMg0200PFpBh89Z?s=ap" TargetMode="External"/><Relationship Id="rId13" Type="http://schemas.openxmlformats.org/officeDocument/2006/relationships/hyperlink" Target="https://invoice.stripe.com/i/acct_1HOrSwC6h1nxGoI3/live_YWNjdF8xSE9yU3dDNmgxbnhHb0kzLF9UNmNITUVBOEVhd0IyYU9rYjZiRTR1YlZTb0cyUVZaLDE4MTE0OTM1Nw0200N6Oy7uAV?s=ap" TargetMode="External"/><Relationship Id="rId12" Type="http://schemas.openxmlformats.org/officeDocument/2006/relationships/hyperlink" Target="https://invoice.stripe.com/i/acct_1HOrSwC6h1nxGoI3/live_YWNjdF8xSE9yU3dDNmgxbnhHb0kzLF9USHIyd1p0Rm41cnBBdTY4akZoUVhQNnhlbDhvVFpCLDE4MTE0OTM1Nw0200t8nxFvrf?s=ap" TargetMode="External"/><Relationship Id="rId1" Type="http://schemas.openxmlformats.org/officeDocument/2006/relationships/hyperlink" Target="https://invoice.stripe.com/i/acct_1HOrSwC6h1nxGoI3/live_YWNjdF8xSE9yU3dDNmgxbnhHb0kzLF9WRTdUY0VnRnNZRUFHWjgzc21wdXF3SFYxZmFLU3dFLDE4MTE0OTMzMg0200GbqcOsjn?s=ap" TargetMode="External"/><Relationship Id="rId2" Type="http://schemas.openxmlformats.org/officeDocument/2006/relationships/hyperlink" Target="https://invoice.stripe.com/i/acct_1HOrSwC6h1nxGoI3/live_YWNjdF8xSE9yU3dDNmgxbnhHb0kzLF9WMlZUdWV3V0FKRUU3Y2VTRjhHRGx0YmpLOFN1OGd4LDE4MTE0OTMzMg0200jF9UoRYT?s=ap" TargetMode="External"/><Relationship Id="rId3" Type="http://schemas.openxmlformats.org/officeDocument/2006/relationships/hyperlink" Target="https://invoice.stripe.com/i/acct_1HOrSwC6h1nxGoI3/live_YWNjdF8xSE9yU3dDNmgxbnhHb0kzLF9VdzdnOWNOS2RTNncwSHlaTUNydmRWOTNWeWtuSjlRLDE4MTE0OTMzMg0200BT10JeDj?s=ap" TargetMode="External"/><Relationship Id="rId4" Type="http://schemas.openxmlformats.org/officeDocument/2006/relationships/hyperlink" Target="https://invoice.stripe.com/i/acct_1HOrSwC6h1nxGoI3/live_YWNjdF8xSE9yU3dDNmgxbnhHb0kzLF9Va3N1czBWaHBuVDN6MXZNNzBQaXc0dEdFb3lBbDRwLDE4MTE0OTMzMg0200RTXpd8nu?s=ap" TargetMode="External"/><Relationship Id="rId9" Type="http://schemas.openxmlformats.org/officeDocument/2006/relationships/hyperlink" Target="https://invoice.stripe.com/i/acct_1HOrSwC6h1nxGoI3/live_YWNjdF8xSE9yU3dDNmgxbnhHb0kzLF9UcUpwQlZQdzg1YkJpYWk1YVlralZpS3M3VVMwNm1oLDE4MTE0OTMzMg0200Qgpzzf9I?s=ap" TargetMode="External"/><Relationship Id="rId15" Type="http://schemas.openxmlformats.org/officeDocument/2006/relationships/hyperlink" Target="https://invoice.stripe.com/i/acct_1HOrSwC6h1nxGoI3/live_YWNjdF8xSE9yU3dDNmgxbnhHb0kzLF9Tak9IS3dtVjRoUUhpQmRNQVFQdzhzMUozM2dGOE5XLDE4MTE0OTM1Nw0200B45aP16i?s=ap" TargetMode="External"/><Relationship Id="rId14" Type="http://schemas.openxmlformats.org/officeDocument/2006/relationships/hyperlink" Target="https://invoice.stripe.com/i/acct_1HOrSwC6h1nxGoI3/live_YWNjdF8xSE9yU3dDNmgxbnhHb0kzLF9TdjBHUGRLTVBreDljQ1h6UDFOMWlUa25hZHl3R0VzLDE4MTE0OTM1Nw0200qN6keAtb?s=ap" TargetMode="External"/><Relationship Id="rId17" Type="http://schemas.openxmlformats.org/officeDocument/2006/relationships/hyperlink" Target="https://invoice.stripe.com/i/acct_1HOrSwC6h1nxGoI3/live_YWNjdF8xSE9yU3dDNmgxbnhHb0kzLF9TTVhVaHFZSDdxcGNkaHNiNlJMWFV6SzJlc21zcU1PLDE4MTE0OTM1Nw0200Yf2NOscy?s=ap" TargetMode="External"/><Relationship Id="rId16" Type="http://schemas.openxmlformats.org/officeDocument/2006/relationships/hyperlink" Target="https://invoice.stripe.com/i/acct_1HOrSwC6h1nxGoI3/live_YWNjdF8xSE9yU3dDNmgxbnhHb0kzLF9TWTlVMjI2WHVIcGM1SHJsTmpPa1BoZ3c3cHpOeGxyLDE4MTE0OTM1Nw0200NLWQgLhx?s=ap" TargetMode="External"/><Relationship Id="rId5" Type="http://schemas.openxmlformats.org/officeDocument/2006/relationships/hyperlink" Target="https://invoice.stripe.com/i/acct_1HOrSwC6h1nxGoI3/live_YWNjdF8xSE9yU3dDNmgxbnhHb0kzLF9VWkd1Z3BpeWNSMjZlMDFhTzZIa3FGRFVvZnlTQ3EwLDE4MTE0OTMzMg0200DVNKZEgx?s=ap" TargetMode="External"/><Relationship Id="rId6" Type="http://schemas.openxmlformats.org/officeDocument/2006/relationships/hyperlink" Target="https://invoice.stripe.com/i/acct_1HOrSwC6h1nxGoI3/live_YWNjdF8xSE9yU3dDNmgxbnhHb0kzLF9VTzI4bXFNVjBiamNBN05JZXdSU1RnYzIwR2RuQ1pOLDE4MTE0OTMzMg02008ZNvGWlz?s=ap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invoice.stripe.com/i/acct_1HOrSwC6h1nxGoI3/live_YWNjdF8xSE9yU3dDNmgxbnhHb0kzLF9VQ1E4bE9Rb3BGY2hGeWRiRTBZa21HU2ZFbzd5MGg3LDE4MTE0OTMzMg0200ly7oO7qB?s=ap" TargetMode="External"/><Relationship Id="rId8" Type="http://schemas.openxmlformats.org/officeDocument/2006/relationships/hyperlink" Target="https://invoice.stripe.com/i/acct_1HOrSwC6h1nxGoI3/live_YWNjdF8xSE9yU3dDNmgxbnhHb0kzLF9VMXZvekZzTWVSdDhXQVMxdWp3YzlDR1VuREU3NExoLDE4MTE0OTMzMg02002A77bbWP?s=a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</cols>
  <sheetData>
    <row r="2">
      <c r="B2" s="2"/>
    </row>
    <row r="3">
      <c r="B3" s="2">
        <v>46164.0</v>
      </c>
      <c r="C3" s="1" t="s">
        <v>4</v>
      </c>
      <c r="D3" s="1">
        <v>4.029357733E9</v>
      </c>
      <c r="E3" s="1">
        <v>195.02</v>
      </c>
      <c r="F3" s="1" t="s">
        <v>5</v>
      </c>
    </row>
    <row r="4">
      <c r="B4" s="2">
        <v>46160.0</v>
      </c>
      <c r="C4" s="1" t="s">
        <v>6</v>
      </c>
      <c r="D4" s="1">
        <v>4.029357733E9</v>
      </c>
      <c r="E4" s="1">
        <v>194.72</v>
      </c>
      <c r="F4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4" t="s">
        <v>1</v>
      </c>
      <c r="C1" s="5">
        <v>46274.0</v>
      </c>
      <c r="D1" s="6" t="s">
        <v>15</v>
      </c>
      <c r="E1" s="7">
        <v>16.67</v>
      </c>
      <c r="F1" s="8"/>
      <c r="H1" s="9">
        <f>sum(E:E)</f>
        <v>333.38</v>
      </c>
    </row>
    <row r="2">
      <c r="B2" s="4" t="s">
        <v>30</v>
      </c>
      <c r="C2" s="5">
        <v>46243.0</v>
      </c>
      <c r="D2" s="6" t="s">
        <v>15</v>
      </c>
      <c r="E2" s="10">
        <v>66.66</v>
      </c>
      <c r="F2" s="8"/>
    </row>
    <row r="3">
      <c r="B3" s="4" t="s">
        <v>1</v>
      </c>
      <c r="C3" s="5">
        <v>46226.0</v>
      </c>
      <c r="D3" s="6" t="s">
        <v>15</v>
      </c>
      <c r="E3" s="10">
        <v>16.67</v>
      </c>
      <c r="F3" s="8"/>
    </row>
    <row r="4">
      <c r="B4" s="4" t="s">
        <v>1</v>
      </c>
      <c r="C4" s="5">
        <v>46196.0</v>
      </c>
      <c r="D4" s="6" t="s">
        <v>15</v>
      </c>
      <c r="E4" s="10">
        <v>16.67</v>
      </c>
      <c r="F4" s="8"/>
    </row>
    <row r="5">
      <c r="B5" s="4" t="s">
        <v>1</v>
      </c>
      <c r="C5" s="5">
        <v>46165.0</v>
      </c>
      <c r="D5" s="6" t="s">
        <v>15</v>
      </c>
      <c r="E5" s="10">
        <v>16.67</v>
      </c>
      <c r="F5" s="8"/>
    </row>
    <row r="6">
      <c r="B6" s="4" t="s">
        <v>1</v>
      </c>
      <c r="C6" s="5">
        <v>46135.0</v>
      </c>
      <c r="D6" s="6" t="s">
        <v>15</v>
      </c>
      <c r="E6" s="10">
        <v>16.67</v>
      </c>
      <c r="F6" s="8"/>
    </row>
    <row r="7">
      <c r="B7" s="4" t="s">
        <v>1</v>
      </c>
      <c r="C7" s="5">
        <v>46104.0</v>
      </c>
      <c r="D7" s="6" t="s">
        <v>15</v>
      </c>
      <c r="E7" s="10">
        <v>16.67</v>
      </c>
      <c r="F7" s="8"/>
    </row>
    <row r="8">
      <c r="B8" s="4" t="s">
        <v>1</v>
      </c>
      <c r="C8" s="5">
        <v>46076.0</v>
      </c>
      <c r="D8" s="6" t="s">
        <v>15</v>
      </c>
      <c r="E8" s="10">
        <v>16.67</v>
      </c>
      <c r="F8" s="8"/>
    </row>
    <row r="9">
      <c r="B9" s="4" t="s">
        <v>1</v>
      </c>
      <c r="C9" s="5">
        <v>46045.0</v>
      </c>
      <c r="D9" s="6" t="s">
        <v>15</v>
      </c>
      <c r="E9" s="10">
        <v>16.67</v>
      </c>
      <c r="F9" s="8"/>
    </row>
    <row r="10">
      <c r="B10" s="4" t="s">
        <v>1</v>
      </c>
      <c r="C10" s="5">
        <v>46014.0</v>
      </c>
      <c r="D10" s="6" t="s">
        <v>15</v>
      </c>
      <c r="E10" s="10">
        <v>16.67</v>
      </c>
      <c r="F10" s="8"/>
    </row>
    <row r="11">
      <c r="B11" s="4" t="s">
        <v>1</v>
      </c>
      <c r="C11" s="5">
        <v>45984.0</v>
      </c>
      <c r="D11" s="6" t="s">
        <v>15</v>
      </c>
      <c r="E11" s="10">
        <v>16.67</v>
      </c>
      <c r="F11" s="8"/>
    </row>
    <row r="12">
      <c r="B12" s="4" t="s">
        <v>1</v>
      </c>
      <c r="C12" s="5">
        <v>45953.0</v>
      </c>
      <c r="D12" s="6" t="s">
        <v>15</v>
      </c>
      <c r="E12" s="10">
        <v>16.67</v>
      </c>
      <c r="F12" s="8"/>
    </row>
    <row r="13">
      <c r="B13" s="4" t="s">
        <v>1</v>
      </c>
      <c r="C13" s="5">
        <v>45923.0</v>
      </c>
      <c r="D13" s="6" t="s">
        <v>15</v>
      </c>
      <c r="E13" s="10">
        <v>16.67</v>
      </c>
      <c r="F13" s="8"/>
    </row>
    <row r="14">
      <c r="B14" s="4" t="s">
        <v>1</v>
      </c>
      <c r="C14" s="5">
        <v>45892.0</v>
      </c>
      <c r="D14" s="6" t="s">
        <v>15</v>
      </c>
      <c r="E14" s="10">
        <v>16.67</v>
      </c>
      <c r="F14" s="8"/>
      <c r="G14" s="1" t="s">
        <v>79</v>
      </c>
    </row>
    <row r="15">
      <c r="B15" s="4" t="s">
        <v>1</v>
      </c>
      <c r="C15" s="5">
        <v>45861.0</v>
      </c>
      <c r="D15" s="6" t="s">
        <v>15</v>
      </c>
      <c r="E15" s="10">
        <v>16.67</v>
      </c>
      <c r="F15" s="8"/>
      <c r="G15" s="1" t="s">
        <v>79</v>
      </c>
    </row>
    <row r="16">
      <c r="B16" s="4" t="s">
        <v>1</v>
      </c>
      <c r="C16" s="5">
        <v>45831.0</v>
      </c>
      <c r="D16" s="6" t="s">
        <v>15</v>
      </c>
      <c r="E16" s="10">
        <v>16.67</v>
      </c>
      <c r="F16" s="8"/>
      <c r="G16" s="1" t="s">
        <v>79</v>
      </c>
    </row>
    <row r="17">
      <c r="B17" s="4" t="s">
        <v>1</v>
      </c>
      <c r="C17" s="5">
        <v>45800.0</v>
      </c>
      <c r="D17" s="6" t="s">
        <v>15</v>
      </c>
      <c r="E17" s="10">
        <v>16.67</v>
      </c>
      <c r="F17" s="8"/>
      <c r="G17" s="1" t="s">
        <v>79</v>
      </c>
    </row>
  </sheetData>
  <hyperlinks>
    <hyperlink r:id="rId1" ref="F1"/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F10"/>
    <hyperlink r:id="rId11" ref="F11"/>
    <hyperlink r:id="rId12" ref="F12"/>
    <hyperlink r:id="rId13" ref="F13"/>
    <hyperlink r:id="rId14" ref="F14"/>
    <hyperlink r:id="rId15" ref="F15"/>
    <hyperlink r:id="rId16" ref="F16"/>
    <hyperlink r:id="rId17" ref="F17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88"/>
    <col customWidth="1" min="4" max="4" width="14.13"/>
    <col customWidth="1" min="5" max="5" width="13.5"/>
    <col customWidth="1" min="6" max="6" width="5.38"/>
  </cols>
  <sheetData>
    <row r="1">
      <c r="A1" s="1"/>
      <c r="F1" s="1" t="s">
        <v>3</v>
      </c>
    </row>
    <row r="2">
      <c r="B2" s="3"/>
      <c r="C2" s="1"/>
      <c r="D2" s="1"/>
      <c r="E2" s="1"/>
      <c r="F2" s="1"/>
      <c r="G2" s="1"/>
      <c r="I2" s="1"/>
    </row>
    <row r="3">
      <c r="B3" s="3">
        <v>46292.0</v>
      </c>
      <c r="C3" s="1" t="s">
        <v>7</v>
      </c>
      <c r="D3" s="1"/>
      <c r="E3" s="1"/>
      <c r="F3" s="1"/>
      <c r="G3" s="1">
        <v>15.27</v>
      </c>
      <c r="I3" s="1" t="s">
        <v>8</v>
      </c>
    </row>
    <row r="4">
      <c r="B4" s="3">
        <v>46261.0</v>
      </c>
      <c r="C4" s="1" t="s">
        <v>9</v>
      </c>
      <c r="D4" s="1" t="s">
        <v>10</v>
      </c>
      <c r="E4" s="1" t="s">
        <v>11</v>
      </c>
      <c r="F4" s="1">
        <v>20.0</v>
      </c>
      <c r="G4" s="1">
        <v>15.27</v>
      </c>
      <c r="I4" s="1" t="s">
        <v>12</v>
      </c>
    </row>
    <row r="5">
      <c r="B5" s="3"/>
      <c r="C5" s="1"/>
      <c r="D5" s="1"/>
      <c r="E5" s="1" t="s">
        <v>11</v>
      </c>
      <c r="F5" s="1">
        <v>-200.0</v>
      </c>
      <c r="G5" s="1">
        <v>-153.35</v>
      </c>
    </row>
    <row r="6">
      <c r="B6" s="3">
        <v>46250.0</v>
      </c>
      <c r="C6" s="1" t="s">
        <v>13</v>
      </c>
      <c r="D6" s="1" t="s">
        <v>14</v>
      </c>
      <c r="E6" s="1" t="s">
        <v>11</v>
      </c>
      <c r="F6" s="1">
        <v>200.0</v>
      </c>
      <c r="G6" s="1">
        <v>153.35</v>
      </c>
    </row>
    <row r="7">
      <c r="B7" s="3">
        <v>46219.0</v>
      </c>
      <c r="C7" s="1" t="s">
        <v>16</v>
      </c>
      <c r="D7" s="1" t="s">
        <v>17</v>
      </c>
      <c r="E7" s="1" t="s">
        <v>11</v>
      </c>
      <c r="F7" s="1">
        <v>200.0</v>
      </c>
      <c r="G7" s="1">
        <v>153.35</v>
      </c>
    </row>
    <row r="8">
      <c r="B8" s="3">
        <v>46210.0</v>
      </c>
      <c r="C8" s="1" t="s">
        <v>18</v>
      </c>
      <c r="D8" s="1" t="s">
        <v>19</v>
      </c>
      <c r="E8" s="1" t="s">
        <v>11</v>
      </c>
      <c r="F8" s="1">
        <v>25.0</v>
      </c>
      <c r="G8" s="1">
        <v>18.76</v>
      </c>
      <c r="I8" s="1" t="s">
        <v>20</v>
      </c>
    </row>
    <row r="9">
      <c r="B9" s="3">
        <v>46209.0</v>
      </c>
      <c r="C9" s="1" t="s">
        <v>18</v>
      </c>
      <c r="D9" s="1" t="s">
        <v>21</v>
      </c>
      <c r="E9" s="1" t="s">
        <v>11</v>
      </c>
      <c r="F9" s="1">
        <v>20.0</v>
      </c>
      <c r="G9" s="1">
        <v>15.01</v>
      </c>
    </row>
    <row r="10">
      <c r="B10" s="3">
        <v>46189.0</v>
      </c>
      <c r="C10" s="1" t="s">
        <v>22</v>
      </c>
      <c r="D10" s="1" t="s">
        <v>23</v>
      </c>
      <c r="E10" s="1" t="s">
        <v>11</v>
      </c>
      <c r="F10" s="1">
        <v>200.0</v>
      </c>
      <c r="G10" s="1">
        <v>153.35</v>
      </c>
      <c r="I10" s="1" t="s">
        <v>24</v>
      </c>
    </row>
    <row r="11">
      <c r="B11" s="3">
        <v>46189.0</v>
      </c>
      <c r="C11" s="1" t="s">
        <v>18</v>
      </c>
      <c r="D11" s="1" t="s">
        <v>25</v>
      </c>
      <c r="E11" s="1" t="s">
        <v>11</v>
      </c>
      <c r="F11" s="1">
        <v>400.0</v>
      </c>
      <c r="G11" s="1">
        <v>298.6</v>
      </c>
    </row>
    <row r="12">
      <c r="B12" s="3">
        <v>46158.0</v>
      </c>
      <c r="C12" s="1" t="s">
        <v>26</v>
      </c>
      <c r="D12" s="1" t="s">
        <v>27</v>
      </c>
      <c r="E12" s="1" t="s">
        <v>11</v>
      </c>
      <c r="F12" s="1">
        <v>16.37</v>
      </c>
      <c r="G12" s="1">
        <v>15.27</v>
      </c>
    </row>
    <row r="13">
      <c r="B13" s="3">
        <v>46128.0</v>
      </c>
      <c r="C13" s="1" t="s">
        <v>28</v>
      </c>
      <c r="D13" s="1" t="s">
        <v>29</v>
      </c>
      <c r="E13" s="1" t="s">
        <v>11</v>
      </c>
      <c r="F13" s="1">
        <v>200.0</v>
      </c>
      <c r="G13" s="1">
        <v>153.35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38"/>
    <col customWidth="1" min="4" max="4" width="13.88"/>
    <col customWidth="1" min="5" max="5" width="4.5"/>
    <col customWidth="1" min="9" max="9" width="20.38"/>
  </cols>
  <sheetData>
    <row r="2">
      <c r="E2" s="1" t="s">
        <v>31</v>
      </c>
      <c r="H2" s="1" t="s">
        <v>32</v>
      </c>
      <c r="I2" s="1" t="s">
        <v>33</v>
      </c>
      <c r="J2" s="1" t="s">
        <v>34</v>
      </c>
    </row>
    <row r="3">
      <c r="B3" s="11">
        <v>46093.0</v>
      </c>
      <c r="C3" s="1" t="s">
        <v>35</v>
      </c>
      <c r="D3" s="1" t="s">
        <v>36</v>
      </c>
      <c r="E3" s="1">
        <v>150.0</v>
      </c>
      <c r="H3" s="1" t="s">
        <v>37</v>
      </c>
      <c r="I3" s="1" t="s">
        <v>38</v>
      </c>
      <c r="J3" s="1">
        <v>139.1</v>
      </c>
    </row>
    <row r="4">
      <c r="B4" s="11">
        <v>46116.0</v>
      </c>
      <c r="C4" s="1" t="s">
        <v>39</v>
      </c>
      <c r="D4" s="1" t="s">
        <v>40</v>
      </c>
      <c r="E4" s="1">
        <v>150.0</v>
      </c>
      <c r="J4" s="1" t="s">
        <v>41</v>
      </c>
    </row>
    <row r="5">
      <c r="B5" s="11">
        <v>46120.0</v>
      </c>
      <c r="C5" s="1" t="s">
        <v>42</v>
      </c>
      <c r="D5" s="1" t="s">
        <v>43</v>
      </c>
      <c r="E5" s="1">
        <v>0.0</v>
      </c>
    </row>
    <row r="6">
      <c r="B6" s="11">
        <v>46133.0</v>
      </c>
      <c r="C6" s="1" t="s">
        <v>44</v>
      </c>
      <c r="D6" s="1" t="s">
        <v>45</v>
      </c>
      <c r="E6" s="1">
        <v>44.36</v>
      </c>
      <c r="F6" s="1">
        <v>45.48</v>
      </c>
      <c r="H6" s="1" t="s">
        <v>46</v>
      </c>
      <c r="I6" s="1" t="s">
        <v>47</v>
      </c>
      <c r="J6" s="1" t="s">
        <v>48</v>
      </c>
    </row>
    <row r="7">
      <c r="B7" s="11">
        <v>46163.0</v>
      </c>
      <c r="C7" s="1" t="s">
        <v>49</v>
      </c>
      <c r="D7" s="1" t="s">
        <v>50</v>
      </c>
      <c r="E7" s="1">
        <v>150.0</v>
      </c>
      <c r="H7" s="1" t="s">
        <v>51</v>
      </c>
      <c r="I7" s="1" t="s">
        <v>52</v>
      </c>
      <c r="J7" s="1" t="s">
        <v>53</v>
      </c>
    </row>
    <row r="8">
      <c r="B8" s="11">
        <v>46194.0</v>
      </c>
      <c r="C8" s="1" t="s">
        <v>54</v>
      </c>
      <c r="D8" s="1" t="s">
        <v>55</v>
      </c>
      <c r="E8" s="1">
        <v>150.0</v>
      </c>
      <c r="J8" s="1" t="s">
        <v>56</v>
      </c>
    </row>
    <row r="9">
      <c r="B9" s="11">
        <v>46224.0</v>
      </c>
      <c r="C9" s="1" t="s">
        <v>57</v>
      </c>
      <c r="D9" s="1" t="s">
        <v>58</v>
      </c>
      <c r="E9" s="1">
        <v>0.0</v>
      </c>
      <c r="F9" s="1" t="s">
        <v>59</v>
      </c>
      <c r="I9" s="1" t="s">
        <v>60</v>
      </c>
    </row>
    <row r="10">
      <c r="B10" s="11">
        <v>46238.0</v>
      </c>
      <c r="C10" s="1" t="s">
        <v>61</v>
      </c>
      <c r="D10" s="1" t="s">
        <v>62</v>
      </c>
      <c r="E10" s="1">
        <v>150.0</v>
      </c>
      <c r="I10" s="1" t="s">
        <v>63</v>
      </c>
    </row>
    <row r="11">
      <c r="C11" s="1" t="s">
        <v>64</v>
      </c>
      <c r="E11" s="1">
        <v>150.0</v>
      </c>
    </row>
    <row r="12">
      <c r="C12" s="12" t="s">
        <v>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5.88"/>
  </cols>
  <sheetData>
    <row r="2">
      <c r="B2" s="13">
        <v>46167.0</v>
      </c>
      <c r="C2" s="1" t="s">
        <v>66</v>
      </c>
      <c r="D2" s="1">
        <v>4.029357733E9</v>
      </c>
      <c r="E2" s="1">
        <v>77.81</v>
      </c>
      <c r="G2" s="1" t="s">
        <v>67</v>
      </c>
    </row>
    <row r="3">
      <c r="B3" s="14">
        <v>46195.0</v>
      </c>
      <c r="C3" s="1" t="s">
        <v>66</v>
      </c>
      <c r="D3" s="1">
        <v>4.029357733E9</v>
      </c>
      <c r="E3" s="1">
        <v>79.15</v>
      </c>
      <c r="G3" s="1" t="s">
        <v>68</v>
      </c>
    </row>
    <row r="4">
      <c r="B4" s="14">
        <v>46226.0</v>
      </c>
      <c r="C4" s="1" t="s">
        <v>66</v>
      </c>
      <c r="D4" s="1">
        <v>4.029357733E9</v>
      </c>
      <c r="E4" s="1">
        <v>77.68</v>
      </c>
      <c r="G4" s="1" t="s">
        <v>69</v>
      </c>
    </row>
    <row r="5">
      <c r="E5" s="1">
        <v>76.51</v>
      </c>
      <c r="G5" s="1" t="s">
        <v>70</v>
      </c>
    </row>
    <row r="6">
      <c r="G6" s="1" t="s">
        <v>71</v>
      </c>
    </row>
    <row r="8">
      <c r="B8" s="15">
        <v>46292.0</v>
      </c>
      <c r="C8" s="16" t="s">
        <v>72</v>
      </c>
      <c r="D8" s="16" t="s">
        <v>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.13"/>
    <col customWidth="1" min="5" max="5" width="7.38"/>
    <col customWidth="1" min="7" max="7" width="3.75"/>
    <col customWidth="1" min="8" max="8" width="9.5"/>
    <col customWidth="1" min="9" max="9" width="3.5"/>
    <col customWidth="1" min="10" max="10" width="35.38"/>
    <col customWidth="1" min="11" max="11" width="7.25"/>
  </cols>
  <sheetData>
    <row r="2">
      <c r="D2" s="1" t="s">
        <v>3</v>
      </c>
      <c r="E2" s="1" t="s">
        <v>74</v>
      </c>
      <c r="H2" s="17">
        <v>46256.0</v>
      </c>
      <c r="I2" s="18" t="s">
        <v>75</v>
      </c>
      <c r="J2" s="18" t="s">
        <v>76</v>
      </c>
      <c r="K2" s="19">
        <v>-503.4</v>
      </c>
      <c r="L2" s="9">
        <f t="shared" ref="L2:L4" si="1">K2/1.2</f>
        <v>-419.5</v>
      </c>
      <c r="M2" s="9">
        <f t="shared" ref="M2:M4" si="2">L2*20%</f>
        <v>-83.9</v>
      </c>
      <c r="N2" s="9">
        <f t="shared" ref="N2:N4" si="3">L2+M2</f>
        <v>-503.4</v>
      </c>
    </row>
    <row r="3">
      <c r="B3" s="11">
        <v>46204.0</v>
      </c>
      <c r="C3" s="1" t="s">
        <v>77</v>
      </c>
      <c r="D3" s="1">
        <v>665.29</v>
      </c>
      <c r="E3" s="1">
        <v>83.86</v>
      </c>
      <c r="F3" s="1" t="s">
        <v>78</v>
      </c>
      <c r="H3" s="17">
        <v>46258.0</v>
      </c>
      <c r="I3" s="18" t="s">
        <v>75</v>
      </c>
      <c r="J3" s="18" t="s">
        <v>80</v>
      </c>
      <c r="K3" s="19">
        <v>-204.02</v>
      </c>
      <c r="L3" s="9">
        <f t="shared" si="1"/>
        <v>-170.0166667</v>
      </c>
      <c r="M3" s="9">
        <f t="shared" si="2"/>
        <v>-34.00333333</v>
      </c>
      <c r="N3" s="9">
        <f t="shared" si="3"/>
        <v>-204.02</v>
      </c>
    </row>
    <row r="4">
      <c r="B4" s="11">
        <v>46235.0</v>
      </c>
      <c r="C4" s="1" t="s">
        <v>77</v>
      </c>
      <c r="D4" s="1">
        <v>274.03</v>
      </c>
      <c r="E4" s="1">
        <v>34.03</v>
      </c>
      <c r="F4" s="1" t="s">
        <v>81</v>
      </c>
      <c r="H4" s="20">
        <v>46267.0</v>
      </c>
      <c r="I4" s="18" t="s">
        <v>75</v>
      </c>
      <c r="J4" s="21" t="s">
        <v>82</v>
      </c>
      <c r="K4" s="1">
        <v>302.68</v>
      </c>
      <c r="L4" s="9">
        <f t="shared" si="1"/>
        <v>252.2333333</v>
      </c>
      <c r="M4" s="9">
        <f t="shared" si="2"/>
        <v>50.44666667</v>
      </c>
      <c r="N4" s="9">
        <f t="shared" si="3"/>
        <v>302.68</v>
      </c>
    </row>
    <row r="5">
      <c r="B5" s="11">
        <v>46267.0</v>
      </c>
      <c r="C5" s="1" t="s">
        <v>77</v>
      </c>
      <c r="D5" s="1">
        <v>409.22</v>
      </c>
      <c r="F5" s="1" t="s">
        <v>81</v>
      </c>
    </row>
    <row r="7">
      <c r="B7" s="22">
        <v>46292.0</v>
      </c>
      <c r="C7" s="12" t="s">
        <v>77</v>
      </c>
      <c r="D7" s="12" t="s">
        <v>73</v>
      </c>
      <c r="H7" s="23" t="s">
        <v>83</v>
      </c>
    </row>
    <row r="8">
      <c r="H8" s="24">
        <v>46293.0</v>
      </c>
      <c r="J8" s="1" t="s">
        <v>84</v>
      </c>
      <c r="K8" s="1">
        <v>155.06</v>
      </c>
    </row>
    <row r="9">
      <c r="H9" s="24">
        <v>46293.0</v>
      </c>
      <c r="J9" s="1" t="s">
        <v>85</v>
      </c>
      <c r="K9" s="1">
        <v>309.53</v>
      </c>
    </row>
    <row r="10">
      <c r="H10" s="24">
        <v>46293.0</v>
      </c>
      <c r="J10" s="1" t="s">
        <v>85</v>
      </c>
      <c r="K10" s="1">
        <v>0.02</v>
      </c>
    </row>
    <row r="11">
      <c r="H11" s="24">
        <v>46293.0</v>
      </c>
      <c r="J11" s="1" t="s">
        <v>84</v>
      </c>
      <c r="K11" s="1">
        <v>52.22</v>
      </c>
      <c r="L11" s="9">
        <f>sum(K8:K11)</f>
        <v>516.83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16.38"/>
    <col customWidth="1" min="4" max="4" width="32.63"/>
    <col customWidth="1" min="7" max="7" width="5.13"/>
  </cols>
  <sheetData>
    <row r="2">
      <c r="B2" s="25" t="s">
        <v>86</v>
      </c>
      <c r="C2" s="25" t="s">
        <v>87</v>
      </c>
      <c r="D2" s="25" t="s">
        <v>88</v>
      </c>
      <c r="E2" s="25" t="s">
        <v>89</v>
      </c>
      <c r="F2" s="25" t="s">
        <v>90</v>
      </c>
      <c r="G2" s="1" t="s">
        <v>31</v>
      </c>
    </row>
    <row r="3">
      <c r="B3" s="26" t="s">
        <v>91</v>
      </c>
      <c r="C3" s="27">
        <v>46269.47521990741</v>
      </c>
      <c r="D3" s="26" t="s">
        <v>92</v>
      </c>
      <c r="E3" s="26" t="s">
        <v>93</v>
      </c>
      <c r="F3" s="26" t="s">
        <v>94</v>
      </c>
      <c r="G3" s="1">
        <v>422.5</v>
      </c>
      <c r="H3" s="1" t="s">
        <v>95</v>
      </c>
    </row>
    <row r="4">
      <c r="B4" s="28"/>
    </row>
    <row r="5">
      <c r="B5" s="28"/>
    </row>
    <row r="6">
      <c r="B6" s="28"/>
    </row>
    <row r="7">
      <c r="B7" s="28"/>
    </row>
  </sheetData>
  <drawing r:id="rId1"/>
</worksheet>
</file>